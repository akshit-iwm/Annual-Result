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A02B47C-A6EA-4497-81FC-E1D904F50779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V96" i="125" a="1"/>
  <c r="AE21" i="125" a="1"/>
  <c r="AD54" i="125" a="1"/>
  <c r="AC87" i="125" a="1"/>
  <c r="AB120" i="125" a="1"/>
  <c r="AA128" i="1" s="1"/>
  <c r="AF150" i="125" a="1"/>
  <c r="S149" i="125" a="1"/>
  <c r="Y143" i="125" a="1"/>
  <c r="F136" i="125" a="1"/>
  <c r="Q48" i="125" a="1"/>
  <c r="K98" i="125" a="1"/>
  <c r="AD31" i="125" a="1"/>
  <c r="AC64" i="125" a="1"/>
  <c r="AB101" i="125" a="1"/>
  <c r="AF129" i="125" a="1"/>
  <c r="N5" i="125" a="1"/>
  <c r="T147" i="125" a="1"/>
  <c r="Z139" i="125" a="1"/>
  <c r="G134" i="125" a="1"/>
  <c r="R48" i="125" a="1"/>
  <c r="L98" i="125" a="1"/>
  <c r="AE31" i="125" a="1"/>
  <c r="AD64" i="125" a="1"/>
  <c r="AC101" i="125" a="1"/>
  <c r="AB130" i="125" a="1"/>
  <c r="M5" i="125" a="1"/>
  <c r="S147" i="125" a="1"/>
  <c r="Y139" i="125" a="1"/>
  <c r="S95" i="125" a="1"/>
  <c r="AB15" i="125" a="1"/>
  <c r="AF43" i="125" a="1"/>
  <c r="AE80" i="125" a="1"/>
  <c r="AD113" i="125" a="1"/>
  <c r="AC144" i="125" a="1"/>
  <c r="AA150" i="125" a="1"/>
  <c r="H145" i="125" a="1"/>
  <c r="N137" i="125" a="1"/>
  <c r="N49" i="125" a="1"/>
  <c r="AB6" i="125" a="1"/>
  <c r="AF36" i="125" a="1"/>
  <c r="AE73" i="125" a="1"/>
  <c r="AD106" i="125" a="1"/>
  <c r="AC135" i="125" a="1"/>
  <c r="L152" i="125" a="1"/>
  <c r="R146" i="125" a="1"/>
  <c r="W95" i="125" a="1"/>
  <c r="AF15" i="125" a="1"/>
  <c r="AE44" i="125" a="1"/>
  <c r="AD81" i="125" a="1"/>
  <c r="AC114" i="125" a="1"/>
  <c r="AB145" i="125" a="1"/>
  <c r="W150" i="125" a="1"/>
  <c r="L95" i="125" a="1"/>
  <c r="AE13" i="125" a="1"/>
  <c r="AD42" i="125" a="1"/>
  <c r="G96" i="125" a="1"/>
  <c r="AE18" i="125" a="1"/>
  <c r="AD47" i="125" a="1"/>
  <c r="AC84" i="125" a="1"/>
  <c r="AB117" i="125" a="1"/>
  <c r="AF147" i="125" a="1"/>
  <c r="I150" i="125" a="1"/>
  <c r="O144" i="125" a="1"/>
  <c r="U136" i="125" a="1"/>
  <c r="AA130" i="125" a="1"/>
  <c r="T49" i="125" a="1"/>
  <c r="AC9" i="125" a="1"/>
  <c r="AB38" i="125" a="1"/>
  <c r="AF74" i="125" a="1"/>
  <c r="AE107" i="125" a="1"/>
  <c r="AD136" i="125" a="1"/>
  <c r="F152" i="125" a="1"/>
  <c r="AB37" i="125" a="1"/>
  <c r="AD138" i="125" a="1"/>
  <c r="V97" i="125" a="1"/>
  <c r="AC110" i="125" a="1"/>
  <c r="W146" i="125" a="1"/>
  <c r="C135" i="125" a="1"/>
  <c r="U127" i="125" a="1"/>
  <c r="Z121" i="125" a="1"/>
  <c r="G116" i="125" a="1"/>
  <c r="AE78" i="125" a="1"/>
  <c r="L151" i="125" a="1"/>
  <c r="Y137" i="125" a="1"/>
  <c r="W129" i="125" a="1"/>
  <c r="W123" i="125" a="1"/>
  <c r="D118" i="125" a="1"/>
  <c r="J112" i="125" a="1"/>
  <c r="P106" i="125" a="1"/>
  <c r="AE67" i="125" a="1"/>
  <c r="V152" i="125" a="1"/>
  <c r="U138" i="125" a="1"/>
  <c r="L130" i="125" a="1"/>
  <c r="I124" i="125" a="1"/>
  <c r="O118" i="125" a="1"/>
  <c r="U112" i="125" a="1"/>
  <c r="AA106" i="125" a="1"/>
  <c r="H101" i="125" a="1"/>
  <c r="N91" i="125" a="1"/>
  <c r="AF10" i="125" a="1"/>
  <c r="AC119" i="125" a="1"/>
  <c r="Q145" i="125" a="1"/>
  <c r="F134" i="125" a="1"/>
  <c r="E127" i="125" a="1"/>
  <c r="K121" i="125" a="1"/>
  <c r="Q115" i="125" a="1"/>
  <c r="W109" i="125" a="1"/>
  <c r="D104" i="125" a="1"/>
  <c r="AE55" i="125" a="1"/>
  <c r="AB152" i="125" a="1"/>
  <c r="F142" i="125" a="1"/>
  <c r="AD33" i="125" a="1"/>
  <c r="AE56" i="125" a="1"/>
  <c r="AA6" i="125" a="1"/>
  <c r="C142" i="125" a="1"/>
  <c r="H131" i="125" a="1"/>
  <c r="AA124" i="125" a="1"/>
  <c r="H119" i="125" a="1"/>
  <c r="N113" i="125" a="1"/>
  <c r="T107" i="125" a="1"/>
  <c r="D97" i="125" a="1"/>
  <c r="P97" i="125" a="1"/>
  <c r="D48" i="125" a="1"/>
  <c r="P48" i="125" a="1"/>
  <c r="AB48" i="125" a="1"/>
  <c r="J49" i="125" a="1"/>
  <c r="V49" i="125" a="1"/>
  <c r="D95" i="125" a="1"/>
  <c r="AB12" i="125" a="1"/>
  <c r="AF40" i="125" a="1"/>
  <c r="AE77" i="125" a="1"/>
  <c r="AD110" i="125" a="1"/>
  <c r="AC139" i="125" a="1"/>
  <c r="Q151" i="125" a="1"/>
  <c r="W145" i="125" a="1"/>
  <c r="D138" i="125" a="1"/>
  <c r="J132" i="125" a="1"/>
  <c r="W96" i="125" a="1"/>
  <c r="AF21" i="125" a="1"/>
  <c r="AE54" i="125" a="1"/>
  <c r="AD87" i="125" a="1"/>
  <c r="AC120" i="125" a="1"/>
  <c r="AB151" i="125" a="1"/>
  <c r="AA67" i="1" s="1"/>
  <c r="R149" i="125" a="1"/>
  <c r="X143" i="125" a="1"/>
  <c r="E136" i="125" a="1"/>
  <c r="K130" i="125" a="1"/>
  <c r="X96" i="125" a="1"/>
  <c r="AB22" i="125" a="1"/>
  <c r="AA38" i="1" s="1"/>
  <c r="AF54" i="125" a="1"/>
  <c r="AE87" i="125" a="1"/>
  <c r="AD120" i="125" a="1"/>
  <c r="AC151" i="125" a="1"/>
  <c r="Q149" i="125" a="1"/>
  <c r="W143" i="125" a="1"/>
  <c r="AE48" i="125" a="1"/>
  <c r="Y98" i="125" a="1"/>
  <c r="AC34" i="125" a="1"/>
  <c r="AB67" i="125" a="1"/>
  <c r="AF103" i="125" a="1"/>
  <c r="AE132" i="125" a="1"/>
  <c r="Y152" i="125" a="1"/>
  <c r="F147" i="125" a="1"/>
  <c r="L139" i="125" a="1"/>
  <c r="R133" i="125" a="1"/>
  <c r="T97" i="125" a="1"/>
  <c r="AC27" i="125" a="1"/>
  <c r="AB60" i="125" a="1"/>
  <c r="AA84" i="1" s="1"/>
  <c r="AF92" i="125" a="1"/>
  <c r="AE125" i="125" a="1"/>
  <c r="J6" i="125" a="1"/>
  <c r="P148" i="125" a="1"/>
  <c r="E49" i="125" a="1"/>
  <c r="AC98" i="125" a="1"/>
  <c r="AB35" i="125" a="1"/>
  <c r="AF67" i="125" a="1"/>
  <c r="AE104" i="125" a="1"/>
  <c r="AD133" i="125" a="1"/>
  <c r="U152" i="125" a="1"/>
  <c r="X48" i="125" a="1"/>
  <c r="R98" i="125" a="1"/>
  <c r="AF32" i="125" a="1"/>
  <c r="S49" i="125" a="1"/>
  <c r="AB9" i="125" a="1"/>
  <c r="AF37" i="125" a="1"/>
  <c r="AE74" i="125" a="1"/>
  <c r="AD107" i="125" a="1"/>
  <c r="AC136" i="125" a="1"/>
  <c r="G152" i="125" a="1"/>
  <c r="M146" i="125" a="1"/>
  <c r="S138" i="125" a="1"/>
  <c r="Y132" i="125" a="1"/>
  <c r="A1" i="133"/>
  <c r="Z97" i="125" a="1"/>
  <c r="AD28" i="125" a="1"/>
  <c r="AC61" i="125" a="1"/>
  <c r="AB94" i="125" a="1"/>
  <c r="AF126" i="125" a="1"/>
  <c r="D6" i="125" a="1"/>
  <c r="U97" i="125" a="1"/>
  <c r="AE109" i="125" a="1"/>
  <c r="X146" i="125" a="1"/>
  <c r="AD77" i="125" a="1"/>
  <c r="R151" i="125" a="1"/>
  <c r="E138" i="125" a="1"/>
  <c r="Y129" i="125" a="1"/>
  <c r="X123" i="125" a="1"/>
  <c r="E118" i="125" a="1"/>
  <c r="AC38" i="125" a="1"/>
  <c r="AC142" i="125" a="1"/>
  <c r="H143" i="125" a="1"/>
  <c r="H132" i="125" a="1"/>
  <c r="U125" i="125" a="1"/>
  <c r="AA119" i="125" a="1"/>
  <c r="H114" i="125" a="1"/>
  <c r="N108" i="125" a="1"/>
  <c r="AF29" i="125" a="1"/>
  <c r="AC133" i="125" a="1"/>
  <c r="D144" i="125" a="1"/>
  <c r="X132" i="125" a="1"/>
  <c r="G126" i="125" a="1"/>
  <c r="M120" i="125" a="1"/>
  <c r="S114" i="125" a="1"/>
  <c r="Y108" i="125" a="1"/>
  <c r="F103" i="125" a="1"/>
  <c r="L93" i="125" a="1"/>
  <c r="R87" i="125" a="1"/>
  <c r="AD86" i="125" a="1"/>
  <c r="W149" i="125" a="1"/>
  <c r="C137" i="125" a="1"/>
  <c r="G129" i="125" a="1"/>
  <c r="I123" i="125" a="1"/>
  <c r="O117" i="125" a="1"/>
  <c r="P95" i="125" a="1"/>
  <c r="AB95" i="125" a="1"/>
  <c r="AA106" i="1" s="1"/>
  <c r="AF16" i="125" a="1"/>
  <c r="AE45" i="125" a="1"/>
  <c r="AD82" i="125" a="1"/>
  <c r="AC115" i="125" a="1"/>
  <c r="AB146" i="125" a="1"/>
  <c r="R150" i="125" a="1"/>
  <c r="X144" i="125" a="1"/>
  <c r="E137" i="125" a="1"/>
  <c r="K131" i="125" a="1"/>
  <c r="Q97" i="125" a="1"/>
  <c r="AE26" i="125" a="1"/>
  <c r="AD59" i="125" a="1"/>
  <c r="AC92" i="125" a="1"/>
  <c r="AB125" i="125" a="1"/>
  <c r="M6" i="125" a="1"/>
  <c r="S148" i="125" a="1"/>
  <c r="Y142" i="125" a="1"/>
  <c r="F135" i="125" a="1"/>
  <c r="L129" i="125" a="1"/>
  <c r="R97" i="125" a="1"/>
  <c r="AF26" i="125" a="1"/>
  <c r="AE59" i="125" a="1"/>
  <c r="AD92" i="125" a="1"/>
  <c r="AC125" i="125" a="1"/>
  <c r="L6" i="125" a="1"/>
  <c r="R148" i="125" a="1"/>
  <c r="X142" i="125" a="1"/>
  <c r="Y49" i="125" a="1"/>
  <c r="AC10" i="125" a="1"/>
  <c r="AB39" i="125" a="1"/>
  <c r="AF75" i="125" a="1"/>
  <c r="AE108" i="125" a="1"/>
  <c r="AD137" i="125" a="1"/>
  <c r="Z151" i="125" a="1"/>
  <c r="G146" i="125" a="1"/>
  <c r="M138" i="125" a="1"/>
  <c r="T48" i="125" a="1"/>
  <c r="N98" i="125" a="1"/>
  <c r="AB32" i="125" a="1"/>
  <c r="AF64" i="125" a="1"/>
  <c r="AE101" i="125" a="1"/>
  <c r="AD130" i="125" a="1"/>
  <c r="K5" i="125" a="1"/>
  <c r="Q147" i="125" a="1"/>
  <c r="AC49" i="125" a="1"/>
  <c r="AB11" i="125" a="1"/>
  <c r="AF39" i="125" a="1"/>
  <c r="AE76" i="125" a="1"/>
  <c r="AD109" i="125" a="1"/>
  <c r="AC138" i="125" a="1"/>
  <c r="V151" i="125" a="1"/>
  <c r="R49" i="125" a="1"/>
  <c r="AF6" i="125" a="1"/>
  <c r="AE37" i="125" a="1"/>
  <c r="M95" i="125" a="1"/>
  <c r="AF13" i="125" a="1"/>
  <c r="AE42" i="125" a="1"/>
  <c r="AD79" i="125" a="1"/>
  <c r="AC112" i="125" a="1"/>
  <c r="AB143" i="125" a="1"/>
  <c r="H151" i="125" a="1"/>
  <c r="N145" i="125" a="1"/>
  <c r="T137" i="125" a="1"/>
  <c r="Z131" i="125" a="1"/>
  <c r="Z48" i="125" a="1"/>
  <c r="T98" i="125" a="1"/>
  <c r="AC33" i="125" a="1"/>
  <c r="AB66" i="125" a="1"/>
  <c r="AF102" i="125" a="1"/>
  <c r="AE131" i="125" a="1"/>
  <c r="E5" i="125" a="1"/>
  <c r="AF17" i="125" a="1"/>
  <c r="AB124" i="125" a="1"/>
  <c r="AA113" i="1" s="1"/>
  <c r="P49" i="125" a="1"/>
  <c r="AF91" i="125" a="1"/>
  <c r="X148" i="125" a="1"/>
  <c r="N136" i="125" a="1"/>
  <c r="V128" i="125" a="1"/>
  <c r="Y122" i="125" a="1"/>
  <c r="F117" i="125" a="1"/>
  <c r="AC60" i="125" a="1"/>
  <c r="I6" i="125" a="1"/>
  <c r="S139" i="125" a="1"/>
  <c r="C131" i="125" a="1"/>
  <c r="V124" i="125" a="1"/>
  <c r="C119" i="125" a="1"/>
  <c r="I113" i="125" a="1"/>
  <c r="O107" i="125" a="1"/>
  <c r="AB53" i="125" a="1"/>
  <c r="AE149" i="125" a="1"/>
  <c r="J142" i="125" a="1"/>
  <c r="Q131" i="125" a="1"/>
  <c r="H125" i="125" a="1"/>
  <c r="N119" i="125" a="1"/>
  <c r="T113" i="125" a="1"/>
  <c r="Z107" i="125" a="1"/>
  <c r="G102" i="125" a="1"/>
  <c r="M92" i="125" a="1"/>
  <c r="P96" i="125" a="1"/>
  <c r="AF104" i="125" a="1"/>
  <c r="N147" i="125" a="1"/>
  <c r="Q135" i="125" a="1"/>
  <c r="F128" i="125" a="1"/>
  <c r="J122" i="125" a="1"/>
  <c r="P116" i="125" a="1"/>
  <c r="V110" i="125" a="1"/>
  <c r="C105" i="125" a="1"/>
  <c r="AD32" i="125" a="1"/>
  <c r="AE135" i="125" a="1"/>
  <c r="T143" i="125" a="1"/>
  <c r="AC14" i="125" a="1"/>
  <c r="AE34" i="125" a="1"/>
  <c r="AE136" i="125" a="1"/>
  <c r="R143" i="125" a="1"/>
  <c r="P132" i="125" a="1"/>
  <c r="Z125" i="125" a="1"/>
  <c r="G120" i="125" a="1"/>
  <c r="M114" i="125" a="1"/>
  <c r="S108" i="125" a="1"/>
  <c r="AC25" i="125" a="1"/>
  <c r="J96" i="125" a="1"/>
  <c r="AC31" i="125" a="1"/>
  <c r="AC75" i="125" a="1"/>
  <c r="AD122" i="125" a="1"/>
  <c r="O5" i="125" a="1"/>
  <c r="J146" i="125" a="1"/>
  <c r="S135" i="125" a="1"/>
  <c r="E95" i="125" a="1"/>
  <c r="AD19" i="125" a="1"/>
  <c r="AE66" i="125" a="1"/>
  <c r="AE110" i="125" a="1"/>
  <c r="AE148" i="125" a="1"/>
  <c r="H147" i="125" a="1"/>
  <c r="C138" i="125" a="1"/>
  <c r="W130" i="125" a="1"/>
  <c r="X98" i="125" a="1"/>
  <c r="AC41" i="125" a="1"/>
  <c r="AC85" i="125" a="1"/>
  <c r="AD132" i="125" a="1"/>
  <c r="O151" i="125" a="1"/>
  <c r="J144" i="125" a="1"/>
  <c r="AE95" i="125" a="1"/>
  <c r="AE24" i="125" a="1"/>
  <c r="AE64" i="125" a="1"/>
  <c r="AF115" i="125" a="1"/>
  <c r="W6" i="125" a="1"/>
  <c r="R147" i="125" a="1"/>
  <c r="AA136" i="125" a="1"/>
  <c r="AF95" i="125" a="1"/>
  <c r="AF24" i="125" a="1"/>
  <c r="AB76" i="125" a="1"/>
  <c r="AB116" i="125" a="1"/>
  <c r="AA112" i="1" s="1"/>
  <c r="AA114" i="1" s="1"/>
  <c r="V6" i="125" a="1"/>
  <c r="F146" i="125" a="1"/>
  <c r="K97" i="125" a="1"/>
  <c r="AE32" i="125" a="1"/>
  <c r="AF83" i="125" a="1"/>
  <c r="AF123" i="125" a="1"/>
  <c r="H5" i="125" a="1"/>
  <c r="X95" i="125" a="1"/>
  <c r="AC23" i="125" a="1"/>
  <c r="G49" i="125" a="1"/>
  <c r="AB21" i="125" a="1"/>
  <c r="AB61" i="125" a="1"/>
  <c r="AA85" i="1" s="1"/>
  <c r="AB105" i="125" a="1"/>
  <c r="AC150" i="125" a="1"/>
  <c r="K148" i="125" a="1"/>
  <c r="F139" i="125" a="1"/>
  <c r="O130" i="125" a="1"/>
  <c r="H96" i="125" a="1"/>
  <c r="AB26" i="125" a="1"/>
  <c r="AC77" i="125" a="1"/>
  <c r="AC117" i="125" a="1"/>
  <c r="P6" i="125" a="1"/>
  <c r="AE46" i="125" a="1"/>
  <c r="U151" i="125" a="1"/>
  <c r="AC66" i="125" a="1"/>
  <c r="X145" i="125" a="1"/>
  <c r="K132" i="125" a="1"/>
  <c r="K124" i="125" a="1"/>
  <c r="T115" i="125" a="1"/>
  <c r="AD111" i="125" a="1"/>
  <c r="E144" i="125" a="1"/>
  <c r="I129" i="125" a="1"/>
  <c r="Y121" i="125" a="1"/>
  <c r="T114" i="125" a="1"/>
  <c r="D106" i="125" a="1"/>
  <c r="AD104" i="125" a="1"/>
  <c r="Y144" i="125" a="1"/>
  <c r="V129" i="125" a="1"/>
  <c r="K122" i="125" a="1"/>
  <c r="F115" i="125" a="1"/>
  <c r="O106" i="125" a="1"/>
  <c r="J99" i="125" a="1"/>
  <c r="E88" i="125" a="1"/>
  <c r="AD126" i="125" a="1"/>
  <c r="I142" i="125" a="1"/>
  <c r="U129" i="125" a="1"/>
  <c r="X120" i="125" a="1"/>
  <c r="S113" i="125" a="1"/>
  <c r="Z106" i="125" a="1"/>
  <c r="AC13" i="125" a="1"/>
  <c r="AF144" i="125" a="1"/>
  <c r="L138" i="125" a="1"/>
  <c r="V48" i="125" a="1"/>
  <c r="AF107" i="125" a="1"/>
  <c r="G145" i="125" a="1"/>
  <c r="Y131" i="125" a="1"/>
  <c r="C124" i="125" a="1"/>
  <c r="J117" i="125" a="1"/>
  <c r="Q110" i="125" a="1"/>
  <c r="AB98" i="125" a="1"/>
  <c r="AD123" i="125" a="1"/>
  <c r="F145" i="125" a="1"/>
  <c r="W133" i="125" a="1"/>
  <c r="X126" i="125" a="1"/>
  <c r="E121" i="125" a="1"/>
  <c r="K115" i="125" a="1"/>
  <c r="Q109" i="125" a="1"/>
  <c r="W103" i="125" a="1"/>
  <c r="AE81" i="125" a="1"/>
  <c r="N132" i="125" a="1"/>
  <c r="E120" i="125" a="1"/>
  <c r="P109" i="125" a="1"/>
  <c r="E101" i="125" a="1"/>
  <c r="S90" i="125" a="1"/>
  <c r="R84" i="125" a="1"/>
  <c r="X78" i="125" a="1"/>
  <c r="AE33" i="125" a="1"/>
  <c r="AB80" i="125" a="1"/>
  <c r="AF124" i="125" a="1"/>
  <c r="C5" i="125" a="1"/>
  <c r="K145" i="125" a="1"/>
  <c r="G135" i="125" a="1"/>
  <c r="Q95" i="125" a="1"/>
  <c r="AC24" i="125" a="1"/>
  <c r="AB73" i="125" a="1"/>
  <c r="AB113" i="125" a="1"/>
  <c r="Y6" i="125" a="1"/>
  <c r="U146" i="125" a="1"/>
  <c r="P137" i="125" a="1"/>
  <c r="X129" i="125" a="1"/>
  <c r="AE5" i="125" a="1"/>
  <c r="AE43" i="125" a="1"/>
  <c r="AB90" i="125" a="1"/>
  <c r="AA133" i="1" s="1"/>
  <c r="AF134" i="125" a="1"/>
  <c r="C151" i="125" a="1"/>
  <c r="K143" i="125" a="1"/>
  <c r="M96" i="125" a="1"/>
  <c r="AB27" i="125" a="1"/>
  <c r="AA32" i="1" s="1"/>
  <c r="AD73" i="125" a="1"/>
  <c r="AC118" i="125" a="1"/>
  <c r="K6" i="125" a="1"/>
  <c r="S146" i="125" a="1"/>
  <c r="O136" i="125" a="1"/>
  <c r="N96" i="125" a="1"/>
  <c r="AE29" i="125" a="1"/>
  <c r="AD78" i="125" a="1"/>
  <c r="AD118" i="125" a="1"/>
  <c r="W5" i="125" a="1"/>
  <c r="I48" i="125" a="1"/>
  <c r="W97" i="125" a="1"/>
  <c r="AD37" i="125" a="1"/>
  <c r="AC86" i="125" a="1"/>
  <c r="AC126" i="125" a="1"/>
  <c r="I152" i="125" a="1"/>
  <c r="F96" i="125" a="1"/>
  <c r="AE25" i="125" a="1"/>
  <c r="AE49" i="125" a="1"/>
  <c r="AD23" i="125" a="1"/>
  <c r="AD63" i="125" a="1"/>
  <c r="AF109" i="125" a="1"/>
  <c r="AE152" i="125" a="1"/>
  <c r="X147" i="125" a="1"/>
  <c r="G138" i="125" a="1"/>
  <c r="C130" i="125" a="1"/>
  <c r="T96" i="125" a="1"/>
  <c r="AF30" i="125" a="1"/>
  <c r="AE79" i="125" a="1"/>
  <c r="AE119" i="125" a="1"/>
  <c r="Q5" i="125" a="1"/>
  <c r="AD58" i="125" a="1"/>
  <c r="J150" i="125" a="1"/>
  <c r="AE84" i="125" a="1"/>
  <c r="C145" i="125" a="1"/>
  <c r="S131" i="125" a="1"/>
  <c r="L123" i="125" a="1"/>
  <c r="U49" i="125" a="1"/>
  <c r="AE118" i="125" a="1"/>
  <c r="O142" i="125" a="1"/>
  <c r="U128" i="125" a="1"/>
  <c r="M121" i="125" a="1"/>
  <c r="U113" i="125" a="1"/>
  <c r="Q105" i="125" a="1"/>
  <c r="AE111" i="125" a="1"/>
  <c r="G143" i="125" a="1"/>
  <c r="H129" i="125" a="1"/>
  <c r="X121" i="125" a="1"/>
  <c r="G114" i="125" a="1"/>
  <c r="C106" i="125" a="1"/>
  <c r="W94" i="125" a="1"/>
  <c r="AB49" i="125" a="1"/>
  <c r="AE133" i="125" a="1"/>
  <c r="P139" i="125" a="1"/>
  <c r="S128" i="125" a="1"/>
  <c r="L120" i="125" a="1"/>
  <c r="G113" i="125" a="1"/>
  <c r="N106" i="125" a="1"/>
  <c r="AF22" i="125" a="1"/>
  <c r="U5" i="125" a="1"/>
  <c r="S137" i="125" a="1"/>
  <c r="U95" i="125" a="1"/>
  <c r="AB115" i="125" a="1"/>
  <c r="AA125" i="1" s="1"/>
  <c r="N144" i="125" a="1"/>
  <c r="S130" i="125" a="1"/>
  <c r="P123" i="125" a="1"/>
  <c r="W116" i="125" a="1"/>
  <c r="E110" i="125" a="1"/>
  <c r="AE15" i="125" a="1"/>
  <c r="AE130" i="125" a="1"/>
  <c r="M144" i="125" a="1"/>
  <c r="E133" i="125" a="1"/>
  <c r="L126" i="125" a="1"/>
  <c r="R120" i="125" a="1"/>
  <c r="X114" i="125" a="1"/>
  <c r="E109" i="125" a="1"/>
  <c r="K103" i="125" a="1"/>
  <c r="AC107" i="125" a="1"/>
  <c r="F131" i="125" a="1"/>
  <c r="F119" i="125" a="1"/>
  <c r="U108" i="125" a="1"/>
  <c r="P100" i="125" a="1"/>
  <c r="F90" i="125" a="1"/>
  <c r="F84" i="125" a="1"/>
  <c r="L78" i="125" a="1"/>
  <c r="R68" i="125" a="1"/>
  <c r="X62" i="125" a="1"/>
  <c r="E57" i="125" a="1"/>
  <c r="Z146" i="125" a="1"/>
  <c r="V126" i="125" a="1"/>
  <c r="I115" i="125" a="1"/>
  <c r="L105" i="125" a="1"/>
  <c r="H144" i="125" a="1"/>
  <c r="R125" i="125" a="1"/>
  <c r="K114" i="125" a="1"/>
  <c r="T104" i="125" a="1"/>
  <c r="T93" i="125" a="1"/>
  <c r="M87" i="125" a="1"/>
  <c r="AB97" i="125" a="1"/>
  <c r="AB36" i="125" a="1"/>
  <c r="AA45" i="1" s="1"/>
  <c r="AF84" i="125" a="1"/>
  <c r="AC127" i="125" a="1"/>
  <c r="P152" i="125" a="1"/>
  <c r="L144" i="125" a="1"/>
  <c r="T134" i="125" a="1"/>
  <c r="AC95" i="125" a="1"/>
  <c r="AB29" i="125" a="1"/>
  <c r="AA30" i="1" s="1"/>
  <c r="AD75" i="125" a="1"/>
  <c r="AD115" i="125" a="1"/>
  <c r="Z5" i="125" a="1"/>
  <c r="I146" i="125" a="1"/>
  <c r="D137" i="125" a="1"/>
  <c r="F48" i="125" a="1"/>
  <c r="AB10" i="125" a="1"/>
  <c r="AB46" i="125" a="1"/>
  <c r="AF94" i="125" a="1"/>
  <c r="AC137" i="125" a="1"/>
  <c r="P150" i="125" a="1"/>
  <c r="L142" i="125" a="1"/>
  <c r="Y96" i="125" a="1"/>
  <c r="AD29" i="125" a="1"/>
  <c r="AC78" i="125" a="1"/>
  <c r="AE120" i="125" a="1"/>
  <c r="X5" i="125" a="1"/>
  <c r="T145" i="125" a="1"/>
  <c r="C136" i="125" a="1"/>
  <c r="Z96" i="125" a="1"/>
  <c r="AD34" i="125" a="1"/>
  <c r="AF80" i="125" a="1"/>
  <c r="AF120" i="125" a="1"/>
  <c r="X152" i="125" a="1"/>
  <c r="U48" i="125" a="1"/>
  <c r="E98" i="125" a="1"/>
  <c r="AC42" i="125" a="1"/>
  <c r="AE88" i="125" a="1"/>
  <c r="AE128" i="125" a="1"/>
  <c r="J151" i="125" a="1"/>
  <c r="R96" i="125" a="1"/>
  <c r="AB28" i="125" a="1"/>
  <c r="Y95" i="125" a="1"/>
  <c r="AF25" i="125" a="1"/>
  <c r="AF65" i="125" a="1"/>
  <c r="AE114" i="125" a="1"/>
  <c r="Q6" i="125" a="1"/>
  <c r="L147" i="125" a="1"/>
  <c r="H137" i="125" a="1"/>
  <c r="P129" i="125" a="1"/>
  <c r="AF96" i="125" a="1"/>
  <c r="AE35" i="125" a="1"/>
  <c r="AB82" i="125" a="1"/>
  <c r="AB122" i="125" a="1"/>
  <c r="AA143" i="1" s="1"/>
  <c r="R152" i="125" a="1"/>
  <c r="AE65" i="125" a="1"/>
  <c r="Z148" i="125" a="1"/>
  <c r="AB103" i="125" a="1"/>
  <c r="F144" i="125" a="1"/>
  <c r="D131" i="125" a="1"/>
  <c r="M122" i="125" a="1"/>
  <c r="I96" i="125" a="1"/>
  <c r="AF125" i="125" a="1"/>
  <c r="V138" i="125" a="1"/>
  <c r="H128" i="125" a="1"/>
  <c r="Z120" i="125" a="1"/>
  <c r="V112" i="125" a="1"/>
  <c r="AA49" i="125" a="1"/>
  <c r="AF118" i="125" a="1"/>
  <c r="Q139" i="125" a="1"/>
  <c r="T128" i="125" a="1"/>
  <c r="L121" i="125" a="1"/>
  <c r="H113" i="125" a="1"/>
  <c r="P105" i="125" a="1"/>
  <c r="K94" i="125" a="1"/>
  <c r="D98" i="125" a="1"/>
  <c r="AF142" i="125" a="1"/>
  <c r="T138" i="125" a="1"/>
  <c r="Q127" i="125" a="1"/>
  <c r="Y119" i="125" a="1"/>
  <c r="T112" i="125" a="1"/>
  <c r="AA105" i="125" a="1"/>
  <c r="AB42" i="125" a="1"/>
  <c r="AA47" i="1" s="1"/>
  <c r="J152" i="125" a="1"/>
  <c r="X136" i="125" a="1"/>
  <c r="I97" i="125" a="1"/>
  <c r="AC122" i="125" a="1"/>
  <c r="U142" i="125" a="1"/>
  <c r="E130" i="125" a="1"/>
  <c r="D123" i="125" a="1"/>
  <c r="K116" i="125" a="1"/>
  <c r="R109" i="125" a="1"/>
  <c r="AF34" i="125" a="1"/>
  <c r="AF137" i="125" a="1"/>
  <c r="Q143" i="125" a="1"/>
  <c r="O132" i="125" a="1"/>
  <c r="Y125" i="125" a="1"/>
  <c r="F120" i="125" a="1"/>
  <c r="L114" i="125" a="1"/>
  <c r="R108" i="125" a="1"/>
  <c r="X102" i="125" a="1"/>
  <c r="AF128" i="125" a="1"/>
  <c r="AA129" i="125" a="1"/>
  <c r="G118" i="125" a="1"/>
  <c r="X107" i="125" a="1"/>
  <c r="J98" i="125" a="1"/>
  <c r="AD38" i="125" a="1"/>
  <c r="AE89" i="125" a="1"/>
  <c r="AE129" i="125" a="1"/>
  <c r="D152" i="125" a="1"/>
  <c r="M143" i="125" a="1"/>
  <c r="H134" i="125" a="1"/>
  <c r="K96" i="125" a="1"/>
  <c r="AF33" i="125" a="1"/>
  <c r="AF77" i="125" a="1"/>
  <c r="AF117" i="125" a="1"/>
  <c r="AA152" i="125" a="1"/>
  <c r="V145" i="125" a="1"/>
  <c r="Q136" i="125" a="1"/>
  <c r="AD48" i="125" a="1"/>
  <c r="AD12" i="125" a="1"/>
  <c r="AD52" i="125" a="1"/>
  <c r="AE103" i="125" a="1"/>
  <c r="AE139" i="125" a="1"/>
  <c r="D150" i="125" a="1"/>
  <c r="M139" i="125" a="1"/>
  <c r="G97" i="125" a="1"/>
  <c r="AF31" i="125" a="1"/>
  <c r="AB83" i="125" a="1"/>
  <c r="AA104" i="1" s="1"/>
  <c r="AB123" i="125" a="1"/>
  <c r="AA130" i="1" s="1"/>
  <c r="L5" i="125" a="1"/>
  <c r="U144" i="125" a="1"/>
  <c r="P135" i="125" a="1"/>
  <c r="H97" i="125" a="1"/>
  <c r="AC39" i="125" a="1"/>
  <c r="AC83" i="125" a="1"/>
  <c r="AC123" i="125" a="1"/>
  <c r="Y151" i="125" a="1"/>
  <c r="C49" i="125" a="1"/>
  <c r="Q98" i="125" a="1"/>
  <c r="AB47" i="125" a="1"/>
  <c r="AB91" i="125" a="1"/>
  <c r="AA134" i="1" s="1"/>
  <c r="AB131" i="125" a="1"/>
  <c r="K150" i="125" a="1"/>
  <c r="AD96" i="125" a="1"/>
  <c r="AD30" i="125" a="1"/>
  <c r="S96" i="125" a="1"/>
  <c r="AC28" i="125" a="1"/>
  <c r="AC68" i="125" a="1"/>
  <c r="AD119" i="125" a="1"/>
  <c r="E6" i="125" a="1"/>
  <c r="Y146" i="125" a="1"/>
  <c r="I136" i="125" a="1"/>
  <c r="D129" i="125" a="1"/>
  <c r="N97" i="125" a="1"/>
  <c r="AD40" i="125" a="1"/>
  <c r="AD84" i="125" a="1"/>
  <c r="AD124" i="125" a="1"/>
  <c r="S151" i="125" a="1"/>
  <c r="AF76" i="125" a="1"/>
  <c r="W147" i="125" a="1"/>
  <c r="AD117" i="125" a="1"/>
  <c r="I143" i="125" a="1"/>
  <c r="N130" i="125" a="1"/>
  <c r="N121" i="125" a="1"/>
  <c r="AA97" i="125" a="1"/>
  <c r="AB133" i="125" a="1"/>
  <c r="G137" i="125" a="1"/>
  <c r="T127" i="125" a="1"/>
  <c r="N120" i="125" a="1"/>
  <c r="W111" i="125" a="1"/>
  <c r="O96" i="125" a="1"/>
  <c r="AB126" i="125" a="1"/>
  <c r="X137" i="125" a="1"/>
  <c r="G128" i="125" a="1"/>
  <c r="Y120" i="125" a="1"/>
  <c r="I112" i="125" a="1"/>
  <c r="D105" i="125" a="1"/>
  <c r="X93" i="125" a="1"/>
  <c r="AD20" i="125" a="1"/>
  <c r="AB150" i="125" a="1"/>
  <c r="AA66" i="1" s="1"/>
  <c r="AA70" i="1" s="1"/>
  <c r="W137" i="125" a="1"/>
  <c r="R126" i="125" a="1"/>
  <c r="M119" i="125" a="1"/>
  <c r="H112" i="125" a="1"/>
  <c r="O105" i="125" a="1"/>
  <c r="AF62" i="125" a="1"/>
  <c r="X150" i="125" a="1"/>
  <c r="G136" i="125" a="1"/>
  <c r="AA98" i="125" a="1"/>
  <c r="AD129" i="125" a="1"/>
  <c r="G139" i="125" a="1"/>
  <c r="O129" i="125" a="1"/>
  <c r="Q122" i="125" a="1"/>
  <c r="X115" i="125" a="1"/>
  <c r="F109" i="125" a="1"/>
  <c r="AD44" i="125" a="1"/>
  <c r="AB147" i="125" a="1"/>
  <c r="T142" i="125" a="1"/>
  <c r="X131" i="125" a="1"/>
  <c r="M125" i="125" a="1"/>
  <c r="S119" i="125" a="1"/>
  <c r="Y113" i="125" a="1"/>
  <c r="F108" i="125" a="1"/>
  <c r="L102" i="125" a="1"/>
  <c r="AD152" i="125" a="1"/>
  <c r="X128" i="125" a="1"/>
  <c r="H117" i="125" a="1"/>
  <c r="E107" i="125" a="1"/>
  <c r="L99" i="125" a="1"/>
  <c r="E89" i="125" a="1"/>
  <c r="G83" i="125" a="1"/>
  <c r="M77" i="125" a="1"/>
  <c r="S67" i="125" a="1"/>
  <c r="Y61" i="125" a="1"/>
  <c r="F56" i="125" a="1"/>
  <c r="R142" i="125" a="1"/>
  <c r="X124" i="125" a="1"/>
  <c r="Q113" i="125" a="1"/>
  <c r="F104" i="125" a="1"/>
  <c r="K138" i="125" a="1"/>
  <c r="T123" i="125" a="1"/>
  <c r="S112" i="125" a="1"/>
  <c r="M103" i="125" a="1"/>
  <c r="S92" i="125" a="1"/>
  <c r="N86" i="125" a="1"/>
  <c r="T80" i="125" a="1"/>
  <c r="AC88" i="125" a="1"/>
  <c r="D132" i="125" a="1"/>
  <c r="W119" i="125" a="1"/>
  <c r="J109" i="125" a="1"/>
  <c r="AA100" i="125" a="1"/>
  <c r="V98" i="125" a="1"/>
  <c r="AC43" i="125" a="1"/>
  <c r="AB92" i="125" a="1"/>
  <c r="AB132" i="125" a="1"/>
  <c r="E151" i="125" a="1"/>
  <c r="Z142" i="125" a="1"/>
  <c r="U133" i="125" a="1"/>
  <c r="E97" i="125" a="1"/>
  <c r="AC36" i="125" a="1"/>
  <c r="AC80" i="125" a="1"/>
  <c r="AE122" i="125" a="1"/>
  <c r="O152" i="125" a="1"/>
  <c r="J145" i="125" a="1"/>
  <c r="R135" i="125" a="1"/>
  <c r="L49" i="125" a="1"/>
  <c r="AF14" i="125" a="1"/>
  <c r="AC57" i="125" a="1"/>
  <c r="AB106" i="125" a="1"/>
  <c r="AA116" i="1" s="1"/>
  <c r="AB144" i="125" a="1"/>
  <c r="E149" i="125" a="1"/>
  <c r="Z138" i="125" a="1"/>
  <c r="S97" i="125" a="1"/>
  <c r="AE36" i="125" a="1"/>
  <c r="AD85" i="125" a="1"/>
  <c r="AD125" i="125" a="1"/>
  <c r="M152" i="125" a="1"/>
  <c r="I144" i="125" a="1"/>
  <c r="D135" i="125" a="1"/>
  <c r="AF97" i="125" a="1"/>
  <c r="AE41" i="125" a="1"/>
  <c r="AE85" i="125" a="1"/>
  <c r="AB128" i="125" a="1"/>
  <c r="M151" i="125" a="1"/>
  <c r="O49" i="125" a="1"/>
  <c r="AE6" i="125" a="1"/>
  <c r="AD53" i="125" a="1"/>
  <c r="AD93" i="125" a="1"/>
  <c r="AF135" i="125" a="1"/>
  <c r="X149" i="125" a="1"/>
  <c r="L97" i="125" a="1"/>
  <c r="AC35" i="125" a="1"/>
  <c r="AE96" i="125" a="1"/>
  <c r="AE30" i="125" a="1"/>
  <c r="AB77" i="125" a="1"/>
  <c r="AA97" i="1" s="1"/>
  <c r="AA100" i="1" s="1"/>
  <c r="AF121" i="125" a="1"/>
  <c r="R5" i="125" a="1"/>
  <c r="Z145" i="125" a="1"/>
  <c r="V135" i="125" a="1"/>
  <c r="Q128" i="125" a="1"/>
  <c r="H98" i="125" a="1"/>
  <c r="AF42" i="125" a="1"/>
  <c r="AF86" i="125" a="1"/>
  <c r="AC129" i="125" a="1"/>
  <c r="G151" i="125" a="1"/>
  <c r="AB84" i="125" a="1"/>
  <c r="AA105" i="1" s="1"/>
  <c r="Y145" i="125" a="1"/>
  <c r="AE124" i="125" a="1"/>
  <c r="P142" i="125" a="1"/>
  <c r="J129" i="125" a="1"/>
  <c r="AA120" i="125" a="1"/>
  <c r="AD9" i="125" a="1"/>
  <c r="AD149" i="125" a="1"/>
  <c r="M136" i="125" a="1"/>
  <c r="G127" i="125" a="1"/>
  <c r="O119" i="125" a="1"/>
  <c r="K111" i="125" a="1"/>
  <c r="C98" i="125" a="1"/>
  <c r="AD142" i="125" a="1"/>
  <c r="F137" i="125" a="1"/>
  <c r="S127" i="125" a="1"/>
  <c r="Z119" i="125" a="1"/>
  <c r="V111" i="125" a="1"/>
  <c r="Q104" i="125" a="1"/>
  <c r="Y92" i="125" a="1"/>
  <c r="AB30" i="125" a="1"/>
  <c r="F6" i="125" a="1"/>
  <c r="K136" i="125" a="1"/>
  <c r="F126" i="125" a="1"/>
  <c r="Z118" i="125" a="1"/>
  <c r="U111" i="125" a="1"/>
  <c r="P104" i="125" a="1"/>
  <c r="AB74" i="125" a="1"/>
  <c r="M149" i="125" a="1"/>
  <c r="O48" i="125" a="1"/>
  <c r="AD15" i="125" a="1"/>
  <c r="AF145" i="125" a="1"/>
  <c r="J138" i="125" a="1"/>
  <c r="Z128" i="125" a="1"/>
  <c r="E122" i="125" a="1"/>
  <c r="L115" i="125" a="1"/>
  <c r="G108" i="125" a="1"/>
  <c r="AF57" i="125" a="1"/>
  <c r="U6" i="125" a="1"/>
  <c r="W139" i="125" a="1"/>
  <c r="G131" i="125" a="1"/>
  <c r="Z124" i="125" a="1"/>
  <c r="G119" i="125" a="1"/>
  <c r="M113" i="125" a="1"/>
  <c r="S107" i="125" a="1"/>
  <c r="Y101" i="125" a="1"/>
  <c r="V150" i="125" a="1"/>
  <c r="AC5" i="125" a="1"/>
  <c r="AB52" i="125" a="1"/>
  <c r="AD94" i="125" a="1"/>
  <c r="AD134" i="125" a="1"/>
  <c r="F150" i="125" a="1"/>
  <c r="N142" i="125" a="1"/>
  <c r="I133" i="125" a="1"/>
  <c r="AC97" i="125" a="1"/>
  <c r="AE38" i="125" a="1"/>
  <c r="AF28" i="125" a="1"/>
  <c r="AF68" i="125" a="1"/>
  <c r="AE117" i="125" a="1"/>
  <c r="AA5" i="125" a="1"/>
  <c r="V146" i="125" a="1"/>
  <c r="R136" i="125" a="1"/>
  <c r="W49" i="125" a="1"/>
  <c r="AB17" i="125" a="1"/>
  <c r="AF61" i="125" a="1"/>
  <c r="AC108" i="125" a="1"/>
  <c r="AC146" i="125" a="1"/>
  <c r="G148" i="125" a="1"/>
  <c r="O138" i="125" a="1"/>
  <c r="J131" i="125" a="1"/>
  <c r="AD97" i="125" a="1"/>
  <c r="AF38" i="125" a="1"/>
  <c r="AF82" i="125" a="1"/>
  <c r="AE127" i="125" a="1"/>
  <c r="AA151" i="125" a="1"/>
  <c r="V144" i="125" a="1"/>
  <c r="G95" i="125" a="1"/>
  <c r="AC22" i="125" a="1"/>
  <c r="AC62" i="125" a="1"/>
  <c r="AB111" i="125" a="1"/>
  <c r="AA122" i="1" s="1"/>
  <c r="AD151" i="125" a="1"/>
  <c r="E148" i="125" a="1"/>
  <c r="Z137" i="125" a="1"/>
  <c r="T95" i="125" a="1"/>
  <c r="AD22" i="125" a="1"/>
  <c r="AC67" i="125" a="1"/>
  <c r="AE113" i="125" a="1"/>
  <c r="AE151" i="125" a="1"/>
  <c r="E147" i="125" a="1"/>
  <c r="AC96" i="125" a="1"/>
  <c r="AC30" i="125" a="1"/>
  <c r="AB79" i="125" a="1"/>
  <c r="AA99" i="1" s="1"/>
  <c r="AD121" i="125" a="1"/>
  <c r="T5" i="125" a="1"/>
  <c r="AD49" i="125" a="1"/>
  <c r="AF20" i="125" a="1"/>
  <c r="Y48" i="125" a="1"/>
  <c r="AC16" i="125" a="1"/>
  <c r="AE58" i="125" a="1"/>
  <c r="AE102" i="125" a="1"/>
  <c r="AD145" i="125" a="1"/>
  <c r="W148" i="125" a="1"/>
  <c r="R139" i="125" a="1"/>
  <c r="N131" i="125" a="1"/>
  <c r="Z95" i="125" a="1"/>
  <c r="AE23" i="125" a="1"/>
  <c r="AD68" i="125" a="1"/>
  <c r="AF114" i="125" a="1"/>
  <c r="AF152" i="125" a="1"/>
  <c r="AD27" i="125" a="1"/>
  <c r="G5" i="125" a="1"/>
  <c r="AB59" i="125" a="1"/>
  <c r="AA83" i="1" s="1"/>
  <c r="V147" i="125" a="1"/>
  <c r="AA132" i="125" a="1"/>
  <c r="W124" i="125" a="1"/>
  <c r="S116" i="125" a="1"/>
  <c r="AC104" i="125" a="1"/>
  <c r="AE9" i="125" a="1"/>
  <c r="AE105" i="125" a="1"/>
  <c r="I147" i="125" a="1"/>
  <c r="AD5" i="125" a="1"/>
  <c r="AE94" i="125" a="1"/>
  <c r="Q150" i="125" a="1"/>
  <c r="U132" i="125" a="1"/>
  <c r="AC29" i="125" a="1"/>
  <c r="AE115" i="125" a="1"/>
  <c r="H146" i="125" a="1"/>
  <c r="AE12" i="125" a="1"/>
  <c r="AB99" i="125" a="1"/>
  <c r="AA107" i="1" s="1"/>
  <c r="P149" i="125" a="1"/>
  <c r="AF48" i="125" a="1"/>
  <c r="AC55" i="125" a="1"/>
  <c r="AD144" i="125" a="1"/>
  <c r="K95" i="125" a="1"/>
  <c r="AB63" i="125" a="1"/>
  <c r="AC152" i="125" a="1"/>
  <c r="AC11" i="125" a="1"/>
  <c r="S98" i="125" a="1"/>
  <c r="AD91" i="125" a="1"/>
  <c r="U150" i="125" a="1"/>
  <c r="X133" i="125" a="1"/>
  <c r="AD16" i="125" a="1"/>
  <c r="AC105" i="125" a="1"/>
  <c r="I49" i="125" a="1"/>
  <c r="AE27" i="125" a="1"/>
  <c r="W135" i="125" a="1"/>
  <c r="D119" i="125" a="1"/>
  <c r="P147" i="125" a="1"/>
  <c r="H126" i="125" a="1"/>
  <c r="G115" i="125" a="1"/>
  <c r="AF78" i="125" a="1"/>
  <c r="Z134" i="125" a="1"/>
  <c r="AA118" i="125" a="1"/>
  <c r="M108" i="125" a="1"/>
  <c r="C90" i="125" a="1"/>
  <c r="I151" i="125" a="1"/>
  <c r="J130" i="125" a="1"/>
  <c r="E115" i="125" a="1"/>
  <c r="R102" i="125" a="1"/>
  <c r="J148" i="125" a="1"/>
  <c r="AB56" i="125" a="1"/>
  <c r="I149" i="125" a="1"/>
  <c r="Y127" i="125" a="1"/>
  <c r="V117" i="125" a="1"/>
  <c r="AA48" i="125" a="1"/>
  <c r="M150" i="125" a="1"/>
  <c r="R130" i="125" a="1"/>
  <c r="D122" i="125" a="1"/>
  <c r="O111" i="125" a="1"/>
  <c r="Z100" i="125" a="1"/>
  <c r="V133" i="125" a="1"/>
  <c r="R113" i="125" a="1"/>
  <c r="S101" i="125" a="1"/>
  <c r="C88" i="125" a="1"/>
  <c r="V80" i="125" a="1"/>
  <c r="Q73" i="125" a="1"/>
  <c r="L62" i="125" a="1"/>
  <c r="C48" i="125" a="1"/>
  <c r="S133" i="125" a="1"/>
  <c r="E119" i="125" a="1"/>
  <c r="D107" i="125" a="1"/>
  <c r="H142" i="125" a="1"/>
  <c r="V121" i="125" a="1"/>
  <c r="N109" i="125" a="1"/>
  <c r="X99" i="125" a="1"/>
  <c r="N88" i="125" a="1"/>
  <c r="S81" i="125" a="1"/>
  <c r="AD61" i="125" a="1"/>
  <c r="V130" i="125" a="1"/>
  <c r="Y117" i="125" a="1"/>
  <c r="X106" i="125" a="1"/>
  <c r="T94" i="125" a="1"/>
  <c r="M88" i="125" a="1"/>
  <c r="Q82" i="125" a="1"/>
  <c r="AE22" i="125" a="1"/>
  <c r="U134" i="125" a="1"/>
  <c r="T121" i="125" a="1"/>
  <c r="Z110" i="125" a="1"/>
  <c r="D102" i="125" a="1"/>
  <c r="P91" i="125" a="1"/>
  <c r="M85" i="125" a="1"/>
  <c r="S79" i="125" a="1"/>
  <c r="Y73" i="125" a="1"/>
  <c r="U143" i="125" a="1"/>
  <c r="O125" i="125" a="1"/>
  <c r="E114" i="125" a="1"/>
  <c r="O104" i="125" a="1"/>
  <c r="Q93" i="125" a="1"/>
  <c r="J87" i="125" a="1"/>
  <c r="P81" i="125" a="1"/>
  <c r="AD143" i="125" a="1"/>
  <c r="M129" i="125" a="1"/>
  <c r="T117" i="125" a="1"/>
  <c r="P107" i="125" a="1"/>
  <c r="S99" i="125" a="1"/>
  <c r="AE144" i="125" a="1"/>
  <c r="K129" i="125" a="1"/>
  <c r="S117" i="125" a="1"/>
  <c r="L107" i="125" a="1"/>
  <c r="R99" i="125" a="1"/>
  <c r="L145" i="125" a="1"/>
  <c r="E126" i="125" a="1"/>
  <c r="V114" i="125" a="1"/>
  <c r="AA104" i="125" a="1"/>
  <c r="AB102" i="125" a="1"/>
  <c r="M131" i="125" a="1"/>
  <c r="K119" i="125" a="1"/>
  <c r="AA108" i="125" a="1"/>
  <c r="S100" i="125" a="1"/>
  <c r="I90" i="125" a="1"/>
  <c r="I84" i="125" a="1"/>
  <c r="D139" i="125" a="1"/>
  <c r="E124" i="125" a="1"/>
  <c r="C113" i="125" a="1"/>
  <c r="S103" i="125" a="1"/>
  <c r="W92" i="125" a="1"/>
  <c r="R86" i="125" a="1"/>
  <c r="Q99" i="125" a="1"/>
  <c r="W102" i="125" a="1"/>
  <c r="X81" i="125" a="1"/>
  <c r="S73" i="125" a="1"/>
  <c r="I63" i="125" a="1"/>
  <c r="AA56" i="125" a="1"/>
  <c r="Y10" i="125" a="1"/>
  <c r="S16" i="125" a="1"/>
  <c r="M22" i="125" a="1"/>
  <c r="G28" i="125" a="1"/>
  <c r="H120" i="125" a="1"/>
  <c r="L83" i="125" a="1"/>
  <c r="U74" i="125" a="1"/>
  <c r="I64" i="125" a="1"/>
  <c r="AD14" i="125" a="1"/>
  <c r="AB108" i="125" a="1"/>
  <c r="AA118" i="1" s="1"/>
  <c r="AA139" i="125" a="1"/>
  <c r="AF9" i="125" a="1"/>
  <c r="AD103" i="125" a="1"/>
  <c r="E150" i="125" a="1"/>
  <c r="I132" i="125" a="1"/>
  <c r="AB34" i="125" a="1"/>
  <c r="AB118" i="125" a="1"/>
  <c r="U145" i="125" a="1"/>
  <c r="AD17" i="125" a="1"/>
  <c r="AD101" i="125" a="1"/>
  <c r="D149" i="125" a="1"/>
  <c r="Z49" i="125" a="1"/>
  <c r="AE57" i="125" a="1"/>
  <c r="AF146" i="125" a="1"/>
  <c r="E96" i="125" a="1"/>
  <c r="AD65" i="125" a="1"/>
  <c r="S6" i="125" a="1"/>
  <c r="AB16" i="125" a="1"/>
  <c r="AE98" i="125" a="1"/>
  <c r="AF93" i="125" a="1"/>
  <c r="V149" i="125" a="1"/>
  <c r="L133" i="125" a="1"/>
  <c r="AF18" i="125" a="1"/>
  <c r="AB110" i="125" a="1"/>
  <c r="C96" i="125" a="1"/>
  <c r="AC37" i="125" a="1"/>
  <c r="L134" i="125" a="1"/>
  <c r="Q118" i="125" a="1"/>
  <c r="Q146" i="125" a="1"/>
  <c r="I125" i="125" a="1"/>
  <c r="X110" i="125" a="1"/>
  <c r="AB86" i="125" a="1"/>
  <c r="I134" i="125" a="1"/>
  <c r="C118" i="125" a="1"/>
  <c r="N107" i="125" a="1"/>
  <c r="P89" i="125" a="1"/>
  <c r="O148" i="125" a="1"/>
  <c r="S125" i="125" a="1"/>
  <c r="R114" i="125" a="1"/>
  <c r="J48" i="125" a="1"/>
  <c r="J147" i="125" a="1"/>
  <c r="AC63" i="125" a="1"/>
  <c r="C148" i="125" a="1"/>
  <c r="L127" i="125" a="1"/>
  <c r="Y114" i="125" a="1"/>
  <c r="V95" i="125" a="1"/>
  <c r="H149" i="125" a="1"/>
  <c r="D130" i="125" a="1"/>
  <c r="Q121" i="125" a="1"/>
  <c r="C111" i="125" a="1"/>
  <c r="N100" i="125" a="1"/>
  <c r="W127" i="125" a="1"/>
  <c r="X112" i="125" a="1"/>
  <c r="Z99" i="125" a="1"/>
  <c r="O87" i="125" a="1"/>
  <c r="J80" i="125" a="1"/>
  <c r="E73" i="125" a="1"/>
  <c r="M61" i="125" a="1"/>
  <c r="AB13" i="125" a="1"/>
  <c r="L132" i="125" a="1"/>
  <c r="F118" i="125" a="1"/>
  <c r="G106" i="125" a="1"/>
  <c r="P136" i="125" a="1"/>
  <c r="W120" i="125" a="1"/>
  <c r="Q108" i="125" a="1"/>
  <c r="I99" i="125" a="1"/>
  <c r="Z87" i="125" a="1"/>
  <c r="G81" i="125" a="1"/>
  <c r="AF113" i="125" a="1"/>
  <c r="S129" i="125" a="1"/>
  <c r="Z116" i="125" a="1"/>
  <c r="E106" i="125" a="1"/>
  <c r="G94" i="125" a="1"/>
  <c r="Y87" i="125" a="1"/>
  <c r="AC19" i="125" a="1"/>
  <c r="AF112" i="125" a="1"/>
  <c r="O139" i="125" a="1"/>
  <c r="AC12" i="125" a="1"/>
  <c r="AF105" i="125" a="1"/>
  <c r="F149" i="125" a="1"/>
  <c r="V131" i="125" a="1"/>
  <c r="AD36" i="125" a="1"/>
  <c r="AF122" i="125" a="1"/>
  <c r="I145" i="125" a="1"/>
  <c r="AF19" i="125" a="1"/>
  <c r="AC106" i="125" a="1"/>
  <c r="Q148" i="125" a="1"/>
  <c r="H95" i="125" a="1"/>
  <c r="AD62" i="125" a="1"/>
  <c r="AC149" i="125" a="1"/>
  <c r="Q96" i="125" a="1"/>
  <c r="AC74" i="125" a="1"/>
  <c r="G6" i="125" a="1"/>
  <c r="AD18" i="125" a="1"/>
  <c r="AD11" i="125" a="1"/>
  <c r="AC100" i="125" a="1"/>
  <c r="J149" i="125" a="1"/>
  <c r="M132" i="125" a="1"/>
  <c r="AC21" i="125" a="1"/>
  <c r="AB24" i="125" a="1"/>
  <c r="AF136" i="125" a="1"/>
  <c r="C139" i="125" a="1"/>
  <c r="AE14" i="125" a="1"/>
  <c r="AD127" i="125" a="1"/>
  <c r="W144" i="125" a="1"/>
  <c r="X49" i="125" a="1"/>
  <c r="AB62" i="125" a="1"/>
  <c r="AD146" i="125" a="1"/>
  <c r="N138" i="125" a="1"/>
  <c r="AD41" i="125" a="1"/>
  <c r="AF127" i="125" a="1"/>
  <c r="V143" i="125" a="1"/>
  <c r="Z98" i="125" a="1"/>
  <c r="AB88" i="125" a="1"/>
  <c r="AA146" i="1" s="1"/>
  <c r="Z150" i="125" a="1"/>
  <c r="AD13" i="125" a="1"/>
  <c r="AF99" i="125" a="1"/>
  <c r="L149" i="125" a="1"/>
  <c r="AB40" i="125" a="1"/>
  <c r="AB33" i="125" a="1"/>
  <c r="AC124" i="125" a="1"/>
  <c r="AA144" i="125" a="1"/>
  <c r="E128" i="125" a="1"/>
  <c r="AC45" i="125" a="1"/>
  <c r="AB134" i="125" a="1"/>
  <c r="AC91" i="125" a="1"/>
  <c r="AF131" i="125" a="1"/>
  <c r="I128" i="125" a="1"/>
  <c r="AB19" i="125" a="1"/>
  <c r="AA36" i="1" s="1"/>
  <c r="Z144" i="125" a="1"/>
  <c r="K123" i="125" a="1"/>
  <c r="Y109" i="125" a="1"/>
  <c r="H6" i="125" a="1"/>
  <c r="G132" i="125" a="1"/>
  <c r="D117" i="125" a="1"/>
  <c r="R103" i="125" a="1"/>
  <c r="Q88" i="125" a="1"/>
  <c r="T144" i="125" a="1"/>
  <c r="T124" i="125" a="1"/>
  <c r="I111" i="125" a="1"/>
  <c r="AB96" i="125" a="1"/>
  <c r="M145" i="125" a="1"/>
  <c r="AC44" i="125" a="1"/>
  <c r="D146" i="125" a="1"/>
  <c r="M126" i="125" a="1"/>
  <c r="AA112" i="125" a="1"/>
  <c r="AB65" i="125" a="1"/>
  <c r="AA146" i="125" a="1"/>
  <c r="Y128" i="125" a="1"/>
  <c r="H118" i="125" a="1"/>
  <c r="D110" i="125" a="1"/>
  <c r="O99" i="125" a="1"/>
  <c r="X125" i="125" a="1"/>
  <c r="G111" i="125" a="1"/>
  <c r="J94" i="125" a="1"/>
  <c r="P86" i="125" a="1"/>
  <c r="K79" i="125" a="1"/>
  <c r="G67" i="125" a="1"/>
  <c r="N60" i="125" a="1"/>
  <c r="AE83" i="125" a="1"/>
  <c r="Z129" i="125" a="1"/>
  <c r="H116" i="125" a="1"/>
  <c r="D49" i="125" a="1"/>
  <c r="M133" i="125" a="1"/>
  <c r="Y118" i="125" a="1"/>
  <c r="Y106" i="125" a="1"/>
  <c r="H94" i="125" a="1"/>
  <c r="AA85" i="125" a="1"/>
  <c r="U79" i="125" a="1"/>
  <c r="V5" i="125" a="1"/>
  <c r="O127" i="125" a="1"/>
  <c r="D115" i="125" a="1"/>
  <c r="S104" i="125" a="1"/>
  <c r="F93" i="125" a="1"/>
  <c r="Y86" i="125" a="1"/>
  <c r="F81" i="125" a="1"/>
  <c r="AD114" i="125" a="1"/>
  <c r="U130" i="125" a="1"/>
  <c r="W118" i="125" a="1"/>
  <c r="O108" i="125" a="1"/>
  <c r="K100" i="125" a="1"/>
  <c r="Z89" i="125" a="1"/>
  <c r="AA83" i="125" a="1"/>
  <c r="H78" i="125" a="1"/>
  <c r="AA95" i="125" a="1"/>
  <c r="D136" i="125" a="1"/>
  <c r="R122" i="125" a="1"/>
  <c r="S111" i="125" a="1"/>
  <c r="Q102" i="125" a="1"/>
  <c r="C92" i="125" a="1"/>
  <c r="X85" i="125" a="1"/>
  <c r="E80" i="125" a="1"/>
  <c r="P145" i="125" a="1"/>
  <c r="K126" i="125" a="1"/>
  <c r="Z114" i="125" a="1"/>
  <c r="F105" i="125" a="1"/>
  <c r="D94" i="125" a="1"/>
  <c r="O145" i="125" a="1"/>
  <c r="J126" i="125" a="1"/>
  <c r="W114" i="125" a="1"/>
  <c r="E105" i="125" a="1"/>
  <c r="C94" i="125" a="1"/>
  <c r="K137" i="125" a="1"/>
  <c r="H123" i="125" a="1"/>
  <c r="K112" i="125" a="1"/>
  <c r="D103" i="125" a="1"/>
  <c r="W151" i="125" a="1"/>
  <c r="C128" i="125" a="1"/>
  <c r="N116" i="125" a="1"/>
  <c r="M106" i="125" a="1"/>
  <c r="AA94" i="125" a="1"/>
  <c r="T88" i="125" a="1"/>
  <c r="AF41" i="125" a="1"/>
  <c r="AA133" i="125" a="1"/>
  <c r="H121" i="125" a="1"/>
  <c r="AD26" i="125" a="1"/>
  <c r="AE143" i="125" a="1"/>
  <c r="P138" i="125" a="1"/>
  <c r="AB41" i="125" a="1"/>
  <c r="AC132" i="125" a="1"/>
  <c r="K144" i="125" a="1"/>
  <c r="F95" i="125" a="1"/>
  <c r="AF66" i="125" a="1"/>
  <c r="AF148" i="125" a="1"/>
  <c r="AA137" i="125" a="1"/>
  <c r="AC46" i="125" a="1"/>
  <c r="AC130" i="125" a="1"/>
  <c r="J143" i="125" a="1"/>
  <c r="AD10" i="125" a="1"/>
  <c r="AD90" i="125" a="1"/>
  <c r="N150" i="125" a="1"/>
  <c r="AC18" i="125" a="1"/>
  <c r="AC102" i="125" a="1"/>
  <c r="Y148" i="125" a="1"/>
  <c r="AF44" i="125" a="1"/>
  <c r="AD35" i="125" a="1"/>
  <c r="AE126" i="125" a="1"/>
  <c r="C144" i="125" a="1"/>
  <c r="R127" i="125" a="1"/>
  <c r="AE47" i="125" a="1"/>
  <c r="AF138" i="125" a="1"/>
  <c r="AD102" i="125" a="1"/>
  <c r="AB139" i="125" a="1"/>
  <c r="H127" i="125" a="1"/>
  <c r="AE28" i="125" a="1"/>
  <c r="U135" i="125" a="1"/>
  <c r="X122" i="125" a="1"/>
  <c r="M109" i="125" a="1"/>
  <c r="K151" i="125" a="1"/>
  <c r="Z130" i="125" a="1"/>
  <c r="Q116" i="125" a="1"/>
  <c r="S102" i="125" a="1"/>
  <c r="AE39" i="125" a="1"/>
  <c r="AA143" i="125" a="1"/>
  <c r="H124" i="125" a="1"/>
  <c r="J110" i="125" a="1"/>
  <c r="P98" i="125" a="1"/>
  <c r="Q144" i="125" a="1"/>
  <c r="AF63" i="125" a="1"/>
  <c r="M137" i="125" a="1"/>
  <c r="N125" i="125" a="1"/>
  <c r="O112" i="125" a="1"/>
  <c r="AC76" i="125" a="1"/>
  <c r="C146" i="125" a="1"/>
  <c r="L128" i="125" a="1"/>
  <c r="U117" i="125" a="1"/>
  <c r="G107" i="125" a="1"/>
  <c r="AF11" i="125" a="1"/>
  <c r="Y124" i="125" a="1"/>
  <c r="M110" i="125" a="1"/>
  <c r="V93" i="125" a="1"/>
  <c r="D86" i="125" a="1"/>
  <c r="Y77" i="125" a="1"/>
  <c r="T66" i="125" a="1"/>
  <c r="AA59" i="125" a="1"/>
  <c r="AC109" i="125" a="1"/>
  <c r="W128" i="125" a="1"/>
  <c r="N114" i="125" a="1"/>
  <c r="AE16" i="125" a="1"/>
  <c r="E132" i="125" a="1"/>
  <c r="Z117" i="125" a="1"/>
  <c r="F106" i="125" a="1"/>
  <c r="G93" i="125" a="1"/>
  <c r="O85" i="125" a="1"/>
  <c r="I79" i="125" a="1"/>
  <c r="N149" i="125" a="1"/>
  <c r="P126" i="125" a="1"/>
  <c r="J114" i="125" a="1"/>
  <c r="AA103" i="125" a="1"/>
  <c r="R92" i="125" a="1"/>
  <c r="M86" i="125" a="1"/>
  <c r="S80" i="125" a="1"/>
  <c r="AB136" i="125" a="1"/>
  <c r="R129" i="125" a="1"/>
  <c r="X117" i="125" a="1"/>
  <c r="R107" i="125" a="1"/>
  <c r="U99" i="125" a="1"/>
  <c r="M89" i="125" a="1"/>
  <c r="O83" i="125" a="1"/>
  <c r="U77" i="125" a="1"/>
  <c r="AC26" i="125" a="1"/>
  <c r="R134" i="125" a="1"/>
  <c r="S121" i="125" a="1"/>
  <c r="Y110" i="125" a="1"/>
  <c r="C102" i="125" a="1"/>
  <c r="O91" i="125" a="1"/>
  <c r="L85" i="125" a="1"/>
  <c r="R79" i="125" a="1"/>
  <c r="S143" i="125" a="1"/>
  <c r="L125" i="125" a="1"/>
  <c r="D114" i="125" a="1"/>
  <c r="N104" i="125" a="1"/>
  <c r="P93" i="125" a="1"/>
  <c r="O143" i="125" a="1"/>
  <c r="K125" i="125" a="1"/>
  <c r="C114" i="125" a="1"/>
  <c r="M104" i="125" a="1"/>
  <c r="O97" i="125" a="1"/>
  <c r="O135" i="125" a="1"/>
  <c r="I122" i="125" a="1"/>
  <c r="N111" i="125" a="1"/>
  <c r="N102" i="125" a="1"/>
  <c r="Y147" i="125" a="1"/>
  <c r="C127" i="125" a="1"/>
  <c r="O115" i="125" a="1"/>
  <c r="S105" i="125" a="1"/>
  <c r="N94" i="125" a="1"/>
  <c r="G88" i="125" a="1"/>
  <c r="AF79" i="125" a="1"/>
  <c r="R132" i="125" a="1"/>
  <c r="I120" i="125" a="1"/>
  <c r="T109" i="125" a="1"/>
  <c r="G101" i="125" a="1"/>
  <c r="U90" i="125" a="1"/>
  <c r="T84" i="125" a="1"/>
  <c r="Q89" i="125" a="1"/>
  <c r="T90" i="125" a="1"/>
  <c r="P78" i="125" a="1"/>
  <c r="N67" i="125" a="1"/>
  <c r="G61" i="125" a="1"/>
  <c r="Z54" i="125" a="1"/>
  <c r="W12" i="125" a="1"/>
  <c r="AF56" i="125" a="1"/>
  <c r="AD148" i="125" a="1"/>
  <c r="Q137" i="125" a="1"/>
  <c r="AD43" i="125" a="1"/>
  <c r="AE134" i="125" a="1"/>
  <c r="L143" i="125" a="1"/>
  <c r="R95" i="125" a="1"/>
  <c r="AC73" i="125" a="1"/>
  <c r="X6" i="125" a="1"/>
  <c r="O137" i="125" a="1"/>
  <c r="AE52" i="125" a="1"/>
  <c r="AB135" i="125" a="1"/>
  <c r="W142" i="125" a="1"/>
  <c r="AF12" i="125" a="1"/>
  <c r="AC99" i="125" a="1"/>
  <c r="AA149" i="125" a="1"/>
  <c r="AE20" i="125" a="1"/>
  <c r="AB107" i="125" a="1"/>
  <c r="AA117" i="1" s="1"/>
  <c r="M148" i="125" a="1"/>
  <c r="AC47" i="125" a="1"/>
  <c r="AC40" i="125" a="1"/>
  <c r="AB129" i="125" a="1"/>
  <c r="AA147" i="1" s="1"/>
  <c r="P143" i="125" a="1"/>
  <c r="N48" i="125" a="1"/>
  <c r="AB54" i="125" a="1"/>
  <c r="AC143" i="125" a="1"/>
  <c r="AF116" i="125" a="1"/>
  <c r="AC148" i="125" a="1"/>
  <c r="U126" i="125" a="1"/>
  <c r="AF47" i="125" a="1"/>
  <c r="AA134" i="125" a="1"/>
  <c r="L122" i="125" a="1"/>
  <c r="Z108" i="125" a="1"/>
  <c r="Y149" i="125" a="1"/>
  <c r="F127" i="125" a="1"/>
  <c r="E116" i="125" a="1"/>
  <c r="T101" i="125" a="1"/>
  <c r="AC53" i="125" a="1"/>
  <c r="F143" i="125" a="1"/>
  <c r="U123" i="125" a="1"/>
  <c r="K109" i="125" a="1"/>
  <c r="AC81" i="125" a="1"/>
  <c r="AA142" i="125" a="1"/>
  <c r="AB75" i="125" a="1"/>
  <c r="V136" i="125" a="1"/>
  <c r="O124" i="125" a="1"/>
  <c r="C112" i="125" a="1"/>
  <c r="AD83" i="125" a="1"/>
  <c r="E139" i="125" a="1"/>
  <c r="X127" i="125" a="1"/>
  <c r="I117" i="125" a="1"/>
  <c r="T106" i="125" a="1"/>
  <c r="AC54" i="125" a="1"/>
  <c r="Z123" i="125" a="1"/>
  <c r="J106" i="125" a="1"/>
  <c r="I93" i="125" a="1"/>
  <c r="Q85" i="125" a="1"/>
  <c r="Z76" i="125" a="1"/>
  <c r="H66" i="125" a="1"/>
  <c r="O59" i="125" a="1"/>
  <c r="AF130" i="125" a="1"/>
  <c r="V127" i="125" a="1"/>
  <c r="W112" i="125" a="1"/>
  <c r="AB58" i="125" a="1"/>
  <c r="X130" i="125" a="1"/>
  <c r="AA116" i="125" a="1"/>
  <c r="K105" i="125" a="1"/>
  <c r="F92" i="125" a="1"/>
  <c r="C85" i="125" a="1"/>
  <c r="V78" i="125" a="1"/>
  <c r="L146" i="125" a="1"/>
  <c r="Q125" i="125" a="1"/>
  <c r="O113" i="125" a="1"/>
  <c r="L103" i="125" a="1"/>
  <c r="E92" i="125" a="1"/>
  <c r="Z85" i="125" a="1"/>
  <c r="G80" i="125" a="1"/>
  <c r="S5" i="125" a="1"/>
  <c r="O128" i="125" a="1"/>
  <c r="Y116" i="125" a="1"/>
  <c r="AC59" i="125" a="1"/>
  <c r="Z6" i="125" a="1"/>
  <c r="V132" i="125" a="1"/>
  <c r="AF45" i="125" a="1"/>
  <c r="AB137" i="125" a="1"/>
  <c r="M142" i="125" a="1"/>
  <c r="AD95" i="125" a="1"/>
  <c r="AE75" i="125" a="1"/>
  <c r="Y5" i="125" a="1"/>
  <c r="G48" i="125" a="1"/>
  <c r="AB55" i="125" a="1"/>
  <c r="AF139" i="125" a="1"/>
  <c r="K142" i="125" a="1"/>
  <c r="AC15" i="125" a="1"/>
  <c r="AB104" i="125" a="1"/>
  <c r="O149" i="125" a="1"/>
  <c r="AB23" i="125" a="1"/>
  <c r="AA43" i="1" s="1"/>
  <c r="AF111" i="125" a="1"/>
  <c r="Z147" i="125" a="1"/>
  <c r="AE53" i="125" a="1"/>
  <c r="AB45" i="125" a="1"/>
  <c r="AA53" i="1" s="1"/>
  <c r="AD131" i="125" a="1"/>
  <c r="D143" i="125" a="1"/>
  <c r="H49" i="125" a="1"/>
  <c r="AD56" i="125" a="1"/>
  <c r="AE145" i="125" a="1"/>
  <c r="AC131" i="125" a="1"/>
  <c r="O6" i="125" a="1"/>
  <c r="I126" i="125" a="1"/>
  <c r="AD67" i="125" a="1"/>
  <c r="J134" i="125" a="1"/>
  <c r="P118" i="125" a="1"/>
  <c r="AA107" i="125" a="1"/>
  <c r="U148" i="125" a="1"/>
  <c r="S126" i="125" a="1"/>
  <c r="R115" i="125" a="1"/>
  <c r="U100" i="125" a="1"/>
  <c r="AF60" i="125" a="1"/>
  <c r="Y134" i="125" a="1"/>
  <c r="V122" i="125" a="1"/>
  <c r="X108" i="125" a="1"/>
  <c r="AD88" i="125" a="1"/>
  <c r="I139" i="125" a="1"/>
  <c r="AC82" i="125" a="1"/>
  <c r="AA135" i="125" a="1"/>
  <c r="R121" i="125" a="1"/>
  <c r="P111" i="125" a="1"/>
  <c r="AE90" i="125" a="1"/>
  <c r="I138" i="125" a="1"/>
  <c r="K127" i="125" a="1"/>
  <c r="V116" i="125" a="1"/>
  <c r="H106" i="125" a="1"/>
  <c r="D147" i="125" a="1"/>
  <c r="AE61" i="125" a="1"/>
  <c r="N6" i="125" a="1"/>
  <c r="W131" i="125" a="1"/>
  <c r="AC52" i="125" a="1"/>
  <c r="AD139" i="125" a="1"/>
  <c r="N139" i="125" a="1"/>
  <c r="L96" i="125" a="1"/>
  <c r="AB78" i="125" a="1"/>
  <c r="AA98" i="1" s="1"/>
  <c r="Z152" i="125" a="1"/>
  <c r="S48" i="125" a="1"/>
  <c r="AD57" i="125" a="1"/>
  <c r="AE146" i="125" a="1"/>
  <c r="X139" i="125" a="1"/>
  <c r="AE17" i="125" a="1"/>
  <c r="AF108" i="125" a="1"/>
  <c r="C149" i="125" a="1"/>
  <c r="AD25" i="125" a="1"/>
  <c r="AE116" i="125" a="1"/>
  <c r="L48" i="125" a="1"/>
  <c r="L1" i="133"/>
  <c r="AF53" i="125" a="1"/>
  <c r="AF133" i="125" a="1"/>
  <c r="Q142" i="125" a="1"/>
  <c r="AF49" i="125" a="1"/>
  <c r="AB64" i="125" a="1"/>
  <c r="G149" i="125" a="1"/>
  <c r="E48" i="125" a="1"/>
  <c r="AB57" i="125" a="1"/>
  <c r="AF143" i="125" a="1"/>
  <c r="AA138" i="125" a="1"/>
  <c r="F97" i="125" a="1"/>
  <c r="AD80" i="125" a="1"/>
  <c r="N152" i="125" a="1"/>
  <c r="M49" i="125" a="1"/>
  <c r="AF59" i="125" a="1"/>
  <c r="AB149" i="125" a="1"/>
  <c r="Y138" i="125" a="1"/>
  <c r="AB20" i="125" a="1"/>
  <c r="AC111" i="125" a="1"/>
  <c r="D148" i="125" a="1"/>
  <c r="AF27" i="125" a="1"/>
  <c r="AB119" i="125" a="1"/>
  <c r="AA142" i="1" s="1"/>
  <c r="F49" i="125" a="1"/>
  <c r="M48" i="125" a="1"/>
  <c r="AC56" i="125" a="1"/>
  <c r="AE138" i="125" a="1"/>
  <c r="E142" i="125" a="1"/>
  <c r="N95" i="125" a="1"/>
  <c r="AE63" i="125" a="1"/>
  <c r="AD150" i="125" a="1"/>
  <c r="R6" i="125" a="1"/>
  <c r="G150" i="125" a="1"/>
  <c r="J125" i="125" a="1"/>
  <c r="AB93" i="125" a="1"/>
  <c r="AA136" i="1" s="1"/>
  <c r="Z132" i="125" a="1"/>
  <c r="E117" i="125" a="1"/>
  <c r="AE10" i="125" a="1"/>
  <c r="P146" i="125" a="1"/>
  <c r="U124" i="125" a="1"/>
  <c r="W110" i="125" a="1"/>
  <c r="V99" i="125" a="1"/>
  <c r="AC79" i="125" a="1"/>
  <c r="W132" i="125" a="1"/>
  <c r="N118" i="125" a="1"/>
  <c r="Y107" i="125" a="1"/>
  <c r="AF106" i="125" a="1"/>
  <c r="C97" i="125" a="1"/>
  <c r="AE100" i="125" a="1"/>
  <c r="P134" i="125" a="1"/>
  <c r="S120" i="125" a="1"/>
  <c r="H107" i="125" a="1"/>
  <c r="AB109" i="125" a="1"/>
  <c r="T136" i="125" a="1"/>
  <c r="AA123" i="125" a="1"/>
  <c r="W115" i="125" a="1"/>
  <c r="I105" i="125" a="1"/>
  <c r="S142" i="125" a="1"/>
  <c r="AD66" i="125" a="1"/>
  <c r="T148" i="125" a="1"/>
  <c r="AC48" i="125" a="1"/>
  <c r="AE82" i="125" a="1"/>
  <c r="C152" i="125" a="1"/>
  <c r="S134" i="125" a="1"/>
  <c r="AC17" i="125" a="1"/>
  <c r="AD108" i="125" a="1"/>
  <c r="F148" i="125" a="1"/>
  <c r="AE97" i="125" a="1"/>
  <c r="AF87" i="125" a="1"/>
  <c r="N151" i="125" a="1"/>
  <c r="Q134" i="125" a="1"/>
  <c r="AB44" i="125" a="1"/>
  <c r="AA49" i="1" s="1"/>
  <c r="AF132" i="125" a="1"/>
  <c r="K48" i="125" a="1"/>
  <c r="AF55" i="125" a="1"/>
  <c r="AE142" i="125" a="1"/>
  <c r="X97" i="125" a="1"/>
  <c r="M97" i="125" a="1"/>
  <c r="AF81" i="125" a="1"/>
  <c r="F5" i="125" a="1"/>
  <c r="J135" i="125" a="1"/>
  <c r="AF98" i="125" a="1"/>
  <c r="AC89" i="125" a="1"/>
  <c r="T150" i="125" a="1"/>
  <c r="D96" i="125" a="1"/>
  <c r="T139" i="125" a="1"/>
  <c r="O120" i="125" a="1"/>
  <c r="W152" i="125" a="1"/>
  <c r="R131" i="125" a="1"/>
  <c r="R116" i="125" a="1"/>
  <c r="AC20" i="125" a="1"/>
  <c r="R145" i="125" a="1"/>
  <c r="V123" i="125" a="1"/>
  <c r="K110" i="125" a="1"/>
  <c r="Z91" i="125" a="1"/>
  <c r="AE93" i="125" a="1"/>
  <c r="F132" i="125" a="1"/>
  <c r="AA117" i="125" a="1"/>
  <c r="M107" i="125" a="1"/>
  <c r="AB114" i="125" a="1"/>
  <c r="AA127" i="1" s="1"/>
  <c r="U98" i="125" a="1"/>
  <c r="P5" i="125" a="1"/>
  <c r="Y133" i="125" a="1"/>
  <c r="T119" i="125" a="1"/>
  <c r="U106" i="125" a="1"/>
  <c r="AC116" i="125" a="1"/>
  <c r="Z135" i="125" a="1"/>
  <c r="O123" i="125" a="1"/>
  <c r="Z112" i="125" a="1"/>
  <c r="V104" i="125" a="1"/>
  <c r="R138" i="125" a="1"/>
  <c r="I116" i="125" a="1"/>
  <c r="O103" i="125" a="1"/>
  <c r="G91" i="125" a="1"/>
  <c r="H82" i="125" a="1"/>
  <c r="C75" i="125" a="1"/>
  <c r="J64" i="125" a="1"/>
  <c r="Q57" i="125" a="1"/>
  <c r="Q138" i="125" a="1"/>
  <c r="AA121" i="125" a="1"/>
  <c r="O109" i="125" a="1"/>
  <c r="C6" i="125" a="1"/>
  <c r="Q126" i="125" a="1"/>
  <c r="Y111" i="125" a="1"/>
  <c r="Q101" i="125" a="1"/>
  <c r="D90" i="125" a="1"/>
  <c r="E83" i="125" a="1"/>
  <c r="X76" i="125" a="1"/>
  <c r="J136" i="125" a="1"/>
  <c r="U121" i="125" a="1"/>
  <c r="G110" i="125" a="1"/>
  <c r="L100" i="125" a="1"/>
  <c r="AA89" i="125" a="1"/>
  <c r="C84" i="125" a="1"/>
  <c r="I78" i="125" a="1"/>
  <c r="D142" i="125" a="1"/>
  <c r="Q124" i="125" a="1"/>
  <c r="L113" i="125" a="1"/>
  <c r="Z103" i="125" a="1"/>
  <c r="E93" i="125" a="1"/>
  <c r="X86" i="125" a="1"/>
  <c r="E81" i="125" a="1"/>
  <c r="K75" i="125" a="1"/>
  <c r="I5" i="125" a="1"/>
  <c r="N128" i="125" a="1"/>
  <c r="X116" i="125" a="1"/>
  <c r="V106" i="125" a="1"/>
  <c r="F99" i="125" a="1"/>
  <c r="X88" i="125" a="1"/>
  <c r="AA82" i="125" a="1"/>
  <c r="AE68" i="125" a="1"/>
  <c r="D133" i="125" a="1"/>
  <c r="Q120" i="125" a="1"/>
  <c r="AA109" i="125" a="1"/>
  <c r="L101" i="125" a="1"/>
  <c r="AF73" i="125" a="1"/>
  <c r="C133" i="125" a="1"/>
  <c r="P120" i="125" a="1"/>
  <c r="Z109" i="125" a="1"/>
  <c r="K101" i="125" a="1"/>
  <c r="AC145" i="125" a="1"/>
  <c r="F129" i="125" a="1"/>
  <c r="N117" i="125" a="1"/>
  <c r="K107" i="125" a="1"/>
  <c r="I98" i="125" a="1"/>
  <c r="N135" i="125" a="1"/>
  <c r="H122" i="125" a="1"/>
  <c r="M111" i="125" a="1"/>
  <c r="M102" i="125" a="1"/>
  <c r="W91" i="125" a="1"/>
  <c r="T85" i="125" a="1"/>
  <c r="M147" i="125" a="1"/>
  <c r="AA126" i="125" a="1"/>
  <c r="AF100" i="125" a="1"/>
  <c r="H148" i="125" a="1"/>
  <c r="K49" i="125" a="1"/>
  <c r="AB85" i="125" a="1"/>
  <c r="P151" i="125" a="1"/>
  <c r="T133" i="125" a="1"/>
  <c r="AE19" i="125" a="1"/>
  <c r="AF110" i="125" a="1"/>
  <c r="G147" i="125" a="1"/>
  <c r="M98" i="125" a="1"/>
  <c r="AC90" i="125" a="1"/>
  <c r="O150" i="125" a="1"/>
  <c r="E134" i="125" a="1"/>
  <c r="AD46" i="125" a="1"/>
  <c r="AE137" i="125" a="1"/>
  <c r="W48" i="125" a="1"/>
  <c r="AC58" i="125" a="1"/>
  <c r="AD147" i="125" a="1"/>
  <c r="F98" i="125" a="1"/>
  <c r="Y97" i="125" a="1"/>
  <c r="AE86" i="125" a="1"/>
  <c r="S152" i="125" a="1"/>
  <c r="W134" i="125" a="1"/>
  <c r="AE11" i="125" a="1"/>
  <c r="AE91" i="125" a="1"/>
  <c r="H150" i="125" a="1"/>
  <c r="AD6" i="125" a="1"/>
  <c r="W138" i="125" a="1"/>
  <c r="C120" i="125" a="1"/>
  <c r="Z149" i="125" a="1"/>
  <c r="M130" i="125" a="1"/>
  <c r="F116" i="125" a="1"/>
  <c r="AC103" i="125" a="1"/>
  <c r="H48" i="125" a="1"/>
  <c r="AF58" i="125" a="1"/>
  <c r="V125" i="125" a="1"/>
  <c r="C107" i="125" a="1"/>
  <c r="J111" i="125" a="1"/>
  <c r="N133" i="125" a="1"/>
  <c r="AE99" i="125" a="1"/>
  <c r="K135" i="125" a="1"/>
  <c r="AF101" i="125" a="1"/>
  <c r="J116" i="125" a="1"/>
  <c r="AA122" i="125" a="1"/>
  <c r="U92" i="125" a="1"/>
  <c r="N76" i="125" a="1"/>
  <c r="C59" i="125" a="1"/>
  <c r="W125" i="125" a="1"/>
  <c r="AB87" i="125" a="1"/>
  <c r="C116" i="125" a="1"/>
  <c r="R91" i="125" a="1"/>
  <c r="J78" i="125" a="1"/>
  <c r="R124" i="125" a="1"/>
  <c r="U102" i="125" a="1"/>
  <c r="N85" i="125" a="1"/>
  <c r="AE62" i="125" a="1"/>
  <c r="R123" i="125" a="1"/>
  <c r="Z105" i="125" a="1"/>
  <c r="D92" i="125" a="1"/>
  <c r="P82" i="125" a="1"/>
  <c r="L74" i="125" a="1"/>
  <c r="AA131" i="125" a="1"/>
  <c r="AA114" i="125" a="1"/>
  <c r="X100" i="125" a="1"/>
  <c r="W87" i="125" a="1"/>
  <c r="S78" i="125" a="1"/>
  <c r="Q130" i="125" a="1"/>
  <c r="M112" i="125" a="1"/>
  <c r="H100" i="125" a="1"/>
  <c r="R137" i="125" a="1"/>
  <c r="R118" i="125" a="1"/>
  <c r="G103" i="125" a="1"/>
  <c r="I148" i="125" a="1"/>
  <c r="K120" i="125" a="1"/>
  <c r="T105" i="125" a="1"/>
  <c r="E143" i="125" a="1"/>
  <c r="J120" i="125" a="1"/>
  <c r="K104" i="125" a="1"/>
  <c r="V90" i="125" a="1"/>
  <c r="AB127" i="125" a="1"/>
  <c r="D125" i="125" a="1"/>
  <c r="O110" i="125" a="1"/>
  <c r="D100" i="125" a="1"/>
  <c r="S88" i="125" a="1"/>
  <c r="H111" i="125" a="1"/>
  <c r="M99" i="125" a="1"/>
  <c r="M79" i="125" a="1"/>
  <c r="M66" i="125" a="1"/>
  <c r="E59" i="125" a="1"/>
  <c r="D52" i="125" a="1"/>
  <c r="F17" i="125" a="1"/>
  <c r="L23" i="125" a="1"/>
  <c r="R29" i="125" a="1"/>
  <c r="J93" i="125" a="1"/>
  <c r="L79" i="125" a="1"/>
  <c r="M67" i="125" a="1"/>
  <c r="R60" i="125" a="1"/>
  <c r="M54" i="125" a="1"/>
  <c r="K13" i="125" a="1"/>
  <c r="E19" i="125" a="1"/>
  <c r="X24" i="125" a="1"/>
  <c r="R30" i="125" a="1"/>
  <c r="L36" i="125" a="1"/>
  <c r="V108" i="125" a="1"/>
  <c r="N82" i="125" a="1"/>
  <c r="F74" i="125" a="1"/>
  <c r="T63" i="125" a="1"/>
  <c r="M57" i="125" a="1"/>
  <c r="AA92" i="125" a="1"/>
  <c r="AA79" i="125" a="1"/>
  <c r="L68" i="125" a="1"/>
  <c r="E62" i="125" a="1"/>
  <c r="W55" i="125" a="1"/>
  <c r="AA11" i="125" a="1"/>
  <c r="U17" i="125" a="1"/>
  <c r="O23" i="125" a="1"/>
  <c r="I29" i="125" a="1"/>
  <c r="C35" i="125" a="1"/>
  <c r="V40" i="125" a="1"/>
  <c r="Q86" i="125" a="1"/>
  <c r="K76" i="125" a="1"/>
  <c r="W88" i="125" a="1"/>
  <c r="P77" i="125" a="1"/>
  <c r="U66" i="125" a="1"/>
  <c r="M60" i="125" a="1"/>
  <c r="I54" i="125" a="1"/>
  <c r="O13" i="125" a="1"/>
  <c r="V88" i="125" a="1"/>
  <c r="O77" i="125" a="1"/>
  <c r="S66" i="125" a="1"/>
  <c r="U88" i="125" a="1"/>
  <c r="N77" i="125" a="1"/>
  <c r="R66" i="125" a="1"/>
  <c r="K60" i="125" a="1"/>
  <c r="G54" i="125" a="1"/>
  <c r="Q13" i="125" a="1"/>
  <c r="K19" i="125" a="1"/>
  <c r="I87" i="125" a="1"/>
  <c r="T76" i="125" a="1"/>
  <c r="D66" i="125" a="1"/>
  <c r="V59" i="125" a="1"/>
  <c r="D124" i="125" a="1"/>
  <c r="W83" i="125" a="1"/>
  <c r="Z74" i="125" a="1"/>
  <c r="N64" i="125" a="1"/>
  <c r="G58" i="125" a="1"/>
  <c r="U147" i="125" a="1"/>
  <c r="AF52" i="125" a="1"/>
  <c r="AD100" i="125" a="1"/>
  <c r="P119" i="125" a="1"/>
  <c r="AD39" i="125" a="1"/>
  <c r="X109" i="125" a="1"/>
  <c r="P131" i="125" a="1"/>
  <c r="AC121" i="125" a="1"/>
  <c r="F133" i="125" a="1"/>
  <c r="J5" i="125" a="1"/>
  <c r="N112" i="125" a="1"/>
  <c r="C122" i="125" a="1"/>
  <c r="H92" i="125" a="1"/>
  <c r="AA75" i="125" a="1"/>
  <c r="P58" i="125" a="1"/>
  <c r="Y123" i="125" a="1"/>
  <c r="AE112" i="125" a="1"/>
  <c r="H115" i="125" a="1"/>
  <c r="E91" i="125" a="1"/>
  <c r="W77" i="125" a="1"/>
  <c r="S123" i="125" a="1"/>
  <c r="E102" i="125" a="1"/>
  <c r="AA84" i="125" a="1"/>
  <c r="AF88" i="125" a="1"/>
  <c r="S122" i="125" a="1"/>
  <c r="H105" i="125" a="1"/>
  <c r="C91" i="125" a="1"/>
  <c r="D82" i="125" a="1"/>
  <c r="M73" i="125" a="1"/>
  <c r="T130" i="125" a="1"/>
  <c r="K113" i="125" a="1"/>
  <c r="J100" i="125" a="1"/>
  <c r="W86" i="125" a="1"/>
  <c r="U96" i="125" a="1"/>
  <c r="K128" i="125" a="1"/>
  <c r="R111" i="125" a="1"/>
  <c r="E99" i="125" a="1"/>
  <c r="X135" i="125" a="1"/>
  <c r="T116" i="125" a="1"/>
  <c r="O102" i="125" a="1"/>
  <c r="N143" i="125" a="1"/>
  <c r="L119" i="125" a="1"/>
  <c r="L104" i="125" a="1"/>
  <c r="H139" i="125" a="1"/>
  <c r="L118" i="125" a="1"/>
  <c r="T103" i="125" a="1"/>
  <c r="U89" i="125" a="1"/>
  <c r="AE150" i="125" a="1"/>
  <c r="F123" i="125" a="1"/>
  <c r="W108" i="125" a="1"/>
  <c r="N99" i="125" a="1"/>
  <c r="F88" i="125" a="1"/>
  <c r="Z102" i="125" a="1"/>
  <c r="N93" i="125" a="1"/>
  <c r="X77" i="125" a="1"/>
  <c r="Y65" i="125" a="1"/>
  <c r="Q58" i="125" a="1"/>
  <c r="M10" i="125" a="1"/>
  <c r="R17" i="125" a="1"/>
  <c r="X23" i="125" a="1"/>
  <c r="E30" i="125" a="1"/>
  <c r="X91" i="125" a="1"/>
  <c r="O78" i="125" a="1"/>
  <c r="Y66" i="125" a="1"/>
  <c r="E60" i="125" a="1"/>
  <c r="Z53" i="125" a="1"/>
  <c r="W13" i="125" a="1"/>
  <c r="Q19" i="125" a="1"/>
  <c r="K25" i="125" a="1"/>
  <c r="E31" i="125" a="1"/>
  <c r="X36" i="125" a="1"/>
  <c r="H102" i="125" a="1"/>
  <c r="V81" i="125" a="1"/>
  <c r="P73" i="125" a="1"/>
  <c r="G63" i="125" a="1"/>
  <c r="Y56" i="125" a="1"/>
  <c r="S91" i="125" a="1"/>
  <c r="E79" i="125" a="1"/>
  <c r="X67" i="125" a="1"/>
  <c r="Q61" i="125" a="1"/>
  <c r="J55" i="125" a="1"/>
  <c r="N12" i="125" a="1"/>
  <c r="H18" i="125" a="1"/>
  <c r="AA23" i="125" a="1"/>
  <c r="U29" i="125" a="1"/>
  <c r="O35" i="125" a="1"/>
  <c r="AF151" i="125" a="1"/>
  <c r="K85" i="125" a="1"/>
  <c r="U75" i="125" a="1"/>
  <c r="T87" i="125" a="1"/>
  <c r="Y76" i="125" a="1"/>
  <c r="G66" i="125" a="1"/>
  <c r="Y59" i="125" a="1"/>
  <c r="V53" i="125" a="1"/>
  <c r="AA13" i="125" a="1"/>
  <c r="P87" i="125" a="1"/>
  <c r="W76" i="125" a="1"/>
  <c r="F66" i="125" a="1"/>
  <c r="N87" i="125" a="1"/>
  <c r="U76" i="125" a="1"/>
  <c r="E66" i="125" a="1"/>
  <c r="W59" i="125" a="1"/>
  <c r="T53" i="125" a="1"/>
  <c r="D14" i="125" a="1"/>
  <c r="W19" i="125" a="1"/>
  <c r="H86" i="125" a="1"/>
  <c r="F76" i="125" a="1"/>
  <c r="P65" i="125" a="1"/>
  <c r="I59" i="125" a="1"/>
  <c r="Y112" i="125" a="1"/>
  <c r="X82" i="125" a="1"/>
  <c r="K74" i="125" a="1"/>
  <c r="Z63" i="125" a="1"/>
  <c r="S57" i="125" a="1"/>
  <c r="F57" i="125" a="1"/>
  <c r="N15" i="125" a="1"/>
  <c r="S23" i="125" a="1"/>
  <c r="K31" i="125" a="1"/>
  <c r="M38" i="125" a="1"/>
  <c r="W98" i="125" a="1"/>
  <c r="AB142" i="125" a="1"/>
  <c r="AD112" i="125" a="1"/>
  <c r="R117" i="125" a="1"/>
  <c r="AD60" i="125" a="1"/>
  <c r="L109" i="125" a="1"/>
  <c r="Y130" i="125" a="1"/>
  <c r="AD128" i="125" a="1"/>
  <c r="M128" i="125" a="1"/>
  <c r="X151" i="125" a="1"/>
  <c r="AA111" i="125" a="1"/>
  <c r="D121" i="125" a="1"/>
  <c r="T91" i="125" a="1"/>
  <c r="O75" i="125" a="1"/>
  <c r="D58" i="125" a="1"/>
  <c r="Z122" i="125" a="1"/>
  <c r="AC134" i="125" a="1"/>
  <c r="P113" i="125" a="1"/>
  <c r="Q90" i="125" a="1"/>
  <c r="K77" i="125" a="1"/>
  <c r="T122" i="125" a="1"/>
  <c r="P101" i="125" a="1"/>
  <c r="O84" i="125" a="1"/>
  <c r="K149" i="125" a="1"/>
  <c r="U120" i="125" a="1"/>
  <c r="R104" i="125" a="1"/>
  <c r="N90" i="125" a="1"/>
  <c r="Q81" i="125" a="1"/>
  <c r="Z68" i="125" a="1"/>
  <c r="Q129" i="125" a="1"/>
  <c r="P112" i="125" a="1"/>
  <c r="T99" i="125" a="1"/>
  <c r="K86" i="125" a="1"/>
  <c r="AB31" i="125" a="1"/>
  <c r="AA37" i="1" s="1"/>
  <c r="J127" i="125" a="1"/>
  <c r="U110" i="125" a="1"/>
  <c r="Q94" i="125" a="1"/>
  <c r="M134" i="125" a="1"/>
  <c r="U115" i="125" a="1"/>
  <c r="Z101" i="125" a="1"/>
  <c r="J139" i="125" a="1"/>
  <c r="M118" i="125" a="1"/>
  <c r="U103" i="125" a="1"/>
  <c r="J137" i="125" a="1"/>
  <c r="M117" i="125" a="1"/>
  <c r="C103" i="125" a="1"/>
  <c r="H89" i="125" a="1"/>
  <c r="F151" i="125" a="1"/>
  <c r="G122" i="125" a="1"/>
  <c r="D108" i="125" a="1"/>
  <c r="Z94" i="125" a="1"/>
  <c r="Q87" i="125" a="1"/>
  <c r="O93" i="125" a="1"/>
  <c r="Y91" i="125" a="1"/>
  <c r="F77" i="125" a="1"/>
  <c r="L65" i="125" a="1"/>
  <c r="C58" i="125" a="1"/>
  <c r="L11" i="125" a="1"/>
  <c r="E18" i="125" a="1"/>
  <c r="K24" i="125" a="1"/>
  <c r="Q30" i="125" a="1"/>
  <c r="R90" i="125" a="1"/>
  <c r="T77" i="125" a="1"/>
  <c r="L66" i="125" a="1"/>
  <c r="Q59" i="125" a="1"/>
  <c r="N53" i="125" a="1"/>
  <c r="J14" i="125" a="1"/>
  <c r="D20" i="125" a="1"/>
  <c r="W25" i="125" a="1"/>
  <c r="Q31" i="125" a="1"/>
  <c r="K37" i="125" a="1"/>
  <c r="C99" i="125" a="1"/>
  <c r="Y80" i="125" a="1"/>
  <c r="AA68" i="125" a="1"/>
  <c r="S62" i="125" a="1"/>
  <c r="L56" i="125" a="1"/>
  <c r="K90" i="125" a="1"/>
  <c r="M78" i="125" a="1"/>
  <c r="K67" i="125" a="1"/>
  <c r="D61" i="125" a="1"/>
  <c r="W54" i="125" a="1"/>
  <c r="Z12" i="125" a="1"/>
  <c r="T18" i="125" a="1"/>
  <c r="N24" i="125" a="1"/>
  <c r="H30" i="125" a="1"/>
  <c r="AA35" i="125" a="1"/>
  <c r="AA128" i="125" a="1"/>
  <c r="J84" i="125" a="1"/>
  <c r="G75" i="125" a="1"/>
  <c r="O86" i="125" a="1"/>
  <c r="I76" i="125" a="1"/>
  <c r="S65" i="125" a="1"/>
  <c r="L59" i="125" a="1"/>
  <c r="J53" i="125" a="1"/>
  <c r="N14" i="125" a="1"/>
  <c r="J86" i="125" a="1"/>
  <c r="H76" i="125" a="1"/>
  <c r="R65" i="125" a="1"/>
  <c r="I86" i="125" a="1"/>
  <c r="G76" i="125" a="1"/>
  <c r="Q65" i="125" a="1"/>
  <c r="J59" i="125" a="1"/>
  <c r="H53" i="125" a="1"/>
  <c r="P14" i="125" a="1"/>
  <c r="V142" i="125" a="1"/>
  <c r="D85" i="125" a="1"/>
  <c r="Q75" i="125" a="1"/>
  <c r="C65" i="125" a="1"/>
  <c r="U58" i="125" a="1"/>
  <c r="P103" i="125" a="1"/>
  <c r="AA81" i="125" a="1"/>
  <c r="V73" i="125" a="1"/>
  <c r="M63" i="125" a="1"/>
  <c r="Y136" i="125" a="1"/>
  <c r="AA55" i="125" a="1"/>
  <c r="F16" i="125" a="1"/>
  <c r="I24" i="125" a="1"/>
  <c r="Z31" i="125" a="1"/>
  <c r="AA38" i="125" a="1"/>
  <c r="C45" i="125" a="1"/>
  <c r="D9" i="125" a="1"/>
  <c r="Z9" i="125" a="1"/>
  <c r="S45" i="125" a="1"/>
  <c r="T29" i="125" a="1"/>
  <c r="H45" i="125" a="1"/>
  <c r="U47" i="125" a="1"/>
  <c r="D57" i="125" a="1"/>
  <c r="AF89" i="125" a="1"/>
  <c r="Q49" i="125" a="1"/>
  <c r="AB148" i="125" a="1"/>
  <c r="AF85" i="125" a="1"/>
  <c r="AC93" i="125" a="1"/>
  <c r="E104" i="125" a="1"/>
  <c r="G125" i="125" a="1"/>
  <c r="K146" i="125" a="1"/>
  <c r="Y126" i="125" a="1"/>
  <c r="AA147" i="125" a="1"/>
  <c r="P110" i="125" a="1"/>
  <c r="J115" i="125" a="1"/>
  <c r="R89" i="125" a="1"/>
  <c r="P74" i="125" a="1"/>
  <c r="R56" i="125" a="1"/>
  <c r="C121" i="125" a="1"/>
  <c r="T149" i="125" a="1"/>
  <c r="E111" i="125" a="1"/>
  <c r="O89" i="125" a="1"/>
  <c r="C95" i="125" a="1"/>
  <c r="V120" i="125" a="1"/>
  <c r="W99" i="125" a="1"/>
  <c r="P83" i="125" a="1"/>
  <c r="E146" i="125" a="1"/>
  <c r="V119" i="125" a="1"/>
  <c r="J103" i="125" a="1"/>
  <c r="Y88" i="125" a="1"/>
  <c r="R80" i="125" a="1"/>
  <c r="AC65" i="125" a="1"/>
  <c r="M127" i="125" a="1"/>
  <c r="C110" i="125" a="1"/>
  <c r="R94" i="125" a="1"/>
  <c r="Y84" i="125" a="1"/>
  <c r="AC94" i="125" a="1"/>
  <c r="M124" i="125" a="1"/>
  <c r="G109" i="125" a="1"/>
  <c r="C93" i="125" a="1"/>
  <c r="T131" i="125" a="1"/>
  <c r="F113" i="125" a="1"/>
  <c r="V100" i="125" a="1"/>
  <c r="D134" i="125" a="1"/>
  <c r="O116" i="125" a="1"/>
  <c r="X101" i="125" a="1"/>
  <c r="C134" i="125" a="1"/>
  <c r="U114" i="125" a="1"/>
  <c r="W101" i="125" a="1"/>
  <c r="S87" i="125" a="1"/>
  <c r="D145" i="125" a="1"/>
  <c r="J119" i="125" a="1"/>
  <c r="I107" i="125" a="1"/>
  <c r="M94" i="125" a="1"/>
  <c r="E87" i="125" a="1"/>
  <c r="AA91" i="125" a="1"/>
  <c r="K89" i="125" a="1"/>
  <c r="P76" i="125" a="1"/>
  <c r="X64" i="125" a="1"/>
  <c r="O57" i="125" a="1"/>
  <c r="X11" i="125" a="1"/>
  <c r="Q18" i="125" a="1"/>
  <c r="W24" i="125" a="1"/>
  <c r="D31" i="125" a="1"/>
  <c r="J89" i="125" a="1"/>
  <c r="E77" i="125" a="1"/>
  <c r="X65" i="125" a="1"/>
  <c r="D59" i="125" a="1"/>
  <c r="AA52" i="125" a="1"/>
  <c r="V14" i="125" a="1"/>
  <c r="P20" i="125" a="1"/>
  <c r="J26" i="125" a="1"/>
  <c r="D32" i="125" a="1"/>
  <c r="W37" i="125" a="1"/>
  <c r="H93" i="125" a="1"/>
  <c r="C80" i="125" a="1"/>
  <c r="M68" i="125" a="1"/>
  <c r="F62" i="125" a="1"/>
  <c r="X55" i="125" a="1"/>
  <c r="F89" i="125" a="1"/>
  <c r="R77" i="125" a="1"/>
  <c r="W66" i="125" a="1"/>
  <c r="P60" i="125" a="1"/>
  <c r="K54" i="125" a="1"/>
  <c r="M13" i="125" a="1"/>
  <c r="G19" i="125" a="1"/>
  <c r="Z24" i="125" a="1"/>
  <c r="T30" i="125" a="1"/>
  <c r="N36" i="125" a="1"/>
  <c r="K117" i="125" a="1"/>
  <c r="I83" i="125" a="1"/>
  <c r="Y150" i="125" a="1"/>
  <c r="J85" i="125" a="1"/>
  <c r="T75" i="125" a="1"/>
  <c r="F65" i="125" a="1"/>
  <c r="X58" i="125" a="1"/>
  <c r="W52" i="125" a="1"/>
  <c r="K147" i="125" a="1"/>
  <c r="I85" i="125" a="1"/>
  <c r="S75" i="125" a="1"/>
  <c r="S144" i="125" a="1"/>
  <c r="F85" i="125" a="1"/>
  <c r="R75" i="125" a="1"/>
  <c r="D65" i="125" a="1"/>
  <c r="V58" i="125" a="1"/>
  <c r="U52" i="125" a="1"/>
  <c r="C15" i="125" a="1"/>
  <c r="C125" i="125" a="1"/>
  <c r="X83" i="125" a="1"/>
  <c r="AA74" i="125" a="1"/>
  <c r="O64" i="125" a="1"/>
  <c r="H58" i="125" a="1"/>
  <c r="C100" i="125" a="1"/>
  <c r="J81" i="125" a="1"/>
  <c r="H73" i="125" a="1"/>
  <c r="Y62" i="125" a="1"/>
  <c r="W84" i="125" a="1"/>
  <c r="T54" i="125" a="1"/>
  <c r="Y16" i="125" a="1"/>
  <c r="AA24" i="125" a="1"/>
  <c r="S32" i="125" a="1"/>
  <c r="P39" i="125" a="1"/>
  <c r="O45" i="125" a="1"/>
  <c r="L16" i="125" a="1"/>
  <c r="U25" i="125" a="1"/>
  <c r="E47" i="125" a="1"/>
  <c r="K30" i="125" a="1"/>
  <c r="G46" i="125" a="1"/>
  <c r="E123" i="125" a="1"/>
  <c r="V55" i="125" a="1"/>
  <c r="I16" i="125" a="1"/>
  <c r="J24" i="125" a="1"/>
  <c r="AA31" i="125" a="1"/>
  <c r="C39" i="125" a="1"/>
  <c r="D45" i="125" a="1"/>
  <c r="T43" i="125" a="1"/>
  <c r="W36" i="125" a="1"/>
  <c r="M42" i="125" a="1"/>
  <c r="E63" i="125" a="1"/>
  <c r="M12" i="125" a="1"/>
  <c r="H21" i="125" a="1"/>
  <c r="Y28" i="125" a="1"/>
  <c r="G36" i="125" a="1"/>
  <c r="T42" i="125" a="1"/>
  <c r="O9" i="125" a="1"/>
  <c r="O34" i="125" a="1"/>
  <c r="N37" i="125" a="1"/>
  <c r="L40" i="125" a="1"/>
  <c r="W56" i="125" a="1"/>
  <c r="W17" i="125" a="1"/>
  <c r="V41" i="125" a="1"/>
  <c r="Q47" i="125" a="1"/>
  <c r="S46" i="125" a="1"/>
  <c r="AA77" i="125" a="1"/>
  <c r="Q53" i="125" a="1"/>
  <c r="X17" i="125" a="1"/>
  <c r="T47" i="125" a="1"/>
  <c r="V82" i="125" a="1"/>
  <c r="J54" i="125" a="1"/>
  <c r="H17" i="125" a="1"/>
  <c r="Z81" i="125" a="1"/>
  <c r="H54" i="125" a="1"/>
  <c r="J17" i="125" a="1"/>
  <c r="H25" i="125" a="1"/>
  <c r="Y32" i="125" a="1"/>
  <c r="X39" i="125" a="1"/>
  <c r="K45" i="125" a="1"/>
  <c r="O56" i="125" a="1"/>
  <c r="Y15" i="125" a="1"/>
  <c r="D24" i="125" a="1"/>
  <c r="U31" i="125" a="1"/>
  <c r="N23" i="125" a="1"/>
  <c r="J62" i="125" a="1"/>
  <c r="D151" i="125" a="1"/>
  <c r="AE60" i="125" a="1"/>
  <c r="U149" i="125" a="1"/>
  <c r="V148" i="125" a="1"/>
  <c r="O147" i="125" a="1"/>
  <c r="I100" i="125" a="1"/>
  <c r="W121" i="125" a="1"/>
  <c r="O95" i="125" a="1"/>
  <c r="F121" i="125" a="1"/>
  <c r="L137" i="125" a="1"/>
  <c r="U105" i="125" a="1"/>
  <c r="O114" i="125" a="1"/>
  <c r="P88" i="125" a="1"/>
  <c r="D74" i="125" a="1"/>
  <c r="S55" i="125" a="1"/>
  <c r="D120" i="125" a="1"/>
  <c r="N146" i="125" a="1"/>
  <c r="H110" i="125" a="1"/>
  <c r="AA88" i="125" a="1"/>
  <c r="AD21" i="125" a="1"/>
  <c r="X118" i="125" a="1"/>
  <c r="H99" i="125" a="1"/>
  <c r="D83" i="125" a="1"/>
  <c r="Z143" i="125" a="1"/>
  <c r="Z115" i="125" a="1"/>
  <c r="T102" i="125" a="1"/>
  <c r="L88" i="125" a="1"/>
  <c r="F80" i="125" a="1"/>
  <c r="AF90" i="125" a="1"/>
  <c r="N126" i="125" a="1"/>
  <c r="H109" i="125" a="1"/>
  <c r="E94" i="125" a="1"/>
  <c r="M84" i="125" a="1"/>
  <c r="AF119" i="125" a="1"/>
  <c r="N123" i="125" a="1"/>
  <c r="J108" i="125" a="1"/>
  <c r="O92" i="125" a="1"/>
  <c r="P130" i="125" a="1"/>
  <c r="L112" i="125" a="1"/>
  <c r="G100" i="125" a="1"/>
  <c r="T132" i="125" a="1"/>
  <c r="P115" i="125" a="1"/>
  <c r="J101" i="125" a="1"/>
  <c r="S132" i="125" a="1"/>
  <c r="X113" i="125" a="1"/>
  <c r="I101" i="125" a="1"/>
  <c r="F87" i="125" a="1"/>
  <c r="C143" i="125" a="1"/>
  <c r="K118" i="125" a="1"/>
  <c r="L106" i="125" a="1"/>
  <c r="Y93" i="125" a="1"/>
  <c r="F86" i="125" a="1"/>
  <c r="W90" i="125" a="1"/>
  <c r="H88" i="125" a="1"/>
  <c r="Z75" i="125" a="1"/>
  <c r="K64" i="125" a="1"/>
  <c r="N56" i="125" a="1"/>
  <c r="K12" i="125" a="1"/>
  <c r="D19" i="125" a="1"/>
  <c r="J25" i="125" a="1"/>
  <c r="P31" i="125" a="1"/>
  <c r="D88" i="125" a="1"/>
  <c r="O76" i="125" a="1"/>
  <c r="K65" i="125" a="1"/>
  <c r="O58" i="125" a="1"/>
  <c r="O52" i="125" a="1"/>
  <c r="I15" i="125" a="1"/>
  <c r="C21" i="125" a="1"/>
  <c r="V26" i="125" a="1"/>
  <c r="P32" i="125" a="1"/>
  <c r="J38" i="125" a="1"/>
  <c r="U91" i="125" a="1"/>
  <c r="J79" i="125" a="1"/>
  <c r="Y67" i="125" a="1"/>
  <c r="R61" i="125" a="1"/>
  <c r="K55" i="125" a="1"/>
  <c r="V87" i="125" a="1"/>
  <c r="C77" i="125" a="1"/>
  <c r="J66" i="125" a="1"/>
  <c r="C60" i="125" a="1"/>
  <c r="X53" i="125" a="1"/>
  <c r="Y13" i="125" a="1"/>
  <c r="S19" i="125" a="1"/>
  <c r="M25" i="125" a="1"/>
  <c r="G31" i="125" a="1"/>
  <c r="Z36" i="125" a="1"/>
  <c r="F107" i="125" a="1"/>
  <c r="L82" i="125" a="1"/>
  <c r="Z127" i="125" a="1"/>
  <c r="G84" i="125" a="1"/>
  <c r="F75" i="125" a="1"/>
  <c r="R64" i="125" a="1"/>
  <c r="K58" i="125" a="1"/>
  <c r="K52" i="125" a="1"/>
  <c r="Z126" i="125" a="1"/>
  <c r="E84" i="125" a="1"/>
  <c r="E75" i="125" a="1"/>
  <c r="AA125" i="125" a="1"/>
  <c r="Y83" i="125" a="1"/>
  <c r="D75" i="125" a="1"/>
  <c r="P64" i="125" a="1"/>
  <c r="I58" i="125" a="1"/>
  <c r="I52" i="125" a="1"/>
  <c r="O15" i="125" a="1"/>
  <c r="V113" i="125" a="1"/>
  <c r="Y82" i="125" a="1"/>
  <c r="M74" i="125" a="1"/>
  <c r="AA63" i="125" a="1"/>
  <c r="T57" i="125" a="1"/>
  <c r="W93" i="125" a="1"/>
  <c r="M80" i="125" a="1"/>
  <c r="S68" i="125" a="1"/>
  <c r="K62" i="125" a="1"/>
  <c r="O79" i="125" a="1"/>
  <c r="W53" i="125" a="1"/>
  <c r="Q17" i="125" a="1"/>
  <c r="Q25" i="125" a="1"/>
  <c r="H33" i="125" a="1"/>
  <c r="E40" i="125" a="1"/>
  <c r="AA45" i="125" a="1"/>
  <c r="Q22" i="125" a="1"/>
  <c r="Y30" i="125" a="1"/>
  <c r="Y9" i="125" a="1"/>
  <c r="R31" i="125" a="1"/>
  <c r="L9" i="125" a="1"/>
  <c r="V84" i="125" a="1"/>
  <c r="Q54" i="125" a="1"/>
  <c r="AA16" i="125" a="1"/>
  <c r="C25" i="125" a="1"/>
  <c r="T32" i="125" a="1"/>
  <c r="Q39" i="125" a="1"/>
  <c r="P45" i="125" a="1"/>
  <c r="R45" i="125" a="1"/>
  <c r="Q38" i="125" a="1"/>
  <c r="L43" i="125" a="1"/>
  <c r="P61" i="125" a="1"/>
  <c r="H13" i="125" a="1"/>
  <c r="W21" i="125" a="1"/>
  <c r="O29" i="125" a="1"/>
  <c r="U36" i="125" a="1"/>
  <c r="G43" i="125" a="1"/>
  <c r="H133" i="125" a="1"/>
  <c r="AF149" i="125" a="1"/>
  <c r="AC6" i="125" a="1"/>
  <c r="S145" i="125" a="1"/>
  <c r="L136" i="125" a="1"/>
  <c r="AA90" i="125" a="1"/>
  <c r="C117" i="125" a="1"/>
  <c r="AF23" i="125" a="1"/>
  <c r="U118" i="125" a="1"/>
  <c r="I135" i="125" a="1"/>
  <c r="J104" i="125" a="1"/>
  <c r="D112" i="125" a="1"/>
  <c r="C87" i="125" a="1"/>
  <c r="F68" i="125" a="1"/>
  <c r="AD55" i="125" a="1"/>
  <c r="G117" i="125" a="1"/>
  <c r="X134" i="125" a="1"/>
  <c r="V107" i="125" a="1"/>
  <c r="Z86" i="125" a="1"/>
  <c r="AD135" i="125" a="1"/>
  <c r="AA115" i="125" a="1"/>
  <c r="S93" i="125" a="1"/>
  <c r="E82" i="125" a="1"/>
  <c r="F138" i="125" a="1"/>
  <c r="C115" i="125" a="1"/>
  <c r="O101" i="125" a="1"/>
  <c r="X87" i="125" a="1"/>
  <c r="G79" i="125" a="1"/>
  <c r="AD116" i="125" a="1"/>
  <c r="P124" i="125" a="1"/>
  <c r="K108" i="125" a="1"/>
  <c r="D93" i="125" a="1"/>
  <c r="Z83" i="125" a="1"/>
  <c r="Q152" i="125" a="1"/>
  <c r="O122" i="125" a="1"/>
  <c r="S106" i="125" a="1"/>
  <c r="AA96" i="125" a="1"/>
  <c r="J128" i="125" a="1"/>
  <c r="Q111" i="125" a="1"/>
  <c r="D99" i="125" a="1"/>
  <c r="O131" i="125" a="1"/>
  <c r="AA113" i="125" a="1"/>
  <c r="T100" i="125" a="1"/>
  <c r="H130" i="125" a="1"/>
  <c r="D113" i="125" a="1"/>
  <c r="E100" i="125" a="1"/>
  <c r="S86" i="125" a="1"/>
  <c r="Z136" i="125" a="1"/>
  <c r="L117" i="125" a="1"/>
  <c r="R105" i="125" a="1"/>
  <c r="K93" i="125" a="1"/>
  <c r="S85" i="125" a="1"/>
  <c r="I88" i="125" a="1"/>
  <c r="AA86" i="125" a="1"/>
  <c r="L75" i="125" a="1"/>
  <c r="V63" i="125" a="1"/>
  <c r="Z55" i="125" a="1"/>
  <c r="J13" i="125" a="1"/>
  <c r="P19" i="125" a="1"/>
  <c r="V25" i="125" a="1"/>
  <c r="C32" i="125" a="1"/>
  <c r="V86" i="125" a="1"/>
  <c r="Y75" i="125" a="1"/>
  <c r="W64" i="125" a="1"/>
  <c r="AA57" i="125" a="1"/>
  <c r="C52" i="125" a="1"/>
  <c r="U15" i="125" a="1"/>
  <c r="O21" i="125" a="1"/>
  <c r="I27" i="125" a="1"/>
  <c r="C33" i="125" a="1"/>
  <c r="V38" i="125" a="1"/>
  <c r="L90" i="125" a="1"/>
  <c r="N78" i="125" a="1"/>
  <c r="L67" i="125" a="1"/>
  <c r="E61" i="125" a="1"/>
  <c r="X54" i="125" a="1"/>
  <c r="T86" i="125" a="1"/>
  <c r="L76" i="125" a="1"/>
  <c r="V65" i="125" a="1"/>
  <c r="N59" i="125" a="1"/>
  <c r="L53" i="125" a="1"/>
  <c r="L14" i="125" a="1"/>
  <c r="F20" i="125" a="1"/>
  <c r="Y25" i="125" a="1"/>
  <c r="S31" i="125" a="1"/>
  <c r="M37" i="125" a="1"/>
  <c r="R101" i="125" a="1"/>
  <c r="O81" i="125" a="1"/>
  <c r="L116" i="125" a="1"/>
  <c r="H83" i="125" a="1"/>
  <c r="Q74" i="125" a="1"/>
  <c r="E64" i="125" a="1"/>
  <c r="W57" i="125" a="1"/>
  <c r="F10" i="125" a="1"/>
  <c r="M115" i="125" a="1"/>
  <c r="F83" i="125" a="1"/>
  <c r="O74" i="125" a="1"/>
  <c r="P114" i="125" a="1"/>
  <c r="Z82" i="125" a="1"/>
  <c r="N74" i="125" a="1"/>
  <c r="C64" i="125" a="1"/>
  <c r="U57" i="125" a="1"/>
  <c r="H10" i="125" a="1"/>
  <c r="AA15" i="125" a="1"/>
  <c r="H104" i="125" a="1"/>
  <c r="G82" i="125" a="1"/>
  <c r="W73" i="125" a="1"/>
  <c r="N63" i="125" a="1"/>
  <c r="G57" i="125" a="1"/>
  <c r="I92" i="125" a="1"/>
  <c r="P79" i="125" a="1"/>
  <c r="E68" i="125" a="1"/>
  <c r="W61" i="125" a="1"/>
  <c r="N75" i="125" a="1"/>
  <c r="D53" i="125" a="1"/>
  <c r="K18" i="125" a="1"/>
  <c r="G26" i="125" a="1"/>
  <c r="V33" i="125" a="1"/>
  <c r="S40" i="125" a="1"/>
  <c r="N46" i="125" a="1"/>
  <c r="C27" i="125" a="1"/>
  <c r="AD24" i="125" a="1"/>
  <c r="AD98" i="125" a="1"/>
  <c r="AE147" i="125" a="1"/>
  <c r="P133" i="125" a="1"/>
  <c r="T135" i="125" a="1"/>
  <c r="O90" i="125" a="1"/>
  <c r="D116" i="125" a="1"/>
  <c r="AB43" i="125" a="1"/>
  <c r="AA48" i="1" s="1"/>
  <c r="I118" i="125" a="1"/>
  <c r="O134" i="125" a="1"/>
  <c r="M101" i="125" a="1"/>
  <c r="M105" i="125" a="1"/>
  <c r="E85" i="125" a="1"/>
  <c r="U65" i="125" a="1"/>
  <c r="T6" i="125" a="1"/>
  <c r="Z111" i="125" a="1"/>
  <c r="T129" i="125" a="1"/>
  <c r="C104" i="125" a="1"/>
  <c r="P84" i="125" a="1"/>
  <c r="G144" i="125" a="1"/>
  <c r="R112" i="125" a="1"/>
  <c r="Q91" i="125" a="1"/>
  <c r="R81" i="125" a="1"/>
  <c r="H136" i="125" a="1"/>
  <c r="I114" i="125" a="1"/>
  <c r="Y100" i="125" a="1"/>
  <c r="K87" i="125" a="1"/>
  <c r="T78" i="125" a="1"/>
  <c r="AB138" i="125" a="1"/>
  <c r="Q123" i="125" a="1"/>
  <c r="Q107" i="125" a="1"/>
  <c r="P92" i="125" a="1"/>
  <c r="N83" i="125" a="1"/>
  <c r="N148" i="125" a="1"/>
  <c r="P121" i="125" a="1"/>
  <c r="X105" i="125" a="1"/>
  <c r="AC32" i="125" a="1"/>
  <c r="I127" i="125" a="1"/>
  <c r="T110" i="125" a="1"/>
  <c r="P94" i="125" a="1"/>
  <c r="I130" i="125" a="1"/>
  <c r="E113" i="125" a="1"/>
  <c r="F100" i="125" a="1"/>
  <c r="E129" i="125" a="1"/>
  <c r="G112" i="125" a="1"/>
  <c r="P99" i="125" a="1"/>
  <c r="G86" i="125" a="1"/>
  <c r="M135" i="125" a="1"/>
  <c r="M116" i="125" a="1"/>
  <c r="Y104" i="125" a="1"/>
  <c r="J92" i="125" a="1"/>
  <c r="G85" i="125" a="1"/>
  <c r="D87" i="125" a="1"/>
  <c r="V85" i="125" a="1"/>
  <c r="V74" i="125" a="1"/>
  <c r="U62" i="125" a="1"/>
  <c r="M55" i="125" a="1"/>
  <c r="V13" i="125" a="1"/>
  <c r="C20" i="125" a="1"/>
  <c r="I26" i="125" a="1"/>
  <c r="O32" i="125" a="1"/>
  <c r="AC113" i="125" a="1"/>
  <c r="G98" i="125" a="1"/>
  <c r="AB18" i="125" a="1"/>
  <c r="AA35" i="1" s="1"/>
  <c r="AA40" i="1" s="1"/>
  <c r="T126" i="125" a="1"/>
  <c r="O133" i="125" a="1"/>
  <c r="D89" i="125" a="1"/>
  <c r="F114" i="125" a="1"/>
  <c r="AB25" i="125" a="1"/>
  <c r="Z113" i="125" a="1"/>
  <c r="N129" i="125" a="1"/>
  <c r="AA99" i="125" a="1"/>
  <c r="W104" i="125" a="1"/>
  <c r="S83" i="125" a="1"/>
  <c r="I65" i="125" a="1"/>
  <c r="L150" i="125" a="1"/>
  <c r="F111" i="125" a="1"/>
  <c r="R128" i="125" a="1"/>
  <c r="V102" i="125" a="1"/>
  <c r="D84" i="125" a="1"/>
  <c r="G142" i="125" a="1"/>
  <c r="X111" i="125" a="1"/>
  <c r="D91" i="125" a="1"/>
  <c r="T79" i="125" a="1"/>
  <c r="J133" i="125" a="1"/>
  <c r="Q112" i="125" a="1"/>
  <c r="G99" i="125" a="1"/>
  <c r="L86" i="125" a="1"/>
  <c r="I77" i="125" a="1"/>
  <c r="AA148" i="125" a="1"/>
  <c r="T120" i="125" a="1"/>
  <c r="Y105" i="125" a="1"/>
  <c r="Z90" i="125" a="1"/>
  <c r="O82" i="125" a="1"/>
  <c r="U139" i="125" a="1"/>
  <c r="R119" i="125" a="1"/>
  <c r="X103" i="125" a="1"/>
  <c r="AD99" i="125" a="1"/>
  <c r="L124" i="125" a="1"/>
  <c r="D109" i="125" a="1"/>
  <c r="AF35" i="125" a="1"/>
  <c r="D128" i="125" a="1"/>
  <c r="S110" i="125" a="1"/>
  <c r="AE40" i="125" a="1"/>
  <c r="D126" i="125" a="1"/>
  <c r="R110" i="125" a="1"/>
  <c r="Z93" i="125" a="1"/>
  <c r="H85" i="125" a="1"/>
  <c r="L131" i="125" a="1"/>
  <c r="N115" i="125" a="1"/>
  <c r="I104" i="125" a="1"/>
  <c r="V91" i="125" a="1"/>
  <c r="H84" i="125" a="1"/>
  <c r="W85" i="125" a="1"/>
  <c r="S84" i="125" a="1"/>
  <c r="H74" i="125" a="1"/>
  <c r="H62" i="125" a="1"/>
  <c r="N54" i="125" a="1"/>
  <c r="I14" i="125" a="1"/>
  <c r="O20" i="125" a="1"/>
  <c r="U26" i="125" a="1"/>
  <c r="AB81" i="125" a="1"/>
  <c r="AA102" i="1" s="1"/>
  <c r="Q84" i="125" a="1"/>
  <c r="G74" i="125" a="1"/>
  <c r="H63" i="125" a="1"/>
  <c r="Z56" i="125" a="1"/>
  <c r="Z10" i="125" a="1"/>
  <c r="T16" i="125" a="1"/>
  <c r="N22" i="125" a="1"/>
  <c r="H28" i="125" a="1"/>
  <c r="AA33" i="125" a="1"/>
  <c r="U39" i="125" a="1"/>
  <c r="AA87" i="125" a="1"/>
  <c r="D77" i="125" a="1"/>
  <c r="K66" i="125" a="1"/>
  <c r="D60" i="125" a="1"/>
  <c r="F130" i="125" a="1"/>
  <c r="K84" i="125" a="1"/>
  <c r="T146" i="125" a="1"/>
  <c r="AB89" i="125" a="1"/>
  <c r="AA132" i="1" s="1"/>
  <c r="AF46" i="125" a="1"/>
  <c r="J124" i="125" a="1"/>
  <c r="T125" i="125" a="1"/>
  <c r="AB68" i="125" a="1"/>
  <c r="L108" i="125" a="1"/>
  <c r="AD89" i="125" a="1"/>
  <c r="D111" i="125" a="1"/>
  <c r="N124" i="125" a="1"/>
  <c r="R144" i="125" a="1"/>
  <c r="G104" i="125" a="1"/>
  <c r="T82" i="125" a="1"/>
  <c r="V64" i="125" a="1"/>
  <c r="P144" i="125" a="1"/>
  <c r="I110" i="125" a="1"/>
  <c r="P127" i="125" a="1"/>
  <c r="F102" i="125" a="1"/>
  <c r="Q83" i="125" a="1"/>
  <c r="H138" i="125" a="1"/>
  <c r="AA110" i="125" a="1"/>
  <c r="P90" i="125" a="1"/>
  <c r="H79" i="125" a="1"/>
  <c r="C132" i="125" a="1"/>
  <c r="T111" i="125" a="1"/>
  <c r="S94" i="125" a="1"/>
  <c r="Y85" i="125" a="1"/>
  <c r="V76" i="125" a="1"/>
  <c r="AA145" i="125" a="1"/>
  <c r="U119" i="125" a="1"/>
  <c r="G105" i="125" a="1"/>
  <c r="M90" i="125" a="1"/>
  <c r="C82" i="125" a="1"/>
  <c r="U137" i="125" a="1"/>
  <c r="S118" i="125" a="1"/>
  <c r="H103" i="125" a="1"/>
  <c r="AB121" i="125" a="1"/>
  <c r="AA129" i="1" s="1"/>
  <c r="M123" i="125" a="1"/>
  <c r="I108" i="125" a="1"/>
  <c r="AD74" i="125" a="1"/>
  <c r="D127" i="125" a="1"/>
  <c r="V109" i="125" a="1"/>
  <c r="AD76" i="125" a="1"/>
  <c r="E125" i="125" a="1"/>
  <c r="U109" i="125" a="1"/>
  <c r="M93" i="125" a="1"/>
  <c r="U84" i="125" a="1"/>
  <c r="G130" i="125" a="1"/>
  <c r="Q114" i="125" a="1"/>
  <c r="AA102" i="125" a="1"/>
  <c r="I91" i="125" a="1"/>
  <c r="U83" i="125" a="1"/>
  <c r="AD45" i="125" a="1"/>
  <c r="M83" i="125" a="1"/>
  <c r="D73" i="125" a="1"/>
  <c r="T61" i="125" a="1"/>
  <c r="AA53" i="125" a="1"/>
  <c r="U14" i="125" a="1"/>
  <c r="AA20" i="125" a="1"/>
  <c r="H27" i="125" a="1"/>
  <c r="Q132" i="125" a="1"/>
  <c r="S82" i="125" a="1"/>
  <c r="R73" i="125" a="1"/>
  <c r="T62" i="125" a="1"/>
  <c r="M56" i="125" a="1"/>
  <c r="M11" i="125" a="1"/>
  <c r="G17" i="125" a="1"/>
  <c r="Z22" i="125" a="1"/>
  <c r="AF5" i="125" a="1"/>
  <c r="T151" i="125" a="1"/>
  <c r="D5" i="125" a="1"/>
  <c r="Q117" i="125" a="1"/>
  <c r="J123" i="125" a="1"/>
  <c r="AB112" i="125" a="1"/>
  <c r="AA121" i="1" s="1"/>
  <c r="Q103" i="125" a="1"/>
  <c r="E152" i="125" a="1"/>
  <c r="I106" i="125" a="1"/>
  <c r="C123" i="125" a="1"/>
  <c r="W136" i="125" a="1"/>
  <c r="Y102" i="125" a="1"/>
  <c r="U81" i="125" a="1"/>
  <c r="W63" i="125" a="1"/>
  <c r="S136" i="125" a="1"/>
  <c r="T108" i="125" a="1"/>
  <c r="S124" i="125" a="1"/>
  <c r="C101" i="125" a="1"/>
  <c r="R82" i="125" a="1"/>
  <c r="V134" i="125" a="1"/>
  <c r="P108" i="125" a="1"/>
  <c r="N89" i="125" a="1"/>
  <c r="U78" i="125" a="1"/>
  <c r="N127" i="125" a="1"/>
  <c r="F110" i="125" a="1"/>
  <c r="F94" i="125" a="1"/>
  <c r="Z84" i="125" a="1"/>
  <c r="J76" i="125" a="1"/>
  <c r="V139" i="125" a="1"/>
  <c r="V118" i="125" a="1"/>
  <c r="Y103" i="125" a="1"/>
  <c r="Y89" i="125" a="1"/>
  <c r="D81" i="125" a="1"/>
  <c r="Y135" i="125" a="1"/>
  <c r="U116" i="125" a="1"/>
  <c r="P102" i="125" a="1"/>
  <c r="K152" i="125" a="1"/>
  <c r="N122" i="125" a="1"/>
  <c r="R106" i="125" a="1"/>
  <c r="AB100" i="125" a="1"/>
  <c r="AA138" i="1" s="1"/>
  <c r="F125" i="125" a="1"/>
  <c r="C109" i="125" a="1"/>
  <c r="AE123" i="125" a="1"/>
  <c r="F124" i="125" a="1"/>
  <c r="E108" i="125" a="1"/>
  <c r="X92" i="125" a="1"/>
  <c r="V83" i="125" a="1"/>
  <c r="C129" i="125" a="1"/>
  <c r="C150" i="125" a="1"/>
  <c r="AB14" i="125" a="1"/>
  <c r="AA29" i="1" s="1"/>
  <c r="AA31" i="1" s="1"/>
  <c r="Q133" i="125" a="1"/>
  <c r="L110" i="125" a="1"/>
  <c r="P117" i="125" a="1"/>
  <c r="O146" i="125" a="1"/>
  <c r="J95" i="125" a="1"/>
  <c r="C147" i="125" a="1"/>
  <c r="J97" i="125" a="1"/>
  <c r="T118" i="125" a="1"/>
  <c r="W126" i="125" a="1"/>
  <c r="X94" i="125" a="1"/>
  <c r="W79" i="125" a="1"/>
  <c r="Z60" i="125" a="1"/>
  <c r="E131" i="125" a="1"/>
  <c r="U104" i="125" a="1"/>
  <c r="X119" i="125" a="1"/>
  <c r="U94" i="125" a="1"/>
  <c r="H80" i="125" a="1"/>
  <c r="P128" i="125" a="1"/>
  <c r="J105" i="125" a="1"/>
  <c r="L87" i="125" a="1"/>
  <c r="I95" i="125" a="1"/>
  <c r="P125" i="125" a="1"/>
  <c r="W106" i="125" a="1"/>
  <c r="Q92" i="125" a="1"/>
  <c r="C83" i="125" a="1"/>
  <c r="X74" i="125" a="1"/>
  <c r="G133" i="125" a="1"/>
  <c r="Y115" i="125" a="1"/>
  <c r="N101" i="125" a="1"/>
  <c r="K88" i="125" a="1"/>
  <c r="F79" i="125" a="1"/>
  <c r="U131" i="125" a="1"/>
  <c r="J113" i="125" a="1"/>
  <c r="W100" i="125" a="1"/>
  <c r="K139" i="125" a="1"/>
  <c r="Q119" i="125" a="1"/>
  <c r="V103" i="125" a="1"/>
  <c r="H152" i="125" a="1"/>
  <c r="J121" i="125" a="1"/>
  <c r="Q106" i="125" a="1"/>
  <c r="E145" i="125" a="1"/>
  <c r="I121" i="125" a="1"/>
  <c r="Z104" i="125" a="1"/>
  <c r="J91" i="125" a="1"/>
  <c r="AD105" i="125" a="1"/>
  <c r="C126" i="125" a="1"/>
  <c r="L111" i="125" a="1"/>
  <c r="R100" i="125" a="1"/>
  <c r="G89" i="125" a="1"/>
  <c r="F122" i="125" a="1"/>
  <c r="N110" i="125" a="1"/>
  <c r="I80" i="125" a="1"/>
  <c r="Z66" i="125" a="1"/>
  <c r="R59" i="125" a="1"/>
  <c r="P52" i="125" a="1"/>
  <c r="G16" i="125" a="1"/>
  <c r="Y22" i="125" a="1"/>
  <c r="F29" i="125" a="1"/>
  <c r="K99" i="125" a="1"/>
  <c r="D80" i="125" a="1"/>
  <c r="Z67" i="125" a="1"/>
  <c r="F61" i="125" a="1"/>
  <c r="Y54" i="125" a="1"/>
  <c r="X12" i="125" a="1"/>
  <c r="R18" i="125" a="1"/>
  <c r="L24" i="125" a="1"/>
  <c r="F30" i="125" a="1"/>
  <c r="Y35" i="125" a="1"/>
  <c r="I119" i="125" a="1"/>
  <c r="K83" i="125" a="1"/>
  <c r="T74" i="125" a="1"/>
  <c r="H64" i="125" a="1"/>
  <c r="Z57" i="125" a="1"/>
  <c r="Y94" i="125" a="1"/>
  <c r="X80" i="125" a="1"/>
  <c r="Y68" i="125" a="1"/>
  <c r="R62" i="125" a="1"/>
  <c r="K56" i="125" a="1"/>
  <c r="O11" i="125" a="1"/>
  <c r="I17" i="125" a="1"/>
  <c r="C23" i="125" a="1"/>
  <c r="V28" i="125" a="1"/>
  <c r="P34" i="125" a="1"/>
  <c r="J40" i="125" a="1"/>
  <c r="U87" i="125" a="1"/>
  <c r="AA76" i="125" a="1"/>
  <c r="G90" i="125" a="1"/>
  <c r="G78" i="125" a="1"/>
  <c r="I67" i="125" a="1"/>
  <c r="AA60" i="125" a="1"/>
  <c r="U54" i="125" a="1"/>
  <c r="C13" i="125" a="1"/>
  <c r="E90" i="125" a="1"/>
  <c r="F78" i="125" a="1"/>
  <c r="H67" i="125" a="1"/>
  <c r="X89" i="125" a="1"/>
  <c r="E78" i="125" a="1"/>
  <c r="F67" i="125" a="1"/>
  <c r="X60" i="125" a="1"/>
  <c r="S54" i="125" a="1"/>
  <c r="E13" i="125" a="1"/>
  <c r="X18" i="125" a="1"/>
  <c r="R88" i="125" a="1"/>
  <c r="L77" i="125" a="1"/>
  <c r="Q66" i="125" a="1"/>
  <c r="J60" i="125" a="1"/>
  <c r="X138" i="125" a="1"/>
  <c r="X84" i="125" a="1"/>
  <c r="P75" i="125" a="1"/>
  <c r="AA64" i="125" a="1"/>
  <c r="T58" i="125" a="1"/>
  <c r="H60" i="125" a="1"/>
  <c r="Z13" i="125" a="1"/>
  <c r="K22" i="125" a="1"/>
  <c r="C30" i="125" a="1"/>
  <c r="H37" i="125" a="1"/>
  <c r="Q43" i="125" a="1"/>
  <c r="O46" i="125" a="1"/>
  <c r="AA37" i="125" a="1"/>
  <c r="J42" i="125" a="1"/>
  <c r="E27" i="125" a="1"/>
  <c r="Y40" i="125" a="1"/>
  <c r="C26" i="125" a="1"/>
  <c r="U61" i="125" a="1"/>
  <c r="AE92" i="125" a="1"/>
  <c r="I81" i="125" a="1"/>
  <c r="I109" i="125" a="1"/>
  <c r="L148" i="125" a="1"/>
  <c r="W113" i="125" a="1"/>
  <c r="O68" i="125" a="1"/>
  <c r="S109" i="125" a="1"/>
  <c r="Y55" i="125" a="1"/>
  <c r="T28" i="125" a="1"/>
  <c r="U86" i="125" a="1"/>
  <c r="P59" i="125" a="1"/>
  <c r="H75" i="125" a="1"/>
  <c r="L57" i="125" a="1"/>
  <c r="R20" i="125" a="1"/>
  <c r="E33" i="125" a="1"/>
  <c r="C89" i="125" a="1"/>
  <c r="N81" i="125" a="1"/>
  <c r="C62" i="125" a="1"/>
  <c r="N105" i="125" a="1"/>
  <c r="V68" i="125" a="1"/>
  <c r="Z78" i="125" a="1"/>
  <c r="T56" i="125" a="1"/>
  <c r="Y17" i="125" a="1"/>
  <c r="I73" i="125" a="1"/>
  <c r="Q55" i="125" a="1"/>
  <c r="E76" i="125" a="1"/>
  <c r="AA66" i="125" a="1"/>
  <c r="V19" i="125" a="1"/>
  <c r="Y34" i="125" a="1"/>
  <c r="Z46" i="125" a="1"/>
  <c r="S44" i="125" a="1"/>
  <c r="Z23" i="125" a="1"/>
  <c r="W42" i="125" a="1"/>
  <c r="X68" i="125" a="1"/>
  <c r="G13" i="125" a="1"/>
  <c r="E23" i="125" a="1"/>
  <c r="I33" i="125" a="1"/>
  <c r="H41" i="125" a="1"/>
  <c r="S20" i="125" a="1"/>
  <c r="O31" i="125" a="1"/>
  <c r="V44" i="125" a="1"/>
  <c r="Z59" i="125" a="1"/>
  <c r="Q15" i="125" a="1"/>
  <c r="D25" i="125" a="1"/>
  <c r="X33" i="125" a="1"/>
  <c r="U41" i="125" a="1"/>
  <c r="C9" i="125" a="1"/>
  <c r="S39" i="125" a="1"/>
  <c r="M9" i="125" a="1"/>
  <c r="W74" i="125" a="1"/>
  <c r="C10" i="125" a="1"/>
  <c r="N31" i="125" a="1"/>
  <c r="Q29" i="125" a="1"/>
  <c r="K42" i="125" a="1"/>
  <c r="W45" i="125" a="1"/>
  <c r="O55" i="125" a="1"/>
  <c r="E17" i="125" a="1"/>
  <c r="G22" i="125" a="1"/>
  <c r="J74" i="125" a="1"/>
  <c r="G10" i="125" a="1"/>
  <c r="V22" i="125" a="1"/>
  <c r="F64" i="125" a="1"/>
  <c r="T12" i="125" a="1"/>
  <c r="E22" i="125" a="1"/>
  <c r="L30" i="125" a="1"/>
  <c r="E38" i="125" a="1"/>
  <c r="O40" i="125" a="1"/>
  <c r="V57" i="125" a="1"/>
  <c r="Q16" i="125" a="1"/>
  <c r="I25" i="125" a="1"/>
  <c r="P33" i="125" a="1"/>
  <c r="U9" i="125" a="1"/>
  <c r="D55" i="125" a="1"/>
  <c r="R16" i="125" a="1"/>
  <c r="I62" i="125" a="1"/>
  <c r="Y12" i="125" a="1"/>
  <c r="R21" i="125" a="1"/>
  <c r="J29" i="125" a="1"/>
  <c r="P36" i="125" a="1"/>
  <c r="AA42" i="125" a="1"/>
  <c r="H9" i="125" a="1"/>
  <c r="N73" i="125" a="1"/>
  <c r="J52" i="125" a="1"/>
  <c r="Z18" i="125" a="1"/>
  <c r="T26" i="125" a="1"/>
  <c r="I34" i="125" a="1"/>
  <c r="E41" i="125" a="1"/>
  <c r="D43" i="125" a="1"/>
  <c r="F47" i="125" a="1"/>
  <c r="O41" i="125" a="1"/>
  <c r="W58" i="125" a="1"/>
  <c r="S14" i="125" a="1"/>
  <c r="AA22" i="125" a="1"/>
  <c r="S30" i="125" a="1"/>
  <c r="U37" i="125" a="1"/>
  <c r="G39" i="125" a="1"/>
  <c r="H42" i="125" a="1"/>
  <c r="R15" i="125" a="1"/>
  <c r="J41" i="125" a="1"/>
  <c r="L19" i="125" a="1"/>
  <c r="P68" i="125" a="1"/>
  <c r="W10" i="125" a="1"/>
  <c r="K33" i="125" a="1"/>
  <c r="X40" i="125" a="1"/>
  <c r="J43" i="125" a="1"/>
  <c r="Y99" i="125" a="1"/>
  <c r="L54" i="125" a="1"/>
  <c r="P18" i="125" a="1"/>
  <c r="R26" i="125" a="1"/>
  <c r="D68" i="125" a="1"/>
  <c r="AA10" i="125" a="1"/>
  <c r="T24" i="125" a="1"/>
  <c r="Q62" i="125" a="1"/>
  <c r="P13" i="125" a="1"/>
  <c r="T22" i="125" a="1"/>
  <c r="AA30" i="125" a="1"/>
  <c r="Z42" i="125" a="1"/>
  <c r="F34" i="125" a="1"/>
  <c r="E54" i="125" a="1"/>
  <c r="E37" i="125" a="1"/>
  <c r="N43" i="125" a="1"/>
  <c r="Y45" i="125" a="1"/>
  <c r="J67" i="125" a="1"/>
  <c r="O10" i="125" a="1"/>
  <c r="K134" i="125" a="1"/>
  <c r="K63" i="125" a="1"/>
  <c r="R93" i="125" a="1"/>
  <c r="O121" i="125" a="1"/>
  <c r="F112" i="125" a="1"/>
  <c r="AA67" i="125" a="1"/>
  <c r="J102" i="125" a="1"/>
  <c r="L55" i="125" a="1"/>
  <c r="G29" i="125" a="1"/>
  <c r="R85" i="125" a="1"/>
  <c r="AA58" i="125" a="1"/>
  <c r="S74" i="125" a="1"/>
  <c r="X56" i="125" a="1"/>
  <c r="E21" i="125" a="1"/>
  <c r="Q33" i="125" a="1"/>
  <c r="W80" i="125" a="1"/>
  <c r="U80" i="125" a="1"/>
  <c r="O61" i="125" a="1"/>
  <c r="D101" i="125" a="1"/>
  <c r="I68" i="125" a="1"/>
  <c r="X73" i="125" a="1"/>
  <c r="G56" i="125" a="1"/>
  <c r="L18" i="125" a="1"/>
  <c r="T68" i="125" a="1"/>
  <c r="E55" i="125" a="1"/>
  <c r="Q67" i="125" a="1"/>
  <c r="Z64" i="125" a="1"/>
  <c r="M20" i="125" a="1"/>
  <c r="P35" i="125" a="1"/>
  <c r="M47" i="125" a="1"/>
  <c r="Q46" i="125" a="1"/>
  <c r="Q24" i="125" a="1"/>
  <c r="V43" i="125" a="1"/>
  <c r="V66" i="125" a="1"/>
  <c r="C14" i="125" a="1"/>
  <c r="T23" i="125" a="1"/>
  <c r="W33" i="125" a="1"/>
  <c r="T41" i="125" a="1"/>
  <c r="I21" i="125" a="1"/>
  <c r="L33" i="125" a="1"/>
  <c r="S47" i="125" a="1"/>
  <c r="L58" i="125" a="1"/>
  <c r="K16" i="125" a="1"/>
  <c r="S25" i="125" a="1"/>
  <c r="M34" i="125" a="1"/>
  <c r="S38" i="125" a="1"/>
  <c r="G55" i="125" a="1"/>
  <c r="K17" i="125" a="1"/>
  <c r="AA25" i="125" a="1"/>
  <c r="S89" i="125" a="1"/>
  <c r="L17" i="125" a="1"/>
  <c r="T60" i="125" a="1"/>
  <c r="T13" i="125" a="1"/>
  <c r="H22" i="125" a="1"/>
  <c r="Y29" i="125" a="1"/>
  <c r="I137" i="125" a="1"/>
  <c r="E135" i="125" a="1"/>
  <c r="N84" i="125" a="1"/>
  <c r="W105" i="125" a="1"/>
  <c r="K102" i="125" a="1"/>
  <c r="S60" i="125" a="1"/>
  <c r="U85" i="125" a="1"/>
  <c r="N10" i="125" a="1"/>
  <c r="S29" i="125" a="1"/>
  <c r="L84" i="125" a="1"/>
  <c r="N58" i="125" a="1"/>
  <c r="E74" i="125" a="1"/>
  <c r="Y52" i="125" a="1"/>
  <c r="Q21" i="125" a="1"/>
  <c r="D34" i="125" a="1"/>
  <c r="Z79" i="125" a="1"/>
  <c r="Y79" i="125" a="1"/>
  <c r="J57" i="125" a="1"/>
  <c r="L94" i="125" a="1"/>
  <c r="U67" i="125" a="1"/>
  <c r="J73" i="125" a="1"/>
  <c r="R55" i="125" a="1"/>
  <c r="O100" i="125" a="1"/>
  <c r="G68" i="125" a="1"/>
  <c r="R54" i="125" a="1"/>
  <c r="D67" i="125" a="1"/>
  <c r="L63" i="125" a="1"/>
  <c r="F21" i="125" a="1"/>
  <c r="E36" i="125" a="1"/>
  <c r="Y47" i="125" a="1"/>
  <c r="H32" i="125" a="1"/>
  <c r="G25" i="125" a="1"/>
  <c r="Z40" i="125" a="1"/>
  <c r="Y64" i="125" a="1"/>
  <c r="W14" i="125" a="1"/>
  <c r="R25" i="125" a="1"/>
  <c r="L34" i="125" a="1"/>
  <c r="G42" i="125" a="1"/>
  <c r="G23" i="125" a="1"/>
  <c r="Q34" i="125" a="1"/>
  <c r="Z27" i="125" a="1"/>
  <c r="C57" i="125" a="1"/>
  <c r="C17" i="125" a="1"/>
  <c r="K26" i="125" a="1"/>
  <c r="D35" i="125" a="1"/>
  <c r="S43" i="125" a="1"/>
  <c r="I19" i="125" a="1"/>
  <c r="I42" i="125" a="1"/>
  <c r="U20" i="125" a="1"/>
  <c r="N66" i="125" a="1"/>
  <c r="T11" i="125" a="1"/>
  <c r="V36" i="125" a="1"/>
  <c r="U43" i="125" a="1"/>
  <c r="U44" i="125" a="1"/>
  <c r="W82" i="125" a="1"/>
  <c r="T52" i="125" a="1"/>
  <c r="J19" i="125" a="1"/>
  <c r="P28" i="125" a="1"/>
  <c r="AA65" i="125" a="1"/>
  <c r="V11" i="125" a="1"/>
  <c r="H29" i="125" a="1"/>
  <c r="C61" i="125" a="1"/>
  <c r="K14" i="125" a="1"/>
  <c r="J23" i="125" a="1"/>
  <c r="T31" i="125" a="1"/>
  <c r="H39" i="125" a="1"/>
  <c r="X90" i="125" a="1"/>
  <c r="F54" i="125" a="1"/>
  <c r="C18" i="125" a="1"/>
  <c r="Q26" i="125" a="1"/>
  <c r="T34" i="125" a="1"/>
  <c r="H81" i="125" a="1"/>
  <c r="I53" i="125" a="1"/>
  <c r="D18" i="125" a="1"/>
  <c r="F59" i="125" a="1"/>
  <c r="Q14" i="125" a="1"/>
  <c r="W22" i="125" a="1"/>
  <c r="O30" i="125" a="1"/>
  <c r="S37" i="125" a="1"/>
  <c r="Z43" i="125" a="1"/>
  <c r="L46" i="125" a="1"/>
  <c r="G65" i="125" a="1"/>
  <c r="S115" i="125" a="1"/>
  <c r="W107" i="125" a="1"/>
  <c r="W75" i="125" a="1"/>
  <c r="AE121" i="125" a="1"/>
  <c r="V101" i="125" a="1"/>
  <c r="F60" i="125" a="1"/>
  <c r="W81" i="125" a="1"/>
  <c r="Y11" i="125" a="1"/>
  <c r="O33" i="125" a="1"/>
  <c r="S77" i="125" a="1"/>
  <c r="AC128" i="125" a="1"/>
  <c r="O73" i="125" a="1"/>
  <c r="M52" i="125" a="1"/>
  <c r="D22" i="125" a="1"/>
  <c r="Y37" i="125" a="1"/>
  <c r="D79" i="125" a="1"/>
  <c r="C79" i="125" a="1"/>
  <c r="V56" i="125" a="1"/>
  <c r="T92" i="125" a="1"/>
  <c r="X104" i="125" a="1"/>
  <c r="U68" i="125" a="1"/>
  <c r="F55" i="125" a="1"/>
  <c r="AA93" i="125" a="1"/>
  <c r="R67" i="125" a="1"/>
  <c r="Y90" i="125" a="1"/>
  <c r="P66" i="125" a="1"/>
  <c r="V61" i="125" a="1"/>
  <c r="U21" i="125" a="1"/>
  <c r="S36" i="125" a="1"/>
  <c r="Q9" i="125" a="1"/>
  <c r="W32" i="125" a="1"/>
  <c r="X25" i="125" a="1"/>
  <c r="W9" i="125" a="1"/>
  <c r="J63" i="125" a="1"/>
  <c r="P15" i="125" a="1"/>
  <c r="H26" i="125" a="1"/>
  <c r="AA34" i="125" a="1"/>
  <c r="S42" i="125" a="1"/>
  <c r="S35" i="125" a="1"/>
  <c r="F35" i="125" a="1"/>
  <c r="R37" i="125" a="1"/>
  <c r="T55" i="125" a="1"/>
  <c r="V17" i="125" a="1"/>
  <c r="AA26" i="125" a="1"/>
  <c r="R35" i="125" a="1"/>
  <c r="F44" i="125" a="1"/>
  <c r="Z19" i="125" a="1"/>
  <c r="H43" i="125" a="1"/>
  <c r="C22" i="125" a="1"/>
  <c r="Q64" i="125" a="1"/>
  <c r="O12" i="125" a="1"/>
  <c r="E39" i="125" a="1"/>
  <c r="G45" i="125" a="1"/>
  <c r="T45" i="125" a="1"/>
  <c r="R74" i="125" a="1"/>
  <c r="E10" i="125" a="1"/>
  <c r="AA19" i="125" a="1"/>
  <c r="V31" i="125" a="1"/>
  <c r="L64" i="125" a="1"/>
  <c r="S12" i="125" a="1"/>
  <c r="G34" i="125" a="1"/>
  <c r="M59" i="125" a="1"/>
  <c r="E15" i="125" a="1"/>
  <c r="C24" i="125" a="1"/>
  <c r="J32" i="125" a="1"/>
  <c r="Y41" i="125" a="1"/>
  <c r="Y81" i="125" a="1"/>
  <c r="K53" i="125" a="1"/>
  <c r="V18" i="125" a="1"/>
  <c r="G27" i="125" a="1"/>
  <c r="I35" i="125" a="1"/>
  <c r="R76" i="125" a="1"/>
  <c r="N52" i="125" a="1"/>
  <c r="W18" i="125" a="1"/>
  <c r="P57" i="125" a="1"/>
  <c r="J15" i="125" a="1"/>
  <c r="P23" i="125" a="1"/>
  <c r="H31" i="125" a="1"/>
  <c r="W122" i="125" a="1"/>
  <c r="U122" i="125" a="1"/>
  <c r="V137" i="125" a="1"/>
  <c r="G124" i="125" a="1"/>
  <c r="H90" i="125" a="1"/>
  <c r="O53" i="125" a="1"/>
  <c r="Z80" i="125" a="1"/>
  <c r="L12" i="125" a="1"/>
  <c r="N34" i="125" a="1"/>
  <c r="M76" i="125" a="1"/>
  <c r="J118" i="125" a="1"/>
  <c r="H65" i="125" a="1"/>
  <c r="D10" i="125" a="1"/>
  <c r="P22" i="125" a="1"/>
  <c r="L38" i="125" a="1"/>
  <c r="K78" i="125" a="1"/>
  <c r="AA73" i="125" a="1"/>
  <c r="I56" i="125" a="1"/>
  <c r="K91" i="125" a="1"/>
  <c r="Q100" i="125" a="1"/>
  <c r="H68" i="125" a="1"/>
  <c r="T10" i="125" a="1"/>
  <c r="L92" i="125" a="1"/>
  <c r="E67" i="125" a="1"/>
  <c r="V89" i="125" a="1"/>
  <c r="C66" i="125" a="1"/>
  <c r="S58" i="125" a="1"/>
  <c r="D23" i="125" a="1"/>
  <c r="T152" i="125" a="1"/>
  <c r="M100" i="125" a="1"/>
  <c r="W117" i="125" a="1"/>
  <c r="H108" i="125" a="1"/>
  <c r="T89" i="125" a="1"/>
  <c r="C53" i="125" a="1"/>
  <c r="J75" i="125" a="1"/>
  <c r="H16" i="125" a="1"/>
  <c r="Z34" i="125" a="1"/>
  <c r="X75" i="125" a="1"/>
  <c r="C108" i="125" a="1"/>
  <c r="T64" i="125" a="1"/>
  <c r="E103" i="125" a="1"/>
  <c r="F82" i="125" a="1"/>
  <c r="I103" i="125" a="1"/>
  <c r="AC147" i="125" a="1"/>
  <c r="AB5" i="125" a="1"/>
  <c r="H15" i="125" a="1"/>
  <c r="C73" i="125" a="1"/>
  <c r="S17" i="125" a="1"/>
  <c r="M35" i="125" a="1"/>
  <c r="I75" i="125" a="1"/>
  <c r="U101" i="125" a="1"/>
  <c r="G64" i="125" a="1"/>
  <c r="C11" i="125" a="1"/>
  <c r="X26" i="125" a="1"/>
  <c r="K39" i="125" a="1"/>
  <c r="K106" i="125" a="1"/>
  <c r="W68" i="125" a="1"/>
  <c r="H55" i="125" a="1"/>
  <c r="M81" i="125" a="1"/>
  <c r="N92" i="125" a="1"/>
  <c r="O63" i="125" a="1"/>
  <c r="S11" i="125" a="1"/>
  <c r="W89" i="125" a="1"/>
  <c r="M62" i="125" a="1"/>
  <c r="H87" i="125" a="1"/>
  <c r="J61" i="125" a="1"/>
  <c r="S10" i="125" a="1"/>
  <c r="O27" i="125" a="1"/>
  <c r="S41" i="125" a="1"/>
  <c r="Z47" i="125" a="1"/>
  <c r="T39" i="125" a="1"/>
  <c r="M33" i="125" a="1"/>
  <c r="K44" i="125" a="1"/>
  <c r="U53" i="125" a="1"/>
  <c r="F19" i="125" a="1"/>
  <c r="F28" i="125" a="1"/>
  <c r="T36" i="125" a="1"/>
  <c r="E44" i="125" a="1"/>
  <c r="D47" i="125" a="1"/>
  <c r="I43" i="125" a="1"/>
  <c r="T83" i="125" a="1"/>
  <c r="X52" i="125" a="1"/>
  <c r="Y19" i="125" a="1"/>
  <c r="G30" i="125" a="1"/>
  <c r="O38" i="125" a="1"/>
  <c r="Q45" i="125" a="1"/>
  <c r="E25" i="125" a="1"/>
  <c r="S27" i="125" a="1"/>
  <c r="X32" i="125" a="1"/>
  <c r="X59" i="125" a="1"/>
  <c r="Z14" i="125" a="1"/>
  <c r="U42" i="125" a="1"/>
  <c r="I23" i="125" a="1"/>
  <c r="Y39" i="125" a="1"/>
  <c r="M64" i="125" a="1"/>
  <c r="Q12" i="125" a="1"/>
  <c r="Y21" i="125" a="1"/>
  <c r="AA41" i="125" a="1"/>
  <c r="S59" i="125" a="1"/>
  <c r="D15" i="125" a="1"/>
  <c r="J46" i="125" a="1"/>
  <c r="I55" i="125" a="1"/>
  <c r="AA17" i="125" a="1"/>
  <c r="P26" i="125" a="1"/>
  <c r="S34" i="125" a="1"/>
  <c r="AA40" i="125" a="1"/>
  <c r="W67" i="125" a="1"/>
  <c r="F11" i="125" a="1"/>
  <c r="W20" i="125" a="1"/>
  <c r="E29" i="125" a="1"/>
  <c r="C37" i="125" a="1"/>
  <c r="N65" i="125" a="1"/>
  <c r="C12" i="125" a="1"/>
  <c r="C81" i="125" a="1"/>
  <c r="D54" i="125" a="1"/>
  <c r="N17" i="125" a="1"/>
  <c r="N25" i="125" a="1"/>
  <c r="D33" i="125" a="1"/>
  <c r="AA39" i="125" a="1"/>
  <c r="X45" i="125" a="1"/>
  <c r="G9" i="125" a="1"/>
  <c r="Y58" i="125" a="1"/>
  <c r="R14" i="125" a="1"/>
  <c r="X22" i="125" a="1"/>
  <c r="P30" i="125" a="1"/>
  <c r="T37" i="125" a="1"/>
  <c r="AA43" i="125" a="1"/>
  <c r="Z45" i="125" a="1"/>
  <c r="H46" i="125" a="1"/>
  <c r="G73" i="125" a="1"/>
  <c r="H52" i="125" a="1"/>
  <c r="AA18" i="125" a="1"/>
  <c r="W26" i="125" a="1"/>
  <c r="J34" i="125" a="1"/>
  <c r="F41" i="125" a="1"/>
  <c r="J45" i="125" a="1"/>
  <c r="E11" i="125" a="1"/>
  <c r="N80" i="125" a="1"/>
  <c r="K61" i="125" a="1"/>
  <c r="W78" i="125" a="1"/>
  <c r="I60" i="125" a="1"/>
  <c r="I12" i="125" a="1"/>
  <c r="W28" i="125" a="1"/>
  <c r="R42" i="125" a="1"/>
  <c r="X30" i="125" a="1"/>
  <c r="V42" i="125" a="1"/>
  <c r="R34" i="125" a="1"/>
  <c r="O36" i="125" a="1"/>
  <c r="F52" i="125" a="1"/>
  <c r="N20" i="125" a="1"/>
  <c r="N29" i="125" a="1"/>
  <c r="X37" i="125" a="1"/>
  <c r="C46" i="125" a="1"/>
  <c r="AA9" i="125" a="1"/>
  <c r="X9" i="125" a="1"/>
  <c r="Y74" i="125" a="1"/>
  <c r="V10" i="125" a="1"/>
  <c r="O22" i="125" a="1"/>
  <c r="M31" i="125" a="1"/>
  <c r="R39" i="125" a="1"/>
  <c r="P46" i="125" a="1"/>
  <c r="R27" i="125" a="1"/>
  <c r="Z33" i="125" a="1"/>
  <c r="R38" i="125" a="1"/>
  <c r="P55" i="125" a="1"/>
  <c r="V23" i="125" a="1"/>
  <c r="F45" i="125" a="1"/>
  <c r="S150" i="125" a="1"/>
  <c r="K133" i="125" a="1"/>
  <c r="L89" i="125" a="1"/>
  <c r="G123" i="125" a="1"/>
  <c r="L135" i="125" a="1"/>
  <c r="T15" i="125" a="1"/>
  <c r="N68" i="125" a="1"/>
  <c r="F18" i="125" a="1"/>
  <c r="I39" i="125" a="1"/>
  <c r="X66" i="125" a="1"/>
  <c r="P85" i="125" a="1"/>
  <c r="S63" i="125" a="1"/>
  <c r="X14" i="125" a="1"/>
  <c r="K27" i="125" a="1"/>
  <c r="W39" i="125" a="1"/>
  <c r="F101" i="125" a="1"/>
  <c r="J68" i="125" a="1"/>
  <c r="R10" i="125" a="1"/>
  <c r="P80" i="125" a="1"/>
  <c r="H91" i="125" a="1"/>
  <c r="AA62" i="125" a="1"/>
  <c r="F12" i="125" a="1"/>
  <c r="K81" i="125" a="1"/>
  <c r="X61" i="125" a="1"/>
  <c r="E86" i="125" a="1"/>
  <c r="V60" i="125" a="1"/>
  <c r="N11" i="125" a="1"/>
  <c r="E28" i="125" a="1"/>
  <c r="F42" i="125" a="1"/>
  <c r="Z28" i="125" a="1"/>
  <c r="W41" i="125" a="1"/>
  <c r="C34" i="125" a="1"/>
  <c r="V9" i="125" a="1"/>
  <c r="Z52" i="125" a="1"/>
  <c r="X19" i="125" a="1"/>
  <c r="X28" i="125" a="1"/>
  <c r="I37" i="125" a="1"/>
  <c r="Q44" i="125" a="1"/>
  <c r="N9" i="125" a="1"/>
  <c r="T44" i="125" a="1"/>
  <c r="R78" i="125" a="1"/>
  <c r="E52" i="125" a="1"/>
  <c r="Q20" i="125" a="1"/>
  <c r="W30" i="125" a="1"/>
  <c r="D39" i="125" a="1"/>
  <c r="D46" i="125" a="1"/>
  <c r="M26" i="125" a="1"/>
  <c r="J30" i="125" a="1"/>
  <c r="O37" i="125" a="1"/>
  <c r="J58" i="125" a="1"/>
  <c r="O18" i="125" a="1"/>
  <c r="G44" i="125" a="1"/>
  <c r="O26" i="125" a="1"/>
  <c r="W44" i="125" a="1"/>
  <c r="W62" i="125" a="1"/>
  <c r="L13" i="125" a="1"/>
  <c r="R22" i="125" a="1"/>
  <c r="N42" i="125" a="1"/>
  <c r="E58" i="125" a="1"/>
  <c r="V15" i="125" a="1"/>
  <c r="G92" i="125" a="1"/>
  <c r="M53" i="125" a="1"/>
  <c r="U18" i="125" a="1"/>
  <c r="F27" i="125" a="1"/>
  <c r="H35" i="125" a="1"/>
  <c r="X43" i="125" a="1"/>
  <c r="T65" i="125" a="1"/>
  <c r="Z11" i="125" a="1"/>
  <c r="M21" i="125" a="1"/>
  <c r="W29" i="125" a="1"/>
  <c r="Q37" i="125" a="1"/>
  <c r="Y63" i="125" a="1"/>
  <c r="V12" i="125" a="1"/>
  <c r="Q76" i="125" a="1"/>
  <c r="G53" i="125" a="1"/>
  <c r="G18" i="125" a="1"/>
  <c r="D26" i="125" a="1"/>
  <c r="S33" i="125" a="1"/>
  <c r="P40" i="125" a="1"/>
  <c r="K46" i="125" a="1"/>
  <c r="X35" i="125" a="1"/>
  <c r="K57" i="125" a="1"/>
  <c r="L15" i="125" a="1"/>
  <c r="Q23" i="125" a="1"/>
  <c r="I31" i="125" a="1"/>
  <c r="I38" i="125" a="1"/>
  <c r="N44" i="125" a="1"/>
  <c r="Y46" i="125" a="1"/>
  <c r="T38" i="125" a="1"/>
  <c r="C67" i="125" a="1"/>
  <c r="Q10" i="125" a="1"/>
  <c r="U19" i="125" a="1"/>
  <c r="N27" i="125" a="1"/>
  <c r="X34" i="125" a="1"/>
  <c r="R41" i="125" a="1"/>
  <c r="J9" i="125" a="1"/>
  <c r="V105" i="125" a="1"/>
  <c r="U107" i="125" a="1"/>
  <c r="Q80" i="125" a="1"/>
  <c r="J107" i="125" a="1"/>
  <c r="Z133" i="125" a="1"/>
  <c r="N21" i="125" a="1"/>
  <c r="U63" i="125" a="1"/>
  <c r="AA21" i="125" a="1"/>
  <c r="H40" i="125" a="1"/>
  <c r="W65" i="125" a="1"/>
  <c r="J83" i="125" a="1"/>
  <c r="F63" i="125" a="1"/>
  <c r="K15" i="125" a="1"/>
  <c r="W27" i="125" a="1"/>
  <c r="V94" i="125" a="1"/>
  <c r="O94" i="125" a="1"/>
  <c r="V67" i="125" a="1"/>
  <c r="X79" i="125" a="1"/>
  <c r="I82" i="125" a="1"/>
  <c r="N62" i="125" a="1"/>
  <c r="R12" i="125" a="1"/>
  <c r="P122" i="125" a="1"/>
  <c r="Z88" i="125" a="1"/>
  <c r="N134" i="125" a="1"/>
  <c r="K92" i="125" a="1"/>
  <c r="G121" i="125" a="1"/>
  <c r="Z21" i="125" a="1"/>
  <c r="G62" i="125" a="1"/>
  <c r="M23" i="125" a="1"/>
  <c r="AE106" i="125" a="1"/>
  <c r="J65" i="125" a="1"/>
  <c r="M82" i="125" a="1"/>
  <c r="Z58" i="125" a="1"/>
  <c r="W15" i="125" a="1"/>
  <c r="J28" i="125" a="1"/>
  <c r="Z92" i="125" a="1"/>
  <c r="V92" i="125" a="1"/>
  <c r="Q63" i="125" a="1"/>
  <c r="Q11" i="125" a="1"/>
  <c r="AA78" i="125" a="1"/>
  <c r="L81" i="125" a="1"/>
  <c r="Z61" i="125" a="1"/>
  <c r="N16" i="125" a="1"/>
  <c r="Q79" i="125" a="1"/>
  <c r="W60" i="125" a="1"/>
  <c r="C78" i="125" a="1"/>
  <c r="U59" i="125" a="1"/>
  <c r="F13" i="125" a="1"/>
  <c r="M29" i="125" a="1"/>
  <c r="E43" i="125" a="1"/>
  <c r="G32" i="125" a="1"/>
  <c r="H44" i="125" a="1"/>
  <c r="G35" i="125" a="1"/>
  <c r="C41" i="125" a="1"/>
  <c r="U10" i="125" a="1"/>
  <c r="G21" i="125" a="1"/>
  <c r="D30" i="125" a="1"/>
  <c r="N38" i="125" a="1"/>
  <c r="AA46" i="125" a="1"/>
  <c r="P24" i="125" a="1"/>
  <c r="M41" i="125" a="1"/>
  <c r="Q68" i="125" a="1"/>
  <c r="R11" i="125" a="1"/>
  <c r="F23" i="125" a="1"/>
  <c r="E32" i="125" a="1"/>
  <c r="G40" i="125" a="1"/>
  <c r="C47" i="125" a="1"/>
  <c r="I30" i="125" a="1"/>
  <c r="T35" i="125" a="1"/>
  <c r="N103" i="125" a="1"/>
  <c r="O54" i="125" a="1"/>
  <c r="T25" i="125" a="1"/>
  <c r="E46" i="125" a="1"/>
  <c r="D38" i="125" a="1"/>
  <c r="L25" i="125" a="1"/>
  <c r="T59" i="125" a="1"/>
  <c r="AA14" i="125" a="1"/>
  <c r="W23" i="125" a="1"/>
  <c r="I9" i="125" a="1"/>
  <c r="N55" i="125" a="1"/>
  <c r="Z17" i="125" a="1"/>
  <c r="I74" i="125" a="1"/>
  <c r="I10" i="125" a="1"/>
  <c r="G20" i="125" a="1"/>
  <c r="N28" i="125" a="1"/>
  <c r="K36" i="125" a="1"/>
  <c r="U46" i="125" a="1"/>
  <c r="O62" i="125" a="1"/>
  <c r="R13" i="125" a="1"/>
  <c r="U22" i="125" a="1"/>
  <c r="C31" i="125" a="1"/>
  <c r="F31" i="125" a="1"/>
  <c r="G59" i="125" a="1"/>
  <c r="O14" i="125" a="1"/>
  <c r="O67" i="125" a="1"/>
  <c r="L10" i="125" a="1"/>
  <c r="R19" i="125" a="1"/>
  <c r="L27" i="125" a="1"/>
  <c r="V34" i="125" a="1"/>
  <c r="P41" i="125" a="1"/>
  <c r="J47" i="125" a="1"/>
  <c r="G87" i="125" a="1"/>
  <c r="AA54" i="125" a="1"/>
  <c r="W16" i="125" a="1"/>
  <c r="V24" i="125" a="1"/>
  <c r="N32" i="125" a="1"/>
  <c r="N39" i="125" a="1"/>
  <c r="M45" i="125" a="1"/>
  <c r="R9" i="125" a="1"/>
  <c r="J35" i="125" a="1"/>
  <c r="P63" i="125" a="1"/>
  <c r="H12" i="125" a="1"/>
  <c r="D21" i="125" a="1"/>
  <c r="H135" i="125" a="1"/>
  <c r="V77" i="125" a="1"/>
  <c r="V115" i="125" a="1"/>
  <c r="O98" i="125" a="1"/>
  <c r="U82" i="125" a="1"/>
  <c r="T27" i="125" a="1"/>
  <c r="S61" i="125" a="1"/>
  <c r="Y23" i="125" a="1"/>
  <c r="I131" i="125" a="1"/>
  <c r="U64" i="125" a="1"/>
  <c r="T81" i="125" a="1"/>
  <c r="M58" i="125" a="1"/>
  <c r="J16" i="125" a="1"/>
  <c r="F32" i="125" a="1"/>
  <c r="M91" i="125" a="1"/>
  <c r="L91" i="125" a="1"/>
  <c r="D63" i="125" a="1"/>
  <c r="D12" i="125" a="1"/>
  <c r="Z73" i="125" a="1"/>
  <c r="O80" i="125" a="1"/>
  <c r="L61" i="125" a="1"/>
  <c r="Z16" i="125" a="1"/>
  <c r="Y78" i="125" a="1"/>
  <c r="S56" i="125" a="1"/>
  <c r="J77" i="125" a="1"/>
  <c r="H59" i="125" a="1"/>
  <c r="T14" i="125" a="1"/>
  <c r="U30" i="125" a="1"/>
  <c r="D44" i="125" a="1"/>
  <c r="Y33" i="125" a="1"/>
  <c r="K21" i="125" a="1"/>
  <c r="U35" i="125" a="1"/>
  <c r="N79" i="125" a="1"/>
  <c r="P11" i="125" a="1"/>
  <c r="V21" i="125" a="1"/>
  <c r="V30" i="125" a="1"/>
  <c r="F40" i="125" a="1"/>
  <c r="P9" i="125" a="1"/>
  <c r="N26" i="125" a="1"/>
  <c r="L42" i="125" a="1"/>
  <c r="O66" i="125" a="1"/>
  <c r="E14" i="125" a="1"/>
  <c r="U23" i="125" a="1"/>
  <c r="U32" i="125" a="1"/>
  <c r="U40" i="125" a="1"/>
  <c r="O47" i="125" a="1"/>
  <c r="V32" i="125" a="1"/>
  <c r="F39" i="125" a="1"/>
  <c r="R83" i="125" a="1"/>
  <c r="R53" i="125" a="1"/>
  <c r="K28" i="125" a="1"/>
  <c r="P47" i="125" a="1"/>
  <c r="V39" i="125" a="1"/>
  <c r="J27" i="125" a="1"/>
  <c r="F58" i="125" a="1"/>
  <c r="S15" i="125" a="1"/>
  <c r="F38" i="125" a="1"/>
  <c r="U93" i="125" a="1"/>
  <c r="P53" i="125" a="1"/>
  <c r="S18" i="125" a="1"/>
  <c r="C68" i="125" a="1"/>
  <c r="D11" i="125" a="1"/>
  <c r="V20" i="125" a="1"/>
  <c r="D29" i="125" a="1"/>
  <c r="AA36" i="125" a="1"/>
  <c r="E24" i="125" a="1"/>
  <c r="Y60" i="125" a="1"/>
  <c r="M14" i="125" a="1"/>
  <c r="I102" i="125" a="1"/>
  <c r="O126" i="125" a="1"/>
  <c r="AA101" i="125" a="1"/>
  <c r="AA127" i="125" a="1"/>
  <c r="AA80" i="125" a="1"/>
  <c r="S28" i="125" a="1"/>
  <c r="N57" i="125" a="1"/>
  <c r="U27" i="125" a="1"/>
  <c r="I89" i="125" a="1"/>
  <c r="Q60" i="125" a="1"/>
  <c r="V75" i="125" a="1"/>
  <c r="U55" i="125" a="1"/>
  <c r="Z62" i="125" a="1"/>
  <c r="P44" i="125" a="1"/>
  <c r="M75" i="125" a="1"/>
  <c r="T40" i="125" a="1"/>
  <c r="S64" i="125" a="1"/>
  <c r="I41" i="125" a="1"/>
  <c r="Q78" i="125" a="1"/>
  <c r="I32" i="125" a="1"/>
  <c r="G14" i="125" a="1"/>
  <c r="Q56" i="125" a="1"/>
  <c r="R52" i="125" a="1"/>
  <c r="V35" i="125" a="1"/>
  <c r="U12" i="125" a="1"/>
  <c r="W35" i="125" a="1"/>
  <c r="S13" i="125" a="1"/>
  <c r="E12" i="125" a="1"/>
  <c r="M32" i="125" a="1"/>
  <c r="L45" i="125" a="1"/>
  <c r="O60" i="125" a="1"/>
  <c r="K20" i="125" a="1"/>
  <c r="X31" i="125" a="1"/>
  <c r="D42" i="125" a="1"/>
  <c r="X47" i="125" a="1"/>
  <c r="V46" i="125" a="1"/>
  <c r="K11" i="125" a="1"/>
  <c r="H24" i="125" a="1"/>
  <c r="L47" i="125" a="1"/>
  <c r="F9" i="125" a="1"/>
  <c r="D13" i="125" a="1"/>
  <c r="N35" i="125" a="1"/>
  <c r="J36" i="125" a="1"/>
  <c r="N47" i="125" a="1"/>
  <c r="S53" i="125" a="1"/>
  <c r="W43" i="125" a="1"/>
  <c r="C29" i="125" a="1"/>
  <c r="D27" i="125" a="1"/>
  <c r="O28" i="125" a="1"/>
  <c r="S26" i="125" a="1"/>
  <c r="L80" i="125" a="1"/>
  <c r="C56" i="125" a="1"/>
  <c r="Y57" i="125" a="1"/>
  <c r="P12" i="125" a="1"/>
  <c r="E56" i="125" a="1"/>
  <c r="E9" i="125" a="1"/>
  <c r="G60" i="125" a="1"/>
  <c r="F43" i="125" a="1"/>
  <c r="P54" i="125" a="1"/>
  <c r="R44" i="125" a="1"/>
  <c r="C63" i="125" a="1"/>
  <c r="L41" i="125" a="1"/>
  <c r="M16" i="125" a="1"/>
  <c r="S52" i="125" a="1"/>
  <c r="W11" i="125" a="1"/>
  <c r="P37" i="125" a="1"/>
  <c r="F15" i="125" a="1"/>
  <c r="M36" i="125" a="1"/>
  <c r="G15" i="125" a="1"/>
  <c r="C16" i="125" a="1"/>
  <c r="H34" i="125" a="1"/>
  <c r="W46" i="125" a="1"/>
  <c r="D56" i="125" a="1"/>
  <c r="Z20" i="125" a="1"/>
  <c r="F33" i="125" a="1"/>
  <c r="P42" i="125" a="1"/>
  <c r="Y24" i="125" a="1"/>
  <c r="R43" i="125" a="1"/>
  <c r="N13" i="125" a="1"/>
  <c r="U45" i="125" a="1"/>
  <c r="C54" i="125" a="1"/>
  <c r="T33" i="125" a="1"/>
  <c r="I44" i="125" a="1"/>
  <c r="X41" i="125" a="1"/>
  <c r="L60" i="125" a="1"/>
  <c r="L29" i="125" a="1"/>
  <c r="Z38" i="125" a="1"/>
  <c r="P27" i="125" a="1"/>
  <c r="I47" i="125" a="1"/>
  <c r="D64" i="125" a="1"/>
  <c r="H56" i="125" a="1"/>
  <c r="P21" i="125" a="1"/>
  <c r="K59" i="125" a="1"/>
  <c r="D76" i="125" a="1"/>
  <c r="V54" i="125" a="1"/>
  <c r="R46" i="125" a="1"/>
  <c r="L52" i="125" a="1"/>
  <c r="P10" i="125" a="1"/>
  <c r="J82" i="125" a="1"/>
  <c r="O88" i="125" a="1"/>
  <c r="M30" i="125" a="1"/>
  <c r="C55" i="125" a="1"/>
  <c r="C40" i="125" a="1"/>
  <c r="Y31" i="125" a="1"/>
  <c r="V37" i="125" a="1"/>
  <c r="R63" i="125" a="1"/>
  <c r="AA44" i="125" a="1"/>
  <c r="V16" i="125" a="1"/>
  <c r="K73" i="125" a="1"/>
  <c r="S76" i="125" a="1"/>
  <c r="E35" i="125" a="1"/>
  <c r="J12" i="125" a="1"/>
  <c r="D17" i="125" a="1"/>
  <c r="Y14" i="125" a="1"/>
  <c r="AA47" i="125" a="1"/>
  <c r="V52" i="125" a="1"/>
  <c r="T46" i="125" a="1"/>
  <c r="J21" i="125" a="1"/>
  <c r="H14" i="125" a="1"/>
  <c r="P16" i="125" a="1"/>
  <c r="J39" i="125" a="1"/>
  <c r="H20" i="125" a="1"/>
  <c r="R33" i="125" a="1"/>
  <c r="O19" i="125" a="1"/>
  <c r="Y18" i="125" a="1"/>
  <c r="Z35" i="125" a="1"/>
  <c r="T9" i="125" a="1"/>
  <c r="F53" i="125" a="1"/>
  <c r="I22" i="125" a="1"/>
  <c r="W34" i="125" a="1"/>
  <c r="O43" i="125" a="1"/>
  <c r="R47" i="125" a="1"/>
  <c r="C76" i="125" a="1"/>
  <c r="M15" i="125" a="1"/>
  <c r="F26" i="125" a="1"/>
  <c r="R36" i="125" a="1"/>
  <c r="G47" i="125" a="1"/>
  <c r="E65" i="125" a="1"/>
  <c r="E16" i="125" a="1"/>
  <c r="D28" i="125" a="1"/>
  <c r="G37" i="125" a="1"/>
  <c r="K9" i="125" a="1"/>
  <c r="R32" i="125" a="1"/>
  <c r="F73" i="125" a="1"/>
  <c r="C38" i="125" a="1"/>
  <c r="P38" i="125" a="1"/>
  <c r="N30" i="125" a="1"/>
  <c r="L21" i="125" a="1"/>
  <c r="K23" i="125" a="1"/>
  <c r="U73" i="125" a="1"/>
  <c r="T73" i="125" a="1"/>
  <c r="Y20" i="125" a="1"/>
  <c r="W38" i="125" a="1"/>
  <c r="AA61" i="125" a="1"/>
  <c r="U28" i="125" a="1"/>
  <c r="K38" i="125" a="1"/>
  <c r="P17" i="125" a="1"/>
  <c r="L26" i="125" a="1"/>
  <c r="I94" i="125" a="1"/>
  <c r="O65" i="125" a="1"/>
  <c r="I36" i="125" a="1"/>
  <c r="T17" i="125" a="1"/>
  <c r="L37" i="125" a="1"/>
  <c r="N18" i="125" a="1"/>
  <c r="X21" i="125" a="1"/>
  <c r="I13" i="125" a="1"/>
  <c r="X20" i="125" a="1"/>
  <c r="H23" i="125" a="1"/>
  <c r="O16" i="125" a="1"/>
  <c r="M19" i="125" a="1"/>
  <c r="V45" i="125" a="1"/>
  <c r="F22" i="125" a="1"/>
  <c r="L44" i="125" a="1"/>
  <c r="J88" i="125" a="1"/>
  <c r="J20" i="125" a="1"/>
  <c r="H38" i="125" a="1"/>
  <c r="X46" i="125" a="1"/>
  <c r="J11" i="125" a="1"/>
  <c r="G24" i="125" a="1"/>
  <c r="L35" i="125" a="1"/>
  <c r="Z44" i="125" a="1"/>
  <c r="M40" i="125" a="1"/>
  <c r="V79" i="125" a="1"/>
  <c r="M18" i="125" a="1"/>
  <c r="H19" i="125" a="1"/>
  <c r="O24" i="125" a="1"/>
  <c r="F14" i="125" a="1"/>
  <c r="I46" i="125" a="1"/>
  <c r="I20" i="125" a="1"/>
  <c r="L32" i="125" a="1"/>
  <c r="K47" i="125" a="1"/>
  <c r="O25" i="125" a="1"/>
  <c r="C36" i="125" a="1"/>
  <c r="X16" i="125" a="1"/>
  <c r="M39" i="125" a="1"/>
  <c r="E42" i="125" a="1"/>
  <c r="Y42" i="125" a="1"/>
  <c r="Y26" i="125" a="1"/>
  <c r="W40" i="125" a="1"/>
  <c r="I61" i="125" a="1"/>
  <c r="X27" i="125" a="1"/>
  <c r="R57" i="125" a="1"/>
  <c r="C28" i="125" a="1"/>
  <c r="C44" i="125" a="1"/>
  <c r="J31" i="125" a="1"/>
  <c r="U56" i="125" a="1"/>
  <c r="V29" i="125" a="1"/>
  <c r="AA27" i="125" a="1"/>
  <c r="O17" i="125" a="1"/>
  <c r="D37" i="125" a="1"/>
  <c r="X57" i="125" a="1"/>
  <c r="G12" i="125" a="1"/>
  <c r="W47" i="125" a="1"/>
  <c r="X42" i="125" a="1"/>
  <c r="Z41" i="125" a="1"/>
  <c r="AA12" i="125" a="1"/>
  <c r="Q36" i="125" a="1"/>
  <c r="I28" i="125" a="1"/>
  <c r="H77" i="125" a="1"/>
  <c r="C42" i="125" a="1"/>
  <c r="D16" i="125" a="1"/>
  <c r="Y38" i="125" a="1"/>
  <c r="L73" i="125" a="1"/>
  <c r="X44" i="125" a="1"/>
  <c r="X10" i="125" a="1"/>
  <c r="Q52" i="125" a="1"/>
  <c r="M44" i="125" a="1"/>
  <c r="Q40" i="125" a="1"/>
  <c r="Y53" i="125" a="1"/>
  <c r="X38" i="125" a="1"/>
  <c r="T67" i="125" a="1"/>
  <c r="G52" i="125" a="1"/>
  <c r="S22" i="125" a="1"/>
  <c r="L22" i="125" a="1"/>
  <c r="AA28" i="125" a="1"/>
  <c r="M24" i="125" a="1"/>
  <c r="H36" i="125" a="1"/>
  <c r="P29" i="125" a="1"/>
  <c r="K68" i="125" a="1"/>
  <c r="AA32" i="125" a="1"/>
  <c r="G38" i="125" a="1"/>
  <c r="R24" i="125" a="1"/>
  <c r="G77" i="125" a="1"/>
  <c r="S24" i="125" a="1"/>
  <c r="P67" i="125" a="1"/>
  <c r="M65" i="125" a="1"/>
  <c r="S9" i="125" a="1"/>
  <c r="J44" i="125" a="1"/>
  <c r="L20" i="125" a="1"/>
  <c r="D40" i="125" a="1"/>
  <c r="Z77" i="125" a="1"/>
  <c r="R28" i="125" a="1"/>
  <c r="T21" i="125" a="1"/>
  <c r="N40" i="125" a="1"/>
  <c r="N33" i="125" a="1"/>
  <c r="Q28" i="125" a="1"/>
  <c r="Q32" i="125" a="1"/>
  <c r="J90" i="125" a="1"/>
  <c r="H57" i="125" a="1"/>
  <c r="C19" i="125" a="1"/>
  <c r="V27" i="125" a="1"/>
  <c r="Z26" i="125" a="1"/>
  <c r="K40" i="125" a="1"/>
  <c r="Q27" i="125" a="1"/>
  <c r="F25" i="125" a="1"/>
  <c r="I40" i="125" a="1"/>
  <c r="I66" i="125" a="1"/>
  <c r="L39" i="125" a="1"/>
  <c r="M43" i="125" a="1"/>
  <c r="Z25" i="125" a="1"/>
  <c r="C74" i="125" a="1"/>
  <c r="Y27" i="125" a="1"/>
  <c r="U60" i="125" a="1"/>
  <c r="X63" i="125" a="1"/>
  <c r="U24" i="125" a="1"/>
  <c r="D41" i="125" a="1"/>
  <c r="Z39" i="125" a="1"/>
  <c r="U13" i="125" a="1"/>
  <c r="M27" i="125" a="1"/>
  <c r="F37" i="125" a="1"/>
  <c r="P43" i="125" a="1"/>
  <c r="I45" i="125" a="1"/>
  <c r="I57" i="125" a="1"/>
  <c r="J18" i="125" a="1"/>
  <c r="AA29" i="125" a="1"/>
  <c r="O39" i="125" a="1"/>
  <c r="X29" i="125" a="1"/>
  <c r="K41" i="125" a="1"/>
  <c r="U34" i="125" a="1"/>
  <c r="O44" i="125" a="1"/>
  <c r="F91" i="125" a="1"/>
  <c r="J37" i="125" a="1"/>
  <c r="V62" i="125" a="1"/>
  <c r="J22" i="125" a="1"/>
  <c r="Q77" i="125" a="1"/>
  <c r="G11" i="125" a="1"/>
  <c r="K82" i="125" a="1"/>
  <c r="M17" i="125" a="1"/>
  <c r="K34" i="125" a="1"/>
  <c r="Y36" i="125" a="1"/>
  <c r="L31" i="125" a="1"/>
  <c r="K43" i="125" a="1"/>
  <c r="J33" i="125" a="1"/>
  <c r="F46" i="125" a="1"/>
  <c r="L28" i="125" a="1"/>
  <c r="Z65" i="125" a="1"/>
  <c r="J56" i="125" a="1"/>
  <c r="O42" i="125" a="1"/>
  <c r="Q35" i="125" a="1"/>
  <c r="K10" i="125" a="1"/>
  <c r="K29" i="125" a="1"/>
  <c r="P62" i="125" a="1"/>
  <c r="D78" i="125" a="1"/>
  <c r="G41" i="125" a="1"/>
  <c r="N41" i="125" a="1"/>
  <c r="F36" i="125" a="1"/>
  <c r="E112" i="125" a="1"/>
  <c r="Z37" i="125" a="1"/>
  <c r="Z30" i="125" a="1"/>
  <c r="E20" i="125" a="1"/>
  <c r="U11" i="125" a="1"/>
  <c r="H61" i="125" a="1"/>
  <c r="P56" i="125" a="1"/>
  <c r="E34" i="125" a="1"/>
  <c r="J10" i="125" a="1"/>
  <c r="Z32" i="125" a="1"/>
  <c r="H11" i="125" a="1"/>
  <c r="I11" i="125" a="1"/>
  <c r="W31" i="125" a="1"/>
  <c r="Y44" i="125" a="1"/>
  <c r="D62" i="125" a="1"/>
  <c r="T19" i="125" a="1"/>
  <c r="Z29" i="125" a="1"/>
  <c r="Q41" i="125" a="1"/>
  <c r="N45" i="125" a="1"/>
  <c r="Y43" i="125" a="1"/>
  <c r="E53" i="125" a="1"/>
  <c r="R23" i="125" a="1"/>
  <c r="G33" i="125" a="1"/>
  <c r="M46" i="125" a="1"/>
  <c r="U33" i="125" a="1"/>
  <c r="C86" i="125" a="1"/>
  <c r="R58" i="125" a="1"/>
  <c r="E45" i="125" a="1"/>
  <c r="N61" i="125" a="1"/>
  <c r="T20" i="125" a="1"/>
  <c r="X15" i="125" a="1"/>
  <c r="N19" i="125" a="1"/>
  <c r="H47" i="125" a="1"/>
  <c r="Z15" i="125" a="1"/>
  <c r="U16" i="125" a="1"/>
  <c r="K35" i="125" a="1"/>
  <c r="V47" i="125" a="1"/>
  <c r="S21" i="125" a="1"/>
  <c r="C43" i="125" a="1"/>
  <c r="K80" i="125" a="1"/>
  <c r="X13" i="125" a="1"/>
  <c r="P25" i="125" a="1"/>
  <c r="D36" i="125" a="1"/>
  <c r="F24" i="125" a="1"/>
  <c r="E26" i="125" a="1"/>
  <c r="R40" i="125" a="1"/>
  <c r="M28" i="125" a="1"/>
  <c r="K32" i="125" a="1"/>
  <c r="I18" i="125" a="1"/>
  <c r="U38" i="125" a="1"/>
  <c r="Q42" i="125" a="1"/>
  <c r="AE38" i="1"/>
  <c r="AE37" i="1"/>
  <c r="AD38" i="1"/>
  <c r="AD37" i="1"/>
  <c r="AC38" i="1"/>
  <c r="AC37" i="1"/>
  <c r="FI6" i="132" a="1"/>
  <c r="FK8" i="132" a="1"/>
  <c r="HG11" i="132" a="1"/>
  <c r="FW11" i="132" a="1"/>
  <c r="GT16" i="132" a="1"/>
  <c r="HC7" i="132" a="1"/>
  <c r="GJ11" i="132" a="1"/>
  <c r="GH15" i="132" a="1"/>
  <c r="GC13" i="132" a="1"/>
  <c r="FT5" i="132" a="1"/>
  <c r="FI14" i="132" a="1"/>
  <c r="GL16" i="132" a="1"/>
  <c r="FU6" i="132" a="1"/>
  <c r="GA8" i="132" a="1"/>
  <c r="FZ12" i="132" a="1"/>
  <c r="HC11" i="132" a="1"/>
  <c r="FX8" i="132" a="1"/>
  <c r="GZ15" i="132" a="1"/>
  <c r="FZ15" i="132" a="1"/>
  <c r="GE5" i="132" a="1"/>
  <c r="FV7" i="132" a="1"/>
  <c r="FP11" i="132" a="1"/>
  <c r="HC12" i="132" a="1"/>
  <c r="GL5" i="132" a="1"/>
  <c r="GI5" i="132" a="1"/>
  <c r="GB7" i="132" a="1"/>
  <c r="FV11" i="132" a="1"/>
  <c r="GI8" i="132" a="1"/>
  <c r="GD16" i="132" a="1"/>
  <c r="FQ14" i="132" a="1"/>
  <c r="GL13" i="132" a="1"/>
  <c r="FJ14" i="132" a="1"/>
  <c r="GG6" i="132" a="1"/>
  <c r="GQ8" i="132" a="1"/>
  <c r="GP12" i="132" a="1"/>
  <c r="GN15" i="132" a="1"/>
  <c r="GD9" i="132" a="1"/>
  <c r="GV8" i="132" a="1"/>
  <c r="FX5" i="132" a="1"/>
  <c r="FR8" i="132" a="1"/>
  <c r="FJ6" i="132" a="1"/>
  <c r="HF16" i="132" a="1"/>
  <c r="FS11" i="132" a="1"/>
  <c r="GM6" i="132" a="1"/>
  <c r="GG9" i="132" a="1"/>
  <c r="FY7" i="132" a="1"/>
  <c r="HC14" i="132" a="1"/>
  <c r="FR7" i="132" a="1"/>
  <c r="HH16" i="132" a="1"/>
  <c r="HE15" i="132" a="1"/>
  <c r="GM9" i="132" a="1"/>
  <c r="GH11" i="132" a="1"/>
  <c r="GR13" i="132" a="1"/>
  <c r="FK16" i="132" a="1"/>
  <c r="FL7" i="132" a="1"/>
  <c r="HE7" i="132" a="1"/>
  <c r="GY9" i="132" a="1"/>
  <c r="FQ12" i="132" a="1"/>
  <c r="FN9" i="132" a="1"/>
  <c r="GO9" i="132" a="1"/>
  <c r="FH13" i="132" a="1"/>
  <c r="FL8" i="132" a="1"/>
  <c r="FK9" i="132" a="1"/>
  <c r="GN9" i="132" a="1"/>
  <c r="HE9" i="132" a="1"/>
  <c r="FV5" i="132" a="1"/>
  <c r="FI11" i="132" a="1"/>
  <c r="GR12" i="132" a="1"/>
  <c r="HG5" i="132" a="1"/>
  <c r="FJ11" i="132" a="1"/>
  <c r="GI15" i="132" a="1"/>
  <c r="GG8" i="132" a="1"/>
  <c r="FN8" i="132" a="1"/>
  <c r="FJ9" i="132" a="1"/>
  <c r="FY13" i="132" a="1"/>
  <c r="GA12" i="132" a="1"/>
  <c r="GY15" i="132" a="1"/>
  <c r="HF8" i="132" a="1"/>
  <c r="FX6" i="132" a="1"/>
  <c r="GF9" i="132" a="1"/>
  <c r="FU14" i="132" a="1"/>
  <c r="GM12" i="132" a="1"/>
  <c r="FU16" i="132" a="1"/>
  <c r="FU7" i="132" a="1"/>
  <c r="GI9" i="132" a="1"/>
  <c r="GB15" i="132" a="1"/>
  <c r="GV12" i="132" a="1"/>
  <c r="HA11" i="132" a="1"/>
  <c r="GP14" i="132" a="1"/>
  <c r="FX13" i="132" a="1"/>
  <c r="GR15" i="132" a="1"/>
  <c r="GY12" i="132" a="1"/>
  <c r="GS16" i="132" a="1"/>
  <c r="FK14" i="132" a="1"/>
  <c r="GD13" i="132" a="1"/>
  <c r="GT11" i="132" a="1"/>
  <c r="FU11" i="132" a="1"/>
  <c r="FV13" i="132" a="1"/>
  <c r="GD12" i="132" a="1"/>
  <c r="GV6" i="132" a="1"/>
  <c r="GB13" i="132" a="1"/>
  <c r="FS6" i="132" a="1"/>
  <c r="GJ8" i="132" a="1"/>
  <c r="GX5" i="132" a="1"/>
  <c r="HA8" i="132" a="1"/>
  <c r="FM9" i="132" a="1"/>
  <c r="FP5" i="132" a="1"/>
  <c r="GI6" i="132" a="1"/>
  <c r="GT9" i="132" a="1"/>
  <c r="GF11" i="132" a="1"/>
  <c r="GK13" i="132" a="1"/>
  <c r="GD14" i="132" a="1"/>
  <c r="GR9" i="132" a="1"/>
  <c r="GJ5" i="132" a="1"/>
  <c r="GW5" i="132" a="1"/>
  <c r="GB11" i="132" a="1"/>
  <c r="FK6" i="132" a="1"/>
  <c r="GY6" i="132" a="1"/>
  <c r="GK6" i="132" a="1"/>
  <c r="FK12" i="132" a="1"/>
  <c r="FT15" i="132" a="1"/>
  <c r="HH14" i="132" a="1"/>
  <c r="GQ16" i="132" a="1"/>
  <c r="FY11" i="132" a="1"/>
  <c r="GF13" i="132" a="1"/>
  <c r="HE13" i="132" a="1"/>
  <c r="GS5" i="132" a="1"/>
  <c r="GE6" i="132" a="1"/>
  <c r="FM6" i="132" a="1"/>
  <c r="FJ12" i="132" a="1"/>
  <c r="FR15" i="132" a="1"/>
  <c r="GF6" i="132" a="1"/>
  <c r="FG6" i="132" a="1"/>
  <c r="GU6" i="132" a="1"/>
  <c r="GV15" i="132" a="1"/>
  <c r="HD14" i="132" a="1"/>
  <c r="GX7" i="132" a="1"/>
  <c r="GV16" i="132" a="1"/>
  <c r="GC15" i="132" a="1"/>
  <c r="GV5" i="132" a="1"/>
  <c r="HA16" i="132" a="1"/>
  <c r="GR14" i="132" a="1"/>
  <c r="FQ9" i="132" a="1"/>
  <c r="HD6" i="132" a="1"/>
  <c r="GZ5" i="132" a="1"/>
  <c r="HG6" i="132" a="1"/>
  <c r="GY14" i="132" a="1"/>
  <c r="HD16" i="132" a="1"/>
  <c r="GU16" i="132" a="1"/>
  <c r="GU7" i="132" a="1"/>
  <c r="FT13" i="132" a="1"/>
  <c r="HE6" i="132" a="1"/>
  <c r="FU9" i="132" a="1"/>
  <c r="FZ13" i="132" a="1"/>
  <c r="GV13" i="132" a="1"/>
  <c r="GJ6" i="132" a="1"/>
  <c r="GW8" i="132" a="1"/>
  <c r="GT12" i="132" a="1"/>
  <c r="HD8" i="132" a="1"/>
  <c r="FW14" i="132" a="1"/>
  <c r="GD6" i="132" a="1"/>
  <c r="FX16" i="132" a="1"/>
  <c r="FY9" i="132" a="1"/>
  <c r="FO7" i="132" a="1"/>
  <c r="GK9" i="132" a="1"/>
  <c r="GU13" i="132" a="1"/>
  <c r="GF14" i="132" a="1"/>
  <c r="FL12" i="132" a="1"/>
  <c r="FS9" i="132" a="1"/>
  <c r="FX11" i="132" a="1"/>
  <c r="FY6" i="132" a="1"/>
  <c r="GF8" i="132" a="1"/>
  <c r="GF12" i="132" a="1"/>
  <c r="FR5" i="132" a="1"/>
  <c r="HD15" i="132" a="1"/>
  <c r="GC6" i="132" a="1"/>
  <c r="GL8" i="132" a="1"/>
  <c r="GK12" i="132" a="1"/>
  <c r="GB12" i="132" a="1"/>
  <c r="FI7" i="132" a="1"/>
  <c r="FX12" i="132" a="1"/>
  <c r="FI16" i="132" a="1"/>
  <c r="HG15" i="132" a="1"/>
  <c r="GA7" i="132" a="1"/>
  <c r="HA9" i="132" a="1"/>
  <c r="FY14" i="132" a="1"/>
  <c r="FJ8" i="132" a="1"/>
  <c r="GM13" i="132" a="1"/>
  <c r="GO15" i="132" a="1"/>
  <c r="GH6" i="132" a="1"/>
  <c r="GB9" i="132" a="1"/>
  <c r="FT7" i="132" a="1"/>
  <c r="GZ9" i="132" a="1"/>
  <c r="GY5" i="132" a="1"/>
  <c r="GW7" i="132" a="1"/>
  <c r="GQ11" i="132" a="1"/>
  <c r="FR9" i="132" a="1"/>
  <c r="GH5" i="132" a="1"/>
  <c r="GB8" i="132" a="1"/>
  <c r="FT6" i="132" a="1"/>
  <c r="FX7" i="132" a="1"/>
  <c r="FJ13" i="132" a="1"/>
  <c r="GG11" i="132" a="1"/>
  <c r="FG15" i="132" a="1"/>
  <c r="GY11" i="132" a="1"/>
  <c r="FQ6" i="132" a="1"/>
  <c r="FU12" i="132" a="1"/>
  <c r="FW12" i="132" a="1"/>
  <c r="FW15" i="132" a="1"/>
  <c r="HB6" i="132" a="1"/>
  <c r="HF9" i="132" a="1"/>
  <c r="HC9" i="132" a="1"/>
  <c r="FV12" i="132" a="1"/>
  <c r="GN5" i="132" a="1"/>
  <c r="FX14" i="132" a="1"/>
  <c r="FV15" i="132" a="1"/>
  <c r="HG14" i="132" a="1"/>
  <c r="GZ7" i="132" a="1"/>
  <c r="GK15" i="132" a="1"/>
  <c r="FZ16" i="132" a="1"/>
  <c r="GC8" i="132" a="1"/>
  <c r="GJ7" i="132" a="1"/>
  <c r="FM12" i="132" a="1"/>
  <c r="GI13" i="132" a="1"/>
  <c r="GQ7" i="132" a="1"/>
  <c r="FH15" i="132" a="1"/>
  <c r="HC16" i="132" a="1"/>
  <c r="FR13" i="132" a="1"/>
  <c r="GH7" i="132" a="1"/>
  <c r="GP11" i="132" a="1"/>
  <c r="GG16" i="132" a="1"/>
  <c r="GG13" i="132" a="1"/>
  <c r="FT14" i="132" a="1"/>
  <c r="FG13" i="132" a="1"/>
  <c r="FQ13" i="132" a="1"/>
  <c r="FW16" i="132" a="1"/>
  <c r="GB16" i="132" a="1"/>
  <c r="GU12" i="132" a="1"/>
  <c r="GK16" i="132" a="1"/>
  <c r="HB11" i="132" a="1"/>
  <c r="GS13" i="132" a="1"/>
  <c r="GZ14" i="132" a="1"/>
  <c r="GY16" i="132" a="1"/>
  <c r="GN14" i="132" a="1"/>
  <c r="FR16" i="132" a="1"/>
  <c r="FO12" i="132" a="1"/>
  <c r="GE15" i="132" a="1"/>
  <c r="GN13" i="132" a="1"/>
  <c r="GH12" i="132" a="1"/>
  <c r="GC7" i="132" a="1"/>
  <c r="FV14" i="132" a="1"/>
  <c r="HH6" i="132" a="1"/>
  <c r="GU9" i="132" a="1"/>
  <c r="HH11" i="132" a="1"/>
  <c r="GS9" i="132" a="1"/>
  <c r="GS7" i="132" a="1"/>
  <c r="GF15" i="132" a="1"/>
  <c r="FN15" i="132" a="1"/>
  <c r="GE14" i="132" a="1"/>
  <c r="GJ16" i="132" a="1"/>
  <c r="FO13" i="132" a="1"/>
  <c r="GT6" i="132" a="1"/>
  <c r="GI11" i="132" a="1"/>
  <c r="GQ15" i="132" a="1"/>
  <c r="FV16" i="132" a="1"/>
  <c r="FG8" i="132" a="1"/>
  <c r="GE7" i="132" a="1"/>
  <c r="HG12" i="132" a="1"/>
  <c r="GL14" i="132" a="1"/>
  <c r="HE5" i="132" a="1"/>
  <c r="FS12" i="132" a="1"/>
  <c r="GM15" i="132" a="1"/>
  <c r="FM11" i="132" a="1"/>
  <c r="FO5" i="132" a="1"/>
  <c r="GW9" i="132" a="1"/>
  <c r="GX12" i="132" a="1"/>
  <c r="FZ9" i="132" a="1"/>
  <c r="GI12" i="132" a="1"/>
  <c r="FM16" i="132" a="1"/>
  <c r="GA5" i="132" a="1"/>
  <c r="FK11" i="132" a="1"/>
  <c r="GW14" i="132" a="1"/>
  <c r="HB12" i="132" a="1"/>
  <c r="FL6" i="132" a="1"/>
  <c r="GZ6" i="132" a="1"/>
  <c r="FR6" i="132" a="1"/>
  <c r="GP8" i="132" a="1"/>
  <c r="FZ6" i="132" a="1"/>
  <c r="GM5" i="132" a="1"/>
  <c r="GA11" i="132" a="1"/>
  <c r="GL6" i="132" a="1"/>
  <c r="GU14" i="132" a="1"/>
  <c r="GZ16" i="132" a="1"/>
  <c r="GG5" i="132" a="1"/>
  <c r="FW8" i="132" a="1"/>
  <c r="FG14" i="132" a="1"/>
  <c r="GT15" i="132" a="1"/>
  <c r="GY7" i="132" a="1"/>
  <c r="GE11" i="132" a="1"/>
  <c r="FX15" i="132" a="1"/>
  <c r="FQ16" i="132" a="1"/>
  <c r="GM11" i="132" a="1"/>
  <c r="GQ9" i="132" a="1"/>
  <c r="HD13" i="132" a="1"/>
  <c r="FJ7" i="132" a="1"/>
  <c r="FQ15" i="132" a="1"/>
  <c r="GN7" i="132" a="1"/>
  <c r="GF5" i="132" a="1"/>
  <c r="FK15" i="132" a="1"/>
  <c r="FI8" i="132" a="1"/>
  <c r="GU11" i="132" a="1"/>
  <c r="GX15" i="132" a="1"/>
  <c r="GO16" i="132" a="1"/>
  <c r="GV14" i="132" a="1"/>
  <c r="GW13" i="132" a="1"/>
  <c r="GE8" i="132" a="1"/>
  <c r="FS7" i="132" a="1"/>
  <c r="GP9" i="132" a="1"/>
  <c r="HF13" i="132" a="1"/>
  <c r="GL7" i="132" a="1"/>
  <c r="FH12" i="132" a="1"/>
  <c r="FW7" i="132" a="1"/>
  <c r="GV9" i="132" a="1"/>
  <c r="FN14" i="132" a="1"/>
  <c r="HF14" i="132" a="1"/>
  <c r="GL12" i="132" a="1"/>
  <c r="GV7" i="132" a="1"/>
  <c r="FP7" i="132" a="1"/>
  <c r="GZ13" i="132" a="1"/>
  <c r="FU8" i="132" a="1"/>
  <c r="FI12" i="132" a="1"/>
  <c r="FT16" i="132" a="1"/>
  <c r="GX13" i="132" a="1"/>
  <c r="FP15" i="132" a="1"/>
  <c r="GU5" i="132" a="1"/>
  <c r="GR7" i="132" a="1"/>
  <c r="GL11" i="132" a="1"/>
  <c r="FH9" i="132" a="1"/>
  <c r="GB14" i="132" a="1"/>
  <c r="GS6" i="132" a="1"/>
  <c r="HG8" i="132" a="1"/>
  <c r="HF12" i="132" a="1"/>
  <c r="FP13" i="132" a="1"/>
  <c r="GR6" i="132" a="1"/>
  <c r="GL9" i="132" a="1"/>
  <c r="GD7" i="132" a="1"/>
  <c r="GO7" i="132" a="1"/>
  <c r="HE14" i="132" a="1"/>
  <c r="HB7" i="132" a="1"/>
  <c r="GH9" i="132" a="1"/>
  <c r="FW13" i="132" a="1"/>
  <c r="GE12" i="132" a="1"/>
  <c r="FW5" i="132" a="1"/>
  <c r="HH9" i="132" a="1"/>
  <c r="HH13" i="132" a="1"/>
  <c r="FM14" i="132" a="1"/>
  <c r="GG14" i="132" a="1"/>
  <c r="GB6" i="132" a="1"/>
  <c r="FG9" i="132" a="1"/>
  <c r="GC9" i="132" a="1"/>
  <c r="HA6" i="132" a="1"/>
  <c r="FN13" i="132" a="1"/>
  <c r="GJ9" i="132" a="1"/>
  <c r="GO8" i="132" a="1"/>
  <c r="FZ5" i="132" a="1"/>
  <c r="GC14" i="132" a="1"/>
  <c r="HD11" i="132" a="1"/>
  <c r="GI7" i="132" a="1"/>
  <c r="GT14" i="132" a="1"/>
  <c r="GA6" i="132" a="1"/>
  <c r="FY12" i="132" a="1"/>
  <c r="GW6" i="132" a="1"/>
  <c r="GA13" i="132" a="1"/>
  <c r="GR5" i="132" a="1"/>
  <c r="FG16" i="132" a="1"/>
  <c r="GD11" i="132" a="1"/>
  <c r="FS14" i="132" a="1"/>
  <c r="FK7" i="132" a="1"/>
  <c r="GP13" i="132" a="1"/>
  <c r="FZ11" i="132" a="1"/>
  <c r="FS16" i="132" a="1"/>
  <c r="GN12" i="132" a="1"/>
  <c r="FN12" i="132" a="1"/>
  <c r="GW11" i="132" a="1"/>
  <c r="GK14" i="132" a="1"/>
  <c r="HH7" i="132" a="1"/>
  <c r="GG15" i="132" a="1"/>
  <c r="GP7" i="132" a="1"/>
  <c r="GH8" i="132" a="1"/>
  <c r="HG13" i="132" a="1"/>
  <c r="GE16" i="132" a="1"/>
  <c r="FI9" i="132" a="1"/>
  <c r="FW9" i="132" a="1"/>
  <c r="FG11" i="132" a="1"/>
  <c r="GH16" i="132" a="1"/>
  <c r="GS14" i="132" a="1"/>
  <c r="GK8" i="132" a="1"/>
  <c r="FS8" i="132" a="1"/>
  <c r="HF7" i="132" a="1"/>
  <c r="FO14" i="132" a="1"/>
  <c r="FH16" i="132" a="1"/>
  <c r="FH5" i="132" a="1"/>
  <c r="GR8" i="132" a="1"/>
  <c r="GZ12" i="132" a="1"/>
  <c r="FZ8" i="132" a="1"/>
  <c r="GA14" i="132" a="1"/>
  <c r="GF16" i="132" a="1"/>
  <c r="GB5" i="132" a="1"/>
  <c r="GX6" i="132" a="1"/>
  <c r="GD5" i="132" a="1"/>
  <c r="HD9" i="132" a="1"/>
  <c r="GO13" i="132" a="1"/>
  <c r="GO14" i="132" a="1"/>
  <c r="GJ14" i="132" a="1"/>
  <c r="HC13" i="132" a="1"/>
  <c r="GM14" i="132" a="1"/>
  <c r="GR16" i="132" a="1"/>
  <c r="FS15" i="132" a="1"/>
  <c r="GS15" i="132" a="1"/>
  <c r="GZ8" i="132" a="1"/>
  <c r="FI13" i="132" a="1"/>
  <c r="FN5" i="132" a="1"/>
  <c r="GX14" i="132" a="1"/>
  <c r="GX16" i="132" a="1"/>
  <c r="HE16" i="132" a="1"/>
  <c r="FG5" i="132" a="1"/>
  <c r="GM8" i="132" a="1"/>
  <c r="GQ6" i="132" a="1"/>
  <c r="FP8" i="132" a="1"/>
  <c r="GO11" i="132" a="1"/>
  <c r="FP14" i="132" a="1"/>
  <c r="FJ5" i="132" a="1"/>
  <c r="HC8" i="132" a="1"/>
  <c r="HA7" i="132" a="1"/>
  <c r="FN7" i="132" a="1"/>
  <c r="FY15" i="132" a="1"/>
  <c r="GP5" i="132" a="1"/>
  <c r="GD8" i="132" a="1"/>
  <c r="HD7" i="132" a="1"/>
  <c r="FJ16" i="132" a="1"/>
  <c r="FN16" i="132" a="1"/>
  <c r="FW6" i="132" a="1"/>
  <c r="GN8" i="132" a="1"/>
  <c r="HA13" i="132" a="1"/>
  <c r="GD15" i="132" a="1"/>
  <c r="FL13" i="132" a="1"/>
  <c r="FM7" i="132" a="1"/>
  <c r="FM13" i="132" a="1"/>
  <c r="FP12" i="132" a="1"/>
  <c r="HF6" i="132" a="1"/>
  <c r="GS8" i="132" a="1"/>
  <c r="GO12" i="132" a="1"/>
  <c r="GT8" i="132" a="1"/>
  <c r="GK7" i="132" a="1"/>
  <c r="FY16" i="132" a="1"/>
  <c r="GK11" i="132" a="1"/>
  <c r="FL15" i="132" a="1"/>
  <c r="FI5" i="132" a="1"/>
  <c r="HD5" i="132" a="1"/>
  <c r="GX8" i="132" a="1"/>
  <c r="GP6" i="132" a="1"/>
  <c r="GF7" i="132" a="1"/>
  <c r="HE8" i="132" a="1"/>
  <c r="HE12" i="132" a="1"/>
  <c r="FX9" i="132" a="1"/>
  <c r="GU8" i="132" a="1"/>
  <c r="GW16" i="132" a="1"/>
  <c r="GQ14" i="132" a="1"/>
  <c r="GP16" i="132" a="1"/>
  <c r="FM8" i="132" a="1"/>
  <c r="GZ11" i="132" a="1"/>
  <c r="HF15" i="132" a="1"/>
  <c r="GH14" i="132" a="1"/>
  <c r="GJ15" i="132" a="1"/>
  <c r="FQ8" i="132" a="1"/>
  <c r="HF11" i="132" a="1"/>
  <c r="FL16" i="132" a="1"/>
  <c r="FL5" i="132" a="1"/>
  <c r="FO15" i="132" a="1"/>
  <c r="GH13" i="132" a="1"/>
  <c r="HD12" i="132" a="1"/>
  <c r="FP16" i="132" a="1"/>
  <c r="FO9" i="132" a="1"/>
  <c r="FS13" i="132" a="1"/>
  <c r="GX9" i="132" a="1"/>
  <c r="FP6" i="132" a="1"/>
  <c r="HB5" i="132" a="1"/>
  <c r="GO6" i="132" a="1"/>
  <c r="HB8" i="132" a="1"/>
  <c r="HA12" i="132" a="1"/>
  <c r="HH12" i="132" a="1"/>
  <c r="GU15" i="132" a="1"/>
  <c r="GM7" i="132" a="1"/>
  <c r="FO11" i="132" a="1"/>
  <c r="HC5" i="132" a="1"/>
  <c r="GV11" i="132" a="1"/>
  <c r="GC12" i="132" a="1"/>
  <c r="GY13" i="132" a="1"/>
  <c r="HB13" i="132" a="1"/>
  <c r="HG16" i="132" a="1"/>
  <c r="FV8" i="132" a="1"/>
  <c r="GX11" i="132" a="1"/>
  <c r="GS11" i="132" a="1"/>
  <c r="FZ14" i="132" a="1"/>
  <c r="HB14" i="132" a="1"/>
  <c r="FK5" i="132" a="1"/>
  <c r="FR14" i="132" a="1"/>
  <c r="FV9" i="132" a="1"/>
  <c r="HG9" i="132" a="1"/>
  <c r="GG12" i="132" a="1"/>
  <c r="FY8" i="132" a="1"/>
  <c r="FH11" i="132" a="1"/>
  <c r="HE11" i="132" a="1"/>
  <c r="HA14" i="132" a="1"/>
  <c r="GC11" i="132" a="1"/>
  <c r="FT12" i="132" a="1"/>
  <c r="HH5" i="132" a="1"/>
  <c r="GA9" i="132" a="1"/>
  <c r="FL11" i="132" a="1"/>
  <c r="FT11" i="132" a="1"/>
  <c r="HC15" i="132" a="1"/>
  <c r="FU13" i="132" a="1"/>
  <c r="GJ13" i="132" a="1"/>
  <c r="HH15" i="132" a="1"/>
  <c r="FM15" i="132" a="1"/>
  <c r="HG7" i="132" a="1"/>
  <c r="GP15" i="132" a="1"/>
  <c r="GQ13" i="132" a="1"/>
  <c r="FY5" i="132" a="1"/>
  <c r="HB16" i="132" a="1"/>
  <c r="GI16" i="132" a="1"/>
  <c r="GQ12" i="132" a="1"/>
  <c r="GC16" i="132" a="1"/>
  <c r="GT13" i="132" a="1"/>
  <c r="GA16" i="132" a="1"/>
  <c r="GT5" i="132" a="1"/>
  <c r="FO8" i="132" a="1"/>
  <c r="GO5" i="132" a="1"/>
  <c r="GN11" i="132" a="1"/>
  <c r="FQ11" i="132" a="1"/>
  <c r="FK13" i="132" a="1"/>
  <c r="FT9" i="132" a="1"/>
  <c r="GW15" i="132" a="1"/>
  <c r="GE9" i="132" a="1"/>
  <c r="FR11" i="132" a="1"/>
  <c r="FI15" i="132" a="1"/>
  <c r="FU5" i="132" a="1"/>
  <c r="FS5" i="132" a="1"/>
  <c r="HB9" i="132" a="1"/>
  <c r="FH14" i="132" a="1"/>
  <c r="FL14" i="132" a="1"/>
  <c r="FU15" i="132" a="1"/>
  <c r="GK5" i="132" a="1"/>
  <c r="FN11" i="132" a="1"/>
  <c r="FP9" i="132" a="1"/>
  <c r="GN6" i="132" a="1"/>
  <c r="FJ15" i="132" a="1"/>
  <c r="GI14" i="132" a="1"/>
  <c r="GN16" i="132" a="1"/>
  <c r="GW12" i="132" a="1"/>
  <c r="FV6" i="132" a="1"/>
  <c r="FM5" i="132" a="1"/>
  <c r="HA5" i="132" a="1"/>
  <c r="GQ5" i="132" a="1"/>
  <c r="GM16" i="132" a="1"/>
  <c r="FZ7" i="132" a="1"/>
  <c r="GL15" i="132" a="1"/>
  <c r="HA15" i="132" a="1"/>
  <c r="GA15" i="132" a="1"/>
  <c r="HB15" i="132" a="1"/>
  <c r="HC6" i="132" a="1"/>
  <c r="GT7" i="132" a="1"/>
  <c r="FG7" i="132" a="1"/>
  <c r="GE13" i="132" a="1"/>
  <c r="FO16" i="132" a="1"/>
  <c r="FR12" i="132" a="1"/>
  <c r="FQ7" i="132" a="1"/>
  <c r="FH8" i="132" a="1"/>
  <c r="FT8" i="132" a="1"/>
  <c r="FN6" i="132" a="1"/>
  <c r="HH8" i="132" a="1"/>
  <c r="GY8" i="132" a="1"/>
  <c r="FL9" i="132" a="1"/>
  <c r="HF5" i="132" a="1"/>
  <c r="GR11" i="132" a="1"/>
  <c r="GG7" i="132" a="1"/>
  <c r="FQ5" i="132" a="1"/>
  <c r="FG12" i="132" a="1"/>
  <c r="FH7" i="132" a="1"/>
  <c r="GS12" i="132" a="1"/>
  <c r="GC5" i="132" a="1"/>
  <c r="FO6" i="132" a="1"/>
  <c r="FH6" i="132" a="1"/>
  <c r="GJ12" i="132" a="1"/>
  <c r="AA137" i="1" l="1"/>
  <c r="AA139" i="1" s="1"/>
  <c r="AA108" i="1"/>
  <c r="AA119" i="1"/>
  <c r="AA123" i="1" s="1"/>
  <c r="AA131" i="1"/>
  <c r="AA71" i="1"/>
  <c r="AA75" i="1"/>
  <c r="AA144" i="1"/>
  <c r="AA33" i="1"/>
  <c r="AA109" i="1"/>
  <c r="AA152" i="1"/>
  <c r="AA140" i="1"/>
  <c r="AA148" i="1" s="1"/>
  <c r="AA149" i="1" s="1"/>
  <c r="J49" i="1"/>
  <c r="V49" i="1" s="1"/>
  <c r="G49" i="1" s="1"/>
  <c r="R66" i="1" s="1"/>
  <c r="R49" i="1" s="1"/>
  <c r="Y49" i="1" s="1"/>
  <c r="M49" i="1" s="1"/>
  <c r="P49" i="1" s="1"/>
  <c r="K49" i="1" s="1"/>
  <c r="L49" i="1" s="1"/>
  <c r="D49" i="1" s="1"/>
  <c r="B66" i="1" s="1"/>
  <c r="S67" i="1" s="1"/>
  <c r="K66" i="1" s="1"/>
  <c r="C67" i="1" s="1"/>
  <c r="AA71" i="125" s="1"/>
  <c r="N49" i="1" s="1"/>
  <c r="X66" i="1" s="1"/>
  <c r="E67" i="1" s="1"/>
  <c r="W67" i="1" s="1"/>
  <c r="P71" i="125" s="1"/>
  <c r="G66" i="1" s="1"/>
  <c r="N66" i="1" s="1"/>
  <c r="O67" i="1" s="1"/>
  <c r="S66" i="1" s="1"/>
  <c r="M67" i="1" s="1"/>
  <c r="F66" i="1" s="1"/>
  <c r="J67" i="1" s="1"/>
  <c r="M66" i="1" s="1"/>
  <c r="V67" i="1" s="1"/>
  <c r="Y66" i="1" s="1"/>
  <c r="D66" i="1" s="1"/>
  <c r="L66" i="1" s="1"/>
  <c r="H67" i="1" s="1"/>
  <c r="T66" i="1" s="1"/>
  <c r="P66" i="1" s="1"/>
  <c r="S106" i="1" s="1"/>
  <c r="S137" i="1" s="1"/>
  <c r="Z67" i="1" s="1"/>
  <c r="E66" i="1" s="1"/>
  <c r="U66" i="1" s="1"/>
  <c r="F67" i="1" s="1"/>
  <c r="K106" i="1" s="1"/>
  <c r="K137" i="1" s="1"/>
  <c r="L67" i="1" s="1"/>
  <c r="D67" i="1" s="1"/>
  <c r="W66" i="1" s="1"/>
  <c r="R67" i="1" s="1"/>
  <c r="J66" i="1" s="1"/>
  <c r="X67" i="1" s="1"/>
  <c r="C66" i="1" s="1"/>
  <c r="I67" i="1" s="1"/>
  <c r="O66" i="1" s="1"/>
  <c r="T106" i="1" s="1"/>
  <c r="I66" i="1" s="1"/>
  <c r="V106" i="1" s="1"/>
  <c r="B67" i="1" s="1"/>
  <c r="P106" i="1" s="1"/>
  <c r="T67" i="1" s="1"/>
  <c r="J106" i="1" s="1"/>
  <c r="J137" i="1" s="1"/>
  <c r="N67" i="1" s="1"/>
  <c r="D106" i="1" s="1"/>
  <c r="D137" i="1" s="1"/>
  <c r="G67" i="1" s="1"/>
  <c r="L106" i="1" s="1"/>
  <c r="L137" i="1" s="1"/>
  <c r="U67" i="1" s="1"/>
  <c r="Y67" i="1" s="1"/>
  <c r="Q66" i="1" s="1"/>
  <c r="Q67" i="1" s="1"/>
  <c r="P67" i="1" s="1"/>
  <c r="K67" i="1" s="1"/>
  <c r="H66" i="1" s="1"/>
  <c r="V66" i="1" s="1"/>
  <c r="Z66" i="1" s="1"/>
  <c r="Y29" i="1"/>
  <c r="I106" i="1"/>
  <c r="I137" i="1" s="1"/>
  <c r="P70" i="125"/>
  <c r="AB71" i="125"/>
  <c r="Q106" i="1"/>
  <c r="Q137" i="1" s="1"/>
  <c r="N70" i="125"/>
  <c r="R106" i="1"/>
  <c r="R137" i="1" s="1"/>
  <c r="C70" i="125"/>
  <c r="O71" i="125"/>
  <c r="E70" i="125"/>
  <c r="X49" i="1"/>
  <c r="O49" i="1"/>
  <c r="AC71" i="125"/>
  <c r="AD70" i="125"/>
  <c r="Z106" i="1"/>
  <c r="Z137" i="1" s="1"/>
  <c r="D70" i="125"/>
  <c r="E71" i="125"/>
  <c r="F70" i="125"/>
  <c r="S70" i="125"/>
  <c r="S71" i="125"/>
  <c r="M71" i="125"/>
  <c r="U106" i="1"/>
  <c r="U137" i="1" s="1"/>
  <c r="C71" i="125"/>
  <c r="X71" i="125"/>
  <c r="AE70" i="125"/>
  <c r="AA70" i="125"/>
  <c r="H49" i="1"/>
  <c r="C49" i="1"/>
  <c r="Z71" i="125"/>
  <c r="F71" i="125"/>
  <c r="H70" i="125"/>
  <c r="L71" i="125"/>
  <c r="Q49" i="1"/>
  <c r="V71" i="125"/>
  <c r="H71" i="125"/>
  <c r="AD71" i="125"/>
  <c r="W106" i="1"/>
  <c r="W137" i="1" s="1"/>
  <c r="M106" i="1"/>
  <c r="M137" i="1" s="1"/>
  <c r="E106" i="1"/>
  <c r="E137" i="1" s="1"/>
  <c r="AF70" i="125"/>
  <c r="T71" i="125"/>
  <c r="G70" i="125"/>
  <c r="J71" i="125"/>
  <c r="Y71" i="125"/>
  <c r="AB70" i="125"/>
  <c r="X70" i="125"/>
  <c r="O106" i="1"/>
  <c r="O137" i="1" s="1"/>
  <c r="B106" i="1"/>
  <c r="B137" i="1" s="1"/>
  <c r="H106" i="1"/>
  <c r="H137" i="1" s="1"/>
  <c r="Q70" i="125"/>
  <c r="K71" i="125"/>
  <c r="U49" i="1"/>
  <c r="I49" i="1"/>
  <c r="AE71" i="125"/>
  <c r="Y106" i="1"/>
  <c r="Y137" i="1" s="1"/>
  <c r="G106" i="1"/>
  <c r="G137" i="1" s="1"/>
  <c r="L70" i="125"/>
  <c r="I71" i="125"/>
  <c r="Z70" i="125"/>
  <c r="W49" i="1"/>
  <c r="Y70" i="125"/>
  <c r="U71" i="125"/>
  <c r="K70" i="125"/>
  <c r="N106" i="1"/>
  <c r="N137" i="1" s="1"/>
  <c r="R70" i="125"/>
  <c r="N71" i="125"/>
  <c r="I70" i="125"/>
  <c r="T49" i="1"/>
  <c r="C106" i="1"/>
  <c r="C137" i="1" s="1"/>
  <c r="T70" i="125"/>
  <c r="W71" i="125"/>
  <c r="D71" i="125"/>
  <c r="U70" i="125"/>
  <c r="G71" i="125"/>
  <c r="AC70" i="125"/>
  <c r="X106" i="1"/>
  <c r="X137" i="1" s="1"/>
  <c r="AF71" i="125"/>
  <c r="F106" i="1"/>
  <c r="F137" i="1" s="1"/>
  <c r="M70" i="125"/>
  <c r="O70" i="125"/>
  <c r="R71" i="125"/>
  <c r="J70" i="125"/>
  <c r="V70" i="125"/>
  <c r="W70" i="125"/>
  <c r="E49" i="1"/>
  <c r="S49" i="1"/>
  <c r="Z49" i="1"/>
  <c r="F49" i="1"/>
  <c r="B49" i="1"/>
  <c r="Q71" i="125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41" i="1" l="1"/>
  <c r="V137" i="1"/>
  <c r="T137" i="1"/>
  <c r="P137" i="1"/>
  <c r="JQ21" i="132"/>
  <c r="BX83" i="1" s="1"/>
  <c r="JZ15" i="132"/>
  <c r="KE15" i="132"/>
  <c r="KD8" i="132"/>
  <c r="JR21" i="132"/>
  <c r="BY83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Q14" i="132"/>
  <c r="KD7" i="132"/>
  <c r="JZ21" i="132"/>
  <c r="KD21" i="132"/>
  <c r="JU21" i="132"/>
  <c r="KA21" i="132"/>
  <c r="KD14" i="132"/>
  <c r="KD19" i="132" s="1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KC19" i="132" s="1"/>
  <c r="JZ8" i="132"/>
  <c r="JT15" i="132"/>
  <c r="JV8" i="132"/>
  <c r="KA15" i="132"/>
  <c r="KD15" i="132"/>
  <c r="KH21" i="132"/>
  <c r="JS8" i="132"/>
  <c r="JW15" i="132"/>
  <c r="JS14" i="132"/>
  <c r="KG14" i="132"/>
  <c r="KC8" i="132"/>
  <c r="JS21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JT20" i="132"/>
  <c r="AB37" i="1"/>
  <c r="AB38" i="1"/>
  <c r="KD20" i="132" l="1"/>
  <c r="AA44" i="1"/>
  <c r="AA46" i="1" s="1"/>
  <c r="AA50" i="1" s="1"/>
  <c r="KE19" i="132"/>
  <c r="KA20" i="132"/>
  <c r="JU19" i="132"/>
  <c r="JW19" i="132"/>
  <c r="JT19" i="132"/>
  <c r="JX20" i="132"/>
  <c r="JV20" i="132"/>
  <c r="KB19" i="132"/>
  <c r="JX19" i="132"/>
  <c r="JZ19" i="132"/>
  <c r="JV19" i="132"/>
  <c r="JY19" i="132"/>
  <c r="JU20" i="132"/>
  <c r="JY20" i="132"/>
  <c r="KG20" i="132"/>
  <c r="KH19" i="132"/>
  <c r="KE20" i="132"/>
  <c r="JZ20" i="132"/>
  <c r="JR19" i="132"/>
  <c r="BY84" i="1" s="1"/>
  <c r="KG19" i="132"/>
  <c r="JQ19" i="132"/>
  <c r="BX84" i="1" s="1"/>
  <c r="KF19" i="132"/>
  <c r="JW20" i="132"/>
  <c r="JS19" i="132"/>
  <c r="JQ20" i="132"/>
  <c r="BX85" i="1" s="1"/>
  <c r="V30" i="1"/>
  <c r="F38" i="1"/>
  <c r="F32" i="1"/>
  <c r="C121" i="1"/>
  <c r="M129" i="1"/>
  <c r="H38" i="1"/>
  <c r="E143" i="1"/>
  <c r="F147" i="1"/>
  <c r="C30" i="1"/>
  <c r="U129" i="1"/>
  <c r="D138" i="1"/>
  <c r="R99" i="1"/>
  <c r="T116" i="1"/>
  <c r="R32" i="1"/>
  <c r="Q32" i="1"/>
  <c r="C143" i="1"/>
  <c r="H37" i="1"/>
  <c r="F48" i="1"/>
  <c r="F47" i="1"/>
  <c r="B37" i="1"/>
  <c r="J38" i="1"/>
  <c r="J37" i="1"/>
  <c r="C99" i="1"/>
  <c r="G147" i="1"/>
  <c r="C29" i="1"/>
  <c r="Z37" i="1"/>
  <c r="O129" i="1"/>
  <c r="B43" i="1"/>
  <c r="B35" i="1"/>
  <c r="U102" i="1"/>
  <c r="S125" i="1"/>
  <c r="B125" i="1"/>
  <c r="G47" i="1"/>
  <c r="D143" i="1"/>
  <c r="T147" i="1"/>
  <c r="I122" i="1"/>
  <c r="Z116" i="1"/>
  <c r="L118" i="1"/>
  <c r="S53" i="1"/>
  <c r="G30" i="1"/>
  <c r="W147" i="1"/>
  <c r="U38" i="1"/>
  <c r="Y37" i="1"/>
  <c r="K32" i="1"/>
  <c r="H132" i="1"/>
  <c r="O136" i="1"/>
  <c r="X147" i="1"/>
  <c r="X43" i="1"/>
  <c r="I143" i="1"/>
  <c r="L136" i="1"/>
  <c r="B29" i="1"/>
  <c r="G45" i="1"/>
  <c r="U143" i="1"/>
  <c r="B38" i="1"/>
  <c r="H43" i="1"/>
  <c r="I53" i="1"/>
  <c r="Z129" i="1"/>
  <c r="Z133" i="1"/>
  <c r="Y45" i="1"/>
  <c r="Z38" i="1"/>
  <c r="K37" i="1"/>
  <c r="J128" i="1"/>
  <c r="N102" i="1"/>
  <c r="W118" i="1"/>
  <c r="R43" i="1"/>
  <c r="P37" i="1"/>
  <c r="C48" i="1"/>
  <c r="I128" i="1"/>
  <c r="K35" i="1"/>
  <c r="L29" i="1"/>
  <c r="N43" i="1"/>
  <c r="V32" i="1"/>
  <c r="O53" i="1"/>
  <c r="C53" i="1"/>
  <c r="W43" i="1"/>
  <c r="D105" i="1"/>
  <c r="Q98" i="1"/>
  <c r="K30" i="1"/>
  <c r="V48" i="1"/>
  <c r="V125" i="1"/>
  <c r="X45" i="1"/>
  <c r="E53" i="1"/>
  <c r="M118" i="1"/>
  <c r="M122" i="1"/>
  <c r="D48" i="1"/>
  <c r="L53" i="1"/>
  <c r="M97" i="1"/>
  <c r="B118" i="1"/>
  <c r="S45" i="1"/>
  <c r="D47" i="1"/>
  <c r="T99" i="1"/>
  <c r="Q147" i="1"/>
  <c r="H29" i="1"/>
  <c r="O98" i="1"/>
  <c r="O37" i="1"/>
  <c r="X102" i="1"/>
  <c r="S37" i="1"/>
  <c r="Y38" i="1"/>
  <c r="B53" i="1"/>
  <c r="H35" i="1"/>
  <c r="Q38" i="1"/>
  <c r="M35" i="1"/>
  <c r="P117" i="1"/>
  <c r="V29" i="1"/>
  <c r="Q45" i="1"/>
  <c r="P29" i="1"/>
  <c r="F37" i="1"/>
  <c r="U117" i="1"/>
  <c r="F121" i="1"/>
  <c r="E38" i="1"/>
  <c r="P32" i="1"/>
  <c r="R30" i="1"/>
  <c r="V37" i="1"/>
  <c r="R29" i="1"/>
  <c r="S32" i="1"/>
  <c r="W38" i="1"/>
  <c r="F102" i="1"/>
  <c r="K47" i="1"/>
  <c r="O45" i="1"/>
  <c r="L147" i="1"/>
  <c r="J48" i="1"/>
  <c r="W45" i="1"/>
  <c r="F35" i="1"/>
  <c r="R48" i="1"/>
  <c r="S48" i="1"/>
  <c r="Z128" i="1"/>
  <c r="O35" i="1"/>
  <c r="Z48" i="1"/>
  <c r="B99" i="1"/>
  <c r="B104" i="1"/>
  <c r="J143" i="1"/>
  <c r="T138" i="1"/>
  <c r="R47" i="1"/>
  <c r="X53" i="1"/>
  <c r="Q146" i="1"/>
  <c r="E142" i="1"/>
  <c r="T35" i="1"/>
  <c r="K138" i="1"/>
  <c r="Y142" i="1"/>
  <c r="E121" i="1"/>
  <c r="H128" i="1"/>
  <c r="C118" i="1"/>
  <c r="C117" i="1"/>
  <c r="R143" i="1"/>
  <c r="U133" i="1"/>
  <c r="Q129" i="1"/>
  <c r="N32" i="1"/>
  <c r="Z147" i="1"/>
  <c r="P125" i="1"/>
  <c r="J133" i="1"/>
  <c r="P47" i="1"/>
  <c r="G98" i="1"/>
  <c r="J30" i="1"/>
  <c r="H121" i="1"/>
  <c r="D147" i="1"/>
  <c r="U125" i="1"/>
  <c r="C38" i="1"/>
  <c r="X117" i="1"/>
  <c r="I48" i="1"/>
  <c r="X98" i="1"/>
  <c r="U32" i="1"/>
  <c r="Q37" i="1"/>
  <c r="M53" i="1"/>
  <c r="J132" i="1"/>
  <c r="M29" i="1"/>
  <c r="L112" i="1"/>
  <c r="N142" i="1"/>
  <c r="X37" i="1"/>
  <c r="B32" i="1"/>
  <c r="N35" i="1"/>
  <c r="D43" i="1"/>
  <c r="X143" i="1"/>
  <c r="Y30" i="1"/>
  <c r="Y31" i="1" s="1"/>
  <c r="H143" i="1"/>
  <c r="P142" i="1"/>
  <c r="F128" i="1"/>
  <c r="K147" i="1"/>
  <c r="E37" i="1"/>
  <c r="K43" i="1"/>
  <c r="S133" i="1"/>
  <c r="Y43" i="1"/>
  <c r="O38" i="1"/>
  <c r="F112" i="1"/>
  <c r="L121" i="1"/>
  <c r="U37" i="1"/>
  <c r="M121" i="1"/>
  <c r="E116" i="1"/>
  <c r="N30" i="1"/>
  <c r="H32" i="1"/>
  <c r="W134" i="1"/>
  <c r="H147" i="1"/>
  <c r="Z143" i="1"/>
  <c r="M143" i="1"/>
  <c r="M32" i="1"/>
  <c r="W116" i="1"/>
  <c r="G32" i="1"/>
  <c r="N47" i="1"/>
  <c r="U47" i="1"/>
  <c r="N29" i="1"/>
  <c r="T38" i="1"/>
  <c r="I129" i="1"/>
  <c r="P35" i="1"/>
  <c r="L32" i="1"/>
  <c r="C147" i="1"/>
  <c r="Q47" i="1"/>
  <c r="I35" i="1"/>
  <c r="S43" i="1"/>
  <c r="C45" i="1"/>
  <c r="Z122" i="1"/>
  <c r="S142" i="1"/>
  <c r="P45" i="1"/>
  <c r="K142" i="1"/>
  <c r="K29" i="1"/>
  <c r="O47" i="1"/>
  <c r="N147" i="1"/>
  <c r="D142" i="1"/>
  <c r="S35" i="1"/>
  <c r="L125" i="1"/>
  <c r="K38" i="1"/>
  <c r="O143" i="1"/>
  <c r="O30" i="1"/>
  <c r="Q116" i="1"/>
  <c r="Z142" i="1"/>
  <c r="J97" i="1"/>
  <c r="O29" i="1"/>
  <c r="Z29" i="1"/>
  <c r="F118" i="1"/>
  <c r="Q142" i="1"/>
  <c r="C136" i="1"/>
  <c r="N99" i="1"/>
  <c r="S128" i="1"/>
  <c r="P38" i="1"/>
  <c r="X29" i="1"/>
  <c r="J117" i="1"/>
  <c r="K143" i="1"/>
  <c r="D53" i="1"/>
  <c r="E30" i="1"/>
  <c r="T37" i="1"/>
  <c r="K134" i="1"/>
  <c r="X105" i="1"/>
  <c r="I132" i="1"/>
  <c r="M147" i="1"/>
  <c r="E32" i="1"/>
  <c r="C125" i="1"/>
  <c r="I142" i="1"/>
  <c r="L38" i="1"/>
  <c r="P53" i="1"/>
  <c r="Z43" i="1"/>
  <c r="W129" i="1"/>
  <c r="Y35" i="1"/>
  <c r="T29" i="1"/>
  <c r="E138" i="1"/>
  <c r="K48" i="1"/>
  <c r="H47" i="1"/>
  <c r="W37" i="1"/>
  <c r="T129" i="1"/>
  <c r="T32" i="1"/>
  <c r="J45" i="1"/>
  <c r="X133" i="1"/>
  <c r="X116" i="1"/>
  <c r="F134" i="1"/>
  <c r="R45" i="1"/>
  <c r="T43" i="1"/>
  <c r="J107" i="1"/>
  <c r="O125" i="1"/>
  <c r="O134" i="1"/>
  <c r="T107" i="1"/>
  <c r="U29" i="1"/>
  <c r="E118" i="1"/>
  <c r="D32" i="1"/>
  <c r="Q53" i="1"/>
  <c r="C47" i="1"/>
  <c r="N48" i="1"/>
  <c r="C32" i="1"/>
  <c r="W32" i="1"/>
  <c r="U142" i="1"/>
  <c r="V104" i="1"/>
  <c r="H30" i="1"/>
  <c r="I38" i="1"/>
  <c r="Z35" i="1"/>
  <c r="M146" i="1"/>
  <c r="B147" i="1"/>
  <c r="T53" i="1"/>
  <c r="E146" i="1"/>
  <c r="O138" i="1"/>
  <c r="X134" i="1"/>
  <c r="Z32" i="1"/>
  <c r="X132" i="1"/>
  <c r="D125" i="1"/>
  <c r="Q29" i="1"/>
  <c r="M125" i="1"/>
  <c r="X32" i="1"/>
  <c r="Q35" i="1"/>
  <c r="X138" i="1"/>
  <c r="D29" i="1"/>
  <c r="C35" i="1"/>
  <c r="M47" i="1"/>
  <c r="W29" i="1"/>
  <c r="G29" i="1"/>
  <c r="I47" i="1"/>
  <c r="U138" i="1"/>
  <c r="G35" i="1"/>
  <c r="Q43" i="1"/>
  <c r="R53" i="1"/>
  <c r="E129" i="1"/>
  <c r="Y98" i="1"/>
  <c r="K116" i="1"/>
  <c r="V35" i="1"/>
  <c r="G102" i="1"/>
  <c r="F105" i="1"/>
  <c r="T146" i="1"/>
  <c r="N143" i="1"/>
  <c r="U48" i="1"/>
  <c r="L43" i="1"/>
  <c r="H53" i="1"/>
  <c r="D129" i="1"/>
  <c r="V43" i="1"/>
  <c r="O43" i="1"/>
  <c r="J47" i="1"/>
  <c r="I29" i="1"/>
  <c r="B129" i="1"/>
  <c r="B136" i="1"/>
  <c r="T136" i="1"/>
  <c r="H125" i="1"/>
  <c r="H142" i="1"/>
  <c r="N53" i="1"/>
  <c r="L37" i="1"/>
  <c r="D30" i="1"/>
  <c r="Y134" i="1"/>
  <c r="C116" i="1"/>
  <c r="J104" i="1"/>
  <c r="E47" i="1"/>
  <c r="L48" i="1"/>
  <c r="W48" i="1"/>
  <c r="K45" i="1"/>
  <c r="R105" i="1"/>
  <c r="F129" i="1"/>
  <c r="I133" i="1"/>
  <c r="Z121" i="1"/>
  <c r="E134" i="1"/>
  <c r="H45" i="1"/>
  <c r="C37" i="1"/>
  <c r="S147" i="1"/>
  <c r="R107" i="1"/>
  <c r="P121" i="1"/>
  <c r="V105" i="1"/>
  <c r="R121" i="1"/>
  <c r="E105" i="1"/>
  <c r="S102" i="1"/>
  <c r="I125" i="1"/>
  <c r="N117" i="1"/>
  <c r="J102" i="1"/>
  <c r="G142" i="1"/>
  <c r="J105" i="1"/>
  <c r="L132" i="1"/>
  <c r="I45" i="1"/>
  <c r="Y105" i="1"/>
  <c r="G116" i="1"/>
  <c r="I30" i="1"/>
  <c r="O146" i="1"/>
  <c r="N37" i="1"/>
  <c r="M132" i="1"/>
  <c r="V147" i="1"/>
  <c r="G43" i="1"/>
  <c r="S146" i="1"/>
  <c r="Q136" i="1"/>
  <c r="P99" i="1"/>
  <c r="W107" i="1"/>
  <c r="P136" i="1"/>
  <c r="N38" i="1"/>
  <c r="D35" i="1"/>
  <c r="Q138" i="1"/>
  <c r="V47" i="1"/>
  <c r="H48" i="1"/>
  <c r="U147" i="1"/>
  <c r="K128" i="1"/>
  <c r="I43" i="1"/>
  <c r="E35" i="1"/>
  <c r="L146" i="1"/>
  <c r="Y121" i="1"/>
  <c r="L45" i="1"/>
  <c r="Z53" i="1"/>
  <c r="M30" i="1"/>
  <c r="D97" i="1"/>
  <c r="G37" i="1"/>
  <c r="E48" i="1"/>
  <c r="X136" i="1"/>
  <c r="D99" i="1"/>
  <c r="J112" i="1"/>
  <c r="B142" i="1"/>
  <c r="I105" i="1"/>
  <c r="W138" i="1"/>
  <c r="X35" i="1"/>
  <c r="H133" i="1"/>
  <c r="N98" i="1"/>
  <c r="S107" i="1"/>
  <c r="U134" i="1"/>
  <c r="R136" i="1"/>
  <c r="N45" i="1"/>
  <c r="B105" i="1"/>
  <c r="F30" i="1"/>
  <c r="M45" i="1"/>
  <c r="L97" i="1"/>
  <c r="O132" i="1"/>
  <c r="G125" i="1"/>
  <c r="R102" i="1"/>
  <c r="O128" i="1"/>
  <c r="D117" i="1"/>
  <c r="K122" i="1"/>
  <c r="S30" i="1"/>
  <c r="B47" i="1"/>
  <c r="R35" i="1"/>
  <c r="I32" i="1"/>
  <c r="M116" i="1"/>
  <c r="W98" i="1"/>
  <c r="Z107" i="1"/>
  <c r="Q121" i="1"/>
  <c r="V142" i="1"/>
  <c r="H134" i="1"/>
  <c r="H117" i="1"/>
  <c r="S143" i="1"/>
  <c r="J122" i="1"/>
  <c r="S136" i="1"/>
  <c r="N146" i="1"/>
  <c r="V98" i="1"/>
  <c r="F138" i="1"/>
  <c r="T122" i="1"/>
  <c r="P30" i="1"/>
  <c r="G107" i="1"/>
  <c r="E29" i="1"/>
  <c r="M37" i="1"/>
  <c r="U132" i="1"/>
  <c r="P102" i="1"/>
  <c r="R38" i="1"/>
  <c r="Q105" i="1"/>
  <c r="I138" i="1"/>
  <c r="J29" i="1"/>
  <c r="D128" i="1"/>
  <c r="F45" i="1"/>
  <c r="E99" i="1"/>
  <c r="T125" i="1"/>
  <c r="Z134" i="1"/>
  <c r="O32" i="1"/>
  <c r="E107" i="1"/>
  <c r="F133" i="1"/>
  <c r="R146" i="1"/>
  <c r="F99" i="1"/>
  <c r="V146" i="1"/>
  <c r="R147" i="1"/>
  <c r="V38" i="1"/>
  <c r="Q133" i="1"/>
  <c r="U112" i="1"/>
  <c r="Y99" i="1"/>
  <c r="O102" i="1"/>
  <c r="B112" i="1"/>
  <c r="W122" i="1"/>
  <c r="X107" i="1"/>
  <c r="Z45" i="1"/>
  <c r="R134" i="1"/>
  <c r="F122" i="1"/>
  <c r="O104" i="1"/>
  <c r="Z118" i="1"/>
  <c r="D98" i="1"/>
  <c r="C142" i="1"/>
  <c r="X47" i="1"/>
  <c r="K98" i="1"/>
  <c r="H146" i="1"/>
  <c r="D136" i="1"/>
  <c r="E147" i="1"/>
  <c r="X129" i="1"/>
  <c r="Q122" i="1"/>
  <c r="O142" i="1"/>
  <c r="W35" i="1"/>
  <c r="F117" i="1"/>
  <c r="W146" i="1"/>
  <c r="P43" i="1"/>
  <c r="D112" i="1"/>
  <c r="T142" i="1"/>
  <c r="Z117" i="1"/>
  <c r="M104" i="1"/>
  <c r="Q125" i="1"/>
  <c r="F97" i="1"/>
  <c r="Y32" i="1"/>
  <c r="F142" i="1"/>
  <c r="X48" i="1"/>
  <c r="T134" i="1"/>
  <c r="Q30" i="1"/>
  <c r="J142" i="1"/>
  <c r="G117" i="1"/>
  <c r="F132" i="1"/>
  <c r="Y136" i="1"/>
  <c r="U105" i="1"/>
  <c r="F136" i="1"/>
  <c r="E117" i="1"/>
  <c r="T132" i="1"/>
  <c r="O112" i="1"/>
  <c r="U122" i="1"/>
  <c r="U107" i="1"/>
  <c r="D134" i="1"/>
  <c r="E98" i="1"/>
  <c r="B48" i="1"/>
  <c r="Q48" i="1"/>
  <c r="L35" i="1"/>
  <c r="J32" i="1"/>
  <c r="O117" i="1"/>
  <c r="B122" i="1"/>
  <c r="K125" i="1"/>
  <c r="I121" i="1"/>
  <c r="F53" i="1"/>
  <c r="G53" i="1"/>
  <c r="J43" i="1"/>
  <c r="V129" i="1"/>
  <c r="M48" i="1"/>
  <c r="U121" i="1"/>
  <c r="E125" i="1"/>
  <c r="R37" i="1"/>
  <c r="H102" i="1"/>
  <c r="L107" i="1"/>
  <c r="E45" i="1"/>
  <c r="M38" i="1"/>
  <c r="G38" i="1"/>
  <c r="R116" i="1"/>
  <c r="J53" i="1"/>
  <c r="F43" i="1"/>
  <c r="J116" i="1"/>
  <c r="W47" i="1"/>
  <c r="D118" i="1"/>
  <c r="Z30" i="1"/>
  <c r="N104" i="1"/>
  <c r="Y116" i="1"/>
  <c r="J125" i="1"/>
  <c r="G122" i="1"/>
  <c r="P138" i="1"/>
  <c r="T30" i="1"/>
  <c r="O147" i="1"/>
  <c r="T47" i="1"/>
  <c r="L30" i="1"/>
  <c r="G104" i="1"/>
  <c r="E43" i="1"/>
  <c r="Y48" i="1"/>
  <c r="Y143" i="1"/>
  <c r="X38" i="1"/>
  <c r="R129" i="1"/>
  <c r="M107" i="1"/>
  <c r="B116" i="1"/>
  <c r="E104" i="1"/>
  <c r="H105" i="1"/>
  <c r="S134" i="1"/>
  <c r="Z138" i="1"/>
  <c r="T104" i="1"/>
  <c r="G134" i="1"/>
  <c r="L129" i="1"/>
  <c r="S29" i="1"/>
  <c r="L47" i="1"/>
  <c r="F98" i="1"/>
  <c r="N122" i="1"/>
  <c r="R112" i="1"/>
  <c r="B132" i="1"/>
  <c r="W53" i="1"/>
  <c r="U53" i="1"/>
  <c r="J147" i="1"/>
  <c r="W121" i="1"/>
  <c r="G48" i="1"/>
  <c r="B143" i="1"/>
  <c r="G133" i="1"/>
  <c r="T118" i="1"/>
  <c r="T128" i="1"/>
  <c r="Z47" i="1"/>
  <c r="B45" i="1"/>
  <c r="W30" i="1"/>
  <c r="O48" i="1"/>
  <c r="R122" i="1"/>
  <c r="S47" i="1"/>
  <c r="J35" i="1"/>
  <c r="F29" i="1"/>
  <c r="W143" i="1"/>
  <c r="H112" i="1"/>
  <c r="Y102" i="1"/>
  <c r="W133" i="1"/>
  <c r="M142" i="1"/>
  <c r="V133" i="1"/>
  <c r="Q117" i="1"/>
  <c r="B128" i="1"/>
  <c r="R117" i="1"/>
  <c r="B30" i="1"/>
  <c r="V45" i="1"/>
  <c r="K53" i="1"/>
  <c r="D45" i="1"/>
  <c r="S38" i="1"/>
  <c r="T143" i="1"/>
  <c r="G132" i="1"/>
  <c r="V107" i="1"/>
  <c r="V122" i="1"/>
  <c r="R132" i="1"/>
  <c r="X128" i="1"/>
  <c r="Y122" i="1"/>
  <c r="O107" i="1"/>
  <c r="G143" i="1"/>
  <c r="U104" i="1"/>
  <c r="Y147" i="1"/>
  <c r="Z98" i="1"/>
  <c r="N125" i="1"/>
  <c r="L98" i="1"/>
  <c r="C133" i="1"/>
  <c r="E128" i="1"/>
  <c r="J138" i="1"/>
  <c r="D37" i="1"/>
  <c r="T117" i="1"/>
  <c r="D102" i="1"/>
  <c r="I37" i="1"/>
  <c r="G136" i="1"/>
  <c r="M128" i="1"/>
  <c r="V116" i="1"/>
  <c r="I107" i="1"/>
  <c r="K146" i="1"/>
  <c r="T45" i="1"/>
  <c r="J118" i="1"/>
  <c r="T112" i="1"/>
  <c r="B138" i="1"/>
  <c r="P122" i="1"/>
  <c r="F104" i="1"/>
  <c r="Y112" i="1"/>
  <c r="P116" i="1"/>
  <c r="L134" i="1"/>
  <c r="C129" i="1"/>
  <c r="J121" i="1"/>
  <c r="H122" i="1"/>
  <c r="D132" i="1"/>
  <c r="M134" i="1"/>
  <c r="G118" i="1"/>
  <c r="B133" i="1"/>
  <c r="I116" i="1"/>
  <c r="U35" i="1"/>
  <c r="M43" i="1"/>
  <c r="X30" i="1"/>
  <c r="S105" i="1"/>
  <c r="D122" i="1"/>
  <c r="B102" i="1"/>
  <c r="T105" i="1"/>
  <c r="B107" i="1"/>
  <c r="Y132" i="1"/>
  <c r="K136" i="1"/>
  <c r="P146" i="1"/>
  <c r="S121" i="1"/>
  <c r="L99" i="1"/>
  <c r="R133" i="1"/>
  <c r="O118" i="1"/>
  <c r="B146" i="1"/>
  <c r="B117" i="1"/>
  <c r="W102" i="1"/>
  <c r="S99" i="1"/>
  <c r="N121" i="1"/>
  <c r="N133" i="1"/>
  <c r="C138" i="1"/>
  <c r="X112" i="1"/>
  <c r="Q134" i="1"/>
  <c r="N138" i="1"/>
  <c r="K118" i="1"/>
  <c r="U43" i="1"/>
  <c r="K104" i="1"/>
  <c r="R142" i="1"/>
  <c r="T121" i="1"/>
  <c r="I104" i="1"/>
  <c r="K121" i="1"/>
  <c r="I98" i="1"/>
  <c r="P129" i="1"/>
  <c r="Y129" i="1"/>
  <c r="W112" i="1"/>
  <c r="O97" i="1"/>
  <c r="P48" i="1"/>
  <c r="K107" i="1"/>
  <c r="W99" i="1"/>
  <c r="C122" i="1"/>
  <c r="S118" i="1"/>
  <c r="V132" i="1"/>
  <c r="P105" i="1"/>
  <c r="Q132" i="1"/>
  <c r="P112" i="1"/>
  <c r="P107" i="1"/>
  <c r="N132" i="1"/>
  <c r="H129" i="1"/>
  <c r="P104" i="1"/>
  <c r="W128" i="1"/>
  <c r="N112" i="1"/>
  <c r="C132" i="1"/>
  <c r="Y53" i="1"/>
  <c r="D116" i="1"/>
  <c r="W136" i="1"/>
  <c r="G146" i="1"/>
  <c r="H99" i="1"/>
  <c r="Z99" i="1"/>
  <c r="V117" i="1"/>
  <c r="W142" i="1"/>
  <c r="L122" i="1"/>
  <c r="Y104" i="1"/>
  <c r="I102" i="1"/>
  <c r="M112" i="1"/>
  <c r="G129" i="1"/>
  <c r="V136" i="1"/>
  <c r="J129" i="1"/>
  <c r="K132" i="1"/>
  <c r="P128" i="1"/>
  <c r="H116" i="1"/>
  <c r="X125" i="1"/>
  <c r="E102" i="1"/>
  <c r="L133" i="1"/>
  <c r="B134" i="1"/>
  <c r="J146" i="1"/>
  <c r="X121" i="1"/>
  <c r="Y138" i="1"/>
  <c r="R138" i="1"/>
  <c r="N116" i="1"/>
  <c r="S104" i="1"/>
  <c r="V112" i="1"/>
  <c r="S132" i="1"/>
  <c r="Q99" i="1"/>
  <c r="I134" i="1"/>
  <c r="Z132" i="1"/>
  <c r="O122" i="1"/>
  <c r="W105" i="1"/>
  <c r="C102" i="1"/>
  <c r="U118" i="1"/>
  <c r="V53" i="1"/>
  <c r="I147" i="1"/>
  <c r="C105" i="1"/>
  <c r="Z102" i="1"/>
  <c r="W132" i="1"/>
  <c r="G99" i="1"/>
  <c r="Z112" i="1"/>
  <c r="V118" i="1"/>
  <c r="E136" i="1"/>
  <c r="K129" i="1"/>
  <c r="L105" i="1"/>
  <c r="G105" i="1"/>
  <c r="F107" i="1"/>
  <c r="K112" i="1"/>
  <c r="N129" i="1"/>
  <c r="V134" i="1"/>
  <c r="D133" i="1"/>
  <c r="K105" i="1"/>
  <c r="C112" i="1"/>
  <c r="T48" i="1"/>
  <c r="C43" i="1"/>
  <c r="P147" i="1"/>
  <c r="G121" i="1"/>
  <c r="P118" i="1"/>
  <c r="B97" i="1"/>
  <c r="P134" i="1"/>
  <c r="P133" i="1"/>
  <c r="I99" i="1"/>
  <c r="C134" i="1"/>
  <c r="R125" i="1"/>
  <c r="K102" i="1"/>
  <c r="Y118" i="1"/>
  <c r="Y107" i="1"/>
  <c r="W104" i="1"/>
  <c r="Q102" i="1"/>
  <c r="Y125" i="1"/>
  <c r="O133" i="1"/>
  <c r="H136" i="1"/>
  <c r="R128" i="1"/>
  <c r="P132" i="1"/>
  <c r="U45" i="1"/>
  <c r="N105" i="1"/>
  <c r="S116" i="1"/>
  <c r="X104" i="1"/>
  <c r="Q104" i="1"/>
  <c r="Q118" i="1"/>
  <c r="S138" i="1"/>
  <c r="C98" i="1"/>
  <c r="E132" i="1"/>
  <c r="E122" i="1"/>
  <c r="X142" i="1"/>
  <c r="U99" i="1"/>
  <c r="D121" i="1"/>
  <c r="Q143" i="1"/>
  <c r="L142" i="1"/>
  <c r="C104" i="1"/>
  <c r="N128" i="1"/>
  <c r="M99" i="1"/>
  <c r="U136" i="1"/>
  <c r="F146" i="1"/>
  <c r="N134" i="1"/>
  <c r="W117" i="1"/>
  <c r="M98" i="1"/>
  <c r="C107" i="1"/>
  <c r="L104" i="1"/>
  <c r="N136" i="1"/>
  <c r="K117" i="1"/>
  <c r="M105" i="1"/>
  <c r="G97" i="1"/>
  <c r="K133" i="1"/>
  <c r="Y117" i="1"/>
  <c r="M102" i="1"/>
  <c r="I97" i="1"/>
  <c r="L128" i="1"/>
  <c r="L117" i="1"/>
  <c r="R104" i="1"/>
  <c r="I136" i="1"/>
  <c r="N97" i="1"/>
  <c r="P143" i="1"/>
  <c r="M117" i="1"/>
  <c r="Q112" i="1"/>
  <c r="Y47" i="1"/>
  <c r="B98" i="1"/>
  <c r="G138" i="1"/>
  <c r="K99" i="1"/>
  <c r="B121" i="1"/>
  <c r="Z104" i="1"/>
  <c r="S117" i="1"/>
  <c r="S129" i="1"/>
  <c r="E97" i="1"/>
  <c r="U116" i="1"/>
  <c r="H107" i="1"/>
  <c r="F143" i="1"/>
  <c r="V99" i="1"/>
  <c r="Q128" i="1"/>
  <c r="U98" i="1"/>
  <c r="D146" i="1"/>
  <c r="G128" i="1"/>
  <c r="H97" i="1"/>
  <c r="D38" i="1"/>
  <c r="C128" i="1"/>
  <c r="Z105" i="1"/>
  <c r="M138" i="1"/>
  <c r="H104" i="1"/>
  <c r="I146" i="1"/>
  <c r="Z136" i="1"/>
  <c r="V128" i="1"/>
  <c r="L102" i="1"/>
  <c r="Y128" i="1"/>
  <c r="X118" i="1"/>
  <c r="F116" i="1"/>
  <c r="E133" i="1"/>
  <c r="S112" i="1"/>
  <c r="I118" i="1"/>
  <c r="Q107" i="1"/>
  <c r="N107" i="1"/>
  <c r="W125" i="1"/>
  <c r="Y133" i="1"/>
  <c r="D104" i="1"/>
  <c r="P98" i="1"/>
  <c r="V138" i="1"/>
  <c r="O121" i="1"/>
  <c r="V143" i="1"/>
  <c r="T102" i="1"/>
  <c r="U128" i="1"/>
  <c r="J98" i="1"/>
  <c r="S122" i="1"/>
  <c r="G112" i="1"/>
  <c r="Y146" i="1"/>
  <c r="K97" i="1"/>
  <c r="V102" i="1"/>
  <c r="I112" i="1"/>
  <c r="I117" i="1"/>
  <c r="T133" i="1"/>
  <c r="J99" i="1"/>
  <c r="M136" i="1"/>
  <c r="R118" i="1"/>
  <c r="X146" i="1"/>
  <c r="U146" i="1"/>
  <c r="O105" i="1"/>
  <c r="L138" i="1"/>
  <c r="N118" i="1"/>
  <c r="O99" i="1"/>
  <c r="J134" i="1"/>
  <c r="C146" i="1"/>
  <c r="E112" i="1"/>
  <c r="X122" i="1"/>
  <c r="J136" i="1"/>
  <c r="V121" i="1"/>
  <c r="T98" i="1"/>
  <c r="D107" i="1"/>
  <c r="H138" i="1"/>
  <c r="Z146" i="1"/>
  <c r="C97" i="1"/>
  <c r="X99" i="1"/>
  <c r="M133" i="1"/>
  <c r="F125" i="1"/>
  <c r="R98" i="1"/>
  <c r="Z125" i="1"/>
  <c r="H98" i="1"/>
  <c r="O116" i="1"/>
  <c r="L143" i="1"/>
  <c r="H118" i="1"/>
  <c r="U30" i="1"/>
  <c r="L116" i="1"/>
  <c r="S98" i="1"/>
  <c r="J89" i="130" a="1"/>
  <c r="BE93" i="130" a="1"/>
  <c r="BH87" i="130" a="1"/>
  <c r="BF97" i="130" a="1"/>
  <c r="BJ95" i="130" a="1"/>
  <c r="AK84" i="130" a="1"/>
  <c r="AS93" i="130" a="1"/>
  <c r="L56" i="130" a="1"/>
  <c r="AL87" i="130" a="1"/>
  <c r="BI87" i="130" a="1"/>
  <c r="J55" i="130" a="1"/>
  <c r="AR95" i="130" a="1"/>
  <c r="AO85" i="130" a="1"/>
  <c r="AE87" i="130" a="1"/>
  <c r="AO84" i="130" a="1"/>
  <c r="AL84" i="130" a="1"/>
  <c r="AH93" i="130" a="1"/>
  <c r="BC55" i="130" a="1"/>
  <c r="M87" i="130" a="1"/>
  <c r="AW87" i="130" a="1"/>
  <c r="AJ54" i="130" a="1"/>
  <c r="AJ95" i="130" a="1"/>
  <c r="AE85" i="130" a="1"/>
  <c r="V87" i="130" a="1"/>
  <c r="AB84" i="130" a="1"/>
  <c r="Z84" i="130" a="1"/>
  <c r="R89" i="130" a="1"/>
  <c r="AY86" i="130" a="1"/>
  <c r="L82" i="130" a="1"/>
  <c r="AV50" i="130" a="1"/>
  <c r="BI90" i="130" a="1"/>
  <c r="AR57" i="130" a="1"/>
  <c r="BD94" i="130" a="1"/>
  <c r="BC96" i="130" a="1"/>
  <c r="BI93" i="130" a="1"/>
  <c r="BF93" i="130" a="1"/>
  <c r="AJ77" i="130" a="1"/>
  <c r="C84" i="130" a="1"/>
  <c r="E96" i="130" a="1"/>
  <c r="AN58" i="130" a="1"/>
  <c r="AF60" i="130" a="1"/>
  <c r="AF91" i="130" a="1"/>
  <c r="BD86" i="130" a="1"/>
  <c r="K56" i="130" a="1"/>
  <c r="K83" i="130" a="1"/>
  <c r="E83" i="130" a="1"/>
  <c r="AB81" i="130" a="1"/>
  <c r="G61" i="130" a="1"/>
  <c r="D93" i="130" a="1"/>
  <c r="M55" i="130" a="1"/>
  <c r="BG56" i="130" a="1"/>
  <c r="F88" i="130" a="1"/>
  <c r="T58" i="130" a="1"/>
  <c r="AL89" i="130" a="1"/>
  <c r="AT92" i="130" a="1"/>
  <c r="R86" i="130" a="1"/>
  <c r="G97" i="130" a="1"/>
  <c r="BC94" i="130" a="1"/>
  <c r="AX83" i="130" a="1"/>
  <c r="I50" i="130" a="1"/>
  <c r="AK51" i="130" a="1"/>
  <c r="Z97" i="130" a="1"/>
  <c r="Y97" i="130" a="1"/>
  <c r="BG78" i="130" a="1"/>
  <c r="M95" i="130" a="1"/>
  <c r="AY57" i="130" a="1"/>
  <c r="O89" i="130" a="1"/>
  <c r="AN85" i="130" a="1"/>
  <c r="W60" i="130" a="1"/>
  <c r="W97" i="130" a="1"/>
  <c r="D90" i="130" a="1"/>
  <c r="L92" i="130" a="1"/>
  <c r="BG51" i="130" a="1"/>
  <c r="G89" i="130" a="1"/>
  <c r="AK91" i="130" a="1"/>
  <c r="O85" i="130" a="1"/>
  <c r="O96" i="130" a="1"/>
  <c r="BG93" i="130" a="1"/>
  <c r="BB82" i="130" a="1"/>
  <c r="AD97" i="130" a="1"/>
  <c r="AY50" i="130" a="1"/>
  <c r="BA96" i="130" a="1"/>
  <c r="AQ97" i="130" a="1"/>
  <c r="K91" i="130" a="1"/>
  <c r="BF86" i="130" a="1"/>
  <c r="G78" i="130" a="1"/>
  <c r="AU81" i="130" a="1"/>
  <c r="T72" i="130" a="1"/>
  <c r="X79" i="130" a="1"/>
  <c r="BF69" i="130" a="1"/>
  <c r="M77" i="130" a="1"/>
  <c r="AL86" i="130" a="1"/>
  <c r="AD83" i="130" a="1"/>
  <c r="P60" i="130" a="1"/>
  <c r="D77" i="130" a="1"/>
  <c r="BD80" i="130" a="1"/>
  <c r="AC71" i="130" a="1"/>
  <c r="AG78" i="130" a="1"/>
  <c r="F69" i="130" a="1"/>
  <c r="V76" i="130" a="1"/>
  <c r="BD66" i="130" a="1"/>
  <c r="BD60" i="130" a="1"/>
  <c r="AG88" i="130" a="1"/>
  <c r="AO50" i="130" a="1"/>
  <c r="L94" i="130" a="1"/>
  <c r="AR90" i="130" a="1"/>
  <c r="BC78" i="130" a="1"/>
  <c r="BK55" i="130" a="1"/>
  <c r="BD72" i="130" a="1"/>
  <c r="BH79" i="130" a="1"/>
  <c r="AG70" i="130" a="1"/>
  <c r="AW77" i="130" a="1"/>
  <c r="V68" i="130" a="1"/>
  <c r="G54" i="130" a="1"/>
  <c r="AN65" i="130" a="1"/>
  <c r="AE44" i="130" a="1"/>
  <c r="Y87" i="130" a="1"/>
  <c r="AM93" i="130" a="1"/>
  <c r="AU92" i="130" a="1"/>
  <c r="T73" i="130" a="1"/>
  <c r="AI77" i="130" a="1"/>
  <c r="H68" i="130" a="1"/>
  <c r="L75" i="130" a="1"/>
  <c r="AH56" i="130" a="1"/>
  <c r="BH56" i="130" a="1"/>
  <c r="AR87" i="130" a="1"/>
  <c r="AA87" i="130" a="1"/>
  <c r="Y72" i="130" a="1"/>
  <c r="AN76" i="130" a="1"/>
  <c r="M67" i="130" a="1"/>
  <c r="Q74" i="130" a="1"/>
  <c r="AG81" i="130" a="1"/>
  <c r="F72" i="130" a="1"/>
  <c r="AE63" i="130" a="1"/>
  <c r="H60" i="130" a="1"/>
  <c r="AR97" i="130" a="1"/>
  <c r="AJ93" i="130" a="1"/>
  <c r="AL79" i="130" a="1"/>
  <c r="AM59" i="130" a="1"/>
  <c r="AA73" i="130" a="1"/>
  <c r="AE80" i="130" a="1"/>
  <c r="P85" i="130" a="1"/>
  <c r="AZ91" i="130" a="1"/>
  <c r="W91" i="130" a="1"/>
  <c r="D73" i="130" a="1"/>
  <c r="S77" i="130" a="1"/>
  <c r="BA67" i="130" a="1"/>
  <c r="BE74" i="130" a="1"/>
  <c r="AO58" i="130" a="1"/>
  <c r="AJ58" i="130" a="1"/>
  <c r="AR56" i="130" a="1"/>
  <c r="H58" i="130" a="1"/>
  <c r="X58" i="130" a="1"/>
  <c r="AD56" i="130" a="1"/>
  <c r="Q76" i="130" a="1"/>
  <c r="T80" i="130" a="1"/>
  <c r="BB70" i="130" a="1"/>
  <c r="BF77" i="130" a="1"/>
  <c r="BD87" i="130" a="1"/>
  <c r="I75" i="130" a="1"/>
  <c r="AZ67" i="130" a="1"/>
  <c r="T70" i="130" a="1"/>
  <c r="AS47" i="130" a="1"/>
  <c r="Q64" i="130" a="1"/>
  <c r="Q42" i="130" a="1"/>
  <c r="BI72" i="130" a="1"/>
  <c r="BD75" i="130" a="1"/>
  <c r="BC75" i="130" a="1"/>
  <c r="BK63" i="130" a="1"/>
  <c r="AE41" i="130" a="1"/>
  <c r="AC46" i="130" a="1"/>
  <c r="G65" i="130" a="1"/>
  <c r="BD51" i="130" a="1"/>
  <c r="G77" i="130" a="1"/>
  <c r="BK68" i="130" a="1"/>
  <c r="K71" i="130" a="1"/>
  <c r="AS55" i="130" a="1"/>
  <c r="BI64" i="130" a="1"/>
  <c r="BI42" i="130" a="1"/>
  <c r="BC61" i="130" a="1"/>
  <c r="AX40" i="130" a="1"/>
  <c r="BF47" i="130" a="1"/>
  <c r="AC38" i="130" a="1"/>
  <c r="BK28" i="130" a="1"/>
  <c r="J36" i="130" a="1"/>
  <c r="AR26" i="130" a="1"/>
  <c r="AQ34" i="130" a="1"/>
  <c r="P25" i="130" a="1"/>
  <c r="AF32" i="130" a="1"/>
  <c r="BI89" i="130" a="1"/>
  <c r="P91" i="130" a="1"/>
  <c r="BE84" i="130" a="1"/>
  <c r="AB59" i="130" a="1"/>
  <c r="AX93" i="130" a="1"/>
  <c r="AP82" i="130" a="1"/>
  <c r="C91" i="130" a="1"/>
  <c r="Y51" i="130" a="1"/>
  <c r="AP84" i="130" a="1"/>
  <c r="BD85" i="130" a="1"/>
  <c r="K97" i="130" a="1"/>
  <c r="AF93" i="130" a="1"/>
  <c r="AO82" i="130" a="1"/>
  <c r="W85" i="130" a="1"/>
  <c r="P61" i="130" a="1"/>
  <c r="K61" i="130" a="1"/>
  <c r="BA90" i="130" a="1"/>
  <c r="R51" i="130" a="1"/>
  <c r="Y84" i="130" a="1"/>
  <c r="AR85" i="130" a="1"/>
  <c r="BD96" i="130" a="1"/>
  <c r="V93" i="130" a="1"/>
  <c r="AE82" i="130" a="1"/>
  <c r="I85" i="130" a="1"/>
  <c r="BK60" i="130" a="1"/>
  <c r="BC60" i="130" a="1"/>
  <c r="AH89" i="130" a="1"/>
  <c r="I84" i="130" a="1"/>
  <c r="K96" i="130" a="1"/>
  <c r="AH95" i="130" a="1"/>
  <c r="AI87" i="130" a="1"/>
  <c r="BK54" i="130" a="1"/>
  <c r="AR92" i="130" a="1"/>
  <c r="AP94" i="130" a="1"/>
  <c r="AY91" i="130" a="1"/>
  <c r="AV91" i="130" a="1"/>
  <c r="AW76" i="130" a="1"/>
  <c r="BH81" i="130" a="1"/>
  <c r="Q93" i="130" a="1"/>
  <c r="AC55" i="130" a="1"/>
  <c r="AF57" i="130" a="1"/>
  <c r="Q88" i="130" a="1"/>
  <c r="AP59" i="130" a="1"/>
  <c r="BH85" i="130" a="1"/>
  <c r="AX56" i="130" a="1"/>
  <c r="AM56" i="130" a="1"/>
  <c r="AO80" i="130" a="1"/>
  <c r="AQ95" i="130" a="1"/>
  <c r="X90" i="130" a="1"/>
  <c r="BH50" i="130" a="1"/>
  <c r="H50" i="130" a="1"/>
  <c r="BJ85" i="130" a="1"/>
  <c r="BF51" i="130" a="1"/>
  <c r="AG89" i="130" a="1"/>
  <c r="C90" i="130" a="1"/>
  <c r="AY83" i="130" a="1"/>
  <c r="AG56" i="130" a="1"/>
  <c r="AG92" i="130" a="1"/>
  <c r="N61" i="130" a="1"/>
  <c r="AJ96" i="130" a="1"/>
  <c r="BI97" i="130" a="1"/>
  <c r="AD95" i="130" a="1"/>
  <c r="Z95" i="130" a="1"/>
  <c r="K78" i="130" a="1"/>
  <c r="AL92" i="130" a="1"/>
  <c r="AE54" i="130" a="1"/>
  <c r="Z89" i="130" a="1"/>
  <c r="AC83" i="130" a="1"/>
  <c r="F95" i="130" a="1"/>
  <c r="AK94" i="130" a="1"/>
  <c r="AT86" i="130" a="1"/>
  <c r="AE88" i="130" a="1"/>
  <c r="S50" i="130" a="1"/>
  <c r="D89" i="130" a="1"/>
  <c r="BK87" i="130" a="1"/>
  <c r="BJ82" i="130" a="1"/>
  <c r="AZ51" i="130" a="1"/>
  <c r="AH91" i="130" a="1"/>
  <c r="AK59" i="130" a="1"/>
  <c r="AI95" i="130" a="1"/>
  <c r="V97" i="130" a="1"/>
  <c r="AN94" i="130" a="1"/>
  <c r="D87" i="130" a="1"/>
  <c r="W84" i="130" a="1"/>
  <c r="X61" i="130" a="1"/>
  <c r="H77" i="130" a="1"/>
  <c r="BH80" i="130" a="1"/>
  <c r="AG71" i="130" a="1"/>
  <c r="AK78" i="130" a="1"/>
  <c r="J69" i="130" a="1"/>
  <c r="Z76" i="130" a="1"/>
  <c r="AQ54" i="130" a="1"/>
  <c r="O57" i="130" a="1"/>
  <c r="AF85" i="130" a="1"/>
  <c r="E76" i="130" a="1"/>
  <c r="H80" i="130" a="1"/>
  <c r="AP70" i="130" a="1"/>
  <c r="AT77" i="130" a="1"/>
  <c r="S68" i="130" a="1"/>
  <c r="AI75" i="130" a="1"/>
  <c r="BI68" i="130" a="1"/>
  <c r="AG55" i="130" a="1"/>
  <c r="U84" i="130" a="1"/>
  <c r="AU94" i="130" a="1"/>
  <c r="AB88" i="130" a="1"/>
  <c r="AI85" i="130" a="1"/>
  <c r="BD77" i="130" a="1"/>
  <c r="AI81" i="130" a="1"/>
  <c r="H72" i="130" a="1"/>
  <c r="L79" i="130" a="1"/>
  <c r="AT69" i="130" a="1"/>
  <c r="BJ76" i="130" a="1"/>
  <c r="AI67" i="130" a="1"/>
  <c r="U47" i="130" a="1"/>
  <c r="BA64" i="130" a="1"/>
  <c r="AR43" i="130" a="1"/>
  <c r="X60" i="130" a="1"/>
  <c r="P88" i="130" a="1"/>
  <c r="AX87" i="130" a="1"/>
  <c r="AG72" i="130" a="1"/>
  <c r="AV76" i="130" a="1"/>
  <c r="U67" i="130" a="1"/>
  <c r="Y74" i="130" a="1"/>
  <c r="AD94" i="130" a="1"/>
  <c r="AB97" i="130" a="1"/>
  <c r="AM82" i="130" a="1"/>
  <c r="AR82" i="130" a="1"/>
  <c r="AL71" i="130" a="1"/>
  <c r="BA75" i="130" a="1"/>
  <c r="C60" i="130" a="1"/>
  <c r="AD73" i="130" a="1"/>
  <c r="AT80" i="130" a="1"/>
  <c r="S71" i="130" a="1"/>
  <c r="AR62" i="130" a="1"/>
  <c r="AO96" i="130" a="1"/>
  <c r="O93" i="130" a="1"/>
  <c r="K88" i="130" a="1"/>
  <c r="AM78" i="130" a="1"/>
  <c r="AY54" i="130" a="1"/>
  <c r="AN72" i="130" a="1"/>
  <c r="I89" i="130" a="1"/>
  <c r="AC56" i="130" a="1"/>
  <c r="AC86" i="130" a="1"/>
  <c r="E87" i="130" a="1"/>
  <c r="Q72" i="130" a="1"/>
  <c r="AF76" i="130" a="1"/>
  <c r="E67" i="130" a="1"/>
  <c r="I74" i="130" a="1"/>
  <c r="W92" i="130" a="1"/>
  <c r="O83" i="130" a="1"/>
  <c r="V56" i="130" a="1"/>
  <c r="BG91" i="130" a="1"/>
  <c r="AZ82" i="130" a="1"/>
  <c r="AM55" i="130" a="1"/>
  <c r="V75" i="130" a="1"/>
  <c r="AG79" i="130" a="1"/>
  <c r="F70" i="130" a="1"/>
  <c r="J77" i="130" a="1"/>
  <c r="BJ87" i="130" a="1"/>
  <c r="AV72" i="130" a="1"/>
  <c r="AC66" i="130" a="1"/>
  <c r="U69" i="130" a="1"/>
  <c r="AX46" i="130" a="1"/>
  <c r="Z63" i="130" a="1"/>
  <c r="AD41" i="130" a="1"/>
  <c r="AM70" i="130" a="1"/>
  <c r="E74" i="130" a="1"/>
  <c r="AR74" i="130" a="1"/>
  <c r="G63" i="130" a="1"/>
  <c r="AN40" i="130" a="1"/>
  <c r="AL45" i="130" a="1"/>
  <c r="T64" i="130" a="1"/>
  <c r="AZ60" i="130" a="1"/>
  <c r="AT74" i="130" a="1"/>
  <c r="AR67" i="130" a="1"/>
  <c r="L70" i="130" a="1"/>
  <c r="AK47" i="130" a="1"/>
  <c r="I64" i="130" a="1"/>
  <c r="I42" i="130" a="1"/>
  <c r="AF59" i="130" a="1"/>
  <c r="BK39" i="130" a="1"/>
  <c r="J47" i="130" a="1"/>
  <c r="AP37" i="130" a="1"/>
  <c r="O28" i="130" a="1"/>
  <c r="W35" i="130" a="1"/>
  <c r="BE25" i="130" a="1"/>
  <c r="BD33" i="130" a="1"/>
  <c r="AC24" i="130" a="1"/>
  <c r="AS31" i="130" a="1"/>
  <c r="R22" i="130" a="1"/>
  <c r="F75" i="130" a="1"/>
  <c r="AD77" i="130" a="1"/>
  <c r="BB76" i="130" a="1"/>
  <c r="AX64" i="130" a="1"/>
  <c r="N42" i="130" a="1"/>
  <c r="L47" i="130" a="1"/>
  <c r="AU65" i="130" a="1"/>
  <c r="AP44" i="130" a="1"/>
  <c r="AB63" i="130" a="1"/>
  <c r="W42" i="130" a="1"/>
  <c r="BC32" i="130" a="1"/>
  <c r="AB23" i="130" a="1"/>
  <c r="AJ30" i="130" a="1"/>
  <c r="AI38" i="130" a="1"/>
  <c r="H29" i="130" a="1"/>
  <c r="X36" i="130" a="1"/>
  <c r="AM87" i="130" a="1"/>
  <c r="Q67" i="130" a="1"/>
  <c r="Z80" i="130" a="1"/>
  <c r="AZ66" i="130" a="1"/>
  <c r="AR44" i="130" a="1"/>
  <c r="AU60" i="130" a="1"/>
  <c r="AN39" i="130" a="1"/>
  <c r="BH46" i="130" a="1"/>
  <c r="AK80" i="130" a="1"/>
  <c r="J81" i="130" a="1"/>
  <c r="C79" i="130" a="1"/>
  <c r="J67" i="130" a="1"/>
  <c r="L77" i="130" a="1"/>
  <c r="BE78" i="130" a="1"/>
  <c r="AS77" i="130" a="1"/>
  <c r="AG65" i="130" a="1"/>
  <c r="BB42" i="130" a="1"/>
  <c r="AZ47" i="130" a="1"/>
  <c r="AE66" i="130" a="1"/>
  <c r="Q45" i="130" a="1"/>
  <c r="C64" i="130" a="1"/>
  <c r="BG42" i="130" a="1"/>
  <c r="AD33" i="130" a="1"/>
  <c r="C24" i="130" a="1"/>
  <c r="K31" i="130" a="1"/>
  <c r="BE39" i="130" a="1"/>
  <c r="AR29" i="130" a="1"/>
  <c r="BH36" i="130" a="1"/>
  <c r="E85" i="130" a="1"/>
  <c r="AP66" i="130" a="1"/>
  <c r="BK79" i="130" a="1"/>
  <c r="AF66" i="130" a="1"/>
  <c r="AF44" i="130" a="1"/>
  <c r="BE59" i="130" a="1"/>
  <c r="AC97" i="130" a="1"/>
  <c r="AI73" i="130" a="1"/>
  <c r="BI66" i="130" a="1"/>
  <c r="AK69" i="130" a="1"/>
  <c r="E47" i="130" a="1"/>
  <c r="AP63" i="130" a="1"/>
  <c r="AT41" i="130" a="1"/>
  <c r="BI57" i="130" a="1"/>
  <c r="N96" i="130" a="1"/>
  <c r="BK89" i="130" a="1"/>
  <c r="AT87" i="130" a="1"/>
  <c r="AX82" i="130" a="1"/>
  <c r="AH51" i="130" a="1"/>
  <c r="Z91" i="130" a="1"/>
  <c r="AE58" i="130" a="1"/>
  <c r="AJ87" i="130" a="1"/>
  <c r="AV97" i="130" a="1"/>
  <c r="AH82" i="130" a="1"/>
  <c r="BC83" i="130" a="1"/>
  <c r="AE94" i="130" a="1"/>
  <c r="N91" i="130" a="1"/>
  <c r="AS59" i="130" a="1"/>
  <c r="AB82" i="130" a="1"/>
  <c r="AP58" i="130" a="1"/>
  <c r="W56" i="130" a="1"/>
  <c r="G87" i="130" a="1"/>
  <c r="AP97" i="130" a="1"/>
  <c r="V82" i="130" a="1"/>
  <c r="AT83" i="130" a="1"/>
  <c r="P94" i="130" a="1"/>
  <c r="D91" i="130" a="1"/>
  <c r="AD59" i="130" a="1"/>
  <c r="Q82" i="130" a="1"/>
  <c r="AD58" i="130" a="1"/>
  <c r="E56" i="130" a="1"/>
  <c r="X89" i="130" a="1"/>
  <c r="E82" i="130" a="1"/>
  <c r="X93" i="130" a="1"/>
  <c r="S93" i="130" a="1"/>
  <c r="AA85" i="130" a="1"/>
  <c r="AV57" i="130" a="1"/>
  <c r="AB90" i="130" a="1"/>
  <c r="AD92" i="130" a="1"/>
  <c r="AF88" i="130" a="1"/>
  <c r="AC88" i="130" a="1"/>
  <c r="BJ75" i="130" a="1"/>
  <c r="BC95" i="130" a="1"/>
  <c r="AJ90" i="130" a="1"/>
  <c r="F51" i="130" a="1"/>
  <c r="X50" i="130" a="1"/>
  <c r="K86" i="130" a="1"/>
  <c r="AH54" i="130" a="1"/>
  <c r="K58" i="130" a="1"/>
  <c r="J51" i="130" a="1"/>
  <c r="I51" i="130" a="1"/>
  <c r="AQ89" i="130" a="1"/>
  <c r="BF92" i="130" a="1"/>
  <c r="AH86" i="130" a="1"/>
  <c r="L97" i="130" a="1"/>
  <c r="D95" i="130" a="1"/>
  <c r="BF83" i="130" a="1"/>
  <c r="Q50" i="130" a="1"/>
  <c r="AM89" i="130" a="1"/>
  <c r="L86" i="130" a="1"/>
  <c r="BG60" i="130" a="1"/>
  <c r="BE97" i="130" a="1"/>
  <c r="AF90" i="130" a="1"/>
  <c r="J57" i="130" a="1"/>
  <c r="W94" i="130" a="1"/>
  <c r="W96" i="130" a="1"/>
  <c r="W93" i="130" a="1"/>
  <c r="T93" i="130" a="1"/>
  <c r="X77" i="130" a="1"/>
  <c r="BA88" i="130" a="1"/>
  <c r="AK50" i="130" a="1"/>
  <c r="N89" i="130" a="1"/>
  <c r="N60" i="130" a="1"/>
  <c r="AE92" i="130" a="1"/>
  <c r="O92" i="130" a="1"/>
  <c r="AE84" i="130" a="1"/>
  <c r="AD85" i="130" a="1"/>
  <c r="AK96" i="130" a="1"/>
  <c r="L89" i="130" a="1"/>
  <c r="BK84" i="130" a="1"/>
  <c r="AV59" i="130" a="1"/>
  <c r="AD96" i="130" a="1"/>
  <c r="V88" i="130" a="1"/>
  <c r="BE55" i="130" a="1"/>
  <c r="AE93" i="130" a="1"/>
  <c r="S95" i="130" a="1"/>
  <c r="AA92" i="130" a="1"/>
  <c r="AU55" i="130" a="1"/>
  <c r="BB57" i="130" a="1"/>
  <c r="U86" i="130" a="1"/>
  <c r="I76" i="130" a="1"/>
  <c r="L80" i="130" a="1"/>
  <c r="AT70" i="130" a="1"/>
  <c r="AX77" i="130" a="1"/>
  <c r="W68" i="130" a="1"/>
  <c r="AM75" i="130" a="1"/>
  <c r="AU88" i="130" a="1"/>
  <c r="AN57" i="130" a="1"/>
  <c r="AN54" i="130" a="1"/>
  <c r="J75" i="130" a="1"/>
  <c r="U79" i="130" a="1"/>
  <c r="BC69" i="130" a="1"/>
  <c r="BG76" i="130" a="1"/>
  <c r="AF67" i="130" a="1"/>
  <c r="AV74" i="130" a="1"/>
  <c r="M88" i="130" a="1"/>
  <c r="E94" i="130" a="1"/>
  <c r="BJ81" i="130" a="1"/>
  <c r="AQ84" i="130" a="1"/>
  <c r="BD82" i="130" a="1"/>
  <c r="AJ59" i="130" a="1"/>
  <c r="BE76" i="130" a="1"/>
  <c r="AV80" i="130" a="1"/>
  <c r="U71" i="130" a="1"/>
  <c r="Y78" i="130" a="1"/>
  <c r="BG68" i="130" a="1"/>
  <c r="N76" i="130" a="1"/>
  <c r="AV66" i="130" a="1"/>
  <c r="AH46" i="130" a="1"/>
  <c r="E64" i="130" a="1"/>
  <c r="BE42" i="130" a="1"/>
  <c r="AA54" i="130" a="1"/>
  <c r="N83" i="130" a="1"/>
  <c r="AX84" i="130" a="1"/>
  <c r="AT71" i="130" a="1"/>
  <c r="BI75" i="130" a="1"/>
  <c r="AH66" i="130" a="1"/>
  <c r="AL73" i="130" a="1"/>
  <c r="BK56" i="130" a="1"/>
  <c r="BA91" i="130" a="1"/>
  <c r="E58" i="130" a="1"/>
  <c r="BA56" i="130" a="1"/>
  <c r="AY70" i="130" a="1"/>
  <c r="E75" i="130" a="1"/>
  <c r="C55" i="130" a="1"/>
  <c r="AQ72" i="130" a="1"/>
  <c r="BG79" i="130" a="1"/>
  <c r="AF70" i="130" a="1"/>
  <c r="BE61" i="130" a="1"/>
  <c r="BK91" i="130" a="1"/>
  <c r="AD86" i="130" a="1"/>
  <c r="J83" i="130" a="1"/>
  <c r="AF77" i="130" a="1"/>
  <c r="S81" i="130" a="1"/>
  <c r="BA71" i="130" a="1"/>
  <c r="O88" i="130" a="1"/>
  <c r="AY96" i="130" a="1"/>
  <c r="AV60" i="130" a="1"/>
  <c r="W82" i="130" a="1"/>
  <c r="AD71" i="130" a="1"/>
  <c r="BG89" i="130" a="1"/>
  <c r="AU84" i="130" a="1"/>
  <c r="AI59" i="130" a="1"/>
  <c r="BK95" i="130" a="1"/>
  <c r="I88" i="130" a="1"/>
  <c r="AP55" i="130" a="1"/>
  <c r="AM84" i="130" a="1"/>
  <c r="AL96" i="130" a="1"/>
  <c r="T59" i="130" a="1"/>
  <c r="R61" i="130" a="1"/>
  <c r="I92" i="130" a="1"/>
  <c r="AY87" i="130" a="1"/>
  <c r="AW56" i="130" a="1"/>
  <c r="BJ84" i="130" a="1"/>
  <c r="AT84" i="130" a="1"/>
  <c r="AN81" i="130" a="1"/>
  <c r="V84" i="130" a="1"/>
  <c r="AA96" i="130" a="1"/>
  <c r="E59" i="130" a="1"/>
  <c r="F61" i="130" a="1"/>
  <c r="BC91" i="130" a="1"/>
  <c r="AN87" i="130" a="1"/>
  <c r="AL56" i="130" a="1"/>
  <c r="P84" i="130" a="1"/>
  <c r="J84" i="130" a="1"/>
  <c r="AJ81" i="130" a="1"/>
  <c r="I96" i="130" a="1"/>
  <c r="AT58" i="130" a="1"/>
  <c r="AT90" i="130" a="1"/>
  <c r="BK90" i="130" a="1"/>
  <c r="AF83" i="130" a="1"/>
  <c r="AI50" i="130" a="1"/>
  <c r="W87" i="130" a="1"/>
  <c r="L90" i="130" a="1"/>
  <c r="Z86" i="130" a="1"/>
  <c r="W86" i="130" a="1"/>
  <c r="AU89" i="130" a="1"/>
  <c r="G93" i="130" a="1"/>
  <c r="AW86" i="130" a="1"/>
  <c r="AA97" i="130" a="1"/>
  <c r="T95" i="130" a="1"/>
  <c r="D84" i="130" a="1"/>
  <c r="Y50" i="130" a="1"/>
  <c r="BC51" i="130" a="1"/>
  <c r="AN97" i="130" a="1"/>
  <c r="AM97" i="130" a="1"/>
  <c r="AK89" i="130" a="1"/>
  <c r="P90" i="130" a="1"/>
  <c r="BG83" i="130" a="1"/>
  <c r="H57" i="130" a="1"/>
  <c r="AW92" i="130" a="1"/>
  <c r="Z61" i="130" a="1"/>
  <c r="AX96" i="130" a="1"/>
  <c r="AA89" i="130" a="1"/>
  <c r="AS83" i="130" a="1"/>
  <c r="AG95" i="130" a="1"/>
  <c r="BE94" i="130" a="1"/>
  <c r="K87" i="130" a="1"/>
  <c r="BE51" i="130" a="1"/>
  <c r="J92" i="130" a="1"/>
  <c r="I94" i="130" a="1"/>
  <c r="O91" i="130" a="1"/>
  <c r="L91" i="130" a="1"/>
  <c r="AK76" i="130" a="1"/>
  <c r="D86" i="130" a="1"/>
  <c r="BB96" i="130" a="1"/>
  <c r="BK94" i="130" a="1"/>
  <c r="AJ57" i="130" a="1"/>
  <c r="AT88" i="130" a="1"/>
  <c r="G90" i="130" a="1"/>
  <c r="BA57" i="130" a="1"/>
  <c r="S83" i="130" a="1"/>
  <c r="BA94" i="130" a="1"/>
  <c r="AV89" i="130" a="1"/>
  <c r="BA82" i="130" a="1"/>
  <c r="U94" i="130" a="1"/>
  <c r="C94" i="130" a="1"/>
  <c r="N86" i="130" a="1"/>
  <c r="Q51" i="130" a="1"/>
  <c r="U91" i="130" a="1"/>
  <c r="L93" i="130" a="1"/>
  <c r="J90" i="130" a="1"/>
  <c r="Q90" i="130" a="1"/>
  <c r="V61" i="130" a="1"/>
  <c r="E55" i="130" a="1"/>
  <c r="N75" i="130" a="1"/>
  <c r="Y79" i="130" a="1"/>
  <c r="BG69" i="130" a="1"/>
  <c r="BK76" i="130" a="1"/>
  <c r="AJ67" i="130" a="1"/>
  <c r="AZ74" i="130" a="1"/>
  <c r="U50" i="130" a="1"/>
  <c r="G50" i="130" a="1"/>
  <c r="N97" i="130" a="1"/>
  <c r="S74" i="130" a="1"/>
  <c r="AH78" i="130" a="1"/>
  <c r="G69" i="130" a="1"/>
  <c r="K76" i="130" a="1"/>
  <c r="AS66" i="130" a="1"/>
  <c r="BI73" i="130" a="1"/>
  <c r="L83" i="130" a="1"/>
  <c r="AJ84" i="130" a="1"/>
  <c r="AW50" i="130" a="1"/>
  <c r="AL97" i="130" a="1"/>
  <c r="O55" i="130" a="1"/>
  <c r="AM61" i="130" a="1"/>
  <c r="BB75" i="130" a="1"/>
  <c r="BI79" i="130" a="1"/>
  <c r="AH70" i="130" a="1"/>
  <c r="AL77" i="130" a="1"/>
  <c r="K68" i="130" a="1"/>
  <c r="AA75" i="130" a="1"/>
  <c r="AC68" i="130" a="1"/>
  <c r="AU45" i="130" a="1"/>
  <c r="R63" i="130" a="1"/>
  <c r="BK82" i="130" a="1"/>
  <c r="R92" i="130" a="1"/>
  <c r="AS60" i="130" a="1"/>
  <c r="P58" i="130" a="1"/>
  <c r="BG70" i="130" a="1"/>
  <c r="M75" i="130" a="1"/>
  <c r="AN55" i="130" a="1"/>
  <c r="AY72" i="130" a="1"/>
  <c r="AN92" i="130" a="1"/>
  <c r="M82" i="130" a="1"/>
  <c r="M50" i="130" a="1"/>
  <c r="D81" i="130" a="1"/>
  <c r="C70" i="130" a="1"/>
  <c r="R74" i="130" a="1"/>
  <c r="V81" i="130" a="1"/>
  <c r="BD71" i="130" a="1"/>
  <c r="K79" i="130" a="1"/>
  <c r="AS69" i="130" a="1"/>
  <c r="AR59" i="130" a="1"/>
  <c r="X82" i="130" a="1"/>
  <c r="V60" i="130" a="1"/>
  <c r="AS57" i="130" a="1"/>
  <c r="AC76" i="130" a="1"/>
  <c r="AF80" i="130" a="1"/>
  <c r="E71" i="130" a="1"/>
  <c r="J50" i="130" a="1"/>
  <c r="V91" i="130" a="1"/>
  <c r="AR55" i="130" a="1"/>
  <c r="AO54" i="130" a="1"/>
  <c r="AQ70" i="130" a="1"/>
  <c r="BF74" i="130" a="1"/>
  <c r="AF54" i="130" a="1"/>
  <c r="AI72" i="130" a="1"/>
  <c r="AS92" i="130" a="1"/>
  <c r="BF95" i="130" a="1"/>
  <c r="BF94" i="130" a="1"/>
  <c r="G91" i="130" a="1"/>
  <c r="AT95" i="130" a="1"/>
  <c r="AV94" i="130" a="1"/>
  <c r="AR73" i="130" a="1"/>
  <c r="BG77" i="130" a="1"/>
  <c r="AF68" i="130" a="1"/>
  <c r="AJ75" i="130" a="1"/>
  <c r="H93" i="130" a="1"/>
  <c r="D68" i="130" a="1"/>
  <c r="AP80" i="130" a="1"/>
  <c r="K67" i="130" a="1"/>
  <c r="C45" i="130" a="1"/>
  <c r="AN61" i="130" a="1"/>
  <c r="AL88" i="130" a="1"/>
  <c r="AK79" i="130" a="1"/>
  <c r="Y70" i="130" a="1"/>
  <c r="V72" i="130" a="1"/>
  <c r="BK59" i="130" a="1"/>
  <c r="BD65" i="130" a="1"/>
  <c r="BD43" i="130" a="1"/>
  <c r="AT62" i="130" a="1"/>
  <c r="J59" i="130" a="1"/>
  <c r="BK69" i="130" a="1"/>
  <c r="AO81" i="130" a="1"/>
  <c r="BK67" i="130" a="1"/>
  <c r="AQ45" i="130" a="1"/>
  <c r="W62" i="130" a="1"/>
  <c r="AI40" i="130" a="1"/>
  <c r="BC47" i="130" a="1"/>
  <c r="AT67" i="130" a="1"/>
  <c r="AJ45" i="130" a="1"/>
  <c r="G36" i="130" a="1"/>
  <c r="AO26" i="130" a="1"/>
  <c r="AW33" i="130" a="1"/>
  <c r="V24" i="130" a="1"/>
  <c r="U32" i="130" a="1"/>
  <c r="BC22" i="130" a="1"/>
  <c r="J30" i="130" a="1"/>
  <c r="J21" i="130" a="1"/>
  <c r="S70" i="130" a="1"/>
  <c r="AT73" i="130" a="1"/>
  <c r="AF74" i="130" a="1"/>
  <c r="BH62" i="130" a="1"/>
  <c r="AF40" i="130" a="1"/>
  <c r="AD45" i="130" a="1"/>
  <c r="L64" i="130" a="1"/>
  <c r="AR89" i="130" a="1"/>
  <c r="AQ82" i="130" a="1"/>
  <c r="BK93" i="130" a="1"/>
  <c r="BA93" i="130" a="1"/>
  <c r="C86" i="130" a="1"/>
  <c r="H59" i="130" a="1"/>
  <c r="AF82" i="130" a="1"/>
  <c r="AY93" i="130" a="1"/>
  <c r="S56" i="130" a="1"/>
  <c r="BB58" i="130" a="1"/>
  <c r="BJ88" i="130" a="1"/>
  <c r="AD61" i="130" a="1"/>
  <c r="Q54" i="130" a="1"/>
  <c r="AH57" i="130" a="1"/>
  <c r="AB57" i="130" a="1"/>
  <c r="BA80" i="130" a="1"/>
  <c r="T82" i="130" a="1"/>
  <c r="AN93" i="130" a="1"/>
  <c r="C56" i="130" a="1"/>
  <c r="AC58" i="130" a="1"/>
  <c r="AR88" i="130" a="1"/>
  <c r="BH60" i="130" a="1"/>
  <c r="X87" i="130" a="1"/>
  <c r="S57" i="130" a="1"/>
  <c r="Q57" i="130" a="1"/>
  <c r="AW80" i="130" a="1"/>
  <c r="U93" i="130" a="1"/>
  <c r="AI55" i="130" a="1"/>
  <c r="BC86" i="130" a="1"/>
  <c r="AK87" i="130" a="1"/>
  <c r="BI51" i="130" a="1"/>
  <c r="Y95" i="130" a="1"/>
  <c r="K85" i="130" a="1"/>
  <c r="J87" i="130" a="1"/>
  <c r="AJ83" i="130" a="1"/>
  <c r="AH83" i="130" a="1"/>
  <c r="AO89" i="130" a="1"/>
  <c r="Z90" i="130" a="1"/>
  <c r="H84" i="130" a="1"/>
  <c r="AM57" i="130" a="1"/>
  <c r="BI92" i="130" a="1"/>
  <c r="BG81" i="130" a="1"/>
  <c r="BE96" i="130" a="1"/>
  <c r="O50" i="130" a="1"/>
  <c r="BE95" i="130" a="1"/>
  <c r="AY95" i="130" a="1"/>
  <c r="BB89" i="130" a="1"/>
  <c r="V86" i="130" a="1"/>
  <c r="AA61" i="130" a="1"/>
  <c r="L50" i="130" a="1"/>
  <c r="AP90" i="130" a="1"/>
  <c r="T57" i="130" a="1"/>
  <c r="AI94" i="130" a="1"/>
  <c r="H89" i="130" a="1"/>
  <c r="AR60" i="130" a="1"/>
  <c r="AX92" i="130" a="1"/>
  <c r="AJ92" i="130" a="1"/>
  <c r="BC84" i="130" a="1"/>
  <c r="G56" i="130" a="1"/>
  <c r="BC88" i="130" a="1"/>
  <c r="BH91" i="130" a="1"/>
  <c r="BG87" i="130" a="1"/>
  <c r="BF87" i="130" a="1"/>
  <c r="AX75" i="130" a="1"/>
  <c r="AO83" i="130" a="1"/>
  <c r="W95" i="130" a="1"/>
  <c r="Z92" i="130" a="1"/>
  <c r="R54" i="130" a="1"/>
  <c r="AY85" i="130" a="1"/>
  <c r="AU86" i="130" a="1"/>
  <c r="AM50" i="130" a="1"/>
  <c r="F60" i="130" a="1"/>
  <c r="P92" i="130" a="1"/>
  <c r="B2" i="125" a="1"/>
  <c r="AL59" i="130" a="1"/>
  <c r="AQ91" i="130" a="1"/>
  <c r="AM91" i="130" a="1"/>
  <c r="F84" i="130" a="1"/>
  <c r="AL51" i="130" a="1"/>
  <c r="E88" i="130" a="1"/>
  <c r="I91" i="130" a="1"/>
  <c r="H87" i="130" a="1"/>
  <c r="BF50" i="130" a="1"/>
  <c r="AR50" i="130" a="1"/>
  <c r="S97" i="130" a="1"/>
  <c r="W74" i="130" a="1"/>
  <c r="AL78" i="130" a="1"/>
  <c r="K69" i="130" a="1"/>
  <c r="O76" i="130" a="1"/>
  <c r="AW66" i="130" a="1"/>
  <c r="D74" i="130" a="1"/>
  <c r="AN90" i="130" a="1"/>
  <c r="T94" i="130" a="1"/>
  <c r="AG93" i="130" a="1"/>
  <c r="AF73" i="130" a="1"/>
  <c r="AU77" i="130" a="1"/>
  <c r="T68" i="130" a="1"/>
  <c r="X75" i="130" a="1"/>
  <c r="U58" i="130" a="1"/>
  <c r="M73" i="130" a="1"/>
  <c r="X85" i="130" a="1"/>
  <c r="N51" i="130" a="1"/>
  <c r="R95" i="130" a="1"/>
  <c r="BK86" i="130" a="1"/>
  <c r="AZ56" i="130" a="1"/>
  <c r="AY51" i="130" a="1"/>
  <c r="BG74" i="130" a="1"/>
  <c r="M79" i="130" a="1"/>
  <c r="AU69" i="130" a="1"/>
  <c r="AY76" i="130" a="1"/>
  <c r="X67" i="130" a="1"/>
  <c r="AN74" i="130" a="1"/>
  <c r="D66" i="130" a="1"/>
  <c r="BH44" i="130" a="1"/>
  <c r="AE62" i="130" a="1"/>
  <c r="U95" i="130" a="1"/>
  <c r="X83" i="130" a="1"/>
  <c r="AH50" i="130" a="1"/>
  <c r="L81" i="130" a="1"/>
  <c r="K70" i="130" a="1"/>
  <c r="Z74" i="130" a="1"/>
  <c r="AD81" i="130" a="1"/>
  <c r="C72" i="130" a="1"/>
  <c r="AI60" i="130" a="1"/>
  <c r="BB97" i="130" a="1"/>
  <c r="AC94" i="130" a="1"/>
  <c r="AP79" i="130" a="1"/>
  <c r="G60" i="130" a="1"/>
  <c r="AE73" i="130" a="1"/>
  <c r="AI80" i="130" a="1"/>
  <c r="H71" i="130" a="1"/>
  <c r="X78" i="130" a="1"/>
  <c r="BF68" i="130" a="1"/>
  <c r="AB56" i="130" a="1"/>
  <c r="V94" i="130" a="1"/>
  <c r="N85" i="130" a="1"/>
  <c r="Z58" i="130" a="1"/>
  <c r="AH75" i="130" a="1"/>
  <c r="AS79" i="130" a="1"/>
  <c r="R70" i="130" a="1"/>
  <c r="BJ91" i="130" a="1"/>
  <c r="N57" i="130" a="1"/>
  <c r="T97" i="130" a="1"/>
  <c r="BE80" i="130" a="1"/>
  <c r="BD69" i="130" a="1"/>
  <c r="J74" i="130" a="1"/>
  <c r="N81" i="130" a="1"/>
  <c r="AV71" i="130" a="1"/>
  <c r="D85" i="130" a="1"/>
  <c r="AO91" i="130" a="1"/>
  <c r="BJ90" i="130" a="1"/>
  <c r="AN83" i="130" a="1"/>
  <c r="AE91" i="130" a="1"/>
  <c r="AO90" i="130" a="1"/>
  <c r="BE72" i="130" a="1"/>
  <c r="K77" i="130" a="1"/>
  <c r="AS67" i="130" a="1"/>
  <c r="AW74" i="130" a="1"/>
  <c r="AO57" i="130" a="1"/>
  <c r="V55" i="130" a="1"/>
  <c r="AM79" i="130" a="1"/>
  <c r="P69" i="130" a="1"/>
  <c r="H44" i="130" a="1"/>
  <c r="AA58" i="130" a="1"/>
  <c r="AQ51" i="130" a="1"/>
  <c r="O77" i="130" a="1"/>
  <c r="N69" i="130" a="1"/>
  <c r="O71" i="130" a="1"/>
  <c r="BH55" i="130" a="1"/>
  <c r="D65" i="130" a="1"/>
  <c r="D43" i="130" a="1"/>
  <c r="BG61" i="130" a="1"/>
  <c r="AC90" i="130" a="1"/>
  <c r="AO67" i="130" a="1"/>
  <c r="AH80" i="130" a="1"/>
  <c r="C67" i="130" a="1"/>
  <c r="AZ44" i="130" a="1"/>
  <c r="M61" i="130" a="1"/>
  <c r="AV39" i="130" a="1"/>
  <c r="G47" i="130" a="1"/>
  <c r="BB65" i="130" a="1"/>
  <c r="AW44" i="130" a="1"/>
  <c r="T35" i="130" a="1"/>
  <c r="BB25" i="130" a="1"/>
  <c r="BJ32" i="130" a="1"/>
  <c r="AI23" i="130" a="1"/>
  <c r="AH31" i="130" a="1"/>
  <c r="BC38" i="130" a="1"/>
  <c r="W29" i="130" a="1"/>
  <c r="BC59" i="130" a="1"/>
  <c r="AM81" i="130" a="1"/>
  <c r="AZ71" i="130" a="1"/>
  <c r="Y73" i="130" a="1"/>
  <c r="BI61" i="130" a="1"/>
  <c r="AL67" i="130" a="1"/>
  <c r="AM44" i="130" a="1"/>
  <c r="Y63" i="130" a="1"/>
  <c r="T42" i="130" a="1"/>
  <c r="AC59" i="130" a="1"/>
  <c r="BJ39" i="130" a="1"/>
  <c r="AG30" i="130" a="1"/>
  <c r="AO37" i="130" a="1"/>
  <c r="N28" i="130" a="1"/>
  <c r="AR96" i="130" a="1"/>
  <c r="Y59" i="130" a="1"/>
  <c r="AC91" i="130" a="1"/>
  <c r="AB91" i="130" a="1"/>
  <c r="BH83" i="130" a="1"/>
  <c r="W51" i="130" a="1"/>
  <c r="AC96" i="130" a="1"/>
  <c r="M91" i="130" a="1"/>
  <c r="AC51" i="130" a="1"/>
  <c r="P51" i="130" a="1"/>
  <c r="AO86" i="130" a="1"/>
  <c r="AH55" i="130" a="1"/>
  <c r="BA60" i="130" a="1"/>
  <c r="AR51" i="130" a="1"/>
  <c r="AP51" i="130" a="1"/>
  <c r="E80" i="130" a="1"/>
  <c r="S96" i="130" a="1"/>
  <c r="BG90" i="130" a="1"/>
  <c r="U51" i="130" a="1"/>
  <c r="BJ50" i="130" a="1"/>
  <c r="AG86" i="130" a="1"/>
  <c r="S55" i="130" a="1"/>
  <c r="J60" i="130" a="1"/>
  <c r="AG51" i="130" a="1"/>
  <c r="AD51" i="130" a="1"/>
  <c r="BJ79" i="130" a="1"/>
  <c r="AQ90" i="130" a="1"/>
  <c r="K51" i="130" a="1"/>
  <c r="N84" i="130" a="1"/>
  <c r="AC85" i="130" a="1"/>
  <c r="AM96" i="130" a="1"/>
  <c r="K93" i="130" a="1"/>
  <c r="S82" i="130" a="1"/>
  <c r="BI84" i="130" a="1"/>
  <c r="AT60" i="130" a="1"/>
  <c r="AO60" i="130" a="1"/>
  <c r="BF89" i="130" a="1"/>
  <c r="AI86" i="130" a="1"/>
  <c r="C82" i="130" a="1"/>
  <c r="AE50" i="130" a="1"/>
  <c r="AY90" i="130" a="1"/>
  <c r="AE57" i="130" a="1"/>
  <c r="AS94" i="130" a="1"/>
  <c r="AV96" i="130" a="1"/>
  <c r="AW93" i="130" a="1"/>
  <c r="AT93" i="130" a="1"/>
  <c r="AB89" i="130" a="1"/>
  <c r="BA83" i="130" a="1"/>
  <c r="AX95" i="130" a="1"/>
  <c r="K95" i="130" a="1"/>
  <c r="T87" i="130" a="1"/>
  <c r="P54" i="130" a="1"/>
  <c r="V92" i="130" a="1"/>
  <c r="AC95" i="130" a="1"/>
  <c r="BJ57" i="130" a="1"/>
  <c r="I90" i="130" a="1"/>
  <c r="AH90" i="130" a="1"/>
  <c r="AV58" i="130" a="1"/>
  <c r="AU97" i="130" a="1"/>
  <c r="BB86" i="130" a="1"/>
  <c r="AS88" i="130" a="1"/>
  <c r="AZ85" i="130" a="1"/>
  <c r="AX85" i="130" a="1"/>
  <c r="BK74" i="130" a="1"/>
  <c r="AE60" i="130" a="1"/>
  <c r="AP92" i="130" a="1"/>
  <c r="AQ88" i="130" a="1"/>
  <c r="Z50" i="130" a="1"/>
  <c r="AG83" i="130" a="1"/>
  <c r="AG84" i="130" a="1"/>
  <c r="AB95" i="130" a="1"/>
  <c r="AO94" i="130" a="1"/>
  <c r="AJ88" i="130" a="1"/>
  <c r="R94" i="130" a="1"/>
  <c r="AT56" i="130" a="1"/>
  <c r="H88" i="130" a="1"/>
  <c r="X88" i="130" a="1"/>
  <c r="P56" i="130" a="1"/>
  <c r="H96" i="130" a="1"/>
  <c r="BE85" i="130" a="1"/>
  <c r="BC87" i="130" a="1"/>
  <c r="BH84" i="130" a="1"/>
  <c r="AX90" i="130" a="1"/>
  <c r="L95" i="130" a="1"/>
  <c r="Z94" i="130" a="1"/>
  <c r="AJ73" i="130" a="1"/>
  <c r="AY77" i="130" a="1"/>
  <c r="X68" i="130" a="1"/>
  <c r="AB75" i="130" a="1"/>
  <c r="AR58" i="130" a="1"/>
  <c r="Q73" i="130" a="1"/>
  <c r="F83" i="130" a="1"/>
  <c r="BB88" i="130" a="1"/>
  <c r="H90" i="130" a="1"/>
  <c r="AS72" i="130" a="1"/>
  <c r="BH76" i="130" a="1"/>
  <c r="AG67" i="130" a="1"/>
  <c r="AK74" i="130" a="1"/>
  <c r="BA81" i="130" a="1"/>
  <c r="Z72" i="130" a="1"/>
  <c r="BB51" i="130" a="1"/>
  <c r="V95" i="130" a="1"/>
  <c r="F91" i="130" a="1"/>
  <c r="AL95" i="130" a="1"/>
  <c r="AO97" i="130" a="1"/>
  <c r="BF96" i="130" a="1"/>
  <c r="K74" i="130" a="1"/>
  <c r="Z78" i="130" a="1"/>
  <c r="BH68" i="130" a="1"/>
  <c r="C76" i="130" a="1"/>
  <c r="AK66" i="130" a="1"/>
  <c r="BA73" i="130" a="1"/>
  <c r="Q65" i="130" a="1"/>
  <c r="L44" i="130" a="1"/>
  <c r="AR61" i="130" a="1"/>
  <c r="W83" i="130" a="1"/>
  <c r="AZ50" i="130" a="1"/>
  <c r="BI94" i="130" a="1"/>
  <c r="BB79" i="130" a="1"/>
  <c r="X69" i="130" a="1"/>
  <c r="AM73" i="130" a="1"/>
  <c r="AQ80" i="130" a="1"/>
  <c r="P71" i="130" a="1"/>
  <c r="BG96" i="130" a="1"/>
  <c r="AQ93" i="130" a="1"/>
  <c r="BH88" i="130" a="1"/>
  <c r="AQ78" i="130" a="1"/>
  <c r="I55" i="130" a="1"/>
  <c r="AR72" i="130" a="1"/>
  <c r="AV79" i="130" a="1"/>
  <c r="U70" i="130" a="1"/>
  <c r="AK77" i="130" a="1"/>
  <c r="J68" i="130" a="1"/>
  <c r="BE47" i="130" a="1"/>
  <c r="T84" i="130" a="1"/>
  <c r="AS51" i="130" a="1"/>
  <c r="AF50" i="130" a="1"/>
  <c r="AQ74" i="130" a="1"/>
  <c r="BF78" i="130" a="1"/>
  <c r="AE69" i="130" a="1"/>
  <c r="BF59" i="130" a="1"/>
  <c r="AK97" i="130" a="1"/>
  <c r="I93" i="130" a="1"/>
  <c r="AH79" i="130" a="1"/>
  <c r="N59" i="130" a="1"/>
  <c r="W73" i="130" a="1"/>
  <c r="AA80" i="130" a="1"/>
  <c r="P89" i="130" a="1"/>
  <c r="J56" i="130" a="1"/>
  <c r="P86" i="130" a="1"/>
  <c r="AZ89" i="130" a="1"/>
  <c r="AW51" i="130" a="1"/>
  <c r="BK85" i="130" a="1"/>
  <c r="BG85" i="130" a="1"/>
  <c r="BH93" i="130" a="1"/>
  <c r="AF56" i="130" a="1"/>
  <c r="BA87" i="130" a="1"/>
  <c r="J88" i="130" a="1"/>
  <c r="AJ55" i="130" a="1"/>
  <c r="E89" i="130" a="1"/>
  <c r="AO93" i="130" a="1"/>
  <c r="AS87" i="130" a="1"/>
  <c r="AZ97" i="130" a="1"/>
  <c r="AW95" i="130" a="1"/>
  <c r="AC84" i="130" a="1"/>
  <c r="AT50" i="130" a="1"/>
  <c r="K55" i="130" a="1"/>
  <c r="E50" i="130" a="1"/>
  <c r="C50" i="130" a="1"/>
  <c r="BH89" i="130" a="1"/>
  <c r="AD93" i="130" a="1"/>
  <c r="R87" i="130" a="1"/>
  <c r="AS97" i="130" a="1"/>
  <c r="AM95" i="130" a="1"/>
  <c r="R84" i="130" a="1"/>
  <c r="AL50" i="130" a="1"/>
  <c r="BD54" i="130" a="1"/>
  <c r="BG97" i="130" a="1"/>
  <c r="BD97" i="130" a="1"/>
  <c r="N79" i="130" a="1"/>
  <c r="AZ86" i="130" a="1"/>
  <c r="AE97" i="130" a="1"/>
  <c r="I82" i="130" a="1"/>
  <c r="AK83" i="130" a="1"/>
  <c r="G94" i="130" a="1"/>
  <c r="BC90" i="130" a="1"/>
  <c r="Q59" i="130" a="1"/>
  <c r="BF81" i="130" a="1"/>
  <c r="Q58" i="130" a="1"/>
  <c r="AW55" i="130" a="1"/>
  <c r="AE89" i="130" a="1"/>
  <c r="BK83" i="130" a="1"/>
  <c r="C96" i="130" a="1"/>
  <c r="X95" i="130" a="1"/>
  <c r="Z87" i="130" a="1"/>
  <c r="AS54" i="130" a="1"/>
  <c r="AH92" i="130" a="1"/>
  <c r="AF94" i="130" a="1"/>
  <c r="AL91" i="130" a="1"/>
  <c r="AJ91" i="130" a="1"/>
  <c r="M89" i="130" a="1"/>
  <c r="BJ60" i="130" a="1"/>
  <c r="BK92" i="130" a="1"/>
  <c r="AY92" i="130" a="1"/>
  <c r="H85" i="130" a="1"/>
  <c r="AP56" i="130" a="1"/>
  <c r="E90" i="130" a="1"/>
  <c r="AV92" i="130" a="1"/>
  <c r="AW54" i="130" a="1"/>
  <c r="Q86" i="130" a="1"/>
  <c r="L87" i="130" a="1"/>
  <c r="M51" i="130" a="1"/>
  <c r="AX94" i="130" a="1"/>
  <c r="AV84" i="130" a="1"/>
  <c r="AR86" i="130" a="1"/>
  <c r="BI82" i="130" a="1"/>
  <c r="BF82" i="130" a="1"/>
  <c r="BJ89" i="130" a="1"/>
  <c r="J95" i="130" a="1"/>
  <c r="BI88" i="130" a="1"/>
  <c r="AQ85" i="130" a="1"/>
  <c r="AS96" i="130" a="1"/>
  <c r="T60" i="130" a="1"/>
  <c r="AJ82" i="130" a="1"/>
  <c r="AT89" i="130" a="1"/>
  <c r="G92" i="130" a="1"/>
  <c r="AL85" i="130" a="1"/>
  <c r="AN91" i="130" a="1"/>
  <c r="AM51" i="130" a="1"/>
  <c r="L85" i="130" a="1"/>
  <c r="S86" i="130" a="1"/>
  <c r="AX97" i="130" a="1"/>
  <c r="BB93" i="130" a="1"/>
  <c r="G83" i="130" a="1"/>
  <c r="AU85" i="130" a="1"/>
  <c r="AL61" i="130" a="1"/>
  <c r="R83" i="130" a="1"/>
  <c r="AV90" i="130" a="1"/>
  <c r="R90" i="130" a="1"/>
  <c r="AW72" i="130" a="1"/>
  <c r="C77" i="130" a="1"/>
  <c r="AK67" i="130" a="1"/>
  <c r="AO74" i="130" a="1"/>
  <c r="BE81" i="130" a="1"/>
  <c r="AD72" i="130" a="1"/>
  <c r="Z51" i="130" a="1"/>
  <c r="AR84" i="130" a="1"/>
  <c r="M85" i="130" a="1"/>
  <c r="BF71" i="130" a="1"/>
  <c r="L76" i="130" a="1"/>
  <c r="AT66" i="130" a="1"/>
  <c r="AX73" i="130" a="1"/>
  <c r="E81" i="130" a="1"/>
  <c r="AM71" i="130" a="1"/>
  <c r="AU96" i="130" a="1"/>
  <c r="AK88" i="130" a="1"/>
  <c r="AS85" i="130" a="1"/>
  <c r="AF87" i="130" a="1"/>
  <c r="AZ93" i="130" a="1"/>
  <c r="BH92" i="130" a="1"/>
  <c r="X73" i="130" a="1"/>
  <c r="AM77" i="130" a="1"/>
  <c r="L68" i="130" a="1"/>
  <c r="P75" i="130" a="1"/>
  <c r="G57" i="130" a="1"/>
  <c r="E73" i="130" a="1"/>
  <c r="AD64" i="130" a="1"/>
  <c r="Y43" i="130" a="1"/>
  <c r="BK58" i="130" a="1"/>
  <c r="W50" i="130" a="1"/>
  <c r="D94" i="130" a="1"/>
  <c r="AD90" i="130" a="1"/>
  <c r="AY78" i="130" a="1"/>
  <c r="AT55" i="130" a="1"/>
  <c r="AZ72" i="130" a="1"/>
  <c r="BD79" i="130" a="1"/>
  <c r="AC70" i="130" a="1"/>
  <c r="X92" i="130" a="1"/>
  <c r="AS86" i="130" a="1"/>
  <c r="AZ84" i="130" a="1"/>
  <c r="AR77" i="130" a="1"/>
  <c r="W81" i="130" a="1"/>
  <c r="BE71" i="130" a="1"/>
  <c r="BI78" i="130" a="1"/>
  <c r="AH69" i="130" a="1"/>
  <c r="AX76" i="130" a="1"/>
  <c r="W67" i="130" a="1"/>
  <c r="AV87" i="130" a="1"/>
  <c r="BC97" i="130" a="1"/>
  <c r="AV82" i="130" a="1"/>
  <c r="BI83" i="130" a="1"/>
  <c r="AQ94" i="130" a="1"/>
  <c r="AY89" i="130" a="1"/>
  <c r="AG87" i="130" a="1"/>
  <c r="AN82" i="130" a="1"/>
  <c r="S51" i="130" a="1"/>
  <c r="R91" i="130" a="1"/>
  <c r="O58" i="130" a="1"/>
  <c r="N95" i="130" a="1"/>
  <c r="I97" i="130" a="1"/>
  <c r="S94" i="130" a="1"/>
  <c r="Q94" i="130" a="1"/>
  <c r="AI89" i="130" a="1"/>
  <c r="BJ86" i="130" a="1"/>
  <c r="Z82" i="130" a="1"/>
  <c r="D51" i="130" a="1"/>
  <c r="H91" i="130" a="1"/>
  <c r="BK57" i="130" a="1"/>
  <c r="E95" i="130" a="1"/>
  <c r="BI96" i="130" a="1"/>
  <c r="H94" i="130" a="1"/>
  <c r="F94" i="130" a="1"/>
  <c r="AN77" i="130" a="1"/>
  <c r="H82" i="130" a="1"/>
  <c r="Z93" i="130" a="1"/>
  <c r="AL55" i="130" a="1"/>
  <c r="BE57" i="130" a="1"/>
  <c r="AD88" i="130" a="1"/>
  <c r="AA60" i="130" a="1"/>
  <c r="AN86" i="130" a="1"/>
  <c r="D57" i="130" a="1"/>
  <c r="BJ56" i="130" a="1"/>
  <c r="AS80" i="130" a="1"/>
  <c r="BI95" i="130" a="1"/>
  <c r="AF58" i="130" a="1"/>
  <c r="AG90" i="130" a="1"/>
  <c r="BB90" i="130" a="1"/>
  <c r="T83" i="130" a="1"/>
  <c r="P50" i="130" a="1"/>
  <c r="O87" i="130" a="1"/>
  <c r="BK88" i="130" a="1"/>
  <c r="M86" i="130" a="1"/>
  <c r="G86" i="130" a="1"/>
  <c r="BG92" i="130" a="1"/>
  <c r="F55" i="130" a="1"/>
  <c r="AF86" i="130" a="1"/>
  <c r="U87" i="130" a="1"/>
  <c r="AA51" i="130" a="1"/>
  <c r="BG94" i="130" a="1"/>
  <c r="BD84" i="130" a="1"/>
  <c r="O86" i="130" a="1"/>
  <c r="BK96" i="130" a="1"/>
  <c r="BE60" i="130" a="1"/>
  <c r="BG82" i="130" a="1"/>
  <c r="AI93" i="130" a="1"/>
  <c r="V90" i="130" a="1"/>
  <c r="AU58" i="130" a="1"/>
  <c r="E61" i="130" a="1"/>
  <c r="AD57" i="130" a="1"/>
  <c r="BB54" i="130" a="1"/>
  <c r="V89" i="130" a="1"/>
  <c r="AY88" i="130" a="1"/>
  <c r="AR83" i="130" a="1"/>
  <c r="Q60" i="130" a="1"/>
  <c r="AF92" i="130" a="1"/>
  <c r="Y54" i="130" a="1"/>
  <c r="T55" i="130" a="1"/>
  <c r="K89" i="130" a="1"/>
  <c r="AB85" i="130" a="1"/>
  <c r="L60" i="130" a="1"/>
  <c r="G85" i="130" a="1"/>
  <c r="J96" i="130" a="1"/>
  <c r="AQ59" i="130" a="1"/>
  <c r="D82" i="130" a="1"/>
  <c r="AC92" i="130" a="1"/>
  <c r="N88" i="130" a="1"/>
  <c r="AL57" i="130" a="1"/>
  <c r="AE86" i="130" a="1"/>
  <c r="AA94" i="130" a="1"/>
  <c r="AB94" i="130" a="1"/>
  <c r="AT85" i="130" a="1"/>
  <c r="M60" i="130" a="1"/>
  <c r="N71" i="130" a="1"/>
  <c r="AC75" i="130" a="1"/>
  <c r="X57" i="130" a="1"/>
  <c r="F73" i="130" a="1"/>
  <c r="V80" i="130" a="1"/>
  <c r="Z85" i="130" a="1"/>
  <c r="C88" i="130" a="1"/>
  <c r="BK50" i="130" a="1"/>
  <c r="AR81" i="130" a="1"/>
  <c r="W70" i="130" a="1"/>
  <c r="AL74" i="130" a="1"/>
  <c r="AP81" i="130" a="1"/>
  <c r="O72" i="130" a="1"/>
  <c r="AE79" i="130" a="1"/>
  <c r="D70" i="130" a="1"/>
  <c r="O54" i="130" a="1"/>
  <c r="AD55" i="130" a="1"/>
  <c r="AL82" i="130" a="1"/>
  <c r="BJ54" i="130" a="1"/>
  <c r="AA83" i="130" a="1"/>
  <c r="BG84" i="130" a="1"/>
  <c r="AX71" i="130" a="1"/>
  <c r="D76" i="130" a="1"/>
  <c r="AL66" i="130" a="1"/>
  <c r="AP73" i="130" a="1"/>
  <c r="BF80" i="130" a="1"/>
  <c r="AE71" i="130" a="1"/>
  <c r="BD62" i="130" a="1"/>
  <c r="AY41" i="130" a="1"/>
  <c r="AN47" i="130" a="1"/>
  <c r="X84" i="130" a="1"/>
  <c r="J61" i="130" a="1"/>
  <c r="V59" i="130" a="1"/>
  <c r="AS76" i="130" a="1"/>
  <c r="AR80" i="130" a="1"/>
  <c r="Q71" i="130" a="1"/>
  <c r="U78" i="130" a="1"/>
  <c r="BC68" i="130" a="1"/>
  <c r="AR94" i="130" a="1"/>
  <c r="Z54" i="130" a="1"/>
  <c r="AX59" i="130" a="1"/>
  <c r="AL75" i="130" a="1"/>
  <c r="AW79" i="130" a="1"/>
  <c r="V70" i="130" a="1"/>
  <c r="Z77" i="130" a="1"/>
  <c r="BH67" i="130" a="1"/>
  <c r="O75" i="130" a="1"/>
  <c r="AP67" i="130" a="1"/>
  <c r="S89" i="130" a="1"/>
  <c r="AU56" i="130" a="1"/>
  <c r="BA86" i="130" a="1"/>
  <c r="P87" i="130" a="1"/>
  <c r="U72" i="130" a="1"/>
  <c r="AJ76" i="130" a="1"/>
  <c r="I67" i="130" a="1"/>
  <c r="N82" i="130" a="1"/>
  <c r="BI59" i="130" a="1"/>
  <c r="BE56" i="130" a="1"/>
  <c r="Y76" i="130" a="1"/>
  <c r="AB80" i="130" a="1"/>
  <c r="BJ70" i="130" a="1"/>
  <c r="E78" i="130" a="1"/>
  <c r="BG88" i="130" a="1"/>
  <c r="BC56" i="130" a="1"/>
  <c r="O97" i="130" a="1"/>
  <c r="AH88" i="130" a="1"/>
  <c r="AJ56" i="130" a="1"/>
  <c r="F97" i="130" a="1"/>
  <c r="AC80" i="130" a="1"/>
  <c r="AV69" i="130" a="1"/>
  <c r="BK73" i="130" a="1"/>
  <c r="F81" i="130" a="1"/>
  <c r="AN71" i="130" a="1"/>
  <c r="BC70" i="130" a="1"/>
  <c r="M74" i="130" a="1"/>
  <c r="BD74" i="130" a="1"/>
  <c r="K63" i="130" a="1"/>
  <c r="AR40" i="130" a="1"/>
  <c r="AP45" i="130" a="1"/>
  <c r="AK92" i="130" a="1"/>
  <c r="AW67" i="130" a="1"/>
  <c r="AL80" i="130" a="1"/>
  <c r="G67" i="130" a="1"/>
  <c r="BD44" i="130" a="1"/>
  <c r="AB61" i="130" a="1"/>
  <c r="AZ39" i="130" a="1"/>
  <c r="K47" i="130" a="1"/>
  <c r="BA72" i="130" a="1"/>
  <c r="AV75" i="130" a="1"/>
  <c r="AY75" i="130" a="1"/>
  <c r="BG63" i="130" a="1"/>
  <c r="AA41" i="130" a="1"/>
  <c r="Y46" i="130" a="1"/>
  <c r="C65" i="130" a="1"/>
  <c r="BG43" i="130" a="1"/>
  <c r="AS62" i="130" a="1"/>
  <c r="AN41" i="130" a="1"/>
  <c r="K32" i="130" a="1"/>
  <c r="AS22" i="130" a="1"/>
  <c r="BA29" i="130" a="1"/>
  <c r="AZ37" i="130" a="1"/>
  <c r="Y28" i="130" a="1"/>
  <c r="AO35" i="130" a="1"/>
  <c r="N26" i="130" a="1"/>
  <c r="N87" i="130" a="1"/>
  <c r="L72" i="130" a="1"/>
  <c r="BD59" i="130" a="1"/>
  <c r="AN96" i="130" a="1"/>
  <c r="AI91" i="130" a="1"/>
  <c r="AJ51" i="130" a="1"/>
  <c r="AE51" i="130" a="1"/>
  <c r="BG86" i="130" a="1"/>
  <c r="AF96" i="130" a="1"/>
  <c r="M59" i="130" a="1"/>
  <c r="E91" i="130" a="1"/>
  <c r="T91" i="130" a="1"/>
  <c r="AZ83" i="130" a="1"/>
  <c r="G51" i="130" a="1"/>
  <c r="AU87" i="130" a="1"/>
  <c r="AI90" i="130" a="1"/>
  <c r="AX86" i="130" a="1"/>
  <c r="AV86" i="130" a="1"/>
  <c r="U96" i="130" a="1"/>
  <c r="BE58" i="130" a="1"/>
  <c r="BE90" i="130" a="1"/>
  <c r="J91" i="130" a="1"/>
  <c r="AQ83" i="130" a="1"/>
  <c r="BA50" i="130" a="1"/>
  <c r="AH87" i="130" a="1"/>
  <c r="Y90" i="130" a="1"/>
  <c r="AP86" i="130" a="1"/>
  <c r="AM86" i="130" a="1"/>
  <c r="AS89" i="130" a="1"/>
  <c r="AM90" i="130" a="1"/>
  <c r="Q84" i="130" a="1"/>
  <c r="D58" i="130" a="1"/>
  <c r="P93" i="130" a="1"/>
  <c r="K82" i="130" a="1"/>
  <c r="C97" i="130" a="1"/>
  <c r="V50" i="130" a="1"/>
  <c r="G96" i="130" a="1"/>
  <c r="D96" i="130" a="1"/>
  <c r="W78" i="130" a="1"/>
  <c r="AK86" i="130" a="1"/>
  <c r="U97" i="130" a="1"/>
  <c r="BK81" i="130" a="1"/>
  <c r="U83" i="130" a="1"/>
  <c r="BD93" i="130" a="1"/>
  <c r="AU90" i="130" a="1"/>
  <c r="F59" i="130" a="1"/>
  <c r="AC61" i="130" a="1"/>
  <c r="G58" i="130" a="1"/>
  <c r="AF55" i="130" a="1"/>
  <c r="BB83" i="130" a="1"/>
  <c r="BA95" i="130" a="1"/>
  <c r="Y58" i="130" a="1"/>
  <c r="D60" i="130" a="1"/>
  <c r="X91" i="130" a="1"/>
  <c r="I86" i="130" a="1"/>
  <c r="BD55" i="130" a="1"/>
  <c r="AA95" i="130" a="1"/>
  <c r="K90" i="130" a="1"/>
  <c r="AX50" i="130" a="1"/>
  <c r="BA97" i="130" a="1"/>
  <c r="AV85" i="130" a="1"/>
  <c r="AU51" i="130" a="1"/>
  <c r="V57" i="130" a="1"/>
  <c r="BC50" i="130" a="1"/>
  <c r="BB50" i="130" a="1"/>
  <c r="AT79" i="130" a="1"/>
  <c r="C89" i="130" a="1"/>
  <c r="AB60" i="130" a="1"/>
  <c r="AC89" i="130" a="1"/>
  <c r="AN88" i="130" a="1"/>
  <c r="AI83" i="130" a="1"/>
  <c r="AB55" i="130" a="1"/>
  <c r="K92" i="130" a="1"/>
  <c r="AT94" i="130" a="1"/>
  <c r="R57" i="130" a="1"/>
  <c r="T89" i="130" a="1"/>
  <c r="N94" i="130" a="1"/>
  <c r="L88" i="130" a="1"/>
  <c r="F50" i="130" a="1"/>
  <c r="R96" i="130" a="1"/>
  <c r="AY84" i="130" a="1"/>
  <c r="BG50" i="130" a="1"/>
  <c r="AX55" i="130" a="1"/>
  <c r="T50" i="130" a="1"/>
  <c r="AM54" i="130" a="1"/>
  <c r="BH95" i="130" a="1"/>
  <c r="Q92" i="130" a="1"/>
  <c r="R79" i="130" a="1"/>
  <c r="AI57" i="130" a="1"/>
  <c r="G73" i="130" a="1"/>
  <c r="K80" i="130" a="1"/>
  <c r="AS70" i="130" a="1"/>
  <c r="BI77" i="130" a="1"/>
  <c r="E97" i="130" a="1"/>
  <c r="AW88" i="130" a="1"/>
  <c r="BI85" i="130" a="1"/>
  <c r="C78" i="130" a="1"/>
  <c r="AQ81" i="130" a="1"/>
  <c r="P72" i="130" a="1"/>
  <c r="T79" i="130" a="1"/>
  <c r="BB69" i="130" a="1"/>
  <c r="I77" i="130" a="1"/>
  <c r="AQ67" i="130" a="1"/>
  <c r="AP87" i="130" a="1"/>
  <c r="BJ93" i="130" a="1"/>
  <c r="AP83" i="130" a="1"/>
  <c r="H51" i="130" a="1"/>
  <c r="I95" i="130" a="1"/>
  <c r="I80" i="130" a="1"/>
  <c r="AB69" i="130" a="1"/>
  <c r="AQ73" i="130" a="1"/>
  <c r="AU80" i="130" a="1"/>
  <c r="T71" i="130" a="1"/>
  <c r="AJ78" i="130" a="1"/>
  <c r="I69" i="130" a="1"/>
  <c r="P57" i="130" a="1"/>
  <c r="AY66" i="130" a="1"/>
  <c r="R45" i="130" a="1"/>
  <c r="Q95" i="130" a="1"/>
  <c r="AJ97" i="130" a="1"/>
  <c r="AZ96" i="130" a="1"/>
  <c r="G74" i="130" a="1"/>
  <c r="V78" i="130" a="1"/>
  <c r="BD68" i="130" a="1"/>
  <c r="BH75" i="130" a="1"/>
  <c r="AG66" i="130" a="1"/>
  <c r="AH85" i="130" a="1"/>
  <c r="C93" i="130" a="1"/>
  <c r="Y92" i="130" a="1"/>
  <c r="L73" i="130" a="1"/>
  <c r="AA77" i="130" a="1"/>
  <c r="BI67" i="130" a="1"/>
  <c r="D75" i="130" a="1"/>
  <c r="AZ55" i="130" a="1"/>
  <c r="BB72" i="130" a="1"/>
  <c r="R64" i="130" a="1"/>
  <c r="N92" i="130" a="1"/>
  <c r="Y57" i="130" a="1"/>
  <c r="AH97" i="130" a="1"/>
  <c r="BI80" i="130" a="1"/>
  <c r="BH69" i="130" a="1"/>
  <c r="N74" i="130" a="1"/>
  <c r="R81" i="130" a="1"/>
  <c r="BE92" i="130" a="1"/>
  <c r="L96" i="130" a="1"/>
  <c r="G95" i="130" a="1"/>
  <c r="AZ73" i="130" a="1"/>
  <c r="F78" i="130" a="1"/>
  <c r="AN68" i="130" a="1"/>
  <c r="AR75" i="130" a="1"/>
  <c r="T90" i="130" a="1"/>
  <c r="E86" i="130" a="1"/>
  <c r="AK82" i="130" a="1"/>
  <c r="BD88" i="130" a="1"/>
  <c r="AW85" i="130" a="1"/>
  <c r="Y82" i="130" a="1"/>
  <c r="P77" i="130" a="1"/>
  <c r="G81" i="130" a="1"/>
  <c r="AO71" i="130" a="1"/>
  <c r="AS78" i="130" a="1"/>
  <c r="AZ59" i="130" a="1"/>
  <c r="AE77" i="130" a="1"/>
  <c r="R69" i="130" a="1"/>
  <c r="W71" i="130" a="1"/>
  <c r="O56" i="130" a="1"/>
  <c r="H65" i="130" a="1"/>
  <c r="H43" i="130" a="1"/>
  <c r="Z75" i="130" a="1"/>
  <c r="BB77" i="130" a="1"/>
  <c r="E77" i="130" a="1"/>
  <c r="BF64" i="130" a="1"/>
  <c r="V42" i="130" a="1"/>
  <c r="T47" i="130" a="1"/>
  <c r="BC65" i="130" a="1"/>
  <c r="O84" i="130" a="1"/>
  <c r="AC79" i="130" a="1"/>
  <c r="Q70" i="130" a="1"/>
  <c r="N72" i="130" a="1"/>
  <c r="Z59" i="130" a="1"/>
  <c r="AZ65" i="130" a="1"/>
  <c r="AZ43" i="130" a="1"/>
  <c r="AP62" i="130" a="1"/>
  <c r="AK41" i="130" a="1"/>
  <c r="AI56" i="130" a="1"/>
  <c r="R39" i="130" a="1"/>
  <c r="AX29" i="130" a="1"/>
  <c r="BF36" i="130" a="1"/>
  <c r="AE27" i="130" a="1"/>
  <c r="AD35" i="130" a="1"/>
  <c r="C26" i="130" a="1"/>
  <c r="S33" i="130" a="1"/>
  <c r="BA23" i="130" a="1"/>
  <c r="X81" i="130" a="1"/>
  <c r="AL81" i="130" a="1"/>
  <c r="O79" i="130" a="1"/>
  <c r="BF67" i="130" a="1"/>
  <c r="BE43" i="130" a="1"/>
  <c r="AC57" i="130" a="1"/>
  <c r="BE38" i="130" a="1"/>
  <c r="P46" i="130" a="1"/>
  <c r="BK64" i="130" a="1"/>
  <c r="BF43" i="130" a="1"/>
  <c r="AC34" i="130" a="1"/>
  <c r="BK24" i="130" a="1"/>
  <c r="J32" i="130" a="1"/>
  <c r="AR22" i="130" a="1"/>
  <c r="AQ30" i="130" a="1"/>
  <c r="BG37" i="130" a="1"/>
  <c r="BG59" i="130" a="1"/>
  <c r="BI71" i="130" a="1"/>
  <c r="AA59" i="130" a="1"/>
  <c r="BB68" i="130" a="1"/>
  <c r="AD46" i="130" a="1"/>
  <c r="F63" i="130" a="1"/>
  <c r="N41" i="130" a="1"/>
  <c r="AY55" i="130" a="1"/>
  <c r="U55" i="130" a="1"/>
  <c r="W69" i="130" a="1"/>
  <c r="Y81" i="130" a="1"/>
  <c r="AY67" i="130" a="1"/>
  <c r="AP85" i="130" a="1"/>
  <c r="BB66" i="130" a="1"/>
  <c r="F80" i="130" a="1"/>
  <c r="AN66" i="130" a="1"/>
  <c r="AJ44" i="130" a="1"/>
  <c r="R60" i="130" a="1"/>
  <c r="AF39" i="130" a="1"/>
  <c r="AZ46" i="130" a="1"/>
  <c r="AL65" i="130" a="1"/>
  <c r="AG44" i="130" a="1"/>
  <c r="D35" i="130" a="1"/>
  <c r="AL25" i="130" a="1"/>
  <c r="AT32" i="130" a="1"/>
  <c r="S23" i="130" a="1"/>
  <c r="R31" i="130" a="1"/>
  <c r="AH38" i="130" a="1"/>
  <c r="BH96" i="130" a="1"/>
  <c r="Y71" i="130" a="1"/>
  <c r="N56" i="130" a="1"/>
  <c r="AP68" i="130" a="1"/>
  <c r="N46" i="130" a="1"/>
  <c r="BC62" i="130" a="1"/>
  <c r="BJ94" i="130" a="1"/>
  <c r="R78" i="130" a="1"/>
  <c r="AL69" i="130" a="1"/>
  <c r="AU71" i="130" a="1"/>
  <c r="BC57" i="130" a="1"/>
  <c r="X65" i="130" a="1"/>
  <c r="X43" i="130" a="1"/>
  <c r="R62" i="130" a="1"/>
  <c r="K57" i="130" a="1"/>
  <c r="X80" i="130" a="1"/>
  <c r="BI70" i="130" a="1"/>
  <c r="AT72" i="130" a="1"/>
  <c r="Q61" i="130" a="1"/>
  <c r="K66" i="130" a="1"/>
  <c r="K44" i="130" a="1"/>
  <c r="BJ62" i="130" a="1"/>
  <c r="AW84" i="130" a="1"/>
  <c r="T92" i="130" a="1"/>
  <c r="AZ95" i="130" a="1"/>
  <c r="C95" i="130" a="1"/>
  <c r="S84" i="130" a="1"/>
  <c r="P55" i="130" a="1"/>
  <c r="BE91" i="130" a="1"/>
  <c r="O51" i="130" a="1"/>
  <c r="AG59" i="130" a="1"/>
  <c r="J93" i="130" a="1"/>
  <c r="AO51" i="130" a="1"/>
  <c r="Y83" i="130" a="1"/>
  <c r="BD83" i="130" a="1"/>
  <c r="AF61" i="130" a="1"/>
  <c r="AT59" i="130" a="1"/>
  <c r="U82" i="130" a="1"/>
  <c r="BF85" i="130" a="1"/>
  <c r="AG50" i="130" a="1"/>
  <c r="AW94" i="130" a="1"/>
  <c r="AK57" i="130" a="1"/>
  <c r="AH58" i="130" a="1"/>
  <c r="AV81" i="130" a="1"/>
  <c r="S72" i="130" a="1"/>
  <c r="AN95" i="130" a="1"/>
  <c r="BC80" i="130" a="1"/>
  <c r="AI88" i="130" a="1"/>
  <c r="O61" i="130" a="1"/>
  <c r="BF55" i="130" a="1"/>
  <c r="H62" i="130" a="1"/>
  <c r="BI54" i="130" a="1"/>
  <c r="AD70" i="130" a="1"/>
  <c r="AE55" i="130" a="1"/>
  <c r="AI69" i="130" a="1"/>
  <c r="BA65" i="130" a="1"/>
  <c r="S61" i="130" a="1"/>
  <c r="AW75" i="130" a="1"/>
  <c r="BE83" i="130" a="1"/>
  <c r="AO79" i="130" a="1"/>
  <c r="V73" i="130" a="1"/>
  <c r="Y55" i="130" a="1"/>
  <c r="AR91" i="130" a="1"/>
  <c r="I72" i="130" a="1"/>
  <c r="BF66" i="130" a="1"/>
  <c r="AU78" i="130" a="1"/>
  <c r="T78" i="130" a="1"/>
  <c r="Q43" i="130" a="1"/>
  <c r="AI84" i="130" a="1"/>
  <c r="AV67" i="130" a="1"/>
  <c r="AO47" i="130" a="1"/>
  <c r="M42" i="130" a="1"/>
  <c r="AZ81" i="130" a="1"/>
  <c r="S79" i="130" a="1"/>
  <c r="BI43" i="130" a="1"/>
  <c r="BI38" i="130" a="1"/>
  <c r="F65" i="130" a="1"/>
  <c r="AG34" i="130" a="1"/>
  <c r="N32" i="130" a="1"/>
  <c r="AU30" i="130" a="1"/>
  <c r="AJ28" i="130" a="1"/>
  <c r="BH77" i="130" a="1"/>
  <c r="AK81" i="130" a="1"/>
  <c r="O59" i="130" a="1"/>
  <c r="S62" i="130" a="1"/>
  <c r="AL62" i="130" a="1"/>
  <c r="K39" i="130" a="1"/>
  <c r="J43" i="130" a="1"/>
  <c r="AT29" i="130" a="1"/>
  <c r="AF34" i="130" a="1"/>
  <c r="BE21" i="130" a="1"/>
  <c r="AH27" i="130" a="1"/>
  <c r="O33" i="130" a="1"/>
  <c r="AA81" i="130" a="1"/>
  <c r="AQ68" i="130" a="1"/>
  <c r="BC67" i="130" a="1"/>
  <c r="BJ42" i="130" a="1"/>
  <c r="Q46" i="130" a="1"/>
  <c r="U63" i="130" a="1"/>
  <c r="AA82" i="130" a="1"/>
  <c r="BJ66" i="130" a="1"/>
  <c r="AP76" i="130" a="1"/>
  <c r="AG94" i="130" a="1"/>
  <c r="T76" i="130" a="1"/>
  <c r="AW57" i="130" a="1"/>
  <c r="BC66" i="130" a="1"/>
  <c r="K41" i="130" a="1"/>
  <c r="W44" i="130" a="1"/>
  <c r="AK61" i="130" a="1"/>
  <c r="BH38" i="130" a="1"/>
  <c r="AT43" i="130" a="1"/>
  <c r="BD31" i="130" a="1"/>
  <c r="AC37" i="130" a="1"/>
  <c r="AB26" i="130" a="1"/>
  <c r="BA32" i="130" a="1"/>
  <c r="AU37" i="130" a="1"/>
  <c r="BI76" i="130" a="1"/>
  <c r="BI74" i="130" a="1"/>
  <c r="BF72" i="130" a="1"/>
  <c r="K54" i="130" a="1"/>
  <c r="C62" i="130" a="1"/>
  <c r="AF97" i="130" a="1"/>
  <c r="AM80" i="130" a="1"/>
  <c r="AD76" i="130" a="1"/>
  <c r="AF62" i="130" a="1"/>
  <c r="AG64" i="130" a="1"/>
  <c r="K40" i="130" a="1"/>
  <c r="BE45" i="130" a="1"/>
  <c r="U76" i="130" a="1"/>
  <c r="AI76" i="130" a="1"/>
  <c r="G75" i="130" a="1"/>
  <c r="AB62" i="130" a="1"/>
  <c r="T65" i="130" a="1"/>
  <c r="AC42" i="130" a="1"/>
  <c r="AU57" i="130" a="1"/>
  <c r="AI39" i="130" a="1"/>
  <c r="AQ46" i="130" a="1"/>
  <c r="N37" i="130" a="1"/>
  <c r="AV27" i="130" a="1"/>
  <c r="AN73" i="130" a="1"/>
  <c r="AA76" i="130" a="1"/>
  <c r="J76" i="130" a="1"/>
  <c r="N64" i="130" a="1"/>
  <c r="BG58" i="130" a="1"/>
  <c r="Q56" i="130" a="1"/>
  <c r="AQ79" i="130" a="1"/>
  <c r="P66" i="130" a="1"/>
  <c r="P44" i="130" a="1"/>
  <c r="AX58" i="130" a="1"/>
  <c r="L39" i="130" a="1"/>
  <c r="AF46" i="130" a="1"/>
  <c r="R65" i="130" a="1"/>
  <c r="M44" i="130" a="1"/>
  <c r="AS34" i="130" a="1"/>
  <c r="O43" i="130" a="1"/>
  <c r="V43" i="130" a="1"/>
  <c r="C28" i="130" a="1"/>
  <c r="AU31" i="130" a="1"/>
  <c r="AK36" i="130" a="1"/>
  <c r="BJ23" i="130" a="1"/>
  <c r="BD28" i="130" a="1"/>
  <c r="L19" i="130" a="1"/>
  <c r="AT9" i="130" a="1"/>
  <c r="BG65" i="130" a="1"/>
  <c r="AI61" i="130" a="1"/>
  <c r="BB33" i="130" a="1"/>
  <c r="BJ36" i="130" a="1"/>
  <c r="Z24" i="130" a="1"/>
  <c r="P29" i="130" a="1"/>
  <c r="W33" i="130" a="1"/>
  <c r="AX22" i="130" a="1"/>
  <c r="AL13" i="130" a="1"/>
  <c r="BQ15" i="132" a="1"/>
  <c r="BP16" i="132" a="1"/>
  <c r="BH42" i="130" a="1"/>
  <c r="F43" i="130" a="1"/>
  <c r="AZ27" i="130" a="1"/>
  <c r="AM31" i="130" a="1"/>
  <c r="AC36" i="130" a="1"/>
  <c r="D47" i="130" a="1"/>
  <c r="V65" i="130" a="1"/>
  <c r="AD37" i="130" a="1"/>
  <c r="L23" i="130" a="1"/>
  <c r="K27" i="130" a="1"/>
  <c r="BJ31" i="130" a="1"/>
  <c r="H36" i="130" a="1"/>
  <c r="BF46" i="130" a="1"/>
  <c r="E41" i="130" a="1"/>
  <c r="AB41" i="130" a="1"/>
  <c r="U26" i="130" a="1"/>
  <c r="P30" i="130" a="1"/>
  <c r="F35" i="130" a="1"/>
  <c r="AE22" i="130" a="1"/>
  <c r="AO27" i="130" a="1"/>
  <c r="E18" i="130" a="1"/>
  <c r="AW38" i="130" a="1"/>
  <c r="Y62" i="130" a="1"/>
  <c r="AK34" i="130" a="1"/>
  <c r="AG37" i="130" a="1"/>
  <c r="BF24" i="130" a="1"/>
  <c r="AV29" i="130" a="1"/>
  <c r="BC33" i="130" a="1"/>
  <c r="BK45" i="130" a="1"/>
  <c r="BB40" i="130" a="1"/>
  <c r="P41" i="130" a="1"/>
  <c r="I26" i="130" a="1"/>
  <c r="H30" i="130" a="1"/>
  <c r="J62" i="130" a="1"/>
  <c r="AX47" i="130" a="1"/>
  <c r="BH31" i="130" a="1"/>
  <c r="BG44" i="130" a="1"/>
  <c r="AU64" i="130" a="1"/>
  <c r="BG36" i="130" a="1"/>
  <c r="BA22" i="130" a="1"/>
  <c r="AZ26" i="130" a="1"/>
  <c r="AP31" i="130" a="1"/>
  <c r="AW35" i="130" a="1"/>
  <c r="L59" i="130" a="1"/>
  <c r="BF65" i="130" a="1"/>
  <c r="E38" i="130" a="1"/>
  <c r="AR23" i="130" a="1"/>
  <c r="AQ27" i="130" a="1"/>
  <c r="AG32" i="130" a="1"/>
  <c r="AA32" i="130" a="1"/>
  <c r="AK39" i="130" a="1"/>
  <c r="AE20" i="130" a="1"/>
  <c r="AA8" i="130" a="1"/>
  <c r="CL16" i="132" a="1"/>
  <c r="R16" i="130" a="1"/>
  <c r="AY5" i="130" a="1"/>
  <c r="CS11" i="132" a="1"/>
  <c r="O14" i="130" a="1"/>
  <c r="EQ6" i="132" a="1"/>
  <c r="AE7" i="132" a="1"/>
  <c r="Y19" i="130" a="1"/>
  <c r="AV31" i="130" a="1"/>
  <c r="U39" i="130" a="1"/>
  <c r="W20" i="130" a="1"/>
  <c r="W8" i="130" a="1"/>
  <c r="DE12" i="132" a="1"/>
  <c r="N16" i="130" a="1"/>
  <c r="AU5" i="130" a="1"/>
  <c r="Y64" i="130" a="1"/>
  <c r="BG34" i="130" a="1"/>
  <c r="AU25" i="130" a="1"/>
  <c r="BK12" i="130" a="1"/>
  <c r="CM12" i="132" a="1"/>
  <c r="F20" i="130" a="1"/>
  <c r="AN10" i="130" a="1"/>
  <c r="R16" i="132" a="1"/>
  <c r="C18" i="130" a="1"/>
  <c r="AK8" i="130" a="1"/>
  <c r="BE13" i="132" a="1"/>
  <c r="AS6" i="132" a="1"/>
  <c r="S27" i="130" a="1"/>
  <c r="AP30" i="130" a="1"/>
  <c r="G16" i="130" a="1"/>
  <c r="Y16" i="132" a="1"/>
  <c r="DB15" i="132" a="1"/>
  <c r="BF12" i="130" a="1"/>
  <c r="FE6" i="132" a="1"/>
  <c r="U20" i="130" a="1"/>
  <c r="BC10" i="130" a="1"/>
  <c r="DJ16" i="132" a="1"/>
  <c r="AH37" i="130" a="1"/>
  <c r="BB23" i="130" a="1"/>
  <c r="N21" i="130" a="1"/>
  <c r="F9" i="130" a="1"/>
  <c r="CW11" i="132" a="1"/>
  <c r="AX16" i="130" a="1"/>
  <c r="V7" i="130" a="1"/>
  <c r="DO12" i="132" a="1"/>
  <c r="AU14" i="130" a="1"/>
  <c r="CE7" i="132" a="1"/>
  <c r="DP8" i="132" a="1"/>
  <c r="Z29" i="130" a="1"/>
  <c r="V38" i="130" a="1"/>
  <c r="G20" i="130" a="1"/>
  <c r="BG7" i="130" a="1"/>
  <c r="BM16" i="132" a="1"/>
  <c r="BG15" i="130" a="1"/>
  <c r="AE5" i="130" a="1"/>
  <c r="O36" i="130" a="1"/>
  <c r="V23" i="130" a="1"/>
  <c r="BK20" i="130" a="1"/>
  <c r="AY8" i="130" a="1"/>
  <c r="BY12" i="132" a="1"/>
  <c r="AP16" i="130" a="1"/>
  <c r="N7" i="130" a="1"/>
  <c r="X7" i="132" a="1"/>
  <c r="AM14" i="130" a="1"/>
  <c r="EY5" i="132" a="1"/>
  <c r="BM8" i="132" a="1"/>
  <c r="AW19" i="130" a="1"/>
  <c r="AB35" i="130" a="1"/>
  <c r="R23" i="130" a="1"/>
  <c r="BG20" i="130" a="1"/>
  <c r="AU8" i="130" a="1"/>
  <c r="CL11" i="132" a="1"/>
  <c r="AL16" i="130" a="1"/>
  <c r="J7" i="130" a="1"/>
  <c r="DA13" i="132" a="1"/>
  <c r="AI14" i="130" a="1"/>
  <c r="ER12" i="132" a="1"/>
  <c r="DG11" i="132" a="1"/>
  <c r="AK25" i="130" a="1"/>
  <c r="BC29" i="130" a="1"/>
  <c r="AJ15" i="130" a="1"/>
  <c r="W11" i="132" a="1"/>
  <c r="AS82" i="130" a="1"/>
  <c r="N90" i="130" a="1"/>
  <c r="AP93" i="130" a="1"/>
  <c r="BA92" i="130" a="1"/>
  <c r="O82" i="130" a="1"/>
  <c r="I58" i="130" a="1"/>
  <c r="AM88" i="130" a="1"/>
  <c r="AI97" i="130" a="1"/>
  <c r="AC54" i="130" a="1"/>
  <c r="AE90" i="130" a="1"/>
  <c r="M96" i="130" a="1"/>
  <c r="AC60" i="130" a="1"/>
  <c r="L61" i="130" a="1"/>
  <c r="BF58" i="130" a="1"/>
  <c r="Y56" i="130" a="1"/>
  <c r="F56" i="130" a="1"/>
  <c r="AL83" i="130" a="1"/>
  <c r="AW96" i="130" a="1"/>
  <c r="AN89" i="130" a="1"/>
  <c r="AV51" i="130" a="1"/>
  <c r="BJ51" i="130" a="1"/>
  <c r="U80" i="130" a="1"/>
  <c r="AF71" i="130" a="1"/>
  <c r="AA91" i="130" a="1"/>
  <c r="G80" i="130" a="1"/>
  <c r="D50" i="130" a="1"/>
  <c r="AP50" i="130" a="1"/>
  <c r="AH81" i="130" a="1"/>
  <c r="AJ60" i="130" a="1"/>
  <c r="AE56" i="130" a="1"/>
  <c r="AQ69" i="130" a="1"/>
  <c r="P97" i="130" a="1"/>
  <c r="AV68" i="130" a="1"/>
  <c r="E65" i="130" a="1"/>
  <c r="Z56" i="130" a="1"/>
  <c r="BJ74" i="130" a="1"/>
  <c r="X51" i="130" a="1"/>
  <c r="BB78" i="130" a="1"/>
  <c r="T85" i="130" a="1"/>
  <c r="BJ92" i="130" a="1"/>
  <c r="E51" i="130" a="1"/>
  <c r="V71" i="130" a="1"/>
  <c r="AB58" i="130" a="1"/>
  <c r="AP75" i="130" a="1"/>
  <c r="Q77" i="130" a="1"/>
  <c r="Z42" i="130" a="1"/>
  <c r="BC85" i="130" a="1"/>
  <c r="U66" i="130" a="1"/>
  <c r="AT46" i="130" a="1"/>
  <c r="Z41" i="130" a="1"/>
  <c r="O78" i="130" a="1"/>
  <c r="L78" i="130" a="1"/>
  <c r="I43" i="130" a="1"/>
  <c r="AH67" i="130" a="1"/>
  <c r="S64" i="130" a="1"/>
  <c r="AT33" i="130" a="1"/>
  <c r="AA31" i="130" a="1"/>
  <c r="BH29" i="130" a="1"/>
  <c r="AW27" i="130" a="1"/>
  <c r="AO72" i="130" a="1"/>
  <c r="AD80" i="130" a="1"/>
  <c r="N55" i="130" a="1"/>
  <c r="BI60" i="130" a="1"/>
  <c r="AY61" i="130" a="1"/>
  <c r="AD67" i="130" a="1"/>
  <c r="AJ41" i="130" a="1"/>
  <c r="BG28" i="130" a="1"/>
  <c r="AS33" i="130" a="1"/>
  <c r="AV37" i="130" a="1"/>
  <c r="AU26" i="130" a="1"/>
  <c r="AB32" i="130" a="1"/>
  <c r="E79" i="130" a="1"/>
  <c r="AB67" i="130" a="1"/>
  <c r="Z67" i="130" a="1"/>
  <c r="J42" i="130" a="1"/>
  <c r="Z45" i="130" a="1"/>
  <c r="AH62" i="130" a="1"/>
  <c r="BA54" i="130" a="1"/>
  <c r="D79" i="130" a="1"/>
  <c r="AE75" i="130" a="1"/>
  <c r="Y86" i="130" a="1"/>
  <c r="BG73" i="130" a="1"/>
  <c r="U81" i="130" a="1"/>
  <c r="AL64" i="130" a="1"/>
  <c r="T40" i="130" a="1"/>
  <c r="AF43" i="130" a="1"/>
  <c r="AQ58" i="130" a="1"/>
  <c r="AQ66" i="130" a="1"/>
  <c r="K42" i="130" a="1"/>
  <c r="H31" i="130" a="1"/>
  <c r="AP36" i="130" a="1"/>
  <c r="AO25" i="130" a="1"/>
  <c r="E32" i="130" a="1"/>
  <c r="L36" i="130" a="1"/>
  <c r="O74" i="130" a="1"/>
  <c r="J73" i="130" a="1"/>
  <c r="AY71" i="130" a="1"/>
  <c r="M47" i="130" a="1"/>
  <c r="AA56" i="130" a="1"/>
  <c r="H83" i="130" a="1"/>
  <c r="AO78" i="130" a="1"/>
  <c r="K75" i="130" a="1"/>
  <c r="AE61" i="130" a="1"/>
  <c r="AY62" i="130" a="1"/>
  <c r="X39" i="130" a="1"/>
  <c r="I45" i="130" a="1"/>
  <c r="AV73" i="130" a="1"/>
  <c r="AS74" i="130" a="1"/>
  <c r="BE73" i="130" a="1"/>
  <c r="AG57" i="130" a="1"/>
  <c r="AC64" i="130" a="1"/>
  <c r="AP41" i="130" a="1"/>
  <c r="M54" i="130" a="1"/>
  <c r="D69" i="130" a="1"/>
  <c r="BD45" i="130" a="1"/>
  <c r="AA36" i="130" a="1"/>
  <c r="BI26" i="130" a="1"/>
  <c r="R71" i="130" a="1"/>
  <c r="AG74" i="130" a="1"/>
  <c r="C75" i="130" a="1"/>
  <c r="S63" i="130" a="1"/>
  <c r="BK78" i="130" a="1"/>
  <c r="C80" i="130" a="1"/>
  <c r="AB78" i="130" a="1"/>
  <c r="H66" i="130" a="1"/>
  <c r="U43" i="130" a="1"/>
  <c r="AX54" i="130" a="1"/>
  <c r="U68" i="130" a="1"/>
  <c r="AS45" i="130" a="1"/>
  <c r="AE64" i="130" a="1"/>
  <c r="Z43" i="130" a="1"/>
  <c r="AV62" i="130" a="1"/>
  <c r="AO41" i="130" a="1"/>
  <c r="C42" i="130" a="1"/>
  <c r="BA26" i="130" a="1"/>
  <c r="AV30" i="130" a="1"/>
  <c r="AL35" i="130" a="1"/>
  <c r="BK22" i="130" a="1"/>
  <c r="D28" i="130" a="1"/>
  <c r="Y18" i="130" a="1"/>
  <c r="BG8" i="130" a="1"/>
  <c r="AK63" i="130" a="1"/>
  <c r="BJ55" i="130" a="1"/>
  <c r="AM32" i="130" a="1"/>
  <c r="AY35" i="130" a="1"/>
  <c r="O23" i="130" a="1"/>
  <c r="E28" i="130" a="1"/>
  <c r="P32" i="130" a="1"/>
  <c r="BG21" i="130" a="1"/>
  <c r="AY12" i="130" a="1"/>
  <c r="DF16" i="132" a="1"/>
  <c r="BC58" i="130" a="1"/>
  <c r="Y41" i="130" a="1"/>
  <c r="AV41" i="130" a="1"/>
  <c r="AS26" i="130" a="1"/>
  <c r="AF30" i="130" a="1"/>
  <c r="V35" i="130" a="1"/>
  <c r="BF41" i="130" a="1"/>
  <c r="BH63" i="130" a="1"/>
  <c r="K36" i="130" a="1"/>
  <c r="AY38" i="130" a="1"/>
  <c r="L26" i="130" a="1"/>
  <c r="BK30" i="130" a="1"/>
  <c r="I35" i="130" a="1"/>
  <c r="AQ41" i="130" a="1"/>
  <c r="AQ39" i="130" a="1"/>
  <c r="I40" i="130" a="1"/>
  <c r="R25" i="130" a="1"/>
  <c r="Q29" i="130" a="1"/>
  <c r="G34" i="130" a="1"/>
  <c r="N38" i="130" a="1"/>
  <c r="AX26" i="130" a="1"/>
  <c r="R17" i="130" a="1"/>
  <c r="AZ64" i="130" a="1"/>
  <c r="R59" i="130" a="1"/>
  <c r="V33" i="130" a="1"/>
  <c r="AD36" i="130" a="1"/>
  <c r="BC23" i="130" a="1"/>
  <c r="AS28" i="130" a="1"/>
  <c r="AZ32" i="130" a="1"/>
  <c r="AZ40" i="130" a="1"/>
  <c r="AE39" i="130" a="1"/>
  <c r="BB39" i="130" a="1"/>
  <c r="J25" i="130" a="1"/>
  <c r="I29" i="130" a="1"/>
  <c r="I54" i="130" a="1"/>
  <c r="AE46" i="130" a="1"/>
  <c r="AW30" i="130" a="1"/>
  <c r="AY40" i="130" a="1"/>
  <c r="X63" i="130" a="1"/>
  <c r="AJ35" i="130" a="1"/>
  <c r="T38" i="130" a="1"/>
  <c r="AS25" i="130" a="1"/>
  <c r="AI30" i="130" a="1"/>
  <c r="AP34" i="130" a="1"/>
  <c r="G44" i="130" a="1"/>
  <c r="AI64" i="130" a="1"/>
  <c r="AQ36" i="130" a="1"/>
  <c r="BI39" i="130" a="1"/>
  <c r="AJ26" i="130" a="1"/>
  <c r="Z31" i="130" a="1"/>
  <c r="Z25" i="130" a="1"/>
  <c r="BD36" i="130" a="1"/>
  <c r="AB19" i="130" a="1"/>
  <c r="AE7" i="130" a="1"/>
  <c r="AY13" i="132" a="1"/>
  <c r="AE15" i="130" a="1"/>
  <c r="C5" i="130" a="1"/>
  <c r="DJ14" i="132" a="1"/>
  <c r="AB13" i="130" a="1"/>
  <c r="BJ5" i="132" a="1"/>
  <c r="CA14" i="132" a="1"/>
  <c r="AL18" i="130" a="1"/>
  <c r="AU24" i="130" a="1"/>
  <c r="AZ36" i="130" a="1"/>
  <c r="X19" i="130" a="1"/>
  <c r="AA7" i="130" a="1"/>
  <c r="L8" i="132" a="1"/>
  <c r="AA15" i="130" a="1"/>
  <c r="FD16" i="132" a="1"/>
  <c r="S58" i="130" a="1"/>
  <c r="AX31" i="130" a="1"/>
  <c r="AB24" i="130" a="1"/>
  <c r="BH11" i="130" a="1"/>
  <c r="EE6" i="132" a="1"/>
  <c r="S19" i="130" a="1"/>
  <c r="BA9" i="130" a="1"/>
  <c r="J16" i="132" a="1"/>
  <c r="P17" i="130" a="1"/>
  <c r="AW7" i="130" a="1"/>
  <c r="CL6" i="132" a="1"/>
  <c r="DH13" i="132" a="1"/>
  <c r="AU23" i="130" a="1"/>
  <c r="BH28" i="130" a="1"/>
  <c r="BI14" i="130" a="1"/>
  <c r="DY15" i="132" a="1"/>
  <c r="AK21" i="130" a="1"/>
  <c r="J12" i="130" a="1"/>
  <c r="T16" i="132" a="1"/>
  <c r="AH19" i="130" a="1"/>
  <c r="G10" i="130" a="1"/>
  <c r="CY16" i="132" a="1"/>
  <c r="E30" i="130" a="1"/>
  <c r="Z38" i="130" a="1"/>
  <c r="AF51" i="130" a="1"/>
  <c r="BC89" i="130" a="1"/>
  <c r="AL93" i="130" a="1"/>
  <c r="AB96" i="130" a="1"/>
  <c r="AD84" i="130" a="1"/>
  <c r="M97" i="130" a="1"/>
  <c r="AA78" i="130" a="1"/>
  <c r="AX60" i="130" a="1"/>
  <c r="AV83" i="130" a="1"/>
  <c r="AG61" i="130" a="1"/>
  <c r="M57" i="130" a="1"/>
  <c r="U88" i="130" a="1"/>
  <c r="AS90" i="130" a="1"/>
  <c r="F90" i="130" a="1"/>
  <c r="AV95" i="130" a="1"/>
  <c r="E60" i="130" a="1"/>
  <c r="J86" i="130" a="1"/>
  <c r="W58" i="130" a="1"/>
  <c r="D88" i="130" a="1"/>
  <c r="AZ94" i="130" a="1"/>
  <c r="BI58" i="130" a="1"/>
  <c r="BJ71" i="130" a="1"/>
  <c r="I81" i="130" a="1"/>
  <c r="S59" i="130" a="1"/>
  <c r="BK72" i="130" a="1"/>
  <c r="Q83" i="130" a="1"/>
  <c r="G88" i="130" a="1"/>
  <c r="AC74" i="130" a="1"/>
  <c r="AL42" i="130" a="1"/>
  <c r="Q85" i="130" a="1"/>
  <c r="H79" i="130" a="1"/>
  <c r="AZ58" i="130" a="1"/>
  <c r="M78" i="130" a="1"/>
  <c r="I47" i="130" a="1"/>
  <c r="P95" i="130" a="1"/>
  <c r="AR68" i="130" a="1"/>
  <c r="AZ87" i="130" a="1"/>
  <c r="AS75" i="130" a="1"/>
  <c r="V96" i="130" a="1"/>
  <c r="AO87" i="130" a="1"/>
  <c r="S60" i="130" a="1"/>
  <c r="AI70" i="130" a="1"/>
  <c r="BB81" i="130" a="1"/>
  <c r="P73" i="130" a="1"/>
  <c r="BG75" i="130" a="1"/>
  <c r="AI41" i="130" a="1"/>
  <c r="J82" i="130" a="1"/>
  <c r="AW81" i="130" a="1"/>
  <c r="AY45" i="130" a="1"/>
  <c r="AM40" i="130" a="1"/>
  <c r="R75" i="130" a="1"/>
  <c r="BF76" i="130" a="1"/>
  <c r="R42" i="130" a="1"/>
  <c r="AY65" i="130" a="1"/>
  <c r="AF63" i="130" a="1"/>
  <c r="BG32" i="130" a="1"/>
  <c r="AN30" i="130" a="1"/>
  <c r="L29" i="130" a="1"/>
  <c r="BJ26" i="130" a="1"/>
  <c r="Q79" i="130" a="1"/>
  <c r="H78" i="130" a="1"/>
  <c r="AG47" i="130" a="1"/>
  <c r="F54" i="130" a="1"/>
  <c r="U59" i="130" a="1"/>
  <c r="AX65" i="130" a="1"/>
  <c r="AW40" i="130" a="1"/>
  <c r="K28" i="130" a="1"/>
  <c r="BF32" i="130" a="1"/>
  <c r="BI36" i="130" a="1"/>
  <c r="BH25" i="130" a="1"/>
  <c r="AY59" i="130" a="1"/>
  <c r="AR76" i="130" a="1"/>
  <c r="AC81" i="130" a="1"/>
  <c r="AO65" i="130" a="1"/>
  <c r="S41" i="130" a="1"/>
  <c r="AI44" i="130" a="1"/>
  <c r="AU61" i="130" a="1"/>
  <c r="BE86" i="130" a="1"/>
  <c r="N77" i="130" a="1"/>
  <c r="T74" i="130" a="1"/>
  <c r="BC82" i="130" a="1"/>
  <c r="AK71" i="130" a="1"/>
  <c r="BH78" i="130" a="1"/>
  <c r="AM63" i="130" a="1"/>
  <c r="AI66" i="130" a="1"/>
  <c r="AO42" i="130" a="1"/>
  <c r="D55" i="130" a="1"/>
  <c r="AY64" i="130" a="1"/>
  <c r="X41" i="130" a="1"/>
  <c r="U30" i="130" a="1"/>
  <c r="BC35" i="130" a="1"/>
  <c r="BB24" i="130" a="1"/>
  <c r="AE30" i="130" a="1"/>
  <c r="Y35" i="130" a="1"/>
  <c r="BB71" i="130" a="1"/>
  <c r="L71" i="130" a="1"/>
  <c r="AV70" i="130" a="1"/>
  <c r="W45" i="130" a="1"/>
  <c r="AV47" i="130" a="1"/>
  <c r="AX79" i="130" a="1"/>
  <c r="AQ76" i="130" a="1"/>
  <c r="H74" i="130" a="1"/>
  <c r="C54" i="130" a="1"/>
  <c r="BH61" i="130" a="1"/>
  <c r="H69" i="130" a="1"/>
  <c r="V44" i="130" a="1"/>
  <c r="Z71" i="130" a="1"/>
  <c r="AU72" i="130" a="1"/>
  <c r="AQ71" i="130" a="1"/>
  <c r="BI47" i="130" a="1"/>
  <c r="AL63" i="130" a="1"/>
  <c r="BC40" i="130" a="1"/>
  <c r="AA47" i="130" a="1"/>
  <c r="M66" i="130" a="1"/>
  <c r="H45" i="130" a="1"/>
  <c r="AN35" i="130" a="1"/>
  <c r="M26" i="130" a="1"/>
  <c r="J58" i="130" a="1"/>
  <c r="AM72" i="130" a="1"/>
  <c r="AW73" i="130" a="1"/>
  <c r="X62" i="130" a="1"/>
  <c r="BF75" i="130" a="1"/>
  <c r="I78" i="130" a="1"/>
  <c r="U77" i="130" a="1"/>
  <c r="I65" i="130" a="1"/>
  <c r="AD42" i="130" a="1"/>
  <c r="AB47" i="130" a="1"/>
  <c r="BK65" i="130" a="1"/>
  <c r="BF44" i="130" a="1"/>
  <c r="AR63" i="130" a="1"/>
  <c r="AM42" i="130" a="1"/>
  <c r="AW43" i="130" a="1"/>
  <c r="R40" i="130" a="1"/>
  <c r="AO40" i="130" a="1"/>
  <c r="AP25" i="130" a="1"/>
  <c r="AO29" i="130" a="1"/>
  <c r="AE34" i="130" a="1"/>
  <c r="AL38" i="130" a="1"/>
  <c r="M27" i="130" a="1"/>
  <c r="AL17" i="130" a="1"/>
  <c r="K8" i="130" a="1"/>
  <c r="O60" i="130" a="1"/>
  <c r="R47" i="130" a="1"/>
  <c r="AF31" i="130" a="1"/>
  <c r="AZ34" i="130" a="1"/>
  <c r="P22" i="130" a="1"/>
  <c r="F27" i="130" a="1"/>
  <c r="Y31" i="130" a="1"/>
  <c r="AH21" i="130" a="1"/>
  <c r="C12" i="130" a="1"/>
  <c r="CA15" i="132" a="1"/>
  <c r="BF42" i="130" a="1"/>
  <c r="F40" i="130" a="1"/>
  <c r="AC40" i="130" a="1"/>
  <c r="AD25" i="130" a="1"/>
  <c r="AC29" i="130" a="1"/>
  <c r="S34" i="130" a="1"/>
  <c r="P39" i="130" a="1"/>
  <c r="AK62" i="130" a="1"/>
  <c r="AW34" i="130" a="1"/>
  <c r="AW37" i="130" a="1"/>
  <c r="M25" i="130" a="1"/>
  <c r="C30" i="130" a="1"/>
  <c r="J34" i="130" a="1"/>
  <c r="AH63" i="130" a="1"/>
  <c r="N67" i="130" a="1"/>
  <c r="AU38" i="130" a="1"/>
  <c r="K24" i="130" a="1"/>
  <c r="J28" i="130" a="1"/>
  <c r="BI32" i="130" a="1"/>
  <c r="G37" i="130" a="1"/>
  <c r="BG25" i="130" a="1"/>
  <c r="AE16" i="130" a="1"/>
  <c r="AD62" i="130" a="1"/>
  <c r="D54" i="130" a="1"/>
  <c r="O32" i="130" a="1"/>
  <c r="AE35" i="130" a="1"/>
  <c r="BD22" i="130" a="1"/>
  <c r="AT27" i="130" a="1"/>
  <c r="BE31" i="130" a="1"/>
  <c r="AQ62" i="130" a="1"/>
  <c r="AA66" i="130" a="1"/>
  <c r="AG38" i="130" a="1"/>
  <c r="BH23" i="130" a="1"/>
  <c r="BG27" i="130" a="1"/>
  <c r="AW45" i="130" a="1"/>
  <c r="L45" i="130" a="1"/>
  <c r="AL29" i="130" a="1"/>
  <c r="E68" i="130" a="1"/>
  <c r="E62" i="130" a="1"/>
  <c r="M34" i="130" a="1"/>
  <c r="Q37" i="130" a="1"/>
  <c r="AP24" i="130" a="1"/>
  <c r="AF29" i="130" a="1"/>
  <c r="AM33" i="130" a="1"/>
  <c r="O40" i="130" a="1"/>
  <c r="L63" i="130" a="1"/>
  <c r="X35" i="130" a="1"/>
  <c r="H38" i="130" a="1"/>
  <c r="AG25" i="130" a="1"/>
  <c r="W30" i="130" a="1"/>
  <c r="AT36" i="130" a="1"/>
  <c r="BF34" i="130" a="1"/>
  <c r="AC18" i="130" a="1"/>
  <c r="AB5" i="130" a="1"/>
  <c r="AH6" i="132" a="1"/>
  <c r="AR14" i="130" a="1"/>
  <c r="CC14" i="132" a="1"/>
  <c r="AC22" i="130" a="1"/>
  <c r="AO12" i="130" a="1"/>
  <c r="DK11" i="132" a="1"/>
  <c r="AK11" i="132" a="1"/>
  <c r="AY17" i="130" a="1"/>
  <c r="V36" i="130" a="1"/>
  <c r="AT34" i="130" a="1"/>
  <c r="Q18" i="130" a="1"/>
  <c r="X5" i="130" a="1"/>
  <c r="CB12" i="132" a="1"/>
  <c r="AN14" i="130" a="1"/>
  <c r="CH5" i="132" a="1"/>
  <c r="Q68" i="130" a="1"/>
  <c r="BI28" i="130" a="1"/>
  <c r="Q23" i="130" a="1"/>
  <c r="D11" i="130" a="1"/>
  <c r="DU15" i="132" a="1"/>
  <c r="AF18" i="130" a="1"/>
  <c r="E9" i="130" a="1"/>
  <c r="BS5" i="132" a="1"/>
  <c r="AC16" i="130" a="1"/>
  <c r="BJ5" i="130" a="1"/>
  <c r="DW8" i="132" a="1"/>
  <c r="AM21" i="130" a="1"/>
  <c r="C38" i="130" a="1"/>
  <c r="Q27" i="130" a="1"/>
  <c r="BF13" i="130" a="1"/>
  <c r="BY7" i="132" a="1"/>
  <c r="AX20" i="130" a="1"/>
  <c r="W11" i="130" a="1"/>
  <c r="AB13" i="132" a="1"/>
  <c r="AU18" i="130" a="1"/>
  <c r="T9" i="130" a="1"/>
  <c r="BC6" i="132" a="1"/>
  <c r="T23" i="130" a="1"/>
  <c r="T36" i="130" a="1"/>
  <c r="D19" i="130" a="1"/>
  <c r="G7" i="130" a="1"/>
  <c r="AF8" i="132" a="1"/>
  <c r="O15" i="130" a="1"/>
  <c r="FF5" i="132" a="1"/>
  <c r="DD5" i="132" a="1"/>
  <c r="L13" i="130" a="1"/>
  <c r="AJ6" i="132" a="1"/>
  <c r="BU9" i="132" a="1"/>
  <c r="C35" i="130" a="1"/>
  <c r="N34" i="130" a="1"/>
  <c r="BF17" i="130" a="1"/>
  <c r="H5" i="130" a="1"/>
  <c r="BY13" i="132" a="1"/>
  <c r="X14" i="130" a="1"/>
  <c r="EV7" i="132" a="1"/>
  <c r="BG38" i="130" a="1"/>
  <c r="BE35" i="130" a="1"/>
  <c r="BE18" i="130" a="1"/>
  <c r="BH5" i="130" a="1"/>
  <c r="BS7" i="132" a="1"/>
  <c r="G15" i="130" a="1"/>
  <c r="AO13" i="132" a="1"/>
  <c r="AB15" i="132" a="1"/>
  <c r="D13" i="130" a="1"/>
  <c r="DD16" i="132" a="1"/>
  <c r="DC8" i="132" a="1"/>
  <c r="N18" i="130" a="1"/>
  <c r="X38" i="130" a="1"/>
  <c r="BA35" i="130" a="1"/>
  <c r="AW18" i="130" a="1"/>
  <c r="BD5" i="130" a="1"/>
  <c r="AH5" i="132" a="1"/>
  <c r="C15" i="130" a="1"/>
  <c r="FA14" i="132" a="1"/>
  <c r="DV7" i="132" a="1"/>
  <c r="BI12" i="130" a="1"/>
  <c r="FD9" i="132" a="1"/>
  <c r="EU16" i="132" a="1"/>
  <c r="AS36" i="130" a="1"/>
  <c r="BG95" i="130" a="1"/>
  <c r="BD89" i="130" a="1"/>
  <c r="BE87" i="130" a="1"/>
  <c r="F92" i="130" a="1"/>
  <c r="X96" i="130" a="1"/>
  <c r="BD92" i="130" a="1"/>
  <c r="BA76" i="130" a="1"/>
  <c r="AQ50" i="130" a="1"/>
  <c r="V51" i="130" a="1"/>
  <c r="X55" i="130" a="1"/>
  <c r="O95" i="130" a="1"/>
  <c r="V83" i="130" a="1"/>
  <c r="J85" i="130" a="1"/>
  <c r="AU83" i="130" a="1"/>
  <c r="Q91" i="130" a="1"/>
  <c r="P82" i="130" a="1"/>
  <c r="AM60" i="130" a="1"/>
  <c r="R97" i="130" a="1"/>
  <c r="BE82" i="130" a="1"/>
  <c r="AA90" i="130" a="1"/>
  <c r="T88" i="130" a="1"/>
  <c r="AA70" i="130" a="1"/>
  <c r="AI79" i="130" a="1"/>
  <c r="Q80" i="130" a="1"/>
  <c r="AB71" i="130" a="1"/>
  <c r="F57" i="130" a="1"/>
  <c r="AM58" i="130" a="1"/>
  <c r="BC72" i="130" a="1"/>
  <c r="C41" i="130" a="1"/>
  <c r="I61" i="130" a="1"/>
  <c r="AH77" i="130" a="1"/>
  <c r="AN50" i="130" a="1"/>
  <c r="AM76" i="130" a="1"/>
  <c r="V46" i="130" a="1"/>
  <c r="M92" i="130" a="1"/>
  <c r="BE67" i="130" a="1"/>
  <c r="AT82" i="130" a="1"/>
  <c r="AJ72" i="130" a="1"/>
  <c r="BD57" i="130" a="1"/>
  <c r="R50" i="130" a="1"/>
  <c r="G55" i="130" a="1"/>
  <c r="AG58" i="130" a="1"/>
  <c r="S80" i="130" a="1"/>
  <c r="Z55" i="130" a="1"/>
  <c r="AK73" i="130" a="1"/>
  <c r="Y68" i="130" a="1"/>
  <c r="X54" i="130" a="1"/>
  <c r="AA79" i="130" a="1"/>
  <c r="D44" i="130" a="1"/>
  <c r="D39" i="130" a="1"/>
  <c r="AE70" i="130" a="1"/>
  <c r="AJ74" i="130" a="1"/>
  <c r="AJ40" i="130" a="1"/>
  <c r="P64" i="130" a="1"/>
  <c r="BF61" i="130" a="1"/>
  <c r="X31" i="130" a="1"/>
  <c r="E29" i="130" a="1"/>
  <c r="AL27" i="130" a="1"/>
  <c r="AA25" i="130" a="1"/>
  <c r="BD76" i="130" a="1"/>
  <c r="AU75" i="130" a="1"/>
  <c r="AL46" i="130" a="1"/>
  <c r="U46" i="130" a="1"/>
  <c r="D56" i="130" a="1"/>
  <c r="O64" i="130" a="1"/>
  <c r="D40" i="130" a="1"/>
  <c r="X27" i="130" a="1"/>
  <c r="W31" i="130" a="1"/>
  <c r="M36" i="130" a="1"/>
  <c r="L25" i="130" a="1"/>
  <c r="AQ96" i="130" a="1"/>
  <c r="V74" i="130" a="1"/>
  <c r="G79" i="130" a="1"/>
  <c r="AT64" i="130" a="1"/>
  <c r="AB40" i="130" a="1"/>
  <c r="AN43" i="130" a="1"/>
  <c r="K59" i="130" a="1"/>
  <c r="T77" i="130" a="1"/>
  <c r="T75" i="130" a="1"/>
  <c r="I73" i="130" a="1"/>
  <c r="I56" i="130" a="1"/>
  <c r="O69" i="130" a="1"/>
  <c r="AL76" i="130" a="1"/>
  <c r="AN62" i="130" a="1"/>
  <c r="AF65" i="130" a="1"/>
  <c r="BB41" i="130" a="1"/>
  <c r="AM47" i="130" a="1"/>
  <c r="P63" i="130" a="1"/>
  <c r="AK40" i="130" a="1"/>
  <c r="AH29" i="130" a="1"/>
  <c r="G35" i="130" a="1"/>
  <c r="F24" i="130" a="1"/>
  <c r="BE28" i="130" a="1"/>
  <c r="AL34" i="130" a="1"/>
  <c r="AF69" i="130" a="1"/>
  <c r="AX69" i="130" a="1"/>
  <c r="AO69" i="130" a="1"/>
  <c r="AO43" i="130" a="1"/>
  <c r="BE46" i="130" a="1"/>
  <c r="AO76" i="130" a="1"/>
  <c r="BA74" i="130" a="1"/>
  <c r="AX72" i="130" a="1"/>
  <c r="J46" i="130" a="1"/>
  <c r="AO59" i="130" a="1"/>
  <c r="N66" i="130" a="1"/>
  <c r="AI43" i="130" a="1"/>
  <c r="BA58" i="130" a="1"/>
  <c r="AD69" i="130" a="1"/>
  <c r="AJ70" i="130" a="1"/>
  <c r="BJ46" i="130" a="1"/>
  <c r="AU62" i="130" a="1"/>
  <c r="G40" i="130" a="1"/>
  <c r="AN46" i="130" a="1"/>
  <c r="Z65" i="130" a="1"/>
  <c r="U44" i="130" a="1"/>
  <c r="BA34" i="130" a="1"/>
  <c r="N50" i="130" a="1"/>
  <c r="P80" i="130" a="1"/>
  <c r="BE70" i="130" a="1"/>
  <c r="AP72" i="130" a="1"/>
  <c r="C61" i="130" a="1"/>
  <c r="AB73" i="130" a="1"/>
  <c r="S76" i="130" a="1"/>
  <c r="F76" i="130" a="1"/>
  <c r="J64" i="130" a="1"/>
  <c r="AM41" i="130" a="1"/>
  <c r="AK46" i="130" a="1"/>
  <c r="O65" i="130" a="1"/>
  <c r="J44" i="130" a="1"/>
  <c r="BE62" i="130" a="1"/>
  <c r="AZ41" i="130" a="1"/>
  <c r="AJ65" i="130" a="1"/>
  <c r="BD38" i="130" a="1"/>
  <c r="V39" i="130" a="1"/>
  <c r="AM24" i="130" a="1"/>
  <c r="AL28" i="130" a="1"/>
  <c r="AB33" i="130" a="1"/>
  <c r="AI37" i="130" a="1"/>
  <c r="V26" i="130" a="1"/>
  <c r="AY16" i="130" a="1"/>
  <c r="W7" i="130" a="1"/>
  <c r="O47" i="130" a="1"/>
  <c r="BH45" i="130" a="1"/>
  <c r="Q30" i="130" a="1"/>
  <c r="BA33" i="130" a="1"/>
  <c r="AR38" i="130" a="1"/>
  <c r="G26" i="130" a="1"/>
  <c r="AH30" i="130" a="1"/>
  <c r="AQ20" i="130" a="1"/>
  <c r="P11" i="130" a="1"/>
  <c r="AU7" i="132" a="1"/>
  <c r="AS64" i="130" a="1"/>
  <c r="AW68" i="130" a="1"/>
  <c r="AG39" i="130" a="1"/>
  <c r="AE24" i="130" a="1"/>
  <c r="AD28" i="130" a="1"/>
  <c r="T33" i="130" a="1"/>
  <c r="S65" i="130" a="1"/>
  <c r="Z60" i="130" a="1"/>
  <c r="AH33" i="130" a="1"/>
  <c r="AL36" i="130" a="1"/>
  <c r="BK23" i="130" a="1"/>
  <c r="BA28" i="130" a="1"/>
  <c r="BH32" i="130" a="1"/>
  <c r="AO46" i="130" a="1"/>
  <c r="N65" i="130" a="1"/>
  <c r="V37" i="130" a="1"/>
  <c r="H23" i="130" a="1"/>
  <c r="G27" i="130" a="1"/>
  <c r="BF31" i="130" a="1"/>
  <c r="D36" i="130" a="1"/>
  <c r="G25" i="130" a="1"/>
  <c r="AR15" i="130" a="1"/>
  <c r="W55" i="130" a="1"/>
  <c r="AU46" i="130" a="1"/>
  <c r="BI30" i="130" a="1"/>
  <c r="X34" i="130" a="1"/>
  <c r="AW21" i="130" a="1"/>
  <c r="AM26" i="130" a="1"/>
  <c r="E31" i="130" a="1"/>
  <c r="AX45" i="130" a="1"/>
  <c r="BG64" i="130" a="1"/>
  <c r="J37" i="130" a="1"/>
  <c r="BI22" i="130" a="1"/>
  <c r="BH26" i="130" a="1"/>
  <c r="AU43" i="130" a="1"/>
  <c r="AX43" i="130" a="1"/>
  <c r="AA28" i="130" a="1"/>
  <c r="X64" i="130" a="1"/>
  <c r="N58" i="130" a="1"/>
  <c r="F33" i="130" a="1"/>
  <c r="R36" i="130" a="1"/>
  <c r="AQ23" i="130" a="1"/>
  <c r="AG28" i="130" a="1"/>
  <c r="AN32" i="130" a="1"/>
  <c r="V66" i="130" a="1"/>
  <c r="AX61" i="130" a="1"/>
  <c r="BJ33" i="130" a="1"/>
  <c r="I37" i="130" a="1"/>
  <c r="AH24" i="130" a="1"/>
  <c r="X29" i="130" a="1"/>
  <c r="AH32" i="130" a="1"/>
  <c r="AV32" i="130" a="1"/>
  <c r="V17" i="130" a="1"/>
  <c r="BC15" i="132" a="1"/>
  <c r="J13" i="132" a="1"/>
  <c r="BE13" i="130" a="1"/>
  <c r="AU13" i="132" a="1"/>
  <c r="T21" i="130" a="1"/>
  <c r="BB11" i="130" a="1"/>
  <c r="CU16" i="132" a="1"/>
  <c r="AU16" i="132" a="1"/>
  <c r="C17" i="130" a="1"/>
  <c r="F32" i="130" a="1"/>
  <c r="AR32" i="130" a="1"/>
  <c r="N17" i="130" a="1"/>
  <c r="DM7" i="132" a="1"/>
  <c r="EK8" i="132" a="1"/>
  <c r="BA13" i="130" a="1"/>
  <c r="AZ9" i="132" a="1"/>
  <c r="BK46" i="130" a="1"/>
  <c r="AA26" i="130" a="1"/>
  <c r="J22" i="130" a="1"/>
  <c r="I10" i="130" a="1"/>
  <c r="EF9" i="132" a="1"/>
  <c r="AS17" i="130" a="1"/>
  <c r="R8" i="130" a="1"/>
  <c r="AO8" i="132" a="1"/>
  <c r="AP15" i="130" a="1"/>
  <c r="N5" i="130" a="1"/>
  <c r="BX16" i="132" a="1"/>
  <c r="AG60" i="130" a="1"/>
  <c r="BC34" i="130" a="1"/>
  <c r="AQ25" i="130" a="1"/>
  <c r="BG12" i="130" a="1"/>
  <c r="AI13" i="132" a="1"/>
  <c r="BK19" i="130" a="1"/>
  <c r="AJ10" i="130" a="1"/>
  <c r="ER13" i="132" a="1"/>
  <c r="BH17" i="130" a="1"/>
  <c r="AG8" i="130" a="1"/>
  <c r="CV8" i="132" a="1"/>
  <c r="O35" i="130" a="1"/>
  <c r="R34" i="130" a="1"/>
  <c r="BJ17" i="130" a="1"/>
  <c r="L5" i="130" a="1"/>
  <c r="Y15" i="132" a="1"/>
  <c r="AB14" i="130" a="1"/>
  <c r="DL14" i="132" a="1"/>
  <c r="BF21" i="130" a="1"/>
  <c r="Y12" i="130" a="1"/>
  <c r="AW16" i="132" a="1"/>
  <c r="EH15" i="132" a="1"/>
  <c r="BD30" i="130" a="1"/>
  <c r="H32" i="130" a="1"/>
  <c r="K94" i="130" a="1"/>
  <c r="AP89" i="130" a="1"/>
  <c r="BA85" i="130" a="1"/>
  <c r="AZ88" i="130" a="1"/>
  <c r="AK93" i="130" a="1"/>
  <c r="AK90" i="130" a="1"/>
  <c r="AX89" i="130" a="1"/>
  <c r="AE95" i="130" a="1"/>
  <c r="AW97" i="130" a="1"/>
  <c r="C51" i="130" a="1"/>
  <c r="BB92" i="130" a="1"/>
  <c r="Y60" i="130" a="1"/>
  <c r="M83" i="130" a="1"/>
  <c r="AW60" i="130" a="1"/>
  <c r="BB87" i="130" a="1"/>
  <c r="BI55" i="130" a="1"/>
  <c r="BE89" i="130" a="1"/>
  <c r="AH94" i="130" a="1"/>
  <c r="AN59" i="130" a="1"/>
  <c r="I87" i="130" a="1"/>
  <c r="H86" i="130" a="1"/>
  <c r="AN69" i="130" a="1"/>
  <c r="AV78" i="130" a="1"/>
  <c r="F79" i="130" a="1"/>
  <c r="AO70" i="130" a="1"/>
  <c r="AY97" i="130" a="1"/>
  <c r="P81" i="130" a="1"/>
  <c r="G72" i="130" a="1"/>
  <c r="P40" i="130" a="1"/>
  <c r="BI50" i="130" a="1"/>
  <c r="AU76" i="130" a="1"/>
  <c r="AK95" i="130" a="1"/>
  <c r="AZ75" i="130" a="1"/>
  <c r="BB91" i="130" a="1"/>
  <c r="AI82" i="130" a="1"/>
  <c r="AH59" i="130" a="1"/>
  <c r="BH57" i="130" a="1"/>
  <c r="AW71" i="130" a="1"/>
  <c r="BG55" i="130" a="1"/>
  <c r="C83" i="130" a="1"/>
  <c r="AZ92" i="130" a="1"/>
  <c r="BC81" i="130" a="1"/>
  <c r="AF79" i="130" a="1"/>
  <c r="BA79" i="130" a="1"/>
  <c r="AH72" i="130" a="1"/>
  <c r="BH65" i="130" a="1"/>
  <c r="AE78" i="130" a="1"/>
  <c r="P78" i="130" a="1"/>
  <c r="M43" i="130" a="1"/>
  <c r="AX67" i="130" a="1"/>
  <c r="AY81" i="130" a="1"/>
  <c r="AC73" i="130" a="1"/>
  <c r="BB67" i="130" a="1"/>
  <c r="AC63" i="130" a="1"/>
  <c r="AU59" i="130" a="1"/>
  <c r="AK30" i="130" a="1"/>
  <c r="R28" i="130" a="1"/>
  <c r="AY26" i="130" a="1"/>
  <c r="AN24" i="130" a="1"/>
  <c r="AH74" i="130" a="1"/>
  <c r="J72" i="130" a="1"/>
  <c r="AM45" i="130" a="1"/>
  <c r="AV43" i="130" a="1"/>
  <c r="AY47" i="130" a="1"/>
  <c r="AO62" i="130" a="1"/>
  <c r="Y38" i="130" a="1"/>
  <c r="AK26" i="130" a="1"/>
  <c r="AW29" i="130" a="1"/>
  <c r="Z35" i="130" a="1"/>
  <c r="Y24" i="130" a="1"/>
  <c r="E92" i="130" a="1"/>
  <c r="AM69" i="130" a="1"/>
  <c r="D78" i="130" a="1"/>
  <c r="AY63" i="130" a="1"/>
  <c r="V67" i="130" a="1"/>
  <c r="AW42" i="130" a="1"/>
  <c r="AU47" i="130" a="1"/>
  <c r="AI74" i="130" a="1"/>
  <c r="Z73" i="130" a="1"/>
  <c r="BG71" i="130" a="1"/>
  <c r="AB50" i="130" a="1"/>
  <c r="BK80" i="130" a="1"/>
  <c r="W75" i="130" a="1"/>
  <c r="AS61" i="130" a="1"/>
  <c r="AO64" i="130" a="1"/>
  <c r="F41" i="130" a="1"/>
  <c r="D46" i="130" a="1"/>
  <c r="AC62" i="130" a="1"/>
  <c r="AX39" i="130" a="1"/>
  <c r="AU28" i="130" a="1"/>
  <c r="T34" i="130" a="1"/>
  <c r="AF22" i="130" a="1"/>
  <c r="I28" i="130" a="1"/>
  <c r="AY33" i="130" a="1"/>
  <c r="AZ80" i="130" a="1"/>
  <c r="AE68" i="130" a="1"/>
  <c r="AM67" i="130" a="1"/>
  <c r="AX42" i="130" a="1"/>
  <c r="BJ45" i="130" a="1"/>
  <c r="C74" i="130" a="1"/>
  <c r="BG72" i="130" a="1"/>
  <c r="AN70" i="130" a="1"/>
  <c r="S45" i="130" a="1"/>
  <c r="H56" i="130" a="1"/>
  <c r="AA65" i="130" a="1"/>
  <c r="AV42" i="130" a="1"/>
  <c r="BK77" i="130" a="1"/>
  <c r="O68" i="130" a="1"/>
  <c r="AG69" i="130" a="1"/>
  <c r="F46" i="130" a="1"/>
  <c r="BD61" i="130" a="1"/>
  <c r="T39" i="130" a="1"/>
  <c r="BA45" i="130" a="1"/>
  <c r="AM64" i="130" a="1"/>
  <c r="AH43" i="130" a="1"/>
  <c r="E34" i="130" a="1"/>
  <c r="Q87" i="130" a="1"/>
  <c r="BC77" i="130" a="1"/>
  <c r="Z69" i="130" a="1"/>
  <c r="AI71" i="130" a="1"/>
  <c r="C57" i="130" a="1"/>
  <c r="F71" i="130" a="1"/>
  <c r="U74" i="130" a="1"/>
  <c r="BH74" i="130" a="1"/>
  <c r="O63" i="130" a="1"/>
  <c r="AV40" i="130" a="1"/>
  <c r="AT45" i="130" a="1"/>
  <c r="AB64" i="130" a="1"/>
  <c r="W43" i="130" a="1"/>
  <c r="I62" i="130" a="1"/>
  <c r="D41" i="130" a="1"/>
  <c r="BI56" i="130" a="1"/>
  <c r="AT65" i="130" a="1"/>
  <c r="BF37" i="130" a="1"/>
  <c r="AN23" i="130" a="1"/>
  <c r="AM27" i="130" a="1"/>
  <c r="AC32" i="130" a="1"/>
  <c r="AJ36" i="130" a="1"/>
  <c r="AE25" i="130" a="1"/>
  <c r="C16" i="130" a="1"/>
  <c r="AJ5" i="130" a="1"/>
  <c r="BB44" i="130" a="1"/>
  <c r="AK44" i="130" a="1"/>
  <c r="J29" i="130" a="1"/>
  <c r="AP32" i="130" a="1"/>
  <c r="AF37" i="130" a="1"/>
  <c r="BE24" i="130" a="1"/>
  <c r="AQ29" i="130" a="1"/>
  <c r="BD19" i="130" a="1"/>
  <c r="AC10" i="130" a="1"/>
  <c r="BH7" i="132" a="1"/>
  <c r="BD47" i="130" a="1"/>
  <c r="AH65" i="130" a="1"/>
  <c r="AT37" i="130" a="1"/>
  <c r="X23" i="130" a="1"/>
  <c r="W27" i="130" a="1"/>
  <c r="M32" i="130" a="1"/>
  <c r="BF62" i="130" a="1"/>
  <c r="AP54" i="130" a="1"/>
  <c r="W32" i="130" a="1"/>
  <c r="AM35" i="130" a="1"/>
  <c r="C23" i="130" a="1"/>
  <c r="BB27" i="130" a="1"/>
  <c r="D32" i="130" a="1"/>
  <c r="AX41" i="130" a="1"/>
  <c r="BD63" i="130" a="1"/>
  <c r="BH35" i="130" a="1"/>
  <c r="AT38" i="130" a="1"/>
  <c r="H26" i="130" a="1"/>
  <c r="BG30" i="130" a="1"/>
  <c r="E35" i="130" a="1"/>
  <c r="P24" i="130" a="1"/>
  <c r="BE14" i="130" a="1"/>
  <c r="H46" i="130" a="1"/>
  <c r="X45" i="130" a="1"/>
  <c r="BB29" i="130" a="1"/>
  <c r="U33" i="130" a="1"/>
  <c r="K38" i="130" a="1"/>
  <c r="AJ25" i="130" a="1"/>
  <c r="N30" i="130" a="1"/>
  <c r="J41" i="130" a="1"/>
  <c r="AN63" i="130" a="1"/>
  <c r="AV35" i="130" a="1"/>
  <c r="AJ38" i="130" a="1"/>
  <c r="BI25" i="130" a="1"/>
  <c r="L42" i="130" a="1"/>
  <c r="AE42" i="130" a="1"/>
  <c r="P27" i="130" a="1"/>
  <c r="BK61" i="130" a="1"/>
  <c r="AT47" i="130" a="1"/>
  <c r="AZ31" i="130" a="1"/>
  <c r="K35" i="130" a="1"/>
  <c r="AJ22" i="130" a="1"/>
  <c r="Z27" i="130" a="1"/>
  <c r="AO31" i="130" a="1"/>
  <c r="BE63" i="130" a="1"/>
  <c r="E57" i="130" a="1"/>
  <c r="AY32" i="130" a="1"/>
  <c r="BK35" i="130" a="1"/>
  <c r="AA23" i="130" a="1"/>
  <c r="Q28" i="130" a="1"/>
  <c r="Z28" i="130" a="1"/>
  <c r="BJ30" i="130" a="1"/>
  <c r="S16" i="130" a="1"/>
  <c r="Z11" i="132" a="1"/>
  <c r="CO8" i="132" a="1"/>
  <c r="I13" i="130" a="1"/>
  <c r="EQ5" i="132" a="1"/>
  <c r="AG20" i="130" a="1"/>
  <c r="F11" i="130" a="1"/>
  <c r="CB7" i="132" a="1"/>
  <c r="CX6" i="132" a="1"/>
  <c r="P16" i="130" a="1"/>
  <c r="BC27" i="130" a="1"/>
  <c r="BB30" i="130" a="1"/>
  <c r="O16" i="130" a="1"/>
  <c r="BA84" i="130" a="1"/>
  <c r="BH90" i="130" a="1"/>
  <c r="AD82" i="130" a="1"/>
  <c r="Z96" i="130" a="1"/>
  <c r="AK58" i="130" a="1"/>
  <c r="AC50" i="130" a="1"/>
  <c r="M84" i="130" a="1"/>
  <c r="AS91" i="130" a="1"/>
  <c r="AM83" i="130" a="1"/>
  <c r="M93" i="130" a="1"/>
  <c r="O90" i="130" a="1"/>
  <c r="AS95" i="130" a="1"/>
  <c r="P59" i="130" a="1"/>
  <c r="AS50" i="130" a="1"/>
  <c r="AB92" i="130" a="1"/>
  <c r="AW59" i="130" a="1"/>
  <c r="AE83" i="130" a="1"/>
  <c r="Y89" i="130" a="1"/>
  <c r="BK97" i="130" a="1"/>
  <c r="AD91" i="130" a="1"/>
  <c r="AI51" i="130" a="1"/>
  <c r="P76" i="130" a="1"/>
  <c r="AX91" i="130" a="1"/>
  <c r="J71" i="130" a="1"/>
  <c r="R80" i="130" a="1"/>
  <c r="BB59" i="130" a="1"/>
  <c r="AK72" i="130" a="1"/>
  <c r="AS81" i="130" a="1"/>
  <c r="AO55" i="130" a="1"/>
  <c r="AZ77" i="130" a="1"/>
  <c r="AP69" i="130" a="1"/>
  <c r="AG76" i="130" a="1"/>
  <c r="AU68" i="130" a="1"/>
  <c r="AX51" i="130" a="1"/>
  <c r="L55" i="130" a="1"/>
  <c r="AT54" i="130" a="1"/>
  <c r="AA50" i="130" a="1"/>
  <c r="N70" i="130" a="1"/>
  <c r="V58" i="130" a="1"/>
  <c r="AJ94" i="130" a="1"/>
  <c r="AC87" i="130" a="1"/>
  <c r="AT78" i="130" a="1"/>
  <c r="W76" i="130" a="1"/>
  <c r="Z70" i="130" a="1"/>
  <c r="N68" i="130" a="1"/>
  <c r="AI62" i="130" a="1"/>
  <c r="U54" i="130" a="1"/>
  <c r="AG73" i="130" a="1"/>
  <c r="I68" i="130" a="1"/>
  <c r="AG63" i="130" a="1"/>
  <c r="X72" i="130" a="1"/>
  <c r="E69" i="130" a="1"/>
  <c r="N63" i="130" a="1"/>
  <c r="X56" i="130" a="1"/>
  <c r="W46" i="130" a="1"/>
  <c r="AB27" i="130" a="1"/>
  <c r="I25" i="130" a="1"/>
  <c r="AP23" i="130" a="1"/>
  <c r="E23" i="130" a="1"/>
  <c r="AY69" i="130" a="1"/>
  <c r="G71" i="130" a="1"/>
  <c r="AV44" i="130" a="1"/>
  <c r="BA42" i="130" a="1"/>
  <c r="C47" i="130" a="1"/>
  <c r="BB61" i="130" a="1"/>
  <c r="AL37" i="130" a="1"/>
  <c r="AX25" i="130" a="1"/>
  <c r="BJ28" i="130" a="1"/>
  <c r="AM34" i="130" a="1"/>
  <c r="AL23" i="130" a="1"/>
  <c r="AU54" i="130" a="1"/>
  <c r="Z81" i="130" a="1"/>
  <c r="AT76" i="130" a="1"/>
  <c r="AZ62" i="130" a="1"/>
  <c r="AR65" i="130" a="1"/>
  <c r="BJ41" i="130" a="1"/>
  <c r="L46" i="130" a="1"/>
  <c r="M72" i="130" a="1"/>
  <c r="AJ71" i="130" a="1"/>
  <c r="BH70" i="130" a="1"/>
  <c r="BH51" i="130" a="1"/>
  <c r="F77" i="130" a="1"/>
  <c r="P74" i="130" a="1"/>
  <c r="AI58" i="130" a="1"/>
  <c r="AX63" i="130" a="1"/>
  <c r="S40" i="130" a="1"/>
  <c r="AD44" i="130" a="1"/>
  <c r="AP61" i="130" a="1"/>
  <c r="Q39" i="130" a="1"/>
  <c r="BH27" i="130" a="1"/>
  <c r="AG33" i="130" a="1"/>
  <c r="W38" i="130" a="1"/>
  <c r="V27" i="130" a="1"/>
  <c r="C33" i="130" a="1"/>
  <c r="AD78" i="130" a="1"/>
  <c r="D67" i="130" a="1"/>
  <c r="AM66" i="130" a="1"/>
  <c r="BG41" i="130" a="1"/>
  <c r="J45" i="130" a="1"/>
  <c r="AP71" i="130" a="1"/>
  <c r="D71" i="130" a="1"/>
  <c r="AL68" i="130" a="1"/>
  <c r="AB44" i="130" a="1"/>
  <c r="AR47" i="130" a="1"/>
  <c r="AN64" i="130" a="1"/>
  <c r="BI41" i="130" a="1"/>
  <c r="AO75" i="130" a="1"/>
  <c r="BE66" i="130" a="1"/>
  <c r="AH68" i="130" a="1"/>
  <c r="O45" i="130" a="1"/>
  <c r="W59" i="130" a="1"/>
  <c r="BA68" i="130" a="1"/>
  <c r="E45" i="130" a="1"/>
  <c r="AZ63" i="130" a="1"/>
  <c r="AU42" i="130" a="1"/>
  <c r="R33" i="130" a="1"/>
  <c r="BC93" i="130" a="1"/>
  <c r="AG75" i="130" a="1"/>
  <c r="C68" i="130" a="1"/>
  <c r="AB70" i="130" a="1"/>
  <c r="BA47" i="130" a="1"/>
  <c r="T56" i="130" a="1"/>
  <c r="AE72" i="130" a="1"/>
  <c r="AS73" i="130" a="1"/>
  <c r="T62" i="130" a="1"/>
  <c r="AO68" i="130" a="1"/>
  <c r="BC44" i="130" a="1"/>
  <c r="AO63" i="130" a="1"/>
  <c r="AJ42" i="130" a="1"/>
  <c r="AN60" i="130" a="1"/>
  <c r="Q40" i="130" a="1"/>
  <c r="AJ43" i="130" a="1"/>
  <c r="AA64" i="130" a="1"/>
  <c r="AI36" i="130" a="1"/>
  <c r="AS39" i="130" a="1"/>
  <c r="AF26" i="130" a="1"/>
  <c r="V31" i="130" a="1"/>
  <c r="AC35" i="130" a="1"/>
  <c r="AJ24" i="130" a="1"/>
  <c r="P15" i="130" a="1"/>
  <c r="FE5" i="132" a="1"/>
  <c r="C43" i="130" a="1"/>
  <c r="R43" i="130" a="1"/>
  <c r="BD27" i="130" a="1"/>
  <c r="AQ31" i="130" a="1"/>
  <c r="AG36" i="130" a="1"/>
  <c r="BF23" i="130" a="1"/>
  <c r="AZ28" i="130" a="1"/>
  <c r="H19" i="130" a="1"/>
  <c r="AP9" i="130" a="1"/>
  <c r="D16" i="132" a="1"/>
  <c r="AS42" i="130" a="1"/>
  <c r="K64" i="130" a="1"/>
  <c r="W36" i="130" a="1"/>
  <c r="F39" i="130" a="1"/>
  <c r="T26" i="130" a="1"/>
  <c r="J31" i="130" a="1"/>
  <c r="Z57" i="130" a="1"/>
  <c r="BG46" i="130" a="1"/>
  <c r="L31" i="130" a="1"/>
  <c r="AN34" i="130" a="1"/>
  <c r="D22" i="130" a="1"/>
  <c r="BC26" i="130" a="1"/>
  <c r="M31" i="130" a="1"/>
  <c r="H39" i="130" a="1"/>
  <c r="AG62" i="130" a="1"/>
  <c r="AO34" i="130" a="1"/>
  <c r="AK37" i="130" a="1"/>
  <c r="BJ24" i="130" a="1"/>
  <c r="AZ29" i="130" a="1"/>
  <c r="BG33" i="130" a="1"/>
  <c r="Y23" i="130" a="1"/>
  <c r="I14" i="130" a="1"/>
  <c r="F44" i="130" a="1"/>
  <c r="E44" i="130" a="1"/>
  <c r="AM28" i="130" a="1"/>
  <c r="V32" i="130" a="1"/>
  <c r="L37" i="130" a="1"/>
  <c r="AK24" i="130" a="1"/>
  <c r="S29" i="130" a="1"/>
  <c r="AO38" i="130" a="1"/>
  <c r="U62" i="130" a="1"/>
  <c r="Y34" i="130" a="1"/>
  <c r="Y37" i="130" a="1"/>
  <c r="AE45" i="130" a="1"/>
  <c r="AP40" i="130" a="1"/>
  <c r="H41" i="130" a="1"/>
  <c r="E26" i="130" a="1"/>
  <c r="BK47" i="130" a="1"/>
  <c r="AA46" i="130" a="1"/>
  <c r="AS30" i="130" a="1"/>
  <c r="H34" i="130" a="1"/>
  <c r="M39" i="130" a="1"/>
  <c r="W26" i="130" a="1"/>
  <c r="AX30" i="130" a="1"/>
  <c r="Y61" i="130" a="1"/>
  <c r="AH47" i="130" a="1"/>
  <c r="AN31" i="130" a="1"/>
  <c r="BH34" i="130" a="1"/>
  <c r="X22" i="130" a="1"/>
  <c r="N27" i="130" a="1"/>
  <c r="AL24" i="130" a="1"/>
  <c r="O29" i="130" a="1"/>
  <c r="T15" i="130" a="1"/>
  <c r="EO14" i="132" a="1"/>
  <c r="AE59" i="130" a="1"/>
  <c r="AH84" i="130" a="1"/>
  <c r="AA55" i="130" a="1"/>
  <c r="D92" i="130" a="1"/>
  <c r="AP95" i="130" a="1"/>
  <c r="BB94" i="130" a="1"/>
  <c r="F96" i="130" a="1"/>
  <c r="X86" i="130" a="1"/>
  <c r="T51" i="130" a="1"/>
  <c r="AQ86" i="130" a="1"/>
  <c r="C85" i="130" a="1"/>
  <c r="S90" i="130" a="1"/>
  <c r="BD95" i="130" a="1"/>
  <c r="AO95" i="130" a="1"/>
  <c r="V85" i="130" a="1"/>
  <c r="T81" i="130" a="1"/>
  <c r="BH94" i="130" a="1"/>
  <c r="W89" i="130" a="1"/>
  <c r="X94" i="130" a="1"/>
  <c r="AG82" i="130" a="1"/>
  <c r="Z88" i="130" a="1"/>
  <c r="AP74" i="130" a="1"/>
  <c r="AJ85" i="130" a="1"/>
  <c r="AJ69" i="130" a="1"/>
  <c r="AR78" i="130" a="1"/>
  <c r="S85" i="130" a="1"/>
  <c r="BK70" i="130" a="1"/>
  <c r="J80" i="130" a="1"/>
  <c r="BA46" i="130" a="1"/>
  <c r="AT75" i="130" a="1"/>
  <c r="G68" i="130" a="1"/>
  <c r="AU74" i="130" a="1"/>
  <c r="L67" i="130" a="1"/>
  <c r="N93" i="130" a="1"/>
  <c r="BD73" i="130" a="1"/>
  <c r="AE96" i="130" a="1"/>
  <c r="AI78" i="130" a="1"/>
  <c r="AA69" i="130" a="1"/>
  <c r="AG96" i="130" a="1"/>
  <c r="AA57" i="130" a="1"/>
  <c r="K50" i="130" a="1"/>
  <c r="X76" i="130" a="1"/>
  <c r="BJ73" i="130" a="1"/>
  <c r="AZ79" i="130" a="1"/>
  <c r="BI65" i="130" a="1"/>
  <c r="AG54" i="130" a="1"/>
  <c r="BB74" i="130" a="1"/>
  <c r="P70" i="130" a="1"/>
  <c r="M64" i="130" a="1"/>
  <c r="BA59" i="130" a="1"/>
  <c r="AX81" i="130" a="1"/>
  <c r="M68" i="130" a="1"/>
  <c r="AZ57" i="130" a="1"/>
  <c r="T46" i="130" a="1"/>
  <c r="BJ43" i="130" a="1"/>
  <c r="F25" i="130" a="1"/>
  <c r="AV22" i="130" a="1"/>
  <c r="BK37" i="130" a="1"/>
  <c r="I22" i="130" a="1"/>
  <c r="AC67" i="130" a="1"/>
  <c r="H70" i="130" a="1"/>
  <c r="E43" i="130" a="1"/>
  <c r="E42" i="130" a="1"/>
  <c r="AC45" i="130" a="1"/>
  <c r="R56" i="130" a="1"/>
  <c r="AY36" i="130" a="1"/>
  <c r="O24" i="130" a="1"/>
  <c r="AA27" i="130" a="1"/>
  <c r="AZ33" i="130" a="1"/>
  <c r="AY22" i="130" a="1"/>
  <c r="AK60" i="130" a="1"/>
  <c r="P79" i="130" a="1"/>
  <c r="AQ75" i="130" a="1"/>
  <c r="BA61" i="130" a="1"/>
  <c r="AW64" i="130" a="1"/>
  <c r="AA40" i="130" a="1"/>
  <c r="Y45" i="130" a="1"/>
  <c r="AZ69" i="130" a="1"/>
  <c r="E70" i="130" a="1"/>
  <c r="BA69" i="130" a="1"/>
  <c r="Y80" i="130" a="1"/>
  <c r="H75" i="130" a="1"/>
  <c r="BJ72" i="130" a="1"/>
  <c r="T54" i="130" a="1"/>
  <c r="BG62" i="130" a="1"/>
  <c r="AS38" i="130" a="1"/>
  <c r="AQ43" i="130" a="1"/>
  <c r="BD58" i="130" a="1"/>
  <c r="M38" i="130" a="1"/>
  <c r="L27" i="130" a="1"/>
  <c r="BG31" i="130" a="1"/>
  <c r="AJ37" i="130" a="1"/>
  <c r="AI26" i="130" a="1"/>
  <c r="R88" i="130" a="1"/>
  <c r="H76" i="130" a="1"/>
  <c r="Q81" i="130" a="1"/>
  <c r="AC65" i="130" a="1"/>
  <c r="G41" i="130" a="1"/>
  <c r="S44" i="130" a="1"/>
  <c r="T69" i="130" a="1"/>
  <c r="AA68" i="130" a="1"/>
  <c r="AE67" i="130" a="1"/>
  <c r="AK43" i="130" a="1"/>
  <c r="AW46" i="130" a="1"/>
  <c r="BA63" i="130" a="1"/>
  <c r="BD90" i="130" a="1"/>
  <c r="S73" i="130" a="1"/>
  <c r="R55" i="130" a="1"/>
  <c r="AA67" i="130" a="1"/>
  <c r="X44" i="130" a="1"/>
  <c r="BB55" i="130" a="1"/>
  <c r="J66" i="130" a="1"/>
  <c r="R44" i="130" a="1"/>
  <c r="D63" i="130" a="1"/>
  <c r="BH41" i="130" a="1"/>
  <c r="AE32" i="130" a="1"/>
  <c r="AB93" i="130" a="1"/>
  <c r="K73" i="130" a="1"/>
  <c r="BA66" i="130" a="1"/>
  <c r="AC69" i="130" a="1"/>
  <c r="V54" i="130" a="1"/>
  <c r="D80" i="130" a="1"/>
  <c r="AW70" i="130" a="1"/>
  <c r="AL72" i="130" a="1"/>
  <c r="AY60" i="130" a="1"/>
  <c r="C66" i="130" a="1"/>
  <c r="C44" i="130" a="1"/>
  <c r="BB62" i="130" a="1"/>
  <c r="AW41" i="130" a="1"/>
  <c r="U57" i="130" a="1"/>
  <c r="AD39" i="130" a="1"/>
  <c r="C40" i="130" a="1"/>
  <c r="H63" i="130" a="1"/>
  <c r="L35" i="130" a="1"/>
  <c r="D38" i="130" a="1"/>
  <c r="AC25" i="130" a="1"/>
  <c r="S30" i="130" a="1"/>
  <c r="Z34" i="130" a="1"/>
  <c r="AS23" i="130" a="1"/>
  <c r="AC14" i="130" a="1"/>
  <c r="AW61" i="130" a="1"/>
  <c r="AC41" i="130" a="1"/>
  <c r="BD41" i="130" a="1"/>
  <c r="AW26" i="130" a="1"/>
  <c r="AR30" i="130" a="1"/>
  <c r="AH35" i="130" a="1"/>
  <c r="BG22" i="130" a="1"/>
  <c r="BI27" i="130" a="1"/>
  <c r="U18" i="130" a="1"/>
  <c r="BC8" i="130" a="1"/>
  <c r="DE9" i="132" a="1"/>
  <c r="AJ39" i="130" a="1"/>
  <c r="BA62" i="130" a="1"/>
  <c r="BI34" i="130" a="1"/>
  <c r="BE37" i="130" a="1"/>
  <c r="U25" i="130" a="1"/>
  <c r="K30" i="130" a="1"/>
  <c r="AJ46" i="130" a="1"/>
  <c r="AN45" i="130" a="1"/>
  <c r="BJ29" i="130" a="1"/>
  <c r="AC33" i="130" a="1"/>
  <c r="S38" i="130" a="1"/>
  <c r="AR25" i="130" a="1"/>
  <c r="V30" i="130" a="1"/>
  <c r="K65" i="130" a="1"/>
  <c r="K60" i="130" a="1"/>
  <c r="Z33" i="130" a="1"/>
  <c r="AH36" i="130" a="1"/>
  <c r="BG23" i="130" a="1"/>
  <c r="AW28" i="130" a="1"/>
  <c r="BD32" i="130" a="1"/>
  <c r="AH22" i="130" a="1"/>
  <c r="V13" i="130" a="1"/>
  <c r="AB42" i="130" a="1"/>
  <c r="AQ42" i="130" a="1"/>
  <c r="AF27" i="130" a="1"/>
  <c r="O31" i="130" a="1"/>
  <c r="E36" i="130" a="1"/>
  <c r="AD23" i="130" a="1"/>
  <c r="AB28" i="130" a="1"/>
  <c r="AR64" i="130" a="1"/>
  <c r="G59" i="130" a="1"/>
  <c r="N33" i="130" a="1"/>
  <c r="Z36" i="130" a="1"/>
  <c r="X40" i="130" a="1"/>
  <c r="W39" i="130" a="1"/>
  <c r="AT39" i="130" a="1"/>
  <c r="BG24" i="130" a="1"/>
  <c r="AO45" i="130" a="1"/>
  <c r="D45" i="130" a="1"/>
  <c r="AD29" i="130" a="1"/>
  <c r="I33" i="130" a="1"/>
  <c r="BH37" i="130" a="1"/>
  <c r="X25" i="130" a="1"/>
  <c r="BG29" i="130" a="1"/>
  <c r="AI47" i="130" a="1"/>
  <c r="K46" i="130" a="1"/>
  <c r="AC30" i="130" a="1"/>
  <c r="BI33" i="130" a="1"/>
  <c r="BF38" i="130" a="1"/>
  <c r="O26" i="130" a="1"/>
  <c r="E39" i="130" a="1"/>
  <c r="AG27" i="130" a="1"/>
  <c r="M14" i="130" a="1"/>
  <c r="DI12" i="132" a="1"/>
  <c r="BJ20" i="130" a="1"/>
  <c r="AI11" i="130" a="1"/>
  <c r="AB5" i="132" a="1"/>
  <c r="BG18" i="130" a="1"/>
  <c r="AF9" i="130" a="1"/>
  <c r="EM6" i="132" a="1"/>
  <c r="CD6" i="132" a="1"/>
  <c r="AP14" i="130" a="1"/>
  <c r="AA38" i="130" a="1"/>
  <c r="AC27" i="130" a="1"/>
  <c r="E14" i="130" a="1"/>
  <c r="F86" i="130" a="1"/>
  <c r="AS84" i="130" a="1"/>
  <c r="Q97" i="130" a="1"/>
  <c r="AW89" i="130" a="1"/>
  <c r="AA93" i="130" a="1"/>
  <c r="T96" i="130" a="1"/>
  <c r="Q96" i="130" a="1"/>
  <c r="AD87" i="130" a="1"/>
  <c r="AF81" i="130" a="1"/>
  <c r="F93" i="130" a="1"/>
  <c r="S92" i="130" a="1"/>
  <c r="R58" i="130" a="1"/>
  <c r="BH97" i="130" a="1"/>
  <c r="AW83" i="130" a="1"/>
  <c r="T61" i="130" a="1"/>
  <c r="AF89" i="130" a="1"/>
  <c r="H95" i="130" a="1"/>
  <c r="W88" i="130" a="1"/>
  <c r="BH82" i="130" a="1"/>
  <c r="I60" i="130" a="1"/>
  <c r="AM85" i="130" a="1"/>
  <c r="AX66" i="130" a="1"/>
  <c r="O94" i="130" a="1"/>
  <c r="Y75" i="130" a="1"/>
  <c r="AZ70" i="130" a="1"/>
  <c r="AP60" i="130" a="1"/>
  <c r="AZ76" i="130" a="1"/>
  <c r="R72" i="130" a="1"/>
  <c r="Y94" i="130" a="1"/>
  <c r="AE81" i="130" a="1"/>
  <c r="AW82" i="130" a="1"/>
  <c r="AJ80" i="130" a="1"/>
  <c r="BK75" i="130" a="1"/>
  <c r="H97" i="130" a="1"/>
  <c r="AH71" i="130" a="1"/>
  <c r="J94" i="130" a="1"/>
  <c r="AD75" i="130" a="1"/>
  <c r="AN79" i="130" a="1"/>
  <c r="X97" i="130" a="1"/>
  <c r="W57" i="130" a="1"/>
  <c r="BD81" i="130" a="1"/>
  <c r="AX74" i="130" a="1"/>
  <c r="AA72" i="130" a="1"/>
  <c r="G76" i="130" a="1"/>
  <c r="F64" i="130" a="1"/>
  <c r="AG46" i="130" a="1"/>
  <c r="J70" i="130" a="1"/>
  <c r="F68" i="130" a="1"/>
  <c r="AA62" i="130" a="1"/>
  <c r="BG47" i="130" a="1"/>
  <c r="AP77" i="130" a="1"/>
  <c r="BB64" i="130" a="1"/>
  <c r="P47" i="130" a="1"/>
  <c r="AT44" i="130" a="1"/>
  <c r="AA42" i="130" a="1"/>
  <c r="AF23" i="130" a="1"/>
  <c r="AM38" i="130" a="1"/>
  <c r="AB36" i="130" a="1"/>
  <c r="AM94" i="130" a="1"/>
  <c r="AN75" i="130" a="1"/>
  <c r="BG67" i="130" a="1"/>
  <c r="AV65" i="130" a="1"/>
  <c r="AE40" i="130" a="1"/>
  <c r="G43" i="130" a="1"/>
  <c r="F47" i="130" a="1"/>
  <c r="P35" i="130" a="1"/>
  <c r="AB38" i="130" a="1"/>
  <c r="BA25" i="130" a="1"/>
  <c r="Q32" i="130" a="1"/>
  <c r="K37" i="130" a="1"/>
  <c r="AV77" i="130" a="1"/>
  <c r="AF75" i="130" a="1"/>
  <c r="U73" i="130" a="1"/>
  <c r="BC54" i="130" a="1"/>
  <c r="O62" i="130" a="1"/>
  <c r="BK66" i="130" a="1"/>
  <c r="AY43" i="130" a="1"/>
  <c r="AX78" i="130" a="1"/>
  <c r="P67" i="130" a="1"/>
  <c r="AR66" i="130" a="1"/>
  <c r="E72" i="130" a="1"/>
  <c r="X71" i="130" a="1"/>
  <c r="BD70" i="130" a="1"/>
  <c r="R46" i="130" a="1"/>
  <c r="AQ56" i="130" a="1"/>
  <c r="AV64" i="130" a="1"/>
  <c r="H42" i="130" a="1"/>
  <c r="AP47" i="130" a="1"/>
  <c r="AM36" i="130" a="1"/>
  <c r="AY24" i="130" a="1"/>
  <c r="AK29" i="130" a="1"/>
  <c r="BJ35" i="130" a="1"/>
  <c r="BI24" i="130" a="1"/>
  <c r="BA55" i="130" a="1"/>
  <c r="C69" i="130" a="1"/>
  <c r="AO77" i="130" a="1"/>
  <c r="AI63" i="130" a="1"/>
  <c r="W66" i="130" a="1"/>
  <c r="AK42" i="130" a="1"/>
  <c r="BE75" i="130" a="1"/>
  <c r="M81" i="130" a="1"/>
  <c r="Z66" i="130" a="1"/>
  <c r="BC41" i="130" a="1"/>
  <c r="F45" i="130" a="1"/>
  <c r="H61" i="130" a="1"/>
  <c r="AM92" i="130" a="1"/>
  <c r="AJ68" i="130" a="1"/>
  <c r="AY79" i="130" a="1"/>
  <c r="R66" i="130" a="1"/>
  <c r="AP42" i="130" a="1"/>
  <c r="AS46" i="130" a="1"/>
  <c r="AJ64" i="130" a="1"/>
  <c r="AR42" i="130" a="1"/>
  <c r="D61" i="130" a="1"/>
  <c r="Y40" i="130" a="1"/>
  <c r="BE30" i="130" a="1"/>
  <c r="AP96" i="130" a="1"/>
  <c r="AB68" i="130" a="1"/>
  <c r="BB80" i="130" a="1"/>
  <c r="S67" i="130" a="1"/>
  <c r="AG91" i="130" a="1"/>
  <c r="U75" i="130" a="1"/>
  <c r="BD67" i="130" a="1"/>
  <c r="X70" i="130" a="1"/>
  <c r="AW47" i="130" a="1"/>
  <c r="U64" i="130" a="1"/>
  <c r="U42" i="130" a="1"/>
  <c r="AD60" i="130" a="1"/>
  <c r="N40" i="130" a="1"/>
  <c r="V47" i="130" a="1"/>
  <c r="BB37" i="130" a="1"/>
  <c r="AS63" i="130" a="1"/>
  <c r="BB56" i="130" a="1"/>
  <c r="AU32" i="130" a="1"/>
  <c r="BG35" i="130" a="1"/>
  <c r="W23" i="130" a="1"/>
  <c r="M28" i="130" a="1"/>
  <c r="T32" i="130" a="1"/>
  <c r="BK21" i="130" a="1"/>
  <c r="BC12" i="130" a="1"/>
  <c r="P65" i="130" a="1"/>
  <c r="AZ38" i="130" a="1"/>
  <c r="AW39" i="130" a="1"/>
  <c r="AI24" i="130" a="1"/>
  <c r="AH28" i="130" a="1"/>
  <c r="X33" i="130" a="1"/>
  <c r="AE37" i="130" a="1"/>
  <c r="R26" i="130" a="1"/>
  <c r="AU16" i="130" a="1"/>
  <c r="S7" i="130" a="1"/>
  <c r="AK7" i="132" a="1"/>
  <c r="Q63" i="130" a="1"/>
  <c r="AV55" i="130" a="1"/>
  <c r="AI32" i="130" a="1"/>
  <c r="AU35" i="130" a="1"/>
  <c r="K23" i="130" a="1"/>
  <c r="AH42" i="130" a="1"/>
  <c r="AN42" i="130" a="1"/>
  <c r="BC42" i="130" a="1"/>
  <c r="AN27" i="130" a="1"/>
  <c r="AE31" i="130" a="1"/>
  <c r="U36" i="130" a="1"/>
  <c r="AT23" i="130" a="1"/>
  <c r="AN28" i="130" a="1"/>
  <c r="BF56" i="130" a="1"/>
  <c r="AY46" i="130" a="1"/>
  <c r="D31" i="130" a="1"/>
  <c r="AB34" i="130" a="1"/>
  <c r="BA21" i="130" a="1"/>
  <c r="AQ26" i="130" a="1"/>
  <c r="I31" i="130" a="1"/>
  <c r="R21" i="130" a="1"/>
  <c r="O41" i="130" a="1"/>
  <c r="AM39" i="130" a="1"/>
  <c r="BF39" i="130" a="1"/>
  <c r="N25" i="130" a="1"/>
  <c r="M29" i="130" a="1"/>
  <c r="C34" i="130" a="1"/>
  <c r="J38" i="130" a="1"/>
  <c r="AT26" i="130" a="1"/>
  <c r="AV54" i="130" a="1"/>
  <c r="AM46" i="130" a="1"/>
  <c r="BA30" i="130" a="1"/>
  <c r="P34" i="130" a="1"/>
  <c r="V45" i="130" a="1"/>
  <c r="BC64" i="130" a="1"/>
  <c r="BK36" i="130" a="1"/>
  <c r="BE22" i="130" a="1"/>
  <c r="D42" i="130" a="1"/>
  <c r="S42" i="130" a="1"/>
  <c r="H27" i="130" a="1"/>
  <c r="BH30" i="130" a="1"/>
  <c r="AX35" i="130" a="1"/>
  <c r="N23" i="130" a="1"/>
  <c r="P28" i="130" a="1"/>
  <c r="S43" i="130" a="1"/>
  <c r="AD43" i="130" a="1"/>
  <c r="G28" i="130" a="1"/>
  <c r="AY31" i="130" a="1"/>
  <c r="AO36" i="130" a="1"/>
  <c r="I63" i="130" a="1"/>
  <c r="AK32" i="130" a="1"/>
  <c r="AV24" i="130" a="1"/>
  <c r="O12" i="130" a="1"/>
  <c r="DD9" i="132" a="1"/>
  <c r="AA19" i="130" a="1"/>
  <c r="BI9" i="130" a="1"/>
  <c r="Y5" i="132" a="1"/>
  <c r="X17" i="130" a="1"/>
  <c r="BE7" i="130" a="1"/>
  <c r="L9" i="132" a="1"/>
  <c r="EZ15" i="132" a="1"/>
  <c r="AQ61" i="130" a="1"/>
  <c r="I32" i="130" a="1"/>
  <c r="AR24" i="130" a="1"/>
  <c r="K12" i="130" a="1"/>
  <c r="DS9" i="132" a="1"/>
  <c r="W19" i="130" a="1"/>
  <c r="BE9" i="130" a="1"/>
  <c r="BJ12" i="132" a="1"/>
  <c r="BC31" i="130" a="1"/>
  <c r="AJ32" i="130" a="1"/>
  <c r="J17" i="130" a="1"/>
  <c r="D13" i="132" a="1"/>
  <c r="DB13" i="132" a="1"/>
  <c r="AW13" i="130" a="1"/>
  <c r="CW13" i="132" a="1"/>
  <c r="L21" i="130" a="1"/>
  <c r="AT11" i="130" a="1"/>
  <c r="EY12" i="132" a="1"/>
  <c r="H9" i="132" a="1"/>
  <c r="AO30" i="130" a="1"/>
  <c r="AQ38" i="130" a="1"/>
  <c r="Y91" i="130" a="1"/>
  <c r="AG97" i="130" a="1"/>
  <c r="BJ58" i="130" a="1"/>
  <c r="AJ50" i="130" a="1"/>
  <c r="AZ90" i="130" a="1"/>
  <c r="R82" i="130" a="1"/>
  <c r="P96" i="130" a="1"/>
  <c r="AY58" i="130" a="1"/>
  <c r="U56" i="130" a="1"/>
  <c r="U89" i="130" a="1"/>
  <c r="R85" i="130" a="1"/>
  <c r="Y88" i="130" a="1"/>
  <c r="U90" i="130" a="1"/>
  <c r="C87" i="130" a="1"/>
  <c r="BF84" i="130" a="1"/>
  <c r="AF84" i="130" a="1"/>
  <c r="AI92" i="130" a="1"/>
  <c r="AQ57" i="130" a="1"/>
  <c r="Z83" i="130" a="1"/>
  <c r="G84" i="130" a="1"/>
  <c r="AY82" i="130" a="1"/>
  <c r="AG85" i="130" a="1"/>
  <c r="BB73" i="130" a="1"/>
  <c r="AU82" i="130" a="1"/>
  <c r="AO56" i="130" a="1"/>
  <c r="AB86" i="130" a="1"/>
  <c r="AA88" i="130" a="1"/>
  <c r="Y67" i="130" a="1"/>
  <c r="AQ63" i="130" a="1"/>
  <c r="S88" i="130" a="1"/>
  <c r="D72" i="130" a="1"/>
  <c r="AL60" i="130" a="1"/>
  <c r="I71" i="130" a="1"/>
  <c r="AJ66" i="130" a="1"/>
  <c r="H92" i="130" a="1"/>
  <c r="W77" i="130" a="1"/>
  <c r="T86" i="130" a="1"/>
  <c r="O81" i="130" a="1"/>
  <c r="AE76" i="130" a="1"/>
  <c r="AH60" i="130" a="1"/>
  <c r="Y96" i="130" a="1"/>
  <c r="AE74" i="130" a="1"/>
  <c r="S69" i="130" a="1"/>
  <c r="F85" i="130" a="1"/>
  <c r="AB54" i="130" a="1"/>
  <c r="BC45" i="130" a="1"/>
  <c r="AQ40" i="130" a="1"/>
  <c r="K72" i="130" a="1"/>
  <c r="L62" i="130" a="1"/>
  <c r="AU44" i="130" a="1"/>
  <c r="D83" i="130" a="1"/>
  <c r="Q66" i="130" a="1"/>
  <c r="AP46" i="130" a="1"/>
  <c r="V41" i="130" a="1"/>
  <c r="O39" i="130" a="1"/>
  <c r="BC36" i="130" a="1"/>
  <c r="AJ34" i="130" a="1"/>
  <c r="H33" i="130" a="1"/>
  <c r="BF30" i="130" a="1"/>
  <c r="BE88" i="130" a="1"/>
  <c r="AN67" i="130" a="1"/>
  <c r="BC63" i="130" a="1"/>
  <c r="J63" i="130" a="1"/>
  <c r="BH64" i="130" a="1"/>
  <c r="BG39" i="130" a="1"/>
  <c r="AS44" i="130" a="1"/>
  <c r="T31" i="130" a="1"/>
  <c r="S35" i="130" a="1"/>
  <c r="AE23" i="130" a="1"/>
  <c r="U28" i="130" a="1"/>
  <c r="BK33" i="130" a="1"/>
  <c r="G70" i="130" a="1"/>
  <c r="I70" i="130" a="1"/>
  <c r="BI69" i="130" a="1"/>
  <c r="BA43" i="130" a="1"/>
  <c r="H47" i="130" a="1"/>
  <c r="H64" i="130" a="1"/>
  <c r="AO88" i="130" a="1"/>
  <c r="AS71" i="130" a="1"/>
  <c r="BA77" i="130" a="1"/>
  <c r="AU63" i="130" a="1"/>
  <c r="AP78" i="130" a="1"/>
  <c r="H67" i="130" a="1"/>
  <c r="AU67" i="130" a="1"/>
  <c r="BK41" i="130" a="1"/>
  <c r="N45" i="130" a="1"/>
  <c r="Z62" i="130" a="1"/>
  <c r="AU39" i="130" a="1"/>
  <c r="T45" i="130" a="1"/>
  <c r="AQ32" i="130" a="1"/>
  <c r="P38" i="130" a="1"/>
  <c r="O27" i="130" a="1"/>
  <c r="AN33" i="130" a="1"/>
  <c r="AM22" i="130" a="1"/>
  <c r="M80" i="130" a="1"/>
  <c r="BC76" i="130" a="1"/>
  <c r="L74" i="130" a="1"/>
  <c r="L58" i="130" a="1"/>
  <c r="AT63" i="130" a="1"/>
  <c r="AY94" i="130" a="1"/>
  <c r="AD66" i="130" a="1"/>
  <c r="AG77" i="130" a="1"/>
  <c r="AA63" i="130" a="1"/>
  <c r="O66" i="130" a="1"/>
  <c r="BG40" i="130" a="1"/>
  <c r="AR46" i="130" a="1"/>
  <c r="AD79" i="130" a="1"/>
  <c r="AC78" i="130" a="1"/>
  <c r="R76" i="130" a="1"/>
  <c r="W63" i="130" a="1"/>
  <c r="L69" i="130" a="1"/>
  <c r="T43" i="130" a="1"/>
  <c r="BF60" i="130" a="1"/>
  <c r="V40" i="130" a="1"/>
  <c r="AD47" i="130" a="1"/>
  <c r="BJ37" i="130" a="1"/>
  <c r="AI28" i="130" a="1"/>
  <c r="M76" i="130" a="1"/>
  <c r="Q78" i="130" a="1"/>
  <c r="Y77" i="130" a="1"/>
  <c r="M65" i="130" a="1"/>
  <c r="AL94" i="130" a="1"/>
  <c r="P68" i="130" a="1"/>
  <c r="AX80" i="130" a="1"/>
  <c r="O67" i="130" a="1"/>
  <c r="G45" i="130" a="1"/>
  <c r="AV61" i="130" a="1"/>
  <c r="BH39" i="130" a="1"/>
  <c r="S47" i="130" a="1"/>
  <c r="E66" i="130" a="1"/>
  <c r="BI44" i="130" a="1"/>
  <c r="AF35" i="130" a="1"/>
  <c r="BJ44" i="130" a="1"/>
  <c r="AO44" i="130" a="1"/>
  <c r="N29" i="130" a="1"/>
  <c r="AX32" i="130" a="1"/>
  <c r="AN37" i="130" a="1"/>
  <c r="D25" i="130" a="1"/>
  <c r="AU29" i="130" a="1"/>
  <c r="BH19" i="130" a="1"/>
  <c r="AG10" i="130" a="1"/>
  <c r="BD39" i="130" a="1"/>
  <c r="BI62" i="130" a="1"/>
  <c r="H35" i="130" a="1"/>
  <c r="BI37" i="130" a="1"/>
  <c r="Y25" i="130" a="1"/>
  <c r="O30" i="130" a="1"/>
  <c r="BF90" i="130" a="1"/>
  <c r="BH86" i="130" a="1"/>
  <c r="BB84" i="130" a="1"/>
  <c r="AA84" i="130" a="1"/>
  <c r="AT51" i="130" a="1"/>
  <c r="AU95" i="130" a="1"/>
  <c r="AD74" i="130" a="1"/>
  <c r="Y93" i="130" a="1"/>
  <c r="J78" i="130" a="1"/>
  <c r="L51" i="130" a="1"/>
  <c r="M94" i="130" a="1"/>
  <c r="AR79" i="130" a="1"/>
  <c r="BH71" i="130" a="1"/>
  <c r="E40" i="130" a="1"/>
  <c r="F87" i="130" a="1"/>
  <c r="R67" i="130" a="1"/>
  <c r="F36" i="130" a="1"/>
  <c r="AC72" i="130" a="1"/>
  <c r="BH47" i="130" a="1"/>
  <c r="N80" i="130" a="1"/>
  <c r="AT68" i="130" a="1"/>
  <c r="AH40" i="130" a="1"/>
  <c r="BK27" i="130" a="1"/>
  <c r="AW78" i="130" a="1"/>
  <c r="BJ97" i="130" a="1"/>
  <c r="H40" i="130" a="1"/>
  <c r="W80" i="130" a="1"/>
  <c r="BK44" i="130" a="1"/>
  <c r="BB38" i="130" a="1"/>
  <c r="AF78" i="130" a="1"/>
  <c r="AR54" i="130" a="1"/>
  <c r="AU40" i="130" a="1"/>
  <c r="S36" i="130" a="1"/>
  <c r="BE33" i="130" a="1"/>
  <c r="AU20" i="130" a="1"/>
  <c r="AE36" i="130" a="1"/>
  <c r="U35" i="130" a="1"/>
  <c r="FD6" i="132" a="1"/>
  <c r="AZ45" i="130" a="1"/>
  <c r="AE38" i="130" a="1"/>
  <c r="M40" i="130" a="1"/>
  <c r="K34" i="130" a="1"/>
  <c r="N44" i="130" a="1"/>
  <c r="Z32" i="130" a="1"/>
  <c r="AA29" i="130" a="1"/>
  <c r="J65" i="130" a="1"/>
  <c r="C27" i="130" a="1"/>
  <c r="C25" i="130" a="1"/>
  <c r="AE28" i="130" a="1"/>
  <c r="M62" i="130" a="1"/>
  <c r="S39" i="130" a="1"/>
  <c r="BB28" i="130" a="1"/>
  <c r="T44" i="130" a="1"/>
  <c r="AT25" i="130" a="1"/>
  <c r="BF54" i="130" a="1"/>
  <c r="Q10" i="130" a="1"/>
  <c r="AV10" i="130" a="1"/>
  <c r="AX15" i="130" a="1"/>
  <c r="EB8" i="132" a="1"/>
  <c r="D29" i="130" a="1"/>
  <c r="R9" i="130" a="1"/>
  <c r="AJ18" i="130" a="1"/>
  <c r="Y9" i="132" a="1"/>
  <c r="I24" i="130" a="1"/>
  <c r="D15" i="130" a="1"/>
  <c r="ED5" i="132" a="1"/>
  <c r="AQ5" i="130" a="1"/>
  <c r="AY18" i="130" a="1"/>
  <c r="BZ15" i="132" a="1"/>
  <c r="O46" i="130" a="1"/>
  <c r="X24" i="130" a="1"/>
  <c r="O8" i="130" a="1"/>
  <c r="O19" i="130" a="1"/>
  <c r="AM5" i="130" a="1"/>
  <c r="L17" i="130" a="1"/>
  <c r="AP13" i="132" a="1"/>
  <c r="C31" i="130" a="1"/>
  <c r="AM25" i="130" a="1"/>
  <c r="BJ9" i="130" a="1"/>
  <c r="U7" i="132" a="1"/>
  <c r="AF10" i="130" a="1"/>
  <c r="DZ14" i="132" a="1"/>
  <c r="AY10" i="130" a="1"/>
  <c r="EE9" i="132" a="1"/>
  <c r="AU36" i="130" a="1"/>
  <c r="AR28" i="130" a="1"/>
  <c r="AQ12" i="130" a="1"/>
  <c r="AH7" i="132" a="1"/>
  <c r="AT16" i="130" a="1"/>
  <c r="FD11" i="132" a="1"/>
  <c r="P26" i="130" a="1"/>
  <c r="AP26" i="130" a="1"/>
  <c r="AR11" i="130" a="1"/>
  <c r="AF13" i="132" a="1"/>
  <c r="T14" i="130" a="1"/>
  <c r="EG8" i="132" a="1"/>
  <c r="AI18" i="130" a="1"/>
  <c r="AG7" i="130" a="1"/>
  <c r="BV7" i="132" a="1"/>
  <c r="AA17" i="130" a="1"/>
  <c r="AW25" i="130" a="1"/>
  <c r="AL26" i="130" a="1"/>
  <c r="AN11" i="130" a="1"/>
  <c r="EJ9" i="132" a="1"/>
  <c r="P14" i="130" a="1"/>
  <c r="CD14" i="132" a="1"/>
  <c r="AE18" i="130" a="1"/>
  <c r="AC7" i="130" a="1"/>
  <c r="DX16" i="132" a="1"/>
  <c r="AJ33" i="130" a="1"/>
  <c r="BE23" i="130" a="1"/>
  <c r="AO10" i="130" a="1"/>
  <c r="DE16" i="132" a="1"/>
  <c r="H22" i="130" a="1"/>
  <c r="H28" i="130" a="1"/>
  <c r="AG14" i="130" a="1"/>
  <c r="AE13" i="132" a="1"/>
  <c r="M21" i="130" a="1"/>
  <c r="AU11" i="130" a="1"/>
  <c r="AO39" i="130" a="1"/>
  <c r="BE27" i="130" a="1"/>
  <c r="U14" i="130" a="1"/>
  <c r="Y39" i="130" a="1"/>
  <c r="BA27" i="130" a="1"/>
  <c r="Q14" i="130" a="1"/>
  <c r="CQ11" i="132" a="1"/>
  <c r="BY5" i="132" a="1"/>
  <c r="O10" i="130" a="1"/>
  <c r="V8" i="132" a="1"/>
  <c r="AU13" i="130" a="1"/>
  <c r="BJ8" i="132" a="1"/>
  <c r="DB9" i="132" a="1"/>
  <c r="ES6" i="132" a="1"/>
  <c r="AH13" i="132" a="1"/>
  <c r="BM11" i="132" a="1"/>
  <c r="CO5" i="132" a="1"/>
  <c r="DN13" i="132" a="1"/>
  <c r="CJ16" i="132" a="1"/>
  <c r="FB6" i="132" a="1"/>
  <c r="CG11" i="132" a="1"/>
  <c r="Y8" i="130" a="1"/>
  <c r="S13" i="132" a="1"/>
  <c r="BD12" i="130" a="1"/>
  <c r="EL11" i="132" a="1"/>
  <c r="T7" i="132" a="1"/>
  <c r="CE13" i="132" a="1"/>
  <c r="AV9" i="130" a="1"/>
  <c r="CQ9" i="132" a="1"/>
  <c r="AM13" i="130" a="1"/>
  <c r="FB16" i="132" a="1"/>
  <c r="CU9" i="132" a="1"/>
  <c r="AY12" i="132" a="1"/>
  <c r="EN8" i="132" a="1"/>
  <c r="L14" i="130" a="1"/>
  <c r="BJ15" i="130" a="1"/>
  <c r="BX5" i="132" a="1"/>
  <c r="O17" i="130" a="1"/>
  <c r="P7" i="130" a="1"/>
  <c r="EW16" i="132" a="1"/>
  <c r="AA6" i="132" a="1"/>
  <c r="DK9" i="132" a="1"/>
  <c r="AN9" i="130" a="1"/>
  <c r="CG5" i="132" a="1"/>
  <c r="AE13" i="130" a="1"/>
  <c r="AG8" i="132" a="1"/>
  <c r="CZ11" i="132" a="1"/>
  <c r="Z8" i="132" a="1"/>
  <c r="R20" i="130" a="1"/>
  <c r="BK18" i="130" a="1"/>
  <c r="EZ8" i="132" a="1"/>
  <c r="BF18" i="130" a="1"/>
  <c r="AR8" i="130" a="1"/>
  <c r="BG7" i="132" a="1"/>
  <c r="EK7" i="132" a="1"/>
  <c r="BI11" i="132" a="1"/>
  <c r="AQ21" i="130" a="1"/>
  <c r="CW8" i="132" a="1"/>
  <c r="AJ21" i="130" a="1"/>
  <c r="CM16" i="132" a="1"/>
  <c r="AN20" i="130" a="1"/>
  <c r="F10" i="130" a="1"/>
  <c r="AP7" i="130" a="1"/>
  <c r="E12" i="130" a="1"/>
  <c r="BY15" i="132" a="1"/>
  <c r="BB14" i="130" a="1"/>
  <c r="AZ6" i="132" a="1"/>
  <c r="AH9" i="132" a="1"/>
  <c r="F7" i="130" a="1"/>
  <c r="BJ11" i="130" a="1"/>
  <c r="CJ5" i="132" a="1"/>
  <c r="AX88" i="130" a="1"/>
  <c r="K84" i="130" a="1"/>
  <c r="AA86" i="130" a="1"/>
  <c r="AG80" i="130" a="1"/>
  <c r="M56" i="130" a="1"/>
  <c r="AS56" i="130" a="1"/>
  <c r="W79" i="130" a="1"/>
  <c r="BH73" i="130" a="1"/>
  <c r="AW91" i="130" a="1"/>
  <c r="AZ54" i="130" a="1"/>
  <c r="BJ77" i="130" a="1"/>
  <c r="M69" i="130" a="1"/>
  <c r="AW65" i="130" a="1"/>
  <c r="S24" i="130" a="1"/>
  <c r="AB79" i="130" a="1"/>
  <c r="BC43" i="130" a="1"/>
  <c r="AN26" i="130" a="1"/>
  <c r="V77" i="130" a="1"/>
  <c r="BA38" i="130" a="1"/>
  <c r="AX68" i="130" a="1"/>
  <c r="Q47" i="130" a="1"/>
  <c r="Q55" i="130" a="1"/>
  <c r="AW36" i="130" a="1"/>
  <c r="BD78" i="130" a="1"/>
  <c r="AN80" i="130" a="1"/>
  <c r="BF45" i="130" a="1"/>
  <c r="BJ80" i="130" a="1"/>
  <c r="W65" i="130" a="1"/>
  <c r="AR31" i="130" a="1"/>
  <c r="Z68" i="130" a="1"/>
  <c r="AA71" i="130" a="1"/>
  <c r="F62" i="130" a="1"/>
  <c r="F66" i="130" a="1"/>
  <c r="AD24" i="130" a="1"/>
  <c r="AP13" i="130" a="1"/>
  <c r="AH25" i="130" a="1"/>
  <c r="V34" i="130" a="1"/>
  <c r="AO14" i="132" a="1"/>
  <c r="AC44" i="130" a="1"/>
  <c r="AB37" i="130" a="1"/>
  <c r="BJ38" i="130" a="1"/>
  <c r="L33" i="130" a="1"/>
  <c r="AF42" i="130" a="1"/>
  <c r="S31" i="130" a="1"/>
  <c r="AF28" i="130" a="1"/>
  <c r="AV63" i="130" a="1"/>
  <c r="D26" i="130" a="1"/>
  <c r="L24" i="130" a="1"/>
  <c r="T27" i="130" a="1"/>
  <c r="AL58" i="130" a="1"/>
  <c r="I66" i="130" a="1"/>
  <c r="AY27" i="130" a="1"/>
  <c r="G66" i="130" a="1"/>
  <c r="AQ24" i="130" a="1"/>
  <c r="U40" i="130" a="1"/>
  <c r="V9" i="130" a="1"/>
  <c r="M9" i="130" a="1"/>
  <c r="BK14" i="130" a="1"/>
  <c r="DX11" i="132" a="1"/>
  <c r="AE26" i="130" a="1"/>
  <c r="CC13" i="132" a="1"/>
  <c r="AW17" i="130" a="1"/>
  <c r="DH16" i="132" a="1"/>
  <c r="BK38" i="130" a="1"/>
  <c r="BJ13" i="130" a="1"/>
  <c r="CP11" i="132" a="1"/>
  <c r="FF6" i="132" a="1"/>
  <c r="BC14" i="130" a="1"/>
  <c r="Z9" i="132" a="1"/>
  <c r="I38" i="130" a="1"/>
  <c r="M23" i="130" a="1"/>
  <c r="K7" i="130" a="1"/>
  <c r="AB18" i="130" a="1"/>
  <c r="FD12" i="132" a="1"/>
  <c r="Y16" i="130" a="1"/>
  <c r="EF15" i="132" a="1"/>
  <c r="BD26" i="130" a="1"/>
  <c r="T24" i="130" a="1"/>
  <c r="BK7" i="130" a="1"/>
  <c r="AG21" i="130" a="1"/>
  <c r="AS9" i="130" a="1"/>
  <c r="DH14" i="132" a="1"/>
  <c r="C10" i="130" a="1"/>
  <c r="DK14" i="132" a="1"/>
  <c r="AW22" i="130" a="1"/>
  <c r="BF26" i="130" a="1"/>
  <c r="AV11" i="130" a="1"/>
  <c r="CO9" i="132" a="1"/>
  <c r="K15" i="130" a="1"/>
  <c r="DW11" i="132" a="1"/>
  <c r="AZ22" i="130" a="1"/>
  <c r="S25" i="130" a="1"/>
  <c r="AW10" i="130" a="1"/>
  <c r="DO6" i="132" a="1"/>
  <c r="AG13" i="130" a="1"/>
  <c r="S6" i="132" a="1"/>
  <c r="AV17" i="130" a="1"/>
  <c r="AT5" i="130" a="1"/>
  <c r="DF7" i="132" a="1"/>
  <c r="AN16" i="130" a="1"/>
  <c r="AN22" i="130" a="1"/>
  <c r="O25" i="130" a="1"/>
  <c r="AS10" i="130" a="1"/>
  <c r="BB16" i="132" a="1"/>
  <c r="AC13" i="130" a="1"/>
  <c r="Z6" i="132" a="1"/>
  <c r="AR17" i="130" a="1"/>
  <c r="AP5" i="130" a="1"/>
  <c r="ED12" i="132" a="1"/>
  <c r="AA30" i="130" a="1"/>
  <c r="AP22" i="130" a="1"/>
  <c r="AL9" i="130" a="1"/>
  <c r="EO15" i="132" a="1"/>
  <c r="Y36" i="130" a="1"/>
  <c r="AD26" i="130" a="1"/>
  <c r="Z13" i="130" a="1"/>
  <c r="AR16" i="132" a="1"/>
  <c r="Z20" i="130" a="1"/>
  <c r="BH10" i="130" a="1"/>
  <c r="BF35" i="130" a="1"/>
  <c r="Z26" i="130" a="1"/>
  <c r="R13" i="130" a="1"/>
  <c r="BB35" i="130" a="1"/>
  <c r="J26" i="130" a="1"/>
  <c r="N13" i="130" a="1"/>
  <c r="DM8" i="132" a="1"/>
  <c r="EZ12" i="132" a="1"/>
  <c r="AO8" i="130" a="1"/>
  <c r="DB14" i="132" a="1"/>
  <c r="BH12" i="130" a="1"/>
  <c r="DE8" i="132" a="1"/>
  <c r="AA7" i="132" a="1"/>
  <c r="Y11" i="132" a="1"/>
  <c r="F8" i="132" a="1"/>
  <c r="O12" i="132" a="1"/>
  <c r="DA16" i="132" a="1"/>
  <c r="EW14" i="132" a="1"/>
  <c r="DT16" i="132" a="1"/>
  <c r="AJ14" i="132" a="1"/>
  <c r="CL14" i="132" a="1"/>
  <c r="AX5" i="130" a="1"/>
  <c r="K6" i="132" a="1"/>
  <c r="H12" i="130" a="1"/>
  <c r="ES15" i="132" a="1"/>
  <c r="C11" i="132" a="1"/>
  <c r="CY13" i="132" a="1"/>
  <c r="M8" i="130" a="1"/>
  <c r="L13" i="132" a="1"/>
  <c r="AZ12" i="130" a="1"/>
  <c r="AT15" i="132" a="1"/>
  <c r="DE13" i="132" a="1"/>
  <c r="CD15" i="132" a="1"/>
  <c r="C16" i="132" a="1"/>
  <c r="C11" i="130" a="1"/>
  <c r="AA14" i="130" a="1"/>
  <c r="DI7" i="132" a="1"/>
  <c r="T16" i="130" a="1"/>
  <c r="AC5" i="130" a="1"/>
  <c r="CY11" i="132" a="1"/>
  <c r="AM15" i="132" a="1"/>
  <c r="DE5" i="132" a="1"/>
  <c r="E8" i="130" a="1"/>
  <c r="BM6" i="132" a="1"/>
  <c r="AR12" i="130" a="1"/>
  <c r="DL16" i="132" a="1"/>
  <c r="CU14" i="132" a="1"/>
  <c r="AB11" i="132" a="1"/>
  <c r="I17" i="130" a="1"/>
  <c r="AB17" i="130" a="1"/>
  <c r="AJ11" i="132" a="1"/>
  <c r="BK17" i="130" a="1"/>
  <c r="BD7" i="130" a="1"/>
  <c r="DL15" i="132" a="1"/>
  <c r="AX21" i="130" a="1"/>
  <c r="CV6" i="132" a="1"/>
  <c r="BA89" i="130" a="1"/>
  <c r="BH54" i="130" a="1"/>
  <c r="BD50" i="130" a="1"/>
  <c r="AJ89" i="130" a="1"/>
  <c r="AK54" i="130" a="1"/>
  <c r="AY73" i="130" a="1"/>
  <c r="AR70" i="130" a="1"/>
  <c r="BJ78" i="130" a="1"/>
  <c r="L84" i="130" a="1"/>
  <c r="BB95" i="130" a="1"/>
  <c r="W72" i="130" a="1"/>
  <c r="AS68" i="130" a="1"/>
  <c r="C63" i="130" a="1"/>
  <c r="AF38" i="130" a="1"/>
  <c r="M70" i="130" a="1"/>
  <c r="AG41" i="130" a="1"/>
  <c r="E25" i="130" a="1"/>
  <c r="AH73" i="130" a="1"/>
  <c r="AQ65" i="130" a="1"/>
  <c r="AK65" i="130" a="1"/>
  <c r="AA45" i="130" a="1"/>
  <c r="BC46" i="130" a="1"/>
  <c r="N35" i="130" a="1"/>
  <c r="AH76" i="130" a="1"/>
  <c r="M71" i="130" a="1"/>
  <c r="O44" i="130" a="1"/>
  <c r="AN78" i="130" a="1"/>
  <c r="AW63" i="130" a="1"/>
  <c r="I30" i="130" a="1"/>
  <c r="T66" i="130" a="1"/>
  <c r="Y69" i="130" a="1"/>
  <c r="I57" i="130" a="1"/>
  <c r="AQ60" i="130" a="1"/>
  <c r="T22" i="130" a="1"/>
  <c r="G12" i="130" a="1"/>
  <c r="AJ23" i="130" a="1"/>
  <c r="I27" i="130" a="1"/>
  <c r="CZ6" i="132" a="1"/>
  <c r="AX33" i="130" a="1"/>
  <c r="AL54" i="130" a="1"/>
  <c r="AY28" i="130" a="1"/>
  <c r="AS24" i="130" a="1"/>
  <c r="L54" i="130" a="1"/>
  <c r="BH22" i="130" a="1"/>
  <c r="AK22" i="130" a="1"/>
  <c r="T41" i="130" a="1"/>
  <c r="BK34" i="130" a="1"/>
  <c r="V62" i="130" a="1"/>
  <c r="AA35" i="130" a="1"/>
  <c r="U38" i="130" a="1"/>
  <c r="AP43" i="130" a="1"/>
  <c r="BA36" i="130" a="1"/>
  <c r="M45" i="130" a="1"/>
  <c r="BB32" i="130" a="1"/>
  <c r="AT35" i="130" a="1"/>
  <c r="CL13" i="132" a="1"/>
  <c r="Z8" i="130" a="1"/>
  <c r="S10" i="130" a="1"/>
  <c r="AV21" i="130" a="1"/>
  <c r="U24" i="130" a="1"/>
  <c r="CT14" i="132" a="1"/>
  <c r="BJ16" i="130" a="1"/>
  <c r="W16" i="132" a="1"/>
  <c r="AR36" i="130" a="1"/>
  <c r="N9" i="130" a="1"/>
  <c r="AO21" i="130" a="1"/>
  <c r="CG6" i="132" a="1"/>
  <c r="G14" i="130" a="1"/>
  <c r="BL11" i="132" a="1"/>
  <c r="AV23" i="130" a="1"/>
  <c r="F22" i="130" a="1"/>
  <c r="P5" i="130" a="1"/>
  <c r="AO17" i="130" a="1"/>
  <c r="CK5" i="132" a="1"/>
  <c r="AL15" i="130" a="1"/>
  <c r="G11" i="132" a="1"/>
  <c r="AM23" i="130" a="1"/>
  <c r="I23" i="130" a="1"/>
  <c r="FB15" i="132" a="1"/>
  <c r="AT20" i="130" a="1"/>
  <c r="BF8" i="130" a="1"/>
  <c r="D21" i="130" a="1"/>
  <c r="P9" i="130" a="1"/>
  <c r="CB13" i="132" a="1"/>
  <c r="AV26" i="130" a="1"/>
  <c r="AI25" i="130" a="1"/>
  <c r="BA10" i="130" a="1"/>
  <c r="ET12" i="132" a="1"/>
  <c r="AK13" i="130" a="1"/>
  <c r="BK12" i="132" a="1"/>
  <c r="H37" i="130" a="1"/>
  <c r="D24" i="130" a="1"/>
  <c r="BB9" i="130" a="1"/>
  <c r="CR11" i="132" a="1"/>
  <c r="AT12" i="130" a="1"/>
  <c r="AK14" i="132" a="1"/>
  <c r="BI16" i="130" a="1"/>
  <c r="FE8" i="132" a="1"/>
  <c r="AD89" i="130" a="1"/>
  <c r="AD50" i="130" a="1"/>
  <c r="J97" i="130" a="1"/>
  <c r="Q89" i="130" a="1"/>
  <c r="F82" i="130" a="1"/>
  <c r="C73" i="130" a="1"/>
  <c r="BE69" i="130" a="1"/>
  <c r="N78" i="130" a="1"/>
  <c r="BI91" i="130" a="1"/>
  <c r="BF88" i="130" a="1"/>
  <c r="AK70" i="130" a="1"/>
  <c r="BE65" i="130" a="1"/>
  <c r="D62" i="130" a="1"/>
  <c r="AS37" i="130" a="1"/>
  <c r="AY68" i="130" a="1"/>
  <c r="AT40" i="130" a="1"/>
  <c r="R24" i="130" a="1"/>
  <c r="AR71" i="130" a="1"/>
  <c r="BD64" i="130" a="1"/>
  <c r="AP64" i="130" a="1"/>
  <c r="AS43" i="130" a="1"/>
  <c r="G46" i="130" a="1"/>
  <c r="AA34" i="130" a="1"/>
  <c r="S75" i="130" a="1"/>
  <c r="AZ68" i="130" a="1"/>
  <c r="AG42" i="130" a="1"/>
  <c r="AC77" i="130" a="1"/>
  <c r="N62" i="130" a="1"/>
  <c r="V29" i="130" a="1"/>
  <c r="L66" i="130" a="1"/>
  <c r="R68" i="130" a="1"/>
  <c r="E54" i="130" a="1"/>
  <c r="W47" i="130" a="1"/>
  <c r="AX38" i="130" a="1"/>
  <c r="T11" i="130" a="1"/>
  <c r="N39" i="130" a="1"/>
  <c r="W25" i="130" a="1"/>
  <c r="DP15" i="132" a="1"/>
  <c r="AB31" i="130" a="1"/>
  <c r="Y47" i="130" a="1"/>
  <c r="AC26" i="130" a="1"/>
  <c r="AI22" i="130" a="1"/>
  <c r="AB45" i="130" a="1"/>
  <c r="O38" i="130" a="1"/>
  <c r="AA20" i="130" a="1"/>
  <c r="AK38" i="130" a="1"/>
  <c r="BE32" i="130" a="1"/>
  <c r="BI45" i="130" a="1"/>
  <c r="Q33" i="130" a="1"/>
  <c r="AR35" i="130" a="1"/>
  <c r="BI40" i="130" a="1"/>
  <c r="AY34" i="130" a="1"/>
  <c r="AS41" i="130" a="1"/>
  <c r="AZ30" i="130" a="1"/>
  <c r="AB29" i="130" a="1"/>
  <c r="CG12" i="132" a="1"/>
  <c r="AL7" i="130" a="1"/>
  <c r="AS8" i="130" a="1"/>
  <c r="BH20" i="130" a="1"/>
  <c r="K29" i="130" a="1"/>
  <c r="T12" i="132" a="1"/>
  <c r="E13" i="130" a="1"/>
  <c r="EG5" i="132" a="1"/>
  <c r="AH34" i="130" a="1"/>
  <c r="S8" i="130" a="1"/>
  <c r="BB20" i="130" a="1"/>
  <c r="FA7" i="132" a="1"/>
  <c r="T13" i="130" a="1"/>
  <c r="AC9" i="132" a="1"/>
  <c r="AQ35" i="130" a="1"/>
  <c r="V21" i="130" a="1"/>
  <c r="CQ5" i="132" a="1"/>
  <c r="BB16" i="130" a="1"/>
  <c r="EA7" i="132" a="1"/>
  <c r="AY14" i="130" a="1"/>
  <c r="AB16" i="132" a="1"/>
  <c r="BD37" i="130" a="1"/>
  <c r="BC21" i="130" a="1"/>
  <c r="CL8" i="132" a="1"/>
  <c r="BG19" i="130" a="1"/>
  <c r="J8" i="130" a="1"/>
  <c r="Q20" i="130" a="1"/>
  <c r="AC8" i="130" a="1"/>
  <c r="EE7" i="132" a="1"/>
  <c r="G23" i="130" a="1"/>
  <c r="H24" i="130" a="1"/>
  <c r="BF9" i="130" a="1"/>
  <c r="CV7" i="132" a="1"/>
  <c r="AX12" i="130" a="1"/>
  <c r="BQ11" i="132" a="1"/>
  <c r="BH33" i="130" a="1"/>
  <c r="BF22" i="130" a="1"/>
  <c r="BC7" i="130" a="1"/>
  <c r="DU11" i="132" a="1"/>
  <c r="BG11" i="130" a="1"/>
  <c r="EQ15" i="132" a="1"/>
  <c r="M16" i="130" a="1"/>
  <c r="Q14" i="132" a="1"/>
  <c r="CD8" i="132" a="1"/>
  <c r="E15" i="130" a="1"/>
  <c r="AV33" i="130" a="1"/>
  <c r="AT22" i="130" a="1"/>
  <c r="AY7" i="130" a="1"/>
  <c r="BW6" i="132" a="1"/>
  <c r="BC11" i="130" a="1"/>
  <c r="CH11" i="132" a="1"/>
  <c r="I16" i="130" a="1"/>
  <c r="AT6" i="132" a="1"/>
  <c r="AZ42" i="130" a="1"/>
  <c r="T25" i="130" a="1"/>
  <c r="BC20" i="130" a="1"/>
  <c r="AU7" i="130" a="1"/>
  <c r="BA41" i="130" a="1"/>
  <c r="G30" i="130" a="1"/>
  <c r="AW23" i="130" a="1"/>
  <c r="AF11" i="130" a="1"/>
  <c r="D8" i="132" a="1"/>
  <c r="AZ18" i="130" a="1"/>
  <c r="Q41" i="130" a="1"/>
  <c r="AN29" i="130" a="1"/>
  <c r="AK23" i="130" a="1"/>
  <c r="AD40" i="130" a="1"/>
  <c r="AJ29" i="130" a="1"/>
  <c r="AG23" i="130" a="1"/>
  <c r="X11" i="130" a="1"/>
  <c r="W12" i="130" a="1"/>
  <c r="EQ12" i="132" a="1"/>
  <c r="AA13" i="132" a="1"/>
  <c r="EV13" i="132" a="1"/>
  <c r="Y11" i="130" a="1"/>
  <c r="CR12" i="132" a="1"/>
  <c r="BW5" i="132" a="1"/>
  <c r="AV16" i="132" a="1"/>
  <c r="AT13" i="132" a="1"/>
  <c r="P7" i="132" a="1"/>
  <c r="CJ11" i="132" a="1"/>
  <c r="S16" i="132" a="1"/>
  <c r="BU14" i="132" a="1"/>
  <c r="BC5" i="132" a="1"/>
  <c r="AR12" i="132" a="1"/>
  <c r="K8" i="132" a="1"/>
  <c r="K21" i="130" a="1"/>
  <c r="AH10" i="130" a="1"/>
  <c r="EF13" i="132" a="1"/>
  <c r="Y10" i="130" a="1"/>
  <c r="CC15" i="132" a="1"/>
  <c r="EL13" i="132" a="1"/>
  <c r="AA22" i="130" a="1"/>
  <c r="Q11" i="130" a="1"/>
  <c r="AW12" i="132" a="1"/>
  <c r="EA15" i="132" a="1"/>
  <c r="BN6" i="132" a="1"/>
  <c r="BR9" i="132" a="1"/>
  <c r="O5" i="130" a="1"/>
  <c r="R11" i="130" a="1"/>
  <c r="CB11" i="132" a="1"/>
  <c r="Z14" i="130" a="1"/>
  <c r="BI6" i="132" a="1"/>
  <c r="C6" i="132" a="1"/>
  <c r="AI8" i="130" a="1"/>
  <c r="AB8" i="132" a="1"/>
  <c r="DC7" i="132" a="1"/>
  <c r="K22" i="130" a="1"/>
  <c r="AK56" i="130" a="1"/>
  <c r="AC93" i="130" a="1"/>
  <c r="AT97" i="130" a="1"/>
  <c r="AV93" i="130" a="1"/>
  <c r="U92" i="130" a="1"/>
  <c r="AN51" i="130" a="1"/>
  <c r="BE77" i="130" a="1"/>
  <c r="E46" i="130" a="1"/>
  <c r="Y66" i="130" a="1"/>
  <c r="AB77" i="130" a="1"/>
  <c r="AH61" i="130" a="1"/>
  <c r="BJ64" i="130" a="1"/>
  <c r="V63" i="130" a="1"/>
  <c r="J54" i="130" a="1"/>
  <c r="BI21" i="130" a="1"/>
  <c r="BJ68" i="130" a="1"/>
  <c r="BB47" i="130" a="1"/>
  <c r="D33" i="130" a="1"/>
  <c r="X74" i="130" a="1"/>
  <c r="AL44" i="130" a="1"/>
  <c r="AA74" i="130" a="1"/>
  <c r="G62" i="130" a="1"/>
  <c r="Z37" i="130" a="1"/>
  <c r="AV25" i="130" a="1"/>
  <c r="AH64" i="130" a="1"/>
  <c r="AK55" i="130" a="1"/>
  <c r="E63" i="130" a="1"/>
  <c r="X66" i="130" a="1"/>
  <c r="AE43" i="130" a="1"/>
  <c r="W90" i="130" a="1"/>
  <c r="AB83" i="130" a="1"/>
  <c r="AV56" i="130" a="1"/>
  <c r="BJ40" i="130" a="1"/>
  <c r="AT61" i="130" a="1"/>
  <c r="T29" i="130" a="1"/>
  <c r="AC43" i="130" a="1"/>
  <c r="AG29" i="130" a="1"/>
  <c r="AF24" i="130" a="1"/>
  <c r="FC5" i="132" a="1"/>
  <c r="M30" i="130" a="1"/>
  <c r="F42" i="130" a="1"/>
  <c r="V25" i="130" a="1"/>
  <c r="R38" i="130" a="1"/>
  <c r="I44" i="130" a="1"/>
  <c r="P37" i="130" a="1"/>
  <c r="AN19" i="130" a="1"/>
  <c r="R37" i="130" a="1"/>
  <c r="BB31" i="130" a="1"/>
  <c r="BK43" i="130" a="1"/>
  <c r="R32" i="130" a="1"/>
  <c r="U34" i="130" a="1"/>
  <c r="AP39" i="130" a="1"/>
  <c r="AR33" i="130" a="1"/>
  <c r="Z40" i="130" a="1"/>
  <c r="AS29" i="130" a="1"/>
  <c r="BG26" i="130" a="1"/>
  <c r="CZ8" i="132" a="1"/>
  <c r="AZ15" i="132" a="1"/>
  <c r="I7" i="130" a="1"/>
  <c r="L20" i="130" a="1"/>
  <c r="AY25" i="130" a="1"/>
  <c r="FB7" i="132" a="1"/>
  <c r="R12" i="130" a="1"/>
  <c r="FC8" i="132" a="1"/>
  <c r="AT30" i="130" a="1"/>
  <c r="O7" i="130" a="1"/>
  <c r="BF16" i="130" a="1"/>
  <c r="C12" i="132" a="1"/>
  <c r="AG12" i="130" a="1"/>
  <c r="CK13" i="132" a="1"/>
  <c r="AI31" i="130" a="1"/>
  <c r="O20" i="130" a="1"/>
  <c r="CU7" i="132" a="1"/>
  <c r="F16" i="130" a="1"/>
  <c r="CW14" i="132" a="1"/>
  <c r="C14" i="130" a="1"/>
  <c r="DV15" i="132" a="1"/>
  <c r="AU34" i="130" a="1"/>
  <c r="K20" i="130" a="1"/>
  <c r="FD15" i="132" a="1"/>
  <c r="K19" i="130" a="1"/>
  <c r="AI5" i="130" a="1"/>
  <c r="AD19" i="130" a="1"/>
  <c r="AO7" i="130" a="1"/>
  <c r="BX9" i="132" a="1"/>
  <c r="AJ61" i="130" a="1"/>
  <c r="AQ87" i="130" a="1"/>
  <c r="BF79" i="130" a="1"/>
  <c r="AQ92" i="130" a="1"/>
  <c r="AV88" i="130" a="1"/>
  <c r="BA51" i="130" a="1"/>
  <c r="Q69" i="130" a="1"/>
  <c r="BJ96" i="130" a="1"/>
  <c r="AB74" i="130" a="1"/>
  <c r="AM74" i="130" a="1"/>
  <c r="Z79" i="130" a="1"/>
  <c r="P62" i="130" a="1"/>
  <c r="C58" i="130" a="1"/>
  <c r="AH45" i="130" a="1"/>
  <c r="D37" i="130" a="1"/>
  <c r="BH66" i="130" a="1"/>
  <c r="S46" i="130" a="1"/>
  <c r="AD31" i="130" a="1"/>
  <c r="BK71" i="130" a="1"/>
  <c r="C92" i="130" a="1"/>
  <c r="AR69" i="130" a="1"/>
  <c r="BI46" i="130" a="1"/>
  <c r="AZ35" i="130" a="1"/>
  <c r="M24" i="130" a="1"/>
  <c r="AJ62" i="130" a="1"/>
  <c r="BC79" i="130" a="1"/>
  <c r="AD54" i="130" a="1"/>
  <c r="U65" i="130" a="1"/>
  <c r="BE41" i="130" a="1"/>
  <c r="U61" i="130" a="1"/>
  <c r="S91" i="130" a="1"/>
  <c r="BB46" i="130" a="1"/>
  <c r="AA39" i="130" a="1"/>
  <c r="Z47" i="130" a="1"/>
  <c r="J27" i="130" a="1"/>
  <c r="H55" i="130" a="1"/>
  <c r="AI27" i="130" a="1"/>
  <c r="AO23" i="130" a="1"/>
  <c r="CW6" i="132" a="1"/>
  <c r="F29" i="130" a="1"/>
  <c r="BB63" i="130" a="1"/>
  <c r="W24" i="130" a="1"/>
  <c r="S37" i="130" a="1"/>
  <c r="AY42" i="130" a="1"/>
  <c r="I36" i="130" a="1"/>
  <c r="BA18" i="130" a="1"/>
  <c r="BD35" i="130" a="1"/>
  <c r="BC30" i="130" a="1"/>
  <c r="P42" i="130" a="1"/>
  <c r="G31" i="130" a="1"/>
  <c r="J33" i="130" a="1"/>
  <c r="Q38" i="130" a="1"/>
  <c r="AO32" i="130" a="1"/>
  <c r="C39" i="130" a="1"/>
  <c r="AP28" i="130" a="1"/>
  <c r="AG24" i="130" a="1"/>
  <c r="DI5" i="132" a="1"/>
  <c r="C7" i="132" a="1"/>
  <c r="V5" i="130" a="1"/>
  <c r="AC15" i="130" a="1"/>
  <c r="U23" i="130" a="1"/>
  <c r="BC7" i="132" a="1"/>
  <c r="AE11" i="130" a="1"/>
  <c r="I39" i="130" a="1"/>
  <c r="C29" i="130" a="1"/>
  <c r="T5" i="130" a="1"/>
  <c r="J16" i="130" a="1"/>
  <c r="EL14" i="132" a="1"/>
  <c r="BG10" i="130" a="1"/>
  <c r="AO15" i="132" a="1"/>
  <c r="AT31" i="130" a="1"/>
  <c r="P19" i="130" a="1"/>
  <c r="M9" i="132" a="1"/>
  <c r="S15" i="130" a="1"/>
  <c r="EM5" i="132" a="1"/>
  <c r="P13" i="130" a="1"/>
  <c r="CA11" i="132" a="1"/>
  <c r="AL31" i="130" a="1"/>
  <c r="BK16" i="130" a="1"/>
  <c r="DF15" i="132" a="1"/>
  <c r="X18" i="130" a="1"/>
  <c r="BI9" i="132" a="1"/>
  <c r="AQ18" i="130" a="1"/>
  <c r="BB5" i="130" a="1"/>
  <c r="CA8" i="132" a="1"/>
  <c r="O34" i="130" a="1"/>
  <c r="AY21" i="130" a="1"/>
  <c r="C7" i="130" a="1"/>
  <c r="EG11" i="132" a="1"/>
  <c r="O11" i="130" a="1"/>
  <c r="Y42" i="130" a="1"/>
  <c r="BJ27" i="130" a="1"/>
  <c r="C20" i="130" a="1"/>
  <c r="CJ6" i="132" a="1"/>
  <c r="Y21" i="130" a="1"/>
  <c r="X10" i="130" a="1"/>
  <c r="CL15" i="132" a="1"/>
  <c r="AZ13" i="130" a="1"/>
  <c r="U9" i="132" a="1"/>
  <c r="ER15" i="132" a="1"/>
  <c r="W40" i="130" a="1"/>
  <c r="BF27" i="130" a="1"/>
  <c r="AZ19" i="130" a="1"/>
  <c r="ES8" i="132" a="1"/>
  <c r="U21" i="130" a="1"/>
  <c r="X59" i="130" a="1"/>
  <c r="AK85" i="130" a="1"/>
  <c r="J79" i="130" a="1"/>
  <c r="AL90" i="130" a="1"/>
  <c r="BB85" i="130" a="1"/>
  <c r="AT96" i="130" a="1"/>
  <c r="AD68" i="130" a="1"/>
  <c r="AJ86" i="130" a="1"/>
  <c r="AO73" i="130" a="1"/>
  <c r="AI54" i="130" a="1"/>
  <c r="S78" i="130" a="1"/>
  <c r="U60" i="130" a="1"/>
  <c r="N54" i="130" a="1"/>
  <c r="AQ44" i="130" a="1"/>
  <c r="Q36" i="130" a="1"/>
  <c r="AS65" i="130" a="1"/>
  <c r="AF45" i="130" a="1"/>
  <c r="BD29" i="130" a="1"/>
  <c r="C71" i="130" a="1"/>
  <c r="AT91" i="130" a="1"/>
  <c r="C81" i="130" a="1"/>
  <c r="I46" i="130" a="1"/>
  <c r="Q34" i="130" a="1"/>
  <c r="Z23" i="130" a="1"/>
  <c r="AO61" i="130" a="1"/>
  <c r="AZ78" i="130" a="1"/>
  <c r="AE47" i="130" a="1"/>
  <c r="V64" i="130" a="1"/>
  <c r="I41" i="130" a="1"/>
  <c r="V79" i="130" a="1"/>
  <c r="S87" i="130" a="1"/>
  <c r="BG45" i="130" a="1"/>
  <c r="AG68" i="130" a="1"/>
  <c r="C46" i="130" a="1"/>
  <c r="K26" i="130" a="1"/>
  <c r="P43" i="130" a="1"/>
  <c r="X26" i="130" a="1"/>
  <c r="AH17" i="130" a="1"/>
  <c r="AM65" i="130" a="1"/>
  <c r="AX36" i="130" a="1"/>
  <c r="Z44" i="130" a="1"/>
  <c r="AD32" i="130" a="1"/>
  <c r="AE29" i="130" a="1"/>
  <c r="S32" i="130" a="1"/>
  <c r="AX27" i="130" a="1"/>
  <c r="Z46" i="130" a="1"/>
  <c r="Q26" i="130" a="1"/>
  <c r="BA39" i="130" a="1"/>
  <c r="BJ47" i="130" a="1"/>
  <c r="K62" i="130" a="1"/>
  <c r="BD23" i="130" a="1"/>
  <c r="W28" i="130" a="1"/>
  <c r="Q24" i="130" a="1"/>
  <c r="BA44" i="130" a="1"/>
  <c r="AR37" i="130" a="1"/>
  <c r="F26" i="130" a="1"/>
  <c r="AZ21" i="130" a="1"/>
  <c r="DD12" i="132" a="1"/>
  <c r="EU15" i="132" a="1"/>
  <c r="F67" i="130" a="1"/>
  <c r="N22" i="130" a="1"/>
  <c r="DR8" i="132" a="1"/>
  <c r="AR10" i="130" a="1"/>
  <c r="P31" i="130" a="1"/>
  <c r="U27" i="130" a="1"/>
  <c r="CA9" i="132" a="1"/>
  <c r="W15" i="130" a="1"/>
  <c r="AJ16" i="132" a="1"/>
  <c r="K10" i="130" a="1"/>
  <c r="I16" i="132" a="1"/>
  <c r="AO28" i="130" a="1"/>
  <c r="I18" i="130" a="1"/>
  <c r="CP14" i="132" a="1"/>
  <c r="AF14" i="130" a="1"/>
  <c r="D6" i="132" a="1"/>
  <c r="AC12" i="130" a="1"/>
  <c r="BK11" i="132" a="1"/>
  <c r="AK28" i="130" a="1"/>
  <c r="BD15" i="130" a="1"/>
  <c r="AD16" i="132" a="1"/>
  <c r="AK17" i="130" a="1"/>
  <c r="AR14" i="132" a="1"/>
  <c r="BD17" i="130" a="1"/>
  <c r="F5" i="130" a="1"/>
  <c r="DN5" i="132" a="1"/>
  <c r="F31" i="130" a="1"/>
  <c r="F21" i="130" a="1"/>
  <c r="AK13" i="132" a="1"/>
  <c r="AC21" i="130" a="1"/>
  <c r="AB10" i="130" a="1"/>
  <c r="AH44" i="130" a="1"/>
  <c r="AF25" i="130" a="1"/>
  <c r="BB17" i="130" a="1"/>
  <c r="AU8" i="132" a="1"/>
  <c r="AC82" i="130" a="1"/>
  <c r="AO92" i="130" a="1"/>
  <c r="E84" i="130" a="1"/>
  <c r="BC92" i="130" a="1"/>
  <c r="F89" i="130" a="1"/>
  <c r="BC73" i="130" a="1"/>
  <c r="BH59" i="130" a="1"/>
  <c r="BC74" i="130" a="1"/>
  <c r="Y85" i="130" a="1"/>
  <c r="I59" i="130" a="1"/>
  <c r="AK75" i="130" a="1"/>
  <c r="X47" i="130" a="1"/>
  <c r="AN56" i="130" a="1"/>
  <c r="AG45" i="130" a="1"/>
  <c r="O37" i="130" a="1"/>
  <c r="W41" i="130" a="1"/>
  <c r="C36" i="130" a="1"/>
  <c r="AV38" i="130" a="1"/>
  <c r="C59" i="130" a="1"/>
  <c r="K81" i="130" a="1"/>
  <c r="R73" i="130" a="1"/>
  <c r="AI65" i="130" a="1"/>
  <c r="Y26" i="130" a="1"/>
  <c r="AY56" i="130" a="1"/>
  <c r="L40" i="130" a="1"/>
  <c r="AB66" i="130" a="1"/>
  <c r="AF95" i="130" a="1"/>
  <c r="AG43" i="130" a="1"/>
  <c r="Q62" i="130" a="1"/>
  <c r="AX70" i="130" a="1"/>
  <c r="AQ77" i="130" a="1"/>
  <c r="L65" i="130" a="1"/>
  <c r="H54" i="130" a="1"/>
  <c r="BF33" i="130" a="1"/>
  <c r="AA33" i="130" a="1"/>
  <c r="J40" i="130" a="1"/>
  <c r="W34" i="130" a="1"/>
  <c r="BH15" i="130" a="1"/>
  <c r="BH58" i="130" a="1"/>
  <c r="AV34" i="130" a="1"/>
  <c r="M41" i="130" a="1"/>
  <c r="T30" i="130" a="1"/>
  <c r="AS27" i="130" a="1"/>
  <c r="BF29" i="130" a="1"/>
  <c r="AN25" i="130" a="1"/>
  <c r="BK62" i="130" a="1"/>
  <c r="G24" i="130" a="1"/>
  <c r="C37" i="130" a="1"/>
  <c r="P45" i="130" a="1"/>
  <c r="BK40" i="130" a="1"/>
  <c r="K45" i="130" a="1"/>
  <c r="BJ25" i="130" a="1"/>
  <c r="J39" i="130" a="1"/>
  <c r="G42" i="130" a="1"/>
  <c r="AP35" i="130" a="1"/>
  <c r="AC23" i="130" a="1"/>
  <c r="N20" i="130" a="1"/>
  <c r="DV16" i="132" a="1"/>
  <c r="EU13" i="132" a="1"/>
  <c r="G39" i="130" a="1"/>
  <c r="AD21" i="130" a="1"/>
  <c r="BG9" i="132" a="1"/>
  <c r="I9" i="130" a="1"/>
  <c r="AA24" i="130" a="1"/>
  <c r="Z21" i="130" a="1"/>
  <c r="BN14" i="132" a="1"/>
  <c r="AJ14" i="130" a="1"/>
  <c r="AY7" i="132" a="1"/>
  <c r="X9" i="130" a="1"/>
  <c r="DT8" i="132" a="1"/>
  <c r="S26" i="130" a="1"/>
  <c r="F17" i="130" a="1"/>
  <c r="DZ5" i="132" a="1"/>
  <c r="AS13" i="130" a="1"/>
  <c r="M5" i="132" a="1"/>
  <c r="AP11" i="130" a="1"/>
  <c r="EG6" i="132" a="1"/>
  <c r="BD25" i="130" a="1"/>
  <c r="BA14" i="130" a="1"/>
  <c r="C8" i="132" a="1"/>
  <c r="BK15" i="130" a="1"/>
  <c r="DR9" i="132" a="1"/>
  <c r="H17" i="130" a="1"/>
  <c r="DY7" i="132" a="1"/>
  <c r="EZ6" i="132" a="1"/>
  <c r="AC28" i="130" a="1"/>
  <c r="BI18" i="130" a="1"/>
  <c r="DF13" i="132" a="1"/>
  <c r="AS58" i="130" a="1"/>
  <c r="R93" i="130" a="1"/>
  <c r="BI81" i="130" a="1"/>
  <c r="AT57" i="130" a="1"/>
  <c r="AU91" i="130" a="1"/>
  <c r="BK51" i="130" a="1"/>
  <c r="O70" i="130" a="1"/>
  <c r="T67" i="130" a="1"/>
  <c r="H73" i="130" a="1"/>
  <c r="M90" i="130" a="1"/>
  <c r="N73" i="130" a="1"/>
  <c r="AF72" i="130" a="1"/>
  <c r="AJ79" i="130" a="1"/>
  <c r="N43" i="130" a="1"/>
  <c r="AX57" i="130" a="1"/>
  <c r="R41" i="130" a="1"/>
  <c r="AO22" i="130" a="1"/>
  <c r="H81" i="130" a="1"/>
  <c r="BF63" i="130" a="1"/>
  <c r="AM68" i="130" a="1"/>
  <c r="BC71" i="130" a="1"/>
  <c r="BD42" i="130" a="1"/>
  <c r="X30" i="130" a="1"/>
  <c r="AU73" i="130" a="1"/>
  <c r="AB43" i="130" a="1"/>
  <c r="AT42" i="130" a="1"/>
  <c r="BF70" i="130" a="1"/>
  <c r="AJ47" i="130" a="1"/>
  <c r="L41" i="130" a="1"/>
  <c r="BE54" i="130" a="1"/>
  <c r="V69" i="130" a="1"/>
  <c r="L43" i="130" a="1"/>
  <c r="AP38" i="130" a="1"/>
  <c r="E37" i="130" a="1"/>
  <c r="BB22" i="130" a="1"/>
  <c r="AG40" i="130" a="1"/>
  <c r="AD38" i="130" a="1"/>
  <c r="G8" i="130" a="1"/>
  <c r="W61" i="130" a="1"/>
  <c r="N24" i="130" a="1"/>
  <c r="Q44" i="130" a="1"/>
  <c r="T37" i="130" a="1"/>
  <c r="AX62" i="130" a="1"/>
  <c r="AI35" i="130" a="1"/>
  <c r="BI31" i="130" a="1"/>
  <c r="BF40" i="130" a="1"/>
  <c r="L30" i="130" a="1"/>
  <c r="AK27" i="130" a="1"/>
  <c r="C32" i="130" a="1"/>
  <c r="S66" i="130" a="1"/>
  <c r="AM43" i="130" a="1"/>
  <c r="BK31" i="130" a="1"/>
  <c r="G29" i="130" a="1"/>
  <c r="R29" i="130" a="1"/>
  <c r="AN44" i="130" a="1"/>
  <c r="J13" i="130" a="1"/>
  <c r="E17" i="130" a="1"/>
  <c r="K18" i="130" a="1"/>
  <c r="BV13" i="132" a="1"/>
  <c r="J24" i="130" a="1"/>
  <c r="H11" i="130" a="1"/>
  <c r="BF20" i="130" a="1"/>
  <c r="AS11" i="132" a="1"/>
  <c r="AY23" i="130" a="1"/>
  <c r="M18" i="130" a="1"/>
  <c r="CG8" i="132" a="1"/>
  <c r="AA11" i="130" a="1"/>
  <c r="Y20" i="130" a="1"/>
  <c r="BM15" i="132" a="1"/>
  <c r="AQ47" i="130" a="1"/>
  <c r="AD34" i="130" a="1"/>
  <c r="E10" i="130" a="1"/>
  <c r="BO6" i="132" a="1"/>
  <c r="N8" i="130" a="1"/>
  <c r="E22" i="130" a="1"/>
  <c r="J5" i="130" a="1"/>
  <c r="AD65" i="130" a="1"/>
  <c r="AV28" i="130" a="1"/>
  <c r="AZ11" i="130" a="1"/>
  <c r="CV11" i="132" a="1"/>
  <c r="F12" i="130" a="1"/>
  <c r="F14" i="132" a="1"/>
  <c r="BH13" i="130" a="1"/>
  <c r="EL16" i="132" a="1"/>
  <c r="AQ64" i="130" a="1"/>
  <c r="P36" i="130" a="1"/>
  <c r="AW14" i="130" a="1"/>
  <c r="EK13" i="132" a="1"/>
  <c r="T18" i="130" a="1"/>
  <c r="R7" i="130" a="1"/>
  <c r="AR34" i="130" a="1"/>
  <c r="F30" i="130" a="1"/>
  <c r="AT13" i="130" a="1"/>
  <c r="CS7" i="132" a="1"/>
  <c r="AC17" i="130" a="1"/>
  <c r="DA14" i="132" a="1"/>
  <c r="I20" i="130" a="1"/>
  <c r="H9" i="130" a="1"/>
  <c r="AY5" i="132" a="1"/>
  <c r="AJ20" i="130" a="1"/>
  <c r="L34" i="130" a="1"/>
  <c r="BK29" i="130" a="1"/>
  <c r="AH13" i="130" a="1"/>
  <c r="CK6" i="132" a="1"/>
  <c r="Y17" i="130" a="1"/>
  <c r="CD11" i="132" a="1"/>
  <c r="E20" i="130" a="1"/>
  <c r="D9" i="130" a="1"/>
  <c r="CN5" i="132" a="1"/>
  <c r="BE29" i="130" a="1"/>
  <c r="AH26" i="130" a="1"/>
  <c r="AE12" i="130" a="1"/>
  <c r="AQ14" i="132" a="1"/>
  <c r="Y29" i="130" a="1"/>
  <c r="AG31" i="130" a="1"/>
  <c r="AI16" i="130" a="1"/>
  <c r="EB15" i="132" a="1"/>
  <c r="X12" i="132" a="1"/>
  <c r="U13" i="130" a="1"/>
  <c r="BF28" i="130" a="1"/>
  <c r="U31" i="130" a="1"/>
  <c r="AA16" i="130" a="1"/>
  <c r="AT28" i="130" a="1"/>
  <c r="Q31" i="130" a="1"/>
  <c r="W16" i="130" a="1"/>
  <c r="FE7" i="132" a="1"/>
  <c r="U9" i="130" a="1"/>
  <c r="E93" i="130" a="1"/>
  <c r="AW90" i="130" a="1"/>
  <c r="BI86" i="130" a="1"/>
  <c r="AQ55" i="130" a="1"/>
  <c r="BD56" i="130" a="1"/>
  <c r="AB51" i="130" a="1"/>
  <c r="Q75" i="130" a="1"/>
  <c r="AN84" i="130" a="1"/>
  <c r="AU70" i="130" a="1"/>
  <c r="BD91" i="130" a="1"/>
  <c r="BA70" i="130" a="1"/>
  <c r="S54" i="130" a="1"/>
  <c r="BF73" i="130" a="1"/>
  <c r="BA40" i="130" a="1"/>
  <c r="M58" i="130" a="1"/>
  <c r="AR39" i="130" a="1"/>
  <c r="BB36" i="130" a="1"/>
  <c r="AY74" i="130" a="1"/>
  <c r="L57" i="130" a="1"/>
  <c r="D59" i="130" a="1"/>
  <c r="AW69" i="130" a="1"/>
  <c r="U41" i="130" a="1"/>
  <c r="AX28" i="130" a="1"/>
  <c r="AY80" i="130" a="1"/>
  <c r="I83" i="130" a="1"/>
  <c r="BH40" i="130" a="1"/>
  <c r="AW58" i="130" a="1"/>
  <c r="BB45" i="130" a="1"/>
  <c r="AL39" i="130" a="1"/>
  <c r="AU79" i="130" a="1"/>
  <c r="AO66" i="130" a="1"/>
  <c r="AH41" i="130" a="1"/>
  <c r="F37" i="130" a="1"/>
  <c r="BD34" i="130" a="1"/>
  <c r="AL21" i="130" a="1"/>
  <c r="AX37" i="130" a="1"/>
  <c r="AF36" i="130" a="1"/>
  <c r="AF5" i="130" a="1"/>
  <c r="N47" i="130" a="1"/>
  <c r="L22" i="130" a="1"/>
  <c r="AF41" i="130" a="1"/>
  <c r="J35" i="130" a="1"/>
  <c r="AB46" i="130" a="1"/>
  <c r="Y33" i="130" a="1"/>
  <c r="R30" i="130" a="1"/>
  <c r="BG66" i="130" a="1"/>
  <c r="F28" i="130" a="1"/>
  <c r="BC25" i="130" a="1"/>
  <c r="AP29" i="130" a="1"/>
  <c r="AJ63" i="130" a="1"/>
  <c r="AL40" i="130" a="1"/>
  <c r="BI29" i="130" a="1"/>
  <c r="Y27" i="130" a="1"/>
  <c r="BE26" i="130" a="1"/>
  <c r="BC39" i="130" a="1"/>
  <c r="L11" i="130" a="1"/>
  <c r="V12" i="130" a="1"/>
  <c r="AK16" i="130" a="1"/>
  <c r="CI5" i="132" a="1"/>
  <c r="R35" i="130" a="1"/>
  <c r="M10" i="130" a="1"/>
  <c r="J20" i="130" a="1"/>
  <c r="BV5" i="132" a="1"/>
  <c r="G38" i="130" a="1"/>
  <c r="K16" i="130" a="1"/>
  <c r="U12" i="132" a="1"/>
  <c r="AD7" i="130" a="1"/>
  <c r="AL19" i="130" a="1"/>
  <c r="EA5" i="132" a="1"/>
  <c r="BJ65" i="130" a="1"/>
  <c r="X32" i="130" a="1"/>
  <c r="J9" i="130" a="1"/>
  <c r="T14" i="132" a="1"/>
  <c r="Z7" i="130" a="1"/>
  <c r="H21" i="130" a="1"/>
  <c r="BX13" i="132" a="1"/>
  <c r="AR45" i="130" a="1"/>
  <c r="E27" i="130" a="1"/>
  <c r="BE10" i="130" a="1"/>
  <c r="FC14" i="132" a="1"/>
  <c r="S11" i="130" a="1"/>
  <c r="ES9" i="132" a="1"/>
  <c r="AL11" i="130" a="1"/>
  <c r="CG14" i="132" a="1"/>
  <c r="BE44" i="130" a="1"/>
  <c r="Z30" i="130" a="1"/>
  <c r="AX13" i="130" a="1"/>
  <c r="BR8" i="132" a="1"/>
  <c r="AG17" i="130" a="1"/>
  <c r="FE11" i="132" a="1"/>
  <c r="AB30" i="130" a="1"/>
  <c r="X28" i="130" a="1"/>
  <c r="AM12" i="130" a="1"/>
  <c r="I8" i="132" a="1"/>
  <c r="BC15" i="130" a="1"/>
  <c r="BK8" i="132" a="1"/>
  <c r="V19" i="130" a="1"/>
  <c r="U8" i="130" a="1"/>
  <c r="FA13" i="132" a="1"/>
  <c r="BJ18" i="130" a="1"/>
  <c r="D30" i="130" a="1"/>
  <c r="T28" i="130" a="1"/>
  <c r="AB87" i="130" a="1"/>
  <c r="AP91" i="130" a="1"/>
  <c r="BB34" i="130" a="1"/>
  <c r="BJ69" i="130" a="1"/>
  <c r="D97" i="130" a="1"/>
  <c r="AI46" i="130" a="1"/>
  <c r="BD46" i="130" a="1"/>
  <c r="AO24" i="130" a="1"/>
  <c r="BE68" i="130" a="1"/>
  <c r="AN18" i="130" a="1"/>
  <c r="V8" i="130" a="1"/>
  <c r="P16" i="132" a="1"/>
  <c r="BO7" i="132" a="1"/>
  <c r="AO13" i="130" a="1"/>
  <c r="AX23" i="130" a="1"/>
  <c r="AO9" i="130" a="1"/>
  <c r="BC16" i="130" a="1"/>
  <c r="K11" i="130" a="1"/>
  <c r="AD11" i="130" a="1"/>
  <c r="DJ13" i="132" a="1"/>
  <c r="AQ33" i="130" a="1"/>
  <c r="EW7" i="132" a="1"/>
  <c r="G11" i="130" a="1"/>
  <c r="AN21" i="130" a="1"/>
  <c r="DC9" i="132" a="1"/>
  <c r="L38" i="130" a="1"/>
  <c r="AV19" i="130" a="1"/>
  <c r="EK12" i="132" a="1"/>
  <c r="AD27" i="130" a="1"/>
  <c r="AO18" i="130" a="1"/>
  <c r="CB16" i="132" a="1"/>
  <c r="BD14" i="130" a="1"/>
  <c r="R27" i="130" a="1"/>
  <c r="AK18" i="130" a="1"/>
  <c r="BK26" i="130" a="1"/>
  <c r="AG18" i="130" a="1"/>
  <c r="U14" i="132" a="1"/>
  <c r="AG16" i="130" a="1"/>
  <c r="K12" i="132" a="1"/>
  <c r="AY9" i="130" a="1"/>
  <c r="AR7" i="132" a="1"/>
  <c r="EO9" i="132" a="1"/>
  <c r="CC6" i="132" a="1"/>
  <c r="AD6" i="132" a="1"/>
  <c r="P6" i="132" a="1"/>
  <c r="AM6" i="132" a="1"/>
  <c r="AQ11" i="130" a="1"/>
  <c r="BH9" i="130" a="1"/>
  <c r="Q19" i="130" a="1"/>
  <c r="AK5" i="130" a="1"/>
  <c r="ER7" i="132" a="1"/>
  <c r="AW20" i="130" a="1"/>
  <c r="DL7" i="132" a="1"/>
  <c r="AD14" i="130" a="1"/>
  <c r="FC9" i="132" a="1"/>
  <c r="CZ12" i="132" a="1"/>
  <c r="CF7" i="132" a="1"/>
  <c r="AV12" i="132" a="1"/>
  <c r="BS16" i="132" a="1"/>
  <c r="J18" i="130" a="1"/>
  <c r="EH12" i="132" a="1"/>
  <c r="BN13" i="132" a="1"/>
  <c r="K5" i="130" a="1"/>
  <c r="AI15" i="132" a="1"/>
  <c r="K17" i="130" a="1"/>
  <c r="CU8" i="132" a="1"/>
  <c r="AQ8" i="132" a="1"/>
  <c r="AD9" i="132" a="1"/>
  <c r="AG16" i="132" a="1"/>
  <c r="Z5" i="130" a="1"/>
  <c r="AZ20" i="130" a="1"/>
  <c r="H7" i="130" a="1"/>
  <c r="Z16" i="130" a="1"/>
  <c r="BD13" i="130" a="1"/>
  <c r="I6" i="132" a="1"/>
  <c r="S13" i="130" a="1"/>
  <c r="BZ11" i="132" a="1"/>
  <c r="AL14" i="132" a="1"/>
  <c r="AO19" i="130" a="1"/>
  <c r="AF8" i="130" a="1"/>
  <c r="BW7" i="132" a="1"/>
  <c r="FF13" i="132" a="1"/>
  <c r="AE21" i="130" a="1"/>
  <c r="BK9" i="130" a="1"/>
  <c r="EQ9" i="132" a="1"/>
  <c r="AV18" i="130" a="1"/>
  <c r="AS16" i="130" a="1"/>
  <c r="EI6" i="132" a="1"/>
  <c r="AS15" i="130" a="1"/>
  <c r="FF8" i="132" a="1"/>
  <c r="M16" i="132" a="1"/>
  <c r="W6" i="132" a="1"/>
  <c r="BM9" i="132" a="1"/>
  <c r="CZ9" i="132" a="1"/>
  <c r="AA9" i="132" a="1"/>
  <c r="CO16" i="132" a="1"/>
  <c r="CS14" i="132" a="1"/>
  <c r="DR12" i="132" a="1"/>
  <c r="DF8" i="132" a="1"/>
  <c r="AP12" i="132" a="1"/>
  <c r="N8" i="132" a="1"/>
  <c r="AG14" i="132" a="1"/>
  <c r="EF6" i="132" a="1"/>
  <c r="AC7" i="132" a="1"/>
  <c r="DO15" i="132" a="1"/>
  <c r="CT7" i="132" a="1"/>
  <c r="ET7" i="132" a="1"/>
  <c r="CC11" i="132" a="1"/>
  <c r="X11" i="132" a="1"/>
  <c r="BN9" i="132" a="1"/>
  <c r="EP11" i="132" a="1"/>
  <c r="H12" i="132" a="1"/>
  <c r="FB12" i="132" a="1"/>
  <c r="FB8" i="132" a="1"/>
  <c r="CH8" i="132" a="1"/>
  <c r="CN16" i="132" a="1"/>
  <c r="BT6" i="132" a="1"/>
  <c r="AX15" i="132" a="1"/>
  <c r="DO13" i="132" a="1"/>
  <c r="AL13" i="132" a="1"/>
  <c r="CY7" i="132" a="1"/>
  <c r="Y13" i="132" a="1"/>
  <c r="Z12" i="132" a="1"/>
  <c r="EP8" i="132" a="1"/>
  <c r="BN16" i="132" a="1"/>
  <c r="N10" i="130" a="1"/>
  <c r="EV5" i="132" a="1"/>
  <c r="CC5" i="132" a="1"/>
  <c r="CT5" i="132" a="1"/>
  <c r="BH6" i="132" a="1"/>
  <c r="EW11" i="132" a="1"/>
  <c r="AQ13" i="132" a="1"/>
  <c r="T15" i="132" a="1"/>
  <c r="V5" i="132" a="1"/>
  <c r="BL8" i="132" a="1"/>
  <c r="AX11" i="132" a="1"/>
  <c r="CU11" i="132" a="1"/>
  <c r="BC9" i="130" a="1"/>
  <c r="DC15" i="132" a="1"/>
  <c r="EU7" i="132" a="1"/>
  <c r="BI14" i="132" a="1"/>
  <c r="Z14" i="132" a="1"/>
  <c r="AO9" i="132" a="1"/>
  <c r="AE5" i="132" a="1"/>
  <c r="CR15" i="132" a="1"/>
  <c r="DP5" i="132" a="1"/>
  <c r="F12" i="132" a="1"/>
  <c r="BG14" i="132" a="1"/>
  <c r="AO16" i="130" a="1"/>
  <c r="BC14" i="132" a="1"/>
  <c r="BS14" i="132" a="1"/>
  <c r="CW15" i="132" a="1"/>
  <c r="AY8" i="132" a="1"/>
  <c r="R5" i="130" a="1"/>
  <c r="AN13" i="132" a="1"/>
  <c r="Q5" i="132" a="1"/>
  <c r="W9" i="132" a="1"/>
  <c r="AS11" i="130" a="1"/>
  <c r="FC15" i="132" a="1"/>
  <c r="Y6" i="132" a="1"/>
  <c r="CZ13" i="132" a="1"/>
  <c r="FB11" i="132" a="1"/>
  <c r="DL9" i="132" a="1"/>
  <c r="CE16" i="132" a="1"/>
  <c r="K11" i="132" a="1"/>
  <c r="V9" i="132" a="1"/>
  <c r="BO11" i="132" a="1"/>
  <c r="EW13" i="132" a="1"/>
  <c r="BG5" i="132" a="1"/>
  <c r="DN11" i="132" a="1"/>
  <c r="AW11" i="132" a="1"/>
  <c r="ET9" i="132" a="1"/>
  <c r="BR16" i="132" a="1"/>
  <c r="DV14" i="132" a="1"/>
  <c r="BR14" i="132" a="1"/>
  <c r="DT15" i="132" a="1"/>
  <c r="EV11" i="132" a="1"/>
  <c r="CW16" i="132" a="1"/>
  <c r="DA15" i="132" a="1"/>
  <c r="DH6" i="132" a="1"/>
  <c r="EM13" i="132" a="1"/>
  <c r="EI15" i="132" a="1"/>
  <c r="BB5" i="132" a="1"/>
  <c r="DU14" i="132" a="1"/>
  <c r="Y9" i="130" a="1"/>
  <c r="ET5" i="132" a="1"/>
  <c r="CT12" i="132" a="1"/>
  <c r="AM8" i="132" a="1"/>
  <c r="AJ9" i="132" a="1"/>
  <c r="BT16" i="132" a="1"/>
  <c r="CP16" i="132" a="1"/>
  <c r="U85" i="130" a="1"/>
  <c r="AH96" i="130" a="1"/>
  <c r="F34" i="130" a="1"/>
  <c r="AI68" i="130" a="1"/>
  <c r="G82" i="130" a="1"/>
  <c r="AV45" i="130" a="1"/>
  <c r="AX44" i="130" a="1"/>
  <c r="AH23" i="130" a="1"/>
  <c r="AZ61" i="130" a="1"/>
  <c r="BA17" i="130" a="1"/>
  <c r="AH7" i="130" a="1"/>
  <c r="FF7" i="132" a="1"/>
  <c r="EF16" i="132" a="1"/>
  <c r="BB12" i="130" a="1"/>
  <c r="BJ22" i="130" a="1"/>
  <c r="BB8" i="130" a="1"/>
  <c r="AV15" i="130" a="1"/>
  <c r="AK9" i="130" a="1"/>
  <c r="AQ10" i="130" a="1"/>
  <c r="W21" i="130" a="1"/>
  <c r="AW31" i="130" a="1"/>
  <c r="AF5" i="132" a="1"/>
  <c r="T10" i="130" a="1"/>
  <c r="BA20" i="130" a="1"/>
  <c r="EO12" i="132" a="1"/>
  <c r="D34" i="130" a="1"/>
  <c r="AS18" i="130" a="1"/>
  <c r="K9" i="132" a="1"/>
  <c r="H25" i="130" a="1"/>
  <c r="AP17" i="130" a="1"/>
  <c r="AQ5" i="132" a="1"/>
  <c r="H14" i="130" a="1"/>
  <c r="BA24" i="130" a="1"/>
  <c r="AD17" i="130" a="1"/>
  <c r="AW24" i="130" a="1"/>
  <c r="Z17" i="130" a="1"/>
  <c r="H13" i="132" a="1"/>
  <c r="BG14" i="130" a="1"/>
  <c r="CT15" i="132" a="1"/>
  <c r="C9" i="130" a="1"/>
  <c r="DP12" i="132" a="1"/>
  <c r="BZ12" i="132" a="1"/>
  <c r="CM8" i="132" a="1"/>
  <c r="P9" i="132" a="1"/>
  <c r="CB14" i="132" a="1"/>
  <c r="CR6" i="132" a="1"/>
  <c r="Q9" i="130" a="1"/>
  <c r="EM9" i="132" a="1"/>
  <c r="V18" i="130" a="1"/>
  <c r="FD7" i="132" a="1"/>
  <c r="DU9" i="132" a="1"/>
  <c r="N19" i="130" a="1"/>
  <c r="CY15" i="132" a="1"/>
  <c r="D12" i="130" a="1"/>
  <c r="BD13" i="132" a="1"/>
  <c r="BK6" i="132" a="1"/>
  <c r="DD8" i="132" a="1"/>
  <c r="AJ8" i="132" a="1"/>
  <c r="AQ16" i="132" a="1"/>
  <c r="U15" i="130" a="1"/>
  <c r="E13" i="132" a="1"/>
  <c r="AC14" i="132" a="1"/>
  <c r="CU5" i="132" a="1"/>
  <c r="AX6" i="132" a="1"/>
  <c r="L16" i="130" a="1"/>
  <c r="CK16" i="132" a="1"/>
  <c r="EA16" i="132" a="1"/>
  <c r="M15" i="132" a="1"/>
  <c r="CL5" i="132" a="1"/>
  <c r="CM5" i="132" a="1"/>
  <c r="BE19" i="130" a="1"/>
  <c r="U5" i="130" a="1"/>
  <c r="Q13" i="130" a="1"/>
  <c r="U12" i="130" a="1"/>
  <c r="EO11" i="132" a="1"/>
  <c r="AF12" i="130" a="1"/>
  <c r="AW9" i="132" a="1"/>
  <c r="DG6" i="132" a="1"/>
  <c r="AT18" i="130" a="1"/>
  <c r="AR7" i="130" a="1"/>
  <c r="G14" i="132" a="1"/>
  <c r="DM11" i="132" a="1"/>
  <c r="AF20" i="130" a="1"/>
  <c r="O9" i="130" a="1"/>
  <c r="AG11" i="132" a="1"/>
  <c r="AM15" i="130" a="1"/>
  <c r="J15" i="130" a="1"/>
  <c r="J15" i="132" a="1"/>
  <c r="AX14" i="130" a="1"/>
  <c r="CF9" i="132" a="1"/>
  <c r="EH7" i="132" a="1"/>
  <c r="CA7" i="132" a="1"/>
  <c r="AR6" i="132" a="1"/>
  <c r="Z13" i="132" a="1"/>
  <c r="DH12" i="132" a="1"/>
  <c r="AR5" i="130" a="1"/>
  <c r="EI9" i="132" a="1"/>
  <c r="AZ14" i="132" a="1"/>
  <c r="CE5" i="132" a="1"/>
  <c r="DX7" i="132" a="1"/>
  <c r="F58" i="130" a="1"/>
  <c r="BA78" i="130" a="1"/>
  <c r="BE64" i="130" a="1"/>
  <c r="BI63" i="130" a="1"/>
  <c r="AU41" i="130" a="1"/>
  <c r="AJ31" i="130" a="1"/>
  <c r="AO33" i="130" a="1"/>
  <c r="M46" i="130" a="1"/>
  <c r="BC24" i="130" a="1"/>
  <c r="AI5" i="132" a="1"/>
  <c r="N36" i="130" a="1"/>
  <c r="DK7" i="132" a="1"/>
  <c r="AS7" i="130" a="1"/>
  <c r="EK14" i="132" a="1"/>
  <c r="BG16" i="130" a="1"/>
  <c r="F8" i="130" a="1"/>
  <c r="AS14" i="130" a="1"/>
  <c r="AX8" i="130" a="1"/>
  <c r="BD9" i="130" a="1"/>
  <c r="BA15" i="130" a="1"/>
  <c r="BI23" i="130" a="1"/>
  <c r="CH15" i="132" a="1"/>
  <c r="AG9" i="130" a="1"/>
  <c r="R19" i="130" a="1"/>
  <c r="BA16" i="132" a="1"/>
  <c r="AB22" i="130" a="1"/>
  <c r="AT17" i="130" a="1"/>
  <c r="S12" i="132" a="1"/>
  <c r="F23" i="130" a="1"/>
  <c r="AF15" i="130" a="1"/>
  <c r="DH15" i="132" a="1"/>
  <c r="AH12" i="130" a="1"/>
  <c r="AU22" i="130" a="1"/>
  <c r="AB15" i="130" a="1"/>
  <c r="AQ22" i="130" a="1"/>
  <c r="X15" i="130" a="1"/>
  <c r="Q21" i="130" a="1"/>
  <c r="X13" i="130" a="1"/>
  <c r="O21" i="130" a="1"/>
  <c r="P8" i="130" a="1"/>
  <c r="AM14" i="132" a="1"/>
  <c r="C15" i="132" a="1"/>
  <c r="AT11" i="132" a="1"/>
  <c r="DX13" i="132" a="1"/>
  <c r="ED13" i="132" a="1"/>
  <c r="AX16" i="132" a="1"/>
  <c r="BC5" i="130" a="1"/>
  <c r="EX15" i="132" a="1"/>
  <c r="W17" i="130" a="1"/>
  <c r="DU5" i="132" a="1"/>
  <c r="EU12" i="132" a="1"/>
  <c r="AN17" i="130" a="1"/>
  <c r="FA6" i="132" a="1"/>
  <c r="AD10" i="130" a="1"/>
  <c r="AQ7" i="132" a="1"/>
  <c r="BK16" i="132" a="1"/>
  <c r="DK16" i="132" a="1"/>
  <c r="Q11" i="132" a="1"/>
  <c r="CZ5" i="132" a="1"/>
  <c r="AI13" i="130" a="1"/>
  <c r="AE15" i="132" a="1"/>
  <c r="BA12" i="132" a="1"/>
  <c r="BR7" i="132" a="1"/>
  <c r="AV11" i="132" a="1"/>
  <c r="Q15" i="130" a="1"/>
  <c r="ES7" i="132" a="1"/>
  <c r="DW6" i="132" a="1"/>
  <c r="F7" i="132" a="1"/>
  <c r="CV16" i="132" a="1"/>
  <c r="DS15" i="132" a="1"/>
  <c r="G17" i="130" a="1"/>
  <c r="Y14" i="132" a="1"/>
  <c r="L10" i="130" a="1"/>
  <c r="AU10" i="130" a="1"/>
  <c r="DE14" i="132" a="1"/>
  <c r="FF9" i="132" a="1"/>
  <c r="BJ19" i="130" a="1"/>
  <c r="CZ14" i="132" a="1"/>
  <c r="AU17" i="130" a="1"/>
  <c r="BE5" i="130" a="1"/>
  <c r="BH13" i="132" a="1"/>
  <c r="DV6" i="132" a="1"/>
  <c r="BG54" i="130" a="1"/>
  <c r="R77" i="130" a="1"/>
  <c r="BJ63" i="130" a="1"/>
  <c r="M63" i="130" a="1"/>
  <c r="BD40" i="130" a="1"/>
  <c r="Y30" i="130" a="1"/>
  <c r="AL32" i="130" a="1"/>
  <c r="AL41" i="130" a="1"/>
  <c r="AZ23" i="130" a="1"/>
  <c r="AT19" i="130" a="1"/>
  <c r="AU27" i="130" a="1"/>
  <c r="ER14" i="132" a="1"/>
  <c r="BF5" i="130" a="1"/>
  <c r="AY9" i="132" a="1"/>
  <c r="AZ15" i="130" a="1"/>
  <c r="EX12" i="132" a="1"/>
  <c r="D5" i="130" a="1"/>
  <c r="BJ7" i="130" a="1"/>
  <c r="BK13" i="132" a="1"/>
  <c r="R14" i="130" a="1"/>
  <c r="Y22" i="130" a="1"/>
  <c r="BQ7" i="132" a="1"/>
  <c r="AT8" i="130" a="1"/>
  <c r="BE16" i="130" a="1"/>
  <c r="R13" i="132" a="1"/>
  <c r="AP27" i="130" a="1"/>
  <c r="AM16" i="130" a="1"/>
  <c r="AU66" i="130" a="1"/>
  <c r="AM37" i="130" a="1"/>
  <c r="AA12" i="130" a="1"/>
  <c r="BP5" i="132" a="1"/>
  <c r="AE65" i="130" a="1"/>
  <c r="AA37" i="130" a="1"/>
  <c r="D64" i="130" a="1"/>
  <c r="W37" i="130" a="1"/>
  <c r="S12" i="130" a="1"/>
  <c r="H18" i="130" a="1"/>
  <c r="AX11" i="130" a="1"/>
  <c r="T20" i="130" a="1"/>
  <c r="AB7" i="130" a="1"/>
  <c r="CQ12" i="132" a="1"/>
  <c r="BB15" i="132" a="1"/>
  <c r="BT7" i="132" a="1"/>
  <c r="AY11" i="132" a="1"/>
  <c r="AA8" i="132" a="1"/>
  <c r="DC16" i="132" a="1"/>
  <c r="Z5" i="132" a="1"/>
  <c r="DS16" i="132" a="1"/>
  <c r="AB16" i="130" a="1"/>
  <c r="BD6" i="132" a="1"/>
  <c r="EK5" i="132" a="1"/>
  <c r="E16" i="130" a="1"/>
  <c r="AK16" i="132" a="1"/>
  <c r="AQ9" i="130" a="1"/>
  <c r="BA8" i="132" a="1"/>
  <c r="CW7" i="132" a="1"/>
  <c r="W12" i="132" a="1"/>
  <c r="BW11" i="132" a="1"/>
  <c r="BZ7" i="132" a="1"/>
  <c r="AV12" i="130" a="1"/>
  <c r="Y12" i="132" a="1"/>
  <c r="CR9" i="132" a="1"/>
  <c r="AO20" i="130" a="1"/>
  <c r="EN12" i="132" a="1"/>
  <c r="P83" i="130" a="1"/>
  <c r="O73" i="130" a="1"/>
  <c r="AP33" i="130" a="1"/>
  <c r="P23" i="130" a="1"/>
  <c r="BF57" i="130" a="1"/>
  <c r="AC31" i="130" a="1"/>
  <c r="AY39" i="130" a="1"/>
  <c r="D23" i="130" a="1"/>
  <c r="AY37" i="130" a="1"/>
  <c r="AL15" i="132" a="1"/>
  <c r="S20" i="130" a="1"/>
  <c r="E24" i="130" a="1"/>
  <c r="AF47" i="130" a="1"/>
  <c r="U16" i="130" a="1"/>
  <c r="BK8" i="130" a="1"/>
  <c r="G64" i="130" a="1"/>
  <c r="CQ6" i="132" a="1"/>
  <c r="AA5" i="130" a="1"/>
  <c r="AX14" i="132" a="1"/>
  <c r="AA43" i="130" a="1"/>
  <c r="BJ59" i="130" a="1"/>
  <c r="AB72" i="130" a="1"/>
  <c r="G32" i="130" a="1"/>
  <c r="AC39" i="130" a="1"/>
  <c r="W54" i="130" a="1"/>
  <c r="AL30" i="130" a="1"/>
  <c r="BJ67" i="130" a="1"/>
  <c r="AN38" i="130" a="1"/>
  <c r="AV36" i="130" a="1"/>
  <c r="BS6" i="132" a="1"/>
  <c r="T19" i="130" a="1"/>
  <c r="AN36" i="130" a="1"/>
  <c r="AV46" i="130" a="1"/>
  <c r="AH15" i="130" a="1"/>
  <c r="AM13" i="132" a="1"/>
  <c r="Y44" i="130" a="1"/>
  <c r="DB16" i="132" a="1"/>
  <c r="DN12" i="132" a="1"/>
  <c r="BJ6" i="132" a="1"/>
  <c r="T63" i="130" a="1"/>
  <c r="AQ16" i="130" a="1"/>
  <c r="AG22" i="130" a="1"/>
  <c r="W5" i="130" a="1"/>
  <c r="AV13" i="130" a="1"/>
  <c r="BD16" i="132" a="1"/>
  <c r="AQ37" i="130" a="1"/>
  <c r="AD13" i="130" a="1"/>
  <c r="O42" i="130" a="1"/>
  <c r="AE33" i="130" a="1"/>
  <c r="AH9" i="130" a="1"/>
  <c r="L7" i="132" a="1"/>
  <c r="AR41" i="130" a="1"/>
  <c r="K33" i="130" a="1"/>
  <c r="BE40" i="130" a="1"/>
  <c r="G33" i="130" a="1"/>
  <c r="Z9" i="130" a="1"/>
  <c r="AY11" i="130" a="1"/>
  <c r="BQ5" i="132" a="1"/>
  <c r="Z18" i="130" a="1"/>
  <c r="FF16" i="132" a="1"/>
  <c r="EN16" i="132" a="1"/>
  <c r="AH15" i="132" a="1"/>
  <c r="EP6" i="132" a="1"/>
  <c r="G8" i="132" a="1"/>
  <c r="AL12" i="132" a="1"/>
  <c r="EP13" i="132" a="1"/>
  <c r="BI20" i="130" a="1"/>
  <c r="EJ15" i="132" a="1"/>
  <c r="AH14" i="130" a="1"/>
  <c r="BQ6" i="132" a="1"/>
  <c r="BE17" i="130" a="1"/>
  <c r="BE12" i="130" a="1"/>
  <c r="G21" i="130" a="1"/>
  <c r="H8" i="130" a="1"/>
  <c r="BP13" i="132" a="1"/>
  <c r="S15" i="132" a="1"/>
  <c r="AD9" i="130" a="1"/>
  <c r="J19" i="130" a="1"/>
  <c r="BQ8" i="132" a="1"/>
  <c r="M11" i="130" a="1"/>
  <c r="AC12" i="132" a="1"/>
  <c r="J12" i="132" a="1"/>
  <c r="AF17" i="130" a="1"/>
  <c r="EA9" i="132" a="1"/>
  <c r="I11" i="130" a="1"/>
  <c r="CH7" i="132" a="1"/>
  <c r="EX11" i="132" a="1"/>
  <c r="AM7" i="130" a="1"/>
  <c r="AK20" i="130" a="1"/>
  <c r="DO16" i="132" a="1"/>
  <c r="N14" i="130" a="1"/>
  <c r="ER16" i="132" a="1"/>
  <c r="CT16" i="132" a="1"/>
  <c r="C8" i="130" a="1"/>
  <c r="AS19" i="130" a="1"/>
  <c r="V16" i="130" a="1"/>
  <c r="R15" i="130" a="1"/>
  <c r="P11" i="132" a="1"/>
  <c r="BF14" i="130" a="1"/>
  <c r="W22" i="130" a="1"/>
  <c r="W18" i="130" a="1"/>
  <c r="L15" i="132" a="1"/>
  <c r="AV16" i="130" a="1"/>
  <c r="E5" i="130" a="1"/>
  <c r="CT6" i="132" a="1"/>
  <c r="FA12" i="132" a="1"/>
  <c r="Q7" i="130" a="1"/>
  <c r="BF13" i="132" a="1"/>
  <c r="AG11" i="130" a="1"/>
  <c r="DQ5" i="132" a="1"/>
  <c r="DN9" i="132" a="1"/>
  <c r="BI13" i="132" a="1"/>
  <c r="CI16" i="132" a="1"/>
  <c r="EZ14" i="132" a="1"/>
  <c r="DN14" i="132" a="1"/>
  <c r="FF11" i="132" a="1"/>
  <c r="DJ11" i="132" a="1"/>
  <c r="BR15" i="132" a="1"/>
  <c r="EU6" i="132" a="1"/>
  <c r="DC11" i="132" a="1"/>
  <c r="CY8" i="132" a="1"/>
  <c r="CI15" i="132" a="1"/>
  <c r="CT8" i="132" a="1"/>
  <c r="AR5" i="132" a="1"/>
  <c r="DH7" i="132" a="1"/>
  <c r="AS15" i="132" a="1"/>
  <c r="BE9" i="132" a="1"/>
  <c r="AM16" i="132" a="1"/>
  <c r="BE16" i="132" a="1"/>
  <c r="DC12" i="132" a="1"/>
  <c r="CN12" i="132" a="1"/>
  <c r="AV7" i="130" a="1"/>
  <c r="EI12" i="132" a="1"/>
  <c r="DT6" i="132" a="1"/>
  <c r="EV8" i="132" a="1"/>
  <c r="BK5" i="132" a="1"/>
  <c r="AL5" i="132" a="1"/>
  <c r="AE14" i="132" a="1"/>
  <c r="CK14" i="132" a="1"/>
  <c r="AH12" i="132" a="1"/>
  <c r="EP5" i="132" a="1"/>
  <c r="AN12" i="132" a="1"/>
  <c r="BD5" i="132" a="1"/>
  <c r="BQ9" i="132" a="1"/>
  <c r="J6" i="132" a="1"/>
  <c r="D15" i="132" a="1"/>
  <c r="CR13" i="132" a="1"/>
  <c r="H6" i="132" a="1"/>
  <c r="CF8" i="132" a="1"/>
  <c r="M7" i="132" a="1"/>
  <c r="BX14" i="132" a="1"/>
  <c r="DO5" i="132" a="1"/>
  <c r="CO13" i="132" a="1"/>
  <c r="BI5" i="130" a="1"/>
  <c r="CS6" i="132" a="1"/>
  <c r="AT81" i="130" a="1"/>
  <c r="AY44" i="130" a="1"/>
  <c r="AK35" i="130" a="1"/>
  <c r="BE50" i="130" a="1"/>
  <c r="BG57" i="130" a="1"/>
  <c r="AP65" i="130" a="1"/>
  <c r="U29" i="130" a="1"/>
  <c r="BI35" i="130" a="1"/>
  <c r="AS40" i="130" a="1"/>
  <c r="AL47" i="130" a="1"/>
  <c r="M14" i="132" a="1"/>
  <c r="BD11" i="130" a="1"/>
  <c r="L32" i="130" a="1"/>
  <c r="DX12" i="132" a="1"/>
  <c r="BH16" i="132" a="1"/>
  <c r="BC28" i="130" a="1"/>
  <c r="DN16" i="132" a="1"/>
  <c r="CX13" i="132" a="1"/>
  <c r="DC13" i="132" a="1"/>
  <c r="AL43" i="130" a="1"/>
  <c r="AN15" i="130" a="1"/>
  <c r="AH20" i="130" a="1"/>
  <c r="N9" i="132" a="1"/>
  <c r="M12" i="130" a="1"/>
  <c r="BP15" i="132" a="1"/>
  <c r="AS35" i="130" a="1"/>
  <c r="AJ11" i="130" a="1"/>
  <c r="I34" i="130" a="1"/>
  <c r="AY29" i="130" a="1"/>
  <c r="AM8" i="130" a="1"/>
  <c r="O22" i="130" a="1"/>
  <c r="AL33" i="130" a="1"/>
  <c r="AM29" i="130" a="1"/>
  <c r="BK32" i="130" a="1"/>
  <c r="AI29" i="130" a="1"/>
  <c r="AE8" i="130" a="1"/>
  <c r="BG5" i="130" a="1"/>
  <c r="FB13" i="132" a="1"/>
  <c r="AE17" i="130" a="1"/>
  <c r="AN16" i="132" a="1"/>
  <c r="U11" i="132" a="1"/>
  <c r="AS13" i="132" a="1"/>
  <c r="CF5" i="132" a="1"/>
  <c r="BU12" i="132" a="1"/>
  <c r="X13" i="132" a="1"/>
  <c r="AT5" i="132" a="1"/>
  <c r="Z19" i="130" a="1"/>
  <c r="EF11" i="132" a="1"/>
  <c r="AQ13" i="130" a="1"/>
  <c r="M6" i="132" a="1"/>
  <c r="AV14" i="130" a="1"/>
  <c r="V11" i="130" a="1"/>
  <c r="H20" i="130" a="1"/>
  <c r="T7" i="130" a="1"/>
  <c r="AT16" i="132" a="1"/>
  <c r="BO12" i="132" a="1"/>
  <c r="ER11" i="132" a="1"/>
  <c r="AJ17" i="130" a="1"/>
  <c r="BA11" i="132" a="1"/>
  <c r="Z10" i="130" a="1"/>
  <c r="AI8" i="132" a="1"/>
  <c r="ET6" i="132" a="1"/>
  <c r="BF15" i="130" a="1"/>
  <c r="CA12" i="132" a="1"/>
  <c r="V10" i="130" a="1"/>
  <c r="CK7" i="132" a="1"/>
  <c r="AQ11" i="132" a="1"/>
  <c r="CJ14" i="132" a="1"/>
  <c r="BB15" i="130" a="1"/>
  <c r="ED15" i="132" a="1"/>
  <c r="AA13" i="130" a="1"/>
  <c r="EL7" i="132" a="1"/>
  <c r="EU5" i="132" a="1"/>
  <c r="BK7" i="132" a="1"/>
  <c r="AX18" i="130" a="1"/>
  <c r="M13" i="130" a="1"/>
  <c r="AR13" i="130" a="1"/>
  <c r="CH14" i="132" a="1"/>
  <c r="BG80" i="130" a="1"/>
  <c r="BH43" i="130" a="1"/>
  <c r="AX34" i="130" a="1"/>
  <c r="AU50" i="130" a="1"/>
  <c r="O80" i="130" a="1"/>
  <c r="W64" i="130" a="1"/>
  <c r="V28" i="130" a="1"/>
  <c r="BJ34" i="130" a="1"/>
  <c r="Z39" i="130" a="1"/>
  <c r="AH39" i="130" a="1"/>
  <c r="H8" i="132" a="1"/>
  <c r="BI10" i="130" a="1"/>
  <c r="AD30" i="130" a="1"/>
  <c r="CW9" i="132" a="1"/>
  <c r="AM11" i="132" a="1"/>
  <c r="AY30" i="130" a="1"/>
  <c r="DG9" i="132" a="1"/>
  <c r="CQ15" i="132" a="1"/>
  <c r="M13" i="132" a="1"/>
  <c r="S28" i="130" a="1"/>
  <c r="AO14" i="130" a="1"/>
  <c r="AU19" i="130" a="1"/>
  <c r="BL14" i="132" a="1"/>
  <c r="Z11" i="130" a="1"/>
  <c r="AB39" i="130" a="1"/>
  <c r="AI33" i="130" a="1"/>
  <c r="AQ8" i="130" a="1"/>
  <c r="D27" i="130" a="1"/>
  <c r="BH24" i="130" a="1"/>
  <c r="AQ7" i="130" a="1"/>
  <c r="AM19" i="130" a="1"/>
  <c r="AG26" i="130" a="1"/>
  <c r="BD24" i="130" a="1"/>
  <c r="BF25" i="130" a="1"/>
  <c r="AZ24" i="130" a="1"/>
  <c r="AI7" i="130" a="1"/>
  <c r="DG12" i="132" a="1"/>
  <c r="CE11" i="132" a="1"/>
  <c r="AF16" i="130" a="1"/>
  <c r="CQ8" i="132" a="1"/>
  <c r="CE9" i="132" a="1"/>
  <c r="BS12" i="132" a="1"/>
  <c r="EH14" i="132" a="1"/>
  <c r="BO16" i="132" a="1"/>
  <c r="CY6" i="132" a="1"/>
  <c r="AB11" i="130" a="1"/>
  <c r="AZ17" i="130" a="1"/>
  <c r="BV9" i="132" a="1"/>
  <c r="U11" i="130" a="1"/>
  <c r="BB14" i="132" a="1"/>
  <c r="AM11" i="130" a="1"/>
  <c r="AL5" i="130" a="1"/>
  <c r="M19" i="130" a="1"/>
  <c r="AG5" i="130" a="1"/>
  <c r="BP6" i="132" a="1"/>
  <c r="AV9" i="132" a="1"/>
  <c r="AL16" i="132" a="1"/>
  <c r="BA12" i="130" a="1"/>
  <c r="EG12" i="132" a="1"/>
  <c r="AM9" i="130" a="1"/>
  <c r="DG15" i="132" a="1"/>
  <c r="V20" i="130" a="1"/>
  <c r="W14" i="130" a="1"/>
  <c r="M12" i="132" a="1"/>
  <c r="AI9" i="130" a="1"/>
  <c r="EH9" i="132" a="1"/>
  <c r="DG5" i="132" a="1"/>
  <c r="EB9" i="132" a="1"/>
  <c r="S14" i="130" a="1"/>
  <c r="EH13" i="132" a="1"/>
  <c r="AN12" i="130" a="1"/>
  <c r="CR5" i="132" a="1"/>
  <c r="CD5" i="132" a="1"/>
  <c r="AV14" i="132" a="1"/>
  <c r="BC17" i="130" a="1"/>
  <c r="H10" i="130" a="1"/>
  <c r="I12" i="130" a="1"/>
  <c r="CR8" i="132" a="1"/>
  <c r="O13" i="130" a="1"/>
  <c r="AU15" i="130" a="1"/>
  <c r="N15" i="130" a="1"/>
  <c r="AB14" i="132" a="1"/>
  <c r="BG13" i="130" a="1"/>
  <c r="AS12" i="132" a="1"/>
  <c r="CP15" i="132" a="1"/>
  <c r="CX9" i="132" a="1"/>
  <c r="FF14" i="132" a="1"/>
  <c r="AB20" i="130" a="1"/>
  <c r="BG9" i="130" a="1"/>
  <c r="T9" i="132" a="1"/>
  <c r="BP14" i="132" a="1"/>
  <c r="BG12" i="132" a="1"/>
  <c r="EO16" i="132" a="1"/>
  <c r="DV13" i="132" a="1"/>
  <c r="EC12" i="132" a="1"/>
  <c r="BD21" i="130" a="1"/>
  <c r="DQ12" i="132" a="1"/>
  <c r="CV12" i="132" a="1"/>
  <c r="BA13" i="132" a="1"/>
  <c r="BZ5" i="132" a="1"/>
  <c r="DT7" i="132" a="1"/>
  <c r="AF15" i="132" a="1"/>
  <c r="AT8" i="132" a="1"/>
  <c r="AR8" i="132" a="1"/>
  <c r="DZ16" i="132" a="1"/>
  <c r="AO15" i="130" a="1"/>
  <c r="EN14" i="132" a="1"/>
  <c r="EI13" i="132" a="1"/>
  <c r="EJ7" i="132" a="1"/>
  <c r="L16" i="132" a="1"/>
  <c r="BL16" i="132" a="1"/>
  <c r="EV9" i="132" a="1"/>
  <c r="CI12" i="132" a="1"/>
  <c r="ES11" i="132" a="1"/>
  <c r="AZ7" i="132" a="1"/>
  <c r="BE12" i="132" a="1"/>
  <c r="CP13" i="132" a="1"/>
  <c r="CF12" i="132" a="1"/>
  <c r="BN11" i="132" a="1"/>
  <c r="BU5" i="132" a="1"/>
  <c r="AT14" i="130" a="1"/>
  <c r="D7" i="132" a="1"/>
  <c r="F5" i="132" a="1"/>
  <c r="Q6" i="132" a="1"/>
  <c r="BK10" i="130" a="1"/>
  <c r="DK13" i="132" a="1"/>
  <c r="EY6" i="132" a="1"/>
  <c r="AI96" i="130" a="1"/>
  <c r="AR93" i="130" a="1"/>
  <c r="X46" i="130" a="1"/>
  <c r="AC47" i="130" a="1"/>
  <c r="AB65" i="130" a="1"/>
  <c r="BH72" i="130" a="1"/>
  <c r="Y32" i="130" a="1"/>
  <c r="BB26" i="130" a="1"/>
  <c r="BB43" i="130" a="1"/>
  <c r="AI34" i="130" a="1"/>
  <c r="H15" i="130" a="1"/>
  <c r="BJ12" i="130" a="1"/>
  <c r="CS13" i="132" a="1"/>
  <c r="BB13" i="130" a="1"/>
  <c r="AA44" i="130" a="1"/>
  <c r="AP20" i="130" a="1"/>
  <c r="F38" i="130" a="1"/>
  <c r="AL20" i="130" a="1"/>
  <c r="AR21" i="130" a="1"/>
  <c r="DK6" i="132" a="1"/>
  <c r="BE36" i="130" a="1"/>
  <c r="AI12" i="130" a="1"/>
  <c r="BH18" i="130" a="1"/>
  <c r="EI7" i="132" a="1"/>
  <c r="AM10" i="130" a="1"/>
  <c r="AW62" i="130" a="1"/>
  <c r="AK31" i="130" a="1"/>
  <c r="AZ5" i="130" a="1"/>
  <c r="BA37" i="130" a="1"/>
  <c r="AL22" i="130" a="1"/>
  <c r="AV5" i="130" a="1"/>
  <c r="D18" i="130" a="1"/>
  <c r="U37" i="130" a="1"/>
  <c r="AD22" i="130" a="1"/>
  <c r="M37" i="130" a="1"/>
  <c r="Z22" i="130" a="1"/>
  <c r="AN5" i="130" a="1"/>
  <c r="CJ7" i="132" a="1"/>
  <c r="AA14" i="132" a="1"/>
  <c r="AK15" i="130" a="1"/>
  <c r="CE14" i="132" a="1"/>
  <c r="CT9" i="132" a="1"/>
  <c r="BJ16" i="132" a="1"/>
  <c r="DR15" i="132" a="1"/>
  <c r="ER5" i="132" a="1"/>
  <c r="AU9" i="132" a="1"/>
  <c r="DJ6" i="132" a="1"/>
  <c r="Q16" i="130" a="1"/>
  <c r="AM9" i="132" a="1"/>
  <c r="AU9" i="130" a="1"/>
  <c r="BU8" i="132" a="1"/>
  <c r="AP8" i="130" a="1"/>
  <c r="J8" i="132" a="1"/>
  <c r="R18" i="130" a="1"/>
  <c r="FE15" i="132" a="1"/>
  <c r="DT14" i="132" a="1"/>
  <c r="BS13" i="132" a="1"/>
  <c r="AD20" i="130" a="1"/>
  <c r="AR9" i="130" a="1"/>
  <c r="S22" i="130" a="1"/>
  <c r="AZ8" i="130" a="1"/>
  <c r="R11" i="132" a="1"/>
  <c r="M17" i="130" a="1"/>
  <c r="AW12" i="130" a="1"/>
  <c r="BD20" i="130" a="1"/>
  <c r="AV8" i="130" a="1"/>
  <c r="DJ9" i="132" a="1"/>
  <c r="BV11" i="132" a="1"/>
  <c r="BI13" i="130" a="1"/>
  <c r="AS12" i="130" a="1"/>
  <c r="BK9" i="132" a="1"/>
  <c r="BA11" i="130" a="1"/>
  <c r="EC13" i="132" a="1"/>
  <c r="M20" i="130" a="1"/>
  <c r="AZ5" i="132" a="1"/>
  <c r="BD16" i="130" a="1"/>
  <c r="AT7" i="130" a="1"/>
  <c r="AI10" i="130" a="1"/>
  <c r="EL15" i="132" a="1"/>
  <c r="AB12" i="130" a="1"/>
  <c r="AL12" i="130" a="1"/>
  <c r="AN13" i="130" a="1"/>
  <c r="F15" i="132" a="1"/>
  <c r="K13" i="130" a="1"/>
  <c r="EM12" i="132" a="1"/>
  <c r="EB13" i="132" a="1"/>
  <c r="CN8" i="132" a="1"/>
  <c r="J14" i="132" a="1"/>
  <c r="AG19" i="130" a="1"/>
  <c r="K9" i="130" a="1"/>
  <c r="AB6" i="132" a="1"/>
  <c r="BA9" i="132" a="1"/>
  <c r="CK15" i="132" a="1"/>
  <c r="AW13" i="132" a="1"/>
  <c r="AW14" i="132" a="1"/>
  <c r="CF15" i="132" a="1"/>
  <c r="D16" i="130" a="1"/>
  <c r="I7" i="132" a="1"/>
  <c r="BE14" i="132" a="1"/>
  <c r="EO7" i="132" a="1"/>
  <c r="CY14" i="132" a="1"/>
  <c r="DC14" i="132" a="1"/>
  <c r="AX8" i="132" a="1"/>
  <c r="BJ13" i="132" a="1"/>
  <c r="AR9" i="132" a="1"/>
  <c r="BF9" i="132" a="1"/>
  <c r="BJ10" i="130" a="1"/>
  <c r="CC7" i="132" a="1"/>
  <c r="EX14" i="132" a="1"/>
  <c r="EI8" i="132" a="1"/>
  <c r="V12" i="132" a="1"/>
  <c r="DB7" i="132" a="1"/>
  <c r="BH9" i="132" a="1"/>
  <c r="DW7" i="132" a="1"/>
  <c r="CS12" i="132" a="1"/>
  <c r="BC12" i="132" a="1"/>
  <c r="DF12" i="132" a="1"/>
  <c r="BJ14" i="132" a="1"/>
  <c r="DR5" i="132" a="1"/>
  <c r="AR15" i="132" a="1"/>
  <c r="G12" i="132" a="1"/>
  <c r="AP10" i="130" a="1"/>
  <c r="DV12" i="132" a="1"/>
  <c r="BA15" i="132" a="1"/>
  <c r="BA6" i="132" a="1"/>
  <c r="BG11" i="132" a="1"/>
  <c r="CZ16" i="132" a="1"/>
  <c r="AL8" i="132" a="1"/>
  <c r="EG15" i="132" a="1"/>
  <c r="EB5" i="132" a="1"/>
  <c r="BV15" i="132" a="1"/>
  <c r="S14" i="132" a="1"/>
  <c r="BO13" i="132" a="1"/>
  <c r="BH21" i="130" a="1"/>
  <c r="DW12" i="132" a="1"/>
  <c r="CE15" i="132" a="1"/>
  <c r="O7" i="132" a="1"/>
  <c r="EC8" i="132" a="1"/>
  <c r="CJ9" i="132" a="1"/>
  <c r="DI13" i="132" a="1"/>
  <c r="DT11" i="132" a="1"/>
  <c r="H5" i="132" a="1"/>
  <c r="C13" i="130" a="1"/>
  <c r="AD8" i="132" a="1"/>
  <c r="BV16" i="132" a="1"/>
  <c r="EX5" i="132" a="1"/>
  <c r="O5" i="132" a="1"/>
  <c r="AK6" i="132" a="1"/>
  <c r="CY9" i="132" a="1"/>
  <c r="DE7" i="132" a="1"/>
  <c r="DN15" i="132" a="1"/>
  <c r="AT12" i="132" a="1"/>
  <c r="Q9" i="132" a="1"/>
  <c r="DI6" i="132" a="1"/>
  <c r="O14" i="132" a="1"/>
  <c r="T5" i="132" a="1"/>
  <c r="DA5" i="132" a="1"/>
  <c r="S9" i="132" a="1"/>
  <c r="AU6" i="132" a="1"/>
  <c r="AK5" i="132" a="1"/>
  <c r="EN13" i="132" a="1"/>
  <c r="CQ14" i="132" a="1"/>
  <c r="EC16" i="132" a="1"/>
  <c r="FC12" i="132" a="1"/>
  <c r="DG13" i="132" a="1"/>
  <c r="EN7" i="132" a="1"/>
  <c r="BE6" i="132" a="1"/>
  <c r="EE12" i="132" a="1"/>
  <c r="AE6" i="132" a="1"/>
  <c r="AP16" i="132" a="1"/>
  <c r="CM6" i="132" a="1"/>
  <c r="L6" i="132" a="1"/>
  <c r="AL9" i="132" a="1"/>
  <c r="AT9" i="132" a="1"/>
  <c r="AZ12" i="132" a="1"/>
  <c r="AU93" i="130" a="1"/>
  <c r="BJ83" i="130" a="1"/>
  <c r="AK45" i="130" a="1"/>
  <c r="AI45" i="130" a="1"/>
  <c r="AK64" i="130" a="1"/>
  <c r="AL70" i="130" a="1"/>
  <c r="N31" i="130" a="1"/>
  <c r="BK25" i="130" a="1"/>
  <c r="AI42" i="130" a="1"/>
  <c r="AF33" i="130" a="1"/>
  <c r="F13" i="130" a="1"/>
  <c r="N12" i="130" a="1"/>
  <c r="AY6" i="132" a="1"/>
  <c r="AU12" i="130" a="1"/>
  <c r="U45" i="130" a="1"/>
  <c r="BC19" i="130" a="1"/>
  <c r="AU33" i="130" a="1"/>
  <c r="AY19" i="130" a="1"/>
  <c r="BE20" i="130" a="1"/>
  <c r="BE7" i="132" a="1"/>
  <c r="AM30" i="130" a="1"/>
  <c r="AX9" i="130" a="1"/>
  <c r="L18" i="130" a="1"/>
  <c r="BC8" i="132" a="1"/>
  <c r="AZ9" i="130" a="1"/>
  <c r="BK42" i="130" a="1"/>
  <c r="L28" i="130" a="1"/>
  <c r="FE13" i="132" a="1"/>
  <c r="AK33" i="130" a="1"/>
  <c r="BJ21" i="130" a="1"/>
  <c r="FE9" i="132" a="1"/>
  <c r="Q17" i="130" a="1"/>
  <c r="M33" i="130" a="1"/>
  <c r="BB21" i="130" a="1"/>
  <c r="E33" i="130" a="1"/>
  <c r="AT21" i="130" a="1"/>
  <c r="CK11" i="132" a="1"/>
  <c r="P21" i="130" a="1"/>
  <c r="EE11" i="132" a="1"/>
  <c r="AL14" i="130" a="1"/>
  <c r="W7" i="132" a="1"/>
  <c r="AG15" i="132" a="1"/>
  <c r="AQ15" i="132" a="1"/>
  <c r="AG9" i="132" a="1"/>
  <c r="AW6" i="132" a="1"/>
  <c r="BQ16" i="132" a="1"/>
  <c r="I21" i="130" a="1"/>
  <c r="AQ14" i="130" a="1"/>
  <c r="CV14" i="132" a="1"/>
  <c r="BH8" i="130" a="1"/>
  <c r="DD6" i="132" a="1"/>
  <c r="S5" i="130" a="1"/>
  <c r="CT11" i="132" a="1"/>
  <c r="S17" i="130" a="1"/>
  <c r="EB12" i="132" a="1"/>
  <c r="X14" i="132" a="1"/>
  <c r="AP11" i="132" a="1"/>
  <c r="U17" i="130" a="1"/>
  <c r="I8" i="130" a="1"/>
  <c r="C21" i="130" a="1"/>
  <c r="D8" i="130" a="1"/>
  <c r="AC11" i="132" a="1"/>
  <c r="D14" i="130" a="1"/>
  <c r="N11" i="130" a="1"/>
  <c r="BI19" i="130" a="1"/>
  <c r="BH7" i="130" a="1"/>
  <c r="AW8" i="132" a="1"/>
  <c r="DJ12" i="132" a="1"/>
  <c r="AZ10" i="130" a="1"/>
  <c r="J11" i="130" a="1"/>
  <c r="DH9" i="132" a="1"/>
  <c r="E11" i="130" a="1"/>
  <c r="G5" i="132" a="1"/>
  <c r="AM18" i="130" a="1"/>
  <c r="EE16" i="132" a="1"/>
  <c r="BI15" i="130" a="1"/>
  <c r="AP8" i="132" a="1"/>
  <c r="BI8" i="130" a="1"/>
  <c r="BH14" i="132" a="1"/>
  <c r="AO11" i="130" a="1"/>
  <c r="D10" i="130" a="1"/>
  <c r="AE10" i="130" a="1"/>
  <c r="D5" i="132" a="1"/>
  <c r="X12" i="130" a="1"/>
  <c r="EJ12" i="132" a="1"/>
  <c r="CP7" i="132" a="1"/>
  <c r="AB21" i="130" a="1"/>
  <c r="CD13" i="132" a="1"/>
  <c r="AH18" i="130" a="1"/>
  <c r="X8" i="130" a="1"/>
  <c r="AD5" i="132" a="1"/>
  <c r="G15" i="132" a="1"/>
  <c r="EN5" i="132" a="1"/>
  <c r="ES12" i="132" a="1"/>
  <c r="DS5" i="132" a="1"/>
  <c r="H7" i="132" a="1"/>
  <c r="AC11" i="130" a="1"/>
  <c r="AK8" i="132" a="1"/>
  <c r="EP7" i="132" a="1"/>
  <c r="DV5" i="132" a="1"/>
  <c r="DH11" i="132" a="1"/>
  <c r="CK8" i="132" a="1"/>
  <c r="DA7" i="132" a="1"/>
  <c r="EZ13" i="132" a="1"/>
  <c r="AM7" i="132" a="1"/>
  <c r="DJ8" i="132" a="1"/>
  <c r="AZ7" i="130" a="1"/>
  <c r="DL8" i="132" a="1"/>
  <c r="FC6" i="132" a="1"/>
  <c r="T11" i="132" a="1"/>
  <c r="CB5" i="132" a="1"/>
  <c r="BB7" i="130" a="1"/>
  <c r="CL7" i="132" a="1"/>
  <c r="AU14" i="132" a="1"/>
  <c r="EQ11" i="132" a="1"/>
  <c r="EW8" i="132" a="1"/>
  <c r="AS7" i="132" a="1"/>
  <c r="T6" i="132" a="1"/>
  <c r="BL5" i="132" a="1"/>
  <c r="CV9" i="132" a="1"/>
  <c r="AX7" i="132" a="1"/>
  <c r="AF7" i="130" a="1"/>
  <c r="R7" i="132" a="1"/>
  <c r="CH12" i="132" a="1"/>
  <c r="R15" i="132" a="1"/>
  <c r="CF14" i="132" a="1"/>
  <c r="AP88" i="130" a="1"/>
  <c r="I79" i="130" a="1"/>
  <c r="X42" i="130" a="1"/>
  <c r="F74" i="130" a="1"/>
  <c r="Z64" i="130" a="1"/>
  <c r="AM62" i="130" a="1"/>
  <c r="Y14" i="130" a="1"/>
  <c r="AJ27" i="130" a="1"/>
  <c r="AF64" i="130" a="1"/>
  <c r="AP21" i="130" a="1"/>
  <c r="AS21" i="130" a="1"/>
  <c r="M22" i="130" a="1"/>
  <c r="BJ8" i="130" a="1"/>
  <c r="K15" i="132" a="1"/>
  <c r="AZ25" i="130" a="1"/>
  <c r="BK11" i="130" a="1"/>
  <c r="AU21" i="130" a="1"/>
  <c r="P18" i="130" a="1"/>
  <c r="Q12" i="130" a="1"/>
  <c r="BY16" i="132" a="1"/>
  <c r="BC37" i="130" a="1"/>
  <c r="DX15" i="132" a="1"/>
  <c r="AP12" i="130" a="1"/>
  <c r="CP8" i="132" a="1"/>
  <c r="FE16" i="132" a="1"/>
  <c r="AR27" i="130" a="1"/>
  <c r="Q22" i="130" a="1"/>
  <c r="DJ5" i="132" a="1"/>
  <c r="P33" i="130" a="1"/>
  <c r="AR19" i="130" a="1"/>
  <c r="BO15" i="132" a="1"/>
  <c r="AQ15" i="130" a="1"/>
  <c r="AW32" i="130" a="1"/>
  <c r="AJ19" i="130" a="1"/>
  <c r="AS32" i="130" a="1"/>
  <c r="AF19" i="130" a="1"/>
  <c r="CT13" i="132" a="1"/>
  <c r="G18" i="130" a="1"/>
  <c r="W13" i="132" a="1"/>
  <c r="AL10" i="130" a="1"/>
  <c r="F9" i="132" a="1"/>
  <c r="CU12" i="132" a="1"/>
  <c r="EK15" i="132" a="1"/>
  <c r="EE13" i="132" a="1"/>
  <c r="BT12" i="132" a="1"/>
  <c r="CE12" i="132" a="1"/>
  <c r="AZ14" i="130" a="1"/>
  <c r="AH11" i="130" a="1"/>
  <c r="P20" i="130" a="1"/>
  <c r="X7" i="130" a="1"/>
  <c r="EZ16" i="132" a="1"/>
  <c r="CA16" i="132" a="1"/>
  <c r="AR13" i="132" a="1"/>
  <c r="Y15" i="130" a="1"/>
  <c r="CD7" i="132" a="1"/>
  <c r="DJ15" i="132" a="1"/>
  <c r="CM7" i="132" a="1"/>
  <c r="EW12" i="132" a="1"/>
  <c r="BR5" i="132" a="1"/>
  <c r="I19" i="130" a="1"/>
  <c r="BG16" i="132" a="1"/>
  <c r="DZ9" i="132" a="1"/>
  <c r="AH8" i="130" a="1"/>
  <c r="DP11" i="132" a="1"/>
  <c r="F18" i="130" a="1"/>
  <c r="Y5" i="130" a="1"/>
  <c r="DD15" i="132" a="1"/>
  <c r="U16" i="132" a="1"/>
  <c r="G5" i="130" a="1"/>
  <c r="BI7" i="130" a="1"/>
  <c r="C22" i="130" a="1"/>
  <c r="AE9" i="130" a="1"/>
  <c r="AI19" i="130" a="1"/>
  <c r="AD15" i="130" a="1"/>
  <c r="DG8" i="132" a="1"/>
  <c r="F14" i="130" a="1"/>
  <c r="P15" i="132" a="1"/>
  <c r="FD14" i="132" a="1"/>
  <c r="AI21" i="130" a="1"/>
  <c r="S9" i="130" a="1"/>
  <c r="DX14" i="132" a="1"/>
  <c r="U7" i="130" a="1"/>
  <c r="CS16" i="132" a="1"/>
  <c r="AX10" i="130" a="1"/>
  <c r="AU11" i="132" a="1"/>
  <c r="G22" i="130" a="1"/>
  <c r="S18" i="130" a="1"/>
  <c r="DD7" i="132" a="1"/>
  <c r="AR16" i="130" a="1"/>
  <c r="AW5" i="130" a="1"/>
  <c r="EN6" i="132" a="1"/>
  <c r="EN11" i="132" a="1"/>
  <c r="Y7" i="132" a="1"/>
  <c r="EW9" i="132" a="1"/>
  <c r="CY5" i="132" a="1"/>
  <c r="DS8" i="132" a="1"/>
  <c r="DL12" i="132" a="1"/>
  <c r="BO14" i="132" a="1"/>
  <c r="J9" i="132" a="1"/>
  <c r="EY15" i="132" a="1"/>
  <c r="K43" i="130" a="1"/>
  <c r="X37" i="130" a="1"/>
  <c r="BW16" i="132" a="1"/>
  <c r="AY20" i="130" a="1"/>
  <c r="AI20" i="130" a="1"/>
  <c r="AQ12" i="132" a="1"/>
  <c r="H13" i="130" a="1"/>
  <c r="X16" i="130" a="1"/>
  <c r="D20" i="130" a="1"/>
  <c r="BE11" i="130" a="1"/>
  <c r="BZ16" i="132" a="1"/>
  <c r="DY5" i="132" a="1"/>
  <c r="BA16" i="130" a="1"/>
  <c r="BZ14" i="132" a="1"/>
  <c r="AW15" i="130" a="1"/>
  <c r="AD12" i="130" a="1"/>
  <c r="CI8" i="132" a="1"/>
  <c r="P5" i="132" a="1"/>
  <c r="EE15" i="132" a="1"/>
  <c r="AI9" i="132" a="1"/>
  <c r="CN13" i="132" a="1"/>
  <c r="CN7" i="132" a="1"/>
  <c r="AE8" i="132" a="1"/>
  <c r="BL13" i="132" a="1"/>
  <c r="EO13" i="132" a="1"/>
  <c r="DM14" i="132" a="1"/>
  <c r="R12" i="132" a="1"/>
  <c r="BF10" i="130" a="1"/>
  <c r="BY9" i="132" a="1"/>
  <c r="V15" i="132" a="1"/>
  <c r="BD14" i="132" a="1"/>
  <c r="EY11" i="132" a="1"/>
  <c r="X20" i="130" a="1"/>
  <c r="AZ16" i="132" a="1"/>
  <c r="EN15" i="132" a="1"/>
  <c r="W5" i="132" a="1"/>
  <c r="CU15" i="132" a="1"/>
  <c r="G7" i="132" a="1"/>
  <c r="DQ6" i="132" a="1"/>
  <c r="CQ7" i="132" a="1"/>
  <c r="AF7" i="132" a="1"/>
  <c r="DL13" i="132" a="1"/>
  <c r="CI6" i="132" a="1"/>
  <c r="AQ19" i="130" a="1"/>
  <c r="S7" i="132" a="1"/>
  <c r="ES13" i="132" a="1"/>
  <c r="EI5" i="132" a="1"/>
  <c r="DW16" i="132" a="1"/>
  <c r="CL12" i="132" a="1"/>
  <c r="DZ13" i="132" a="1"/>
  <c r="T17" i="130" a="1"/>
  <c r="J11" i="132" a="1"/>
  <c r="BF16" i="132" a="1"/>
  <c r="AI17" i="130" a="1"/>
  <c r="EK9" i="132" a="1"/>
  <c r="DR7" i="132" a="1"/>
  <c r="EZ11" i="132" a="1"/>
  <c r="BI15" i="132" a="1"/>
  <c r="AO12" i="132" a="1"/>
  <c r="CF11" i="132" a="1"/>
  <c r="DQ16" i="132" a="1"/>
  <c r="AO7" i="132" a="1"/>
  <c r="BX7" i="132" a="1"/>
  <c r="EE5" i="132" a="1"/>
  <c r="CS9" i="132" a="1"/>
  <c r="DM13" i="132" a="1"/>
  <c r="S11" i="132" a="1"/>
  <c r="CQ16" i="132" a="1"/>
  <c r="AH14" i="132" a="1"/>
  <c r="BW9" i="132" a="1"/>
  <c r="DK5" i="132" a="1"/>
  <c r="DK15" i="132" a="1"/>
  <c r="BI5" i="132" a="1"/>
  <c r="AO5" i="132" a="1"/>
  <c r="EF5" i="132" a="1"/>
  <c r="BI8" i="132" a="1"/>
  <c r="EX6" i="132" a="1"/>
  <c r="BW12" i="132" a="1"/>
  <c r="BN5" i="132" a="1"/>
  <c r="CS8" i="132" a="1"/>
  <c r="FA9" i="132" a="1"/>
  <c r="DP16" i="132" a="1"/>
  <c r="AI14" i="132" a="1"/>
  <c r="DN8" i="132" a="1"/>
  <c r="V11" i="132" a="1"/>
  <c r="FB14" i="132" a="1"/>
  <c r="CN15" i="132" a="1"/>
  <c r="BU6" i="132" a="1"/>
  <c r="DD13" i="132" a="1"/>
  <c r="AB76" i="130" a="1"/>
  <c r="G19" i="130" a="1"/>
  <c r="V15" i="130" a="1"/>
  <c r="AK10" i="130" a="1"/>
  <c r="U10" i="130" a="1"/>
  <c r="EL12" i="132" a="1"/>
  <c r="EZ7" i="132" a="1"/>
  <c r="BD8" i="130" a="1"/>
  <c r="BI11" i="130" a="1"/>
  <c r="L7" i="130" a="1"/>
  <c r="AJ9" i="130" a="1"/>
  <c r="D17" i="130" a="1"/>
  <c r="Y7" i="130" a="1"/>
  <c r="AF21" i="130" a="1"/>
  <c r="AK11" i="130" a="1"/>
  <c r="AC9" i="130" a="1"/>
  <c r="AA21" i="130" a="1"/>
  <c r="AI11" i="132" a="1"/>
  <c r="AG13" i="132" a="1"/>
  <c r="AG7" i="132" a="1"/>
  <c r="CW5" i="132" a="1"/>
  <c r="AC13" i="132" a="1"/>
  <c r="CV15" i="132" a="1"/>
  <c r="EP16" i="132" a="1"/>
  <c r="S21" i="130" a="1"/>
  <c r="EV6" i="132" a="1"/>
  <c r="AR11" i="132" a="1"/>
  <c r="BW13" i="132" a="1"/>
  <c r="K14" i="132" a="1"/>
  <c r="EQ8" i="132" a="1"/>
  <c r="EZ9" i="132" a="1"/>
  <c r="BT5" i="132" a="1"/>
  <c r="EW5" i="132" a="1"/>
  <c r="BW14" i="132" a="1"/>
  <c r="AC16" i="132" a="1"/>
  <c r="CH16" i="132" a="1"/>
  <c r="BU15" i="132" a="1"/>
  <c r="BZ9" i="132" a="1"/>
  <c r="M11" i="132" a="1"/>
  <c r="DH8" i="132" a="1"/>
  <c r="EB14" i="132" a="1"/>
  <c r="CP5" i="132" a="1"/>
  <c r="DG16" i="132" a="1"/>
  <c r="CC8" i="132" a="1"/>
  <c r="ET11" i="132" a="1"/>
  <c r="DU16" i="132" a="1"/>
  <c r="CX11" i="132" a="1"/>
  <c r="O18" i="130" a="1"/>
  <c r="CZ7" i="132" a="1"/>
  <c r="DZ6" i="132" a="1"/>
  <c r="BA7" i="130" a="1"/>
  <c r="CJ8" i="132" a="1"/>
  <c r="U8" i="132" a="1"/>
  <c r="P12" i="130" a="1"/>
  <c r="BG8" i="132" a="1"/>
  <c r="DR6" i="132" a="1"/>
  <c r="DP13" i="132" a="1"/>
  <c r="BH16" i="130" a="1"/>
  <c r="DX9" i="132" a="1"/>
  <c r="Y65" i="130" a="1"/>
  <c r="BA31" i="130" a="1"/>
  <c r="Q8" i="130" a="1"/>
  <c r="CO11" i="132" a="1"/>
  <c r="ES14" i="132" a="1"/>
  <c r="S5" i="132" a="1"/>
  <c r="CP9" i="132" a="1"/>
  <c r="I12" i="132" a="1"/>
  <c r="R8" i="132" a="1"/>
  <c r="CB6" i="132" a="1"/>
  <c r="S8" i="132" a="1"/>
  <c r="L9" i="130" a="1"/>
  <c r="DK12" i="132" a="1"/>
  <c r="BF19" i="130" a="1"/>
  <c r="AB8" i="130" a="1"/>
  <c r="FD8" i="132" a="1"/>
  <c r="AM17" i="130" a="1"/>
  <c r="EG16" i="132" a="1"/>
  <c r="DT12" i="132" a="1"/>
  <c r="P10" i="130" a="1"/>
  <c r="CR14" i="132" a="1"/>
  <c r="EF12" i="132" a="1"/>
  <c r="CR7" i="132" a="1"/>
  <c r="DR16" i="132" a="1"/>
  <c r="Q12" i="132" a="1"/>
  <c r="DR14" i="132" a="1"/>
  <c r="BY6" i="132" a="1"/>
  <c r="CG7" i="132" a="1"/>
  <c r="DD11" i="132" a="1"/>
  <c r="BE8" i="132" a="1"/>
  <c r="V14" i="132" a="1"/>
  <c r="N16" i="132" a="1"/>
  <c r="AE16" i="132" a="1"/>
  <c r="CM15" i="132" a="1"/>
  <c r="CX15" i="132" a="1"/>
  <c r="DI11" i="132" a="1"/>
  <c r="AF9" i="132" a="1"/>
  <c r="BJ9" i="132" a="1"/>
  <c r="EJ5" i="132" a="1"/>
  <c r="DA12" i="132" a="1"/>
  <c r="FF12" i="132" a="1"/>
  <c r="CC16" i="132" a="1"/>
  <c r="E9" i="132" a="1"/>
  <c r="BC18" i="130" a="1"/>
  <c r="CQ13" i="132" a="1"/>
  <c r="CM9" i="132" a="1"/>
  <c r="DV8" i="132" a="1"/>
  <c r="AW8" i="130" a="1"/>
  <c r="CN14" i="132" a="1"/>
  <c r="BH8" i="132" a="1"/>
  <c r="ES16" i="132" a="1"/>
  <c r="BV8" i="132" a="1"/>
  <c r="AC6" i="132" a="1"/>
  <c r="G9" i="130" a="1"/>
  <c r="BM13" i="132" a="1"/>
  <c r="AD13" i="132" a="1"/>
  <c r="T8" i="132" a="1"/>
  <c r="AW11" i="130" a="1"/>
  <c r="F16" i="132" a="1"/>
  <c r="CS15" i="132" a="1"/>
  <c r="AJ16" i="130" a="1"/>
  <c r="DS11" i="132" a="1"/>
  <c r="AP6" i="132" a="1"/>
  <c r="H14" i="132" a="1"/>
  <c r="BN15" i="132" a="1"/>
  <c r="BB8" i="132" a="1"/>
  <c r="DD14" i="132" a="1"/>
  <c r="AY15" i="132" a="1"/>
  <c r="BQ14" i="132" a="1"/>
  <c r="AX5" i="132" a="1"/>
  <c r="AN7" i="132" a="1"/>
  <c r="DU6" i="132" a="1"/>
  <c r="AT7" i="132" a="1"/>
  <c r="DL5" i="132" a="1"/>
  <c r="G16" i="132" a="1"/>
  <c r="FC7" i="132" a="1"/>
  <c r="AG15" i="130" a="1"/>
  <c r="BX8" i="132" a="1"/>
  <c r="EQ13" i="132" a="1"/>
  <c r="BD12" i="132" a="1"/>
  <c r="CH9" i="132" a="1"/>
  <c r="AK7" i="130" a="1"/>
  <c r="AB12" i="132" a="1"/>
  <c r="AW16" i="130" a="1"/>
  <c r="BC13" i="130" a="1"/>
  <c r="BW15" i="132" a="1"/>
  <c r="AF14" i="132" a="1"/>
  <c r="DW13" i="132" a="1"/>
  <c r="BH15" i="132" a="1"/>
  <c r="CN6" i="132" a="1"/>
  <c r="EP9" i="132" a="1"/>
  <c r="O6" i="132" a="1"/>
  <c r="BB13" i="132" a="1"/>
  <c r="BC13" i="132" a="1"/>
  <c r="Y8" i="132" a="1"/>
  <c r="BA14" i="132" a="1"/>
  <c r="AB9" i="130" a="1"/>
  <c r="AV5" i="132" a="1"/>
  <c r="BX12" i="132" a="1"/>
  <c r="FA8" i="132" a="1"/>
  <c r="M8" i="132" a="1"/>
  <c r="CA6" i="132" a="1"/>
  <c r="I5" i="130" a="1"/>
  <c r="EY8" i="132" a="1"/>
  <c r="BT15" i="132" a="1"/>
  <c r="AJ8" i="130" a="1"/>
  <c r="AJ13" i="132" a="1"/>
  <c r="EC14" i="132" a="1"/>
  <c r="DB8" i="132" a="1"/>
  <c r="DR11" i="132" a="1"/>
  <c r="O16" i="132" a="1"/>
  <c r="N5" i="132" a="1"/>
  <c r="BV6" i="132" a="1"/>
  <c r="BI17" i="130" a="1"/>
  <c r="AC8" i="132" a="1"/>
  <c r="BK14" i="132" a="1"/>
  <c r="BR6" i="132" a="1"/>
  <c r="DE11" i="132" a="1"/>
  <c r="BV14" i="132" a="1"/>
  <c r="DN6" i="132" a="1"/>
  <c r="AD63" i="130" a="1"/>
  <c r="C19" i="130" a="1"/>
  <c r="P8" i="132" a="1"/>
  <c r="BR13" i="132" a="1"/>
  <c r="BH14" i="130" a="1"/>
  <c r="AN7" i="130" a="1"/>
  <c r="AK12" i="132" a="1"/>
  <c r="CG16" i="132" a="1"/>
  <c r="D14" i="132" a="1"/>
  <c r="CP12" i="132" a="1"/>
  <c r="BB12" i="132" a="1"/>
  <c r="BY8" i="132" a="1"/>
  <c r="BB11" i="132" a="1"/>
  <c r="AJ15" i="132" a="1"/>
  <c r="AG6" i="132" a="1"/>
  <c r="BJ7" i="132" a="1"/>
  <c r="DI15" i="132" a="1"/>
  <c r="EJ11" i="132" a="1"/>
  <c r="DB12" i="132" a="1"/>
  <c r="Q13" i="132" a="1"/>
  <c r="AX19" i="130" a="1"/>
  <c r="P12" i="132" a="1"/>
  <c r="EG7" i="132" a="1"/>
  <c r="AU5" i="132" a="1"/>
  <c r="DS12" i="132" a="1"/>
  <c r="BG17" i="130" a="1"/>
  <c r="DZ7" i="132" a="1"/>
  <c r="BZ13" i="132" a="1"/>
  <c r="L5" i="132" a="1"/>
  <c r="AN8" i="130" a="1"/>
  <c r="ED14" i="132" a="1"/>
  <c r="E7" i="132" a="1"/>
  <c r="O15" i="132" a="1"/>
  <c r="EL9" i="132" a="1"/>
  <c r="DP9" i="132" a="1"/>
  <c r="E6" i="132" a="1"/>
  <c r="A3" i="3"/>
  <c r="BO9" i="132" a="1"/>
  <c r="AQ6" i="132" a="1"/>
  <c r="BF15" i="132" a="1"/>
  <c r="AX13" i="132" a="1"/>
  <c r="DU8" i="132" a="1"/>
  <c r="BL15" i="132" a="1"/>
  <c r="AP57" i="130" a="1"/>
  <c r="AK9" i="132" a="1"/>
  <c r="N7" i="132" a="1"/>
  <c r="CS5" i="132" a="1"/>
  <c r="EX9" i="132" a="1"/>
  <c r="CX8" i="132" a="1"/>
  <c r="FC11" i="132" a="1"/>
  <c r="AP14" i="132" a="1"/>
  <c r="EC11" i="132" a="1"/>
  <c r="BM5" i="132" a="1"/>
  <c r="EI11" i="132" a="1"/>
  <c r="BT11" i="132" a="1"/>
  <c r="Z12" i="130" a="1"/>
  <c r="CX14" i="132" a="1"/>
  <c r="DF11" i="132" a="1"/>
  <c r="AW9" i="130" a="1"/>
  <c r="E19" i="130" a="1"/>
  <c r="AP18" i="130" a="1"/>
  <c r="N12" i="132" a="1"/>
  <c r="AE9" i="132" a="1"/>
  <c r="FA11" i="132" a="1"/>
  <c r="L15" i="130" a="1"/>
  <c r="Z15" i="130" a="1"/>
  <c r="BE34" i="130" a="1"/>
  <c r="AD16" i="130" a="1"/>
  <c r="AP19" i="130" a="1"/>
  <c r="K5" i="132" a="1"/>
  <c r="L8" i="130" a="1"/>
  <c r="CJ12" i="132" a="1"/>
  <c r="ER8" i="132" a="1"/>
  <c r="DA6" i="132" a="1"/>
  <c r="DV9" i="132" a="1"/>
  <c r="CH13" i="132" a="1"/>
  <c r="CW12" i="132" a="1"/>
  <c r="BE8" i="130" a="1"/>
  <c r="BA5" i="130" a="1"/>
  <c r="BB19" i="130" a="1"/>
  <c r="G13" i="130" a="1"/>
  <c r="E5" i="132" a="1"/>
  <c r="R6" i="132" a="1"/>
  <c r="K14" i="130" a="1"/>
  <c r="BQ13" i="132" a="1"/>
  <c r="AO11" i="132" a="1"/>
  <c r="BP12" i="132" a="1"/>
  <c r="BO8" i="132" a="1"/>
  <c r="EE8" i="132" a="1"/>
  <c r="ED16" i="132" a="1"/>
  <c r="EE14" i="132" a="1"/>
  <c r="DY6" i="132" a="1"/>
  <c r="F13" i="132" a="1"/>
  <c r="CO14" i="132" a="1"/>
  <c r="BT8" i="132" a="1"/>
  <c r="BY14" i="132" a="1"/>
  <c r="Q8" i="132" a="1"/>
  <c r="BH12" i="132" a="1"/>
  <c r="AC20" i="130" a="1"/>
  <c r="CO15" i="132" a="1"/>
  <c r="CI14" i="132" a="1"/>
  <c r="AJ5" i="132" a="1"/>
  <c r="AS14" i="132" a="1"/>
  <c r="K13" i="132" a="1"/>
  <c r="W10" i="130" a="1"/>
  <c r="EB11" i="132" a="1"/>
  <c r="BO5" i="132" a="1"/>
  <c r="L11" i="132" a="1"/>
  <c r="DG14" i="132" a="1"/>
  <c r="ET8" i="132" a="1"/>
  <c r="DP14" i="132" a="1"/>
  <c r="CI9" i="132" a="1"/>
  <c r="EO8" i="132" a="1"/>
  <c r="CF13" i="132" a="1"/>
  <c r="AJ12" i="130" a="1"/>
  <c r="CX7" i="132" a="1"/>
  <c r="AA5" i="132" a="1"/>
  <c r="K16" i="132" a="1"/>
  <c r="CO6" i="132" a="1"/>
  <c r="AW7" i="132" a="1"/>
  <c r="EP12" i="132" a="1"/>
  <c r="FE14" i="132" a="1"/>
  <c r="CB8" i="132" a="1"/>
  <c r="AU12" i="132" a="1"/>
  <c r="DM5" i="132" a="1"/>
  <c r="EA14" i="132" a="1"/>
  <c r="AD7" i="132" a="1"/>
  <c r="EV15" i="132" a="1"/>
  <c r="EK16" i="132" a="1"/>
  <c r="BG15" i="132" a="1"/>
  <c r="N13" i="132" a="1"/>
  <c r="AE11" i="132" a="1"/>
  <c r="EB7" i="132" a="1"/>
  <c r="AO16" i="132" a="1"/>
  <c r="EI14" i="132" a="1"/>
  <c r="CD12" i="132" a="1"/>
  <c r="AS16" i="132" a="1"/>
  <c r="EU11" i="132" a="1"/>
  <c r="EY9" i="132" a="1"/>
  <c r="CM14" i="132" a="1"/>
  <c r="AN9" i="132" a="1"/>
  <c r="DY12" i="132" a="1"/>
  <c r="EL8" i="132" a="1"/>
  <c r="AV13" i="132" a="1"/>
  <c r="DF14" i="132" a="1"/>
  <c r="CB9" i="132" a="1"/>
  <c r="DB11" i="132" a="1"/>
  <c r="BL7" i="132" a="1"/>
  <c r="E12" i="132" a="1"/>
  <c r="AC5" i="132" a="1"/>
  <c r="DI9" i="132" a="1"/>
  <c r="DF6" i="132" a="1"/>
  <c r="AZ11" i="132" a="1"/>
  <c r="EJ16" i="132" a="1"/>
  <c r="DX8" i="132" a="1"/>
  <c r="BC9" i="132" a="1"/>
  <c r="BJ15" i="132" a="1"/>
  <c r="CB15" i="132" a="1"/>
  <c r="BF11" i="130" a="1"/>
  <c r="AG5" i="132" a="1"/>
  <c r="N11" i="132" a="1"/>
  <c r="EB6" i="132" a="1"/>
  <c r="AT15" i="130" a="1"/>
  <c r="AQ28" i="130" a="1"/>
  <c r="V16" i="132" a="1"/>
  <c r="J23" i="130" a="1"/>
  <c r="BB60" i="130" a="1"/>
  <c r="E7" i="130" a="1"/>
  <c r="AS5" i="132" a="1"/>
  <c r="H11" i="132" a="1"/>
  <c r="N14" i="132" a="1"/>
  <c r="FC16" i="132" a="1"/>
  <c r="EV12" i="132" a="1"/>
  <c r="H16" i="130" a="1"/>
  <c r="O13" i="132" a="1"/>
  <c r="AZ16" i="130" a="1"/>
  <c r="C13" i="132" a="1"/>
  <c r="DQ8" i="132" a="1"/>
  <c r="AJ13" i="130" a="1"/>
  <c r="T12" i="130" a="1"/>
  <c r="EO5" i="132" a="1"/>
  <c r="EX13" i="132" a="1"/>
  <c r="AM5" i="132" a="1"/>
  <c r="EA11" i="132" a="1"/>
  <c r="AZ8" i="132" a="1"/>
  <c r="DP7" i="132" a="1"/>
  <c r="BM12" i="132" a="1"/>
  <c r="CM11" i="132" a="1"/>
  <c r="BU11" i="132" a="1"/>
  <c r="EA12" i="132" a="1"/>
  <c r="CX12" i="132" a="1"/>
  <c r="EF7" i="132" a="1"/>
  <c r="CJ13" i="132" a="1"/>
  <c r="U5" i="132" a="1"/>
  <c r="AP15" i="132" a="1"/>
  <c r="AN14" i="132" a="1"/>
  <c r="DA8" i="132" a="1"/>
  <c r="BA19" i="130" a="1"/>
  <c r="EU9" i="132" a="1"/>
  <c r="DU12" i="132" a="1"/>
  <c r="AF6" i="132" a="1"/>
  <c r="J7" i="132" a="1"/>
  <c r="EV14" i="132" a="1"/>
  <c r="CE8" i="132" a="1"/>
  <c r="BV12" i="132" a="1"/>
  <c r="L12" i="132" a="1"/>
  <c r="BB18" i="130" a="1"/>
  <c r="EH11" i="132" a="1"/>
  <c r="I9" i="132" a="1"/>
  <c r="R9" i="132" a="1"/>
  <c r="AD18" i="130" a="1"/>
  <c r="DY13" i="132" a="1"/>
  <c r="AS9" i="132" a="1"/>
  <c r="W9" i="130" a="1"/>
  <c r="FA15" i="132" a="1"/>
  <c r="I11" i="132" a="1"/>
  <c r="EQ7" i="132" a="1"/>
  <c r="CH6" i="132" a="1"/>
  <c r="U13" i="132" a="1"/>
  <c r="BX11" i="132" a="1"/>
  <c r="FD13" i="132" a="1"/>
  <c r="FC13" i="132" a="1"/>
  <c r="AW15" i="132" a="1"/>
  <c r="EC15" i="132" a="1"/>
  <c r="DO9" i="132" a="1"/>
  <c r="BI7" i="132" a="1"/>
  <c r="C9" i="132" a="1"/>
  <c r="X16" i="132" a="1"/>
  <c r="BS11" i="132" a="1"/>
  <c r="DT5" i="132" a="1"/>
  <c r="EJ14" i="132" a="1"/>
  <c r="AG12" i="132" a="1"/>
  <c r="BT14" i="132" a="1"/>
  <c r="U15" i="132" a="1"/>
  <c r="AN6" i="132" a="1"/>
  <c r="ED6" i="132" a="1"/>
  <c r="BZ8" i="132" a="1"/>
  <c r="BY11" i="132" a="1"/>
  <c r="EP15" i="132" a="1"/>
  <c r="M5" i="130" a="1"/>
  <c r="M7" i="130" a="1"/>
  <c r="DN7" i="132" a="1"/>
  <c r="AY15" i="130" a="1"/>
  <c r="CR16" i="132" a="1"/>
  <c r="AD8" i="130" a="1"/>
  <c r="C14" i="132" a="1"/>
  <c r="FA5" i="132" a="1"/>
  <c r="DZ12" i="132" a="1"/>
  <c r="ED7" i="132" a="1"/>
  <c r="R5" i="132" a="1"/>
  <c r="EW15" i="132" a="1"/>
  <c r="AD15" i="132" a="1"/>
  <c r="AO6" i="132" a="1"/>
  <c r="DW15" i="132" a="1"/>
  <c r="V7" i="132" a="1"/>
  <c r="BX15" i="132" a="1"/>
  <c r="BB7" i="132" a="1"/>
  <c r="BQ12" i="132" a="1"/>
  <c r="DI16" i="132" a="1"/>
  <c r="AK68" i="130" a="1"/>
  <c r="AB25" i="130" a="1"/>
  <c r="K25" i="130" a="1"/>
  <c r="AX24" i="130" a="1"/>
  <c r="BH5" i="132" a="1"/>
  <c r="DZ15" i="132" a="1"/>
  <c r="CG15" i="132" a="1"/>
  <c r="BU16" i="132" a="1"/>
  <c r="BD10" i="130" a="1"/>
  <c r="AI7" i="132" a="1"/>
  <c r="M15" i="130" a="1"/>
  <c r="AR20" i="130" a="1"/>
  <c r="BE15" i="130" a="1"/>
  <c r="CG9" i="132" a="1"/>
  <c r="DQ11" i="132" a="1"/>
  <c r="AA10" i="130" a="1"/>
  <c r="AT10" i="130" a="1"/>
  <c r="AN5" i="132" a="1"/>
  <c r="ER6" i="132" a="1"/>
  <c r="T8" i="130" a="1"/>
  <c r="EJ13" i="132" a="1"/>
  <c r="CX5" i="132" a="1"/>
  <c r="EK6" i="132" a="1"/>
  <c r="BS8" i="132" a="1"/>
  <c r="CD16" i="132" a="1"/>
  <c r="F11" i="132" a="1"/>
  <c r="AD12" i="132" a="1"/>
  <c r="DQ13" i="132" a="1"/>
  <c r="I15" i="132" a="1"/>
  <c r="DM9" i="132" a="1"/>
  <c r="BH11" i="132" a="1"/>
  <c r="CK9" i="132" a="1"/>
  <c r="AE12" i="132" a="1"/>
  <c r="CF16" i="132" a="1"/>
  <c r="J14" i="130" a="1"/>
  <c r="DJ7" i="132" a="1"/>
  <c r="CG13" i="132" a="1"/>
  <c r="EI16" i="132" a="1"/>
  <c r="DI14" i="132" a="1"/>
  <c r="ET13" i="132" a="1"/>
  <c r="AC19" i="130" a="1"/>
  <c r="AY16" i="132" a="1"/>
  <c r="AT14" i="132" a="1"/>
  <c r="W13" i="130" a="1"/>
  <c r="I5" i="132" a="1"/>
  <c r="AM12" i="132" a="1"/>
  <c r="I13" i="132" a="1"/>
  <c r="AA9" i="130" a="1"/>
  <c r="DC5" i="132" a="1"/>
  <c r="DW5" i="132" a="1"/>
  <c r="AH16" i="132" a="1"/>
  <c r="DP6" i="132" a="1"/>
  <c r="DM15" i="132" a="1"/>
  <c r="AS8" i="132" a="1"/>
  <c r="AJ12" i="132" a="1"/>
  <c r="V13" i="132" a="1"/>
  <c r="G13" i="132" a="1"/>
  <c r="E14" i="132" a="1"/>
  <c r="U6" i="132" a="1"/>
  <c r="ED11" i="132" a="1"/>
  <c r="EM7" i="132" a="1"/>
  <c r="DQ7" i="132" a="1"/>
  <c r="CO12" i="132" a="1"/>
  <c r="DB5" i="132" a="1"/>
  <c r="AE14" i="130" a="1"/>
  <c r="EP14" i="132" a="1"/>
  <c r="D11" i="132" a="1"/>
  <c r="BS15" i="132" a="1"/>
  <c r="D12" i="132" a="1"/>
  <c r="DC6" i="132" a="1"/>
  <c r="H15" i="132" a="1"/>
  <c r="DY11" i="132" a="1"/>
  <c r="EG14" i="132" a="1"/>
  <c r="R14" i="132" a="1"/>
  <c r="AT24" i="130" a="1"/>
  <c r="AH5" i="130" a="1"/>
  <c r="BC16" i="132" a="1"/>
  <c r="FB9" i="132" a="1"/>
  <c r="BD9" i="132" a="1"/>
  <c r="DQ15" i="132" a="1"/>
  <c r="CM13" i="132" a="1"/>
  <c r="CU13" i="132" a="1"/>
  <c r="DO7" i="132" a="1"/>
  <c r="BK15" i="132" a="1"/>
  <c r="EM16" i="132" a="1"/>
  <c r="Z15" i="132" a="1"/>
  <c r="ET15" i="132" a="1"/>
  <c r="BN12" i="132" a="1"/>
  <c r="V22" i="130" a="1"/>
  <c r="AX17" i="130" a="1"/>
  <c r="AK14" i="130" a="1"/>
  <c r="Q35" i="130" a="1"/>
  <c r="U19" i="130" a="1"/>
  <c r="DS7" i="132" a="1"/>
  <c r="E21" i="130" a="1"/>
  <c r="L14" i="132" a="1"/>
  <c r="F19" i="130" a="1"/>
  <c r="AZ13" i="132" a="1"/>
  <c r="R10" i="130" a="1"/>
  <c r="BJ14" i="130" a="1"/>
  <c r="BK13" i="130" a="1"/>
  <c r="DL6" i="132" a="1"/>
  <c r="DT9" i="132" a="1"/>
  <c r="BA8" i="130" a="1"/>
  <c r="AJ7" i="130" a="1"/>
  <c r="AC15" i="132" a="1"/>
  <c r="EY7" i="132" a="1"/>
  <c r="X9" i="132" a="1"/>
  <c r="CC12" i="132" a="1"/>
  <c r="BF12" i="132" a="1"/>
  <c r="BP9" i="132" a="1"/>
  <c r="X15" i="132" a="1"/>
  <c r="EH8" i="132" a="1"/>
  <c r="CA5" i="132" a="1"/>
  <c r="BI16" i="132" a="1"/>
  <c r="BT13" i="132" a="1"/>
  <c r="DO8" i="132" a="1"/>
  <c r="BS9" i="132" a="1"/>
  <c r="BU13" i="132" a="1"/>
  <c r="D9" i="132" a="1"/>
  <c r="Q7" i="132" a="1"/>
  <c r="DS6" i="132" a="1"/>
  <c r="D7" i="130" a="1"/>
  <c r="AA15" i="132" a="1"/>
  <c r="BZ6" i="132" a="1"/>
  <c r="DX5" i="132" a="1"/>
  <c r="AI16" i="132" a="1"/>
  <c r="AJ7" i="132" a="1"/>
  <c r="AY13" i="130" a="1"/>
  <c r="E11" i="132" a="1"/>
  <c r="DU13" i="132" a="1"/>
  <c r="AS5" i="130" a="1"/>
  <c r="CV5" i="132" a="1"/>
  <c r="CY12" i="132" a="1"/>
  <c r="DW9" i="132" a="1"/>
  <c r="Q5" i="130" a="1"/>
  <c r="DB6" i="132" a="1"/>
  <c r="DX6" i="132" a="1"/>
  <c r="BE5" i="132" a="1"/>
  <c r="BJ11" i="132" a="1"/>
  <c r="AI15" i="130" a="1"/>
  <c r="DQ9" i="132" a="1"/>
  <c r="CN11" i="132" a="1"/>
  <c r="Z7" i="132" a="1"/>
  <c r="DT13" i="132" a="1"/>
  <c r="EV16" i="132" a="1"/>
  <c r="EY14" i="132" a="1"/>
  <c r="DS14" i="132" a="1"/>
  <c r="AX9" i="132" a="1"/>
  <c r="EG9" i="132" a="1"/>
  <c r="BF11" i="132" a="1"/>
  <c r="CJ15" i="132" a="1"/>
  <c r="EF14" i="132" a="1"/>
  <c r="DY9" i="132" a="1"/>
  <c r="W8" i="132" a="1"/>
  <c r="DM6" i="132" a="1"/>
  <c r="DM16" i="132" a="1"/>
  <c r="AI6" i="132" a="1"/>
  <c r="EF8" i="132" a="1"/>
  <c r="F6" i="132" a="1"/>
  <c r="EA13" i="132" a="1"/>
  <c r="AN11" i="132" a="1"/>
  <c r="DU7" i="132" a="1"/>
  <c r="AO5" i="130" a="1"/>
  <c r="DI8" i="132" a="1"/>
  <c r="X21" i="130" a="1"/>
  <c r="DH5" i="132" a="1"/>
  <c r="X5" i="132" a="1"/>
  <c r="V6" i="132" a="1"/>
  <c r="EC7" i="132" a="1"/>
  <c r="EU14" i="132" a="1"/>
  <c r="CV13" i="132" a="1"/>
  <c r="EH16" i="132" a="1"/>
  <c r="AL11" i="132" a="1"/>
  <c r="BN7" i="132" a="1"/>
  <c r="BF91" i="130" a="1"/>
  <c r="CI7" i="132" a="1"/>
  <c r="AV20" i="130" a="1"/>
  <c r="AN8" i="132" a="1"/>
  <c r="P13" i="132" a="1"/>
  <c r="BD15" i="132" a="1"/>
  <c r="BA5" i="132" a="1"/>
  <c r="CA13" i="132" a="1"/>
  <c r="J5" i="132" a="1"/>
  <c r="EQ14" i="132" a="1"/>
  <c r="FD5" i="132" a="1"/>
  <c r="EX7" i="132" a="1"/>
  <c r="AM20" i="130" a="1"/>
  <c r="L12" i="130" a="1"/>
  <c r="DS13" i="132" a="1"/>
  <c r="CC9" i="132" a="1"/>
  <c r="AL8" i="130" a="1"/>
  <c r="AD5" i="130" a="1"/>
  <c r="BF6" i="132" a="1"/>
  <c r="FE12" i="132" a="1"/>
  <c r="EW6" i="132" a="1"/>
  <c r="BB10" i="130" a="1"/>
  <c r="DK8" i="132" a="1"/>
  <c r="BB9" i="132" a="1"/>
  <c r="FF15" i="132" a="1"/>
  <c r="ER9" i="132" a="1"/>
  <c r="EH5" i="132" a="1"/>
  <c r="CF6" i="132" a="1"/>
  <c r="AF12" i="132" a="1"/>
  <c r="AV15" i="132" a="1"/>
  <c r="AU15" i="132" a="1"/>
  <c r="AI12" i="132" a="1"/>
  <c r="BM14" i="132" a="1"/>
  <c r="G9" i="132" a="1"/>
  <c r="BW8" i="132" a="1"/>
  <c r="U22" i="130" a="1"/>
  <c r="DF5" i="132" a="1"/>
  <c r="CP6" i="132" a="1"/>
  <c r="CO7" i="132" a="1"/>
  <c r="EM14" i="132" a="1"/>
  <c r="BK5" i="130" a="1"/>
  <c r="EM8" i="132" a="1"/>
  <c r="EA8" i="132" a="1"/>
  <c r="DM12" i="132" a="1"/>
  <c r="AL6" i="132" a="1"/>
  <c r="CE6" i="132" a="1"/>
  <c r="ET16" i="132" a="1"/>
  <c r="EM11" i="132" a="1"/>
  <c r="EL5" i="132" a="1"/>
  <c r="J10" i="130" a="1"/>
  <c r="AX12" i="132" a="1"/>
  <c r="EX16" i="132" a="1"/>
  <c r="CU6" i="132" a="1"/>
  <c r="BU7" i="132" a="1"/>
  <c r="AV7" i="132" a="1"/>
  <c r="AA11" i="132" a="1"/>
  <c r="N15" i="132" a="1"/>
  <c r="Z16" i="132" a="1"/>
  <c r="BR12" i="132" a="1"/>
  <c r="DY8" i="132" a="1"/>
  <c r="EB16" i="132" a="1"/>
  <c r="EY13" i="132" a="1"/>
  <c r="DF9" i="132" a="1"/>
  <c r="ED9" i="132" a="1"/>
  <c r="O8" i="132" a="1"/>
  <c r="Y13" i="130" a="1"/>
  <c r="E16" i="132" a="1"/>
  <c r="BL6" i="132" a="1"/>
  <c r="EL6" i="132" a="1"/>
  <c r="ES5" i="132" a="1"/>
  <c r="BF5" i="132" a="1"/>
  <c r="BE11" i="132" a="1"/>
  <c r="AW5" i="132" a="1"/>
  <c r="BB6" i="132" a="1"/>
  <c r="AL7" i="132" a="1"/>
  <c r="BF7" i="132" a="1"/>
  <c r="DW14" i="132" a="1"/>
  <c r="BG6" i="132" a="1"/>
  <c r="BF8" i="132" a="1"/>
  <c r="AV6" i="132" a="1"/>
  <c r="EJ6" i="132" a="1"/>
  <c r="EK11" i="132" a="1"/>
  <c r="AN15" i="132" a="1"/>
  <c r="DZ8" i="132" a="1"/>
  <c r="EC6" i="132" a="1"/>
  <c r="DQ14" i="132" a="1"/>
  <c r="BJ61" i="130" a="1"/>
  <c r="AS20" i="130" a="1"/>
  <c r="EQ16" i="132" a="1"/>
  <c r="BE15" i="132" a="1"/>
  <c r="CK12" i="132" a="1"/>
  <c r="AE19" i="130" a="1"/>
  <c r="CZ15" i="132" a="1"/>
  <c r="AK19" i="130" a="1"/>
  <c r="EH6" i="132" a="1"/>
  <c r="BC11" i="132" a="1"/>
  <c r="DG7" i="132" a="1"/>
  <c r="AP7" i="132" a="1"/>
  <c r="EC9" i="132" a="1"/>
  <c r="AK12" i="130" a="1"/>
  <c r="DE6" i="132" a="1"/>
  <c r="EY16" i="132" a="1"/>
  <c r="EJ8" i="132" a="1"/>
  <c r="CI13" i="132" a="1"/>
  <c r="BE79" i="130" a="1"/>
  <c r="AA12" i="132" a="1"/>
  <c r="BF7" i="130" a="1"/>
  <c r="AG35" i="130" a="1"/>
  <c r="M35" i="130" a="1"/>
  <c r="AK15" i="132" a="1"/>
  <c r="DZ11" i="132" a="1"/>
  <c r="BL9" i="132" a="1"/>
  <c r="EX8" i="132" a="1"/>
  <c r="V14" i="130" a="1"/>
  <c r="CX16" i="132" a="1"/>
  <c r="AX7" i="130" a="1"/>
  <c r="AA18" i="130" a="1"/>
  <c r="BD18" i="130" a="1"/>
  <c r="AQ17" i="130" a="1"/>
  <c r="DY14" i="132" a="1"/>
  <c r="N6" i="132" a="1"/>
  <c r="AD11" i="132" a="1"/>
  <c r="ET14" i="132" a="1"/>
  <c r="ED8" i="132" a="1"/>
  <c r="DA11" i="132" a="1"/>
  <c r="EO6" i="132" a="1"/>
  <c r="FA16" i="132" a="1"/>
  <c r="E15" i="132" a="1"/>
  <c r="AF13" i="130" a="1"/>
  <c r="CL9" i="132" a="1"/>
  <c r="EM15" i="132" a="1"/>
  <c r="I15" i="130" a="1"/>
  <c r="EC5" i="132" a="1"/>
  <c r="EN9" i="132" a="1"/>
  <c r="BF14" i="132" a="1"/>
  <c r="C5" i="132" a="1"/>
  <c r="AQ9" i="132" a="1"/>
  <c r="I14" i="132" a="1"/>
  <c r="DV11" i="132" a="1"/>
  <c r="DL11" i="132" a="1"/>
  <c r="O9" i="132" a="1"/>
  <c r="BN8" i="132" a="1"/>
  <c r="DY16" i="132" a="1"/>
  <c r="BG13" i="132" a="1"/>
  <c r="Q15" i="132" a="1"/>
  <c r="O11" i="132" a="1"/>
  <c r="FB5" i="132" a="1"/>
  <c r="CN9" i="132" a="1"/>
  <c r="DR13" i="132" a="1"/>
  <c r="CD9" i="132" a="1"/>
  <c r="K7" i="132" a="1"/>
  <c r="AR18" i="130" a="1"/>
  <c r="BP8" i="132" a="1"/>
  <c r="BT9" i="132" a="1"/>
  <c r="AH16" i="130" a="1"/>
  <c r="AV8" i="132" a="1"/>
  <c r="AB7" i="132" a="1"/>
  <c r="AA16" i="132" a="1"/>
  <c r="AD14" i="132" a="1"/>
  <c r="EU8" i="132" a="1"/>
  <c r="AB9" i="132" a="1"/>
  <c r="DO14" i="132" a="1"/>
  <c r="E8" i="132" a="1"/>
  <c r="CI11" i="132" a="1"/>
  <c r="F15" i="130" a="1"/>
  <c r="BP7" i="132" a="1"/>
  <c r="P14" i="132" a="1"/>
  <c r="BM7" i="132" a="1"/>
  <c r="AH11" i="132" a="1"/>
  <c r="AP5" i="132" a="1"/>
  <c r="W14" i="132" a="1"/>
  <c r="BP11" i="132" a="1"/>
  <c r="DA9" i="132" a="1"/>
  <c r="DO11" i="132" a="1"/>
  <c r="EA6" i="132" a="1"/>
  <c r="BI12" i="132" a="1"/>
  <c r="X6" i="132" a="1"/>
  <c r="AP9" i="132" a="1"/>
  <c r="Q16" i="132" a="1"/>
  <c r="EZ5" i="132" a="1"/>
  <c r="BR11" i="132" a="1"/>
  <c r="X8" i="132" a="1"/>
  <c r="H16" i="132" a="1"/>
  <c r="AY14" i="132" a="1"/>
  <c r="AF16" i="132" a="1"/>
  <c r="W15" i="132" a="1"/>
  <c r="T13" i="132" a="1"/>
  <c r="DE15" i="132" a="1"/>
  <c r="G6" i="132" a="1"/>
  <c r="Q25" i="130" a="1"/>
  <c r="BD11" i="132" a="1"/>
  <c r="AF11" i="132" a="1"/>
  <c r="BL12" i="132" a="1"/>
  <c r="BD7" i="132" a="1"/>
  <c r="EG13" i="132" a="1"/>
  <c r="BA7" i="132" a="1"/>
  <c r="BX6" i="132" a="1"/>
  <c r="AH8" i="132" a="1"/>
  <c r="BD8" i="132" a="1"/>
  <c r="KF20" i="132"/>
  <c r="KA19" i="132"/>
  <c r="JR20" i="132"/>
  <c r="BY85" i="1" s="1"/>
  <c r="KC20" i="132"/>
  <c r="JS20" i="132"/>
  <c r="KH20" i="132"/>
  <c r="KB20" i="132"/>
  <c r="P130" i="1"/>
  <c r="W127" i="1"/>
  <c r="J127" i="1"/>
  <c r="L127" i="1"/>
  <c r="I113" i="1"/>
  <c r="E127" i="1"/>
  <c r="V127" i="1"/>
  <c r="S127" i="1"/>
  <c r="Z127" i="1"/>
  <c r="B127" i="1"/>
  <c r="M127" i="1"/>
  <c r="Q127" i="1"/>
  <c r="U127" i="1"/>
  <c r="T127" i="1"/>
  <c r="D127" i="1"/>
  <c r="O127" i="1"/>
  <c r="R127" i="1"/>
  <c r="F127" i="1"/>
  <c r="X127" i="1"/>
  <c r="N127" i="1"/>
  <c r="P127" i="1"/>
  <c r="H127" i="1"/>
  <c r="I127" i="1"/>
  <c r="G127" i="1"/>
  <c r="K127" i="1"/>
  <c r="Y127" i="1"/>
  <c r="C127" i="1"/>
  <c r="Y130" i="1"/>
  <c r="M130" i="1"/>
  <c r="N113" i="1"/>
  <c r="X130" i="1"/>
  <c r="S130" i="1"/>
  <c r="I130" i="1"/>
  <c r="T130" i="1"/>
  <c r="G113" i="1"/>
  <c r="Z130" i="1"/>
  <c r="K130" i="1"/>
  <c r="D130" i="1"/>
  <c r="O130" i="1"/>
  <c r="U113" i="1"/>
  <c r="O113" i="1"/>
  <c r="N130" i="1"/>
  <c r="H113" i="1"/>
  <c r="V130" i="1"/>
  <c r="G130" i="1"/>
  <c r="L130" i="1"/>
  <c r="X113" i="1"/>
  <c r="J130" i="1"/>
  <c r="T113" i="1"/>
  <c r="E113" i="1"/>
  <c r="K36" i="1"/>
  <c r="D36" i="1"/>
  <c r="O36" i="1"/>
  <c r="H36" i="1"/>
  <c r="M113" i="1"/>
  <c r="R130" i="1"/>
  <c r="E130" i="1"/>
  <c r="B113" i="1"/>
  <c r="T97" i="1"/>
  <c r="K113" i="1"/>
  <c r="U130" i="1"/>
  <c r="J113" i="1"/>
  <c r="T36" i="1"/>
  <c r="P36" i="1"/>
  <c r="B36" i="1"/>
  <c r="W113" i="1"/>
  <c r="C36" i="1"/>
  <c r="R97" i="1"/>
  <c r="H130" i="1"/>
  <c r="C113" i="1"/>
  <c r="S113" i="1"/>
  <c r="Z36" i="1"/>
  <c r="V97" i="1"/>
  <c r="N36" i="1"/>
  <c r="P113" i="1"/>
  <c r="Y36" i="1"/>
  <c r="L36" i="1"/>
  <c r="S36" i="1"/>
  <c r="F113" i="1"/>
  <c r="Q113" i="1"/>
  <c r="S97" i="1"/>
  <c r="G36" i="1"/>
  <c r="Z113" i="1"/>
  <c r="AA154" i="1" s="1"/>
  <c r="J36" i="1"/>
  <c r="I36" i="1"/>
  <c r="Q130" i="1"/>
  <c r="X36" i="1"/>
  <c r="Q36" i="1"/>
  <c r="U97" i="1"/>
  <c r="W97" i="1"/>
  <c r="C130" i="1"/>
  <c r="Y97" i="1"/>
  <c r="B130" i="1"/>
  <c r="R113" i="1"/>
  <c r="F36" i="1"/>
  <c r="D113" i="1"/>
  <c r="F130" i="1"/>
  <c r="X97" i="1"/>
  <c r="E36" i="1"/>
  <c r="L113" i="1"/>
  <c r="M36" i="1"/>
  <c r="V36" i="1"/>
  <c r="Z97" i="1"/>
  <c r="Q97" i="1"/>
  <c r="V113" i="1"/>
  <c r="U36" i="1"/>
  <c r="Y113" i="1"/>
  <c r="W36" i="1"/>
  <c r="R36" i="1"/>
  <c r="P97" i="1"/>
  <c r="W130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AA54" i="1" l="1"/>
  <c r="AA77" i="1"/>
  <c r="C40" i="1"/>
  <c r="F40" i="1"/>
  <c r="M40" i="1"/>
  <c r="W40" i="1"/>
  <c r="D144" i="1"/>
  <c r="V31" i="1"/>
  <c r="V33" i="1" s="1"/>
  <c r="K31" i="1"/>
  <c r="K33" i="1" s="1"/>
  <c r="O40" i="1"/>
  <c r="O31" i="1"/>
  <c r="L139" i="1"/>
  <c r="T40" i="1"/>
  <c r="N40" i="1"/>
  <c r="N144" i="1"/>
  <c r="X40" i="1"/>
  <c r="B108" i="1"/>
  <c r="Y33" i="1"/>
  <c r="J108" i="1"/>
  <c r="E119" i="1"/>
  <c r="G31" i="1"/>
  <c r="G33" i="1" s="1"/>
  <c r="R31" i="1"/>
  <c r="R33" i="1" s="1"/>
  <c r="E144" i="1"/>
  <c r="D40" i="1"/>
  <c r="H40" i="1"/>
  <c r="I139" i="1"/>
  <c r="P40" i="1"/>
  <c r="Y40" i="1"/>
  <c r="U139" i="1"/>
  <c r="Q40" i="1"/>
  <c r="M31" i="1"/>
  <c r="M33" i="1" s="1"/>
  <c r="H139" i="1"/>
  <c r="M108" i="1"/>
  <c r="P31" i="1"/>
  <c r="P33" i="1" s="1"/>
  <c r="V40" i="1"/>
  <c r="X139" i="1"/>
  <c r="G40" i="1"/>
  <c r="O139" i="1"/>
  <c r="L31" i="1"/>
  <c r="L33" i="1" s="1"/>
  <c r="K144" i="1"/>
  <c r="H31" i="1"/>
  <c r="H33" i="1" s="1"/>
  <c r="U144" i="1"/>
  <c r="I144" i="1"/>
  <c r="C31" i="1"/>
  <c r="C33" i="1" s="1"/>
  <c r="K40" i="1"/>
  <c r="D31" i="1"/>
  <c r="D33" i="1" s="1"/>
  <c r="I31" i="1"/>
  <c r="Z144" i="1"/>
  <c r="J139" i="1"/>
  <c r="V108" i="1"/>
  <c r="B40" i="1"/>
  <c r="Z40" i="1"/>
  <c r="S40" i="1"/>
  <c r="I40" i="1"/>
  <c r="N31" i="1"/>
  <c r="N33" i="1" s="1"/>
  <c r="Q31" i="1"/>
  <c r="Q33" i="1" s="1"/>
  <c r="E40" i="1"/>
  <c r="O108" i="1"/>
  <c r="R40" i="1"/>
  <c r="BH53" i="1"/>
  <c r="AK32" i="1"/>
  <c r="BV29" i="1"/>
  <c r="BA38" i="1"/>
  <c r="BI45" i="1"/>
  <c r="AX35" i="1"/>
  <c r="AP32" i="1"/>
  <c r="AR29" i="1"/>
  <c r="BC38" i="1"/>
  <c r="IH8" i="132" s="1"/>
  <c r="AZ35" i="1"/>
  <c r="BE29" i="1"/>
  <c r="JB14" i="132"/>
  <c r="IA15" i="132"/>
  <c r="IW8" i="132"/>
  <c r="IZ14" i="132"/>
  <c r="IN14" i="132"/>
  <c r="HS14" i="132"/>
  <c r="IF7" i="132"/>
  <c r="JK15" i="132"/>
  <c r="JM8" i="132"/>
  <c r="IM7" i="132"/>
  <c r="JF14" i="132"/>
  <c r="IM14" i="132"/>
  <c r="HS16" i="132" s="1"/>
  <c r="BN49" i="1"/>
  <c r="BT49" i="1"/>
  <c r="J144" i="1"/>
  <c r="I114" i="1"/>
  <c r="AJ39" i="1"/>
  <c r="X144" i="1"/>
  <c r="Z31" i="1"/>
  <c r="Z33" i="1" s="1"/>
  <c r="AA34" i="1" s="1"/>
  <c r="H144" i="1"/>
  <c r="N114" i="1"/>
  <c r="U31" i="1"/>
  <c r="U33" i="1" s="1"/>
  <c r="C144" i="1"/>
  <c r="O144" i="1"/>
  <c r="M144" i="1"/>
  <c r="W144" i="1"/>
  <c r="S144" i="1"/>
  <c r="G114" i="1"/>
  <c r="C119" i="1"/>
  <c r="C123" i="1" s="1"/>
  <c r="U114" i="1"/>
  <c r="R108" i="1"/>
  <c r="H114" i="1"/>
  <c r="X108" i="1"/>
  <c r="S31" i="1"/>
  <c r="S33" i="1" s="1"/>
  <c r="G108" i="1"/>
  <c r="E31" i="1"/>
  <c r="E33" i="1" s="1"/>
  <c r="X114" i="1"/>
  <c r="S139" i="1"/>
  <c r="T114" i="1"/>
  <c r="F119" i="1"/>
  <c r="F123" i="1" s="1"/>
  <c r="BW127" i="1"/>
  <c r="BX127" i="1" s="1"/>
  <c r="BW125" i="1"/>
  <c r="BX125" i="1" s="1"/>
  <c r="N139" i="1"/>
  <c r="L144" i="1"/>
  <c r="B144" i="1"/>
  <c r="M139" i="1"/>
  <c r="I108" i="1"/>
  <c r="K108" i="1"/>
  <c r="Q144" i="1"/>
  <c r="S108" i="1"/>
  <c r="Y119" i="1"/>
  <c r="Y123" i="1" s="1"/>
  <c r="E114" i="1"/>
  <c r="X119" i="1"/>
  <c r="X123" i="1" s="1"/>
  <c r="R139" i="1"/>
  <c r="J31" i="1"/>
  <c r="J33" i="1" s="1"/>
  <c r="C139" i="1"/>
  <c r="B139" i="1"/>
  <c r="T108" i="1"/>
  <c r="W108" i="1"/>
  <c r="P108" i="1"/>
  <c r="Z108" i="1"/>
  <c r="AA155" i="1" s="1"/>
  <c r="L108" i="1"/>
  <c r="D119" i="1"/>
  <c r="D123" i="1" s="1"/>
  <c r="U108" i="1"/>
  <c r="F31" i="1"/>
  <c r="F33" i="1" s="1"/>
  <c r="O33" i="1"/>
  <c r="B114" i="1"/>
  <c r="E139" i="1"/>
  <c r="F139" i="1"/>
  <c r="P139" i="1"/>
  <c r="H119" i="1"/>
  <c r="H123" i="1" s="1"/>
  <c r="Y108" i="1"/>
  <c r="F108" i="1"/>
  <c r="J119" i="1"/>
  <c r="J123" i="1" s="1"/>
  <c r="E108" i="1"/>
  <c r="R119" i="1"/>
  <c r="R123" i="1" s="1"/>
  <c r="T139" i="1"/>
  <c r="T31" i="1"/>
  <c r="T33" i="1" s="1"/>
  <c r="W119" i="1"/>
  <c r="W123" i="1" s="1"/>
  <c r="Z119" i="1"/>
  <c r="Z123" i="1" s="1"/>
  <c r="Q139" i="1"/>
  <c r="I119" i="1"/>
  <c r="I123" i="1" s="1"/>
  <c r="T144" i="1"/>
  <c r="N108" i="1"/>
  <c r="G144" i="1"/>
  <c r="L40" i="1"/>
  <c r="S119" i="1"/>
  <c r="S123" i="1" s="1"/>
  <c r="R144" i="1"/>
  <c r="Y139" i="1"/>
  <c r="D139" i="1"/>
  <c r="F144" i="1"/>
  <c r="J40" i="1"/>
  <c r="W139" i="1"/>
  <c r="Z139" i="1"/>
  <c r="K139" i="1"/>
  <c r="B119" i="1"/>
  <c r="B123" i="1" s="1"/>
  <c r="M119" i="1"/>
  <c r="M123" i="1" s="1"/>
  <c r="W31" i="1"/>
  <c r="W33" i="1" s="1"/>
  <c r="X31" i="1"/>
  <c r="X33" i="1" s="1"/>
  <c r="P144" i="1"/>
  <c r="Y144" i="1"/>
  <c r="L119" i="1"/>
  <c r="L123" i="1" s="1"/>
  <c r="C108" i="1"/>
  <c r="G139" i="1"/>
  <c r="G119" i="1"/>
  <c r="G123" i="1" s="1"/>
  <c r="Q119" i="1"/>
  <c r="Q123" i="1" s="1"/>
  <c r="O119" i="1"/>
  <c r="O123" i="1" s="1"/>
  <c r="D108" i="1"/>
  <c r="H108" i="1"/>
  <c r="N119" i="1"/>
  <c r="N123" i="1" s="1"/>
  <c r="V139" i="1"/>
  <c r="P119" i="1"/>
  <c r="P123" i="1" s="1"/>
  <c r="V144" i="1"/>
  <c r="T119" i="1"/>
  <c r="T123" i="1" s="1"/>
  <c r="Q108" i="1"/>
  <c r="U119" i="1"/>
  <c r="U123" i="1" s="1"/>
  <c r="V119" i="1"/>
  <c r="V123" i="1" s="1"/>
  <c r="U40" i="1"/>
  <c r="K119" i="1"/>
  <c r="K123" i="1" s="1"/>
  <c r="IA8" i="132"/>
  <c r="AI45" i="1"/>
  <c r="IY15" i="132" s="1"/>
  <c r="AJ53" i="1"/>
  <c r="AQ53" i="1"/>
  <c r="BU32" i="1"/>
  <c r="BI38" i="1"/>
  <c r="BO38" i="1"/>
  <c r="AU29" i="1"/>
  <c r="BM35" i="1"/>
  <c r="HZ14" i="132" s="1"/>
  <c r="BF53" i="1"/>
  <c r="BG45" i="1"/>
  <c r="BE38" i="1"/>
  <c r="BJ32" i="1"/>
  <c r="JJ7" i="132" s="1"/>
  <c r="AK35" i="1"/>
  <c r="AV38" i="1"/>
  <c r="BF38" i="1"/>
  <c r="BJ30" i="1"/>
  <c r="BC53" i="1"/>
  <c r="AS47" i="1"/>
  <c r="BH43" i="1"/>
  <c r="AL43" i="1"/>
  <c r="HT14" i="132" s="1"/>
  <c r="BE32" i="1"/>
  <c r="AO38" i="1"/>
  <c r="AT37" i="1"/>
  <c r="JB9" i="132" s="1"/>
  <c r="JA16" i="132"/>
  <c r="BF29" i="1"/>
  <c r="BU47" i="1"/>
  <c r="BI47" i="1"/>
  <c r="BP35" i="1"/>
  <c r="IB9" i="132" s="1"/>
  <c r="BB32" i="1"/>
  <c r="IM9" i="132"/>
  <c r="IC16" i="132"/>
  <c r="IS15" i="132"/>
  <c r="BS38" i="1"/>
  <c r="BR43" i="1"/>
  <c r="AU53" i="1"/>
  <c r="BG35" i="1"/>
  <c r="AR53" i="1"/>
  <c r="BK37" i="1"/>
  <c r="IJ7" i="132" s="1"/>
  <c r="IG8" i="132" s="1"/>
  <c r="BP38" i="1"/>
  <c r="JC7" i="132" s="1"/>
  <c r="AZ38" i="1"/>
  <c r="BQ35" i="1"/>
  <c r="BM29" i="1"/>
  <c r="JL9" i="132" s="1"/>
  <c r="BN37" i="1"/>
  <c r="BM47" i="1"/>
  <c r="BH38" i="1"/>
  <c r="AP45" i="1"/>
  <c r="BA35" i="1"/>
  <c r="AI38" i="1"/>
  <c r="BV30" i="1"/>
  <c r="AZ43" i="1"/>
  <c r="AV45" i="1"/>
  <c r="IB16" i="132"/>
  <c r="AY37" i="1"/>
  <c r="IF14" i="132"/>
  <c r="HP7" i="132"/>
  <c r="HT7" i="132"/>
  <c r="HY15" i="132"/>
  <c r="JG14" i="132"/>
  <c r="IC7" i="132"/>
  <c r="ID14" i="132"/>
  <c r="JE7" i="132"/>
  <c r="IN15" i="132"/>
  <c r="IY7" i="132"/>
  <c r="HQ7" i="132"/>
  <c r="JN14" i="132"/>
  <c r="JN15" i="132"/>
  <c r="HQ15" i="132"/>
  <c r="HU14" i="132"/>
  <c r="HV7" i="132"/>
  <c r="IS14" i="132"/>
  <c r="JG8" i="132"/>
  <c r="HX8" i="132"/>
  <c r="HQ14" i="132"/>
  <c r="JG15" i="132"/>
  <c r="JN7" i="132"/>
  <c r="HT8" i="132"/>
  <c r="IU15" i="132"/>
  <c r="II7" i="132"/>
  <c r="BM30" i="1"/>
  <c r="IF8" i="132"/>
  <c r="IC8" i="132"/>
  <c r="IX7" i="132"/>
  <c r="IG15" i="132"/>
  <c r="JJ14" i="132"/>
  <c r="HP8" i="132"/>
  <c r="IK8" i="132"/>
  <c r="JJ15" i="132"/>
  <c r="IR15" i="132"/>
  <c r="HR14" i="132"/>
  <c r="IR7" i="132"/>
  <c r="JB8" i="132"/>
  <c r="BQ36" i="1"/>
  <c r="AR49" i="1"/>
  <c r="BB30" i="1"/>
  <c r="HX15" i="132"/>
  <c r="BW43" i="1"/>
  <c r="BO39" i="1"/>
  <c r="AI39" i="1"/>
  <c r="BA39" i="1"/>
  <c r="ID8" i="132"/>
  <c r="IG7" i="132"/>
  <c r="JB15" i="132"/>
  <c r="JO8" i="132"/>
  <c r="IE15" i="132"/>
  <c r="IT15" i="132"/>
  <c r="IV15" i="132"/>
  <c r="BY49" i="1"/>
  <c r="BJ43" i="1"/>
  <c r="BT30" i="1"/>
  <c r="BV43" i="1"/>
  <c r="BS30" i="1"/>
  <c r="HV8" i="132"/>
  <c r="AV39" i="1"/>
  <c r="AJ49" i="1"/>
  <c r="AP49" i="1"/>
  <c r="AO36" i="1"/>
  <c r="JO7" i="132"/>
  <c r="IJ14" i="132"/>
  <c r="JA8" i="132"/>
  <c r="ID15" i="132"/>
  <c r="ID20" i="132" s="1"/>
  <c r="AK85" i="1" s="1"/>
  <c r="IZ7" i="132"/>
  <c r="II15" i="132"/>
  <c r="HP15" i="132"/>
  <c r="HP20" i="132" s="1"/>
  <c r="BY122" i="1"/>
  <c r="JF7" i="132"/>
  <c r="JF19" i="132" s="1"/>
  <c r="BM84" i="1" s="1"/>
  <c r="JD8" i="132"/>
  <c r="BY36" i="1"/>
  <c r="AH36" i="1"/>
  <c r="BL30" i="1"/>
  <c r="JD7" i="132"/>
  <c r="AX39" i="1"/>
  <c r="BC49" i="1"/>
  <c r="JE15" i="132"/>
  <c r="IP7" i="132"/>
  <c r="IN7" i="132"/>
  <c r="IJ8" i="132"/>
  <c r="AV49" i="1"/>
  <c r="BR30" i="1"/>
  <c r="BL43" i="1"/>
  <c r="AS39" i="1"/>
  <c r="BG43" i="1"/>
  <c r="BP36" i="1"/>
  <c r="BB49" i="1"/>
  <c r="AP43" i="1"/>
  <c r="IO15" i="132"/>
  <c r="AU43" i="1"/>
  <c r="AO39" i="1"/>
  <c r="AS49" i="1"/>
  <c r="IK15" i="132"/>
  <c r="IO14" i="132"/>
  <c r="IX8" i="132"/>
  <c r="AQ49" i="1"/>
  <c r="AK36" i="1"/>
  <c r="BF30" i="1"/>
  <c r="BT36" i="1"/>
  <c r="AX30" i="1"/>
  <c r="AW49" i="1"/>
  <c r="AT36" i="1"/>
  <c r="BA43" i="1"/>
  <c r="AX36" i="1"/>
  <c r="JK14" i="132"/>
  <c r="BX36" i="1"/>
  <c r="BG36" i="1"/>
  <c r="AK30" i="1"/>
  <c r="JP7" i="132"/>
  <c r="AQ39" i="1"/>
  <c r="IC14" i="132"/>
  <c r="AK39" i="1"/>
  <c r="AT39" i="1"/>
  <c r="BR36" i="1"/>
  <c r="BT43" i="1"/>
  <c r="AU36" i="1"/>
  <c r="BJ36" i="1"/>
  <c r="BB36" i="1"/>
  <c r="IV14" i="132"/>
  <c r="IA14" i="132"/>
  <c r="BM36" i="1"/>
  <c r="HX14" i="132"/>
  <c r="HR15" i="132"/>
  <c r="JP8" i="132"/>
  <c r="IY8" i="132"/>
  <c r="IU7" i="132"/>
  <c r="JM7" i="132"/>
  <c r="II14" i="132"/>
  <c r="HW14" i="132"/>
  <c r="IH14" i="132"/>
  <c r="BS36" i="1"/>
  <c r="IG14" i="132"/>
  <c r="IE8" i="132"/>
  <c r="JO15" i="132"/>
  <c r="BD49" i="1"/>
  <c r="BW39" i="1"/>
  <c r="BV36" i="1"/>
  <c r="BD43" i="1"/>
  <c r="AQ30" i="1"/>
  <c r="AI30" i="1"/>
  <c r="BE39" i="1"/>
  <c r="BA36" i="1"/>
  <c r="BQ39" i="1"/>
  <c r="JP15" i="132"/>
  <c r="BK36" i="1"/>
  <c r="BH36" i="1"/>
  <c r="BW30" i="1"/>
  <c r="AQ36" i="1"/>
  <c r="AY30" i="1"/>
  <c r="II8" i="132"/>
  <c r="BE36" i="1"/>
  <c r="BP43" i="1"/>
  <c r="BR39" i="1"/>
  <c r="AR36" i="1"/>
  <c r="IK14" i="132"/>
  <c r="BI43" i="1"/>
  <c r="AN43" i="1"/>
  <c r="AN49" i="1"/>
  <c r="BQ43" i="1"/>
  <c r="IB7" i="132"/>
  <c r="ID7" i="132"/>
  <c r="BH49" i="1"/>
  <c r="BG39" i="1"/>
  <c r="BF39" i="1"/>
  <c r="AZ49" i="1"/>
  <c r="BS39" i="1"/>
  <c r="BL39" i="1"/>
  <c r="BP49" i="1"/>
  <c r="AP39" i="1"/>
  <c r="AN30" i="1"/>
  <c r="BK39" i="1"/>
  <c r="AY39" i="1"/>
  <c r="BY43" i="1"/>
  <c r="AJ36" i="1"/>
  <c r="BD36" i="1"/>
  <c r="BI39" i="1"/>
  <c r="HS15" i="132"/>
  <c r="JE14" i="132"/>
  <c r="JE19" i="132" s="1"/>
  <c r="BL84" i="1" s="1"/>
  <c r="AM36" i="1"/>
  <c r="BY30" i="1"/>
  <c r="JI14" i="132"/>
  <c r="AO49" i="1"/>
  <c r="BS49" i="1"/>
  <c r="BI36" i="1"/>
  <c r="BY39" i="1"/>
  <c r="JO14" i="132"/>
  <c r="JO19" i="132" s="1"/>
  <c r="BV84" i="1" s="1"/>
  <c r="IN8" i="132"/>
  <c r="BI49" i="1"/>
  <c r="BF36" i="1"/>
  <c r="BK49" i="1"/>
  <c r="AK49" i="1"/>
  <c r="IU14" i="132"/>
  <c r="BG49" i="1"/>
  <c r="AI36" i="1"/>
  <c r="AW39" i="1"/>
  <c r="BQ49" i="1"/>
  <c r="AS36" i="1"/>
  <c r="HY8" i="132"/>
  <c r="JN8" i="132"/>
  <c r="IH7" i="132"/>
  <c r="JI7" i="132"/>
  <c r="BU36" i="1"/>
  <c r="IV8" i="132"/>
  <c r="BN36" i="1"/>
  <c r="JH7" i="132"/>
  <c r="IO7" i="132"/>
  <c r="JD15" i="132"/>
  <c r="JD20" i="132" s="1"/>
  <c r="BK85" i="1" s="1"/>
  <c r="IW15" i="132"/>
  <c r="IW20" i="132" s="1"/>
  <c r="BD85" i="1" s="1"/>
  <c r="JI15" i="132"/>
  <c r="BL36" i="1"/>
  <c r="AX49" i="1"/>
  <c r="AU39" i="1"/>
  <c r="BX49" i="1"/>
  <c r="BL49" i="1"/>
  <c r="AZ36" i="1"/>
  <c r="HU7" i="132"/>
  <c r="BM39" i="1"/>
  <c r="BU39" i="1"/>
  <c r="AV36" i="1"/>
  <c r="AR39" i="1"/>
  <c r="BV39" i="1"/>
  <c r="AP36" i="1"/>
  <c r="BW36" i="1"/>
  <c r="BR49" i="1"/>
  <c r="BC36" i="1"/>
  <c r="IX15" i="132"/>
  <c r="IX20" i="132" s="1"/>
  <c r="BE85" i="1" s="1"/>
  <c r="BP39" i="1"/>
  <c r="BC39" i="1"/>
  <c r="AN36" i="1"/>
  <c r="BT39" i="1"/>
  <c r="BA49" i="1"/>
  <c r="BE49" i="1"/>
  <c r="AY36" i="1"/>
  <c r="HU15" i="132"/>
  <c r="BX43" i="1"/>
  <c r="JL15" i="132"/>
  <c r="BX39" i="1"/>
  <c r="JH8" i="132"/>
  <c r="JD14" i="132"/>
  <c r="IB15" i="132"/>
  <c r="IJ15" i="132"/>
  <c r="JF8" i="132"/>
  <c r="P131" i="1"/>
  <c r="M131" i="1"/>
  <c r="O154" i="1"/>
  <c r="X131" i="1"/>
  <c r="N154" i="1"/>
  <c r="Y131" i="1"/>
  <c r="S131" i="1"/>
  <c r="V154" i="1"/>
  <c r="I131" i="1"/>
  <c r="R131" i="1"/>
  <c r="J131" i="1"/>
  <c r="T131" i="1"/>
  <c r="Z131" i="1"/>
  <c r="I154" i="1"/>
  <c r="H154" i="1"/>
  <c r="O114" i="1"/>
  <c r="T154" i="1"/>
  <c r="K131" i="1"/>
  <c r="D131" i="1"/>
  <c r="H131" i="1"/>
  <c r="L131" i="1"/>
  <c r="O131" i="1"/>
  <c r="U154" i="1"/>
  <c r="V131" i="1"/>
  <c r="N131" i="1"/>
  <c r="G131" i="1"/>
  <c r="E131" i="1"/>
  <c r="C154" i="1"/>
  <c r="C131" i="1"/>
  <c r="M114" i="1"/>
  <c r="R154" i="1"/>
  <c r="F131" i="1"/>
  <c r="R114" i="1"/>
  <c r="Y154" i="1"/>
  <c r="Y114" i="1"/>
  <c r="V114" i="1"/>
  <c r="L114" i="1"/>
  <c r="M154" i="1"/>
  <c r="L154" i="1"/>
  <c r="Q114" i="1"/>
  <c r="Q154" i="1"/>
  <c r="K114" i="1"/>
  <c r="K154" i="1"/>
  <c r="W131" i="1"/>
  <c r="B131" i="1"/>
  <c r="Z114" i="1"/>
  <c r="Z154" i="1"/>
  <c r="G154" i="1"/>
  <c r="F154" i="1"/>
  <c r="F114" i="1"/>
  <c r="P114" i="1"/>
  <c r="P154" i="1"/>
  <c r="W114" i="1"/>
  <c r="W154" i="1"/>
  <c r="X154" i="1"/>
  <c r="J114" i="1"/>
  <c r="J154" i="1"/>
  <c r="C114" i="1"/>
  <c r="S114" i="1"/>
  <c r="S154" i="1"/>
  <c r="Q131" i="1"/>
  <c r="D114" i="1"/>
  <c r="D154" i="1"/>
  <c r="E154" i="1"/>
  <c r="U131" i="1"/>
  <c r="AX43" i="1"/>
  <c r="BU43" i="1"/>
  <c r="AO43" i="1"/>
  <c r="BK30" i="1"/>
  <c r="BE43" i="1"/>
  <c r="AR43" i="1"/>
  <c r="BB43" i="1"/>
  <c r="BS43" i="1"/>
  <c r="IL14" i="132"/>
  <c r="AZ30" i="1"/>
  <c r="AM43" i="1"/>
  <c r="AM30" i="1"/>
  <c r="AJ43" i="1"/>
  <c r="AV43" i="1"/>
  <c r="AP30" i="1"/>
  <c r="AH43" i="1"/>
  <c r="BV102" i="1"/>
  <c r="BV112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IM19" i="132" l="1"/>
  <c r="AT84" i="1" s="1"/>
  <c r="I33" i="1"/>
  <c r="E123" i="1"/>
  <c r="X140" i="1"/>
  <c r="G75" i="1"/>
  <c r="G71" i="1"/>
  <c r="G70" i="1"/>
  <c r="U75" i="1"/>
  <c r="U71" i="1"/>
  <c r="U70" i="1"/>
  <c r="H75" i="1"/>
  <c r="H70" i="1"/>
  <c r="H71" i="1"/>
  <c r="X75" i="1"/>
  <c r="X70" i="1"/>
  <c r="X71" i="1"/>
  <c r="N75" i="1"/>
  <c r="N70" i="1"/>
  <c r="N71" i="1"/>
  <c r="T75" i="1"/>
  <c r="T70" i="1"/>
  <c r="T71" i="1"/>
  <c r="E75" i="1"/>
  <c r="E70" i="1"/>
  <c r="E71" i="1"/>
  <c r="B75" i="1"/>
  <c r="B70" i="1"/>
  <c r="B71" i="1"/>
  <c r="I75" i="1"/>
  <c r="I71" i="1"/>
  <c r="I70" i="1"/>
  <c r="U34" i="1"/>
  <c r="V34" i="1"/>
  <c r="S140" i="1"/>
  <c r="I140" i="1"/>
  <c r="J140" i="1"/>
  <c r="T140" i="1"/>
  <c r="Z34" i="1"/>
  <c r="M155" i="1"/>
  <c r="X155" i="1"/>
  <c r="R34" i="1"/>
  <c r="D140" i="1"/>
  <c r="H140" i="1"/>
  <c r="H148" i="1" s="1"/>
  <c r="L140" i="1"/>
  <c r="O140" i="1"/>
  <c r="S155" i="1"/>
  <c r="N140" i="1"/>
  <c r="N148" i="1" s="1"/>
  <c r="T155" i="1"/>
  <c r="E140" i="1"/>
  <c r="E148" i="1" s="1"/>
  <c r="U155" i="1"/>
  <c r="C140" i="1"/>
  <c r="L155" i="1"/>
  <c r="J34" i="1"/>
  <c r="E34" i="1"/>
  <c r="X34" i="1"/>
  <c r="F34" i="1"/>
  <c r="D34" i="1"/>
  <c r="K34" i="1"/>
  <c r="Q34" i="1"/>
  <c r="T34" i="1"/>
  <c r="S34" i="1"/>
  <c r="G34" i="1"/>
  <c r="Y34" i="1"/>
  <c r="V155" i="1"/>
  <c r="N34" i="1"/>
  <c r="M34" i="1"/>
  <c r="H34" i="1"/>
  <c r="L34" i="1"/>
  <c r="U140" i="1"/>
  <c r="K140" i="1"/>
  <c r="R140" i="1"/>
  <c r="V140" i="1"/>
  <c r="G140" i="1"/>
  <c r="G148" i="1" s="1"/>
  <c r="D155" i="1"/>
  <c r="II19" i="132"/>
  <c r="AP84" i="1" s="1"/>
  <c r="IH19" i="132"/>
  <c r="AO84" i="1" s="1"/>
  <c r="JO20" i="132"/>
  <c r="BV85" i="1" s="1"/>
  <c r="JP20" i="132"/>
  <c r="BW85" i="1" s="1"/>
  <c r="ID19" i="132"/>
  <c r="AK84" i="1" s="1"/>
  <c r="JD19" i="132"/>
  <c r="BK84" i="1" s="1"/>
  <c r="P140" i="1"/>
  <c r="M140" i="1"/>
  <c r="Y140" i="1"/>
  <c r="F140" i="1"/>
  <c r="O155" i="1"/>
  <c r="W155" i="1"/>
  <c r="C155" i="1"/>
  <c r="W34" i="1"/>
  <c r="Y155" i="1"/>
  <c r="Z155" i="1"/>
  <c r="P34" i="1"/>
  <c r="N155" i="1"/>
  <c r="E155" i="1"/>
  <c r="W140" i="1"/>
  <c r="K155" i="1"/>
  <c r="J155" i="1"/>
  <c r="B140" i="1"/>
  <c r="B148" i="1" s="1"/>
  <c r="I34" i="1"/>
  <c r="I155" i="1"/>
  <c r="O34" i="1"/>
  <c r="Q155" i="1"/>
  <c r="R155" i="1"/>
  <c r="Q140" i="1"/>
  <c r="P155" i="1"/>
  <c r="G155" i="1"/>
  <c r="F155" i="1"/>
  <c r="IA20" i="132"/>
  <c r="AH85" i="1" s="1"/>
  <c r="IU19" i="132"/>
  <c r="BB84" i="1" s="1"/>
  <c r="HT19" i="132"/>
  <c r="IZ19" i="132"/>
  <c r="BG84" i="1" s="1"/>
  <c r="IN19" i="132"/>
  <c r="AU84" i="1" s="1"/>
  <c r="IK20" i="132"/>
  <c r="AR85" i="1" s="1"/>
  <c r="JN19" i="132"/>
  <c r="BU84" i="1" s="1"/>
  <c r="HV14" i="132"/>
  <c r="IG19" i="132"/>
  <c r="AN84" i="1" s="1"/>
  <c r="IN20" i="132"/>
  <c r="AU85" i="1" s="1"/>
  <c r="HY20" i="132"/>
  <c r="JN20" i="132"/>
  <c r="BU85" i="1" s="1"/>
  <c r="IV20" i="132"/>
  <c r="BC85" i="1" s="1"/>
  <c r="IO19" i="132"/>
  <c r="AV84" i="1" s="1"/>
  <c r="Z140" i="1"/>
  <c r="H155" i="1"/>
  <c r="JI19" i="132"/>
  <c r="BP84" i="1" s="1"/>
  <c r="II20" i="132"/>
  <c r="AP85" i="1" s="1"/>
  <c r="IB21" i="132"/>
  <c r="AI83" i="1" s="1"/>
  <c r="IJ19" i="132"/>
  <c r="AQ84" i="1" s="1"/>
  <c r="IY20" i="132"/>
  <c r="BF85" i="1" s="1"/>
  <c r="IF19" i="132"/>
  <c r="AM84" i="1" s="1"/>
  <c r="IC19" i="132"/>
  <c r="AJ84" i="1" s="1"/>
  <c r="HX20" i="132"/>
  <c r="JB20" i="132"/>
  <c r="BI85" i="1" s="1"/>
  <c r="JG20" i="132"/>
  <c r="BN85" i="1" s="1"/>
  <c r="JJ19" i="132"/>
  <c r="BQ84" i="1" s="1"/>
  <c r="HQ19" i="132"/>
  <c r="HU19" i="132"/>
  <c r="IG20" i="132"/>
  <c r="AN85" i="1" s="1"/>
  <c r="IE20" i="132"/>
  <c r="AL85" i="1" s="1"/>
  <c r="IJ20" i="132"/>
  <c r="AQ85" i="1" s="1"/>
  <c r="O75" i="1"/>
  <c r="O70" i="1"/>
  <c r="O71" i="1"/>
  <c r="M75" i="1"/>
  <c r="M71" i="1"/>
  <c r="M70" i="1"/>
  <c r="R75" i="1"/>
  <c r="R70" i="1"/>
  <c r="R71" i="1"/>
  <c r="Y75" i="1"/>
  <c r="Y71" i="1"/>
  <c r="Y70" i="1"/>
  <c r="V75" i="1"/>
  <c r="V71" i="1"/>
  <c r="V70" i="1"/>
  <c r="L75" i="1"/>
  <c r="L71" i="1"/>
  <c r="L70" i="1"/>
  <c r="Q75" i="1"/>
  <c r="Q70" i="1"/>
  <c r="Q71" i="1"/>
  <c r="K75" i="1"/>
  <c r="K71" i="1"/>
  <c r="K70" i="1"/>
  <c r="Z75" i="1"/>
  <c r="AA76" i="1" s="1"/>
  <c r="AA74" i="1" s="1"/>
  <c r="Z70" i="1"/>
  <c r="Z71" i="1"/>
  <c r="F70" i="1"/>
  <c r="F71" i="1"/>
  <c r="P75" i="1"/>
  <c r="P70" i="1"/>
  <c r="P71" i="1"/>
  <c r="W75" i="1"/>
  <c r="W71" i="1"/>
  <c r="W70" i="1"/>
  <c r="J75" i="1"/>
  <c r="J70" i="1"/>
  <c r="J71" i="1"/>
  <c r="C71" i="1"/>
  <c r="C70" i="1"/>
  <c r="S75" i="1"/>
  <c r="S71" i="1"/>
  <c r="S70" i="1"/>
  <c r="D75" i="1"/>
  <c r="D71" i="1"/>
  <c r="D70" i="1"/>
  <c r="F75" i="1"/>
  <c r="C75" i="1"/>
  <c r="BZ122" i="1"/>
  <c r="CA122" i="1" s="1"/>
  <c r="CB122" i="1" s="1"/>
  <c r="CC122" i="1" s="1"/>
  <c r="CD122" i="1" s="1"/>
  <c r="CE122" i="1" s="1"/>
  <c r="CF122" i="1" s="1"/>
  <c r="CG122" i="1" s="1"/>
  <c r="I148" i="1" l="1"/>
  <c r="F148" i="1"/>
  <c r="P148" i="1"/>
  <c r="M148" i="1"/>
  <c r="X148" i="1"/>
  <c r="U148" i="1"/>
  <c r="O148" i="1"/>
  <c r="Y148" i="1"/>
  <c r="C148" i="1"/>
  <c r="L148" i="1"/>
  <c r="S148" i="1"/>
  <c r="T148" i="1"/>
  <c r="Q148" i="1"/>
  <c r="R148" i="1"/>
  <c r="V148" i="1"/>
  <c r="J148" i="1"/>
  <c r="W148" i="1"/>
  <c r="D148" i="1"/>
  <c r="K148" i="1"/>
  <c r="HV19" i="132"/>
  <c r="JE9" i="132"/>
  <c r="JB16" i="132" s="1"/>
  <c r="Z148" i="1"/>
  <c r="AB122" i="1"/>
  <c r="CH122" i="1"/>
  <c r="CI122" i="1" s="1"/>
  <c r="CJ122" i="1" s="1"/>
  <c r="CK122" i="1" s="1"/>
  <c r="AC122" i="1"/>
  <c r="JB21" i="132" l="1"/>
  <c r="BI83" i="1" s="1"/>
  <c r="HV16" i="132"/>
  <c r="CL122" i="1"/>
  <c r="CM122" i="1" s="1"/>
  <c r="CN122" i="1" s="1"/>
  <c r="CO122" i="1" s="1"/>
  <c r="AE122" i="1" s="1"/>
  <c r="AD122" i="1"/>
  <c r="JI16" i="132" l="1"/>
  <c r="HV15" i="132" l="1"/>
  <c r="BM31" i="1"/>
  <c r="BF31" i="1"/>
  <c r="HV20" i="132" l="1"/>
  <c r="IL15" i="132"/>
  <c r="V84" i="1"/>
  <c r="D85" i="1"/>
  <c r="R85" i="1"/>
  <c r="L83" i="1"/>
  <c r="C83" i="1"/>
  <c r="F85" i="1"/>
  <c r="L84" i="1"/>
  <c r="P83" i="1"/>
  <c r="Y84" i="1"/>
  <c r="I85" i="1"/>
  <c r="J83" i="1"/>
  <c r="E83" i="1"/>
  <c r="Q84" i="1"/>
  <c r="V85" i="1"/>
  <c r="P84" i="1"/>
  <c r="B85" i="1"/>
  <c r="Y83" i="1"/>
  <c r="U83" i="1"/>
  <c r="O84" i="1"/>
  <c r="M85" i="1"/>
  <c r="Z85" i="1"/>
  <c r="K83" i="1"/>
  <c r="K84" i="1"/>
  <c r="H83" i="1"/>
  <c r="M84" i="1"/>
  <c r="V83" i="1"/>
  <c r="T85" i="1"/>
  <c r="D15" i="1"/>
  <c r="X84" i="1"/>
  <c r="X85" i="1"/>
  <c r="D17" i="1"/>
  <c r="R84" i="1"/>
  <c r="N84" i="1"/>
  <c r="Z83" i="1"/>
  <c r="E84" i="1"/>
  <c r="S83" i="1"/>
  <c r="W83" i="1"/>
  <c r="L85" i="1"/>
  <c r="T84" i="1"/>
  <c r="J85" i="1"/>
  <c r="O83" i="1"/>
  <c r="D83" i="1"/>
  <c r="S84" i="1"/>
  <c r="U85" i="1"/>
  <c r="I84" i="1"/>
  <c r="G84" i="1"/>
  <c r="C85" i="1"/>
  <c r="B83" i="1"/>
  <c r="B91" i="1" s="1"/>
  <c r="F84" i="1"/>
  <c r="W85" i="1"/>
  <c r="Z84" i="1"/>
  <c r="U84" i="1"/>
  <c r="Q83" i="1"/>
  <c r="Q85" i="1"/>
  <c r="G83" i="1"/>
  <c r="M83" i="1"/>
  <c r="S85" i="1"/>
  <c r="R83" i="1"/>
  <c r="F83" i="1"/>
  <c r="X83" i="1"/>
  <c r="Y85" i="1"/>
  <c r="N83" i="1"/>
  <c r="W84" i="1"/>
  <c r="P85" i="1"/>
  <c r="D24" i="1"/>
  <c r="J84" i="1"/>
  <c r="H84" i="1"/>
  <c r="H85" i="1"/>
  <c r="C84" i="1"/>
  <c r="G85" i="1"/>
  <c r="I83" i="1"/>
  <c r="N85" i="1"/>
  <c r="D84" i="1"/>
  <c r="K85" i="1"/>
  <c r="T83" i="1"/>
  <c r="D22" i="1"/>
  <c r="O85" i="1"/>
  <c r="E85" i="1"/>
  <c r="B84" i="1"/>
  <c r="BV31" i="1"/>
  <c r="HP16" i="132" l="1"/>
  <c r="AT135" i="1"/>
  <c r="AT138" i="1"/>
  <c r="AT136" i="1"/>
  <c r="AT147" i="1"/>
  <c r="AT113" i="1"/>
  <c r="AT130" i="1"/>
  <c r="AT129" i="1"/>
  <c r="AT107" i="1"/>
  <c r="AT137" i="1"/>
  <c r="AT146" i="1"/>
  <c r="AT142" i="1"/>
  <c r="AT125" i="1"/>
  <c r="AT143" i="1"/>
  <c r="AT128" i="1"/>
  <c r="AT127" i="1"/>
  <c r="AT112" i="1"/>
  <c r="AT120" i="1"/>
  <c r="AT119" i="1"/>
  <c r="AT134" i="1"/>
  <c r="AT132" i="1"/>
  <c r="AT133" i="1"/>
  <c r="AT102" i="1"/>
  <c r="AT105" i="1"/>
  <c r="AT104" i="1"/>
  <c r="AT98" i="1"/>
  <c r="AT97" i="1"/>
  <c r="BC122" i="1"/>
  <c r="AU146" i="1"/>
  <c r="AU136" i="1"/>
  <c r="AU147" i="1"/>
  <c r="AU137" i="1"/>
  <c r="AU107" i="1"/>
  <c r="AU138" i="1"/>
  <c r="AU130" i="1"/>
  <c r="AU143" i="1"/>
  <c r="AU135" i="1"/>
  <c r="AU113" i="1"/>
  <c r="AU129" i="1"/>
  <c r="AU128" i="1"/>
  <c r="AU127" i="1"/>
  <c r="AU112" i="1"/>
  <c r="AU120" i="1"/>
  <c r="AU142" i="1"/>
  <c r="AU125" i="1"/>
  <c r="AU119" i="1"/>
  <c r="AU132" i="1"/>
  <c r="AU133" i="1"/>
  <c r="AU134" i="1"/>
  <c r="AU105" i="1"/>
  <c r="AU104" i="1"/>
  <c r="AU102" i="1"/>
  <c r="AU98" i="1"/>
  <c r="AU97" i="1"/>
  <c r="AN138" i="1"/>
  <c r="AN136" i="1"/>
  <c r="AN147" i="1"/>
  <c r="AN130" i="1"/>
  <c r="AN113" i="1"/>
  <c r="AN137" i="1"/>
  <c r="AN135" i="1"/>
  <c r="AN146" i="1"/>
  <c r="AN107" i="1"/>
  <c r="AN143" i="1"/>
  <c r="AN129" i="1"/>
  <c r="AN125" i="1"/>
  <c r="AN128" i="1"/>
  <c r="AN127" i="1"/>
  <c r="AN112" i="1"/>
  <c r="AN142" i="1"/>
  <c r="AN120" i="1"/>
  <c r="AN134" i="1"/>
  <c r="AN133" i="1"/>
  <c r="AN119" i="1"/>
  <c r="AN122" i="1"/>
  <c r="AN132" i="1"/>
  <c r="AN105" i="1"/>
  <c r="AN102" i="1"/>
  <c r="AN98" i="1"/>
  <c r="AN104" i="1"/>
  <c r="AN97" i="1"/>
  <c r="BU122" i="1"/>
  <c r="BV122" i="1" s="1"/>
  <c r="BL122" i="1"/>
  <c r="BG122" i="1"/>
  <c r="AM138" i="1"/>
  <c r="AM136" i="1"/>
  <c r="AM147" i="1"/>
  <c r="AM137" i="1"/>
  <c r="AM146" i="1"/>
  <c r="AM107" i="1"/>
  <c r="AM130" i="1"/>
  <c r="AM143" i="1"/>
  <c r="AM129" i="1"/>
  <c r="AM135" i="1"/>
  <c r="AM113" i="1"/>
  <c r="AM125" i="1"/>
  <c r="AM128" i="1"/>
  <c r="AM127" i="1"/>
  <c r="AM112" i="1"/>
  <c r="AM142" i="1"/>
  <c r="AM120" i="1"/>
  <c r="AM132" i="1"/>
  <c r="AM119" i="1"/>
  <c r="AM134" i="1"/>
  <c r="AM105" i="1"/>
  <c r="AM104" i="1"/>
  <c r="AM133" i="1"/>
  <c r="AM102" i="1"/>
  <c r="AM98" i="1"/>
  <c r="AM97" i="1"/>
  <c r="BF122" i="1"/>
  <c r="AK137" i="1"/>
  <c r="AK107" i="1"/>
  <c r="AK146" i="1"/>
  <c r="AK138" i="1"/>
  <c r="AK136" i="1"/>
  <c r="AK147" i="1"/>
  <c r="AK135" i="1"/>
  <c r="AK113" i="1"/>
  <c r="AK154" i="1" s="1"/>
  <c r="AK130" i="1"/>
  <c r="AK143" i="1"/>
  <c r="AK128" i="1"/>
  <c r="AK129" i="1"/>
  <c r="AK142" i="1"/>
  <c r="AK125" i="1"/>
  <c r="AK127" i="1"/>
  <c r="AK112" i="1"/>
  <c r="AK119" i="1"/>
  <c r="AK120" i="1"/>
  <c r="AK102" i="1"/>
  <c r="AK132" i="1"/>
  <c r="AK133" i="1"/>
  <c r="AK134" i="1"/>
  <c r="AK104" i="1"/>
  <c r="AK98" i="1"/>
  <c r="AK105" i="1"/>
  <c r="AK97" i="1"/>
  <c r="BE122" i="1"/>
  <c r="AW122" i="1"/>
  <c r="BT122" i="1"/>
  <c r="AH138" i="1"/>
  <c r="AH136" i="1"/>
  <c r="AH113" i="1"/>
  <c r="AH143" i="1"/>
  <c r="AH147" i="1"/>
  <c r="AH135" i="1"/>
  <c r="AH137" i="1"/>
  <c r="AH146" i="1"/>
  <c r="AH107" i="1"/>
  <c r="AH129" i="1"/>
  <c r="AH142" i="1"/>
  <c r="AH130" i="1"/>
  <c r="AH120" i="1"/>
  <c r="AH112" i="1"/>
  <c r="AH128" i="1"/>
  <c r="AH127" i="1"/>
  <c r="AH125" i="1"/>
  <c r="AH119" i="1"/>
  <c r="AH134" i="1"/>
  <c r="AH133" i="1"/>
  <c r="AH105" i="1"/>
  <c r="AH132" i="1"/>
  <c r="AH104" i="1"/>
  <c r="AH102" i="1"/>
  <c r="AH98" i="1"/>
  <c r="AH97" i="1"/>
  <c r="AJ147" i="1"/>
  <c r="AJ135" i="1"/>
  <c r="AJ137" i="1"/>
  <c r="AJ146" i="1"/>
  <c r="AJ107" i="1"/>
  <c r="AJ138" i="1"/>
  <c r="AJ136" i="1"/>
  <c r="AJ113" i="1"/>
  <c r="AJ130" i="1"/>
  <c r="AJ143" i="1"/>
  <c r="AJ127" i="1"/>
  <c r="AJ112" i="1"/>
  <c r="AJ129" i="1"/>
  <c r="AJ128" i="1"/>
  <c r="AJ142" i="1"/>
  <c r="AJ125" i="1"/>
  <c r="AJ119" i="1"/>
  <c r="AJ120" i="1"/>
  <c r="AJ122" i="1"/>
  <c r="AJ132" i="1"/>
  <c r="AJ133" i="1"/>
  <c r="AJ134" i="1"/>
  <c r="AJ104" i="1"/>
  <c r="AJ102" i="1"/>
  <c r="AJ98" i="1"/>
  <c r="AJ105" i="1"/>
  <c r="AJ97" i="1"/>
  <c r="AI147" i="1"/>
  <c r="AI137" i="1"/>
  <c r="AI146" i="1"/>
  <c r="AI107" i="1"/>
  <c r="AI129" i="1"/>
  <c r="AI138" i="1"/>
  <c r="AI136" i="1"/>
  <c r="AI130" i="1"/>
  <c r="AI135" i="1"/>
  <c r="AI113" i="1"/>
  <c r="AI143" i="1"/>
  <c r="AI128" i="1"/>
  <c r="AI127" i="1"/>
  <c r="AI112" i="1"/>
  <c r="AI142" i="1"/>
  <c r="AI125" i="1"/>
  <c r="AI122" i="1"/>
  <c r="AI119" i="1"/>
  <c r="AI134" i="1"/>
  <c r="AI120" i="1"/>
  <c r="AI132" i="1"/>
  <c r="AI133" i="1"/>
  <c r="AI105" i="1"/>
  <c r="AI104" i="1"/>
  <c r="AI102" i="1"/>
  <c r="AI98" i="1"/>
  <c r="AI97" i="1"/>
  <c r="AZ122" i="1"/>
  <c r="AP147" i="1"/>
  <c r="AP143" i="1"/>
  <c r="AP137" i="1"/>
  <c r="AP130" i="1"/>
  <c r="AP107" i="1"/>
  <c r="AP113" i="1"/>
  <c r="AP146" i="1"/>
  <c r="AP135" i="1"/>
  <c r="AP138" i="1"/>
  <c r="AP136" i="1"/>
  <c r="AP142" i="1"/>
  <c r="AP129" i="1"/>
  <c r="AP112" i="1"/>
  <c r="AP128" i="1"/>
  <c r="AP127" i="1"/>
  <c r="AP119" i="1"/>
  <c r="AP125" i="1"/>
  <c r="AP120" i="1"/>
  <c r="AP105" i="1"/>
  <c r="AP132" i="1"/>
  <c r="AP133" i="1"/>
  <c r="AP134" i="1"/>
  <c r="AP104" i="1"/>
  <c r="AP102" i="1"/>
  <c r="AP98" i="1"/>
  <c r="AP97" i="1"/>
  <c r="BI122" i="1"/>
  <c r="BP122" i="1"/>
  <c r="AL107" i="1"/>
  <c r="AL146" i="1"/>
  <c r="AL138" i="1"/>
  <c r="AL136" i="1"/>
  <c r="AL147" i="1"/>
  <c r="AL113" i="1"/>
  <c r="AL137" i="1"/>
  <c r="AL135" i="1"/>
  <c r="AL130" i="1"/>
  <c r="AL120" i="1"/>
  <c r="AL142" i="1"/>
  <c r="AL143" i="1"/>
  <c r="AL129" i="1"/>
  <c r="AL125" i="1"/>
  <c r="AL128" i="1"/>
  <c r="AL127" i="1"/>
  <c r="AL119" i="1"/>
  <c r="AL112" i="1"/>
  <c r="AL132" i="1"/>
  <c r="AL133" i="1"/>
  <c r="AL134" i="1"/>
  <c r="AL104" i="1"/>
  <c r="AL102" i="1"/>
  <c r="AL105" i="1"/>
  <c r="AL98" i="1"/>
  <c r="AL97" i="1"/>
  <c r="BA122" i="1"/>
  <c r="AS146" i="1"/>
  <c r="AS135" i="1"/>
  <c r="AS138" i="1"/>
  <c r="AS136" i="1"/>
  <c r="AS147" i="1"/>
  <c r="AS137" i="1"/>
  <c r="AS107" i="1"/>
  <c r="AS128" i="1"/>
  <c r="AS113" i="1"/>
  <c r="AS143" i="1"/>
  <c r="AS130" i="1"/>
  <c r="AS129" i="1"/>
  <c r="AS142" i="1"/>
  <c r="AS125" i="1"/>
  <c r="AS112" i="1"/>
  <c r="AS127" i="1"/>
  <c r="AS120" i="1"/>
  <c r="AS133" i="1"/>
  <c r="AS122" i="1"/>
  <c r="AS119" i="1"/>
  <c r="AS134" i="1"/>
  <c r="AS132" i="1"/>
  <c r="AS105" i="1"/>
  <c r="AS104" i="1"/>
  <c r="AS102" i="1"/>
  <c r="AS98" i="1"/>
  <c r="AS97" i="1"/>
  <c r="AR137" i="1"/>
  <c r="AR146" i="1"/>
  <c r="AR107" i="1"/>
  <c r="AR113" i="1"/>
  <c r="AR135" i="1"/>
  <c r="AR138" i="1"/>
  <c r="AR136" i="1"/>
  <c r="AR147" i="1"/>
  <c r="AR130" i="1"/>
  <c r="AR129" i="1"/>
  <c r="AR128" i="1"/>
  <c r="AR127" i="1"/>
  <c r="AR143" i="1"/>
  <c r="AR125" i="1"/>
  <c r="AR119" i="1"/>
  <c r="AR142" i="1"/>
  <c r="AR112" i="1"/>
  <c r="AR120" i="1"/>
  <c r="AR122" i="1"/>
  <c r="AR133" i="1"/>
  <c r="AR134" i="1"/>
  <c r="AR98" i="1"/>
  <c r="AR132" i="1"/>
  <c r="AR104" i="1"/>
  <c r="AR102" i="1"/>
  <c r="AR105" i="1"/>
  <c r="AR97" i="1"/>
  <c r="AV122" i="1"/>
  <c r="AO136" i="1"/>
  <c r="AO146" i="1"/>
  <c r="AO147" i="1"/>
  <c r="AO137" i="1"/>
  <c r="AO107" i="1"/>
  <c r="AO138" i="1"/>
  <c r="AO143" i="1"/>
  <c r="AO135" i="1"/>
  <c r="AO113" i="1"/>
  <c r="AO128" i="1"/>
  <c r="AO130" i="1"/>
  <c r="AO129" i="1"/>
  <c r="AO142" i="1"/>
  <c r="AO112" i="1"/>
  <c r="AO127" i="1"/>
  <c r="AO125" i="1"/>
  <c r="AO119" i="1"/>
  <c r="AO122" i="1"/>
  <c r="AO120" i="1"/>
  <c r="AO132" i="1"/>
  <c r="AO133" i="1"/>
  <c r="AO134" i="1"/>
  <c r="AO105" i="1"/>
  <c r="AO98" i="1"/>
  <c r="AO104" i="1"/>
  <c r="AO102" i="1"/>
  <c r="AO97" i="1"/>
  <c r="BH122" i="1"/>
  <c r="AQ137" i="1"/>
  <c r="AQ146" i="1"/>
  <c r="AQ107" i="1"/>
  <c r="AQ138" i="1"/>
  <c r="AQ136" i="1"/>
  <c r="AQ147" i="1"/>
  <c r="AQ129" i="1"/>
  <c r="AQ130" i="1"/>
  <c r="AQ112" i="1"/>
  <c r="AQ135" i="1"/>
  <c r="AQ113" i="1"/>
  <c r="AQ143" i="1"/>
  <c r="AQ128" i="1"/>
  <c r="AQ127" i="1"/>
  <c r="AQ125" i="1"/>
  <c r="AQ142" i="1"/>
  <c r="AQ119" i="1"/>
  <c r="AQ120" i="1"/>
  <c r="AQ132" i="1"/>
  <c r="AQ133" i="1"/>
  <c r="AQ134" i="1"/>
  <c r="AQ102" i="1"/>
  <c r="AQ104" i="1"/>
  <c r="AQ105" i="1"/>
  <c r="AQ98" i="1"/>
  <c r="AQ97" i="1"/>
  <c r="BN122" i="1"/>
  <c r="BD122" i="1"/>
  <c r="BM122" i="1"/>
  <c r="Q76" i="1"/>
  <c r="P76" i="1"/>
  <c r="P74" i="1" s="1"/>
  <c r="I100" i="1"/>
  <c r="I152" i="1" s="1"/>
  <c r="X100" i="1"/>
  <c r="X152" i="1" s="1"/>
  <c r="U100" i="1"/>
  <c r="U152" i="1" s="1"/>
  <c r="L100" i="1"/>
  <c r="L152" i="1" s="1"/>
  <c r="Z100" i="1"/>
  <c r="Z152" i="1" s="1"/>
  <c r="K100" i="1"/>
  <c r="B100" i="1"/>
  <c r="B152" i="1" s="1"/>
  <c r="T100" i="1"/>
  <c r="T152" i="1" s="1"/>
  <c r="E100" i="1"/>
  <c r="E152" i="1" s="1"/>
  <c r="V76" i="1"/>
  <c r="Z76" i="1"/>
  <c r="H76" i="1"/>
  <c r="R76" i="1"/>
  <c r="J100" i="1"/>
  <c r="U76" i="1"/>
  <c r="E41" i="1"/>
  <c r="R100" i="1"/>
  <c r="R152" i="1" s="1"/>
  <c r="P100" i="1"/>
  <c r="P152" i="1" s="1"/>
  <c r="D100" i="1"/>
  <c r="D152" i="1" s="1"/>
  <c r="O100" i="1"/>
  <c r="O152" i="1" s="1"/>
  <c r="Y100" i="1"/>
  <c r="Y152" i="1" s="1"/>
  <c r="V100" i="1"/>
  <c r="V152" i="1" s="1"/>
  <c r="G100" i="1"/>
  <c r="G152" i="1" s="1"/>
  <c r="C100" i="1"/>
  <c r="C152" i="1" s="1"/>
  <c r="D20" i="1"/>
  <c r="M100" i="1"/>
  <c r="H100" i="1"/>
  <c r="H152" i="1" s="1"/>
  <c r="F100" i="1"/>
  <c r="F152" i="1" s="1"/>
  <c r="W100" i="1"/>
  <c r="W152" i="1" s="1"/>
  <c r="D14" i="1"/>
  <c r="D16" i="1" s="1"/>
  <c r="D19" i="1" s="1"/>
  <c r="B31" i="1"/>
  <c r="B33" i="1" s="1"/>
  <c r="C34" i="1" s="1"/>
  <c r="N100" i="1"/>
  <c r="N152" i="1" s="1"/>
  <c r="E76" i="1"/>
  <c r="E74" i="1" s="1"/>
  <c r="Q100" i="1"/>
  <c r="Q152" i="1" s="1"/>
  <c r="P41" i="1"/>
  <c r="S100" i="1"/>
  <c r="S152" i="1" s="1"/>
  <c r="Y76" i="1"/>
  <c r="W76" i="1"/>
  <c r="X76" i="1"/>
  <c r="F76" i="1"/>
  <c r="G76" i="1"/>
  <c r="CA83" i="1"/>
  <c r="JM14" i="132" l="1"/>
  <c r="AN114" i="1"/>
  <c r="AN75" i="1" s="1"/>
  <c r="AK122" i="1"/>
  <c r="AK123" i="1" s="1"/>
  <c r="BR122" i="1"/>
  <c r="BK122" i="1"/>
  <c r="BQ122" i="1"/>
  <c r="AY122" i="1"/>
  <c r="BJ122" i="1"/>
  <c r="AT122" i="1"/>
  <c r="AT123" i="1" s="1"/>
  <c r="AU122" i="1"/>
  <c r="AU123" i="1" s="1"/>
  <c r="AP122" i="1"/>
  <c r="AP123" i="1" s="1"/>
  <c r="AL122" i="1"/>
  <c r="AL123" i="1" s="1"/>
  <c r="BS122" i="1"/>
  <c r="AX122" i="1"/>
  <c r="AM122" i="1"/>
  <c r="AM123" i="1" s="1"/>
  <c r="AH122" i="1"/>
  <c r="AH123" i="1" s="1"/>
  <c r="BB122" i="1"/>
  <c r="AQ122" i="1"/>
  <c r="AQ123" i="1" s="1"/>
  <c r="BO122" i="1"/>
  <c r="AN70" i="1"/>
  <c r="AO144" i="1"/>
  <c r="AQ154" i="1"/>
  <c r="AR154" i="1"/>
  <c r="AM156" i="1"/>
  <c r="AM114" i="1"/>
  <c r="AK144" i="1"/>
  <c r="AL154" i="1"/>
  <c r="AO154" i="1"/>
  <c r="AI144" i="1"/>
  <c r="AH144" i="1"/>
  <c r="AQ131" i="1"/>
  <c r="AO131" i="1"/>
  <c r="AR114" i="1"/>
  <c r="AJ144" i="1"/>
  <c r="AM131" i="1"/>
  <c r="AN131" i="1"/>
  <c r="AR144" i="1"/>
  <c r="AR123" i="1"/>
  <c r="AP114" i="1"/>
  <c r="AK156" i="1"/>
  <c r="AU144" i="1"/>
  <c r="AO123" i="1"/>
  <c r="AR139" i="1"/>
  <c r="AS114" i="1"/>
  <c r="AL139" i="1"/>
  <c r="AH131" i="1"/>
  <c r="AM144" i="1"/>
  <c r="AS156" i="1"/>
  <c r="AP156" i="1"/>
  <c r="AK139" i="1"/>
  <c r="AT144" i="1"/>
  <c r="AI114" i="1"/>
  <c r="AI123" i="1"/>
  <c r="AI131" i="1"/>
  <c r="AN139" i="1"/>
  <c r="AO139" i="1"/>
  <c r="AS139" i="1"/>
  <c r="AQ144" i="1"/>
  <c r="AO156" i="1"/>
  <c r="AL156" i="1"/>
  <c r="AI139" i="1"/>
  <c r="AU139" i="1"/>
  <c r="AT114" i="1"/>
  <c r="AQ139" i="1"/>
  <c r="AR156" i="1"/>
  <c r="AS131" i="1"/>
  <c r="AL114" i="1"/>
  <c r="AL144" i="1"/>
  <c r="AH139" i="1"/>
  <c r="AM154" i="1"/>
  <c r="AN154" i="1"/>
  <c r="AT131" i="1"/>
  <c r="AQ114" i="1"/>
  <c r="AO114" i="1"/>
  <c r="AS123" i="1"/>
  <c r="AS154" i="1"/>
  <c r="AP139" i="1"/>
  <c r="AP144" i="1"/>
  <c r="AP154" i="1"/>
  <c r="AJ123" i="1"/>
  <c r="AJ114" i="1"/>
  <c r="AK114" i="1"/>
  <c r="AN123" i="1"/>
  <c r="AT139" i="1"/>
  <c r="AQ156" i="1"/>
  <c r="AR131" i="1"/>
  <c r="AS144" i="1"/>
  <c r="AL131" i="1"/>
  <c r="AP131" i="1"/>
  <c r="AJ139" i="1"/>
  <c r="AJ131" i="1"/>
  <c r="AH114" i="1"/>
  <c r="AK131" i="1"/>
  <c r="AN144" i="1"/>
  <c r="AN156" i="1"/>
  <c r="AU114" i="1"/>
  <c r="AM139" i="1"/>
  <c r="AU131" i="1"/>
  <c r="E44" i="1"/>
  <c r="E46" i="1" s="1"/>
  <c r="E50" i="1" s="1"/>
  <c r="P44" i="1"/>
  <c r="P46" i="1" s="1"/>
  <c r="P50" i="1" s="1"/>
  <c r="BU132" i="1"/>
  <c r="BV132" i="1" s="1"/>
  <c r="BS143" i="1"/>
  <c r="BJ125" i="1"/>
  <c r="BI136" i="1"/>
  <c r="BF97" i="1"/>
  <c r="BH132" i="1"/>
  <c r="BF125" i="1"/>
  <c r="BT133" i="1"/>
  <c r="BA136" i="1"/>
  <c r="BF104" i="1"/>
  <c r="BH136" i="1"/>
  <c r="BM136" i="1"/>
  <c r="BS98" i="1"/>
  <c r="BN105" i="1"/>
  <c r="BC134" i="1"/>
  <c r="BT132" i="1"/>
  <c r="BL105" i="1"/>
  <c r="AT154" i="1"/>
  <c r="AV104" i="1"/>
  <c r="BR97" i="1"/>
  <c r="BD133" i="1"/>
  <c r="BT147" i="1"/>
  <c r="BB137" i="1"/>
  <c r="BM127" i="1"/>
  <c r="BK133" i="1"/>
  <c r="BB136" i="1"/>
  <c r="BQ143" i="1"/>
  <c r="BR128" i="1"/>
  <c r="BH97" i="1"/>
  <c r="BD130" i="1"/>
  <c r="BU105" i="1"/>
  <c r="BB129" i="1"/>
  <c r="BL143" i="1"/>
  <c r="AY146" i="1"/>
  <c r="BU134" i="1"/>
  <c r="BV134" i="1" s="1"/>
  <c r="AV136" i="1"/>
  <c r="AZ128" i="1"/>
  <c r="BH105" i="1"/>
  <c r="BR102" i="1"/>
  <c r="BB104" i="1"/>
  <c r="BG120" i="1"/>
  <c r="BF129" i="1"/>
  <c r="AV120" i="1"/>
  <c r="AZ107" i="1"/>
  <c r="BM112" i="1"/>
  <c r="BM129" i="1"/>
  <c r="AZ143" i="1"/>
  <c r="BI129" i="1"/>
  <c r="BL135" i="1"/>
  <c r="BE129" i="1"/>
  <c r="AW104" i="1"/>
  <c r="BN146" i="1"/>
  <c r="BH113" i="1"/>
  <c r="BK138" i="1"/>
  <c r="BR104" i="1"/>
  <c r="BF146" i="1"/>
  <c r="BH104" i="1"/>
  <c r="BD146" i="1"/>
  <c r="AZ132" i="1"/>
  <c r="BM97" i="1"/>
  <c r="BK105" i="1"/>
  <c r="BG125" i="1"/>
  <c r="BP127" i="1"/>
  <c r="BU130" i="1"/>
  <c r="BV130" i="1" s="1"/>
  <c r="BH137" i="1"/>
  <c r="BM147" i="1"/>
  <c r="BB127" i="1"/>
  <c r="BT137" i="1"/>
  <c r="AY107" i="1"/>
  <c r="BD143" i="1"/>
  <c r="BH142" i="1"/>
  <c r="BC104" i="1"/>
  <c r="BF105" i="1"/>
  <c r="BE146" i="1"/>
  <c r="BO132" i="1"/>
  <c r="BI133" i="1"/>
  <c r="BP102" i="1"/>
  <c r="BO128" i="1"/>
  <c r="AX112" i="1"/>
  <c r="AZ147" i="1"/>
  <c r="BQ129" i="1"/>
  <c r="BG102" i="1"/>
  <c r="AX133" i="1"/>
  <c r="BB107" i="1"/>
  <c r="BA97" i="1"/>
  <c r="BA125" i="1"/>
  <c r="BU142" i="1"/>
  <c r="BV142" i="1" s="1"/>
  <c r="BQ132" i="1"/>
  <c r="BS129" i="1"/>
  <c r="AW102" i="1"/>
  <c r="BN119" i="1"/>
  <c r="BC105" i="1"/>
  <c r="AY137" i="1"/>
  <c r="BJ128" i="1"/>
  <c r="BJ104" i="1"/>
  <c r="BH125" i="1"/>
  <c r="BT130" i="1"/>
  <c r="BO146" i="1"/>
  <c r="BK97" i="1"/>
  <c r="AY127" i="1"/>
  <c r="BA113" i="1"/>
  <c r="BJ138" i="1"/>
  <c r="AV146" i="1"/>
  <c r="BT146" i="1"/>
  <c r="BB102" i="1"/>
  <c r="BB98" i="1"/>
  <c r="BP105" i="1"/>
  <c r="BC138" i="1"/>
  <c r="BO105" i="1"/>
  <c r="BG146" i="1"/>
  <c r="AW138" i="1"/>
  <c r="BA128" i="1"/>
  <c r="BA120" i="1"/>
  <c r="BR129" i="1"/>
  <c r="AZ104" i="1"/>
  <c r="AY135" i="1"/>
  <c r="BT138" i="1"/>
  <c r="BR119" i="1"/>
  <c r="BB132" i="1"/>
  <c r="BD105" i="1"/>
  <c r="BG112" i="1"/>
  <c r="AZ142" i="1"/>
  <c r="BU127" i="1"/>
  <c r="BV127" i="1" s="1"/>
  <c r="AW143" i="1"/>
  <c r="BQ102" i="1"/>
  <c r="BP107" i="1"/>
  <c r="AX97" i="1"/>
  <c r="BI137" i="1"/>
  <c r="AW129" i="1"/>
  <c r="BA133" i="1"/>
  <c r="BP147" i="1"/>
  <c r="BB147" i="1"/>
  <c r="BB134" i="1"/>
  <c r="BM107" i="1"/>
  <c r="BR146" i="1"/>
  <c r="AX142" i="1"/>
  <c r="BF137" i="1"/>
  <c r="BG98" i="1"/>
  <c r="BQ104" i="1"/>
  <c r="BA105" i="1"/>
  <c r="BJ133" i="1"/>
  <c r="BU125" i="1"/>
  <c r="BV125" i="1" s="1"/>
  <c r="AX147" i="1"/>
  <c r="BD120" i="1"/>
  <c r="BG133" i="1"/>
  <c r="BT98" i="1"/>
  <c r="BE138" i="1"/>
  <c r="BQ120" i="1"/>
  <c r="BN112" i="1"/>
  <c r="BQ130" i="1"/>
  <c r="AW119" i="1"/>
  <c r="BO147" i="1"/>
  <c r="BI97" i="1"/>
  <c r="BF134" i="1"/>
  <c r="AV137" i="1"/>
  <c r="AY112" i="1"/>
  <c r="BA104" i="1"/>
  <c r="BO143" i="1"/>
  <c r="BD127" i="1"/>
  <c r="BO136" i="1"/>
  <c r="BD112" i="1"/>
  <c r="BO137" i="1"/>
  <c r="BA119" i="1"/>
  <c r="BH134" i="1"/>
  <c r="AX119" i="1"/>
  <c r="BQ147" i="1"/>
  <c r="AV125" i="1"/>
  <c r="AV135" i="1"/>
  <c r="BE147" i="1"/>
  <c r="BA127" i="1"/>
  <c r="BM143" i="1"/>
  <c r="BR143" i="1"/>
  <c r="BD137" i="1"/>
  <c r="BI104" i="1"/>
  <c r="AV127" i="1"/>
  <c r="BA98" i="1"/>
  <c r="BM105" i="1"/>
  <c r="BJ146" i="1"/>
  <c r="BK136" i="1"/>
  <c r="AY136" i="1"/>
  <c r="BN130" i="1"/>
  <c r="BG142" i="1"/>
  <c r="BN137" i="1"/>
  <c r="BO138" i="1"/>
  <c r="BO97" i="1"/>
  <c r="BF136" i="1"/>
  <c r="AV112" i="1"/>
  <c r="BM130" i="1"/>
  <c r="BL129" i="1"/>
  <c r="BK137" i="1"/>
  <c r="BH133" i="1"/>
  <c r="BP125" i="1"/>
  <c r="AZ120" i="1"/>
  <c r="BI112" i="1"/>
  <c r="BK147" i="1"/>
  <c r="BJ137" i="1"/>
  <c r="BA134" i="1"/>
  <c r="BF132" i="1"/>
  <c r="BS104" i="1"/>
  <c r="BQ105" i="1"/>
  <c r="BR136" i="1"/>
  <c r="BE135" i="1"/>
  <c r="BS127" i="1"/>
  <c r="BK142" i="1"/>
  <c r="BC132" i="1"/>
  <c r="AW98" i="1"/>
  <c r="BQ98" i="1"/>
  <c r="BQ146" i="1"/>
  <c r="BU129" i="1"/>
  <c r="BV129" i="1" s="1"/>
  <c r="BE120" i="1"/>
  <c r="AZ125" i="1"/>
  <c r="BF127" i="1"/>
  <c r="BE142" i="1"/>
  <c r="BI132" i="1"/>
  <c r="AV138" i="1"/>
  <c r="AX129" i="1"/>
  <c r="AZ133" i="1"/>
  <c r="AZ102" i="1"/>
  <c r="BR134" i="1"/>
  <c r="BE102" i="1"/>
  <c r="AY125" i="1"/>
  <c r="AU154" i="1"/>
  <c r="BK128" i="1"/>
  <c r="BE137" i="1"/>
  <c r="BB112" i="1"/>
  <c r="BT102" i="1"/>
  <c r="BC135" i="1"/>
  <c r="BM137" i="1"/>
  <c r="BF143" i="1"/>
  <c r="BL98" i="1"/>
  <c r="BJ132" i="1"/>
  <c r="BQ107" i="1"/>
  <c r="BA107" i="1"/>
  <c r="BG137" i="1"/>
  <c r="BF113" i="1"/>
  <c r="BN107" i="1"/>
  <c r="AW113" i="1"/>
  <c r="AW154" i="1" s="1"/>
  <c r="BO119" i="1"/>
  <c r="BA132" i="1"/>
  <c r="BC112" i="1"/>
  <c r="BE107" i="1"/>
  <c r="BP113" i="1"/>
  <c r="BI142" i="1"/>
  <c r="BJ112" i="1"/>
  <c r="BH146" i="1"/>
  <c r="BO107" i="1"/>
  <c r="AV143" i="1"/>
  <c r="BN113" i="1"/>
  <c r="BA147" i="1"/>
  <c r="BS102" i="1"/>
  <c r="BK102" i="1"/>
  <c r="BL136" i="1"/>
  <c r="BH128" i="1"/>
  <c r="BQ112" i="1"/>
  <c r="BC128" i="1"/>
  <c r="BJ113" i="1"/>
  <c r="BL130" i="1"/>
  <c r="BG143" i="1"/>
  <c r="BL102" i="1"/>
  <c r="BJ136" i="1"/>
  <c r="BM102" i="1"/>
  <c r="BQ97" i="1"/>
  <c r="AZ134" i="1"/>
  <c r="AX132" i="1"/>
  <c r="BP143" i="1"/>
  <c r="BN129" i="1"/>
  <c r="BC102" i="1"/>
  <c r="BU136" i="1"/>
  <c r="BV136" i="1" s="1"/>
  <c r="AZ136" i="1"/>
  <c r="BO102" i="1"/>
  <c r="BQ119" i="1"/>
  <c r="BC107" i="1"/>
  <c r="BU128" i="1"/>
  <c r="BV128" i="1" s="1"/>
  <c r="BK143" i="1"/>
  <c r="AW146" i="1"/>
  <c r="BG104" i="1"/>
  <c r="BM125" i="1"/>
  <c r="BU119" i="1"/>
  <c r="BV119" i="1" s="1"/>
  <c r="BV123" i="1" s="1"/>
  <c r="BR113" i="1"/>
  <c r="BN127" i="1"/>
  <c r="BN135" i="1"/>
  <c r="AY113" i="1"/>
  <c r="BK135" i="1"/>
  <c r="BF112" i="1"/>
  <c r="BN125" i="1"/>
  <c r="AZ127" i="1"/>
  <c r="BD129" i="1"/>
  <c r="BM128" i="1"/>
  <c r="AY132" i="1"/>
  <c r="BK98" i="1"/>
  <c r="BP119" i="1"/>
  <c r="BF142" i="1"/>
  <c r="AV129" i="1"/>
  <c r="BN142" i="1"/>
  <c r="BF102" i="1"/>
  <c r="BC130" i="1"/>
  <c r="BI128" i="1"/>
  <c r="BI113" i="1"/>
  <c r="BH112" i="1"/>
  <c r="BD128" i="1"/>
  <c r="BK119" i="1"/>
  <c r="BS97" i="1"/>
  <c r="BR135" i="1"/>
  <c r="BR130" i="1"/>
  <c r="AX113" i="1"/>
  <c r="BF147" i="1"/>
  <c r="BP112" i="1"/>
  <c r="BJ142" i="1"/>
  <c r="BH129" i="1"/>
  <c r="BJ135" i="1"/>
  <c r="AZ112" i="1"/>
  <c r="BA130" i="1"/>
  <c r="AX130" i="1"/>
  <c r="BA135" i="1"/>
  <c r="BG147" i="1"/>
  <c r="BO134" i="1"/>
  <c r="AX137" i="1"/>
  <c r="BA102" i="1"/>
  <c r="AV119" i="1"/>
  <c r="BP128" i="1"/>
  <c r="BS125" i="1"/>
  <c r="BE133" i="1"/>
  <c r="BI135" i="1"/>
  <c r="BM133" i="1"/>
  <c r="BG134" i="1"/>
  <c r="BT128" i="1"/>
  <c r="AX104" i="1"/>
  <c r="AW107" i="1"/>
  <c r="AV107" i="1"/>
  <c r="AZ146" i="1"/>
  <c r="BP133" i="1"/>
  <c r="BO129" i="1"/>
  <c r="BQ128" i="1"/>
  <c r="BF128" i="1"/>
  <c r="BP130" i="1"/>
  <c r="BE97" i="1"/>
  <c r="BG138" i="1"/>
  <c r="BG119" i="1"/>
  <c r="BG135" i="1"/>
  <c r="BC113" i="1"/>
  <c r="AV113" i="1"/>
  <c r="AV154" i="1" s="1"/>
  <c r="BE112" i="1"/>
  <c r="BL128" i="1"/>
  <c r="BQ136" i="1"/>
  <c r="BS113" i="1"/>
  <c r="AX105" i="1"/>
  <c r="AY105" i="1"/>
  <c r="BG127" i="1"/>
  <c r="AW135" i="1"/>
  <c r="BH120" i="1"/>
  <c r="BK134" i="1"/>
  <c r="BD97" i="1"/>
  <c r="BE119" i="1"/>
  <c r="BQ125" i="1"/>
  <c r="BB138" i="1"/>
  <c r="BD102" i="1"/>
  <c r="BL120" i="1"/>
  <c r="BD142" i="1"/>
  <c r="AZ135" i="1"/>
  <c r="AZ105" i="1"/>
  <c r="BG107" i="1"/>
  <c r="BC125" i="1"/>
  <c r="AV132" i="1"/>
  <c r="BM142" i="1"/>
  <c r="BS130" i="1"/>
  <c r="BG129" i="1"/>
  <c r="BN134" i="1"/>
  <c r="BC120" i="1"/>
  <c r="AZ113" i="1"/>
  <c r="BA112" i="1"/>
  <c r="AW136" i="1"/>
  <c r="BP120" i="1"/>
  <c r="BO104" i="1"/>
  <c r="BE136" i="1"/>
  <c r="BI120" i="1"/>
  <c r="BL138" i="1"/>
  <c r="AY143" i="1"/>
  <c r="BG113" i="1"/>
  <c r="BL127" i="1"/>
  <c r="BP104" i="1"/>
  <c r="AX136" i="1"/>
  <c r="BC98" i="1"/>
  <c r="AZ137" i="1"/>
  <c r="BU137" i="1"/>
  <c r="BV137" i="1" s="1"/>
  <c r="BS105" i="1"/>
  <c r="AX134" i="1"/>
  <c r="BB133" i="1"/>
  <c r="AZ138" i="1"/>
  <c r="BJ127" i="1"/>
  <c r="BC137" i="1"/>
  <c r="AV105" i="1"/>
  <c r="AZ119" i="1"/>
  <c r="AY120" i="1"/>
  <c r="AY104" i="1"/>
  <c r="BF119" i="1"/>
  <c r="AW134" i="1"/>
  <c r="AV147" i="1"/>
  <c r="BT142" i="1"/>
  <c r="BT125" i="1"/>
  <c r="BO142" i="1"/>
  <c r="AY138" i="1"/>
  <c r="BL119" i="1"/>
  <c r="BG97" i="1"/>
  <c r="BS135" i="1"/>
  <c r="BI119" i="1"/>
  <c r="BU112" i="1"/>
  <c r="BJ105" i="1"/>
  <c r="BI146" i="1"/>
  <c r="BU98" i="1"/>
  <c r="BV98" i="1" s="1"/>
  <c r="BP142" i="1"/>
  <c r="BJ107" i="1"/>
  <c r="BT143" i="1"/>
  <c r="BL107" i="1"/>
  <c r="BS146" i="1"/>
  <c r="AY142" i="1"/>
  <c r="BP132" i="1"/>
  <c r="AX125" i="1"/>
  <c r="AX127" i="1"/>
  <c r="BP137" i="1"/>
  <c r="AW132" i="1"/>
  <c r="BE143" i="1"/>
  <c r="BL97" i="1"/>
  <c r="BG105" i="1"/>
  <c r="BR133" i="1"/>
  <c r="BJ102" i="1"/>
  <c r="BM138" i="1"/>
  <c r="BE104" i="1"/>
  <c r="BU135" i="1"/>
  <c r="BH135" i="1"/>
  <c r="BR125" i="1"/>
  <c r="BN120" i="1"/>
  <c r="BB130" i="1"/>
  <c r="BE134" i="1"/>
  <c r="BS107" i="1"/>
  <c r="BQ127" i="1"/>
  <c r="BU120" i="1"/>
  <c r="BL132" i="1"/>
  <c r="BP146" i="1"/>
  <c r="BP98" i="1"/>
  <c r="BO135" i="1"/>
  <c r="AY133" i="1"/>
  <c r="BD135" i="1"/>
  <c r="BK113" i="1"/>
  <c r="BE127" i="1"/>
  <c r="BM135" i="1"/>
  <c r="BR127" i="1"/>
  <c r="BP136" i="1"/>
  <c r="BC127" i="1"/>
  <c r="BL133" i="1"/>
  <c r="BJ143" i="1"/>
  <c r="BN104" i="1"/>
  <c r="BU104" i="1"/>
  <c r="AV142" i="1"/>
  <c r="AV102" i="1"/>
  <c r="BL147" i="1"/>
  <c r="BK129" i="1"/>
  <c r="BC133" i="1"/>
  <c r="BH102" i="1"/>
  <c r="BR138" i="1"/>
  <c r="BG130" i="1"/>
  <c r="BI138" i="1"/>
  <c r="BC136" i="1"/>
  <c r="BJ129" i="1"/>
  <c r="BT135" i="1"/>
  <c r="AX98" i="1"/>
  <c r="BP135" i="1"/>
  <c r="BS134" i="1"/>
  <c r="BS142" i="1"/>
  <c r="BC143" i="1"/>
  <c r="BR142" i="1"/>
  <c r="BU102" i="1"/>
  <c r="BE125" i="1"/>
  <c r="AW142" i="1"/>
  <c r="BK132" i="1"/>
  <c r="BO113" i="1"/>
  <c r="BB143" i="1"/>
  <c r="BD125" i="1"/>
  <c r="BB97" i="1"/>
  <c r="BM104" i="1"/>
  <c r="AX135" i="1"/>
  <c r="BK127" i="1"/>
  <c r="BO120" i="1"/>
  <c r="BB142" i="1"/>
  <c r="BH127" i="1"/>
  <c r="BQ113" i="1"/>
  <c r="BD136" i="1"/>
  <c r="BC129" i="1"/>
  <c r="AW105" i="1"/>
  <c r="BL134" i="1"/>
  <c r="BM98" i="1"/>
  <c r="BE130" i="1"/>
  <c r="BH143" i="1"/>
  <c r="AX120" i="1"/>
  <c r="AW133" i="1"/>
  <c r="BN138" i="1"/>
  <c r="AV97" i="1"/>
  <c r="BH98" i="1"/>
  <c r="BP97" i="1"/>
  <c r="BS138" i="1"/>
  <c r="BN98" i="1"/>
  <c r="AV128" i="1"/>
  <c r="BL146" i="1"/>
  <c r="BC142" i="1"/>
  <c r="BB120" i="1"/>
  <c r="AW137" i="1"/>
  <c r="BS132" i="1"/>
  <c r="BQ134" i="1"/>
  <c r="BM146" i="1"/>
  <c r="AY102" i="1"/>
  <c r="BI147" i="1"/>
  <c r="BA129" i="1"/>
  <c r="BU113" i="1"/>
  <c r="BT113" i="1" s="1"/>
  <c r="BU146" i="1"/>
  <c r="BV146" i="1" s="1"/>
  <c r="AV98" i="1"/>
  <c r="BM119" i="1"/>
  <c r="AW128" i="1"/>
  <c r="AW120" i="1"/>
  <c r="BB128" i="1"/>
  <c r="BC146" i="1"/>
  <c r="BA143" i="1"/>
  <c r="BF135" i="1"/>
  <c r="AY130" i="1"/>
  <c r="BN147" i="1"/>
  <c r="BI130" i="1"/>
  <c r="BP134" i="1"/>
  <c r="BL125" i="1"/>
  <c r="AX146" i="1"/>
  <c r="AZ129" i="1"/>
  <c r="AY98" i="1"/>
  <c r="BI102" i="1"/>
  <c r="BT104" i="1"/>
  <c r="AY128" i="1"/>
  <c r="BT136" i="1"/>
  <c r="BS119" i="1"/>
  <c r="BC147" i="1"/>
  <c r="BK104" i="1"/>
  <c r="BR147" i="1"/>
  <c r="BG136" i="1"/>
  <c r="BN133" i="1"/>
  <c r="BS133" i="1"/>
  <c r="BD119" i="1"/>
  <c r="AV134" i="1"/>
  <c r="BO133" i="1"/>
  <c r="BI105" i="1"/>
  <c r="BG128" i="1"/>
  <c r="BH138" i="1"/>
  <c r="BB113" i="1"/>
  <c r="BE113" i="1"/>
  <c r="BT129" i="1"/>
  <c r="BD98" i="1"/>
  <c r="AX143" i="1"/>
  <c r="BQ135" i="1"/>
  <c r="BI127" i="1"/>
  <c r="BB105" i="1"/>
  <c r="AW127" i="1"/>
  <c r="BA137" i="1"/>
  <c r="BD107" i="1"/>
  <c r="BE128" i="1"/>
  <c r="AW147" i="1"/>
  <c r="AV133" i="1"/>
  <c r="BT119" i="1"/>
  <c r="AX107" i="1"/>
  <c r="BR137" i="1"/>
  <c r="BC119" i="1"/>
  <c r="AY97" i="1"/>
  <c r="BP138" i="1"/>
  <c r="BR132" i="1"/>
  <c r="BF130" i="1"/>
  <c r="BH119" i="1"/>
  <c r="BI134" i="1"/>
  <c r="BS147" i="1"/>
  <c r="BI107" i="1"/>
  <c r="AW130" i="1"/>
  <c r="AX128" i="1"/>
  <c r="BF138" i="1"/>
  <c r="BN143" i="1"/>
  <c r="BU143" i="1"/>
  <c r="BN128" i="1"/>
  <c r="BJ98" i="1"/>
  <c r="BN102" i="1"/>
  <c r="BU138" i="1"/>
  <c r="BD104" i="1"/>
  <c r="BA146" i="1"/>
  <c r="BF120" i="1"/>
  <c r="BE132" i="1"/>
  <c r="BR105" i="1"/>
  <c r="AZ97" i="1"/>
  <c r="BI143" i="1"/>
  <c r="BL104" i="1"/>
  <c r="BO127" i="1"/>
  <c r="BM134" i="1"/>
  <c r="BK130" i="1"/>
  <c r="BS136" i="1"/>
  <c r="BK112" i="1"/>
  <c r="AX102" i="1"/>
  <c r="BH130" i="1"/>
  <c r="AY129" i="1"/>
  <c r="BB135" i="1"/>
  <c r="BQ137" i="1"/>
  <c r="BB146" i="1"/>
  <c r="BJ120" i="1"/>
  <c r="BJ119" i="1"/>
  <c r="BJ147" i="1"/>
  <c r="AY119" i="1"/>
  <c r="BO98" i="1"/>
  <c r="BF107" i="1"/>
  <c r="AX138" i="1"/>
  <c r="BN132" i="1"/>
  <c r="BH147" i="1"/>
  <c r="BQ133" i="1"/>
  <c r="BR107" i="1"/>
  <c r="AY134" i="1"/>
  <c r="BD132" i="1"/>
  <c r="BA142" i="1"/>
  <c r="BT105" i="1"/>
  <c r="BL112" i="1"/>
  <c r="AV130" i="1"/>
  <c r="BU97" i="1"/>
  <c r="AY147" i="1"/>
  <c r="BP129" i="1"/>
  <c r="BJ130" i="1"/>
  <c r="AW97" i="1"/>
  <c r="BU147" i="1"/>
  <c r="BQ138" i="1"/>
  <c r="BU107" i="1"/>
  <c r="BB125" i="1"/>
  <c r="BD134" i="1"/>
  <c r="BD138" i="1"/>
  <c r="BK146" i="1"/>
  <c r="BC97" i="1"/>
  <c r="BK120" i="1"/>
  <c r="BM113" i="1"/>
  <c r="BU133" i="1"/>
  <c r="BD113" i="1"/>
  <c r="BR120" i="1"/>
  <c r="BL142" i="1"/>
  <c r="BK125" i="1"/>
  <c r="BM132" i="1"/>
  <c r="BE105" i="1"/>
  <c r="BS137" i="1"/>
  <c r="BT134" i="1"/>
  <c r="BS112" i="1"/>
  <c r="BJ134" i="1"/>
  <c r="BI125" i="1"/>
  <c r="BG132" i="1"/>
  <c r="BO130" i="1"/>
  <c r="BQ142" i="1"/>
  <c r="BJ97" i="1"/>
  <c r="BT127" i="1"/>
  <c r="BR98" i="1"/>
  <c r="AW125" i="1"/>
  <c r="BK107" i="1"/>
  <c r="BO125" i="1"/>
  <c r="BD147" i="1"/>
  <c r="BL137" i="1"/>
  <c r="BM120" i="1"/>
  <c r="BF133" i="1"/>
  <c r="BS128" i="1"/>
  <c r="BA138" i="1"/>
  <c r="BT112" i="1"/>
  <c r="AZ130" i="1"/>
  <c r="BH107" i="1"/>
  <c r="AW112" i="1"/>
  <c r="BL113" i="1"/>
  <c r="BT120" i="1"/>
  <c r="BN97" i="1"/>
  <c r="BB119" i="1"/>
  <c r="BN136" i="1"/>
  <c r="BS120" i="1"/>
  <c r="BR112" i="1"/>
  <c r="K76" i="1"/>
  <c r="K74" i="1" s="1"/>
  <c r="J6" i="1"/>
  <c r="J152" i="1"/>
  <c r="K109" i="1"/>
  <c r="K149" i="1" s="1"/>
  <c r="K152" i="1"/>
  <c r="M109" i="1"/>
  <c r="M149" i="1" s="1"/>
  <c r="M152" i="1"/>
  <c r="S76" i="1"/>
  <c r="S74" i="1" s="1"/>
  <c r="E11" i="1"/>
  <c r="BO112" i="1"/>
  <c r="E6" i="1"/>
  <c r="R41" i="1"/>
  <c r="R74" i="1"/>
  <c r="J41" i="1"/>
  <c r="P6" i="1"/>
  <c r="D76" i="1"/>
  <c r="D74" i="1" s="1"/>
  <c r="D21" i="1"/>
  <c r="D23" i="1" s="1"/>
  <c r="D25" i="1" s="1"/>
  <c r="Q74" i="1"/>
  <c r="M11" i="1"/>
  <c r="K11" i="1"/>
  <c r="F41" i="1"/>
  <c r="F42" i="1" s="1"/>
  <c r="K6" i="1"/>
  <c r="G109" i="1"/>
  <c r="G149" i="1" s="1"/>
  <c r="G11" i="1"/>
  <c r="O109" i="1"/>
  <c r="L11" i="1"/>
  <c r="D11" i="1"/>
  <c r="D6" i="1"/>
  <c r="L6" i="1"/>
  <c r="L109" i="1"/>
  <c r="I41" i="1"/>
  <c r="O11" i="1"/>
  <c r="K41" i="1"/>
  <c r="B41" i="1"/>
  <c r="E109" i="1"/>
  <c r="D109" i="1"/>
  <c r="F74" i="1"/>
  <c r="M6" i="1"/>
  <c r="Z109" i="1"/>
  <c r="Z149" i="1" s="1"/>
  <c r="O6" i="1"/>
  <c r="L76" i="1"/>
  <c r="L74" i="1" s="1"/>
  <c r="M76" i="1"/>
  <c r="M74" i="1" s="1"/>
  <c r="C41" i="1"/>
  <c r="T76" i="1"/>
  <c r="T74" i="1" s="1"/>
  <c r="G74" i="1"/>
  <c r="G6" i="1"/>
  <c r="F6" i="1"/>
  <c r="R6" i="1"/>
  <c r="Q6" i="1"/>
  <c r="U11" i="1"/>
  <c r="U109" i="1"/>
  <c r="U149" i="1" s="1"/>
  <c r="D41" i="1"/>
  <c r="B109" i="1"/>
  <c r="B149" i="1" s="1"/>
  <c r="F109" i="1"/>
  <c r="F11" i="1"/>
  <c r="V109" i="1"/>
  <c r="S41" i="1"/>
  <c r="Y109" i="1"/>
  <c r="Y149" i="1" s="1"/>
  <c r="I11" i="1"/>
  <c r="I109" i="1"/>
  <c r="Q41" i="1"/>
  <c r="Q42" i="1" s="1"/>
  <c r="N11" i="1"/>
  <c r="N109" i="1"/>
  <c r="U6" i="1"/>
  <c r="O41" i="1"/>
  <c r="N76" i="1"/>
  <c r="N74" i="1" s="1"/>
  <c r="O76" i="1"/>
  <c r="O74" i="1" s="1"/>
  <c r="C109" i="1"/>
  <c r="C149" i="1" s="1"/>
  <c r="W109" i="1"/>
  <c r="W149" i="1" s="1"/>
  <c r="Q11" i="1"/>
  <c r="Q109" i="1"/>
  <c r="Q149" i="1" s="1"/>
  <c r="J11" i="1"/>
  <c r="J109" i="1"/>
  <c r="J76" i="1"/>
  <c r="J74" i="1" s="1"/>
  <c r="T109" i="1"/>
  <c r="T11" i="1"/>
  <c r="G41" i="1"/>
  <c r="S11" i="1"/>
  <c r="S6" i="1"/>
  <c r="T6" i="1"/>
  <c r="H74" i="1"/>
  <c r="P11" i="1"/>
  <c r="P109" i="1"/>
  <c r="N6" i="1"/>
  <c r="R11" i="1"/>
  <c r="R109" i="1"/>
  <c r="H109" i="1"/>
  <c r="H11" i="1"/>
  <c r="I76" i="1"/>
  <c r="I74" i="1" s="1"/>
  <c r="I6" i="1"/>
  <c r="H6" i="1"/>
  <c r="X109" i="1"/>
  <c r="X149" i="1" s="1"/>
  <c r="S109" i="1"/>
  <c r="U74" i="1"/>
  <c r="CB83" i="1"/>
  <c r="JM19" i="132" l="1"/>
  <c r="BT84" i="1" s="1"/>
  <c r="BC29" i="1"/>
  <c r="BV97" i="1"/>
  <c r="BT97" i="1"/>
  <c r="BV107" i="1"/>
  <c r="BT107" i="1"/>
  <c r="BV113" i="1"/>
  <c r="BV156" i="1" s="1"/>
  <c r="BV139" i="1"/>
  <c r="BV131" i="1"/>
  <c r="AN71" i="1"/>
  <c r="AM75" i="1"/>
  <c r="AN76" i="1" s="1"/>
  <c r="AM71" i="1"/>
  <c r="AM70" i="1"/>
  <c r="AR75" i="1"/>
  <c r="AR71" i="1"/>
  <c r="AR70" i="1"/>
  <c r="AP75" i="1"/>
  <c r="AP70" i="1"/>
  <c r="AP71" i="1"/>
  <c r="AS75" i="1"/>
  <c r="AS76" i="1" s="1"/>
  <c r="AS71" i="1"/>
  <c r="AS70" i="1"/>
  <c r="AI75" i="1"/>
  <c r="AI70" i="1"/>
  <c r="AI71" i="1"/>
  <c r="AT75" i="1"/>
  <c r="AT70" i="1"/>
  <c r="AT71" i="1"/>
  <c r="AL75" i="1"/>
  <c r="AM76" i="1" s="1"/>
  <c r="AL70" i="1"/>
  <c r="AL71" i="1"/>
  <c r="AQ75" i="1"/>
  <c r="AR76" i="1" s="1"/>
  <c r="AQ70" i="1"/>
  <c r="AQ71" i="1"/>
  <c r="AO75" i="1"/>
  <c r="AO76" i="1" s="1"/>
  <c r="AO71" i="1"/>
  <c r="AO70" i="1"/>
  <c r="AJ75" i="1"/>
  <c r="AJ71" i="1"/>
  <c r="AJ70" i="1"/>
  <c r="AK75" i="1"/>
  <c r="AK70" i="1"/>
  <c r="AK71" i="1"/>
  <c r="AU71" i="1"/>
  <c r="AU70" i="1"/>
  <c r="E77" i="1"/>
  <c r="E54" i="1"/>
  <c r="AW114" i="1"/>
  <c r="AL140" i="1"/>
  <c r="AL148" i="1" s="1"/>
  <c r="AP140" i="1"/>
  <c r="AP148" i="1" s="1"/>
  <c r="AS140" i="1"/>
  <c r="AS148" i="1" s="1"/>
  <c r="AH140" i="1"/>
  <c r="AH148" i="1" s="1"/>
  <c r="AR140" i="1"/>
  <c r="AR148" i="1" s="1"/>
  <c r="AQ140" i="1"/>
  <c r="AQ148" i="1" s="1"/>
  <c r="BR114" i="1"/>
  <c r="BH154" i="1"/>
  <c r="AO140" i="1"/>
  <c r="AO148" i="1" s="1"/>
  <c r="AU140" i="1"/>
  <c r="AU148" i="1" s="1"/>
  <c r="AN140" i="1"/>
  <c r="AN148" i="1" s="1"/>
  <c r="AM140" i="1"/>
  <c r="AM148" i="1" s="1"/>
  <c r="BQ144" i="1"/>
  <c r="AK140" i="1"/>
  <c r="AK148" i="1" s="1"/>
  <c r="BT114" i="1"/>
  <c r="BJ156" i="1"/>
  <c r="AT140" i="1"/>
  <c r="AT148" i="1" s="1"/>
  <c r="AI140" i="1"/>
  <c r="AI148" i="1" s="1"/>
  <c r="BL154" i="1"/>
  <c r="BS144" i="1"/>
  <c r="AJ140" i="1"/>
  <c r="AJ148" i="1" s="1"/>
  <c r="BD144" i="1"/>
  <c r="BK156" i="1"/>
  <c r="BU144" i="1"/>
  <c r="BM144" i="1"/>
  <c r="D44" i="1"/>
  <c r="D46" i="1" s="1"/>
  <c r="D50" i="1" s="1"/>
  <c r="E51" i="1" s="1"/>
  <c r="E42" i="1"/>
  <c r="J44" i="1"/>
  <c r="J46" i="1" s="1"/>
  <c r="J50" i="1" s="1"/>
  <c r="K42" i="1"/>
  <c r="O44" i="1"/>
  <c r="O46" i="1" s="1"/>
  <c r="O50" i="1" s="1"/>
  <c r="P51" i="1" s="1"/>
  <c r="P42" i="1"/>
  <c r="S44" i="1"/>
  <c r="S46" i="1" s="1"/>
  <c r="S50" i="1" s="1"/>
  <c r="G42" i="1"/>
  <c r="C44" i="1"/>
  <c r="C46" i="1" s="1"/>
  <c r="C50" i="1" s="1"/>
  <c r="C54" i="1" s="1"/>
  <c r="D42" i="1"/>
  <c r="Q44" i="1"/>
  <c r="Q46" i="1" s="1"/>
  <c r="Q50" i="1" s="1"/>
  <c r="Q51" i="1" s="1"/>
  <c r="R42" i="1"/>
  <c r="B44" i="1"/>
  <c r="B46" i="1" s="1"/>
  <c r="B50" i="1" s="1"/>
  <c r="B54" i="1" s="1"/>
  <c r="C42" i="1"/>
  <c r="I44" i="1"/>
  <c r="I46" i="1" s="1"/>
  <c r="I50" i="1" s="1"/>
  <c r="J42" i="1"/>
  <c r="S42" i="1"/>
  <c r="G44" i="1"/>
  <c r="G46" i="1" s="1"/>
  <c r="G50" i="1" s="1"/>
  <c r="BM156" i="1"/>
  <c r="AZ144" i="1"/>
  <c r="BL144" i="1"/>
  <c r="AY144" i="1"/>
  <c r="BR144" i="1"/>
  <c r="BK144" i="1"/>
  <c r="BE144" i="1"/>
  <c r="AX156" i="1"/>
  <c r="BG123" i="1"/>
  <c r="BN114" i="1"/>
  <c r="BU123" i="1"/>
  <c r="BO144" i="1"/>
  <c r="AV131" i="1"/>
  <c r="AY154" i="1"/>
  <c r="BE98" i="1"/>
  <c r="BP144" i="1"/>
  <c r="BI98" i="1"/>
  <c r="BB154" i="1"/>
  <c r="BN123" i="1"/>
  <c r="AU156" i="1"/>
  <c r="BG156" i="1"/>
  <c r="AZ98" i="1"/>
  <c r="BA123" i="1"/>
  <c r="BB144" i="1"/>
  <c r="BR154" i="1"/>
  <c r="BA114" i="1"/>
  <c r="BM123" i="1"/>
  <c r="AY123" i="1"/>
  <c r="BF131" i="1"/>
  <c r="BT144" i="1"/>
  <c r="AX144" i="1"/>
  <c r="BO156" i="1"/>
  <c r="BQ131" i="1"/>
  <c r="BB123" i="1"/>
  <c r="BU156" i="1"/>
  <c r="BN139" i="1"/>
  <c r="BM139" i="1"/>
  <c r="BE131" i="1"/>
  <c r="BT139" i="1"/>
  <c r="AV144" i="1"/>
  <c r="BO154" i="1"/>
  <c r="BI123" i="1"/>
  <c r="AZ123" i="1"/>
  <c r="BJ131" i="1"/>
  <c r="AZ154" i="1"/>
  <c r="BL123" i="1"/>
  <c r="AV156" i="1"/>
  <c r="BF144" i="1"/>
  <c r="BJ154" i="1"/>
  <c r="BP156" i="1"/>
  <c r="BO123" i="1"/>
  <c r="BQ156" i="1"/>
  <c r="BF156" i="1"/>
  <c r="BS123" i="1"/>
  <c r="BA156" i="1"/>
  <c r="AX131" i="1"/>
  <c r="BL156" i="1"/>
  <c r="BC156" i="1"/>
  <c r="BF114" i="1"/>
  <c r="BJ123" i="1"/>
  <c r="BA144" i="1"/>
  <c r="BD156" i="1"/>
  <c r="BE123" i="1"/>
  <c r="BL131" i="1"/>
  <c r="BN144" i="1"/>
  <c r="BQ123" i="1"/>
  <c r="BG114" i="1"/>
  <c r="BE114" i="1"/>
  <c r="AZ131" i="1"/>
  <c r="AZ139" i="1"/>
  <c r="BS131" i="1"/>
  <c r="BI114" i="1"/>
  <c r="BD123" i="1"/>
  <c r="BA139" i="1"/>
  <c r="AX139" i="1"/>
  <c r="AZ156" i="1"/>
  <c r="BM131" i="1"/>
  <c r="BK131" i="1"/>
  <c r="AV139" i="1"/>
  <c r="BG131" i="1"/>
  <c r="BK123" i="1"/>
  <c r="BP123" i="1"/>
  <c r="BE156" i="1"/>
  <c r="BB114" i="1"/>
  <c r="AW144" i="1"/>
  <c r="BD131" i="1"/>
  <c r="BK139" i="1"/>
  <c r="AW156" i="1"/>
  <c r="BF139" i="1"/>
  <c r="AW131" i="1"/>
  <c r="BR123" i="1"/>
  <c r="BH139" i="1"/>
  <c r="BT123" i="1"/>
  <c r="BC144" i="1"/>
  <c r="BN131" i="1"/>
  <c r="BQ114" i="1"/>
  <c r="BN154" i="1"/>
  <c r="BT156" i="1"/>
  <c r="BH144" i="1"/>
  <c r="BR131" i="1"/>
  <c r="AY139" i="1"/>
  <c r="BI139" i="1"/>
  <c r="AX123" i="1"/>
  <c r="AY114" i="1"/>
  <c r="AY131" i="1"/>
  <c r="BB156" i="1"/>
  <c r="BF98" i="1"/>
  <c r="BO114" i="1"/>
  <c r="BD154" i="1"/>
  <c r="BF154" i="1"/>
  <c r="BG144" i="1"/>
  <c r="BA131" i="1"/>
  <c r="BP131" i="1"/>
  <c r="AZ114" i="1"/>
  <c r="AX154" i="1"/>
  <c r="AT156" i="1"/>
  <c r="BO131" i="1"/>
  <c r="BE139" i="1"/>
  <c r="BI156" i="1"/>
  <c r="BQ139" i="1"/>
  <c r="BI131" i="1"/>
  <c r="BO139" i="1"/>
  <c r="BP154" i="1"/>
  <c r="BL139" i="1"/>
  <c r="BJ139" i="1"/>
  <c r="BK114" i="1"/>
  <c r="BF123" i="1"/>
  <c r="BR139" i="1"/>
  <c r="AW139" i="1"/>
  <c r="BQ154" i="1"/>
  <c r="BC139" i="1"/>
  <c r="BC131" i="1"/>
  <c r="BD139" i="1"/>
  <c r="BB131" i="1"/>
  <c r="BP139" i="1"/>
  <c r="BB139" i="1"/>
  <c r="AV123" i="1"/>
  <c r="BJ144" i="1"/>
  <c r="BU139" i="1"/>
  <c r="BC114" i="1"/>
  <c r="BU131" i="1"/>
  <c r="BD114" i="1"/>
  <c r="BE154" i="1"/>
  <c r="BJ114" i="1"/>
  <c r="BM154" i="1"/>
  <c r="BT154" i="1"/>
  <c r="BP114" i="1"/>
  <c r="BG154" i="1"/>
  <c r="BK154" i="1"/>
  <c r="BN156" i="1"/>
  <c r="BA154" i="1"/>
  <c r="BG139" i="1"/>
  <c r="BS114" i="1"/>
  <c r="AU75" i="1"/>
  <c r="BT131" i="1"/>
  <c r="AW123" i="1"/>
  <c r="BI144" i="1"/>
  <c r="BH123" i="1"/>
  <c r="BS139" i="1"/>
  <c r="BH131" i="1"/>
  <c r="BM114" i="1"/>
  <c r="BH156" i="1"/>
  <c r="BL114" i="1"/>
  <c r="BC123" i="1"/>
  <c r="BR156" i="1"/>
  <c r="BI154" i="1"/>
  <c r="BS156" i="1"/>
  <c r="BC154" i="1"/>
  <c r="AV114" i="1"/>
  <c r="BS154" i="1"/>
  <c r="BU154" i="1"/>
  <c r="BU114" i="1"/>
  <c r="AY156" i="1"/>
  <c r="AX114" i="1"/>
  <c r="BH114" i="1"/>
  <c r="M7" i="1"/>
  <c r="N24" i="1" s="1"/>
  <c r="F44" i="1"/>
  <c r="F46" i="1" s="1"/>
  <c r="K44" i="1"/>
  <c r="K46" i="1" s="1"/>
  <c r="R44" i="1"/>
  <c r="R46" i="1" s="1"/>
  <c r="L149" i="1"/>
  <c r="F7" i="1"/>
  <c r="G22" i="1" s="1"/>
  <c r="E7" i="1"/>
  <c r="F17" i="1" s="1"/>
  <c r="P7" i="1"/>
  <c r="Q15" i="1" s="1"/>
  <c r="O149" i="1"/>
  <c r="O7" i="1"/>
  <c r="P15" i="1" s="1"/>
  <c r="D149" i="1"/>
  <c r="L7" i="1"/>
  <c r="M17" i="1" s="1"/>
  <c r="G7" i="1"/>
  <c r="H15" i="1" s="1"/>
  <c r="E149" i="1"/>
  <c r="V149" i="1"/>
  <c r="D7" i="1"/>
  <c r="E14" i="1" s="1"/>
  <c r="N149" i="1"/>
  <c r="Q7" i="1"/>
  <c r="R17" i="1" s="1"/>
  <c r="F149" i="1"/>
  <c r="U7" i="1"/>
  <c r="T149" i="1"/>
  <c r="U41" i="1"/>
  <c r="L41" i="1"/>
  <c r="L42" i="1" s="1"/>
  <c r="P77" i="1"/>
  <c r="P54" i="1"/>
  <c r="H7" i="1"/>
  <c r="H149" i="1"/>
  <c r="I7" i="1"/>
  <c r="N7" i="1"/>
  <c r="M41" i="1"/>
  <c r="P149" i="1"/>
  <c r="S149" i="1"/>
  <c r="T7" i="1"/>
  <c r="N41" i="1"/>
  <c r="O42" i="1" s="1"/>
  <c r="K7" i="1"/>
  <c r="J149" i="1"/>
  <c r="S7" i="1"/>
  <c r="J7" i="1"/>
  <c r="I149" i="1"/>
  <c r="H41" i="1"/>
  <c r="H42" i="1" s="1"/>
  <c r="R149" i="1"/>
  <c r="T41" i="1"/>
  <c r="T42" i="1" s="1"/>
  <c r="R7" i="1"/>
  <c r="CC83" i="1"/>
  <c r="JI9" i="132" l="1"/>
  <c r="BV154" i="1"/>
  <c r="BV114" i="1"/>
  <c r="BV140" i="1"/>
  <c r="AT76" i="1"/>
  <c r="AJ76" i="1"/>
  <c r="AI76" i="1"/>
  <c r="AQ76" i="1"/>
  <c r="AL76" i="1"/>
  <c r="AP76" i="1"/>
  <c r="AK76" i="1"/>
  <c r="AW75" i="1"/>
  <c r="AW70" i="1"/>
  <c r="AW71" i="1"/>
  <c r="BR75" i="1"/>
  <c r="BR70" i="1"/>
  <c r="BR71" i="1"/>
  <c r="BT75" i="1"/>
  <c r="BT71" i="1"/>
  <c r="BT70" i="1"/>
  <c r="BN75" i="1"/>
  <c r="BN70" i="1"/>
  <c r="BN71" i="1"/>
  <c r="BA75" i="1"/>
  <c r="BA70" i="1"/>
  <c r="BA71" i="1"/>
  <c r="BF75" i="1"/>
  <c r="BF70" i="1"/>
  <c r="BF71" i="1"/>
  <c r="BG75" i="1"/>
  <c r="BG70" i="1"/>
  <c r="BG71" i="1"/>
  <c r="BE75" i="1"/>
  <c r="BE71" i="1"/>
  <c r="BE70" i="1"/>
  <c r="BI75" i="1"/>
  <c r="BI70" i="1"/>
  <c r="BI71" i="1"/>
  <c r="BB75" i="1"/>
  <c r="BB70" i="1"/>
  <c r="BB71" i="1"/>
  <c r="BQ75" i="1"/>
  <c r="BQ70" i="1"/>
  <c r="BQ71" i="1"/>
  <c r="AY75" i="1"/>
  <c r="AY71" i="1"/>
  <c r="AY70" i="1"/>
  <c r="BO75" i="1"/>
  <c r="BO71" i="1"/>
  <c r="BO70" i="1"/>
  <c r="AZ75" i="1"/>
  <c r="AZ70" i="1"/>
  <c r="AZ71" i="1"/>
  <c r="BK75" i="1"/>
  <c r="BK71" i="1"/>
  <c r="BK70" i="1"/>
  <c r="BC75" i="1"/>
  <c r="BC70" i="1"/>
  <c r="BC71" i="1"/>
  <c r="BD75" i="1"/>
  <c r="BD70" i="1"/>
  <c r="BD71" i="1"/>
  <c r="BJ75" i="1"/>
  <c r="BJ71" i="1"/>
  <c r="BJ70" i="1"/>
  <c r="BP75" i="1"/>
  <c r="BP70" i="1"/>
  <c r="BP71" i="1"/>
  <c r="BS75" i="1"/>
  <c r="BS70" i="1"/>
  <c r="BS71" i="1"/>
  <c r="BM75" i="1"/>
  <c r="BM70" i="1"/>
  <c r="BM71" i="1"/>
  <c r="BL75" i="1"/>
  <c r="BL71" i="1"/>
  <c r="BL70" i="1"/>
  <c r="AV75" i="1"/>
  <c r="AV70" i="1"/>
  <c r="AV71" i="1"/>
  <c r="BU75" i="1"/>
  <c r="BU70" i="1"/>
  <c r="BU71" i="1"/>
  <c r="AX75" i="1"/>
  <c r="AX71" i="1"/>
  <c r="AX70" i="1"/>
  <c r="BH71" i="1"/>
  <c r="BH70" i="1"/>
  <c r="BL140" i="1"/>
  <c r="BL148" i="1" s="1"/>
  <c r="I77" i="1"/>
  <c r="I54" i="1"/>
  <c r="D51" i="1"/>
  <c r="J51" i="1"/>
  <c r="J77" i="1"/>
  <c r="L44" i="1"/>
  <c r="L46" i="1" s="1"/>
  <c r="L50" i="1" s="1"/>
  <c r="M42" i="1"/>
  <c r="C51" i="1"/>
  <c r="U44" i="1"/>
  <c r="U46" i="1" s="1"/>
  <c r="U50" i="1" s="1"/>
  <c r="H44" i="1"/>
  <c r="H46" i="1" s="1"/>
  <c r="H50" i="1" s="1"/>
  <c r="I51" i="1" s="1"/>
  <c r="I42" i="1"/>
  <c r="J54" i="1"/>
  <c r="T44" i="1"/>
  <c r="T46" i="1" s="1"/>
  <c r="T50" i="1" s="1"/>
  <c r="T51" i="1" s="1"/>
  <c r="U42" i="1"/>
  <c r="M44" i="1"/>
  <c r="M46" i="1" s="1"/>
  <c r="M50" i="1" s="1"/>
  <c r="M77" i="1" s="1"/>
  <c r="N42" i="1"/>
  <c r="BS140" i="1"/>
  <c r="BS148" i="1" s="1"/>
  <c r="BM140" i="1"/>
  <c r="BM148" i="1" s="1"/>
  <c r="AV140" i="1"/>
  <c r="AV148" i="1" s="1"/>
  <c r="BE140" i="1"/>
  <c r="BE148" i="1" s="1"/>
  <c r="BC140" i="1"/>
  <c r="BC148" i="1" s="1"/>
  <c r="AY140" i="1"/>
  <c r="AY148" i="1" s="1"/>
  <c r="BT140" i="1"/>
  <c r="BT148" i="1" s="1"/>
  <c r="AX140" i="1"/>
  <c r="AX148" i="1" s="1"/>
  <c r="BQ140" i="1"/>
  <c r="BQ148" i="1" s="1"/>
  <c r="BK140" i="1"/>
  <c r="BK148" i="1" s="1"/>
  <c r="BJ140" i="1"/>
  <c r="BJ148" i="1" s="1"/>
  <c r="BA140" i="1"/>
  <c r="BA148" i="1" s="1"/>
  <c r="BF140" i="1"/>
  <c r="BF148" i="1" s="1"/>
  <c r="BP140" i="1"/>
  <c r="BP148" i="1" s="1"/>
  <c r="BR140" i="1"/>
  <c r="BR148" i="1" s="1"/>
  <c r="AZ140" i="1"/>
  <c r="AZ148" i="1" s="1"/>
  <c r="BD140" i="1"/>
  <c r="BD148" i="1" s="1"/>
  <c r="BO140" i="1"/>
  <c r="BO148" i="1" s="1"/>
  <c r="BN140" i="1"/>
  <c r="BN148" i="1" s="1"/>
  <c r="BI140" i="1"/>
  <c r="BI148" i="1" s="1"/>
  <c r="BB140" i="1"/>
  <c r="BB148" i="1" s="1"/>
  <c r="AW140" i="1"/>
  <c r="AW148" i="1" s="1"/>
  <c r="BU140" i="1"/>
  <c r="BU148" i="1" s="1"/>
  <c r="BG140" i="1"/>
  <c r="BG148" i="1" s="1"/>
  <c r="K50" i="1"/>
  <c r="F50" i="1"/>
  <c r="R50" i="1"/>
  <c r="BH140" i="1"/>
  <c r="BH148" i="1" s="1"/>
  <c r="BH75" i="1"/>
  <c r="N20" i="1"/>
  <c r="N14" i="1"/>
  <c r="N15" i="1"/>
  <c r="N17" i="1"/>
  <c r="N22" i="1"/>
  <c r="N44" i="1"/>
  <c r="N46" i="1" s="1"/>
  <c r="N50" i="1" s="1"/>
  <c r="O51" i="1" s="1"/>
  <c r="Q22" i="1"/>
  <c r="Q24" i="1"/>
  <c r="AU76" i="1"/>
  <c r="H17" i="1"/>
  <c r="M24" i="1"/>
  <c r="H20" i="1"/>
  <c r="H22" i="1"/>
  <c r="M15" i="1"/>
  <c r="Q14" i="1"/>
  <c r="Q16" i="1" s="1"/>
  <c r="Q17" i="1"/>
  <c r="E17" i="1"/>
  <c r="Q20" i="1"/>
  <c r="G24" i="1"/>
  <c r="G17" i="1"/>
  <c r="G15" i="1"/>
  <c r="G20" i="1"/>
  <c r="P17" i="1"/>
  <c r="G14" i="1"/>
  <c r="F9" i="1"/>
  <c r="F14" i="1"/>
  <c r="F22" i="1"/>
  <c r="F20" i="1"/>
  <c r="F24" i="1"/>
  <c r="O9" i="1"/>
  <c r="F15" i="1"/>
  <c r="Q9" i="1"/>
  <c r="R15" i="1"/>
  <c r="R14" i="1"/>
  <c r="P9" i="1"/>
  <c r="R24" i="1"/>
  <c r="P14" i="1"/>
  <c r="P16" i="1" s="1"/>
  <c r="P20" i="1"/>
  <c r="P22" i="1"/>
  <c r="P24" i="1"/>
  <c r="E20" i="1"/>
  <c r="E22" i="1"/>
  <c r="H24" i="1"/>
  <c r="M9" i="1"/>
  <c r="M22" i="1"/>
  <c r="E9" i="1"/>
  <c r="H14" i="1"/>
  <c r="H16" i="1" s="1"/>
  <c r="E24" i="1"/>
  <c r="M14" i="1"/>
  <c r="E15" i="1"/>
  <c r="E16" i="1" s="1"/>
  <c r="G9" i="1"/>
  <c r="D9" i="1"/>
  <c r="M20" i="1"/>
  <c r="R20" i="1"/>
  <c r="R22" i="1"/>
  <c r="K24" i="1"/>
  <c r="K20" i="1"/>
  <c r="K14" i="1"/>
  <c r="K15" i="1"/>
  <c r="J9" i="1"/>
  <c r="K17" i="1"/>
  <c r="K22" i="1"/>
  <c r="S54" i="1"/>
  <c r="S77" i="1"/>
  <c r="Q77" i="1"/>
  <c r="Q54" i="1"/>
  <c r="V14" i="1"/>
  <c r="U9" i="1"/>
  <c r="O54" i="1"/>
  <c r="O77" i="1"/>
  <c r="T24" i="1"/>
  <c r="T14" i="1"/>
  <c r="S9" i="1"/>
  <c r="T17" i="1"/>
  <c r="T22" i="1"/>
  <c r="T20" i="1"/>
  <c r="T15" i="1"/>
  <c r="U14" i="1"/>
  <c r="T9" i="1"/>
  <c r="U15" i="1"/>
  <c r="U22" i="1"/>
  <c r="U20" i="1"/>
  <c r="U24" i="1"/>
  <c r="U17" i="1"/>
  <c r="J20" i="1"/>
  <c r="J22" i="1"/>
  <c r="J15" i="1"/>
  <c r="J14" i="1"/>
  <c r="I9" i="1"/>
  <c r="J17" i="1"/>
  <c r="J24" i="1"/>
  <c r="G77" i="1"/>
  <c r="G54" i="1"/>
  <c r="O15" i="1"/>
  <c r="O20" i="1"/>
  <c r="O14" i="1"/>
  <c r="O22" i="1"/>
  <c r="O17" i="1"/>
  <c r="O24" i="1"/>
  <c r="N9" i="1"/>
  <c r="L15" i="1"/>
  <c r="L24" i="1"/>
  <c r="L20" i="1"/>
  <c r="L14" i="1"/>
  <c r="L22" i="1"/>
  <c r="K9" i="1"/>
  <c r="L9" i="1"/>
  <c r="L17" i="1"/>
  <c r="I20" i="1"/>
  <c r="I22" i="1"/>
  <c r="H9" i="1"/>
  <c r="I14" i="1"/>
  <c r="I15" i="1"/>
  <c r="I17" i="1"/>
  <c r="I24" i="1"/>
  <c r="S17" i="1"/>
  <c r="S14" i="1"/>
  <c r="R9" i="1"/>
  <c r="S15" i="1"/>
  <c r="S24" i="1"/>
  <c r="S20" i="1"/>
  <c r="S22" i="1"/>
  <c r="D54" i="1"/>
  <c r="D77" i="1"/>
  <c r="CD83" i="1"/>
  <c r="AB83" i="1"/>
  <c r="BU78" i="1" l="1"/>
  <c r="JK7" i="132"/>
  <c r="JI21" i="132"/>
  <c r="BP83" i="1" s="1"/>
  <c r="JH16" i="132" s="1"/>
  <c r="IY16" i="132"/>
  <c r="IE16" i="132" s="1"/>
  <c r="IO16" i="132" s="1"/>
  <c r="BV75" i="1"/>
  <c r="BV78" i="1" s="1"/>
  <c r="BV70" i="1"/>
  <c r="BV71" i="1"/>
  <c r="BF76" i="1"/>
  <c r="BF74" i="1" s="1"/>
  <c r="BN76" i="1"/>
  <c r="BK76" i="1"/>
  <c r="BQ76" i="1"/>
  <c r="BE76" i="1"/>
  <c r="BA76" i="1"/>
  <c r="BR76" i="1"/>
  <c r="BL76" i="1"/>
  <c r="BM76" i="1"/>
  <c r="BM74" i="1" s="1"/>
  <c r="AY76" i="1"/>
  <c r="BS76" i="1"/>
  <c r="AX76" i="1"/>
  <c r="BJ76" i="1"/>
  <c r="BT76" i="1"/>
  <c r="BC76" i="1"/>
  <c r="BP76" i="1"/>
  <c r="BU76" i="1"/>
  <c r="BG76" i="1"/>
  <c r="AZ76" i="1"/>
  <c r="BO76" i="1"/>
  <c r="BD76" i="1"/>
  <c r="BB76" i="1"/>
  <c r="BH76" i="1"/>
  <c r="AW76" i="1"/>
  <c r="AV76" i="1"/>
  <c r="N51" i="1"/>
  <c r="S51" i="1"/>
  <c r="M51" i="1"/>
  <c r="M54" i="1"/>
  <c r="G51" i="1"/>
  <c r="F51" i="1"/>
  <c r="K54" i="1"/>
  <c r="L51" i="1"/>
  <c r="U51" i="1"/>
  <c r="H51" i="1"/>
  <c r="R51" i="1"/>
  <c r="K51" i="1"/>
  <c r="F77" i="1"/>
  <c r="R77" i="1"/>
  <c r="F54" i="1"/>
  <c r="K77" i="1"/>
  <c r="R54" i="1"/>
  <c r="BI76" i="1"/>
  <c r="N16" i="1"/>
  <c r="N19" i="1" s="1"/>
  <c r="N21" i="1" s="1"/>
  <c r="N23" i="1" s="1"/>
  <c r="N25" i="1" s="1"/>
  <c r="E19" i="1"/>
  <c r="E21" i="1" s="1"/>
  <c r="E23" i="1" s="1"/>
  <c r="E25" i="1" s="1"/>
  <c r="M16" i="1"/>
  <c r="M19" i="1" s="1"/>
  <c r="M21" i="1" s="1"/>
  <c r="M23" i="1" s="1"/>
  <c r="M25" i="1" s="1"/>
  <c r="F16" i="1"/>
  <c r="F19" i="1" s="1"/>
  <c r="F21" i="1" s="1"/>
  <c r="F23" i="1" s="1"/>
  <c r="F25" i="1" s="1"/>
  <c r="H19" i="1"/>
  <c r="H21" i="1" s="1"/>
  <c r="H23" i="1" s="1"/>
  <c r="H25" i="1" s="1"/>
  <c r="Q19" i="1"/>
  <c r="Q21" i="1" s="1"/>
  <c r="Q23" i="1" s="1"/>
  <c r="Q25" i="1" s="1"/>
  <c r="R16" i="1"/>
  <c r="R19" i="1" s="1"/>
  <c r="R21" i="1" s="1"/>
  <c r="R23" i="1" s="1"/>
  <c r="R25" i="1" s="1"/>
  <c r="G16" i="1"/>
  <c r="G19" i="1" s="1"/>
  <c r="G21" i="1" s="1"/>
  <c r="G23" i="1" s="1"/>
  <c r="G25" i="1" s="1"/>
  <c r="P19" i="1"/>
  <c r="P21" i="1" s="1"/>
  <c r="P23" i="1" s="1"/>
  <c r="P25" i="1" s="1"/>
  <c r="O16" i="1"/>
  <c r="O19" i="1" s="1"/>
  <c r="O21" i="1" s="1"/>
  <c r="O23" i="1" s="1"/>
  <c r="O25" i="1" s="1"/>
  <c r="J16" i="1"/>
  <c r="J19" i="1" s="1"/>
  <c r="J21" i="1" s="1"/>
  <c r="J23" i="1" s="1"/>
  <c r="J25" i="1" s="1"/>
  <c r="I16" i="1"/>
  <c r="I19" i="1" s="1"/>
  <c r="I21" i="1" s="1"/>
  <c r="I23" i="1" s="1"/>
  <c r="I25" i="1" s="1"/>
  <c r="T16" i="1"/>
  <c r="T19" i="1" s="1"/>
  <c r="T21" i="1" s="1"/>
  <c r="T23" i="1" s="1"/>
  <c r="T25" i="1" s="1"/>
  <c r="K16" i="1"/>
  <c r="K19" i="1" s="1"/>
  <c r="K21" i="1" s="1"/>
  <c r="K23" i="1" s="1"/>
  <c r="K25" i="1" s="1"/>
  <c r="L16" i="1"/>
  <c r="L19" i="1" s="1"/>
  <c r="L21" i="1" s="1"/>
  <c r="L23" i="1" s="1"/>
  <c r="L25" i="1" s="1"/>
  <c r="S16" i="1"/>
  <c r="S19" i="1" s="1"/>
  <c r="S21" i="1" s="1"/>
  <c r="S23" i="1" s="1"/>
  <c r="S25" i="1" s="1"/>
  <c r="U16" i="1"/>
  <c r="U19" i="1" s="1"/>
  <c r="U21" i="1" s="1"/>
  <c r="U23" i="1" s="1"/>
  <c r="U25" i="1" s="1"/>
  <c r="N77" i="1"/>
  <c r="N54" i="1"/>
  <c r="T77" i="1"/>
  <c r="T54" i="1"/>
  <c r="L77" i="1"/>
  <c r="L54" i="1"/>
  <c r="H54" i="1"/>
  <c r="H77" i="1"/>
  <c r="U77" i="1"/>
  <c r="U54" i="1"/>
  <c r="CE83" i="1"/>
  <c r="JK19" i="132" l="1"/>
  <c r="BR84" i="1" s="1"/>
  <c r="HW16" i="132"/>
  <c r="JG7" i="132" s="1"/>
  <c r="HZ7" i="132"/>
  <c r="BV76" i="1"/>
  <c r="BV74" i="1" s="1"/>
  <c r="CF83" i="1"/>
  <c r="JG19" i="132" l="1"/>
  <c r="BN84" i="1" s="1"/>
  <c r="JF16" i="132"/>
  <c r="IC9" i="132" s="1"/>
  <c r="JM15" i="132"/>
  <c r="HZ19" i="132"/>
  <c r="JE16" i="132"/>
  <c r="CG83" i="1"/>
  <c r="AC83" i="1" s="1"/>
  <c r="JM20" i="132" l="1"/>
  <c r="BT85" i="1" s="1"/>
  <c r="IC21" i="132"/>
  <c r="AJ83" i="1" s="1"/>
  <c r="IL9" i="132"/>
  <c r="IQ9" i="132" s="1"/>
  <c r="HT9" i="132" s="1"/>
  <c r="HQ9" i="132" s="1"/>
  <c r="BA29" i="1" s="1"/>
  <c r="JE21" i="132"/>
  <c r="BL83" i="1" s="1"/>
  <c r="JL16" i="132"/>
  <c r="CH83" i="1"/>
  <c r="JL21" i="132" l="1"/>
  <c r="BS83" i="1" s="1"/>
  <c r="JA15" i="132" s="1"/>
  <c r="JA20" i="132" s="1"/>
  <c r="BH85" i="1" s="1"/>
  <c r="IN9" i="132"/>
  <c r="HS9" i="132" s="1"/>
  <c r="CI83" i="1"/>
  <c r="IJ16" i="132" l="1"/>
  <c r="HS21" i="132"/>
  <c r="IK9" i="132"/>
  <c r="IP16" i="132" s="1"/>
  <c r="CJ83" i="1"/>
  <c r="JK8" i="132" l="1"/>
  <c r="CK83" i="1"/>
  <c r="AD83" i="1" s="1"/>
  <c r="V22" i="1"/>
  <c r="V17" i="1"/>
  <c r="IZ15" i="132" l="1"/>
  <c r="JK20" i="132"/>
  <c r="BR85" i="1" s="1"/>
  <c r="BB35" i="1"/>
  <c r="CL83" i="1"/>
  <c r="V20" i="1"/>
  <c r="IW7" i="132" l="1"/>
  <c r="IL8" i="132" s="1"/>
  <c r="CM83" i="1"/>
  <c r="V15" i="1"/>
  <c r="V16" i="1" s="1"/>
  <c r="V19" i="1" s="1"/>
  <c r="JN9" i="132" l="1"/>
  <c r="JA9" i="132" s="1"/>
  <c r="IL20" i="132"/>
  <c r="AS85" i="1" s="1"/>
  <c r="HZ9" i="132"/>
  <c r="IH15" i="132" s="1"/>
  <c r="CN83" i="1"/>
  <c r="V41" i="1"/>
  <c r="V74" i="1"/>
  <c r="V21" i="1"/>
  <c r="V23" i="1" s="1"/>
  <c r="JA21" i="132" l="1"/>
  <c r="BH83" i="1" s="1"/>
  <c r="JB7" i="132" s="1"/>
  <c r="JB19" i="132" s="1"/>
  <c r="BI84" i="1" s="1"/>
  <c r="JJ9" i="132"/>
  <c r="IL16" i="132" s="1"/>
  <c r="IL21" i="132" s="1"/>
  <c r="AS83" i="1" s="1"/>
  <c r="IH20" i="132"/>
  <c r="AO85" i="1" s="1"/>
  <c r="IQ7" i="132"/>
  <c r="IH9" i="132" s="1"/>
  <c r="AY38" i="1" s="1"/>
  <c r="HR16" i="132" s="1"/>
  <c r="IJ9" i="132" s="1"/>
  <c r="V44" i="1"/>
  <c r="V46" i="1" s="1"/>
  <c r="V50" i="1" s="1"/>
  <c r="V42" i="1"/>
  <c r="CO83" i="1"/>
  <c r="AE83" i="1" s="1"/>
  <c r="IM8" i="132" l="1"/>
  <c r="IG16" i="132" s="1"/>
  <c r="IJ21" i="132"/>
  <c r="AQ83" i="1" s="1"/>
  <c r="HZ15" i="132"/>
  <c r="V51" i="1"/>
  <c r="V24" i="1"/>
  <c r="V25" i="1" s="1"/>
  <c r="IA16" i="132" l="1"/>
  <c r="IR9" i="132" s="1"/>
  <c r="IG9" i="132" s="1"/>
  <c r="V77" i="1"/>
  <c r="BJ29" i="1" l="1"/>
  <c r="IG21" i="132"/>
  <c r="AN83" i="1" s="1"/>
  <c r="HX7" i="132"/>
  <c r="V54" i="1"/>
  <c r="BJ31" i="1" l="1"/>
  <c r="HS7" i="132"/>
  <c r="HX19" i="132"/>
  <c r="IZ8" i="132"/>
  <c r="V6" i="1"/>
  <c r="V11" i="1"/>
  <c r="BJ74" i="1" l="1"/>
  <c r="BJ33" i="1"/>
  <c r="HS19" i="132"/>
  <c r="IT7" i="132"/>
  <c r="HY14" i="132" s="1"/>
  <c r="HS8" i="132"/>
  <c r="IZ20" i="132"/>
  <c r="BG85" i="1" s="1"/>
  <c r="JC8" i="132"/>
  <c r="HY7" i="132" s="1"/>
  <c r="V7" i="1"/>
  <c r="V9" i="1" s="1"/>
  <c r="HS20" i="132" l="1"/>
  <c r="HV9" i="132"/>
  <c r="HW9" i="132"/>
  <c r="HW21" i="132" s="1"/>
  <c r="JM9" i="132" s="1"/>
  <c r="IM15" i="132" s="1"/>
  <c r="HY19" i="132"/>
  <c r="IQ16" i="132"/>
  <c r="IM20" i="132" l="1"/>
  <c r="AT85" i="1" s="1"/>
  <c r="HV21" i="132"/>
  <c r="IS16" i="132"/>
  <c r="IQ21" i="132"/>
  <c r="AX83" i="1" s="1"/>
  <c r="HW7" i="132"/>
  <c r="JI8" i="132" l="1"/>
  <c r="HW19" i="132"/>
  <c r="BF35" i="1"/>
  <c r="JI20" i="132" l="1"/>
  <c r="BP85" i="1" s="1"/>
  <c r="IP9" i="132"/>
  <c r="BN29" i="1"/>
  <c r="IP21" i="132" l="1"/>
  <c r="AW83" i="1" s="1"/>
  <c r="AK29" i="1"/>
  <c r="AK31" i="1" s="1"/>
  <c r="IV9" i="132"/>
  <c r="AK38" i="1" s="1"/>
  <c r="IF9" i="132" s="1"/>
  <c r="JK9" i="132" s="1"/>
  <c r="AO29" i="1" s="1"/>
  <c r="AK33" i="1" l="1"/>
  <c r="AK74" i="1"/>
  <c r="BJ35" i="1"/>
  <c r="W14" i="1"/>
  <c r="BR29" i="1" l="1"/>
  <c r="W74" i="1"/>
  <c r="W15" i="1"/>
  <c r="W16" i="1" s="1"/>
  <c r="W17" i="1"/>
  <c r="BR31" i="1" l="1"/>
  <c r="AS29" i="1"/>
  <c r="W19" i="1"/>
  <c r="W20" i="1"/>
  <c r="BR74" i="1" l="1"/>
  <c r="BR35" i="1"/>
  <c r="W21" i="1"/>
  <c r="W41" i="1"/>
  <c r="W24" i="1"/>
  <c r="JP14" i="132" l="1"/>
  <c r="W44" i="1"/>
  <c r="W46" i="1" s="1"/>
  <c r="W50" i="1" s="1"/>
  <c r="W42" i="1"/>
  <c r="W22" i="1"/>
  <c r="W23" i="1" s="1"/>
  <c r="W25" i="1" s="1"/>
  <c r="JP19" i="132" l="1"/>
  <c r="BW84" i="1" s="1"/>
  <c r="HT15" i="132"/>
  <c r="W51" i="1"/>
  <c r="W77" i="1"/>
  <c r="HT20" i="132" l="1"/>
  <c r="AQ29" i="1"/>
  <c r="W54" i="1"/>
  <c r="AQ31" i="1" l="1"/>
  <c r="JP9" i="132"/>
  <c r="AW29" i="1" s="1"/>
  <c r="W11" i="1"/>
  <c r="W6" i="1"/>
  <c r="AQ74" i="1" l="1"/>
  <c r="BV35" i="1"/>
  <c r="W7" i="1"/>
  <c r="W9" i="1" s="1"/>
  <c r="IY14" i="132" l="1"/>
  <c r="IY19" i="132" l="1"/>
  <c r="BF84" i="1" s="1"/>
  <c r="JG16" i="132"/>
  <c r="AQ35" i="1" s="1"/>
  <c r="JD9" i="132" l="1"/>
  <c r="II9" i="132" s="1"/>
  <c r="HU8" i="132" s="1"/>
  <c r="JC15" i="132" l="1"/>
  <c r="HU20" i="132"/>
  <c r="BO35" i="1"/>
  <c r="JC20" i="132" l="1"/>
  <c r="BJ85" i="1" s="1"/>
  <c r="IN16" i="132"/>
  <c r="IN21" i="132" s="1"/>
  <c r="AU83" i="1" s="1"/>
  <c r="IV16" i="132" s="1"/>
  <c r="IV21" i="132" s="1"/>
  <c r="BC83" i="1" s="1"/>
  <c r="HY16" i="132" s="1"/>
  <c r="AV35" i="1" l="1"/>
  <c r="JF9" i="132" l="1"/>
  <c r="JF21" i="132" s="1"/>
  <c r="BM83" i="1" s="1"/>
  <c r="IR14" i="132" s="1"/>
  <c r="IR19" i="132" l="1"/>
  <c r="AY84" i="1" s="1"/>
  <c r="HX9" i="132"/>
  <c r="HU16" i="132" s="1"/>
  <c r="HW8" i="132" s="1"/>
  <c r="IZ9" i="132" s="1"/>
  <c r="JH9" i="132" s="1"/>
  <c r="IU8" i="132" l="1"/>
  <c r="JH21" i="132"/>
  <c r="BO83" i="1" s="1"/>
  <c r="JK16" i="132"/>
  <c r="JK21" i="132" s="1"/>
  <c r="BR83" i="1" s="1"/>
  <c r="BA30" i="1" s="1"/>
  <c r="IU20" i="132" l="1"/>
  <c r="BB85" i="1" s="1"/>
  <c r="BI29" i="1"/>
  <c r="BA31" i="1"/>
  <c r="BS35" i="1"/>
  <c r="BA74" i="1" l="1"/>
  <c r="JO16" i="132"/>
  <c r="IT9" i="132" l="1"/>
  <c r="X15" i="1" l="1"/>
  <c r="X14" i="1"/>
  <c r="X17" i="1"/>
  <c r="X16" i="1" l="1"/>
  <c r="X19" i="1" s="1"/>
  <c r="X41" i="1" l="1"/>
  <c r="X74" i="1"/>
  <c r="Y41" i="1"/>
  <c r="Y74" i="1"/>
  <c r="X20" i="1"/>
  <c r="X21" i="1" s="1"/>
  <c r="Y44" i="1" l="1"/>
  <c r="Y46" i="1" s="1"/>
  <c r="Y50" i="1" s="1"/>
  <c r="X44" i="1"/>
  <c r="X46" i="1" s="1"/>
  <c r="X50" i="1" s="1"/>
  <c r="Y42" i="1"/>
  <c r="X42" i="1"/>
  <c r="Y51" i="1" l="1"/>
  <c r="X51" i="1"/>
  <c r="X24" i="1"/>
  <c r="X22" i="1"/>
  <c r="X23" i="1" s="1"/>
  <c r="X25" i="1" l="1"/>
  <c r="X77" i="1"/>
  <c r="Y54" i="1" l="1"/>
  <c r="Y77" i="1"/>
  <c r="X54" i="1"/>
  <c r="X11" i="1" l="1"/>
  <c r="X6" i="1"/>
  <c r="X7" i="1" l="1"/>
  <c r="Y20" i="1" l="1"/>
  <c r="X9" i="1"/>
  <c r="Y15" i="1"/>
  <c r="Y14" i="1"/>
  <c r="Y17" i="1"/>
  <c r="Y22" i="1"/>
  <c r="Y24" i="1"/>
  <c r="Y16" i="1" l="1"/>
  <c r="Y19" i="1" s="1"/>
  <c r="Y21" i="1" l="1"/>
  <c r="Y23" i="1" s="1"/>
  <c r="Y25" i="1" s="1"/>
  <c r="Y11" i="1"/>
  <c r="Z74" i="1" l="1"/>
  <c r="Z41" i="1" l="1"/>
  <c r="AA42" i="1" s="1"/>
  <c r="Z44" i="1" l="1"/>
  <c r="Z46" i="1" s="1"/>
  <c r="Z50" i="1" s="1"/>
  <c r="AA51" i="1" s="1"/>
  <c r="Z42" i="1"/>
  <c r="Z51" i="1" l="1"/>
  <c r="Z77" i="1"/>
  <c r="Z54" i="1" l="1"/>
  <c r="Z11" i="1"/>
  <c r="AB36" i="1" l="1"/>
  <c r="AC36" i="1" l="1"/>
  <c r="AD36" i="1" l="1"/>
  <c r="AE36" i="1" l="1"/>
  <c r="AA11" i="1" l="1"/>
  <c r="CA92" i="1" l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A93" i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BY97" i="1" l="1"/>
  <c r="BZ97" i="1"/>
  <c r="CA97" i="1"/>
  <c r="CB97" i="1"/>
  <c r="CC97" i="1"/>
  <c r="CC56" i="1"/>
  <c r="AB56" i="1"/>
  <c r="AA56" i="1" s="1"/>
  <c r="BY57" i="1"/>
  <c r="BZ57" i="1"/>
  <c r="CA57" i="1"/>
  <c r="CB57" i="1"/>
  <c r="CC57" i="1"/>
  <c r="AB57" i="1"/>
  <c r="AA57" i="1" s="1"/>
  <c r="HZ8" i="132"/>
  <c r="HZ20" i="132" s="1"/>
  <c r="AH35" i="1"/>
  <c r="AW38" i="1"/>
  <c r="BW35" i="1"/>
  <c r="BH35" i="1"/>
  <c r="IS7" i="132"/>
  <c r="IS19" i="132" s="1"/>
  <c r="AZ84" i="1" s="1"/>
  <c r="ID9" i="132"/>
  <c r="IP15" i="132"/>
  <c r="IV7" i="132"/>
  <c r="IV19" i="132" s="1"/>
  <c r="BC84" i="1" s="1"/>
  <c r="II16" i="132"/>
  <c r="II21" i="132"/>
  <c r="AP83" i="1"/>
  <c r="IU9" i="132"/>
  <c r="JO9" i="132"/>
  <c r="JO21" i="132" s="1"/>
  <c r="BV83" i="1" s="1"/>
  <c r="BQ29" i="1"/>
  <c r="BH30" i="1"/>
  <c r="AL35" i="1"/>
  <c r="IT16" i="132"/>
  <c r="BI30" i="1"/>
  <c r="IO9" i="132"/>
  <c r="IO21" i="132" s="1"/>
  <c r="AV83" i="1" s="1"/>
  <c r="JL7" i="132"/>
  <c r="JN16" i="132"/>
  <c r="IQ15" i="132"/>
  <c r="BU29" i="1"/>
  <c r="AT35" i="1"/>
  <c r="IA9" i="132"/>
  <c r="IA21" i="132"/>
  <c r="AH83" i="1"/>
  <c r="JC16" i="132"/>
  <c r="HR8" i="132"/>
  <c r="HR20" i="132" s="1"/>
  <c r="AL29" i="1"/>
  <c r="JJ8" i="132"/>
  <c r="JJ20" i="132" s="1"/>
  <c r="BQ85" i="1" s="1"/>
  <c r="IK16" i="132"/>
  <c r="IK21" i="132"/>
  <c r="AR83" i="1"/>
  <c r="JF15" i="132"/>
  <c r="IW16" i="132"/>
  <c r="HY9" i="132"/>
  <c r="HY21" i="132" s="1"/>
  <c r="JH14" i="132"/>
  <c r="IC15" i="132"/>
  <c r="ID16" i="132"/>
  <c r="JJ16" i="132"/>
  <c r="HP9" i="132"/>
  <c r="HP21" i="132" s="1"/>
  <c r="IT8" i="132"/>
  <c r="IT20" i="132" s="1"/>
  <c r="BA85" i="1" s="1"/>
  <c r="JP16" i="132"/>
  <c r="BY29" i="1"/>
  <c r="BP30" i="1"/>
  <c r="BO36" i="1"/>
  <c r="IX14" i="132"/>
  <c r="BB29" i="1"/>
  <c r="JL14" i="132"/>
  <c r="BD38" i="1"/>
  <c r="BA37" i="1"/>
  <c r="BA40" i="1" s="1"/>
  <c r="BU38" i="1"/>
  <c r="BW32" i="1"/>
  <c r="BC47" i="1"/>
  <c r="AQ37" i="1"/>
  <c r="BH48" i="1"/>
  <c r="AV29" i="1"/>
  <c r="AO30" i="1"/>
  <c r="BE37" i="1"/>
  <c r="BY38" i="1"/>
  <c r="BS47" i="1"/>
  <c r="AY29" i="1"/>
  <c r="AL30" i="1"/>
  <c r="BD35" i="1"/>
  <c r="AS38" i="1"/>
  <c r="HR7" i="132"/>
  <c r="HR19" i="132" s="1"/>
  <c r="BD29" i="1"/>
  <c r="BQ37" i="1"/>
  <c r="AL38" i="1"/>
  <c r="BO30" i="1"/>
  <c r="BH29" i="1"/>
  <c r="AU38" i="1"/>
  <c r="BT38" i="1"/>
  <c r="BU37" i="1"/>
  <c r="BN30" i="1"/>
  <c r="BF47" i="1"/>
  <c r="AI35" i="1"/>
  <c r="IM16" i="132"/>
  <c r="IP14" i="132"/>
  <c r="BG29" i="1"/>
  <c r="AT30" i="1"/>
  <c r="BL35" i="1"/>
  <c r="BK38" i="1"/>
  <c r="JC14" i="132"/>
  <c r="IF16" i="132"/>
  <c r="JL8" i="132"/>
  <c r="JL20" i="132" s="1"/>
  <c r="BS85" i="1" s="1"/>
  <c r="BL29" i="1"/>
  <c r="BX38" i="1"/>
  <c r="BU30" i="1"/>
  <c r="BR38" i="1"/>
  <c r="BB45" i="1"/>
  <c r="BA48" i="1"/>
  <c r="BN35" i="1"/>
  <c r="IP8" i="132"/>
  <c r="IE14" i="132"/>
  <c r="HU9" i="132"/>
  <c r="HU21" i="132"/>
  <c r="IX16" i="132"/>
  <c r="AH29" i="1"/>
  <c r="AM35" i="1"/>
  <c r="IW14" i="132"/>
  <c r="BK29" i="1"/>
  <c r="IY9" i="132"/>
  <c r="IY21" i="132"/>
  <c r="BF83" i="1"/>
  <c r="IL7" i="132"/>
  <c r="IL19" i="132" s="1"/>
  <c r="AS84" i="1" s="1"/>
  <c r="BX29" i="1"/>
  <c r="AJ45" i="1"/>
  <c r="AL37" i="1"/>
  <c r="BV49" i="1"/>
  <c r="BO29" i="1"/>
  <c r="BT35" i="1"/>
  <c r="IS9" i="132"/>
  <c r="IS21" i="132" s="1"/>
  <c r="AZ83" i="1" s="1"/>
  <c r="IH16" i="132"/>
  <c r="IH21" i="132"/>
  <c r="AO83" i="1"/>
  <c r="AL32" i="1"/>
  <c r="AZ45" i="1"/>
  <c r="BB37" i="1"/>
  <c r="AY53" i="1"/>
  <c r="IO8" i="132"/>
  <c r="IO20" i="132" s="1"/>
  <c r="AV85" i="1" s="1"/>
  <c r="JH15" i="132"/>
  <c r="JG9" i="132"/>
  <c r="JG21" i="132"/>
  <c r="BN83" i="1"/>
  <c r="IQ14" i="132"/>
  <c r="AP29" i="1"/>
  <c r="AU35" i="1"/>
  <c r="HP14" i="132"/>
  <c r="IE9" i="132"/>
  <c r="IE21" i="132"/>
  <c r="AL83" i="1"/>
  <c r="JA14" i="132"/>
  <c r="BS29" i="1"/>
  <c r="BX35" i="1"/>
  <c r="HW15" i="132"/>
  <c r="HX16" i="132"/>
  <c r="IR8" i="132"/>
  <c r="IR20" i="132" s="1"/>
  <c r="AY85" i="1" s="1"/>
  <c r="AO35" i="1"/>
  <c r="AM39" i="1"/>
  <c r="BD45" i="1"/>
  <c r="BL37" i="1"/>
  <c r="BV53" i="1"/>
  <c r="IZ16" i="132"/>
  <c r="AT29" i="1"/>
  <c r="AY35" i="1"/>
  <c r="IK7" i="132"/>
  <c r="IK19" i="132" s="1"/>
  <c r="AR84" i="1" s="1"/>
  <c r="BW29" i="1"/>
  <c r="AW36" i="1"/>
  <c r="IT14" i="132"/>
  <c r="AS35" i="1"/>
  <c r="AJ38" i="1"/>
  <c r="BU45" i="1"/>
  <c r="AM45" i="1"/>
  <c r="HQ16" i="132"/>
  <c r="HQ21" i="132"/>
  <c r="JE8" i="132"/>
  <c r="JE20" i="132" s="1"/>
  <c r="BL85" i="1" s="1"/>
  <c r="AX29" i="1"/>
  <c r="BC35" i="1"/>
  <c r="AQ38" i="1"/>
  <c r="IE7" i="132"/>
  <c r="HZ16" i="132"/>
  <c r="HZ21" i="132"/>
  <c r="IB8" i="132"/>
  <c r="IB20" i="132" s="1"/>
  <c r="AI85" i="1" s="1"/>
  <c r="HT16" i="132"/>
  <c r="AJ35" i="1"/>
  <c r="IQ8" i="132"/>
  <c r="HQ8" i="132"/>
  <c r="HQ20" i="132" s="1"/>
  <c r="AW35" i="1"/>
  <c r="AN38" i="1"/>
  <c r="BN32" i="1"/>
  <c r="AK45" i="1"/>
  <c r="AM47" i="1"/>
  <c r="AI29" i="1"/>
  <c r="AN35" i="1"/>
  <c r="JC9" i="132"/>
  <c r="JA7" i="132"/>
  <c r="AJ29" i="1"/>
  <c r="AL36" i="1"/>
  <c r="AR38" i="1"/>
  <c r="BV32" i="1"/>
  <c r="AY47" i="1"/>
  <c r="AM32" i="1"/>
  <c r="BE45" i="1"/>
  <c r="AN39" i="1"/>
  <c r="AJ32" i="1"/>
  <c r="BL47" i="1"/>
  <c r="AK47" i="1"/>
  <c r="AP35" i="1"/>
  <c r="HR9" i="132"/>
  <c r="HR21" i="132"/>
  <c r="IU16" i="132"/>
  <c r="BK35" i="1"/>
  <c r="BG38" i="1"/>
  <c r="JD16" i="132"/>
  <c r="IF15" i="132"/>
  <c r="AM29" i="1"/>
  <c r="AR35" i="1"/>
  <c r="IS8" i="132"/>
  <c r="IS20" i="132" s="1"/>
  <c r="AZ85" i="1" s="1"/>
  <c r="IR16" i="132"/>
  <c r="IX9" i="132"/>
  <c r="AN29" i="1"/>
  <c r="BI35" i="1"/>
  <c r="BO47" i="1"/>
  <c r="BO32" i="1"/>
  <c r="AI47" i="1"/>
  <c r="BL32" i="1"/>
  <c r="AY48" i="1"/>
  <c r="BK32" i="1"/>
  <c r="BV37" i="1"/>
  <c r="BB38" i="1"/>
  <c r="AM37" i="1"/>
  <c r="AL45" i="1"/>
  <c r="BD47" i="1"/>
  <c r="BW48" i="1"/>
  <c r="BD48" i="1"/>
  <c r="BW49" i="1"/>
  <c r="AS48" i="1"/>
  <c r="BC43" i="1"/>
  <c r="BR32" i="1"/>
  <c r="BQ30" i="1"/>
  <c r="AN47" i="1"/>
  <c r="BS32" i="1"/>
  <c r="AQ47" i="1"/>
  <c r="BN38" i="1"/>
  <c r="AU37" i="1"/>
  <c r="AX45" i="1"/>
  <c r="AJ30" i="1"/>
  <c r="AU45" i="1"/>
  <c r="BT47" i="1"/>
  <c r="AH53" i="1"/>
  <c r="BY134" i="1"/>
  <c r="AW47" i="1"/>
  <c r="BP48" i="1"/>
  <c r="BS53" i="1"/>
  <c r="AO53" i="1"/>
  <c r="AT43" i="1"/>
  <c r="AY45" i="1"/>
  <c r="BX47" i="1"/>
  <c r="AL49" i="1"/>
  <c r="AP53" i="1"/>
  <c r="BA47" i="1"/>
  <c r="BT48" i="1"/>
  <c r="AZ53" i="1"/>
  <c r="BB48" i="1"/>
  <c r="BI53" i="1"/>
  <c r="AV32" i="1"/>
  <c r="AU30" i="1"/>
  <c r="BC37" i="1"/>
  <c r="BN45" i="1"/>
  <c r="AR30" i="1"/>
  <c r="AN37" i="1"/>
  <c r="BK45" i="1"/>
  <c r="AT53" i="1"/>
  <c r="BS45" i="1"/>
  <c r="BO43" i="1"/>
  <c r="AN45" i="1"/>
  <c r="BH39" i="1"/>
  <c r="AI43" i="1"/>
  <c r="AP37" i="1"/>
  <c r="AO45" i="1"/>
  <c r="AZ32" i="1"/>
  <c r="BR45" i="1"/>
  <c r="AH39" i="1"/>
  <c r="AS32" i="1"/>
  <c r="AV37" i="1"/>
  <c r="AV40" i="1" s="1"/>
  <c r="BO45" i="1"/>
  <c r="BB53" i="1"/>
  <c r="BQ47" i="1"/>
  <c r="AZ29" i="1"/>
  <c r="BE35" i="1"/>
  <c r="BL38" i="1"/>
  <c r="AK37" i="1"/>
  <c r="AK40" i="1" s="1"/>
  <c r="AR45" i="1"/>
  <c r="AS45" i="1"/>
  <c r="AK43" i="1"/>
  <c r="BD32" i="1"/>
  <c r="BC30" i="1"/>
  <c r="BF49" i="1"/>
  <c r="BO37" i="1"/>
  <c r="BX45" i="1"/>
  <c r="AL39" i="1"/>
  <c r="AW32" i="1"/>
  <c r="BD30" i="1"/>
  <c r="AZ37" i="1"/>
  <c r="BY45" i="1"/>
  <c r="AM48" i="1"/>
  <c r="AL47" i="1"/>
  <c r="AH32" i="1"/>
  <c r="AW37" i="1"/>
  <c r="BM38" i="1"/>
  <c r="AY43" i="1"/>
  <c r="AX37" i="1"/>
  <c r="AW45" i="1"/>
  <c r="AH38" i="1"/>
  <c r="BH32" i="1"/>
  <c r="BA32" i="1"/>
  <c r="BH37" i="1"/>
  <c r="AQ48" i="1"/>
  <c r="BR53" i="1"/>
  <c r="AT47" i="1"/>
  <c r="AQ32" i="1"/>
  <c r="BF37" i="1"/>
  <c r="BF40" i="1" s="1"/>
  <c r="AP38" i="1"/>
  <c r="BP32" i="1"/>
  <c r="AJ47" i="1"/>
  <c r="BB39" i="1"/>
  <c r="BM32" i="1"/>
  <c r="BX37" i="1"/>
  <c r="BK47" i="1"/>
  <c r="BG48" i="1"/>
  <c r="AJ48" i="1"/>
  <c r="BN47" i="1"/>
  <c r="BW134" i="1"/>
  <c r="IA7" i="132"/>
  <c r="IA19" i="132" s="1"/>
  <c r="AH84" i="1" s="1"/>
  <c r="IB14" i="132"/>
  <c r="BP29" i="1"/>
  <c r="BU35" i="1"/>
  <c r="AT32" i="1"/>
  <c r="BI37" i="1"/>
  <c r="BH45" i="1"/>
  <c r="BC32" i="1"/>
  <c r="BK43" i="1"/>
  <c r="BJ37" i="1"/>
  <c r="BV45" i="1"/>
  <c r="AT38" i="1"/>
  <c r="BT32" i="1"/>
  <c r="AR47" i="1"/>
  <c r="BQ32" i="1"/>
  <c r="BK48" i="1"/>
  <c r="AN48" i="1"/>
  <c r="BT29" i="1"/>
  <c r="BG30" i="1"/>
  <c r="BY35" i="1"/>
  <c r="BN39" i="1"/>
  <c r="AZ39" i="1"/>
  <c r="AX32" i="1"/>
  <c r="BE30" i="1"/>
  <c r="BN43" i="1"/>
  <c r="BM37" i="1"/>
  <c r="BP45" i="1"/>
  <c r="BG32" i="1"/>
  <c r="BR37" i="1"/>
  <c r="AX38" i="1"/>
  <c r="AI37" i="1"/>
  <c r="AH45" i="1"/>
  <c r="BW47" i="1"/>
  <c r="BY32" i="1"/>
  <c r="BM43" i="1"/>
  <c r="AZ47" i="1"/>
  <c r="BS48" i="1"/>
  <c r="AV48" i="1"/>
  <c r="BW133" i="1"/>
  <c r="AW43" i="1"/>
  <c r="AJ37" i="1"/>
  <c r="BT45" i="1"/>
  <c r="BH47" i="1"/>
  <c r="AU48" i="1"/>
  <c r="AH49" i="1"/>
  <c r="BE47" i="1"/>
  <c r="AR48" i="1"/>
  <c r="BW53" i="1"/>
  <c r="AP47" i="1"/>
  <c r="BY48" i="1"/>
  <c r="BZ48" i="1"/>
  <c r="BX53" i="1"/>
  <c r="AK53" i="1"/>
  <c r="AU99" i="1"/>
  <c r="AU100" i="1" s="1"/>
  <c r="AX99" i="1"/>
  <c r="AX100" i="1" s="1"/>
  <c r="BY128" i="1"/>
  <c r="BI32" i="1"/>
  <c r="AV30" i="1"/>
  <c r="AI49" i="1"/>
  <c r="AR37" i="1"/>
  <c r="BP47" i="1"/>
  <c r="BC48" i="1"/>
  <c r="AL53" i="1"/>
  <c r="AZ48" i="1"/>
  <c r="AM49" i="1"/>
  <c r="AI53" i="1"/>
  <c r="AX47" i="1"/>
  <c r="AK48" i="1"/>
  <c r="BY132" i="1"/>
  <c r="AS53" i="1"/>
  <c r="AM53" i="1"/>
  <c r="BB47" i="1"/>
  <c r="AO48" i="1"/>
  <c r="AL99" i="1"/>
  <c r="AL100" i="1" s="1"/>
  <c r="AL48" i="1"/>
  <c r="AW53" i="1"/>
  <c r="AN53" i="1"/>
  <c r="BE99" i="1"/>
  <c r="BE100" i="1" s="1"/>
  <c r="AP48" i="1"/>
  <c r="BA53" i="1"/>
  <c r="AR99" i="1"/>
  <c r="AR100" i="1" s="1"/>
  <c r="BY56" i="1"/>
  <c r="BY37" i="1"/>
  <c r="BL45" i="1"/>
  <c r="BQ38" i="1"/>
  <c r="BD39" i="1"/>
  <c r="AI32" i="1"/>
  <c r="BA45" i="1"/>
  <c r="BJ38" i="1"/>
  <c r="AS43" i="1"/>
  <c r="BX32" i="1"/>
  <c r="BG37" i="1"/>
  <c r="AT45" i="1"/>
  <c r="BG47" i="1"/>
  <c r="AU49" i="1"/>
  <c r="BD37" i="1"/>
  <c r="AQ45" i="1"/>
  <c r="AU47" i="1"/>
  <c r="BO48" i="1"/>
  <c r="AX53" i="1"/>
  <c r="BY47" i="1"/>
  <c r="BL48" i="1"/>
  <c r="AY49" i="1"/>
  <c r="BW45" i="1"/>
  <c r="BJ47" i="1"/>
  <c r="AW48" i="1"/>
  <c r="BU99" i="1"/>
  <c r="BU100" i="1" s="1"/>
  <c r="AX48" i="1"/>
  <c r="BE53" i="1"/>
  <c r="BW105" i="1"/>
  <c r="AM99" i="1"/>
  <c r="AM100" i="1" s="1"/>
  <c r="BY133" i="1"/>
  <c r="BY105" i="1"/>
  <c r="BR47" i="1"/>
  <c r="BE48" i="1"/>
  <c r="BD53" i="1"/>
  <c r="BY104" i="1"/>
  <c r="BF48" i="1"/>
  <c r="BM53" i="1"/>
  <c r="BF32" i="1"/>
  <c r="AS30" i="1"/>
  <c r="AO37" i="1"/>
  <c r="AU32" i="1"/>
  <c r="AH30" i="1"/>
  <c r="AQ43" i="1"/>
  <c r="BM45" i="1"/>
  <c r="BV38" i="1"/>
  <c r="AN32" i="1"/>
  <c r="BJ49" i="1"/>
  <c r="BS37" i="1"/>
  <c r="BS40" i="1" s="1"/>
  <c r="BF45" i="1"/>
  <c r="AT49" i="1"/>
  <c r="BP37" i="1"/>
  <c r="BP40" i="1" s="1"/>
  <c r="BC45" i="1"/>
  <c r="AH48" i="1"/>
  <c r="BJ53" i="1"/>
  <c r="AV99" i="1"/>
  <c r="AV100" i="1" s="1"/>
  <c r="AO47" i="1"/>
  <c r="BX48" i="1"/>
  <c r="BG53" i="1"/>
  <c r="AH99" i="1"/>
  <c r="AH100" i="1" s="1"/>
  <c r="BV47" i="1"/>
  <c r="BI48" i="1"/>
  <c r="BJ48" i="1"/>
  <c r="BQ53" i="1"/>
  <c r="BY125" i="1"/>
  <c r="AM38" i="1"/>
  <c r="AW30" i="1"/>
  <c r="BF43" i="1"/>
  <c r="AS37" i="1"/>
  <c r="AY32" i="1"/>
  <c r="BU49" i="1"/>
  <c r="AH37" i="1"/>
  <c r="BQ45" i="1"/>
  <c r="AR32" i="1"/>
  <c r="BW37" i="1"/>
  <c r="BJ45" i="1"/>
  <c r="BW38" i="1"/>
  <c r="BJ39" i="1"/>
  <c r="AO32" i="1"/>
  <c r="BX30" i="1"/>
  <c r="BT37" i="1"/>
  <c r="AV47" i="1"/>
  <c r="AI48" i="1"/>
  <c r="BN53" i="1"/>
  <c r="BM99" i="1"/>
  <c r="BM100" i="1" s="1"/>
  <c r="BW132" i="1"/>
  <c r="BO49" i="1"/>
  <c r="BK53" i="1"/>
  <c r="BB99" i="1"/>
  <c r="BB100" i="1" s="1"/>
  <c r="BM48" i="1"/>
  <c r="BL53" i="1"/>
  <c r="BN48" i="1"/>
  <c r="BU53" i="1"/>
  <c r="BW98" i="1"/>
  <c r="BO53" i="1"/>
  <c r="BR99" i="1"/>
  <c r="BR100" i="1" s="1"/>
  <c r="AH47" i="1"/>
  <c r="BQ48" i="1"/>
  <c r="BP53" i="1"/>
  <c r="BR48" i="1"/>
  <c r="BU48" i="1"/>
  <c r="BT53" i="1"/>
  <c r="BV48" i="1"/>
  <c r="BM49" i="1"/>
  <c r="AS99" i="1"/>
  <c r="AS100" i="1" s="1"/>
  <c r="BY142" i="1"/>
  <c r="BW142" i="1"/>
  <c r="BH99" i="1"/>
  <c r="BH100" i="1" s="1"/>
  <c r="BN99" i="1"/>
  <c r="BN100" i="1" s="1"/>
  <c r="AZ99" i="1"/>
  <c r="AZ100" i="1" s="1"/>
  <c r="AN99" i="1"/>
  <c r="AN100" i="1" s="1"/>
  <c r="AT106" i="1"/>
  <c r="AT108" i="1" s="1"/>
  <c r="BG99" i="1"/>
  <c r="BG100" i="1" s="1"/>
  <c r="AM106" i="1"/>
  <c r="AM108" i="1" s="1"/>
  <c r="BW128" i="1"/>
  <c r="BY120" i="1"/>
  <c r="BD99" i="1"/>
  <c r="BD100" i="1" s="1"/>
  <c r="BW57" i="1"/>
  <c r="BY99" i="1"/>
  <c r="AW106" i="1"/>
  <c r="AW108" i="1" s="1"/>
  <c r="BF99" i="1"/>
  <c r="BF100" i="1" s="1"/>
  <c r="BW119" i="1"/>
  <c r="BW107" i="1"/>
  <c r="BL99" i="1"/>
  <c r="BL100" i="1" s="1"/>
  <c r="BY112" i="1"/>
  <c r="BW112" i="1"/>
  <c r="BW104" i="1"/>
  <c r="BI99" i="1"/>
  <c r="BI100" i="1" s="1"/>
  <c r="AV53" i="1"/>
  <c r="BV105" i="1"/>
  <c r="AT48" i="1"/>
  <c r="BY53" i="1"/>
  <c r="BW143" i="1"/>
  <c r="BY129" i="1"/>
  <c r="BY119" i="1"/>
  <c r="BY146" i="1"/>
  <c r="BW135" i="1"/>
  <c r="BS99" i="1"/>
  <c r="BS100" i="1" s="1"/>
  <c r="BY127" i="1"/>
  <c r="BW99" i="1"/>
  <c r="BW122" i="1"/>
  <c r="BY130" i="1"/>
  <c r="BY137" i="1"/>
  <c r="BW120" i="1"/>
  <c r="BY143" i="1"/>
  <c r="BY98" i="1"/>
  <c r="BY135" i="1"/>
  <c r="AQ99" i="1"/>
  <c r="AQ100" i="1" s="1"/>
  <c r="AT99" i="1"/>
  <c r="AT100" i="1" s="1"/>
  <c r="BX57" i="1"/>
  <c r="A1" i="1"/>
  <c r="AP106" i="1"/>
  <c r="AP108" i="1" s="1"/>
  <c r="AH106" i="1"/>
  <c r="AH108" i="1" s="1"/>
  <c r="AK106" i="1"/>
  <c r="AK108" i="1" s="1"/>
  <c r="AX106" i="1"/>
  <c r="AX108" i="1" s="1"/>
  <c r="BR106" i="1"/>
  <c r="BR108" i="1" s="1"/>
  <c r="AJ106" i="1"/>
  <c r="AJ108" i="1" s="1"/>
  <c r="BA106" i="1"/>
  <c r="BA108" i="1" s="1"/>
  <c r="AO106" i="1"/>
  <c r="AO108" i="1" s="1"/>
  <c r="BC106" i="1"/>
  <c r="BC108" i="1" s="1"/>
  <c r="BY107" i="1"/>
  <c r="AR106" i="1"/>
  <c r="AR108" i="1" s="1"/>
  <c r="BD106" i="1"/>
  <c r="BD108" i="1" s="1"/>
  <c r="AS106" i="1"/>
  <c r="AS108" i="1" s="1"/>
  <c r="BG106" i="1"/>
  <c r="BG108" i="1" s="1"/>
  <c r="AU106" i="1"/>
  <c r="AU108" i="1" s="1"/>
  <c r="BN106" i="1"/>
  <c r="BN108" i="1" s="1"/>
  <c r="AZ106" i="1"/>
  <c r="AZ108" i="1" s="1"/>
  <c r="BJ106" i="1"/>
  <c r="BJ108" i="1" s="1"/>
  <c r="AJ99" i="1"/>
  <c r="AJ100" i="1" s="1"/>
  <c r="BW137" i="1"/>
  <c r="BX137" i="1"/>
  <c r="BY102" i="1"/>
  <c r="AK99" i="1"/>
  <c r="AK100" i="1" s="1"/>
  <c r="BC99" i="1"/>
  <c r="BC100" i="1" s="1"/>
  <c r="BK99" i="1"/>
  <c r="BK100" i="1" s="1"/>
  <c r="BW56" i="1"/>
  <c r="BV56" i="1"/>
  <c r="BV104" i="1"/>
  <c r="BW113" i="1"/>
  <c r="BX113" i="1"/>
  <c r="BY113" i="1"/>
  <c r="AL106" i="1"/>
  <c r="AL108" i="1" s="1"/>
  <c r="BE106" i="1"/>
  <c r="BE108" i="1" s="1"/>
  <c r="BQ106" i="1"/>
  <c r="BQ108" i="1" s="1"/>
  <c r="BK106" i="1"/>
  <c r="BK108" i="1" s="1"/>
  <c r="BP106" i="1"/>
  <c r="BP108" i="1" s="1"/>
  <c r="BW138" i="1"/>
  <c r="AQ106" i="1"/>
  <c r="AQ108" i="1" s="1"/>
  <c r="BF106" i="1"/>
  <c r="BF108" i="1" s="1"/>
  <c r="BO106" i="1"/>
  <c r="BO108" i="1" s="1"/>
  <c r="BU106" i="1"/>
  <c r="BU108" i="1" s="1"/>
  <c r="BQ99" i="1"/>
  <c r="BQ100" i="1" s="1"/>
  <c r="AO99" i="1"/>
  <c r="AO100" i="1" s="1"/>
  <c r="BW146" i="1"/>
  <c r="BX146" i="1"/>
  <c r="BY138" i="1"/>
  <c r="BW97" i="1"/>
  <c r="BX97" i="1"/>
  <c r="AY106" i="1"/>
  <c r="AY108" i="1" s="1"/>
  <c r="BI106" i="1"/>
  <c r="BI108" i="1" s="1"/>
  <c r="BS106" i="1"/>
  <c r="BS108" i="1" s="1"/>
  <c r="BY106" i="1"/>
  <c r="BW129" i="1"/>
  <c r="BX129" i="1"/>
  <c r="AY99" i="1"/>
  <c r="AY100" i="1" s="1"/>
  <c r="BB106" i="1"/>
  <c r="BB108" i="1" s="1"/>
  <c r="BL106" i="1"/>
  <c r="BL108" i="1" s="1"/>
  <c r="AV106" i="1"/>
  <c r="AV108" i="1" s="1"/>
  <c r="BW106" i="1"/>
  <c r="AI99" i="1"/>
  <c r="AI100" i="1" s="1"/>
  <c r="BP99" i="1"/>
  <c r="BP100" i="1" s="1"/>
  <c r="BH106" i="1"/>
  <c r="BH108" i="1" s="1"/>
  <c r="BM106" i="1"/>
  <c r="BM108" i="1" s="1"/>
  <c r="BA99" i="1"/>
  <c r="BA100" i="1" s="1"/>
  <c r="BY136" i="1"/>
  <c r="BX56" i="1"/>
  <c r="BW102" i="1"/>
  <c r="AW99" i="1"/>
  <c r="AW100" i="1" s="1"/>
  <c r="BY147" i="1"/>
  <c r="BW136" i="1"/>
  <c r="BX136" i="1"/>
  <c r="AP99" i="1"/>
  <c r="AP100" i="1" s="1"/>
  <c r="BW147" i="1"/>
  <c r="BT106" i="1"/>
  <c r="BT108" i="1" s="1"/>
  <c r="AI106" i="1"/>
  <c r="AI108" i="1" s="1"/>
  <c r="BO99" i="1"/>
  <c r="BO100" i="1" s="1"/>
  <c r="BJ99" i="1"/>
  <c r="BJ100" i="1" s="1"/>
  <c r="BW130" i="1"/>
  <c r="BX130" i="1"/>
  <c r="BV106" i="1"/>
  <c r="AN106" i="1"/>
  <c r="AN108" i="1" s="1"/>
  <c r="IW9" i="132"/>
  <c r="JM16" i="132"/>
  <c r="JM21" i="132"/>
  <c r="BT83" i="1"/>
  <c r="BX114" i="1"/>
  <c r="BX71" i="1"/>
  <c r="BX70" i="1"/>
  <c r="BO40" i="1" l="1"/>
  <c r="BQ40" i="1"/>
  <c r="BV40" i="1"/>
  <c r="BX134" i="1"/>
  <c r="BM40" i="1"/>
  <c r="BW131" i="1"/>
  <c r="AQ40" i="1"/>
  <c r="BU56" i="1"/>
  <c r="BT56" i="1" s="1"/>
  <c r="BG40" i="1"/>
  <c r="BS56" i="1"/>
  <c r="BR56" i="1" s="1"/>
  <c r="BQ56" i="1" s="1"/>
  <c r="BP56" i="1" s="1"/>
  <c r="BO56" i="1"/>
  <c r="BN56" i="1" s="1"/>
  <c r="BM56" i="1" s="1"/>
  <c r="BL56" i="1" s="1"/>
  <c r="BK56" i="1" s="1"/>
  <c r="BJ56" i="1" s="1"/>
  <c r="BI56" i="1" s="1"/>
  <c r="BH56" i="1" s="1"/>
  <c r="BG56" i="1" s="1"/>
  <c r="BF56" i="1" s="1"/>
  <c r="BE56" i="1" s="1"/>
  <c r="BD56" i="1" s="1"/>
  <c r="BC56" i="1" s="1"/>
  <c r="BB56" i="1" s="1"/>
  <c r="BA56" i="1" s="1"/>
  <c r="AZ56" i="1" s="1"/>
  <c r="AY56" i="1" s="1"/>
  <c r="AX56" i="1" s="1"/>
  <c r="AW56" i="1" s="1"/>
  <c r="AV56" i="1" s="1"/>
  <c r="AU56" i="1" s="1"/>
  <c r="AT56" i="1" s="1"/>
  <c r="AS56" i="1" s="1"/>
  <c r="AR56" i="1" s="1"/>
  <c r="AQ56" i="1" s="1"/>
  <c r="AP56" i="1" s="1"/>
  <c r="AO56" i="1" s="1"/>
  <c r="AN56" i="1" s="1"/>
  <c r="AM56" i="1" s="1"/>
  <c r="AL56" i="1" s="1"/>
  <c r="AK56" i="1" s="1"/>
  <c r="AJ56" i="1" s="1"/>
  <c r="AI56" i="1" s="1"/>
  <c r="AH56" i="1" s="1"/>
  <c r="BZ102" i="1"/>
  <c r="CA102" i="1" s="1"/>
  <c r="CB102" i="1" s="1"/>
  <c r="CC102" i="1" s="1"/>
  <c r="AA58" i="1"/>
  <c r="BB40" i="1"/>
  <c r="JC21" i="132"/>
  <c r="BJ83" i="1" s="1"/>
  <c r="AZ40" i="1"/>
  <c r="AX40" i="1"/>
  <c r="BJ40" i="1"/>
  <c r="BR40" i="1"/>
  <c r="JH19" i="132"/>
  <c r="BO84" i="1" s="1"/>
  <c r="JL19" i="132"/>
  <c r="BS84" i="1" s="1"/>
  <c r="AL31" i="1"/>
  <c r="IC20" i="132"/>
  <c r="AJ85" i="1" s="1"/>
  <c r="IX19" i="132"/>
  <c r="BE84" i="1" s="1"/>
  <c r="JF20" i="132"/>
  <c r="BM85" i="1" s="1"/>
  <c r="BY31" i="1"/>
  <c r="AO31" i="1"/>
  <c r="BB31" i="1"/>
  <c r="AX31" i="1"/>
  <c r="AX74" i="1" s="1"/>
  <c r="BU31" i="1"/>
  <c r="BH31" i="1"/>
  <c r="BH74" i="1" s="1"/>
  <c r="BO31" i="1"/>
  <c r="BS31" i="1"/>
  <c r="BQ31" i="1"/>
  <c r="BK31" i="1"/>
  <c r="AY31" i="1"/>
  <c r="BL31" i="1"/>
  <c r="BL33" i="1" s="1"/>
  <c r="BX154" i="1"/>
  <c r="BR33" i="1"/>
  <c r="BX102" i="1"/>
  <c r="BW154" i="1"/>
  <c r="Z57" i="1"/>
  <c r="Y57" i="1" s="1"/>
  <c r="X57" i="1" s="1"/>
  <c r="W57" i="1" s="1"/>
  <c r="V57" i="1" s="1"/>
  <c r="U57" i="1" s="1"/>
  <c r="T57" i="1" s="1"/>
  <c r="S57" i="1" s="1"/>
  <c r="R57" i="1" s="1"/>
  <c r="Q57" i="1" s="1"/>
  <c r="P57" i="1" s="1"/>
  <c r="O57" i="1" s="1"/>
  <c r="N57" i="1" s="1"/>
  <c r="M57" i="1" s="1"/>
  <c r="L57" i="1" s="1"/>
  <c r="K57" i="1" s="1"/>
  <c r="J57" i="1" s="1"/>
  <c r="I57" i="1" s="1"/>
  <c r="H57" i="1" s="1"/>
  <c r="G57" i="1" s="1"/>
  <c r="F57" i="1" s="1"/>
  <c r="E57" i="1" s="1"/>
  <c r="D57" i="1" s="1"/>
  <c r="C57" i="1" s="1"/>
  <c r="B57" i="1" s="1"/>
  <c r="CD57" i="1"/>
  <c r="CE57" i="1" s="1"/>
  <c r="CF57" i="1" s="1"/>
  <c r="CG57" i="1" s="1"/>
  <c r="BY154" i="1"/>
  <c r="BZ154" i="1" s="1"/>
  <c r="CA56" i="1"/>
  <c r="BZ56" i="1"/>
  <c r="BZ58" i="1" s="1"/>
  <c r="CB56" i="1"/>
  <c r="CB58" i="1" s="1"/>
  <c r="AB58" i="1"/>
  <c r="AB97" i="1"/>
  <c r="CC58" i="1"/>
  <c r="CD97" i="1"/>
  <c r="IT21" i="132"/>
  <c r="BA83" i="1" s="1"/>
  <c r="JN21" i="132"/>
  <c r="BU83" i="1" s="1"/>
  <c r="IZ21" i="132"/>
  <c r="BG83" i="1" s="1"/>
  <c r="IR21" i="132"/>
  <c r="AY83" i="1" s="1"/>
  <c r="JJ21" i="132"/>
  <c r="BQ83" i="1" s="1"/>
  <c r="ID21" i="132"/>
  <c r="AK83" i="1" s="1"/>
  <c r="JD21" i="132"/>
  <c r="BK83" i="1" s="1"/>
  <c r="HT21" i="132"/>
  <c r="HX21" i="132"/>
  <c r="IF21" i="132"/>
  <c r="AM83" i="1" s="1"/>
  <c r="BT31" i="1"/>
  <c r="BT40" i="1"/>
  <c r="BY144" i="1"/>
  <c r="BW31" i="1"/>
  <c r="BE40" i="1"/>
  <c r="AM40" i="1"/>
  <c r="IM21" i="132"/>
  <c r="AT83" i="1" s="1"/>
  <c r="IW21" i="132"/>
  <c r="BD83" i="1" s="1"/>
  <c r="AT31" i="1"/>
  <c r="IX21" i="132"/>
  <c r="BE83" i="1" s="1"/>
  <c r="IB19" i="132"/>
  <c r="AI84" i="1" s="1"/>
  <c r="AN31" i="1"/>
  <c r="AJ40" i="1"/>
  <c r="BY139" i="1"/>
  <c r="BZ137" i="1" s="1"/>
  <c r="BZ139" i="1" s="1"/>
  <c r="CA137" i="1" s="1"/>
  <c r="CA139" i="1" s="1"/>
  <c r="CB137" i="1" s="1"/>
  <c r="CB139" i="1" s="1"/>
  <c r="CC137" i="1" s="1"/>
  <c r="BY114" i="1"/>
  <c r="AH31" i="1"/>
  <c r="AH33" i="1" s="1"/>
  <c r="AO40" i="1"/>
  <c r="BY58" i="1"/>
  <c r="BY108" i="1"/>
  <c r="JP21" i="132"/>
  <c r="BW83" i="1" s="1"/>
  <c r="BH40" i="1"/>
  <c r="BY100" i="1"/>
  <c r="BY156" i="1"/>
  <c r="BZ156" i="1" s="1"/>
  <c r="CA156" i="1" s="1"/>
  <c r="CB156" i="1" s="1"/>
  <c r="CC156" i="1" s="1"/>
  <c r="CD156" i="1" s="1"/>
  <c r="CE156" i="1" s="1"/>
  <c r="CF156" i="1" s="1"/>
  <c r="CG156" i="1" s="1"/>
  <c r="CH156" i="1" s="1"/>
  <c r="CI156" i="1" s="1"/>
  <c r="CJ156" i="1" s="1"/>
  <c r="CK156" i="1" s="1"/>
  <c r="CL156" i="1" s="1"/>
  <c r="CM156" i="1" s="1"/>
  <c r="CN156" i="1" s="1"/>
  <c r="CO156" i="1" s="1"/>
  <c r="BY131" i="1"/>
  <c r="AW40" i="1"/>
  <c r="IU21" i="132"/>
  <c r="BB83" i="1" s="1"/>
  <c r="AS40" i="1"/>
  <c r="BN40" i="1"/>
  <c r="BU40" i="1"/>
  <c r="AR40" i="1"/>
  <c r="AP40" i="1"/>
  <c r="AN40" i="1"/>
  <c r="AY40" i="1"/>
  <c r="BX31" i="1"/>
  <c r="BX58" i="1"/>
  <c r="BX40" i="1"/>
  <c r="JH20" i="132"/>
  <c r="BO85" i="1" s="1"/>
  <c r="BW58" i="1"/>
  <c r="AH40" i="1"/>
  <c r="BI40" i="1"/>
  <c r="AL40" i="1"/>
  <c r="AI31" i="1"/>
  <c r="AJ31" i="1"/>
  <c r="BW144" i="1"/>
  <c r="BW123" i="1"/>
  <c r="BW156" i="1"/>
  <c r="BW114" i="1"/>
  <c r="BW100" i="1"/>
  <c r="BW139" i="1"/>
  <c r="BW108" i="1"/>
  <c r="IQ20" i="132"/>
  <c r="AX85" i="1" s="1"/>
  <c r="IE19" i="132"/>
  <c r="AL84" i="1" s="1"/>
  <c r="HW20" i="132"/>
  <c r="AU31" i="1"/>
  <c r="AR31" i="1"/>
  <c r="JA19" i="132"/>
  <c r="BH84" i="1" s="1"/>
  <c r="IT19" i="132"/>
  <c r="BA84" i="1" s="1"/>
  <c r="HP19" i="132"/>
  <c r="IF20" i="132"/>
  <c r="AM85" i="1" s="1"/>
  <c r="IP19" i="132"/>
  <c r="AW84" i="1" s="1"/>
  <c r="IP20" i="132"/>
  <c r="AW85" i="1" s="1"/>
  <c r="JC19" i="132"/>
  <c r="BJ84" i="1" s="1"/>
  <c r="IQ19" i="132"/>
  <c r="AX84" i="1" s="1"/>
  <c r="IW19" i="132"/>
  <c r="BD84" i="1" s="1"/>
  <c r="BX122" i="1"/>
  <c r="BZ98" i="1"/>
  <c r="CA48" i="1"/>
  <c r="CB48" i="1" s="1"/>
  <c r="CC48" i="1" s="1"/>
  <c r="CD48" i="1" s="1"/>
  <c r="BY123" i="1"/>
  <c r="BD40" i="1"/>
  <c r="BY40" i="1"/>
  <c r="AU40" i="1"/>
  <c r="AT40" i="1"/>
  <c r="AS31" i="1"/>
  <c r="AP31" i="1"/>
  <c r="AM31" i="1"/>
  <c r="AB48" i="1"/>
  <c r="BK40" i="1"/>
  <c r="AI40" i="1"/>
  <c r="BC40" i="1"/>
  <c r="BL40" i="1"/>
  <c r="BW40" i="1"/>
  <c r="AQ33" i="1"/>
  <c r="BV33" i="1"/>
  <c r="BZ47" i="1"/>
  <c r="BZ119" i="1"/>
  <c r="BG31" i="1"/>
  <c r="AZ31" i="1"/>
  <c r="BE31" i="1"/>
  <c r="BD31" i="1"/>
  <c r="BM33" i="1"/>
  <c r="BF33" i="1"/>
  <c r="AV31" i="1"/>
  <c r="BP31" i="1"/>
  <c r="AW31" i="1"/>
  <c r="BX128" i="1"/>
  <c r="BV57" i="1"/>
  <c r="BI31" i="1"/>
  <c r="BN31" i="1"/>
  <c r="BC31" i="1"/>
  <c r="BA33" i="1"/>
  <c r="BV108" i="1"/>
  <c r="BX132" i="1"/>
  <c r="BX139" i="1" s="1"/>
  <c r="BX119" i="1"/>
  <c r="Z56" i="1"/>
  <c r="BX107" i="1"/>
  <c r="BX98" i="1"/>
  <c r="BX142" i="1"/>
  <c r="AK41" i="1"/>
  <c r="AV6" i="1"/>
  <c r="AY6" i="1"/>
  <c r="AM6" i="1"/>
  <c r="BF6" i="1"/>
  <c r="BE109" i="1"/>
  <c r="AS6" i="1"/>
  <c r="AN6" i="1"/>
  <c r="AW6" i="1"/>
  <c r="AH6" i="1"/>
  <c r="AI6" i="1"/>
  <c r="BN6" i="1"/>
  <c r="BC6" i="1"/>
  <c r="BS6" i="1"/>
  <c r="AT6" i="1"/>
  <c r="BI6" i="1"/>
  <c r="BO6" i="1"/>
  <c r="BA6" i="1"/>
  <c r="AO6" i="1"/>
  <c r="AT11" i="1"/>
  <c r="AT152" i="1"/>
  <c r="AT155" i="1"/>
  <c r="AT109" i="1"/>
  <c r="BH6" i="1"/>
  <c r="AM152" i="1"/>
  <c r="AM109" i="1"/>
  <c r="AM11" i="1"/>
  <c r="AM155" i="1"/>
  <c r="BE6" i="1"/>
  <c r="AW152" i="1"/>
  <c r="AW109" i="1"/>
  <c r="AW11" i="1"/>
  <c r="AW155" i="1"/>
  <c r="BG6" i="1"/>
  <c r="BM6" i="1"/>
  <c r="BJ6" i="1"/>
  <c r="BI109" i="1"/>
  <c r="AR6" i="1"/>
  <c r="AU6" i="1"/>
  <c r="AP11" i="1"/>
  <c r="AP109" i="1"/>
  <c r="AP155" i="1"/>
  <c r="AP152" i="1"/>
  <c r="AH152" i="1"/>
  <c r="AH11" i="1"/>
  <c r="AH109" i="1"/>
  <c r="AK11" i="1"/>
  <c r="AK109" i="1"/>
  <c r="AK152" i="1"/>
  <c r="AK155" i="1"/>
  <c r="AX155" i="1"/>
  <c r="AX11" i="1"/>
  <c r="AX152" i="1"/>
  <c r="AX109" i="1"/>
  <c r="BR152" i="1"/>
  <c r="BR11" i="1"/>
  <c r="BR155" i="1"/>
  <c r="BR109" i="1"/>
  <c r="AJ152" i="1"/>
  <c r="AJ109" i="1"/>
  <c r="AJ11" i="1"/>
  <c r="BA155" i="1"/>
  <c r="BA11" i="1"/>
  <c r="BA152" i="1"/>
  <c r="BA109" i="1"/>
  <c r="AO11" i="1"/>
  <c r="AO155" i="1"/>
  <c r="AO109" i="1"/>
  <c r="AO152" i="1"/>
  <c r="BC11" i="1"/>
  <c r="BC152" i="1"/>
  <c r="BC155" i="1"/>
  <c r="BC109" i="1"/>
  <c r="AR109" i="1"/>
  <c r="AR155" i="1"/>
  <c r="AR11" i="1"/>
  <c r="AR152" i="1"/>
  <c r="BD155" i="1"/>
  <c r="BD152" i="1"/>
  <c r="BD109" i="1"/>
  <c r="BD11" i="1"/>
  <c r="AS11" i="1"/>
  <c r="AS109" i="1"/>
  <c r="AS155" i="1"/>
  <c r="AS152" i="1"/>
  <c r="BG109" i="1"/>
  <c r="BG155" i="1"/>
  <c r="BG11" i="1"/>
  <c r="BG152" i="1"/>
  <c r="AU152" i="1"/>
  <c r="AU11" i="1"/>
  <c r="AU155" i="1"/>
  <c r="AU109" i="1"/>
  <c r="BN11" i="1"/>
  <c r="BN152" i="1"/>
  <c r="BN155" i="1"/>
  <c r="BN109" i="1"/>
  <c r="AZ11" i="1"/>
  <c r="AZ109" i="1"/>
  <c r="AZ152" i="1"/>
  <c r="AZ155" i="1"/>
  <c r="BJ11" i="1"/>
  <c r="BJ152" i="1"/>
  <c r="BJ109" i="1"/>
  <c r="BJ155" i="1"/>
  <c r="AK6" i="1"/>
  <c r="AL6" i="1"/>
  <c r="BD6" i="1"/>
  <c r="BL6" i="1"/>
  <c r="AL109" i="1"/>
  <c r="AL11" i="1"/>
  <c r="AL152" i="1"/>
  <c r="AL155" i="1"/>
  <c r="BE11" i="1"/>
  <c r="BE152" i="1"/>
  <c r="BE155" i="1"/>
  <c r="BQ11" i="1"/>
  <c r="BQ152" i="1"/>
  <c r="BQ109" i="1"/>
  <c r="BQ155" i="1"/>
  <c r="BK11" i="1"/>
  <c r="BK152" i="1"/>
  <c r="BK155" i="1"/>
  <c r="BK109" i="1"/>
  <c r="BP11" i="1"/>
  <c r="BP152" i="1"/>
  <c r="BP155" i="1"/>
  <c r="BP109" i="1"/>
  <c r="AQ11" i="1"/>
  <c r="AQ109" i="1"/>
  <c r="AQ152" i="1"/>
  <c r="AQ155" i="1"/>
  <c r="BF152" i="1"/>
  <c r="BF109" i="1"/>
  <c r="BF11" i="1"/>
  <c r="BF155" i="1"/>
  <c r="BO152" i="1"/>
  <c r="BO11" i="1"/>
  <c r="BO155" i="1"/>
  <c r="BO109" i="1"/>
  <c r="BU109" i="1"/>
  <c r="BU155" i="1"/>
  <c r="BU152" i="1"/>
  <c r="BU11" i="1"/>
  <c r="BR6" i="1"/>
  <c r="AP6" i="1"/>
  <c r="AY109" i="1"/>
  <c r="AY155" i="1"/>
  <c r="AY152" i="1"/>
  <c r="AY11" i="1"/>
  <c r="BI11" i="1"/>
  <c r="BI152" i="1"/>
  <c r="BI155" i="1"/>
  <c r="BS155" i="1"/>
  <c r="BS109" i="1"/>
  <c r="BS11" i="1"/>
  <c r="BS152" i="1"/>
  <c r="AZ6" i="1"/>
  <c r="BB152" i="1"/>
  <c r="BB109" i="1"/>
  <c r="BB155" i="1"/>
  <c r="BB11" i="1"/>
  <c r="BL152" i="1"/>
  <c r="BL11" i="1"/>
  <c r="BL109" i="1"/>
  <c r="BL155" i="1"/>
  <c r="AV109" i="1"/>
  <c r="AV11" i="1"/>
  <c r="AV152" i="1"/>
  <c r="AV155" i="1"/>
  <c r="AJ6" i="1"/>
  <c r="BQ6" i="1"/>
  <c r="BH109" i="1"/>
  <c r="BH152" i="1"/>
  <c r="BH11" i="1"/>
  <c r="BH155" i="1"/>
  <c r="BM11" i="1"/>
  <c r="BM152" i="1"/>
  <c r="BM109" i="1"/>
  <c r="BM155" i="1"/>
  <c r="BB6" i="1"/>
  <c r="AX6" i="1"/>
  <c r="AQ6" i="1"/>
  <c r="BT155" i="1"/>
  <c r="AI11" i="1"/>
  <c r="AI109" i="1"/>
  <c r="AI152" i="1"/>
  <c r="BP6" i="1"/>
  <c r="BK6" i="1"/>
  <c r="AN11" i="1"/>
  <c r="AN109" i="1"/>
  <c r="AN152" i="1"/>
  <c r="AN155" i="1"/>
  <c r="BY75" i="1" l="1"/>
  <c r="AB102" i="1"/>
  <c r="CD102" i="1"/>
  <c r="CE102" i="1" s="1"/>
  <c r="CF102" i="1" s="1"/>
  <c r="CG102" i="1" s="1"/>
  <c r="AA63" i="1"/>
  <c r="AA68" i="1"/>
  <c r="AA59" i="1"/>
  <c r="AA60" i="1" s="1"/>
  <c r="AL74" i="1"/>
  <c r="AL33" i="1"/>
  <c r="BB74" i="1"/>
  <c r="BB33" i="1"/>
  <c r="BU74" i="1"/>
  <c r="BU33" i="1"/>
  <c r="BU41" i="1" s="1"/>
  <c r="BO74" i="1"/>
  <c r="BO33" i="1"/>
  <c r="BS74" i="1"/>
  <c r="BS33" i="1"/>
  <c r="BS41" i="1" s="1"/>
  <c r="BK74" i="1"/>
  <c r="BK33" i="1"/>
  <c r="CH57" i="1"/>
  <c r="CI57" i="1" s="1"/>
  <c r="CJ57" i="1" s="1"/>
  <c r="CK57" i="1" s="1"/>
  <c r="AC57" i="1"/>
  <c r="BZ113" i="1"/>
  <c r="CA154" i="1"/>
  <c r="CD56" i="1"/>
  <c r="CD58" i="1" s="1"/>
  <c r="CE97" i="1"/>
  <c r="BY33" i="1"/>
  <c r="AO33" i="1"/>
  <c r="BH33" i="1"/>
  <c r="AX33" i="1"/>
  <c r="BQ33" i="1"/>
  <c r="AY33" i="1"/>
  <c r="BL41" i="1"/>
  <c r="BQ74" i="1"/>
  <c r="BL74" i="1"/>
  <c r="AY74" i="1"/>
  <c r="CA58" i="1"/>
  <c r="AO74" i="1"/>
  <c r="BJ41" i="1"/>
  <c r="BR41" i="1"/>
  <c r="BT74" i="1"/>
  <c r="BT33" i="1"/>
  <c r="BW33" i="1"/>
  <c r="AT74" i="1"/>
  <c r="AT33" i="1"/>
  <c r="AN74" i="1"/>
  <c r="AN33" i="1"/>
  <c r="AB137" i="1"/>
  <c r="AB139" i="1" s="1"/>
  <c r="CC139" i="1"/>
  <c r="CD137" i="1" s="1"/>
  <c r="CD139" i="1" s="1"/>
  <c r="CE137" i="1" s="1"/>
  <c r="CE139" i="1" s="1"/>
  <c r="CF137" i="1" s="1"/>
  <c r="CF139" i="1" s="1"/>
  <c r="CG137" i="1" s="1"/>
  <c r="BY70" i="1"/>
  <c r="BY71" i="1"/>
  <c r="BZ71" i="1" s="1"/>
  <c r="AH41" i="1"/>
  <c r="AL34" i="1"/>
  <c r="BY11" i="1"/>
  <c r="BY155" i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BY152" i="1"/>
  <c r="BY109" i="1"/>
  <c r="BY63" i="1"/>
  <c r="BY64" i="1" s="1"/>
  <c r="BZ130" i="1"/>
  <c r="BZ131" i="1" s="1"/>
  <c r="BY140" i="1"/>
  <c r="BY148" i="1" s="1"/>
  <c r="BX33" i="1"/>
  <c r="AI74" i="1"/>
  <c r="AI33" i="1"/>
  <c r="AJ74" i="1"/>
  <c r="AJ33" i="1"/>
  <c r="BW70" i="1"/>
  <c r="BW71" i="1"/>
  <c r="BW75" i="1"/>
  <c r="BW63" i="1"/>
  <c r="BW64" i="1" s="1"/>
  <c r="BW155" i="1"/>
  <c r="BW152" i="1"/>
  <c r="BW11" i="1"/>
  <c r="BW109" i="1"/>
  <c r="AU74" i="1"/>
  <c r="AU33" i="1"/>
  <c r="AR74" i="1"/>
  <c r="AR33" i="1"/>
  <c r="CA98" i="1"/>
  <c r="CE48" i="1"/>
  <c r="CF48" i="1" s="1"/>
  <c r="CG48" i="1" s="1"/>
  <c r="CH48" i="1" s="1"/>
  <c r="BY78" i="1"/>
  <c r="AS74" i="1"/>
  <c r="AS33" i="1"/>
  <c r="AP74" i="1"/>
  <c r="AP33" i="1"/>
  <c r="AM74" i="1"/>
  <c r="AM33" i="1"/>
  <c r="BY34" i="1"/>
  <c r="BY41" i="1"/>
  <c r="AO34" i="1"/>
  <c r="AO41" i="1"/>
  <c r="AS34" i="1"/>
  <c r="AU34" i="1"/>
  <c r="AQ41" i="1"/>
  <c r="BV41" i="1"/>
  <c r="CA47" i="1"/>
  <c r="CB47" i="1" s="1"/>
  <c r="CC47" i="1" s="1"/>
  <c r="CD47" i="1" s="1"/>
  <c r="CA119" i="1"/>
  <c r="BZ123" i="1"/>
  <c r="BG74" i="1"/>
  <c r="BG33" i="1"/>
  <c r="AZ74" i="1"/>
  <c r="AZ33" i="1"/>
  <c r="BE74" i="1"/>
  <c r="BE33" i="1"/>
  <c r="BD74" i="1"/>
  <c r="BD33" i="1"/>
  <c r="BM41" i="1"/>
  <c r="BF41" i="1"/>
  <c r="BJ34" i="1"/>
  <c r="AV74" i="1"/>
  <c r="AV33" i="1"/>
  <c r="BP74" i="1"/>
  <c r="BP33" i="1"/>
  <c r="AW74" i="1"/>
  <c r="AW33" i="1"/>
  <c r="BV58" i="1"/>
  <c r="BU57" i="1"/>
  <c r="BI74" i="1"/>
  <c r="BI33" i="1"/>
  <c r="BN74" i="1"/>
  <c r="BN33" i="1"/>
  <c r="BU44" i="1"/>
  <c r="BU46" i="1" s="1"/>
  <c r="BU50" i="1" s="1"/>
  <c r="BS44" i="1"/>
  <c r="BS46" i="1" s="1"/>
  <c r="BS50" i="1" s="1"/>
  <c r="BC74" i="1"/>
  <c r="BC33" i="1"/>
  <c r="BE34" i="1"/>
  <c r="BA41" i="1"/>
  <c r="BV155" i="1"/>
  <c r="Z58" i="1"/>
  <c r="Y56" i="1"/>
  <c r="BX156" i="1"/>
  <c r="BX108" i="1"/>
  <c r="BX75" i="1"/>
  <c r="AK44" i="1"/>
  <c r="AK46" i="1" s="1"/>
  <c r="AK50" i="1" s="1"/>
  <c r="BF7" i="1"/>
  <c r="BE149" i="1"/>
  <c r="AU7" i="1"/>
  <c r="AT149" i="1"/>
  <c r="AM149" i="1"/>
  <c r="AN7" i="1"/>
  <c r="AX7" i="1"/>
  <c r="AW149" i="1"/>
  <c r="BJ7" i="1"/>
  <c r="BI149" i="1"/>
  <c r="AP149" i="1"/>
  <c r="AQ7" i="1"/>
  <c r="AI7" i="1"/>
  <c r="AH7" i="1"/>
  <c r="AH149" i="1"/>
  <c r="AL7" i="1"/>
  <c r="AK149" i="1"/>
  <c r="AY7" i="1"/>
  <c r="AX149" i="1"/>
  <c r="BS7" i="1"/>
  <c r="BR149" i="1"/>
  <c r="AJ149" i="1"/>
  <c r="AK7" i="1"/>
  <c r="BA149" i="1"/>
  <c r="BB7" i="1"/>
  <c r="AP7" i="1"/>
  <c r="AO149" i="1"/>
  <c r="BD7" i="1"/>
  <c r="BC149" i="1"/>
  <c r="AR149" i="1"/>
  <c r="AS7" i="1"/>
  <c r="BE7" i="1"/>
  <c r="BD149" i="1"/>
  <c r="AT7" i="1"/>
  <c r="AS149" i="1"/>
  <c r="BH7" i="1"/>
  <c r="BG149" i="1"/>
  <c r="AV7" i="1"/>
  <c r="AU149" i="1"/>
  <c r="BO7" i="1"/>
  <c r="BN149" i="1"/>
  <c r="BA7" i="1"/>
  <c r="AZ149" i="1"/>
  <c r="BK7" i="1"/>
  <c r="BJ149" i="1"/>
  <c r="AL149" i="1"/>
  <c r="AM7" i="1"/>
  <c r="BR7" i="1"/>
  <c r="BQ149" i="1"/>
  <c r="BL7" i="1"/>
  <c r="BK149" i="1"/>
  <c r="BQ7" i="1"/>
  <c r="BP149" i="1"/>
  <c r="AQ149" i="1"/>
  <c r="AR7" i="1"/>
  <c r="BG7" i="1"/>
  <c r="BF149" i="1"/>
  <c r="BP7" i="1"/>
  <c r="BO149" i="1"/>
  <c r="BU149" i="1"/>
  <c r="AZ7" i="1"/>
  <c r="AY149" i="1"/>
  <c r="BS149" i="1"/>
  <c r="BC7" i="1"/>
  <c r="BB149" i="1"/>
  <c r="BM7" i="1"/>
  <c r="BL149" i="1"/>
  <c r="AV149" i="1"/>
  <c r="AW7" i="1"/>
  <c r="BI7" i="1"/>
  <c r="BH149" i="1"/>
  <c r="BN7" i="1"/>
  <c r="BM149" i="1"/>
  <c r="AI149" i="1"/>
  <c r="AJ7" i="1"/>
  <c r="AN149" i="1"/>
  <c r="AO7" i="1"/>
  <c r="BX123" i="1"/>
  <c r="BV34" i="1"/>
  <c r="BW140" i="1"/>
  <c r="BW148" i="1" s="1"/>
  <c r="BW149" i="1" s="1"/>
  <c r="BX131" i="1"/>
  <c r="BX140" i="1" s="1"/>
  <c r="Y6" i="1"/>
  <c r="AL41" i="1" l="1"/>
  <c r="BQ34" i="1"/>
  <c r="BL34" i="1"/>
  <c r="BH41" i="1"/>
  <c r="BB34" i="1"/>
  <c r="AX41" i="1"/>
  <c r="BU34" i="1"/>
  <c r="BQ41" i="1"/>
  <c r="AY41" i="1"/>
  <c r="BL44" i="1"/>
  <c r="BL46" i="1" s="1"/>
  <c r="BL50" i="1" s="1"/>
  <c r="BY42" i="1"/>
  <c r="BY149" i="1"/>
  <c r="AC102" i="1"/>
  <c r="CH102" i="1"/>
  <c r="CI102" i="1" s="1"/>
  <c r="CJ102" i="1" s="1"/>
  <c r="CK102" i="1" s="1"/>
  <c r="AA64" i="1"/>
  <c r="BF34" i="1"/>
  <c r="BB41" i="1"/>
  <c r="BO41" i="1"/>
  <c r="BS34" i="1"/>
  <c r="BK41" i="1"/>
  <c r="BO34" i="1"/>
  <c r="CL57" i="1"/>
  <c r="CM57" i="1" s="1"/>
  <c r="CN57" i="1" s="1"/>
  <c r="CO57" i="1" s="1"/>
  <c r="AE57" i="1" s="1"/>
  <c r="AD57" i="1"/>
  <c r="BZ107" i="1"/>
  <c r="BZ108" i="1" s="1"/>
  <c r="BZ114" i="1"/>
  <c r="CA113" i="1"/>
  <c r="CB154" i="1"/>
  <c r="CF97" i="1"/>
  <c r="CE56" i="1"/>
  <c r="CE58" i="1" s="1"/>
  <c r="AO42" i="1"/>
  <c r="BJ44" i="1"/>
  <c r="BJ46" i="1" s="1"/>
  <c r="BJ50" i="1" s="1"/>
  <c r="BV42" i="1"/>
  <c r="BR44" i="1"/>
  <c r="BR46" i="1" s="1"/>
  <c r="BR50" i="1" s="1"/>
  <c r="BX34" i="1"/>
  <c r="BT41" i="1"/>
  <c r="BW34" i="1"/>
  <c r="BW41" i="1"/>
  <c r="AX34" i="1"/>
  <c r="AT41" i="1"/>
  <c r="AR34" i="1"/>
  <c r="AN41" i="1"/>
  <c r="CG139" i="1"/>
  <c r="CH137" i="1" s="1"/>
  <c r="CH139" i="1" s="1"/>
  <c r="CI137" i="1" s="1"/>
  <c r="CI139" i="1" s="1"/>
  <c r="CJ137" i="1" s="1"/>
  <c r="CJ139" i="1" s="1"/>
  <c r="CK137" i="1" s="1"/>
  <c r="AC137" i="1"/>
  <c r="AC139" i="1" s="1"/>
  <c r="BZ67" i="1"/>
  <c r="BZ68" i="1" s="1"/>
  <c r="CA71" i="1"/>
  <c r="AH44" i="1"/>
  <c r="AH46" i="1" s="1"/>
  <c r="AH50" i="1" s="1"/>
  <c r="AL42" i="1"/>
  <c r="BY92" i="1"/>
  <c r="BY91" i="1"/>
  <c r="BY93" i="1"/>
  <c r="BZ140" i="1"/>
  <c r="CA130" i="1"/>
  <c r="CA131" i="1" s="1"/>
  <c r="BX41" i="1"/>
  <c r="AL44" i="1"/>
  <c r="AL46" i="1" s="1"/>
  <c r="AL50" i="1" s="1"/>
  <c r="AM34" i="1"/>
  <c r="AI41" i="1"/>
  <c r="AJ41" i="1"/>
  <c r="AN34" i="1"/>
  <c r="BW76" i="1"/>
  <c r="BW74" i="1" s="1"/>
  <c r="BX76" i="1"/>
  <c r="BX74" i="1" s="1"/>
  <c r="BW78" i="1"/>
  <c r="BW91" i="1"/>
  <c r="BW92" i="1"/>
  <c r="BW93" i="1"/>
  <c r="AY34" i="1"/>
  <c r="AU41" i="1"/>
  <c r="AV34" i="1"/>
  <c r="AR41" i="1"/>
  <c r="CB98" i="1"/>
  <c r="CI48" i="1"/>
  <c r="CJ48" i="1" s="1"/>
  <c r="CK48" i="1" s="1"/>
  <c r="CL48" i="1" s="1"/>
  <c r="AW34" i="1"/>
  <c r="AS41" i="1"/>
  <c r="AP41" i="1"/>
  <c r="AP34" i="1"/>
  <c r="AT34" i="1"/>
  <c r="AM41" i="1"/>
  <c r="AQ34" i="1"/>
  <c r="BY44" i="1"/>
  <c r="BY46" i="1" s="1"/>
  <c r="BY50" i="1" s="1"/>
  <c r="AS42" i="1"/>
  <c r="AO44" i="1"/>
  <c r="AO46" i="1" s="1"/>
  <c r="AO50" i="1" s="1"/>
  <c r="AQ44" i="1"/>
  <c r="AQ46" i="1" s="1"/>
  <c r="AQ50" i="1" s="1"/>
  <c r="BV44" i="1"/>
  <c r="BV46" i="1" s="1"/>
  <c r="BV50" i="1" s="1"/>
  <c r="CE47" i="1"/>
  <c r="CF47" i="1" s="1"/>
  <c r="CG47" i="1" s="1"/>
  <c r="CH47" i="1" s="1"/>
  <c r="CA123" i="1"/>
  <c r="CB119" i="1"/>
  <c r="BG41" i="1"/>
  <c r="BK34" i="1"/>
  <c r="BD34" i="1"/>
  <c r="AZ41" i="1"/>
  <c r="BE41" i="1"/>
  <c r="BI34" i="1"/>
  <c r="BH34" i="1"/>
  <c r="BD41" i="1"/>
  <c r="BQ42" i="1"/>
  <c r="BM44" i="1"/>
  <c r="BM46" i="1" s="1"/>
  <c r="BM50" i="1" s="1"/>
  <c r="BL42" i="1"/>
  <c r="BH44" i="1"/>
  <c r="BH46" i="1" s="1"/>
  <c r="BH50" i="1" s="1"/>
  <c r="BJ42" i="1"/>
  <c r="BF44" i="1"/>
  <c r="BF46" i="1" s="1"/>
  <c r="BF50" i="1" s="1"/>
  <c r="AZ34" i="1"/>
  <c r="AV41" i="1"/>
  <c r="BB42" i="1"/>
  <c r="AX44" i="1"/>
  <c r="AX46" i="1" s="1"/>
  <c r="AX50" i="1" s="1"/>
  <c r="BU42" i="1"/>
  <c r="BQ44" i="1"/>
  <c r="BQ46" i="1" s="1"/>
  <c r="BQ50" i="1" s="1"/>
  <c r="AY44" i="1"/>
  <c r="AY46" i="1" s="1"/>
  <c r="AY50" i="1" s="1"/>
  <c r="BP34" i="1"/>
  <c r="BT34" i="1"/>
  <c r="BP41" i="1"/>
  <c r="BA34" i="1"/>
  <c r="AW41" i="1"/>
  <c r="BU58" i="1"/>
  <c r="BU63" i="1" s="1"/>
  <c r="BU64" i="1" s="1"/>
  <c r="BT57" i="1"/>
  <c r="BM34" i="1"/>
  <c r="BI41" i="1"/>
  <c r="BL54" i="1"/>
  <c r="BN34" i="1"/>
  <c r="BR34" i="1"/>
  <c r="BN41" i="1"/>
  <c r="BU59" i="1"/>
  <c r="BU54" i="1"/>
  <c r="BS54" i="1"/>
  <c r="BG34" i="1"/>
  <c r="BC41" i="1"/>
  <c r="BA44" i="1"/>
  <c r="BA46" i="1" s="1"/>
  <c r="BA50" i="1" s="1"/>
  <c r="Z59" i="1"/>
  <c r="Z60" i="1" s="1"/>
  <c r="Z63" i="1"/>
  <c r="Z68" i="1"/>
  <c r="X56" i="1"/>
  <c r="Y58" i="1"/>
  <c r="BX155" i="1"/>
  <c r="BY76" i="1"/>
  <c r="BY74" i="1" s="1"/>
  <c r="BX78" i="1"/>
  <c r="AK54" i="1"/>
  <c r="BJ54" i="1"/>
  <c r="BG17" i="1"/>
  <c r="BG15" i="1"/>
  <c r="BG14" i="1"/>
  <c r="BG16" i="1" s="1"/>
  <c r="BG19" i="1" s="1"/>
  <c r="BG20" i="1"/>
  <c r="BF9" i="1"/>
  <c r="BG24" i="1"/>
  <c r="BG22" i="1"/>
  <c r="AV17" i="1"/>
  <c r="AV15" i="1"/>
  <c r="AV14" i="1"/>
  <c r="AV16" i="1" s="1"/>
  <c r="AV19" i="1" s="1"/>
  <c r="AV20" i="1"/>
  <c r="AU9" i="1"/>
  <c r="AV24" i="1"/>
  <c r="AV22" i="1"/>
  <c r="AO17" i="1"/>
  <c r="AO20" i="1"/>
  <c r="AO24" i="1"/>
  <c r="AO15" i="1"/>
  <c r="AO14" i="1"/>
  <c r="AO16" i="1" s="1"/>
  <c r="AO19" i="1" s="1"/>
  <c r="AO21" i="1" s="1"/>
  <c r="AN9" i="1"/>
  <c r="AO22" i="1"/>
  <c r="AY20" i="1"/>
  <c r="AY22" i="1"/>
  <c r="AY17" i="1"/>
  <c r="AY14" i="1"/>
  <c r="AY24" i="1"/>
  <c r="AY15" i="1"/>
  <c r="AX9" i="1"/>
  <c r="BK20" i="1"/>
  <c r="BK24" i="1"/>
  <c r="BK22" i="1"/>
  <c r="BK17" i="1"/>
  <c r="BK14" i="1"/>
  <c r="BK15" i="1"/>
  <c r="BJ9" i="1"/>
  <c r="AR15" i="1"/>
  <c r="AR24" i="1"/>
  <c r="AR20" i="1"/>
  <c r="AR17" i="1"/>
  <c r="AQ9" i="1"/>
  <c r="AR22" i="1"/>
  <c r="AR14" i="1"/>
  <c r="AR16" i="1" s="1"/>
  <c r="AR19" i="1" s="1"/>
  <c r="AR21" i="1" s="1"/>
  <c r="AR23" i="1" s="1"/>
  <c r="AR25" i="1" s="1"/>
  <c r="AJ20" i="1"/>
  <c r="AJ15" i="1"/>
  <c r="AJ14" i="1"/>
  <c r="AJ16" i="1" s="1"/>
  <c r="AJ24" i="1"/>
  <c r="AJ17" i="1"/>
  <c r="AJ22" i="1"/>
  <c r="AI20" i="1"/>
  <c r="AI17" i="1"/>
  <c r="AI22" i="1"/>
  <c r="AI14" i="1"/>
  <c r="AI15" i="1"/>
  <c r="AI24" i="1"/>
  <c r="AM20" i="1"/>
  <c r="AM14" i="1"/>
  <c r="AM17" i="1"/>
  <c r="AM24" i="1"/>
  <c r="AM22" i="1"/>
  <c r="AM15" i="1"/>
  <c r="AL9" i="1"/>
  <c r="AZ14" i="1"/>
  <c r="AZ20" i="1"/>
  <c r="AZ17" i="1"/>
  <c r="AZ24" i="1"/>
  <c r="AY9" i="1"/>
  <c r="AZ22" i="1"/>
  <c r="AZ15" i="1"/>
  <c r="BT20" i="1"/>
  <c r="BT14" i="1"/>
  <c r="BT24" i="1"/>
  <c r="BT17" i="1"/>
  <c r="BT22" i="1"/>
  <c r="BT15" i="1"/>
  <c r="BS9" i="1"/>
  <c r="AL15" i="1"/>
  <c r="AL14" i="1"/>
  <c r="AL16" i="1" s="1"/>
  <c r="AL17" i="1"/>
  <c r="AL24" i="1"/>
  <c r="AL22" i="1"/>
  <c r="BC20" i="1"/>
  <c r="BC22" i="1"/>
  <c r="BC17" i="1"/>
  <c r="BC24" i="1"/>
  <c r="BC15" i="1"/>
  <c r="BB9" i="1"/>
  <c r="BC14" i="1"/>
  <c r="BC16" i="1" s="1"/>
  <c r="BC19" i="1" s="1"/>
  <c r="BC21" i="1" s="1"/>
  <c r="BC23" i="1" s="1"/>
  <c r="BC25" i="1" s="1"/>
  <c r="AQ22" i="1"/>
  <c r="AQ17" i="1"/>
  <c r="AQ24" i="1"/>
  <c r="AQ20" i="1"/>
  <c r="AQ14" i="1"/>
  <c r="AP9" i="1"/>
  <c r="AQ15" i="1"/>
  <c r="BE20" i="1"/>
  <c r="BE15" i="1"/>
  <c r="BE24" i="1"/>
  <c r="BE17" i="1"/>
  <c r="BD9" i="1"/>
  <c r="BE14" i="1"/>
  <c r="BE16" i="1" s="1"/>
  <c r="BE19" i="1" s="1"/>
  <c r="BE21" i="1" s="1"/>
  <c r="BE22" i="1"/>
  <c r="BH9" i="1"/>
  <c r="AT24" i="1"/>
  <c r="AT17" i="1"/>
  <c r="AT22" i="1"/>
  <c r="AT20" i="1"/>
  <c r="AT15" i="1"/>
  <c r="AT14" i="1"/>
  <c r="AT16" i="1" s="1"/>
  <c r="AT19" i="1" s="1"/>
  <c r="AT21" i="1" s="1"/>
  <c r="AT23" i="1" s="1"/>
  <c r="AT25" i="1" s="1"/>
  <c r="AS9" i="1"/>
  <c r="BF17" i="1"/>
  <c r="BF22" i="1"/>
  <c r="BF24" i="1"/>
  <c r="BF20" i="1"/>
  <c r="BF14" i="1"/>
  <c r="BF15" i="1"/>
  <c r="BE9" i="1"/>
  <c r="AU24" i="1"/>
  <c r="AU20" i="1"/>
  <c r="AU17" i="1"/>
  <c r="AU15" i="1"/>
  <c r="AU14" i="1"/>
  <c r="AU22" i="1"/>
  <c r="AT9" i="1"/>
  <c r="BI20" i="1"/>
  <c r="BI17" i="1"/>
  <c r="BI15" i="1"/>
  <c r="BI14" i="1"/>
  <c r="BI16" i="1" s="1"/>
  <c r="BI19" i="1" s="1"/>
  <c r="BI21" i="1" s="1"/>
  <c r="BI22" i="1"/>
  <c r="BI24" i="1"/>
  <c r="AW20" i="1"/>
  <c r="AW22" i="1"/>
  <c r="AW24" i="1"/>
  <c r="AW15" i="1"/>
  <c r="AW17" i="1"/>
  <c r="AW14" i="1"/>
  <c r="AW16" i="1" s="1"/>
  <c r="AW19" i="1" s="1"/>
  <c r="AV9" i="1"/>
  <c r="BP17" i="1"/>
  <c r="BP24" i="1"/>
  <c r="BP14" i="1"/>
  <c r="BP20" i="1"/>
  <c r="BP15" i="1"/>
  <c r="BP22" i="1"/>
  <c r="BO9" i="1"/>
  <c r="BB14" i="1"/>
  <c r="BB20" i="1"/>
  <c r="BB24" i="1"/>
  <c r="BB15" i="1"/>
  <c r="BA9" i="1"/>
  <c r="BB22" i="1"/>
  <c r="BB17" i="1"/>
  <c r="BL20" i="1"/>
  <c r="BL24" i="1"/>
  <c r="BL17" i="1"/>
  <c r="BL14" i="1"/>
  <c r="BL15" i="1"/>
  <c r="BK9" i="1"/>
  <c r="BL22" i="1"/>
  <c r="AN24" i="1"/>
  <c r="AN20" i="1"/>
  <c r="AN17" i="1"/>
  <c r="AN14" i="1"/>
  <c r="AN22" i="1"/>
  <c r="AN15" i="1"/>
  <c r="AM9" i="1"/>
  <c r="BS17" i="1"/>
  <c r="BS24" i="1"/>
  <c r="BS14" i="1"/>
  <c r="BS20" i="1"/>
  <c r="BS15" i="1"/>
  <c r="BS22" i="1"/>
  <c r="BR9" i="1"/>
  <c r="BM24" i="1"/>
  <c r="BM22" i="1"/>
  <c r="BM17" i="1"/>
  <c r="BM20" i="1"/>
  <c r="BM14" i="1"/>
  <c r="BM15" i="1"/>
  <c r="BL9" i="1"/>
  <c r="BR20" i="1"/>
  <c r="BR24" i="1"/>
  <c r="BR17" i="1"/>
  <c r="BQ9" i="1"/>
  <c r="BR15" i="1"/>
  <c r="BR22" i="1"/>
  <c r="BR14" i="1"/>
  <c r="BR16" i="1" s="1"/>
  <c r="BR19" i="1" s="1"/>
  <c r="BR21" i="1" s="1"/>
  <c r="BR23" i="1" s="1"/>
  <c r="BR25" i="1" s="1"/>
  <c r="AS20" i="1"/>
  <c r="AS15" i="1"/>
  <c r="AS22" i="1"/>
  <c r="AS24" i="1"/>
  <c r="AS17" i="1"/>
  <c r="AS14" i="1"/>
  <c r="AR9" i="1"/>
  <c r="BH20" i="1"/>
  <c r="BH17" i="1"/>
  <c r="BH14" i="1"/>
  <c r="BH24" i="1"/>
  <c r="BH15" i="1"/>
  <c r="BH22" i="1"/>
  <c r="BG9" i="1"/>
  <c r="BQ15" i="1"/>
  <c r="BQ17" i="1"/>
  <c r="BQ24" i="1"/>
  <c r="BQ20" i="1"/>
  <c r="BQ14" i="1"/>
  <c r="BQ16" i="1" s="1"/>
  <c r="BQ19" i="1" s="1"/>
  <c r="BQ21" i="1" s="1"/>
  <c r="BP9" i="1"/>
  <c r="BQ22" i="1"/>
  <c r="BA17" i="1"/>
  <c r="BA24" i="1"/>
  <c r="BA15" i="1"/>
  <c r="AZ9" i="1"/>
  <c r="BA22" i="1"/>
  <c r="BA14" i="1"/>
  <c r="BA20" i="1"/>
  <c r="BD20" i="1"/>
  <c r="BD15" i="1"/>
  <c r="BD14" i="1"/>
  <c r="BD16" i="1" s="1"/>
  <c r="BD17" i="1"/>
  <c r="BD24" i="1"/>
  <c r="BC9" i="1"/>
  <c r="BD22" i="1"/>
  <c r="BN20" i="1"/>
  <c r="BN24" i="1"/>
  <c r="BN22" i="1"/>
  <c r="BN17" i="1"/>
  <c r="BN15" i="1"/>
  <c r="BN14" i="1"/>
  <c r="BN16" i="1" s="1"/>
  <c r="BN19" i="1" s="1"/>
  <c r="BN21" i="1" s="1"/>
  <c r="BN23" i="1" s="1"/>
  <c r="BN25" i="1" s="1"/>
  <c r="BM9" i="1"/>
  <c r="AX14" i="1"/>
  <c r="AX17" i="1"/>
  <c r="AX24" i="1"/>
  <c r="AX20" i="1"/>
  <c r="AX22" i="1"/>
  <c r="AX15" i="1"/>
  <c r="AW9" i="1"/>
  <c r="BJ20" i="1"/>
  <c r="BJ24" i="1"/>
  <c r="BJ14" i="1"/>
  <c r="BJ22" i="1"/>
  <c r="BJ15" i="1"/>
  <c r="BI9" i="1"/>
  <c r="BJ17" i="1"/>
  <c r="BO24" i="1"/>
  <c r="BO17" i="1"/>
  <c r="BO22" i="1"/>
  <c r="BO20" i="1"/>
  <c r="BO14" i="1"/>
  <c r="BO15" i="1"/>
  <c r="Y7" i="1"/>
  <c r="BN9" i="1"/>
  <c r="AK22" i="1"/>
  <c r="AK20" i="1"/>
  <c r="AK24" i="1"/>
  <c r="AK14" i="1"/>
  <c r="AK17" i="1"/>
  <c r="AK15" i="1"/>
  <c r="AP20" i="1"/>
  <c r="AP14" i="1"/>
  <c r="AO9" i="1"/>
  <c r="AP15" i="1"/>
  <c r="AP22" i="1"/>
  <c r="AP24" i="1"/>
  <c r="AP17" i="1"/>
  <c r="AL20" i="1"/>
  <c r="AC48" i="1"/>
  <c r="AB47" i="1"/>
  <c r="BC34" i="1"/>
  <c r="BY51" i="1" l="1"/>
  <c r="BE42" i="1"/>
  <c r="AD102" i="1"/>
  <c r="CL102" i="1"/>
  <c r="CM102" i="1" s="1"/>
  <c r="CN102" i="1" s="1"/>
  <c r="CO102" i="1" s="1"/>
  <c r="AE102" i="1" s="1"/>
  <c r="AA93" i="1"/>
  <c r="AA92" i="1"/>
  <c r="AA91" i="1"/>
  <c r="AU42" i="1"/>
  <c r="AL19" i="1"/>
  <c r="AU16" i="1"/>
  <c r="AU19" i="1" s="1"/>
  <c r="AU21" i="1" s="1"/>
  <c r="BF42" i="1"/>
  <c r="BB44" i="1"/>
  <c r="BB46" i="1" s="1"/>
  <c r="BB50" i="1" s="1"/>
  <c r="BO44" i="1"/>
  <c r="BO46" i="1" s="1"/>
  <c r="BO50" i="1" s="1"/>
  <c r="BS42" i="1"/>
  <c r="BO42" i="1"/>
  <c r="BK44" i="1"/>
  <c r="BK46" i="1" s="1"/>
  <c r="BK50" i="1" s="1"/>
  <c r="CA114" i="1"/>
  <c r="CA107" i="1"/>
  <c r="CA108" i="1" s="1"/>
  <c r="CB113" i="1"/>
  <c r="CC154" i="1"/>
  <c r="CG97" i="1"/>
  <c r="CF56" i="1"/>
  <c r="CF58" i="1" s="1"/>
  <c r="Z64" i="1"/>
  <c r="AO51" i="1"/>
  <c r="BR54" i="1"/>
  <c r="AZ16" i="1"/>
  <c r="AZ19" i="1" s="1"/>
  <c r="AZ21" i="1" s="1"/>
  <c r="AZ23" i="1" s="1"/>
  <c r="AZ25" i="1" s="1"/>
  <c r="AL21" i="1"/>
  <c r="AL23" i="1" s="1"/>
  <c r="AL25" i="1" s="1"/>
  <c r="BI23" i="1"/>
  <c r="BI25" i="1" s="1"/>
  <c r="AS16" i="1"/>
  <c r="AS19" i="1" s="1"/>
  <c r="AS21" i="1" s="1"/>
  <c r="AS23" i="1" s="1"/>
  <c r="AS25" i="1" s="1"/>
  <c r="BX42" i="1"/>
  <c r="BT44" i="1"/>
  <c r="BT46" i="1" s="1"/>
  <c r="BT50" i="1" s="1"/>
  <c r="BW42" i="1"/>
  <c r="BW44" i="1"/>
  <c r="BW46" i="1" s="1"/>
  <c r="BW50" i="1" s="1"/>
  <c r="AX42" i="1"/>
  <c r="AT44" i="1"/>
  <c r="AT46" i="1" s="1"/>
  <c r="AT50" i="1" s="1"/>
  <c r="AR42" i="1"/>
  <c r="AN44" i="1"/>
  <c r="AN46" i="1" s="1"/>
  <c r="AN50" i="1" s="1"/>
  <c r="CK139" i="1"/>
  <c r="CL137" i="1" s="1"/>
  <c r="CL139" i="1" s="1"/>
  <c r="CM137" i="1" s="1"/>
  <c r="CM139" i="1" s="1"/>
  <c r="CN137" i="1" s="1"/>
  <c r="CN139" i="1" s="1"/>
  <c r="CO137" i="1" s="1"/>
  <c r="AD137" i="1"/>
  <c r="AD139" i="1" s="1"/>
  <c r="CB71" i="1"/>
  <c r="AH54" i="1"/>
  <c r="AL51" i="1"/>
  <c r="CA140" i="1"/>
  <c r="CB130" i="1"/>
  <c r="CB131" i="1" s="1"/>
  <c r="BX44" i="1"/>
  <c r="BX46" i="1" s="1"/>
  <c r="BX50" i="1" s="1"/>
  <c r="AL54" i="1"/>
  <c r="AM42" i="1"/>
  <c r="AI44" i="1"/>
  <c r="AI46" i="1" s="1"/>
  <c r="AI50" i="1" s="1"/>
  <c r="AN42" i="1"/>
  <c r="AJ44" i="1"/>
  <c r="AJ46" i="1" s="1"/>
  <c r="AJ50" i="1" s="1"/>
  <c r="AY42" i="1"/>
  <c r="AU44" i="1"/>
  <c r="AU46" i="1" s="1"/>
  <c r="AU50" i="1" s="1"/>
  <c r="AV42" i="1"/>
  <c r="AR44" i="1"/>
  <c r="AR46" i="1" s="1"/>
  <c r="AR50" i="1" s="1"/>
  <c r="CC98" i="1"/>
  <c r="CM48" i="1"/>
  <c r="CN48" i="1" s="1"/>
  <c r="CO48" i="1" s="1"/>
  <c r="AW42" i="1"/>
  <c r="AS44" i="1"/>
  <c r="AS46" i="1" s="1"/>
  <c r="AS50" i="1" s="1"/>
  <c r="AT42" i="1"/>
  <c r="AP44" i="1"/>
  <c r="AP46" i="1" s="1"/>
  <c r="AP50" i="1" s="1"/>
  <c r="AM44" i="1"/>
  <c r="AM46" i="1" s="1"/>
  <c r="AM50" i="1" s="1"/>
  <c r="AQ42" i="1"/>
  <c r="BY54" i="1"/>
  <c r="BY59" i="1"/>
  <c r="AO54" i="1"/>
  <c r="AQ54" i="1"/>
  <c r="BV99" i="1"/>
  <c r="BV100" i="1" s="1"/>
  <c r="BV59" i="1"/>
  <c r="BV54" i="1"/>
  <c r="BV143" i="1"/>
  <c r="BV144" i="1" s="1"/>
  <c r="BV148" i="1" s="1"/>
  <c r="CI47" i="1"/>
  <c r="CJ47" i="1" s="1"/>
  <c r="CK47" i="1" s="1"/>
  <c r="CL47" i="1" s="1"/>
  <c r="CC119" i="1"/>
  <c r="CB123" i="1"/>
  <c r="BK42" i="1"/>
  <c r="BG44" i="1"/>
  <c r="BG46" i="1" s="1"/>
  <c r="BG50" i="1" s="1"/>
  <c r="BD42" i="1"/>
  <c r="AZ44" i="1"/>
  <c r="AZ46" i="1" s="1"/>
  <c r="AZ50" i="1" s="1"/>
  <c r="BE44" i="1"/>
  <c r="BE46" i="1" s="1"/>
  <c r="BE50" i="1" s="1"/>
  <c r="BI42" i="1"/>
  <c r="BH42" i="1"/>
  <c r="BD44" i="1"/>
  <c r="BD46" i="1" s="1"/>
  <c r="BD50" i="1" s="1"/>
  <c r="BQ51" i="1"/>
  <c r="BM54" i="1"/>
  <c r="BL51" i="1"/>
  <c r="BH54" i="1"/>
  <c r="BJ51" i="1"/>
  <c r="BF54" i="1"/>
  <c r="AZ42" i="1"/>
  <c r="AV44" i="1"/>
  <c r="AV46" i="1" s="1"/>
  <c r="AV50" i="1" s="1"/>
  <c r="AX54" i="1"/>
  <c r="BQ54" i="1"/>
  <c r="BU51" i="1"/>
  <c r="AY54" i="1"/>
  <c r="BP42" i="1"/>
  <c r="BT42" i="1"/>
  <c r="BP44" i="1"/>
  <c r="BP46" i="1" s="1"/>
  <c r="BP50" i="1" s="1"/>
  <c r="BA42" i="1"/>
  <c r="AW44" i="1"/>
  <c r="AW46" i="1" s="1"/>
  <c r="AW50" i="1" s="1"/>
  <c r="BU92" i="1"/>
  <c r="BU93" i="1"/>
  <c r="BU91" i="1"/>
  <c r="BS57" i="1"/>
  <c r="BT58" i="1"/>
  <c r="BM42" i="1"/>
  <c r="BI44" i="1"/>
  <c r="BI46" i="1" s="1"/>
  <c r="BI50" i="1" s="1"/>
  <c r="BN42" i="1"/>
  <c r="BR42" i="1"/>
  <c r="BN44" i="1"/>
  <c r="BN46" i="1" s="1"/>
  <c r="BN50" i="1" s="1"/>
  <c r="BG42" i="1"/>
  <c r="BC44" i="1"/>
  <c r="BC46" i="1" s="1"/>
  <c r="BC50" i="1" s="1"/>
  <c r="BA54" i="1"/>
  <c r="W56" i="1"/>
  <c r="X58" i="1"/>
  <c r="Y63" i="1"/>
  <c r="Y59" i="1"/>
  <c r="Y60" i="1" s="1"/>
  <c r="Y68" i="1"/>
  <c r="Z24" i="1"/>
  <c r="Z20" i="1"/>
  <c r="Z17" i="1"/>
  <c r="Z22" i="1"/>
  <c r="Z14" i="1"/>
  <c r="Z15" i="1"/>
  <c r="Y9" i="1"/>
  <c r="BV51" i="1"/>
  <c r="BG21" i="1"/>
  <c r="BG23" i="1" s="1"/>
  <c r="BG25" i="1" s="1"/>
  <c r="AV21" i="1"/>
  <c r="AV23" i="1" s="1"/>
  <c r="AV25" i="1" s="1"/>
  <c r="AO23" i="1"/>
  <c r="AO25" i="1" s="1"/>
  <c r="AY16" i="1"/>
  <c r="AY19" i="1" s="1"/>
  <c r="AY21" i="1" s="1"/>
  <c r="AY23" i="1" s="1"/>
  <c r="AY25" i="1" s="1"/>
  <c r="BK16" i="1"/>
  <c r="BK19" i="1" s="1"/>
  <c r="BK21" i="1" s="1"/>
  <c r="BK23" i="1" s="1"/>
  <c r="BK25" i="1" s="1"/>
  <c r="AJ19" i="1"/>
  <c r="AJ21" i="1" s="1"/>
  <c r="AJ23" i="1" s="1"/>
  <c r="AJ25" i="1" s="1"/>
  <c r="AI16" i="1"/>
  <c r="AI19" i="1" s="1"/>
  <c r="AI21" i="1" s="1"/>
  <c r="AI23" i="1" s="1"/>
  <c r="AI25" i="1" s="1"/>
  <c r="AM16" i="1"/>
  <c r="AM19" i="1" s="1"/>
  <c r="AM21" i="1" s="1"/>
  <c r="AM23" i="1" s="1"/>
  <c r="AM25" i="1" s="1"/>
  <c r="BE23" i="1"/>
  <c r="BE25" i="1" s="1"/>
  <c r="BF16" i="1"/>
  <c r="BF19" i="1" s="1"/>
  <c r="BF21" i="1" s="1"/>
  <c r="BF23" i="1" s="1"/>
  <c r="BF25" i="1" s="1"/>
  <c r="BT16" i="1"/>
  <c r="BT19" i="1" s="1"/>
  <c r="BT21" i="1" s="1"/>
  <c r="BT23" i="1" s="1"/>
  <c r="BT25" i="1" s="1"/>
  <c r="AQ16" i="1"/>
  <c r="AQ19" i="1" s="1"/>
  <c r="AQ21" i="1" s="1"/>
  <c r="AQ23" i="1" s="1"/>
  <c r="AQ25" i="1" s="1"/>
  <c r="AW21" i="1"/>
  <c r="AW23" i="1" s="1"/>
  <c r="AW25" i="1" s="1"/>
  <c r="BP16" i="1"/>
  <c r="BP19" i="1" s="1"/>
  <c r="BP21" i="1" s="1"/>
  <c r="BP23" i="1" s="1"/>
  <c r="BP25" i="1" s="1"/>
  <c r="BB16" i="1"/>
  <c r="BB19" i="1" s="1"/>
  <c r="BB21" i="1" s="1"/>
  <c r="BB23" i="1" s="1"/>
  <c r="BB25" i="1" s="1"/>
  <c r="BL16" i="1"/>
  <c r="BL19" i="1" s="1"/>
  <c r="BL21" i="1" s="1"/>
  <c r="BL23" i="1" s="1"/>
  <c r="BL25" i="1" s="1"/>
  <c r="AN16" i="1"/>
  <c r="AN19" i="1" s="1"/>
  <c r="AN21" i="1" s="1"/>
  <c r="AN23" i="1" s="1"/>
  <c r="AN25" i="1" s="1"/>
  <c r="BS16" i="1"/>
  <c r="BS19" i="1" s="1"/>
  <c r="BS21" i="1" s="1"/>
  <c r="BS23" i="1" s="1"/>
  <c r="BS25" i="1" s="1"/>
  <c r="BM16" i="1"/>
  <c r="BM19" i="1" s="1"/>
  <c r="BM21" i="1" s="1"/>
  <c r="BM23" i="1" s="1"/>
  <c r="BM25" i="1" s="1"/>
  <c r="BH16" i="1"/>
  <c r="BH19" i="1" s="1"/>
  <c r="BH21" i="1" s="1"/>
  <c r="BH23" i="1" s="1"/>
  <c r="BH25" i="1" s="1"/>
  <c r="BQ23" i="1"/>
  <c r="BQ25" i="1" s="1"/>
  <c r="BA16" i="1"/>
  <c r="BA19" i="1" s="1"/>
  <c r="BA21" i="1" s="1"/>
  <c r="BA23" i="1" s="1"/>
  <c r="BA25" i="1" s="1"/>
  <c r="BD19" i="1"/>
  <c r="BD21" i="1" s="1"/>
  <c r="BD23" i="1" s="1"/>
  <c r="BD25" i="1" s="1"/>
  <c r="AX16" i="1"/>
  <c r="AX19" i="1" s="1"/>
  <c r="AX21" i="1" s="1"/>
  <c r="AX23" i="1" s="1"/>
  <c r="AX25" i="1" s="1"/>
  <c r="BJ16" i="1"/>
  <c r="BJ19" i="1" s="1"/>
  <c r="BJ21" i="1" s="1"/>
  <c r="BJ23" i="1" s="1"/>
  <c r="BJ25" i="1" s="1"/>
  <c r="BO16" i="1"/>
  <c r="BO19" i="1" s="1"/>
  <c r="BO21" i="1" s="1"/>
  <c r="BO23" i="1" s="1"/>
  <c r="BO25" i="1" s="1"/>
  <c r="AK16" i="1"/>
  <c r="AK19" i="1" s="1"/>
  <c r="AK21" i="1" s="1"/>
  <c r="AK23" i="1" s="1"/>
  <c r="AK25" i="1" s="1"/>
  <c r="AP16" i="1"/>
  <c r="AP19" i="1" s="1"/>
  <c r="AP21" i="1" s="1"/>
  <c r="AP23" i="1" s="1"/>
  <c r="AP25" i="1" s="1"/>
  <c r="AP42" i="1"/>
  <c r="AD48" i="1"/>
  <c r="AC47" i="1"/>
  <c r="BC42" i="1"/>
  <c r="CA67" i="1" l="1"/>
  <c r="CA68" i="1" s="1"/>
  <c r="AS51" i="1"/>
  <c r="AU51" i="1"/>
  <c r="BY77" i="1"/>
  <c r="BB51" i="1"/>
  <c r="AU23" i="1"/>
  <c r="AU25" i="1" s="1"/>
  <c r="Z91" i="1"/>
  <c r="Z93" i="1"/>
  <c r="Z92" i="1"/>
  <c r="BB54" i="1"/>
  <c r="BF51" i="1"/>
  <c r="BO54" i="1"/>
  <c r="BS51" i="1"/>
  <c r="BO51" i="1"/>
  <c r="BK54" i="1"/>
  <c r="CB114" i="1"/>
  <c r="CB107" i="1"/>
  <c r="CB108" i="1" s="1"/>
  <c r="CC113" i="1"/>
  <c r="CD154" i="1"/>
  <c r="CH97" i="1"/>
  <c r="AC97" i="1"/>
  <c r="CG56" i="1"/>
  <c r="BE51" i="1"/>
  <c r="BU77" i="1"/>
  <c r="BW77" i="1"/>
  <c r="BT99" i="1"/>
  <c r="BT100" i="1" s="1"/>
  <c r="BT59" i="1"/>
  <c r="BT54" i="1"/>
  <c r="BX51" i="1"/>
  <c r="BW51" i="1"/>
  <c r="BW54" i="1"/>
  <c r="BW59" i="1"/>
  <c r="BW60" i="1" s="1"/>
  <c r="AT54" i="1"/>
  <c r="AX51" i="1"/>
  <c r="AN54" i="1"/>
  <c r="AR51" i="1"/>
  <c r="AE137" i="1"/>
  <c r="AE139" i="1" s="1"/>
  <c r="CO139" i="1"/>
  <c r="CC71" i="1"/>
  <c r="CB140" i="1"/>
  <c r="CC130" i="1"/>
  <c r="BX99" i="1"/>
  <c r="BX100" i="1" s="1"/>
  <c r="BX143" i="1"/>
  <c r="BX144" i="1" s="1"/>
  <c r="BX148" i="1" s="1"/>
  <c r="BX59" i="1"/>
  <c r="BX54" i="1"/>
  <c r="AI54" i="1"/>
  <c r="AM51" i="1"/>
  <c r="AJ54" i="1"/>
  <c r="AN51" i="1"/>
  <c r="AY51" i="1"/>
  <c r="AU54" i="1"/>
  <c r="AR54" i="1"/>
  <c r="AV51" i="1"/>
  <c r="CD98" i="1"/>
  <c r="AS54" i="1"/>
  <c r="AW51" i="1"/>
  <c r="AP54" i="1"/>
  <c r="AT51" i="1"/>
  <c r="AM54" i="1"/>
  <c r="AQ51" i="1"/>
  <c r="BV11" i="1"/>
  <c r="BV109" i="1"/>
  <c r="BV152" i="1"/>
  <c r="BV6" i="1"/>
  <c r="BW6" i="1"/>
  <c r="BV77" i="1"/>
  <c r="BV63" i="1"/>
  <c r="BV64" i="1" s="1"/>
  <c r="CM47" i="1"/>
  <c r="CN47" i="1" s="1"/>
  <c r="CO47" i="1" s="1"/>
  <c r="CC123" i="1"/>
  <c r="CD119" i="1"/>
  <c r="AB119" i="1"/>
  <c r="AB123" i="1" s="1"/>
  <c r="BG54" i="1"/>
  <c r="BK51" i="1"/>
  <c r="AZ54" i="1"/>
  <c r="BD51" i="1"/>
  <c r="BI51" i="1"/>
  <c r="BE54" i="1"/>
  <c r="BH51" i="1"/>
  <c r="BD54" i="1"/>
  <c r="AV54" i="1"/>
  <c r="AZ51" i="1"/>
  <c r="BP51" i="1"/>
  <c r="BT51" i="1"/>
  <c r="BP54" i="1"/>
  <c r="BA51" i="1"/>
  <c r="AW54" i="1"/>
  <c r="BS58" i="1"/>
  <c r="BR57" i="1"/>
  <c r="BI54" i="1"/>
  <c r="BM51" i="1"/>
  <c r="BN51" i="1"/>
  <c r="BN54" i="1"/>
  <c r="BR51" i="1"/>
  <c r="BC54" i="1"/>
  <c r="BG51" i="1"/>
  <c r="W58" i="1"/>
  <c r="V56" i="1"/>
  <c r="X63" i="1"/>
  <c r="X59" i="1"/>
  <c r="X60" i="1" s="1"/>
  <c r="X68" i="1"/>
  <c r="AP51" i="1"/>
  <c r="AE48" i="1"/>
  <c r="AD47" i="1"/>
  <c r="BC51" i="1"/>
  <c r="Y64" i="1"/>
  <c r="Z16" i="1"/>
  <c r="Z19" i="1" s="1"/>
  <c r="Z21" i="1" s="1"/>
  <c r="Z23" i="1" s="1"/>
  <c r="Z25" i="1" s="1"/>
  <c r="CB67" i="1" l="1"/>
  <c r="CB68" i="1" s="1"/>
  <c r="CC107" i="1"/>
  <c r="AB113" i="1"/>
  <c r="CC114" i="1"/>
  <c r="CD113" i="1"/>
  <c r="CE154" i="1"/>
  <c r="CI97" i="1"/>
  <c r="CH56" i="1"/>
  <c r="CH58" i="1" s="1"/>
  <c r="CG58" i="1"/>
  <c r="AC56" i="1"/>
  <c r="AC58" i="1" s="1"/>
  <c r="BT109" i="1"/>
  <c r="BT11" i="1"/>
  <c r="BT152" i="1"/>
  <c r="BT6" i="1"/>
  <c r="BU6" i="1"/>
  <c r="BT63" i="1"/>
  <c r="BT64" i="1" s="1"/>
  <c r="CD71" i="1"/>
  <c r="CC131" i="1"/>
  <c r="AB130" i="1"/>
  <c r="AB131" i="1" s="1"/>
  <c r="AB140" i="1" s="1"/>
  <c r="BX152" i="1"/>
  <c r="BX11" i="1"/>
  <c r="BX109" i="1"/>
  <c r="BX6" i="1"/>
  <c r="BX77" i="1"/>
  <c r="BX63" i="1"/>
  <c r="BX64" i="1" s="1"/>
  <c r="BY6" i="1"/>
  <c r="BY60" i="1"/>
  <c r="BX60" i="1"/>
  <c r="CE98" i="1"/>
  <c r="BV149" i="1"/>
  <c r="BV7" i="1"/>
  <c r="BW7" i="1"/>
  <c r="BV91" i="1"/>
  <c r="BV92" i="1"/>
  <c r="BV93" i="1"/>
  <c r="CD123" i="1"/>
  <c r="CE119" i="1"/>
  <c r="BS59" i="1"/>
  <c r="BS63" i="1"/>
  <c r="BS64" i="1" s="1"/>
  <c r="BQ57" i="1"/>
  <c r="BR58" i="1"/>
  <c r="W63" i="1"/>
  <c r="W59" i="1"/>
  <c r="W60" i="1" s="1"/>
  <c r="W68" i="1"/>
  <c r="U56" i="1"/>
  <c r="V58" i="1"/>
  <c r="Y91" i="1"/>
  <c r="Y92" i="1"/>
  <c r="Y93" i="1"/>
  <c r="X64" i="1"/>
  <c r="AE47" i="1"/>
  <c r="CC67" i="1" l="1"/>
  <c r="CC68" i="1" s="1"/>
  <c r="AB107" i="1"/>
  <c r="AB108" i="1" s="1"/>
  <c r="AB155" i="1" s="1"/>
  <c r="CC108" i="1"/>
  <c r="AB114" i="1"/>
  <c r="AB154" i="1"/>
  <c r="CD114" i="1"/>
  <c r="CD107" i="1"/>
  <c r="CD108" i="1" s="1"/>
  <c r="CE113" i="1"/>
  <c r="CF154" i="1"/>
  <c r="CJ97" i="1"/>
  <c r="CI56" i="1"/>
  <c r="CI58" i="1" s="1"/>
  <c r="BT7" i="1"/>
  <c r="BU7" i="1"/>
  <c r="BT149" i="1"/>
  <c r="BT91" i="1"/>
  <c r="BT92" i="1"/>
  <c r="BT93" i="1"/>
  <c r="CE71" i="1"/>
  <c r="CC140" i="1"/>
  <c r="CD130" i="1"/>
  <c r="CD131" i="1" s="1"/>
  <c r="BX149" i="1"/>
  <c r="BY7" i="1"/>
  <c r="BX7" i="1"/>
  <c r="BX91" i="1"/>
  <c r="BX93" i="1"/>
  <c r="BX92" i="1"/>
  <c r="CF98" i="1"/>
  <c r="BW15" i="1"/>
  <c r="BV9" i="1"/>
  <c r="BW22" i="1"/>
  <c r="BW14" i="1"/>
  <c r="BW17" i="1"/>
  <c r="BW24" i="1"/>
  <c r="BW20" i="1"/>
  <c r="BX22" i="1"/>
  <c r="BX14" i="1"/>
  <c r="BW9" i="1"/>
  <c r="BX15" i="1"/>
  <c r="BX17" i="1"/>
  <c r="BX20" i="1"/>
  <c r="BX24" i="1"/>
  <c r="CE123" i="1"/>
  <c r="CF119" i="1"/>
  <c r="BS91" i="1"/>
  <c r="BS92" i="1"/>
  <c r="BS93" i="1"/>
  <c r="BP57" i="1"/>
  <c r="BQ58" i="1"/>
  <c r="BR59" i="1"/>
  <c r="BR63" i="1"/>
  <c r="BR64" i="1" s="1"/>
  <c r="T56" i="1"/>
  <c r="U58" i="1"/>
  <c r="V63" i="1"/>
  <c r="V59" i="1"/>
  <c r="V60" i="1" s="1"/>
  <c r="V68" i="1"/>
  <c r="X91" i="1"/>
  <c r="X92" i="1"/>
  <c r="X93" i="1"/>
  <c r="AA6" i="1"/>
  <c r="Z6" i="1"/>
  <c r="BV60" i="1"/>
  <c r="W64" i="1"/>
  <c r="CD67" i="1" l="1"/>
  <c r="CD68" i="1" s="1"/>
  <c r="AA7" i="1"/>
  <c r="CE107" i="1"/>
  <c r="CE108" i="1" s="1"/>
  <c r="CE114" i="1"/>
  <c r="CF113" i="1"/>
  <c r="CG154" i="1"/>
  <c r="CK97" i="1"/>
  <c r="CJ56" i="1"/>
  <c r="CJ58" i="1" s="1"/>
  <c r="BY9" i="1"/>
  <c r="BT9" i="1"/>
  <c r="Z7" i="1"/>
  <c r="BU17" i="1"/>
  <c r="BU22" i="1"/>
  <c r="BU24" i="1"/>
  <c r="BU14" i="1"/>
  <c r="BU15" i="1"/>
  <c r="BU20" i="1"/>
  <c r="BV24" i="1"/>
  <c r="BV20" i="1"/>
  <c r="BV17" i="1"/>
  <c r="BU9" i="1"/>
  <c r="BV15" i="1"/>
  <c r="BV14" i="1"/>
  <c r="BV22" i="1"/>
  <c r="CF71" i="1"/>
  <c r="CD140" i="1"/>
  <c r="CE130" i="1"/>
  <c r="CE131" i="1" s="1"/>
  <c r="BY15" i="1"/>
  <c r="BX9" i="1"/>
  <c r="BY22" i="1"/>
  <c r="BZ22" i="1" s="1"/>
  <c r="BY14" i="1"/>
  <c r="BY24" i="1"/>
  <c r="BY17" i="1"/>
  <c r="BZ17" i="1" s="1"/>
  <c r="BY20" i="1"/>
  <c r="BZ20" i="1" s="1"/>
  <c r="CG98" i="1"/>
  <c r="BW16" i="1"/>
  <c r="BW19" i="1" s="1"/>
  <c r="BW21" i="1" s="1"/>
  <c r="BW23" i="1" s="1"/>
  <c r="BW25" i="1" s="1"/>
  <c r="BX16" i="1"/>
  <c r="BX19" i="1" s="1"/>
  <c r="BX21" i="1" s="1"/>
  <c r="BX23" i="1" s="1"/>
  <c r="BX25" i="1" s="1"/>
  <c r="CF123" i="1"/>
  <c r="CG119" i="1"/>
  <c r="BP58" i="1"/>
  <c r="BO57" i="1"/>
  <c r="BQ59" i="1"/>
  <c r="BQ63" i="1"/>
  <c r="BQ64" i="1" s="1"/>
  <c r="BR91" i="1"/>
  <c r="BR92" i="1"/>
  <c r="BR93" i="1"/>
  <c r="S56" i="1"/>
  <c r="T58" i="1"/>
  <c r="U63" i="1"/>
  <c r="U68" i="1"/>
  <c r="U59" i="1"/>
  <c r="U60" i="1" s="1"/>
  <c r="W91" i="1"/>
  <c r="W93" i="1"/>
  <c r="W92" i="1"/>
  <c r="V64" i="1"/>
  <c r="BU60" i="1"/>
  <c r="BT60" i="1"/>
  <c r="BZ15" i="1" l="1"/>
  <c r="CE67" i="1"/>
  <c r="CE68" i="1" s="1"/>
  <c r="CA15" i="1"/>
  <c r="CF107" i="1"/>
  <c r="CF108" i="1" s="1"/>
  <c r="CF114" i="1"/>
  <c r="CG113" i="1"/>
  <c r="CH154" i="1"/>
  <c r="AD97" i="1"/>
  <c r="CK56" i="1"/>
  <c r="CL97" i="1"/>
  <c r="AA9" i="1"/>
  <c r="Z9" i="1"/>
  <c r="AA17" i="1"/>
  <c r="AA15" i="1"/>
  <c r="AA22" i="1"/>
  <c r="AA14" i="1"/>
  <c r="AA20" i="1"/>
  <c r="AA24" i="1"/>
  <c r="BZ30" i="1"/>
  <c r="BZ14" i="1"/>
  <c r="BV16" i="1"/>
  <c r="BV19" i="1" s="1"/>
  <c r="BV21" i="1" s="1"/>
  <c r="BV23" i="1" s="1"/>
  <c r="BV25" i="1" s="1"/>
  <c r="CG71" i="1"/>
  <c r="CE140" i="1"/>
  <c r="CF130" i="1"/>
  <c r="CF131" i="1" s="1"/>
  <c r="BZ43" i="1"/>
  <c r="CA22" i="1"/>
  <c r="BY16" i="1"/>
  <c r="BY19" i="1" s="1"/>
  <c r="BY21" i="1" s="1"/>
  <c r="BY23" i="1" s="1"/>
  <c r="BY25" i="1" s="1"/>
  <c r="CA17" i="1"/>
  <c r="BZ32" i="1"/>
  <c r="CA20" i="1"/>
  <c r="BZ35" i="1"/>
  <c r="CH98" i="1"/>
  <c r="CG123" i="1"/>
  <c r="CH119" i="1"/>
  <c r="AC119" i="1"/>
  <c r="AC123" i="1" s="1"/>
  <c r="BP59" i="1"/>
  <c r="BP63" i="1"/>
  <c r="BP64" i="1" s="1"/>
  <c r="BN57" i="1"/>
  <c r="BO58" i="1"/>
  <c r="BQ92" i="1"/>
  <c r="BQ93" i="1"/>
  <c r="BQ91" i="1"/>
  <c r="R56" i="1"/>
  <c r="S58" i="1"/>
  <c r="T68" i="1"/>
  <c r="T63" i="1"/>
  <c r="T64" i="1" s="1"/>
  <c r="T59" i="1"/>
  <c r="T60" i="1" s="1"/>
  <c r="V91" i="1"/>
  <c r="V93" i="1"/>
  <c r="V92" i="1"/>
  <c r="U64" i="1"/>
  <c r="BU16" i="1"/>
  <c r="BU19" i="1" s="1"/>
  <c r="BU21" i="1" s="1"/>
  <c r="BU23" i="1" s="1"/>
  <c r="BU25" i="1" s="1"/>
  <c r="CB15" i="1" l="1"/>
  <c r="CC15" i="1"/>
  <c r="CA14" i="1"/>
  <c r="CB14" i="1"/>
  <c r="CG107" i="1"/>
  <c r="AC113" i="1"/>
  <c r="CG114" i="1"/>
  <c r="CH113" i="1"/>
  <c r="CI154" i="1"/>
  <c r="CK58" i="1"/>
  <c r="AD56" i="1"/>
  <c r="AD58" i="1" s="1"/>
  <c r="CM97" i="1"/>
  <c r="CL56" i="1"/>
  <c r="CL58" i="1" s="1"/>
  <c r="AA16" i="1"/>
  <c r="AA19" i="1" s="1"/>
  <c r="CF67" i="1"/>
  <c r="CF68" i="1" s="1"/>
  <c r="BZ29" i="1"/>
  <c r="BZ16" i="1"/>
  <c r="BZ19" i="1" s="1"/>
  <c r="BZ21" i="1" s="1"/>
  <c r="BZ23" i="1" s="1"/>
  <c r="CH71" i="1"/>
  <c r="CF140" i="1"/>
  <c r="CG130" i="1"/>
  <c r="CB22" i="1"/>
  <c r="CB17" i="1"/>
  <c r="CB20" i="1"/>
  <c r="BZ40" i="1"/>
  <c r="CI98" i="1"/>
  <c r="CH123" i="1"/>
  <c r="CI119" i="1"/>
  <c r="BS60" i="1"/>
  <c r="BP91" i="1"/>
  <c r="BP93" i="1"/>
  <c r="BP92" i="1"/>
  <c r="BN58" i="1"/>
  <c r="BM57" i="1"/>
  <c r="BO59" i="1"/>
  <c r="BO63" i="1"/>
  <c r="BO64" i="1" s="1"/>
  <c r="R58" i="1"/>
  <c r="Q56" i="1"/>
  <c r="S63" i="1"/>
  <c r="S59" i="1"/>
  <c r="S60" i="1" s="1"/>
  <c r="S68" i="1"/>
  <c r="T92" i="1"/>
  <c r="T93" i="1"/>
  <c r="T91" i="1"/>
  <c r="U93" i="1"/>
  <c r="U91" i="1"/>
  <c r="U92" i="1"/>
  <c r="CD15" i="1" l="1"/>
  <c r="CA16" i="1"/>
  <c r="CA19" i="1" s="1"/>
  <c r="CA21" i="1" s="1"/>
  <c r="CA23" i="1" s="1"/>
  <c r="CB16" i="1"/>
  <c r="CE15" i="1"/>
  <c r="CC14" i="1"/>
  <c r="AA21" i="1"/>
  <c r="AA23" i="1" s="1"/>
  <c r="CG108" i="1"/>
  <c r="AC107" i="1"/>
  <c r="AC108" i="1" s="1"/>
  <c r="AC155" i="1" s="1"/>
  <c r="AC114" i="1"/>
  <c r="AC154" i="1"/>
  <c r="CH114" i="1"/>
  <c r="CH107" i="1"/>
  <c r="CH108" i="1" s="1"/>
  <c r="CI113" i="1"/>
  <c r="CJ154" i="1"/>
  <c r="CN97" i="1"/>
  <c r="CM56" i="1"/>
  <c r="CM58" i="1" s="1"/>
  <c r="CG67" i="1"/>
  <c r="CG68" i="1" s="1"/>
  <c r="BZ31" i="1"/>
  <c r="CI71" i="1"/>
  <c r="CG131" i="1"/>
  <c r="AC130" i="1"/>
  <c r="AC131" i="1" s="1"/>
  <c r="AC140" i="1" s="1"/>
  <c r="CC22" i="1"/>
  <c r="CB19" i="1"/>
  <c r="CB21" i="1" s="1"/>
  <c r="CB23" i="1" s="1"/>
  <c r="CC17" i="1"/>
  <c r="CC20" i="1"/>
  <c r="CJ98" i="1"/>
  <c r="CI123" i="1"/>
  <c r="CJ119" i="1"/>
  <c r="BN59" i="1"/>
  <c r="BN63" i="1"/>
  <c r="BN64" i="1" s="1"/>
  <c r="BL57" i="1"/>
  <c r="BM58" i="1"/>
  <c r="BO91" i="1"/>
  <c r="BO92" i="1"/>
  <c r="BO93" i="1"/>
  <c r="R63" i="1"/>
  <c r="R68" i="1"/>
  <c r="R59" i="1"/>
  <c r="R60" i="1" s="1"/>
  <c r="P56" i="1"/>
  <c r="Q58" i="1"/>
  <c r="BR60" i="1"/>
  <c r="S64" i="1"/>
  <c r="CC16" i="1" l="1"/>
  <c r="BQ60" i="1"/>
  <c r="CF15" i="1"/>
  <c r="CD14" i="1"/>
  <c r="AA25" i="1"/>
  <c r="CI107" i="1"/>
  <c r="CI108" i="1" s="1"/>
  <c r="CI114" i="1"/>
  <c r="CJ113" i="1"/>
  <c r="CK154" i="1"/>
  <c r="CO97" i="1"/>
  <c r="CN56" i="1"/>
  <c r="CN58" i="1" s="1"/>
  <c r="CH67" i="1"/>
  <c r="CH68" i="1" s="1"/>
  <c r="BZ33" i="1"/>
  <c r="CJ71" i="1"/>
  <c r="CG140" i="1"/>
  <c r="CH130" i="1"/>
  <c r="CH131" i="1" s="1"/>
  <c r="CD22" i="1"/>
  <c r="CD17" i="1"/>
  <c r="CD20" i="1"/>
  <c r="CK98" i="1"/>
  <c r="CJ123" i="1"/>
  <c r="CK119" i="1"/>
  <c r="BN91" i="1"/>
  <c r="BN92" i="1"/>
  <c r="BN93" i="1"/>
  <c r="BL58" i="1"/>
  <c r="BK57" i="1"/>
  <c r="BM59" i="1"/>
  <c r="BM63" i="1"/>
  <c r="BM64" i="1" s="1"/>
  <c r="O56" i="1"/>
  <c r="P58" i="1"/>
  <c r="Q68" i="1"/>
  <c r="Q59" i="1"/>
  <c r="Q60" i="1" s="1"/>
  <c r="Q63" i="1"/>
  <c r="S93" i="1"/>
  <c r="S91" i="1"/>
  <c r="S92" i="1"/>
  <c r="R64" i="1"/>
  <c r="CE14" i="1" l="1"/>
  <c r="Q64" i="1"/>
  <c r="CF14" i="1"/>
  <c r="CE16" i="1"/>
  <c r="CD16" i="1"/>
  <c r="CC19" i="1"/>
  <c r="CC21" i="1" s="1"/>
  <c r="CC23" i="1" s="1"/>
  <c r="CG14" i="1"/>
  <c r="CG15" i="1"/>
  <c r="CJ114" i="1"/>
  <c r="CJ107" i="1"/>
  <c r="CJ108" i="1" s="1"/>
  <c r="CK113" i="1"/>
  <c r="CL154" i="1"/>
  <c r="CO56" i="1"/>
  <c r="AE97" i="1"/>
  <c r="CI67" i="1"/>
  <c r="CI68" i="1" s="1"/>
  <c r="BZ34" i="1"/>
  <c r="BZ41" i="1"/>
  <c r="CJ67" i="1"/>
  <c r="CJ68" i="1" s="1"/>
  <c r="CK71" i="1"/>
  <c r="CH140" i="1"/>
  <c r="CI130" i="1"/>
  <c r="CI131" i="1" s="1"/>
  <c r="CE22" i="1"/>
  <c r="CD19" i="1"/>
  <c r="CD21" i="1" s="1"/>
  <c r="CD23" i="1" s="1"/>
  <c r="CE17" i="1"/>
  <c r="CE20" i="1"/>
  <c r="CL98" i="1"/>
  <c r="CL119" i="1"/>
  <c r="CK123" i="1"/>
  <c r="AD119" i="1"/>
  <c r="AD123" i="1" s="1"/>
  <c r="BL59" i="1"/>
  <c r="BL63" i="1"/>
  <c r="BL64" i="1" s="1"/>
  <c r="BJ57" i="1"/>
  <c r="BK58" i="1"/>
  <c r="BP60" i="1"/>
  <c r="BM91" i="1"/>
  <c r="BM93" i="1"/>
  <c r="BM92" i="1"/>
  <c r="N56" i="1"/>
  <c r="O58" i="1"/>
  <c r="P63" i="1"/>
  <c r="P59" i="1"/>
  <c r="P60" i="1" s="1"/>
  <c r="P68" i="1"/>
  <c r="R93" i="1"/>
  <c r="R91" i="1"/>
  <c r="R92" i="1"/>
  <c r="CF16" i="1" l="1"/>
  <c r="Q93" i="1"/>
  <c r="Q92" i="1"/>
  <c r="Q91" i="1"/>
  <c r="CG16" i="1"/>
  <c r="CH15" i="1"/>
  <c r="CH14" i="1"/>
  <c r="CK107" i="1"/>
  <c r="CK114" i="1"/>
  <c r="AD113" i="1"/>
  <c r="CL113" i="1"/>
  <c r="CM154" i="1"/>
  <c r="CO58" i="1"/>
  <c r="AE56" i="1"/>
  <c r="AE58" i="1" s="1"/>
  <c r="BZ42" i="1"/>
  <c r="BZ44" i="1"/>
  <c r="CL71" i="1"/>
  <c r="CI140" i="1"/>
  <c r="CJ130" i="1"/>
  <c r="CJ131" i="1" s="1"/>
  <c r="CF22" i="1"/>
  <c r="CE19" i="1"/>
  <c r="CE21" i="1" s="1"/>
  <c r="CE23" i="1" s="1"/>
  <c r="CF17" i="1"/>
  <c r="CF20" i="1"/>
  <c r="CM98" i="1"/>
  <c r="CL123" i="1"/>
  <c r="CM119" i="1"/>
  <c r="BL91" i="1"/>
  <c r="BL92" i="1"/>
  <c r="BL93" i="1"/>
  <c r="BI57" i="1"/>
  <c r="BJ58" i="1"/>
  <c r="BK59" i="1"/>
  <c r="BK63" i="1"/>
  <c r="BK64" i="1" s="1"/>
  <c r="M56" i="1"/>
  <c r="N58" i="1"/>
  <c r="O68" i="1"/>
  <c r="O63" i="1"/>
  <c r="O64" i="1" s="1"/>
  <c r="O59" i="1"/>
  <c r="O60" i="1" s="1"/>
  <c r="P64" i="1"/>
  <c r="BO60" i="1"/>
  <c r="CI14" i="1" l="1"/>
  <c r="CK67" i="1"/>
  <c r="CK68" i="1" s="1"/>
  <c r="CH16" i="1"/>
  <c r="CI15" i="1"/>
  <c r="CJ15" i="1"/>
  <c r="CJ14" i="1"/>
  <c r="CK108" i="1"/>
  <c r="AD107" i="1"/>
  <c r="AD108" i="1" s="1"/>
  <c r="AD155" i="1" s="1"/>
  <c r="AD154" i="1"/>
  <c r="AD114" i="1"/>
  <c r="CL107" i="1"/>
  <c r="CL108" i="1" s="1"/>
  <c r="CL114" i="1"/>
  <c r="CM113" i="1"/>
  <c r="CN154" i="1"/>
  <c r="BZ45" i="1"/>
  <c r="CM71" i="1"/>
  <c r="CJ140" i="1"/>
  <c r="CK130" i="1"/>
  <c r="CG22" i="1"/>
  <c r="CF19" i="1"/>
  <c r="CF21" i="1" s="1"/>
  <c r="CF23" i="1" s="1"/>
  <c r="CG17" i="1"/>
  <c r="CG20" i="1"/>
  <c r="CN98" i="1"/>
  <c r="CM123" i="1"/>
  <c r="CN119" i="1"/>
  <c r="BI58" i="1"/>
  <c r="BH57" i="1"/>
  <c r="BJ59" i="1"/>
  <c r="BJ63" i="1"/>
  <c r="BJ64" i="1" s="1"/>
  <c r="BK92" i="1"/>
  <c r="BK93" i="1"/>
  <c r="BK91" i="1"/>
  <c r="L56" i="1"/>
  <c r="M58" i="1"/>
  <c r="N68" i="1"/>
  <c r="N63" i="1"/>
  <c r="N59" i="1"/>
  <c r="N60" i="1" s="1"/>
  <c r="O92" i="1"/>
  <c r="O93" i="1"/>
  <c r="O91" i="1"/>
  <c r="P92" i="1"/>
  <c r="P93" i="1"/>
  <c r="P91" i="1"/>
  <c r="BN60" i="1"/>
  <c r="CL67" i="1" l="1"/>
  <c r="CL68" i="1" s="1"/>
  <c r="CJ16" i="1"/>
  <c r="N64" i="1"/>
  <c r="CK15" i="1"/>
  <c r="CI16" i="1"/>
  <c r="CK14" i="1"/>
  <c r="CM107" i="1"/>
  <c r="CM108" i="1" s="1"/>
  <c r="CM114" i="1"/>
  <c r="CN113" i="1"/>
  <c r="CO154" i="1"/>
  <c r="CO113" i="1" s="1"/>
  <c r="BZ24" i="1"/>
  <c r="BZ25" i="1" s="1"/>
  <c r="CN71" i="1"/>
  <c r="AD130" i="1"/>
  <c r="AD131" i="1" s="1"/>
  <c r="AD140" i="1" s="1"/>
  <c r="CK131" i="1"/>
  <c r="CH22" i="1"/>
  <c r="CG19" i="1"/>
  <c r="CG21" i="1" s="1"/>
  <c r="CG23" i="1" s="1"/>
  <c r="CH17" i="1"/>
  <c r="CH20" i="1"/>
  <c r="CO98" i="1"/>
  <c r="CN123" i="1"/>
  <c r="CO119" i="1"/>
  <c r="BI59" i="1"/>
  <c r="BI63" i="1"/>
  <c r="BI64" i="1" s="1"/>
  <c r="BG57" i="1"/>
  <c r="BH58" i="1"/>
  <c r="BJ91" i="1"/>
  <c r="BJ92" i="1"/>
  <c r="BJ93" i="1"/>
  <c r="K56" i="1"/>
  <c r="L58" i="1"/>
  <c r="M68" i="1"/>
  <c r="M63" i="1"/>
  <c r="M64" i="1" s="1"/>
  <c r="M59" i="1"/>
  <c r="M60" i="1" s="1"/>
  <c r="BM60" i="1"/>
  <c r="BZ46" i="1"/>
  <c r="BZ50" i="1" s="1"/>
  <c r="CL15" i="1" l="1"/>
  <c r="CK16" i="1"/>
  <c r="CM67" i="1"/>
  <c r="CM68" i="1" s="1"/>
  <c r="N92" i="1"/>
  <c r="N93" i="1"/>
  <c r="CL14" i="1"/>
  <c r="CL16" i="1" s="1"/>
  <c r="N91" i="1"/>
  <c r="CN107" i="1"/>
  <c r="CN108" i="1" s="1"/>
  <c r="CN114" i="1"/>
  <c r="AE113" i="1"/>
  <c r="CO114" i="1"/>
  <c r="CO107" i="1"/>
  <c r="CO71" i="1"/>
  <c r="CK140" i="1"/>
  <c r="CL130" i="1"/>
  <c r="CL131" i="1" s="1"/>
  <c r="CI22" i="1"/>
  <c r="CH19" i="1"/>
  <c r="CH21" i="1" s="1"/>
  <c r="CH23" i="1" s="1"/>
  <c r="CI17" i="1"/>
  <c r="CI20" i="1"/>
  <c r="CO123" i="1"/>
  <c r="AE119" i="1"/>
  <c r="AE123" i="1" s="1"/>
  <c r="BL60" i="1"/>
  <c r="BI91" i="1"/>
  <c r="BI93" i="1"/>
  <c r="BI92" i="1"/>
  <c r="BG58" i="1"/>
  <c r="BF57" i="1"/>
  <c r="BH59" i="1"/>
  <c r="BH63" i="1"/>
  <c r="BH64" i="1" s="1"/>
  <c r="J56" i="1"/>
  <c r="K58" i="1"/>
  <c r="L68" i="1"/>
  <c r="L63" i="1"/>
  <c r="L59" i="1"/>
  <c r="L60" i="1" s="1"/>
  <c r="M92" i="1"/>
  <c r="M91" i="1"/>
  <c r="M93" i="1"/>
  <c r="BZ59" i="1"/>
  <c r="BZ60" i="1" s="1"/>
  <c r="BZ99" i="1"/>
  <c r="BZ51" i="1"/>
  <c r="CM15" i="1" l="1"/>
  <c r="CN15" i="1"/>
  <c r="CM14" i="1"/>
  <c r="CM16" i="1" s="1"/>
  <c r="CN14" i="1"/>
  <c r="CN16" i="1" s="1"/>
  <c r="AE114" i="1"/>
  <c r="AE154" i="1"/>
  <c r="CO108" i="1"/>
  <c r="AE107" i="1"/>
  <c r="AE108" i="1" s="1"/>
  <c r="AE155" i="1" s="1"/>
  <c r="CN67" i="1"/>
  <c r="CN68" i="1" s="1"/>
  <c r="CO67" i="1"/>
  <c r="CO68" i="1" s="1"/>
  <c r="CL140" i="1"/>
  <c r="CM130" i="1"/>
  <c r="CM131" i="1" s="1"/>
  <c r="CJ22" i="1"/>
  <c r="CI19" i="1"/>
  <c r="CI21" i="1" s="1"/>
  <c r="CI23" i="1" s="1"/>
  <c r="CJ17" i="1"/>
  <c r="CJ20" i="1"/>
  <c r="BG59" i="1"/>
  <c r="BG63" i="1"/>
  <c r="BG64" i="1" s="1"/>
  <c r="BE57" i="1"/>
  <c r="BF58" i="1"/>
  <c r="BH91" i="1"/>
  <c r="BH93" i="1"/>
  <c r="BH92" i="1"/>
  <c r="I56" i="1"/>
  <c r="J58" i="1"/>
  <c r="K68" i="1"/>
  <c r="K63" i="1"/>
  <c r="K59" i="1"/>
  <c r="K60" i="1" s="1"/>
  <c r="BZ100" i="1"/>
  <c r="BK60" i="1"/>
  <c r="L64" i="1"/>
  <c r="CO15" i="1" l="1"/>
  <c r="K64" i="1"/>
  <c r="CO14" i="1"/>
  <c r="BJ60" i="1"/>
  <c r="CM140" i="1"/>
  <c r="CN130" i="1"/>
  <c r="CN131" i="1" s="1"/>
  <c r="CK22" i="1"/>
  <c r="CJ19" i="1"/>
  <c r="CJ21" i="1" s="1"/>
  <c r="CJ23" i="1" s="1"/>
  <c r="CK17" i="1"/>
  <c r="CK20" i="1"/>
  <c r="BG93" i="1"/>
  <c r="BG92" i="1"/>
  <c r="BG91" i="1"/>
  <c r="BE58" i="1"/>
  <c r="BD57" i="1"/>
  <c r="BF59" i="1"/>
  <c r="BF63" i="1"/>
  <c r="BF64" i="1" s="1"/>
  <c r="H56" i="1"/>
  <c r="I58" i="1"/>
  <c r="J59" i="1"/>
  <c r="J60" i="1" s="1"/>
  <c r="J68" i="1"/>
  <c r="J63" i="1"/>
  <c r="K93" i="1"/>
  <c r="K92" i="1"/>
  <c r="K91" i="1"/>
  <c r="BZ6" i="1"/>
  <c r="BZ77" i="1"/>
  <c r="BZ63" i="1"/>
  <c r="BZ64" i="1" s="1"/>
  <c r="BZ11" i="1"/>
  <c r="BZ152" i="1"/>
  <c r="BZ109" i="1"/>
  <c r="L93" i="1"/>
  <c r="L92" i="1"/>
  <c r="L91" i="1"/>
  <c r="CO16" i="1" l="1"/>
  <c r="J64" i="1"/>
  <c r="CN140" i="1"/>
  <c r="CO130" i="1"/>
  <c r="CL22" i="1"/>
  <c r="CK19" i="1"/>
  <c r="CK21" i="1" s="1"/>
  <c r="CK23" i="1" s="1"/>
  <c r="CL17" i="1"/>
  <c r="CL20" i="1"/>
  <c r="BE59" i="1"/>
  <c r="BE63" i="1"/>
  <c r="BE64" i="1" s="1"/>
  <c r="BD58" i="1"/>
  <c r="BC57" i="1"/>
  <c r="BI60" i="1"/>
  <c r="BF91" i="1"/>
  <c r="BF93" i="1"/>
  <c r="BF92" i="1"/>
  <c r="G56" i="1"/>
  <c r="H58" i="1"/>
  <c r="I68" i="1"/>
  <c r="I63" i="1"/>
  <c r="I64" i="1" s="1"/>
  <c r="I59" i="1"/>
  <c r="I60" i="1" s="1"/>
  <c r="BZ91" i="1"/>
  <c r="BZ85" i="1"/>
  <c r="BZ84" i="1"/>
  <c r="BZ7" i="1"/>
  <c r="BZ142" i="1"/>
  <c r="BH60" i="1" l="1"/>
  <c r="J92" i="1"/>
  <c r="J91" i="1"/>
  <c r="J93" i="1"/>
  <c r="AE130" i="1"/>
  <c r="AE131" i="1" s="1"/>
  <c r="AE140" i="1" s="1"/>
  <c r="CO131" i="1"/>
  <c r="CO140" i="1" s="1"/>
  <c r="CM22" i="1"/>
  <c r="CL19" i="1"/>
  <c r="CL21" i="1" s="1"/>
  <c r="CL23" i="1" s="1"/>
  <c r="CM17" i="1"/>
  <c r="CM20" i="1"/>
  <c r="BE91" i="1"/>
  <c r="BE92" i="1"/>
  <c r="BE93" i="1"/>
  <c r="BD59" i="1"/>
  <c r="BD63" i="1"/>
  <c r="BD64" i="1" s="1"/>
  <c r="BB57" i="1"/>
  <c r="BC58" i="1"/>
  <c r="F56" i="1"/>
  <c r="G58" i="1"/>
  <c r="H59" i="1"/>
  <c r="H60" i="1" s="1"/>
  <c r="H68" i="1"/>
  <c r="H63" i="1"/>
  <c r="H64" i="1" s="1"/>
  <c r="I91" i="1"/>
  <c r="I93" i="1"/>
  <c r="I92" i="1"/>
  <c r="BZ88" i="1"/>
  <c r="BZ87" i="1"/>
  <c r="CA35" i="1"/>
  <c r="CA32" i="1"/>
  <c r="CA43" i="1"/>
  <c r="CA29" i="1"/>
  <c r="CA30" i="1"/>
  <c r="BZ9" i="1"/>
  <c r="BZ75" i="1"/>
  <c r="BZ144" i="1"/>
  <c r="BZ148" i="1" s="1"/>
  <c r="BZ149" i="1" s="1"/>
  <c r="CA40" i="1" l="1"/>
  <c r="CN22" i="1"/>
  <c r="CM19" i="1"/>
  <c r="CM21" i="1" s="1"/>
  <c r="CM23" i="1" s="1"/>
  <c r="CN17" i="1"/>
  <c r="CN20" i="1"/>
  <c r="BG60" i="1"/>
  <c r="BD92" i="1"/>
  <c r="BD91" i="1"/>
  <c r="BD93" i="1"/>
  <c r="BA57" i="1"/>
  <c r="BB58" i="1"/>
  <c r="BC59" i="1"/>
  <c r="BC63" i="1"/>
  <c r="BC64" i="1" s="1"/>
  <c r="E56" i="1"/>
  <c r="F58" i="1"/>
  <c r="G59" i="1"/>
  <c r="G60" i="1" s="1"/>
  <c r="G68" i="1"/>
  <c r="G63" i="1"/>
  <c r="H92" i="1"/>
  <c r="H93" i="1"/>
  <c r="H91" i="1"/>
  <c r="BZ76" i="1"/>
  <c r="BZ74" i="1" s="1"/>
  <c r="CA31" i="1"/>
  <c r="G64" i="1" l="1"/>
  <c r="CO22" i="1"/>
  <c r="CN19" i="1"/>
  <c r="CN21" i="1" s="1"/>
  <c r="CN23" i="1" s="1"/>
  <c r="CO17" i="1"/>
  <c r="CO20" i="1"/>
  <c r="BA58" i="1"/>
  <c r="AZ57" i="1"/>
  <c r="BB59" i="1"/>
  <c r="BB63" i="1"/>
  <c r="BB64" i="1" s="1"/>
  <c r="BC91" i="1"/>
  <c r="BC93" i="1"/>
  <c r="BC92" i="1"/>
  <c r="D56" i="1"/>
  <c r="E58" i="1"/>
  <c r="F68" i="1"/>
  <c r="F59" i="1"/>
  <c r="F60" i="1" s="1"/>
  <c r="F63" i="1"/>
  <c r="CA33" i="1"/>
  <c r="BF60" i="1"/>
  <c r="BE60" i="1" l="1"/>
  <c r="G93" i="1"/>
  <c r="G92" i="1"/>
  <c r="G91" i="1"/>
  <c r="F64" i="1"/>
  <c r="CO19" i="1"/>
  <c r="CO21" i="1" s="1"/>
  <c r="CO23" i="1" s="1"/>
  <c r="BA59" i="1"/>
  <c r="BA63" i="1"/>
  <c r="BA64" i="1" s="1"/>
  <c r="AY57" i="1"/>
  <c r="AZ58" i="1"/>
  <c r="BB93" i="1"/>
  <c r="BB92" i="1"/>
  <c r="BB91" i="1"/>
  <c r="C56" i="1"/>
  <c r="D58" i="1"/>
  <c r="E68" i="1"/>
  <c r="E59" i="1"/>
  <c r="E60" i="1" s="1"/>
  <c r="E63" i="1"/>
  <c r="CA34" i="1"/>
  <c r="CA41" i="1"/>
  <c r="E64" i="1" l="1"/>
  <c r="F91" i="1"/>
  <c r="F92" i="1"/>
  <c r="F93" i="1"/>
  <c r="BD60" i="1"/>
  <c r="BA91" i="1"/>
  <c r="BA93" i="1"/>
  <c r="BA92" i="1"/>
  <c r="AY58" i="1"/>
  <c r="AX57" i="1"/>
  <c r="AZ59" i="1"/>
  <c r="AZ63" i="1"/>
  <c r="AZ64" i="1" s="1"/>
  <c r="B56" i="1"/>
  <c r="B58" i="1" s="1"/>
  <c r="C58" i="1"/>
  <c r="D68" i="1"/>
  <c r="D63" i="1"/>
  <c r="D59" i="1"/>
  <c r="D60" i="1" s="1"/>
  <c r="CA42" i="1"/>
  <c r="CA44" i="1"/>
  <c r="E93" i="1" l="1"/>
  <c r="E92" i="1"/>
  <c r="E91" i="1"/>
  <c r="D64" i="1"/>
  <c r="AY59" i="1"/>
  <c r="AY63" i="1"/>
  <c r="AY64" i="1" s="1"/>
  <c r="AX58" i="1"/>
  <c r="AW57" i="1"/>
  <c r="AZ92" i="1"/>
  <c r="AZ91" i="1"/>
  <c r="AZ93" i="1"/>
  <c r="B63" i="1"/>
  <c r="B59" i="1"/>
  <c r="C68" i="1"/>
  <c r="C63" i="1"/>
  <c r="C64" i="1" s="1"/>
  <c r="C91" i="1" s="1"/>
  <c r="C59" i="1"/>
  <c r="CA45" i="1"/>
  <c r="BC60" i="1"/>
  <c r="D91" i="1" l="1"/>
  <c r="CA24" i="1"/>
  <c r="CA25" i="1" s="1"/>
  <c r="D93" i="1"/>
  <c r="D92" i="1"/>
  <c r="BB60" i="1"/>
  <c r="CA46" i="1"/>
  <c r="CA50" i="1" s="1"/>
  <c r="AY92" i="1"/>
  <c r="AY93" i="1"/>
  <c r="AY91" i="1"/>
  <c r="AX59" i="1"/>
  <c r="AX63" i="1"/>
  <c r="AX64" i="1" s="1"/>
  <c r="AV57" i="1"/>
  <c r="AW58" i="1"/>
  <c r="B93" i="1"/>
  <c r="B92" i="1"/>
  <c r="B60" i="1"/>
  <c r="C60" i="1"/>
  <c r="C93" i="1"/>
  <c r="C92" i="1"/>
  <c r="CA99" i="1" l="1"/>
  <c r="CA51" i="1"/>
  <c r="CA59" i="1"/>
  <c r="CA60" i="1" s="1"/>
  <c r="AX92" i="1"/>
  <c r="AX93" i="1"/>
  <c r="AX91" i="1"/>
  <c r="AV58" i="1"/>
  <c r="AU57" i="1"/>
  <c r="AW59" i="1"/>
  <c r="AW63" i="1"/>
  <c r="AW64" i="1" s="1"/>
  <c r="BA60" i="1"/>
  <c r="CA100" i="1" l="1"/>
  <c r="CA6" i="1" s="1"/>
  <c r="AZ60" i="1"/>
  <c r="AV59" i="1"/>
  <c r="AV63" i="1"/>
  <c r="AV64" i="1" s="1"/>
  <c r="AT57" i="1"/>
  <c r="AU58" i="1"/>
  <c r="AW93" i="1"/>
  <c r="AW92" i="1"/>
  <c r="AW91" i="1"/>
  <c r="CA152" i="1" l="1"/>
  <c r="CA77" i="1"/>
  <c r="CA63" i="1"/>
  <c r="CA64" i="1" s="1"/>
  <c r="CA109" i="1"/>
  <c r="CA7" i="1" s="1"/>
  <c r="CA11" i="1"/>
  <c r="CB30" i="1"/>
  <c r="CB29" i="1"/>
  <c r="CB32" i="1"/>
  <c r="CB35" i="1"/>
  <c r="CA9" i="1"/>
  <c r="CB43" i="1"/>
  <c r="AY60" i="1"/>
  <c r="AV92" i="1"/>
  <c r="AV91" i="1"/>
  <c r="AV93" i="1"/>
  <c r="AS57" i="1"/>
  <c r="AT58" i="1"/>
  <c r="AU59" i="1"/>
  <c r="AU63" i="1"/>
  <c r="AU64" i="1" s="1"/>
  <c r="CA142" i="1"/>
  <c r="CA91" i="1" l="1"/>
  <c r="CA85" i="1"/>
  <c r="CA84" i="1"/>
  <c r="CB31" i="1"/>
  <c r="CB33" i="1" s="1"/>
  <c r="CB40" i="1"/>
  <c r="AX60" i="1"/>
  <c r="AS58" i="1"/>
  <c r="AR57" i="1"/>
  <c r="AT59" i="1"/>
  <c r="AT63" i="1"/>
  <c r="AT64" i="1" s="1"/>
  <c r="AU91" i="1"/>
  <c r="AU92" i="1"/>
  <c r="AU93" i="1"/>
  <c r="CA75" i="1"/>
  <c r="CA76" i="1" s="1"/>
  <c r="CA74" i="1" s="1"/>
  <c r="CA144" i="1"/>
  <c r="CA148" i="1" s="1"/>
  <c r="CA149" i="1" s="1"/>
  <c r="CA88" i="1" l="1"/>
  <c r="CA87" i="1"/>
  <c r="CB41" i="1"/>
  <c r="CB34" i="1"/>
  <c r="AS59" i="1"/>
  <c r="AS63" i="1"/>
  <c r="AS64" i="1" s="1"/>
  <c r="AR58" i="1"/>
  <c r="AQ57" i="1"/>
  <c r="AW60" i="1"/>
  <c r="AT93" i="1"/>
  <c r="AT92" i="1"/>
  <c r="AT91" i="1"/>
  <c r="CB44" i="1" l="1"/>
  <c r="CB42" i="1"/>
  <c r="AS93" i="1"/>
  <c r="AS91" i="1"/>
  <c r="AS92" i="1"/>
  <c r="AR59" i="1"/>
  <c r="AR63" i="1"/>
  <c r="AR64" i="1" s="1"/>
  <c r="AP57" i="1"/>
  <c r="AQ58" i="1"/>
  <c r="AV60" i="1"/>
  <c r="CB45" i="1" l="1"/>
  <c r="AU60" i="1"/>
  <c r="AR93" i="1"/>
  <c r="AR91" i="1"/>
  <c r="AR92" i="1"/>
  <c r="AO57" i="1"/>
  <c r="AP58" i="1"/>
  <c r="AQ59" i="1"/>
  <c r="AQ63" i="1"/>
  <c r="AQ64" i="1" s="1"/>
  <c r="CB24" i="1" l="1"/>
  <c r="CB25" i="1" s="1"/>
  <c r="CB46" i="1"/>
  <c r="CB50" i="1" s="1"/>
  <c r="AO58" i="1"/>
  <c r="AN57" i="1"/>
  <c r="AP59" i="1"/>
  <c r="AP63" i="1"/>
  <c r="AP64" i="1" s="1"/>
  <c r="AT60" i="1"/>
  <c r="AQ92" i="1"/>
  <c r="AQ93" i="1"/>
  <c r="AQ91" i="1"/>
  <c r="CB99" i="1" l="1"/>
  <c r="CB100" i="1" s="1"/>
  <c r="CB51" i="1"/>
  <c r="CB59" i="1"/>
  <c r="CB60" i="1" s="1"/>
  <c r="CB77" i="1"/>
  <c r="AO59" i="1"/>
  <c r="AO63" i="1"/>
  <c r="AO64" i="1" s="1"/>
  <c r="AN58" i="1"/>
  <c r="AM57" i="1"/>
  <c r="AP93" i="1"/>
  <c r="AP91" i="1"/>
  <c r="AP92" i="1"/>
  <c r="AS60" i="1"/>
  <c r="CB109" i="1" l="1"/>
  <c r="CB63" i="1"/>
  <c r="CB64" i="1" s="1"/>
  <c r="CB11" i="1"/>
  <c r="CB152" i="1"/>
  <c r="CB6" i="1"/>
  <c r="AO92" i="1"/>
  <c r="AO91" i="1"/>
  <c r="AO93" i="1"/>
  <c r="AN59" i="1"/>
  <c r="AN63" i="1"/>
  <c r="AN64" i="1" s="1"/>
  <c r="AL57" i="1"/>
  <c r="AM58" i="1"/>
  <c r="AR60" i="1"/>
  <c r="AQ60" i="1" l="1"/>
  <c r="CB142" i="1"/>
  <c r="CB7" i="1"/>
  <c r="CB91" i="1"/>
  <c r="CB85" i="1"/>
  <c r="CB84" i="1"/>
  <c r="AN93" i="1"/>
  <c r="AN92" i="1"/>
  <c r="AN91" i="1"/>
  <c r="AK57" i="1"/>
  <c r="AL58" i="1"/>
  <c r="AM59" i="1"/>
  <c r="AM63" i="1"/>
  <c r="AM64" i="1" s="1"/>
  <c r="CB144" i="1" l="1"/>
  <c r="CB148" i="1" s="1"/>
  <c r="CB149" i="1" s="1"/>
  <c r="CB75" i="1"/>
  <c r="CB9" i="1"/>
  <c r="CC30" i="1"/>
  <c r="AB30" i="1" s="1"/>
  <c r="AB15" i="1" s="1"/>
  <c r="CC29" i="1"/>
  <c r="CC32" i="1"/>
  <c r="AB32" i="1" s="1"/>
  <c r="AB17" i="1" s="1"/>
  <c r="CC35" i="1"/>
  <c r="CC43" i="1"/>
  <c r="AB43" i="1" s="1"/>
  <c r="AB22" i="1" s="1"/>
  <c r="CB88" i="1"/>
  <c r="CB87" i="1"/>
  <c r="AK58" i="1"/>
  <c r="AJ57" i="1"/>
  <c r="AL59" i="1"/>
  <c r="AL63" i="1"/>
  <c r="AL64" i="1" s="1"/>
  <c r="AP60" i="1"/>
  <c r="AM93" i="1"/>
  <c r="AM91" i="1"/>
  <c r="AM92" i="1"/>
  <c r="CB76" i="1" l="1"/>
  <c r="CB74" i="1" s="1"/>
  <c r="CC31" i="1"/>
  <c r="AB29" i="1"/>
  <c r="AB35" i="1"/>
  <c r="AB40" i="1" s="1"/>
  <c r="AB20" i="1" s="1"/>
  <c r="CC40" i="1"/>
  <c r="AK59" i="1"/>
  <c r="AK63" i="1"/>
  <c r="AK64" i="1" s="1"/>
  <c r="AJ58" i="1"/>
  <c r="AI57" i="1"/>
  <c r="AL92" i="1"/>
  <c r="AL93" i="1"/>
  <c r="AL91" i="1"/>
  <c r="AO60" i="1"/>
  <c r="CC33" i="1" l="1"/>
  <c r="AB31" i="1"/>
  <c r="AB33" i="1" s="1"/>
  <c r="AB14" i="1"/>
  <c r="AB16" i="1" s="1"/>
  <c r="AB19" i="1" s="1"/>
  <c r="AB21" i="1" s="1"/>
  <c r="AB23" i="1" s="1"/>
  <c r="AK92" i="1"/>
  <c r="AK93" i="1"/>
  <c r="AK91" i="1"/>
  <c r="AJ59" i="1"/>
  <c r="AJ63" i="1"/>
  <c r="AJ64" i="1" s="1"/>
  <c r="AH57" i="1"/>
  <c r="AH58" i="1" s="1"/>
  <c r="AI58" i="1"/>
  <c r="CC34" i="1" l="1"/>
  <c r="CC41" i="1"/>
  <c r="AB34" i="1"/>
  <c r="AB41" i="1"/>
  <c r="AJ91" i="1"/>
  <c r="AJ92" i="1"/>
  <c r="AJ93" i="1"/>
  <c r="AH59" i="1"/>
  <c r="AH63" i="1"/>
  <c r="AH64" i="1" s="1"/>
  <c r="AI59" i="1"/>
  <c r="AI63" i="1"/>
  <c r="AI64" i="1" s="1"/>
  <c r="CC44" i="1" l="1"/>
  <c r="CC42" i="1"/>
  <c r="AB44" i="1"/>
  <c r="AB42" i="1"/>
  <c r="AH91" i="1"/>
  <c r="AH93" i="1"/>
  <c r="AH92" i="1"/>
  <c r="AI91" i="1"/>
  <c r="AI93" i="1"/>
  <c r="AI92" i="1"/>
  <c r="CC46" i="1" l="1"/>
  <c r="CC50" i="1" s="1"/>
  <c r="CC45" i="1"/>
  <c r="CC51" i="1" l="1"/>
  <c r="CC99" i="1"/>
  <c r="CC59" i="1"/>
  <c r="CC60" i="1" s="1"/>
  <c r="CC62" i="1" s="1"/>
  <c r="AB45" i="1"/>
  <c r="CC24" i="1"/>
  <c r="CC25" i="1" s="1"/>
  <c r="AB99" i="1" l="1"/>
  <c r="AB100" i="1" s="1"/>
  <c r="CC100" i="1"/>
  <c r="AB46" i="1"/>
  <c r="AB50" i="1" s="1"/>
  <c r="AB24" i="1"/>
  <c r="AB25" i="1" s="1"/>
  <c r="AB63" i="1" l="1"/>
  <c r="AB64" i="1" s="1"/>
  <c r="AB91" i="1" s="1"/>
  <c r="AB109" i="1"/>
  <c r="AB11" i="1"/>
  <c r="AB152" i="1"/>
  <c r="CC77" i="1"/>
  <c r="CC11" i="1"/>
  <c r="CC152" i="1"/>
  <c r="CC109" i="1"/>
  <c r="CC63" i="1"/>
  <c r="CC64" i="1" s="1"/>
  <c r="CC6" i="1"/>
  <c r="AB6" i="1" s="1"/>
  <c r="AB59" i="1"/>
  <c r="AB60" i="1" s="1"/>
  <c r="AB51" i="1"/>
  <c r="AB77" i="1"/>
  <c r="CC142" i="1" l="1"/>
  <c r="CC7" i="1"/>
  <c r="CC84" i="1"/>
  <c r="CC85" i="1"/>
  <c r="CC91" i="1"/>
  <c r="AB142" i="1" l="1"/>
  <c r="AB144" i="1" s="1"/>
  <c r="AB148" i="1" s="1"/>
  <c r="AB149" i="1" s="1"/>
  <c r="CC144" i="1"/>
  <c r="CC148" i="1" s="1"/>
  <c r="CC149" i="1" s="1"/>
  <c r="CC75" i="1"/>
  <c r="AB7" i="1"/>
  <c r="AB9" i="1" s="1"/>
  <c r="CD32" i="1"/>
  <c r="CD29" i="1"/>
  <c r="CD35" i="1"/>
  <c r="CD43" i="1"/>
  <c r="CD30" i="1"/>
  <c r="CC9" i="1"/>
  <c r="AB84" i="1"/>
  <c r="AB92" i="1" s="1"/>
  <c r="CC87" i="1"/>
  <c r="AB85" i="1"/>
  <c r="AB93" i="1" s="1"/>
  <c r="CC88" i="1"/>
  <c r="CC76" i="1" l="1"/>
  <c r="CC74" i="1" s="1"/>
  <c r="CD31" i="1"/>
  <c r="CD33" i="1" s="1"/>
  <c r="CD40" i="1"/>
  <c r="CD41" i="1" l="1"/>
  <c r="CD34" i="1"/>
  <c r="CD44" i="1" l="1"/>
  <c r="CD42" i="1"/>
  <c r="CD45" i="1" l="1"/>
  <c r="CD24" i="1" l="1"/>
  <c r="CD25" i="1" s="1"/>
  <c r="CD46" i="1"/>
  <c r="CD50" i="1" s="1"/>
  <c r="CD51" i="1" l="1"/>
  <c r="CD59" i="1"/>
  <c r="CD60" i="1" s="1"/>
  <c r="CD99" i="1"/>
  <c r="CD100" i="1" l="1"/>
  <c r="CD77" i="1" l="1"/>
  <c r="CD6" i="1"/>
  <c r="CD63" i="1"/>
  <c r="CD64" i="1" s="1"/>
  <c r="CD11" i="1"/>
  <c r="CD152" i="1"/>
  <c r="CD109" i="1"/>
  <c r="CD85" i="1" l="1"/>
  <c r="CD91" i="1"/>
  <c r="CD84" i="1"/>
  <c r="CD7" i="1"/>
  <c r="CD142" i="1"/>
  <c r="CD88" i="1" l="1"/>
  <c r="CD87" i="1"/>
  <c r="CE35" i="1"/>
  <c r="CE43" i="1"/>
  <c r="CE32" i="1"/>
  <c r="CE29" i="1"/>
  <c r="CE30" i="1"/>
  <c r="CD9" i="1"/>
  <c r="CD144" i="1"/>
  <c r="CD148" i="1" s="1"/>
  <c r="CD149" i="1" s="1"/>
  <c r="CD75" i="1"/>
  <c r="CE40" i="1" l="1"/>
  <c r="CE31" i="1"/>
  <c r="CD76" i="1"/>
  <c r="CD74" i="1" s="1"/>
  <c r="CE33" i="1" l="1"/>
  <c r="CE41" i="1" l="1"/>
  <c r="CE34" i="1"/>
  <c r="CE44" i="1" l="1"/>
  <c r="CE42" i="1"/>
  <c r="CE45" i="1" l="1"/>
  <c r="CE46" i="1" l="1"/>
  <c r="CE50" i="1" s="1"/>
  <c r="CE59" i="1"/>
  <c r="CE60" i="1" s="1"/>
  <c r="CE24" i="1"/>
  <c r="CE25" i="1" s="1"/>
  <c r="CE99" i="1" l="1"/>
  <c r="CE51" i="1"/>
  <c r="CE100" i="1" l="1"/>
  <c r="CE77" i="1"/>
  <c r="CE6" i="1"/>
  <c r="CE152" i="1"/>
  <c r="CE11" i="1"/>
  <c r="CE109" i="1"/>
  <c r="CE63" i="1" l="1"/>
  <c r="CE64" i="1" s="1"/>
  <c r="CE7" i="1"/>
  <c r="CE142" i="1"/>
  <c r="CE91" i="1" l="1"/>
  <c r="CE85" i="1"/>
  <c r="CE84" i="1"/>
  <c r="CF35" i="1"/>
  <c r="CF32" i="1"/>
  <c r="CF43" i="1"/>
  <c r="CF29" i="1"/>
  <c r="CF30" i="1"/>
  <c r="CE9" i="1"/>
  <c r="CE144" i="1"/>
  <c r="CE148" i="1" s="1"/>
  <c r="CE149" i="1" s="1"/>
  <c r="CE75" i="1"/>
  <c r="CE88" i="1" l="1"/>
  <c r="CE87" i="1"/>
  <c r="CF40" i="1"/>
  <c r="CF31" i="1"/>
  <c r="CF33" i="1" s="1"/>
  <c r="CE76" i="1"/>
  <c r="CE74" i="1" s="1"/>
  <c r="CF41" i="1" l="1"/>
  <c r="CF34" i="1"/>
  <c r="CF44" i="1" l="1"/>
  <c r="CF42" i="1"/>
  <c r="CF45" i="1" l="1"/>
  <c r="CF24" i="1" l="1"/>
  <c r="CF25" i="1" s="1"/>
  <c r="CF46" i="1"/>
  <c r="CF50" i="1" s="1"/>
  <c r="CF51" i="1" l="1"/>
  <c r="CF59" i="1"/>
  <c r="CF60" i="1" s="1"/>
  <c r="CF99" i="1"/>
  <c r="CF100" i="1" l="1"/>
  <c r="CF77" i="1" l="1"/>
  <c r="CF6" i="1"/>
  <c r="CF109" i="1"/>
  <c r="CF11" i="1"/>
  <c r="CF63" i="1"/>
  <c r="CF64" i="1" s="1"/>
  <c r="CF152" i="1"/>
  <c r="CF7" i="1" l="1"/>
  <c r="CF142" i="1"/>
  <c r="CF85" i="1"/>
  <c r="CF84" i="1"/>
  <c r="CF91" i="1"/>
  <c r="CG43" i="1" l="1"/>
  <c r="AC43" i="1" s="1"/>
  <c r="AC22" i="1" s="1"/>
  <c r="CG30" i="1"/>
  <c r="AC30" i="1" s="1"/>
  <c r="AC15" i="1" s="1"/>
  <c r="CG35" i="1"/>
  <c r="CG32" i="1"/>
  <c r="AC32" i="1" s="1"/>
  <c r="AC17" i="1" s="1"/>
  <c r="CG29" i="1"/>
  <c r="CF9" i="1"/>
  <c r="CF144" i="1"/>
  <c r="CF148" i="1" s="1"/>
  <c r="CF149" i="1" s="1"/>
  <c r="CF75" i="1"/>
  <c r="CF88" i="1"/>
  <c r="CF87" i="1"/>
  <c r="AC35" i="1" l="1"/>
  <c r="AC40" i="1" s="1"/>
  <c r="AC20" i="1" s="1"/>
  <c r="CG40" i="1"/>
  <c r="AC29" i="1"/>
  <c r="CG31" i="1"/>
  <c r="CF76" i="1"/>
  <c r="CF74" i="1" s="1"/>
  <c r="AC14" i="1" l="1"/>
  <c r="AC16" i="1" s="1"/>
  <c r="AC19" i="1" s="1"/>
  <c r="AC21" i="1" s="1"/>
  <c r="AC23" i="1" s="1"/>
  <c r="AC31" i="1"/>
  <c r="AC33" i="1" s="1"/>
  <c r="CG33" i="1"/>
  <c r="AC34" i="1" l="1"/>
  <c r="AC41" i="1"/>
  <c r="CG41" i="1"/>
  <c r="CG34" i="1"/>
  <c r="AC42" i="1" l="1"/>
  <c r="AC44" i="1"/>
  <c r="CG44" i="1"/>
  <c r="CG42" i="1"/>
  <c r="CG45" i="1" l="1"/>
  <c r="AC45" i="1" l="1"/>
  <c r="CG24" i="1"/>
  <c r="CG25" i="1" s="1"/>
  <c r="CG46" i="1"/>
  <c r="CG50" i="1" s="1"/>
  <c r="AC46" i="1" l="1"/>
  <c r="AC50" i="1" s="1"/>
  <c r="AC24" i="1"/>
  <c r="AC25" i="1" s="1"/>
  <c r="CG51" i="1"/>
  <c r="CG59" i="1"/>
  <c r="CG60" i="1" s="1"/>
  <c r="CG62" i="1" s="1"/>
  <c r="CG99" i="1"/>
  <c r="AC59" i="1" l="1"/>
  <c r="AC60" i="1" s="1"/>
  <c r="AC51" i="1"/>
  <c r="AC77" i="1"/>
  <c r="AC99" i="1"/>
  <c r="AC100" i="1" s="1"/>
  <c r="CG100" i="1"/>
  <c r="AC63" i="1" l="1"/>
  <c r="AC64" i="1" s="1"/>
  <c r="AC91" i="1" s="1"/>
  <c r="AC152" i="1"/>
  <c r="AC109" i="1"/>
  <c r="AC11" i="1"/>
  <c r="CG77" i="1"/>
  <c r="CG6" i="1"/>
  <c r="AC6" i="1" s="1"/>
  <c r="CG109" i="1"/>
  <c r="CG152" i="1"/>
  <c r="CG11" i="1"/>
  <c r="CG63" i="1"/>
  <c r="CG64" i="1" s="1"/>
  <c r="CG7" i="1" l="1"/>
  <c r="CG142" i="1"/>
  <c r="CG91" i="1"/>
  <c r="CG84" i="1"/>
  <c r="CG85" i="1"/>
  <c r="AC7" i="1" l="1"/>
  <c r="AC9" i="1" s="1"/>
  <c r="CH32" i="1"/>
  <c r="CH35" i="1"/>
  <c r="CH43" i="1"/>
  <c r="CH29" i="1"/>
  <c r="CH30" i="1"/>
  <c r="CG9" i="1"/>
  <c r="CG144" i="1"/>
  <c r="CG148" i="1" s="1"/>
  <c r="CG149" i="1" s="1"/>
  <c r="CG75" i="1"/>
  <c r="AC142" i="1"/>
  <c r="AC144" i="1" s="1"/>
  <c r="AC148" i="1" s="1"/>
  <c r="AC149" i="1" s="1"/>
  <c r="AC84" i="1"/>
  <c r="AC92" i="1" s="1"/>
  <c r="CG87" i="1"/>
  <c r="AC85" i="1"/>
  <c r="AC93" i="1" s="1"/>
  <c r="CG88" i="1"/>
  <c r="CH40" i="1" l="1"/>
  <c r="CH31" i="1"/>
  <c r="CH33" i="1" s="1"/>
  <c r="CG76" i="1"/>
  <c r="CG74" i="1" s="1"/>
  <c r="CH41" i="1" l="1"/>
  <c r="CH34" i="1"/>
  <c r="CH44" i="1" l="1"/>
  <c r="CH42" i="1"/>
  <c r="CH45" i="1" l="1"/>
  <c r="CH24" i="1" l="1"/>
  <c r="CH25" i="1" s="1"/>
  <c r="CH46" i="1"/>
  <c r="CH50" i="1" s="1"/>
  <c r="CH51" i="1" l="1"/>
  <c r="CH59" i="1"/>
  <c r="CH60" i="1" s="1"/>
  <c r="CH99" i="1"/>
  <c r="CH100" i="1" l="1"/>
  <c r="CH6" i="1" l="1"/>
  <c r="CH152" i="1"/>
  <c r="CH11" i="1"/>
  <c r="CH109" i="1"/>
  <c r="CH63" i="1"/>
  <c r="CH64" i="1" s="1"/>
  <c r="CH7" i="1" l="1"/>
  <c r="CH142" i="1"/>
  <c r="CH91" i="1"/>
  <c r="CH85" i="1"/>
  <c r="CH84" i="1"/>
  <c r="CI43" i="1" l="1"/>
  <c r="CI35" i="1"/>
  <c r="CI32" i="1"/>
  <c r="CI30" i="1"/>
  <c r="CI29" i="1"/>
  <c r="CH9" i="1"/>
  <c r="CH144" i="1"/>
  <c r="CH148" i="1" s="1"/>
  <c r="CH149" i="1" s="1"/>
  <c r="CH75" i="1"/>
  <c r="CH88" i="1"/>
  <c r="CH87" i="1"/>
  <c r="CI40" i="1" l="1"/>
  <c r="CI31" i="1"/>
  <c r="CI33" i="1" s="1"/>
  <c r="CH76" i="1"/>
  <c r="CH74" i="1" s="1"/>
  <c r="CI41" i="1" l="1"/>
  <c r="CI34" i="1"/>
  <c r="CI44" i="1" l="1"/>
  <c r="CI42" i="1"/>
  <c r="CI45" i="1" l="1"/>
  <c r="CI24" i="1" l="1"/>
  <c r="CI25" i="1" s="1"/>
  <c r="CI46" i="1"/>
  <c r="CI50" i="1" s="1"/>
  <c r="CI51" i="1" l="1"/>
  <c r="CI59" i="1"/>
  <c r="CI60" i="1" s="1"/>
  <c r="CI99" i="1"/>
  <c r="CI100" i="1" l="1"/>
  <c r="CI6" i="1" l="1"/>
  <c r="CI11" i="1"/>
  <c r="CI152" i="1"/>
  <c r="CI109" i="1"/>
  <c r="CI63" i="1"/>
  <c r="CI64" i="1" s="1"/>
  <c r="CI7" i="1" l="1"/>
  <c r="CI142" i="1"/>
  <c r="CI84" i="1"/>
  <c r="CI85" i="1"/>
  <c r="CI91" i="1"/>
  <c r="CJ43" i="1" l="1"/>
  <c r="CJ35" i="1"/>
  <c r="CJ32" i="1"/>
  <c r="CJ29" i="1"/>
  <c r="CJ30" i="1"/>
  <c r="CI9" i="1"/>
  <c r="CI144" i="1"/>
  <c r="CI148" i="1" s="1"/>
  <c r="CI149" i="1" s="1"/>
  <c r="CI75" i="1"/>
  <c r="CI87" i="1"/>
  <c r="CI88" i="1"/>
  <c r="CJ40" i="1" l="1"/>
  <c r="CJ31" i="1"/>
  <c r="CJ33" i="1" s="1"/>
  <c r="CI76" i="1"/>
  <c r="CI74" i="1" s="1"/>
  <c r="CJ34" i="1" l="1"/>
  <c r="CJ41" i="1"/>
  <c r="CJ42" i="1" l="1"/>
  <c r="CJ44" i="1"/>
  <c r="CJ45" i="1" l="1"/>
  <c r="CJ24" i="1" l="1"/>
  <c r="CJ25" i="1" s="1"/>
  <c r="CJ46" i="1"/>
  <c r="CJ50" i="1" s="1"/>
  <c r="CJ59" i="1" l="1"/>
  <c r="CJ60" i="1" s="1"/>
  <c r="CJ51" i="1"/>
  <c r="CJ99" i="1"/>
  <c r="CJ100" i="1" l="1"/>
  <c r="CJ6" i="1" l="1"/>
  <c r="CJ63" i="1"/>
  <c r="CJ64" i="1" s="1"/>
  <c r="CJ152" i="1"/>
  <c r="CJ109" i="1"/>
  <c r="CJ11" i="1"/>
  <c r="CJ84" i="1" l="1"/>
  <c r="CJ91" i="1"/>
  <c r="CJ85" i="1"/>
  <c r="CJ7" i="1"/>
  <c r="CJ142" i="1"/>
  <c r="CJ87" i="1" l="1"/>
  <c r="CJ88" i="1"/>
  <c r="CK35" i="1"/>
  <c r="CK32" i="1"/>
  <c r="AD32" i="1" s="1"/>
  <c r="AD17" i="1" s="1"/>
  <c r="CK43" i="1"/>
  <c r="AD43" i="1" s="1"/>
  <c r="AD22" i="1" s="1"/>
  <c r="CK29" i="1"/>
  <c r="CK30" i="1"/>
  <c r="AD30" i="1" s="1"/>
  <c r="AD15" i="1" s="1"/>
  <c r="CJ9" i="1"/>
  <c r="CJ75" i="1"/>
  <c r="CJ144" i="1"/>
  <c r="CJ148" i="1" s="1"/>
  <c r="CJ149" i="1" s="1"/>
  <c r="AD35" i="1" l="1"/>
  <c r="AD40" i="1" s="1"/>
  <c r="AD20" i="1" s="1"/>
  <c r="CK40" i="1"/>
  <c r="AD29" i="1"/>
  <c r="CK31" i="1"/>
  <c r="CJ76" i="1"/>
  <c r="CJ74" i="1" s="1"/>
  <c r="AD14" i="1" l="1"/>
  <c r="AD16" i="1" s="1"/>
  <c r="AD19" i="1" s="1"/>
  <c r="AD21" i="1" s="1"/>
  <c r="AD23" i="1" s="1"/>
  <c r="AD31" i="1"/>
  <c r="AD33" i="1" s="1"/>
  <c r="CK33" i="1"/>
  <c r="AD34" i="1" l="1"/>
  <c r="AD41" i="1"/>
  <c r="CK34" i="1"/>
  <c r="CK41" i="1"/>
  <c r="AD42" i="1" l="1"/>
  <c r="AD44" i="1"/>
  <c r="CK42" i="1"/>
  <c r="CK44" i="1"/>
  <c r="CK46" i="1" l="1"/>
  <c r="CK50" i="1" s="1"/>
  <c r="CK45" i="1"/>
  <c r="CK99" i="1" l="1"/>
  <c r="CK51" i="1"/>
  <c r="CK59" i="1"/>
  <c r="CK60" i="1" s="1"/>
  <c r="AD45" i="1"/>
  <c r="CK24" i="1"/>
  <c r="CK25" i="1" s="1"/>
  <c r="AD99" i="1" l="1"/>
  <c r="AD100" i="1" s="1"/>
  <c r="CK100" i="1"/>
  <c r="AD46" i="1"/>
  <c r="AD50" i="1" s="1"/>
  <c r="AD24" i="1"/>
  <c r="AD25" i="1" s="1"/>
  <c r="AD63" i="1" l="1"/>
  <c r="AD64" i="1" s="1"/>
  <c r="AD91" i="1" s="1"/>
  <c r="AD11" i="1"/>
  <c r="AD152" i="1"/>
  <c r="AD109" i="1"/>
  <c r="CK6" i="1"/>
  <c r="AD6" i="1" s="1"/>
  <c r="CK11" i="1"/>
  <c r="CK109" i="1"/>
  <c r="CK152" i="1"/>
  <c r="CK63" i="1"/>
  <c r="CK64" i="1" s="1"/>
  <c r="AD59" i="1"/>
  <c r="AD60" i="1" s="1"/>
  <c r="AD77" i="1"/>
  <c r="AD51" i="1"/>
  <c r="CK7" i="1" l="1"/>
  <c r="CK142" i="1"/>
  <c r="CK85" i="1"/>
  <c r="CK84" i="1"/>
  <c r="CK91" i="1"/>
  <c r="AD7" i="1" l="1"/>
  <c r="AD9" i="1" s="1"/>
  <c r="CL32" i="1"/>
  <c r="CL43" i="1"/>
  <c r="CL29" i="1"/>
  <c r="CL30" i="1"/>
  <c r="CK9" i="1"/>
  <c r="CL35" i="1"/>
  <c r="CK75" i="1"/>
  <c r="AD142" i="1"/>
  <c r="AD144" i="1" s="1"/>
  <c r="AD148" i="1" s="1"/>
  <c r="AD149" i="1" s="1"/>
  <c r="CK144" i="1"/>
  <c r="CK148" i="1" s="1"/>
  <c r="CK149" i="1" s="1"/>
  <c r="AD85" i="1"/>
  <c r="AD93" i="1" s="1"/>
  <c r="CK88" i="1"/>
  <c r="AD84" i="1"/>
  <c r="AD92" i="1" s="1"/>
  <c r="CK87" i="1"/>
  <c r="CL31" i="1" l="1"/>
  <c r="CL33" i="1" s="1"/>
  <c r="CL40" i="1"/>
  <c r="CK76" i="1"/>
  <c r="CK74" i="1" s="1"/>
  <c r="CL34" i="1" l="1"/>
  <c r="CL41" i="1"/>
  <c r="CL42" i="1" l="1"/>
  <c r="CL44" i="1"/>
  <c r="CL45" i="1" l="1"/>
  <c r="CL24" i="1" l="1"/>
  <c r="CL25" i="1" s="1"/>
  <c r="CL46" i="1"/>
  <c r="CL50" i="1" s="1"/>
  <c r="CL59" i="1" l="1"/>
  <c r="CL60" i="1" s="1"/>
  <c r="CL51" i="1"/>
  <c r="CL99" i="1"/>
  <c r="CL100" i="1" l="1"/>
  <c r="CL6" i="1" l="1"/>
  <c r="CL152" i="1"/>
  <c r="CL11" i="1"/>
  <c r="CL109" i="1"/>
  <c r="CL63" i="1"/>
  <c r="CL64" i="1" s="1"/>
  <c r="CL7" i="1" l="1"/>
  <c r="CL142" i="1"/>
  <c r="CL91" i="1"/>
  <c r="CL85" i="1"/>
  <c r="CL84" i="1"/>
  <c r="CM35" i="1" l="1"/>
  <c r="CM32" i="1"/>
  <c r="CM43" i="1"/>
  <c r="CL9" i="1"/>
  <c r="CM29" i="1"/>
  <c r="CM30" i="1"/>
  <c r="CL144" i="1"/>
  <c r="CL148" i="1" s="1"/>
  <c r="CL149" i="1" s="1"/>
  <c r="CL75" i="1"/>
  <c r="CL88" i="1"/>
  <c r="CL87" i="1"/>
  <c r="CM40" i="1" l="1"/>
  <c r="CM31" i="1"/>
  <c r="CL76" i="1"/>
  <c r="CL74" i="1" s="1"/>
  <c r="CM33" i="1" l="1"/>
  <c r="CM34" i="1" l="1"/>
  <c r="CM41" i="1"/>
  <c r="CM42" i="1" l="1"/>
  <c r="CM44" i="1"/>
  <c r="CM45" i="1" l="1"/>
  <c r="CM46" i="1" l="1"/>
  <c r="CM50" i="1" s="1"/>
  <c r="CM99" i="1"/>
  <c r="CM51" i="1"/>
  <c r="CM59" i="1"/>
  <c r="CM60" i="1" s="1"/>
  <c r="CM24" i="1"/>
  <c r="CM25" i="1" s="1"/>
  <c r="CM100" i="1" l="1"/>
  <c r="CM6" i="1" l="1"/>
  <c r="CM152" i="1"/>
  <c r="CM11" i="1"/>
  <c r="CM109" i="1"/>
  <c r="CM63" i="1"/>
  <c r="CM64" i="1" s="1"/>
  <c r="CM7" i="1" l="1"/>
  <c r="CM142" i="1"/>
  <c r="CM85" i="1"/>
  <c r="CM91" i="1"/>
  <c r="CM84" i="1"/>
  <c r="CN35" i="1" l="1"/>
  <c r="CN32" i="1"/>
  <c r="CN43" i="1"/>
  <c r="CN29" i="1"/>
  <c r="CN30" i="1"/>
  <c r="CM9" i="1"/>
  <c r="CM75" i="1"/>
  <c r="CM144" i="1"/>
  <c r="CM148" i="1" s="1"/>
  <c r="CM149" i="1" s="1"/>
  <c r="CM88" i="1"/>
  <c r="CM87" i="1"/>
  <c r="CN40" i="1" l="1"/>
  <c r="CN31" i="1"/>
  <c r="CN33" i="1" s="1"/>
  <c r="CM76" i="1"/>
  <c r="CM74" i="1" s="1"/>
  <c r="CN34" i="1" l="1"/>
  <c r="CN41" i="1"/>
  <c r="CN42" i="1" l="1"/>
  <c r="CN44" i="1"/>
  <c r="CN45" i="1" l="1"/>
  <c r="CN24" i="1" l="1"/>
  <c r="CN25" i="1" s="1"/>
  <c r="CN46" i="1"/>
  <c r="CN50" i="1" s="1"/>
  <c r="CN59" i="1" l="1"/>
  <c r="CN60" i="1" s="1"/>
  <c r="CN51" i="1"/>
  <c r="CN99" i="1"/>
  <c r="CN100" i="1" l="1"/>
  <c r="CN6" i="1" l="1"/>
  <c r="CN63" i="1"/>
  <c r="CN64" i="1" s="1"/>
  <c r="CN11" i="1"/>
  <c r="CN152" i="1"/>
  <c r="CN109" i="1"/>
  <c r="CN84" i="1" l="1"/>
  <c r="CN91" i="1"/>
  <c r="CN85" i="1"/>
  <c r="CN7" i="1"/>
  <c r="CN142" i="1"/>
  <c r="CN87" i="1" l="1"/>
  <c r="CN88" i="1"/>
  <c r="CO32" i="1"/>
  <c r="AE32" i="1" s="1"/>
  <c r="AE17" i="1" s="1"/>
  <c r="CO35" i="1"/>
  <c r="CO43" i="1"/>
  <c r="AE43" i="1" s="1"/>
  <c r="AE22" i="1" s="1"/>
  <c r="CO29" i="1"/>
  <c r="CO30" i="1"/>
  <c r="AE30" i="1" s="1"/>
  <c r="AE15" i="1" s="1"/>
  <c r="CN9" i="1"/>
  <c r="CN75" i="1"/>
  <c r="CN144" i="1"/>
  <c r="CN148" i="1" s="1"/>
  <c r="CN149" i="1" s="1"/>
  <c r="AE35" i="1" l="1"/>
  <c r="AE40" i="1" s="1"/>
  <c r="AE20" i="1" s="1"/>
  <c r="CO40" i="1"/>
  <c r="AE29" i="1"/>
  <c r="CO31" i="1"/>
  <c r="CO33" i="1" s="1"/>
  <c r="CN76" i="1"/>
  <c r="CN74" i="1" s="1"/>
  <c r="AE14" i="1" l="1"/>
  <c r="AE16" i="1" s="1"/>
  <c r="AE19" i="1" s="1"/>
  <c r="AE21" i="1" s="1"/>
  <c r="AE23" i="1" s="1"/>
  <c r="AE31" i="1"/>
  <c r="AE33" i="1" s="1"/>
  <c r="CO34" i="1"/>
  <c r="CO41" i="1"/>
  <c r="AE34" i="1" l="1"/>
  <c r="AE41" i="1"/>
  <c r="CO42" i="1"/>
  <c r="CO44" i="1"/>
  <c r="AE42" i="1" l="1"/>
  <c r="AE44" i="1"/>
  <c r="CO45" i="1"/>
  <c r="AE45" i="1" l="1"/>
  <c r="CO24" i="1"/>
  <c r="CO25" i="1" s="1"/>
  <c r="CO46" i="1"/>
  <c r="CO50" i="1" s="1"/>
  <c r="AE46" i="1" l="1"/>
  <c r="AE50" i="1" s="1"/>
  <c r="AE24" i="1"/>
  <c r="AE25" i="1" s="1"/>
  <c r="CO59" i="1"/>
  <c r="CO60" i="1" s="1"/>
  <c r="CO51" i="1"/>
  <c r="CO99" i="1"/>
  <c r="AE59" i="1" l="1"/>
  <c r="AE60" i="1" s="1"/>
  <c r="AE51" i="1"/>
  <c r="CO100" i="1"/>
  <c r="AE99" i="1"/>
  <c r="AE100" i="1" s="1"/>
  <c r="CO6" i="1" l="1"/>
  <c r="AE6" i="1" s="1"/>
  <c r="CO11" i="1"/>
  <c r="CO152" i="1"/>
  <c r="CO109" i="1"/>
  <c r="CO63" i="1"/>
  <c r="CO64" i="1" s="1"/>
  <c r="AE11" i="1"/>
  <c r="AE109" i="1"/>
  <c r="AE152" i="1"/>
  <c r="AE63" i="1"/>
  <c r="AE64" i="1" s="1"/>
  <c r="AE91" i="1" s="1"/>
  <c r="AE77" i="1"/>
  <c r="CO7" i="1" l="1"/>
  <c r="CO142" i="1"/>
  <c r="CO91" i="1"/>
  <c r="CO84" i="1"/>
  <c r="CO85" i="1"/>
  <c r="AE7" i="1" l="1"/>
  <c r="AE9" i="1" s="1"/>
  <c r="CO9" i="1"/>
  <c r="CO144" i="1"/>
  <c r="CO148" i="1" s="1"/>
  <c r="CO149" i="1" s="1"/>
  <c r="CO75" i="1"/>
  <c r="CO76" i="1" s="1"/>
  <c r="CO74" i="1" s="1"/>
  <c r="AE142" i="1"/>
  <c r="AE144" i="1" s="1"/>
  <c r="AE148" i="1" s="1"/>
  <c r="AE149" i="1" s="1"/>
  <c r="AE84" i="1"/>
  <c r="AE92" i="1" s="1"/>
  <c r="CO87" i="1"/>
  <c r="AE85" i="1"/>
  <c r="AE93" i="1" s="1"/>
  <c r="CO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<sst xmlns="http://schemas.openxmlformats.org/spreadsheetml/2006/main" count="678" uniqueCount="508">
  <si>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</si>
  <si>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</si>
  <si>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</si>
  <si>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</si>
  <si>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</si>
  <si>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</si>
  <si>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</si>
  <si>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</si>
  <si>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</si>
  <si>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</si>
  <si>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</si>
  <si>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</si>
  <si>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</si>
  <si>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</si>
  <si>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</si>
  <si>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</si>
  <si>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</si>
  <si>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</si>
  <si>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</si>
  <si>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</si>
  <si>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</si>
  <si>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</si>
  <si>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</si>
  <si>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</si>
  <si>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</si>
  <si>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</si>
  <si>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</si>
  <si>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</si>
  <si>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</si>
  <si>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</si>
  <si>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</si>
  <si>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</si>
  <si>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</si>
  <si>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</si>
  <si>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</si>
  <si>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</si>
  <si>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</si>
  <si>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</si>
  <si>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</si>
  <si>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</si>
  <si>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</si>
  <si>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</si>
  <si>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</si>
  <si>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</si>
  <si>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</si>
  <si>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</si>
  <si>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</si>
  <si>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</si>
  <si>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</si>
  <si>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</si>
  <si>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</si>
  <si>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</si>
  <si>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</si>
  <si>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</si>
  <si>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</si>
  <si>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</si>
  <si>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</si>
  <si>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</si>
  <si>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</si>
  <si>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</si>
  <si>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</si>
  <si>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</si>
  <si>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</si>
  <si>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</si>
  <si>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</si>
  <si>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</si>
  <si>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</si>
  <si>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</si>
  <si>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</si>
  <si>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</si>
  <si>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</si>
  <si>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</si>
  <si>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</si>
  <si>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</si>
  <si>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</si>
  <si>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</si>
  <si>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</si>
  <si>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</si>
  <si>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</si>
  <si>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</si>
  <si>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</si>
  <si>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</si>
  <si>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</si>
  <si>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</si>
  <si>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</si>
  <si>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</si>
  <si>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</si>
  <si>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</si>
  <si>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</si>
  <si>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</si>
  <si>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</si>
  <si>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</si>
  <si>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</si>
  <si>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</si>
  <si>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</si>
  <si>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</si>
  <si>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</si>
  <si>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</si>
  <si>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</si>
  <si>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</si>
  <si>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</si>
  <si>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</si>
  <si>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</si>
  <si>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</si>
  <si>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</si>
  <si>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</si>
  <si>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</si>
  <si>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</si>
  <si>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</si>
  <si>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</si>
  <si>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</si>
  <si>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</si>
  <si>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</si>
  <si>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</si>
  <si>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</si>
  <si>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</si>
  <si>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</si>
  <si>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</si>
  <si>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</si>
  <si>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</si>
  <si>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</si>
  <si>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</si>
  <si>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</si>
  <si>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</si>
  <si>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</si>
  <si>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</si>
  <si>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</si>
  <si>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</si>
  <si>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</si>
  <si>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</si>
  <si>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</si>
  <si>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</si>
  <si>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</si>
  <si>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</si>
  <si>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</si>
  <si>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</si>
  <si>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</si>
  <si>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</si>
  <si>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</si>
  <si>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</si>
  <si>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</si>
  <si>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</si>
  <si>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</si>
  <si>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</si>
  <si>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</si>
  <si>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</si>
  <si>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</si>
  <si>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</si>
  <si>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</si>
  <si>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</si>
  <si>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</si>
  <si>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</si>
  <si>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</si>
  <si>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</si>
  <si>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</si>
  <si>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</si>
  <si>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</si>
  <si>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</si>
  <si>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</si>
  <si>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</si>
  <si>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</si>
  <si>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</si>
  <si>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</si>
  <si>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</si>
  <si>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</si>
  <si>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</si>
  <si>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</si>
  <si>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</si>
  <si>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</si>
  <si>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</si>
  <si>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</si>
  <si>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</si>
  <si>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</si>
  <si>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</si>
  <si>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</si>
  <si>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</si>
  <si>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</si>
  <si>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</si>
  <si>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</si>
  <si>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</si>
  <si>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</si>
  <si>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</si>
  <si>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</si>
  <si>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</si>
  <si>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</si>
  <si>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</si>
  <si>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</si>
  <si>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</si>
  <si>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</si>
  <si>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</si>
  <si>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</si>
  <si>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</si>
  <si>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</si>
  <si>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</si>
  <si>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</si>
  <si>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</si>
  <si>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</si>
  <si>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</si>
  <si>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</si>
  <si>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</si>
  <si>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</si>
  <si>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</si>
  <si>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</si>
  <si>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</si>
  <si>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</si>
  <si>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</si>
  <si>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</si>
  <si>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</si>
  <si>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</si>
  <si>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</si>
  <si>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</si>
  <si>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</si>
  <si>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</si>
  <si>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</si>
  <si>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</si>
  <si>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</si>
  <si>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</si>
  <si>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</si>
  <si>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</si>
  <si>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</si>
  <si>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</si>
  <si>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</si>
  <si>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</si>
  <si>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</si>
  <si>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</si>
  <si>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</si>
  <si>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</si>
  <si>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</si>
  <si>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</si>
  <si>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</si>
  <si>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</si>
  <si>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</si>
  <si>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</si>
  <si>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</si>
  <si>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</si>
  <si>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</si>
  <si>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</si>
  <si>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</si>
  <si>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</si>
  <si>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</si>
  <si>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</si>
  <si>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</si>
  <si>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</si>
  <si>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</si>
  <si>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</si>
  <si>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</si>
  <si>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</si>
  <si>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</si>
  <si>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</si>
  <si>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</si>
  <si>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</si>
  <si>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</si>
  <si>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</si>
  <si>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</si>
  <si>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</si>
  <si>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</si>
  <si>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</si>
  <si>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</si>
  <si>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</si>
  <si>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</si>
  <si>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</si>
  <si>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</si>
  <si>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</si>
  <si>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</si>
  <si>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</si>
  <si>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</si>
  <si>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</si>
  <si>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</si>
  <si>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</si>
  <si>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</si>
  <si>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</si>
  <si>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</si>
  <si>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</si>
  <si>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</si>
  <si>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</si>
  <si>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</si>
  <si>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</si>
  <si>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</si>
  <si>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</si>
  <si>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</si>
  <si>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</si>
  <si>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</si>
  <si>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</si>
  <si>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</si>
  <si>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</si>
  <si>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</si>
  <si>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</si>
  <si>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</si>
  <si>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</si>
  <si>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</si>
  <si>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</si>
  <si>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</si>
  <si>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</si>
  <si>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</si>
  <si>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</si>
  <si>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</si>
  <si>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</si>
  <si>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</si>
  <si>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</si>
  <si>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</si>
  <si>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</si>
  <si>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</si>
  <si>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</si>
  <si>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</si>
  <si>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</si>
  <si>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</si>
  <si>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</si>
  <si>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</si>
  <si>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</si>
  <si>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</si>
  <si>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</si>
  <si>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</si>
  <si>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</si>
  <si>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</si>
  <si>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</si>
  <si>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</si>
  <si>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</si>
  <si>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</si>
  <si>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</si>
  <si>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</si>
  <si>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</si>
  <si>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</si>
  <si>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</si>
  <si>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</si>
  <si>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</si>
  <si>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</si>
  <si>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</si>
  <si>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</si>
  <si>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</si>
  <si>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</si>
  <si>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</si>
  <si>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</si>
  <si>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</si>
  <si>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</si>
  <si>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</si>
  <si>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</si>
  <si>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</si>
  <si>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</si>
  <si>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</si>
  <si>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</si>
  <si>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</si>
  <si>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</si>
  <si>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</si>
  <si>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</si>
  <si>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</si>
  <si>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</si>
  <si>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</si>
  <si>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</si>
  <si>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</si>
  <si>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</si>
  <si>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</si>
  <si>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</si>
  <si>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</si>
  <si>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</si>
  <si>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</si>
  <si>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</si>
  <si>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</si>
  <si>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</si>
  <si>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</si>
  <si>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</si>
  <si>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</si>
  <si>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</si>
  <si>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</si>
  <si>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</si>
  <si>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</si>
  <si>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</si>
  <si>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</si>
  <si>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</si>
  <si>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</si>
  <si>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</si>
  <si>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</si>
  <si>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</si>
  <si>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</si>
  <si>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</si>
  <si>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</si>
  <si>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</si>
  <si>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</si>
  <si>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</si>
  <si>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</si>
  <si>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</si>
  <si>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</si>
  <si>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</si>
  <si>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</si>
  <si>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</si>
  <si>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</si>
  <si>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</si>
  <si>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</si>
  <si>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</si>
  <si>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</si>
  <si>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</si>
  <si>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</si>
  <si>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</si>
  <si>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</si>
  <si>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</si>
  <si>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</si>
  <si>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</si>
  <si>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</si>
  <si>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</si>
  <si>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</si>
  <si>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</si>
  <si>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</si>
  <si>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</si>
  <si>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</si>
  <si>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</si>
  <si>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</si>
  <si>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</si>
  <si>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</si>
  <si>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</si>
  <si>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</si>
  <si>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</si>
  <si>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</si>
  <si>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</si>
  <si>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</si>
  <si>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</si>
  <si>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</si>
  <si>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</si>
  <si>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</si>
  <si>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</si>
  <si>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</si>
  <si>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</si>
  <si>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</si>
  <si>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</si>
  <si>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</si>
  <si>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</si>
  <si>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</si>
  <si>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</si>
  <si>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</si>
  <si>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</si>
  <si>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</si>
  <si>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</si>
  <si>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</si>
  <si>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</si>
  <si>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</si>
  <si>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</si>
  <si>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</si>
  <si>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</si>
  <si>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</si>
  <si>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</si>
  <si>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</si>
  <si>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</si>
  <si>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</si>
  <si>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</si>
  <si>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</si>
  <si>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</si>
  <si>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</si>
  <si>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</si>
  <si>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</si>
  <si>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</si>
  <si>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</si>
  <si>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</si>
  <si>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</si>
  <si>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</si>
  <si>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</si>
  <si>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</si>
  <si>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</si>
  <si>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</si>
  <si>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</si>
  <si>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</si>
  <si>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</si>
  <si>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</si>
  <si>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</si>
  <si>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</si>
  <si>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</si>
  <si>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</si>
  <si>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</si>
  <si>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</si>
  <si>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</si>
  <si>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</si>
  <si>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</si>
  <si>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</si>
  <si>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</si>
  <si>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</si>
  <si>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</si>
  <si>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</si>
  <si>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</si>
  <si>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</si>
  <si>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</si>
  <si>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</si>
  <si>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</si>
  <si>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</si>
  <si>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</si>
  <si>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</si>
  <si>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</si>
  <si>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</si>
  <si>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</si>
  <si>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</si>
  <si>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</si>
  <si>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</si>
  <si>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</si>
  <si>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</si>
  <si>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</si>
  <si>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</si>
  <si>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</si>
  <si>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</si>
  <si>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</si>
  <si>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</si>
  <si>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</si>
  <si>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HDB Financial Services Ltd.</t>
  </si>
  <si>
    <t>DATE</t>
  </si>
  <si>
    <t>ADJCLOSE</t>
  </si>
  <si>
    <t>ADJHIGH</t>
  </si>
  <si>
    <t>ADJLOW</t>
  </si>
  <si>
    <t>ADJOPEN</t>
  </si>
  <si>
    <t>CLOSE</t>
  </si>
  <si>
    <t>VOLUME</t>
  </si>
  <si>
    <t>AUM</t>
  </si>
  <si>
    <t>AUM Growth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</si>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</sst>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3" borderId="0" xfId="0" applyNumberFormat="1" applyFont="1" applyFill="1"/>
    <xf numFmtId="167" fontId="3" fillId="4" borderId="0" xfId="1" applyNumberFormat="1" applyFont="1" applyFill="1"/>
    <xf numFmtId="9" fontId="9" fillId="0" borderId="0" xfId="0" applyNumberFormat="1" applyFont="1"/>
    <xf numFmtId="9" fontId="3" fillId="4" borderId="0" xfId="0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6"/>
  <sheetViews>
    <sheetView tabSelected="1" zoomScale="120" zoomScaleNormal="120" workbookViewId="0">
      <pane xSplit="1" ySplit="1" topLeftCell="CL2" activePane="bottomRight" state="frozen"/>
      <selection pane="topRight" activeCell="B1" sqref="B1"/>
      <selection pane="bottomLeft" activeCell="A2" sqref="A2"/>
      <selection pane="bottomRight" activeCell="CT28" sqref="CT28:CT15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HDB Financial Services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6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507</v>
      </c>
      <c r="CT1" s="157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4" customFormat="1" x14ac:dyDescent="0.2">
      <c r="A3" s="9" t="s">
        <v>505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8"/>
      <c r="AB3" s="8"/>
      <c r="AC3" s="8"/>
      <c r="AD3" s="8"/>
      <c r="AE3" s="8"/>
      <c r="AG3" s="54"/>
      <c r="BU3" s="154">
        <v>106900</v>
      </c>
      <c r="BV3" s="154">
        <v>109300</v>
      </c>
      <c r="BW3" s="154">
        <v>111400</v>
      </c>
      <c r="BX3" s="154">
        <v>114600</v>
      </c>
      <c r="BY3" s="154">
        <v>118500</v>
      </c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</row>
    <row r="4" spans="1:98" s="4" customFormat="1" x14ac:dyDescent="0.2">
      <c r="A4" s="9" t="s">
        <v>506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8"/>
      <c r="AC4" s="8"/>
      <c r="AD4" s="8"/>
      <c r="AE4" s="8"/>
      <c r="AG4" s="54"/>
      <c r="BY4" s="156">
        <f>BY3/BU3-1</f>
        <v>0.10851262862488298</v>
      </c>
      <c r="BZ4" s="153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</row>
    <row r="5" spans="1:98" s="12" customForma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7"/>
      <c r="AC5" s="17"/>
      <c r="AD5" s="17"/>
      <c r="AE5" s="17"/>
      <c r="AG5" s="55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</row>
    <row r="6" spans="1:98" s="81" customFormat="1" x14ac:dyDescent="0.2">
      <c r="A6" s="79" t="s">
        <v>31</v>
      </c>
      <c r="B6" s="79"/>
      <c r="C6" s="79"/>
      <c r="D6" s="79">
        <f t="shared" ref="D6:O6" si="15">AVERAGE(C100:D100)</f>
        <v>0</v>
      </c>
      <c r="E6" s="79">
        <f t="shared" si="15"/>
        <v>0</v>
      </c>
      <c r="F6" s="79">
        <f t="shared" si="15"/>
        <v>0</v>
      </c>
      <c r="G6" s="79">
        <f t="shared" si="15"/>
        <v>0</v>
      </c>
      <c r="H6" s="79">
        <f t="shared" si="15"/>
        <v>0</v>
      </c>
      <c r="I6" s="79">
        <f t="shared" si="15"/>
        <v>50.672643199999996</v>
      </c>
      <c r="J6" s="79">
        <f t="shared" si="15"/>
        <v>96.736418350000008</v>
      </c>
      <c r="K6" s="79">
        <f t="shared" si="15"/>
        <v>97.086757849999998</v>
      </c>
      <c r="L6" s="79">
        <f t="shared" si="15"/>
        <v>410.65754325</v>
      </c>
      <c r="M6" s="79">
        <f t="shared" si="15"/>
        <v>745.02956055000004</v>
      </c>
      <c r="N6" s="79">
        <f t="shared" si="15"/>
        <v>822.16</v>
      </c>
      <c r="O6" s="79">
        <f t="shared" si="15"/>
        <v>1251.0149999999999</v>
      </c>
      <c r="P6" s="79">
        <f>AVERAGE(O100:P100)</f>
        <v>2376.8150000000001</v>
      </c>
      <c r="Q6" s="79">
        <f t="shared" ref="Q6:T6" si="16">AVERAGE(P100:Q100)</f>
        <v>3343.4650000000001</v>
      </c>
      <c r="R6" s="79">
        <f t="shared" si="16"/>
        <v>4462.3449999999993</v>
      </c>
      <c r="S6" s="79">
        <f t="shared" si="16"/>
        <v>5701.62</v>
      </c>
      <c r="T6" s="79">
        <f t="shared" si="16"/>
        <v>6609.41</v>
      </c>
      <c r="U6" s="79">
        <f t="shared" ref="U6" si="17">AVERAGE(T100:U100)</f>
        <v>7598.1350000000002</v>
      </c>
      <c r="V6" s="79">
        <f t="shared" ref="V6" si="18">AVERAGE(U100:V100)</f>
        <v>8232.02</v>
      </c>
      <c r="W6" s="79">
        <f>AVERAGE(V100:W100)</f>
        <v>8992.9850000000006</v>
      </c>
      <c r="X6" s="79">
        <f>AVERAGE(W100:X100)</f>
        <v>10488.349999999999</v>
      </c>
      <c r="Y6" s="79">
        <f>+AVERAGE(BN6:BQ6)</f>
        <v>0</v>
      </c>
      <c r="Z6" s="79">
        <f>+AVERAGE(BR6:BU6)</f>
        <v>5814.3125</v>
      </c>
      <c r="AA6" s="80">
        <f>+AVERAGE(BV6:BY6)</f>
        <v>18487.387499999997</v>
      </c>
      <c r="AB6" s="80">
        <f>+AVERAGE(BZ6:CC6)</f>
        <v>22618.139588297192</v>
      </c>
      <c r="AC6" s="80">
        <f>+AVERAGE(CD6:CG6)</f>
        <v>26877.775852452094</v>
      </c>
      <c r="AD6" s="80">
        <f>+AVERAGE(CH6:CK6)</f>
        <v>31696.698082224313</v>
      </c>
      <c r="AE6" s="80">
        <f>+AVERAGE(CL6:CO6)</f>
        <v>37136.497689115655</v>
      </c>
      <c r="AG6" s="82"/>
      <c r="AH6" s="79">
        <f t="shared" ref="AH6" si="19">AVERAGE(AG100:AH100)</f>
        <v>0</v>
      </c>
      <c r="AI6" s="79">
        <f t="shared" ref="AI6" si="20">AVERAGE(AH100:AI100)</f>
        <v>0</v>
      </c>
      <c r="AJ6" s="79">
        <f t="shared" ref="AJ6" si="21">AVERAGE(AI100:AJ100)</f>
        <v>0</v>
      </c>
      <c r="AK6" s="79">
        <f t="shared" ref="AK6" si="22">AVERAGE(AJ100:AK100)</f>
        <v>0</v>
      </c>
      <c r="AL6" s="79">
        <f t="shared" ref="AL6" si="23">AVERAGE(AK100:AL100)</f>
        <v>0</v>
      </c>
      <c r="AM6" s="79">
        <f t="shared" ref="AM6" si="24">AVERAGE(AL100:AM100)</f>
        <v>0</v>
      </c>
      <c r="AN6" s="79">
        <f t="shared" ref="AN6" si="25">AVERAGE(AM100:AN100)</f>
        <v>0</v>
      </c>
      <c r="AO6" s="79">
        <f t="shared" ref="AO6" si="26">AVERAGE(AN100:AO100)</f>
        <v>0</v>
      </c>
      <c r="AP6" s="79">
        <f t="shared" ref="AP6" si="27">AVERAGE(AO100:AP100)</f>
        <v>0</v>
      </c>
      <c r="AQ6" s="79">
        <f t="shared" ref="AQ6" si="28">AVERAGE(AP100:AQ100)</f>
        <v>0</v>
      </c>
      <c r="AR6" s="79">
        <f t="shared" ref="AR6" si="29">AVERAGE(AQ100:AR100)</f>
        <v>0</v>
      </c>
      <c r="AS6" s="79">
        <f t="shared" ref="AS6" si="30">AVERAGE(AR100:AS100)</f>
        <v>0</v>
      </c>
      <c r="AT6" s="79">
        <f t="shared" ref="AT6" si="31">AVERAGE(AS100:AT100)</f>
        <v>0</v>
      </c>
      <c r="AU6" s="79">
        <f t="shared" ref="AU6" si="32">AVERAGE(AT100:AU100)</f>
        <v>0</v>
      </c>
      <c r="AV6" s="79">
        <f t="shared" ref="AV6" si="33">AVERAGE(AU100:AV100)</f>
        <v>0</v>
      </c>
      <c r="AW6" s="79">
        <f t="shared" ref="AW6:BB6" si="34">AVERAGE(AV100:AW100)</f>
        <v>0</v>
      </c>
      <c r="AX6" s="79">
        <f t="shared" si="34"/>
        <v>0</v>
      </c>
      <c r="AY6" s="79">
        <f t="shared" si="34"/>
        <v>0</v>
      </c>
      <c r="AZ6" s="79">
        <f t="shared" si="34"/>
        <v>0</v>
      </c>
      <c r="BA6" s="79">
        <f t="shared" si="34"/>
        <v>0</v>
      </c>
      <c r="BB6" s="79">
        <f t="shared" si="34"/>
        <v>0</v>
      </c>
      <c r="BC6" s="79">
        <f t="shared" ref="BC6" si="35">AVERAGE(BB100:BC100)</f>
        <v>0</v>
      </c>
      <c r="BD6" s="79">
        <f t="shared" ref="BD6" si="36">AVERAGE(BC100:BD100)</f>
        <v>0</v>
      </c>
      <c r="BE6" s="79">
        <f t="shared" ref="BE6" si="37">AVERAGE(BD100:BE100)</f>
        <v>0</v>
      </c>
      <c r="BF6" s="79">
        <f t="shared" ref="BF6:BH6" si="38">AVERAGE(BE100:BF100)</f>
        <v>0</v>
      </c>
      <c r="BG6" s="79">
        <f t="shared" si="38"/>
        <v>0</v>
      </c>
      <c r="BH6" s="79">
        <f t="shared" si="38"/>
        <v>0</v>
      </c>
      <c r="BI6" s="79">
        <f t="shared" ref="BI6" si="39">AVERAGE(BH100:BI100)</f>
        <v>0</v>
      </c>
      <c r="BJ6" s="79">
        <f t="shared" ref="BJ6:BK6" si="40">AVERAGE(BI100:BJ100)</f>
        <v>0</v>
      </c>
      <c r="BK6" s="79">
        <f t="shared" si="40"/>
        <v>0</v>
      </c>
      <c r="BL6" s="79">
        <f t="shared" ref="BL6" si="41">AVERAGE(BK100:BL100)</f>
        <v>0</v>
      </c>
      <c r="BM6" s="79">
        <f t="shared" ref="BM6" si="42">AVERAGE(BL100:BM100)</f>
        <v>0</v>
      </c>
      <c r="BN6" s="79">
        <f t="shared" ref="BN6" si="43">AVERAGE(BM100:BN100)</f>
        <v>0</v>
      </c>
      <c r="BO6" s="79">
        <f t="shared" ref="BO6" si="44">AVERAGE(BN100:BO100)</f>
        <v>0</v>
      </c>
      <c r="BP6" s="79">
        <f t="shared" ref="BP6" si="45">AVERAGE(BO100:BP100)</f>
        <v>0</v>
      </c>
      <c r="BQ6" s="79">
        <f t="shared" ref="BQ6" si="46">AVERAGE(BP100:BQ100)</f>
        <v>0</v>
      </c>
      <c r="BR6" s="79">
        <f t="shared" ref="BR6" si="47">AVERAGE(BQ100:BR100)</f>
        <v>0</v>
      </c>
      <c r="BS6" s="79">
        <f t="shared" ref="BS6" si="48">AVERAGE(BR100:BS100)</f>
        <v>0</v>
      </c>
      <c r="BT6" s="79">
        <f t="shared" ref="BT6:BU6" si="49">AVERAGE(BS100:BT100)</f>
        <v>7673.6999999999989</v>
      </c>
      <c r="BU6" s="79">
        <f t="shared" si="49"/>
        <v>15583.55</v>
      </c>
      <c r="BV6" s="79">
        <f>AVERAGE(BU100:BV100)</f>
        <v>16103.55</v>
      </c>
      <c r="BW6" s="79">
        <f>AVERAGE(BV100:BW100)</f>
        <v>17862.799999999996</v>
      </c>
      <c r="BX6" s="79">
        <f>AVERAGE(BW100:BX100)</f>
        <v>19660.149999999998</v>
      </c>
      <c r="BY6" s="79">
        <f>AVERAGE(BX100:BY100)</f>
        <v>20323.05</v>
      </c>
      <c r="BZ6" s="83">
        <f t="shared" ref="BZ6" si="50">AVERAGE(BY100:BZ100)</f>
        <v>21129.293375738926</v>
      </c>
      <c r="CA6" s="83">
        <f t="shared" ref="CA6" si="51">AVERAGE(BZ100:CA100)</f>
        <v>22100.399792931625</v>
      </c>
      <c r="CB6" s="83">
        <f t="shared" ref="CB6" si="52">AVERAGE(CA100:CB100)</f>
        <v>23111.351604359232</v>
      </c>
      <c r="CC6" s="83">
        <f t="shared" ref="CC6" si="53">AVERAGE(CB100:CC100)</f>
        <v>24131.513580158993</v>
      </c>
      <c r="CD6" s="83">
        <f t="shared" ref="CD6" si="54">AVERAGE(CC100:CD100)</f>
        <v>25191.021064673994</v>
      </c>
      <c r="CE6" s="83">
        <f t="shared" ref="CE6" si="55">AVERAGE(CD100:CE100)</f>
        <v>26296.327821612806</v>
      </c>
      <c r="CF6" s="83">
        <f t="shared" ref="CF6" si="56">AVERAGE(CE100:CF100)</f>
        <v>27430.497045962838</v>
      </c>
      <c r="CG6" s="83">
        <f t="shared" ref="CG6" si="57">AVERAGE(CF100:CG100)</f>
        <v>28593.257477558742</v>
      </c>
      <c r="CH6" s="83">
        <f t="shared" ref="CH6" si="58">AVERAGE(CG100:CH100)</f>
        <v>29794.59042367353</v>
      </c>
      <c r="CI6" s="83">
        <f t="shared" ref="CI6" si="59">AVERAGE(CH100:CI100)</f>
        <v>31038.489384932916</v>
      </c>
      <c r="CJ6" s="83">
        <f t="shared" ref="CJ6" si="60">AVERAGE(CI100:CJ100)</f>
        <v>32319.231599717219</v>
      </c>
      <c r="CK6" s="83">
        <f t="shared" ref="CK6" si="61">AVERAGE(CJ100:CK100)</f>
        <v>33634.48092057358</v>
      </c>
      <c r="CL6" s="83">
        <f t="shared" ref="CL6" si="62">AVERAGE(CK100:CL100)</f>
        <v>34990.80835857027</v>
      </c>
      <c r="CM6" s="83">
        <f t="shared" ref="CM6" si="63">AVERAGE(CL100:CM100)</f>
        <v>36393.634401325238</v>
      </c>
      <c r="CN6" s="83">
        <f t="shared" ref="CN6" si="64">AVERAGE(CM100:CN100)</f>
        <v>37838.804234329124</v>
      </c>
      <c r="CO6" s="83">
        <f t="shared" ref="CO6" si="65">AVERAGE(CN100:CO100)</f>
        <v>39322.743762237995</v>
      </c>
    </row>
    <row r="7" spans="1:98" s="81" customFormat="1" x14ac:dyDescent="0.2">
      <c r="A7" s="79" t="s">
        <v>24</v>
      </c>
      <c r="B7" s="79"/>
      <c r="C7" s="79"/>
      <c r="D7" s="79">
        <f t="shared" ref="D7:O7" si="66">AVERAGE(C109:D109)</f>
        <v>0</v>
      </c>
      <c r="E7" s="79">
        <f t="shared" si="66"/>
        <v>0</v>
      </c>
      <c r="F7" s="79">
        <f t="shared" si="66"/>
        <v>0</v>
      </c>
      <c r="G7" s="79">
        <f t="shared" si="66"/>
        <v>0</v>
      </c>
      <c r="H7" s="79">
        <f t="shared" si="66"/>
        <v>0</v>
      </c>
      <c r="I7" s="79">
        <f t="shared" si="66"/>
        <v>50.672643199999996</v>
      </c>
      <c r="J7" s="79">
        <f t="shared" si="66"/>
        <v>141.73641835000001</v>
      </c>
      <c r="K7" s="79">
        <f t="shared" si="66"/>
        <v>367.13931215000002</v>
      </c>
      <c r="L7" s="79">
        <f t="shared" si="66"/>
        <v>969.94121240000004</v>
      </c>
      <c r="M7" s="79">
        <f t="shared" si="66"/>
        <v>2596.3956754000001</v>
      </c>
      <c r="N7" s="79">
        <f t="shared" si="66"/>
        <v>5916.05</v>
      </c>
      <c r="O7" s="79">
        <f t="shared" si="66"/>
        <v>10365.27</v>
      </c>
      <c r="P7" s="79">
        <f>AVERAGE(O109:P109)</f>
        <v>15553.3</v>
      </c>
      <c r="Q7" s="79">
        <f t="shared" ref="Q7:T7" si="67">AVERAGE(P109:Q109)</f>
        <v>20788.525000000001</v>
      </c>
      <c r="R7" s="79">
        <f t="shared" si="67"/>
        <v>27061.945</v>
      </c>
      <c r="S7" s="79">
        <f t="shared" si="67"/>
        <v>36371.869999999995</v>
      </c>
      <c r="T7" s="79">
        <f t="shared" si="67"/>
        <v>47038.684999999998</v>
      </c>
      <c r="U7" s="79">
        <f t="shared" ref="U7" si="68">AVERAGE(T109:U109)</f>
        <v>55052.729999999996</v>
      </c>
      <c r="V7" s="79">
        <f t="shared" ref="V7" si="69">AVERAGE(U109:V109)</f>
        <v>58313.440000000002</v>
      </c>
      <c r="W7" s="79">
        <f>AVERAGE(V109:W109)</f>
        <v>58658.899999999994</v>
      </c>
      <c r="X7" s="79">
        <f>AVERAGE(W109:X109)</f>
        <v>62407.544999999998</v>
      </c>
      <c r="Y7" s="79">
        <f>+AVERAGE(BN7:BQ7)</f>
        <v>0</v>
      </c>
      <c r="Z7" s="79">
        <f>+AVERAGE(BR7:BU7)</f>
        <v>21593.262499999997</v>
      </c>
      <c r="AA7" s="80">
        <f>+AVERAGE(BV7:BY7)</f>
        <v>65863.1875</v>
      </c>
      <c r="AB7" s="80">
        <f>+AVERAGE(BZ7:CC7)</f>
        <v>84615.181914240893</v>
      </c>
      <c r="AC7" s="80">
        <f>+AVERAGE(CD7:CG7)</f>
        <v>95681.756633359575</v>
      </c>
      <c r="AD7" s="80">
        <f>+AVERAGE(CH7:CK7)</f>
        <v>108054.98218247191</v>
      </c>
      <c r="AE7" s="80">
        <f>+AVERAGE(CL7:CO7)</f>
        <v>121878.5065752071</v>
      </c>
      <c r="AG7" s="82"/>
      <c r="AH7" s="79">
        <f t="shared" ref="AH7" si="70">AVERAGE(AG109:AH109)</f>
        <v>0</v>
      </c>
      <c r="AI7" s="79">
        <f t="shared" ref="AI7" si="71">AVERAGE(AH109:AI109)</f>
        <v>0</v>
      </c>
      <c r="AJ7" s="79">
        <f t="shared" ref="AJ7" si="72">AVERAGE(AI109:AJ109)</f>
        <v>0</v>
      </c>
      <c r="AK7" s="79">
        <f t="shared" ref="AK7" si="73">AVERAGE(AJ109:AK109)</f>
        <v>0</v>
      </c>
      <c r="AL7" s="79">
        <f t="shared" ref="AL7" si="74">AVERAGE(AK109:AL109)</f>
        <v>0</v>
      </c>
      <c r="AM7" s="79">
        <f t="shared" ref="AM7" si="75">AVERAGE(AL109:AM109)</f>
        <v>0</v>
      </c>
      <c r="AN7" s="79">
        <f t="shared" ref="AN7" si="76">AVERAGE(AM109:AN109)</f>
        <v>0</v>
      </c>
      <c r="AO7" s="79">
        <f t="shared" ref="AO7" si="77">AVERAGE(AN109:AO109)</f>
        <v>0</v>
      </c>
      <c r="AP7" s="79">
        <f t="shared" ref="AP7" si="78">AVERAGE(AO109:AP109)</f>
        <v>0</v>
      </c>
      <c r="AQ7" s="79">
        <f t="shared" ref="AQ7" si="79">AVERAGE(AP109:AQ109)</f>
        <v>0</v>
      </c>
      <c r="AR7" s="79">
        <f t="shared" ref="AR7" si="80">AVERAGE(AQ109:AR109)</f>
        <v>0</v>
      </c>
      <c r="AS7" s="79">
        <f t="shared" ref="AS7" si="81">AVERAGE(AR109:AS109)</f>
        <v>0</v>
      </c>
      <c r="AT7" s="79">
        <f t="shared" ref="AT7" si="82">AVERAGE(AS109:AT109)</f>
        <v>0</v>
      </c>
      <c r="AU7" s="79">
        <f t="shared" ref="AU7" si="83">AVERAGE(AT109:AU109)</f>
        <v>0</v>
      </c>
      <c r="AV7" s="79">
        <f t="shared" ref="AV7" si="84">AVERAGE(AU109:AV109)</f>
        <v>0</v>
      </c>
      <c r="AW7" s="79">
        <f t="shared" ref="AW7:BB7" si="85">AVERAGE(AV109:AW109)</f>
        <v>0</v>
      </c>
      <c r="AX7" s="79">
        <f t="shared" si="85"/>
        <v>0</v>
      </c>
      <c r="AY7" s="79">
        <f t="shared" si="85"/>
        <v>0</v>
      </c>
      <c r="AZ7" s="79">
        <f t="shared" si="85"/>
        <v>0</v>
      </c>
      <c r="BA7" s="79">
        <f t="shared" si="85"/>
        <v>0</v>
      </c>
      <c r="BB7" s="79">
        <f t="shared" si="85"/>
        <v>0</v>
      </c>
      <c r="BC7" s="79">
        <f t="shared" ref="BC7:BH7" si="86">AVERAGE(BB109:BC109)</f>
        <v>0</v>
      </c>
      <c r="BD7" s="79">
        <f t="shared" si="86"/>
        <v>0</v>
      </c>
      <c r="BE7" s="79">
        <f t="shared" si="86"/>
        <v>0</v>
      </c>
      <c r="BF7" s="79">
        <f t="shared" si="86"/>
        <v>0</v>
      </c>
      <c r="BG7" s="79">
        <f t="shared" si="86"/>
        <v>0</v>
      </c>
      <c r="BH7" s="79">
        <f t="shared" si="86"/>
        <v>0</v>
      </c>
      <c r="BI7" s="79">
        <f t="shared" ref="BI7" si="87">AVERAGE(BH109:BI109)</f>
        <v>0</v>
      </c>
      <c r="BJ7" s="79">
        <f t="shared" ref="BJ7:BK7" si="88">AVERAGE(BI109:BJ109)</f>
        <v>0</v>
      </c>
      <c r="BK7" s="79">
        <f t="shared" si="88"/>
        <v>0</v>
      </c>
      <c r="BL7" s="79">
        <f t="shared" ref="BL7" si="89">AVERAGE(BK109:BL109)</f>
        <v>0</v>
      </c>
      <c r="BM7" s="79">
        <f t="shared" ref="BM7" si="90">AVERAGE(BL109:BM109)</f>
        <v>0</v>
      </c>
      <c r="BN7" s="79">
        <f t="shared" ref="BN7" si="91">AVERAGE(BM109:BN109)</f>
        <v>0</v>
      </c>
      <c r="BO7" s="79">
        <f t="shared" ref="BO7" si="92">AVERAGE(BN109:BO109)</f>
        <v>0</v>
      </c>
      <c r="BP7" s="79">
        <f t="shared" ref="BP7" si="93">AVERAGE(BO109:BP109)</f>
        <v>0</v>
      </c>
      <c r="BQ7" s="79">
        <f t="shared" ref="BQ7" si="94">AVERAGE(BP109:BQ109)</f>
        <v>0</v>
      </c>
      <c r="BR7" s="79">
        <f t="shared" ref="BR7" si="95">AVERAGE(BQ109:BR109)</f>
        <v>0</v>
      </c>
      <c r="BS7" s="79">
        <f t="shared" ref="BS7" si="96">AVERAGE(BR109:BS109)</f>
        <v>0</v>
      </c>
      <c r="BT7" s="79">
        <f t="shared" ref="BT7:BU7" si="97">AVERAGE(BS109:BT109)</f>
        <v>28712.299999999996</v>
      </c>
      <c r="BU7" s="79">
        <f t="shared" si="97"/>
        <v>57660.749999999993</v>
      </c>
      <c r="BV7" s="79">
        <f>AVERAGE(BU109:BV109)</f>
        <v>58180.749999999993</v>
      </c>
      <c r="BW7" s="79">
        <f>AVERAGE(BV109:BW109)</f>
        <v>63011.35</v>
      </c>
      <c r="BX7" s="79">
        <f>AVERAGE(BW109:BX109)</f>
        <v>67880.05</v>
      </c>
      <c r="BY7" s="79">
        <f t="shared" ref="BY7" si="98">AVERAGE(BX109:BY109)</f>
        <v>74380.600000000006</v>
      </c>
      <c r="BZ7" s="80">
        <f t="shared" ref="BZ7" si="99">AVERAGE(BY109:BZ109)</f>
        <v>81024.493375738923</v>
      </c>
      <c r="CA7" s="80">
        <f t="shared" ref="CA7" si="100">AVERAGE(BZ109:CA109)</f>
        <v>83275.421170673711</v>
      </c>
      <c r="CB7" s="80">
        <f t="shared" ref="CB7" si="101">AVERAGE(CA109:CB109)</f>
        <v>85566.194359843401</v>
      </c>
      <c r="CC7" s="80">
        <f t="shared" ref="CC7" si="102">AVERAGE(CB109:CC109)</f>
        <v>88594.618750707552</v>
      </c>
      <c r="CD7" s="80">
        <f t="shared" ref="CD7" si="103">AVERAGE(CC109:CD109)</f>
        <v>91662.388650286943</v>
      </c>
      <c r="CE7" s="80">
        <f t="shared" ref="CE7" si="104">AVERAGE(CD109:CE109)</f>
        <v>94188.034219748632</v>
      </c>
      <c r="CF7" s="80">
        <f t="shared" ref="CF7" si="105">AVERAGE(CE109:CF109)</f>
        <v>96742.542256621557</v>
      </c>
      <c r="CG7" s="80">
        <f t="shared" ref="CG7" si="106">AVERAGE(CF109:CG109)</f>
        <v>100134.06140678114</v>
      </c>
      <c r="CH7" s="80">
        <f t="shared" ref="CH7" si="107">AVERAGE(CG109:CH109)</f>
        <v>103564.15307145963</v>
      </c>
      <c r="CI7" s="80">
        <f t="shared" ref="CI7" si="108">AVERAGE(CH109:CI109)</f>
        <v>106384.33633101538</v>
      </c>
      <c r="CJ7" s="80">
        <f t="shared" ref="CJ7" si="109">AVERAGE(CI109:CJ109)</f>
        <v>109241.36284409605</v>
      </c>
      <c r="CK7" s="80">
        <f t="shared" ref="CK7" si="110">AVERAGE(CJ109:CK109)</f>
        <v>113030.0764833166</v>
      </c>
      <c r="CL7" s="80">
        <f t="shared" ref="CL7" si="111">AVERAGE(CK109:CL109)</f>
        <v>116859.86823967748</v>
      </c>
      <c r="CM7" s="80">
        <f t="shared" ref="CM7" si="112">AVERAGE(CL109:CM109)</f>
        <v>120012.04603368277</v>
      </c>
      <c r="CN7" s="80">
        <f t="shared" ref="CN7" si="113">AVERAGE(CM109:CN109)</f>
        <v>123206.56761793698</v>
      </c>
      <c r="CO7" s="80">
        <f t="shared" ref="CO7" si="114">AVERAGE(CN109:CO109)</f>
        <v>127435.54440953115</v>
      </c>
    </row>
    <row r="8" spans="1:98" s="12" customFormat="1" x14ac:dyDescent="0.2">
      <c r="A8" s="9"/>
      <c r="B8" s="9"/>
      <c r="C8" s="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B8" s="21"/>
      <c r="AC8" s="21"/>
      <c r="AD8" s="21"/>
      <c r="AE8" s="21"/>
      <c r="AG8" s="55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</row>
    <row r="9" spans="1:98" s="37" customFormat="1" x14ac:dyDescent="0.2">
      <c r="A9" s="35" t="s">
        <v>45</v>
      </c>
      <c r="B9" s="35"/>
      <c r="C9" s="35"/>
      <c r="D9" s="35" t="e">
        <f t="shared" ref="D9" si="115">+D7/C7-1</f>
        <v>#DIV/0!</v>
      </c>
      <c r="E9" s="35" t="e">
        <f t="shared" ref="E9" si="116">+E7/D7-1</f>
        <v>#DIV/0!</v>
      </c>
      <c r="F9" s="35" t="e">
        <f t="shared" ref="F9" si="117">+F7/E7-1</f>
        <v>#DIV/0!</v>
      </c>
      <c r="G9" s="35" t="e">
        <f t="shared" ref="G9" si="118">+G7/F7-1</f>
        <v>#DIV/0!</v>
      </c>
      <c r="H9" s="35" t="e">
        <f t="shared" ref="H9" si="119">+H7/G7-1</f>
        <v>#DIV/0!</v>
      </c>
      <c r="I9" s="35" t="e">
        <f t="shared" ref="I9" si="120">+I7/H7-1</f>
        <v>#DIV/0!</v>
      </c>
      <c r="J9" s="35">
        <f t="shared" ref="J9" si="121">+J7/I7-1</f>
        <v>1.7970993695864679</v>
      </c>
      <c r="K9" s="35">
        <f t="shared" ref="K9" si="122">+K7/J7-1</f>
        <v>1.5902962444231963</v>
      </c>
      <c r="L9" s="35">
        <f t="shared" ref="L9" si="123">+L7/K7-1</f>
        <v>1.6418887335162755</v>
      </c>
      <c r="M9" s="35">
        <f t="shared" ref="M9" si="124">+M7/L7-1</f>
        <v>1.6768588056749736</v>
      </c>
      <c r="N9" s="35">
        <f t="shared" ref="N9" si="125">+N7/M7-1</f>
        <v>1.2785625688921911</v>
      </c>
      <c r="O9" s="35">
        <f t="shared" ref="O9" si="126">+O7/N7-1</f>
        <v>0.7520592287083443</v>
      </c>
      <c r="P9" s="35">
        <f t="shared" ref="P9" si="127">+P7/O7-1</f>
        <v>0.50052048813007266</v>
      </c>
      <c r="Q9" s="35">
        <f t="shared" ref="Q9" si="128">+Q7/P7-1</f>
        <v>0.33659898542431521</v>
      </c>
      <c r="R9" s="35">
        <f t="shared" ref="R9" si="129">+R7/Q7-1</f>
        <v>0.3017732138283018</v>
      </c>
      <c r="S9" s="35">
        <f t="shared" ref="S9" si="130">+S7/R7-1</f>
        <v>0.34402275963534756</v>
      </c>
      <c r="T9" s="35">
        <f t="shared" ref="T9" si="131">+T7/S7-1</f>
        <v>0.29327100861187505</v>
      </c>
      <c r="U9" s="35">
        <f t="shared" ref="U9:V9" si="132">+U7/T7-1</f>
        <v>0.17037136561109212</v>
      </c>
      <c r="V9" s="35">
        <f t="shared" si="132"/>
        <v>5.9228852047845892E-2</v>
      </c>
      <c r="W9" s="35">
        <f>+W7/V7-1</f>
        <v>5.9241917472196981E-3</v>
      </c>
      <c r="X9" s="35">
        <f t="shared" ref="X9:Z9" si="133">+X7/W7-1</f>
        <v>6.3905818213433996E-2</v>
      </c>
      <c r="Y9" s="35">
        <f t="shared" si="133"/>
        <v>-1</v>
      </c>
      <c r="Z9" s="35" t="e">
        <f t="shared" si="133"/>
        <v>#DIV/0!</v>
      </c>
      <c r="AA9" s="36">
        <f t="shared" ref="AA9" si="134">+AA7/Z7-1</f>
        <v>2.0501730574525276</v>
      </c>
      <c r="AB9" s="36">
        <f t="shared" ref="AB9" si="135">+AB7/AA7-1</f>
        <v>0.28471131030882613</v>
      </c>
      <c r="AC9" s="36">
        <f t="shared" ref="AC9" si="136">+AC7/AB7-1</f>
        <v>0.13078710544326277</v>
      </c>
      <c r="AD9" s="36">
        <f t="shared" ref="AD9" si="137">+AD7/AC7-1</f>
        <v>0.12931645471900111</v>
      </c>
      <c r="AE9" s="36">
        <f t="shared" ref="AE9" si="138">+AE7/AD7-1</f>
        <v>0.12793046755948256</v>
      </c>
      <c r="AG9" s="59"/>
      <c r="AH9" s="35"/>
      <c r="AI9" s="35"/>
      <c r="AJ9" s="35"/>
      <c r="AK9" s="35"/>
      <c r="AL9" s="35" t="e">
        <f t="shared" ref="AL9" si="139">AL7/AH7-1</f>
        <v>#DIV/0!</v>
      </c>
      <c r="AM9" s="35" t="e">
        <f t="shared" ref="AM9" si="140">AM7/AI7-1</f>
        <v>#DIV/0!</v>
      </c>
      <c r="AN9" s="35" t="e">
        <f t="shared" ref="AN9" si="141">AN7/AJ7-1</f>
        <v>#DIV/0!</v>
      </c>
      <c r="AO9" s="35" t="e">
        <f t="shared" ref="AO9" si="142">AO7/AK7-1</f>
        <v>#DIV/0!</v>
      </c>
      <c r="AP9" s="35" t="e">
        <f t="shared" ref="AP9" si="143">AP7/AL7-1</f>
        <v>#DIV/0!</v>
      </c>
      <c r="AQ9" s="35" t="e">
        <f t="shared" ref="AQ9" si="144">AQ7/AM7-1</f>
        <v>#DIV/0!</v>
      </c>
      <c r="AR9" s="35" t="e">
        <f t="shared" ref="AR9" si="145">AR7/AN7-1</f>
        <v>#DIV/0!</v>
      </c>
      <c r="AS9" s="35" t="e">
        <f t="shared" ref="AS9" si="146">AS7/AO7-1</f>
        <v>#DIV/0!</v>
      </c>
      <c r="AT9" s="35" t="e">
        <f t="shared" ref="AT9" si="147">AT7/AP7-1</f>
        <v>#DIV/0!</v>
      </c>
      <c r="AU9" s="35" t="e">
        <f t="shared" ref="AU9" si="148">AU7/AQ7-1</f>
        <v>#DIV/0!</v>
      </c>
      <c r="AV9" s="35" t="e">
        <f t="shared" ref="AV9" si="149">AV7/AR7-1</f>
        <v>#DIV/0!</v>
      </c>
      <c r="AW9" s="35" t="e">
        <f t="shared" ref="AW9" si="150">AW7/AS7-1</f>
        <v>#DIV/0!</v>
      </c>
      <c r="AX9" s="35" t="e">
        <f t="shared" ref="AX9" si="151">AX7/AT7-1</f>
        <v>#DIV/0!</v>
      </c>
      <c r="AY9" s="35" t="e">
        <f t="shared" ref="AY9" si="152">AY7/AU7-1</f>
        <v>#DIV/0!</v>
      </c>
      <c r="AZ9" s="35" t="e">
        <f t="shared" ref="AZ9" si="153">AZ7/AV7-1</f>
        <v>#DIV/0!</v>
      </c>
      <c r="BA9" s="35" t="e">
        <f t="shared" ref="BA9:BB9" si="154">BA7/AW7-1</f>
        <v>#DIV/0!</v>
      </c>
      <c r="BB9" s="35" t="e">
        <f t="shared" si="154"/>
        <v>#DIV/0!</v>
      </c>
      <c r="BC9" s="35" t="e">
        <f t="shared" ref="BC9" si="155">BC7/AY7-1</f>
        <v>#DIV/0!</v>
      </c>
      <c r="BD9" s="35" t="e">
        <f t="shared" ref="BD9" si="156">BD7/AZ7-1</f>
        <v>#DIV/0!</v>
      </c>
      <c r="BE9" s="35" t="e">
        <f t="shared" ref="BE9" si="157">BE7/BA7-1</f>
        <v>#DIV/0!</v>
      </c>
      <c r="BF9" s="35" t="e">
        <f t="shared" ref="BF9:BH9" si="158">BF7/BB7-1</f>
        <v>#DIV/0!</v>
      </c>
      <c r="BG9" s="35" t="e">
        <f t="shared" si="158"/>
        <v>#DIV/0!</v>
      </c>
      <c r="BH9" s="35" t="e">
        <f t="shared" si="158"/>
        <v>#DIV/0!</v>
      </c>
      <c r="BI9" s="35" t="e">
        <f t="shared" ref="BI9" si="159">BI7/BE7-1</f>
        <v>#DIV/0!</v>
      </c>
      <c r="BJ9" s="35" t="e">
        <f t="shared" ref="BJ9:BK9" si="160">BJ7/BF7-1</f>
        <v>#DIV/0!</v>
      </c>
      <c r="BK9" s="35" t="e">
        <f t="shared" si="160"/>
        <v>#DIV/0!</v>
      </c>
      <c r="BL9" s="35" t="e">
        <f t="shared" ref="BL9" si="161">BL7/BH7-1</f>
        <v>#DIV/0!</v>
      </c>
      <c r="BM9" s="35" t="e">
        <f t="shared" ref="BM9" si="162">BM7/BI7-1</f>
        <v>#DIV/0!</v>
      </c>
      <c r="BN9" s="35" t="e">
        <f t="shared" ref="BN9" si="163">BN7/BJ7-1</f>
        <v>#DIV/0!</v>
      </c>
      <c r="BO9" s="35" t="e">
        <f t="shared" ref="BO9" si="164">BO7/BK7-1</f>
        <v>#DIV/0!</v>
      </c>
      <c r="BP9" s="35" t="e">
        <f t="shared" ref="BP9" si="165">BP7/BL7-1</f>
        <v>#DIV/0!</v>
      </c>
      <c r="BQ9" s="35" t="e">
        <f t="shared" ref="BQ9" si="166">BQ7/BM7-1</f>
        <v>#DIV/0!</v>
      </c>
      <c r="BR9" s="35" t="e">
        <f t="shared" ref="BR9" si="167">BR7/BN7-1</f>
        <v>#DIV/0!</v>
      </c>
      <c r="BS9" s="35" t="e">
        <f t="shared" ref="BS9" si="168">BS7/BO7-1</f>
        <v>#DIV/0!</v>
      </c>
      <c r="BT9" s="35" t="e">
        <f t="shared" ref="BT9:BU9" si="169">BT7/BP7-1</f>
        <v>#DIV/0!</v>
      </c>
      <c r="BU9" s="35" t="e">
        <f t="shared" si="169"/>
        <v>#DIV/0!</v>
      </c>
      <c r="BV9" s="35" t="e">
        <f t="shared" ref="BV9:BX9" si="170">BV7/BR7-1</f>
        <v>#DIV/0!</v>
      </c>
      <c r="BW9" s="35" t="e">
        <f t="shared" si="170"/>
        <v>#DIV/0!</v>
      </c>
      <c r="BX9" s="35">
        <f t="shared" si="170"/>
        <v>1.3641453314433192</v>
      </c>
      <c r="BY9" s="35">
        <f t="shared" ref="BY9" si="171">BY7/BU7-1</f>
        <v>0.28996934656590523</v>
      </c>
      <c r="BZ9" s="85">
        <f t="shared" ref="BZ9" si="172">BZ7/BV7-1</f>
        <v>0.39263404778623401</v>
      </c>
      <c r="CA9" s="85">
        <f t="shared" ref="CA9" si="173">CA7/BW7-1</f>
        <v>0.32159398537999451</v>
      </c>
      <c r="CB9" s="85">
        <f t="shared" ref="CB9" si="174">CB7/BX7-1</f>
        <v>0.26054996070043246</v>
      </c>
      <c r="CC9" s="85">
        <f t="shared" ref="CC9" si="175">CC7/BY7-1</f>
        <v>0.19109846856179624</v>
      </c>
      <c r="CD9" s="85">
        <f t="shared" ref="CD9" si="176">CD7/BZ7-1</f>
        <v>0.13129233928333717</v>
      </c>
      <c r="CE9" s="85">
        <f t="shared" ref="CE9" si="177">CE7/CA7-1</f>
        <v>0.13104242399098087</v>
      </c>
      <c r="CF9" s="85">
        <f t="shared" ref="CF9" si="178">CF7/CB7-1</f>
        <v>0.13061639565009409</v>
      </c>
      <c r="CG9" s="85">
        <f t="shared" ref="CG9" si="179">CG7/CC7-1</f>
        <v>0.13024992735217822</v>
      </c>
      <c r="CH9" s="85">
        <f t="shared" ref="CH9" si="180">CH7/CD7-1</f>
        <v>0.12984348974998516</v>
      </c>
      <c r="CI9" s="85">
        <f t="shared" ref="CI9" si="181">CI7/CE7-1</f>
        <v>0.12948886992175401</v>
      </c>
      <c r="CJ9" s="85">
        <f t="shared" ref="CJ9" si="182">CJ7/CF7-1</f>
        <v>0.12919673492060846</v>
      </c>
      <c r="CK9" s="85">
        <f t="shared" ref="CK9" si="183">CK7/CG7-1</f>
        <v>0.12878749643587439</v>
      </c>
      <c r="CL9" s="85">
        <f t="shared" ref="CL9" si="184">CL7/CH7-1</f>
        <v>0.12838144062302881</v>
      </c>
      <c r="CM9" s="85">
        <f t="shared" ref="CM9" si="185">CM7/CI7-1</f>
        <v>0.12809883647029308</v>
      </c>
      <c r="CN9" s="85">
        <f t="shared" ref="CN9" si="186">CN7/CJ7-1</f>
        <v>0.1278380680198159</v>
      </c>
      <c r="CO9" s="85">
        <f t="shared" ref="CO9" si="187">CO7/CK7-1</f>
        <v>0.12744809500629528</v>
      </c>
    </row>
    <row r="10" spans="1:98" s="24" customForma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  <c r="AB10" s="23"/>
      <c r="AC10" s="23"/>
      <c r="AD10" s="23"/>
      <c r="AE10" s="23"/>
      <c r="AG10" s="56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</row>
    <row r="11" spans="1:98" s="76" customFormat="1" x14ac:dyDescent="0.2">
      <c r="A11" s="75" t="s">
        <v>25</v>
      </c>
      <c r="B11" s="75"/>
      <c r="C11" s="75"/>
      <c r="D11" s="75" t="e">
        <f t="shared" ref="D11:AE11" si="188">D108/D100</f>
        <v>#DIV/0!</v>
      </c>
      <c r="E11" s="75" t="e">
        <f t="shared" si="188"/>
        <v>#DIV/0!</v>
      </c>
      <c r="F11" s="75" t="e">
        <f t="shared" si="188"/>
        <v>#DIV/0!</v>
      </c>
      <c r="G11" s="75" t="e">
        <f t="shared" si="188"/>
        <v>#DIV/0!</v>
      </c>
      <c r="H11" s="75" t="e">
        <f t="shared" si="188"/>
        <v>#DIV/0!</v>
      </c>
      <c r="I11" s="75">
        <f t="shared" si="188"/>
        <v>0</v>
      </c>
      <c r="J11" s="75">
        <f t="shared" si="188"/>
        <v>0.97690647050668389</v>
      </c>
      <c r="K11" s="75">
        <f t="shared" si="188"/>
        <v>4.410807490876067</v>
      </c>
      <c r="L11" s="75">
        <f t="shared" si="188"/>
        <v>0.92936316893140147</v>
      </c>
      <c r="M11" s="75">
        <f t="shared" si="188"/>
        <v>3.936571569428768</v>
      </c>
      <c r="N11" s="75">
        <f t="shared" si="188"/>
        <v>8.1891978523920184</v>
      </c>
      <c r="O11" s="75">
        <f t="shared" si="188"/>
        <v>6.8007368744243166</v>
      </c>
      <c r="P11" s="75">
        <f t="shared" si="188"/>
        <v>4.88874702812363</v>
      </c>
      <c r="Q11" s="75">
        <f t="shared" si="188"/>
        <v>5.5062468414846428</v>
      </c>
      <c r="R11" s="75">
        <f t="shared" si="188"/>
        <v>4.7711308641422825</v>
      </c>
      <c r="S11" s="75">
        <f t="shared" si="188"/>
        <v>5.919102369895783</v>
      </c>
      <c r="T11" s="75">
        <f t="shared" si="188"/>
        <v>6.2833862926222439</v>
      </c>
      <c r="U11" s="75">
        <f t="shared" si="188"/>
        <v>6.2116902392177398</v>
      </c>
      <c r="V11" s="75">
        <f t="shared" si="188"/>
        <v>5.9622684176627709</v>
      </c>
      <c r="W11" s="75">
        <f t="shared" si="188"/>
        <v>5.133591831215349</v>
      </c>
      <c r="X11" s="75">
        <f t="shared" si="188"/>
        <v>4.7971892905201292</v>
      </c>
      <c r="Y11" s="75">
        <f t="shared" si="188"/>
        <v>5.408734521793737</v>
      </c>
      <c r="Z11" s="75">
        <f t="shared" si="188"/>
        <v>5.669013100712716</v>
      </c>
      <c r="AA11" s="15">
        <f t="shared" si="188"/>
        <v>4.8020620352738215</v>
      </c>
      <c r="AB11" s="15">
        <f t="shared" si="188"/>
        <v>2.6969861186911852</v>
      </c>
      <c r="AC11" s="15">
        <f t="shared" si="188"/>
        <v>2.5278550491697063</v>
      </c>
      <c r="AD11" s="15">
        <f t="shared" si="188"/>
        <v>2.3867857178846235</v>
      </c>
      <c r="AE11" s="15">
        <f t="shared" si="188"/>
        <v>2.2672233084900442</v>
      </c>
      <c r="AG11" s="77"/>
      <c r="AH11" s="14" t="e">
        <f t="shared" ref="AH11:AS11" si="189">AH108/AH100</f>
        <v>#DIV/0!</v>
      </c>
      <c r="AI11" s="14" t="e">
        <f t="shared" si="189"/>
        <v>#DIV/0!</v>
      </c>
      <c r="AJ11" s="14" t="e">
        <f t="shared" si="189"/>
        <v>#DIV/0!</v>
      </c>
      <c r="AK11" s="14" t="e">
        <f t="shared" si="189"/>
        <v>#DIV/0!</v>
      </c>
      <c r="AL11" s="14" t="e">
        <f t="shared" si="189"/>
        <v>#DIV/0!</v>
      </c>
      <c r="AM11" s="14" t="e">
        <f t="shared" si="189"/>
        <v>#DIV/0!</v>
      </c>
      <c r="AN11" s="14" t="e">
        <f t="shared" si="189"/>
        <v>#DIV/0!</v>
      </c>
      <c r="AO11" s="14" t="e">
        <f t="shared" si="189"/>
        <v>#DIV/0!</v>
      </c>
      <c r="AP11" s="14" t="e">
        <f t="shared" si="189"/>
        <v>#DIV/0!</v>
      </c>
      <c r="AQ11" s="14" t="e">
        <f t="shared" si="189"/>
        <v>#DIV/0!</v>
      </c>
      <c r="AR11" s="14" t="e">
        <f t="shared" si="189"/>
        <v>#DIV/0!</v>
      </c>
      <c r="AS11" s="14" t="e">
        <f t="shared" si="189"/>
        <v>#DIV/0!</v>
      </c>
      <c r="AT11" s="14" t="e">
        <f t="shared" ref="AT11:BM11" si="190">AT108/AT100</f>
        <v>#DIV/0!</v>
      </c>
      <c r="AU11" s="14" t="e">
        <f t="shared" si="190"/>
        <v>#DIV/0!</v>
      </c>
      <c r="AV11" s="14" t="e">
        <f t="shared" si="190"/>
        <v>#DIV/0!</v>
      </c>
      <c r="AW11" s="14" t="e">
        <f t="shared" si="190"/>
        <v>#DIV/0!</v>
      </c>
      <c r="AX11" s="14" t="e">
        <f t="shared" si="190"/>
        <v>#DIV/0!</v>
      </c>
      <c r="AY11" s="14" t="e">
        <f t="shared" si="190"/>
        <v>#DIV/0!</v>
      </c>
      <c r="AZ11" s="14" t="e">
        <f t="shared" si="190"/>
        <v>#DIV/0!</v>
      </c>
      <c r="BA11" s="14" t="e">
        <f t="shared" si="190"/>
        <v>#DIV/0!</v>
      </c>
      <c r="BB11" s="14" t="e">
        <f t="shared" si="190"/>
        <v>#DIV/0!</v>
      </c>
      <c r="BC11" s="14" t="e">
        <f t="shared" si="190"/>
        <v>#DIV/0!</v>
      </c>
      <c r="BD11" s="14" t="e">
        <f t="shared" si="190"/>
        <v>#DIV/0!</v>
      </c>
      <c r="BE11" s="14" t="e">
        <f t="shared" si="190"/>
        <v>#DIV/0!</v>
      </c>
      <c r="BF11" s="14" t="e">
        <f t="shared" si="190"/>
        <v>#DIV/0!</v>
      </c>
      <c r="BG11" s="14" t="e">
        <f t="shared" si="190"/>
        <v>#DIV/0!</v>
      </c>
      <c r="BH11" s="14" t="e">
        <f t="shared" si="190"/>
        <v>#DIV/0!</v>
      </c>
      <c r="BI11" s="14" t="e">
        <f t="shared" si="190"/>
        <v>#DIV/0!</v>
      </c>
      <c r="BJ11" s="14" t="e">
        <f t="shared" si="190"/>
        <v>#DIV/0!</v>
      </c>
      <c r="BK11" s="14" t="e">
        <f t="shared" si="190"/>
        <v>#DIV/0!</v>
      </c>
      <c r="BL11" s="14" t="e">
        <f t="shared" si="190"/>
        <v>#DIV/0!</v>
      </c>
      <c r="BM11" s="14" t="e">
        <f t="shared" si="190"/>
        <v>#DIV/0!</v>
      </c>
      <c r="BN11" s="14" t="e">
        <f t="shared" ref="BN11:CO11" si="191">BN108/BN100</f>
        <v>#DIV/0!</v>
      </c>
      <c r="BO11" s="14" t="e">
        <f t="shared" si="191"/>
        <v>#DIV/0!</v>
      </c>
      <c r="BP11" s="14" t="e">
        <f t="shared" si="191"/>
        <v>#DIV/0!</v>
      </c>
      <c r="BQ11" s="14" t="e">
        <f t="shared" si="191"/>
        <v>#DIV/0!</v>
      </c>
      <c r="BR11" s="14" t="e">
        <f t="shared" si="191"/>
        <v>#DIV/0!</v>
      </c>
      <c r="BS11" s="14" t="e">
        <f t="shared" si="191"/>
        <v>#DIV/0!</v>
      </c>
      <c r="BT11" s="14">
        <f t="shared" si="191"/>
        <v>2.741650051474517</v>
      </c>
      <c r="BU11" s="14">
        <f t="shared" si="191"/>
        <v>2.6597975941389533</v>
      </c>
      <c r="BV11" s="14">
        <f t="shared" si="191"/>
        <v>2.5676556378681186</v>
      </c>
      <c r="BW11" s="14">
        <f t="shared" ref="BW11:BX11" si="192">BW108/BW100</f>
        <v>2.493505083203194</v>
      </c>
      <c r="BX11" s="14">
        <f t="shared" si="192"/>
        <v>2.4131547735223027</v>
      </c>
      <c r="BY11" s="14">
        <f t="shared" si="191"/>
        <v>2.8985288424312814</v>
      </c>
      <c r="BZ11" s="78">
        <f t="shared" si="191"/>
        <v>2.7736210324053081</v>
      </c>
      <c r="CA11" s="78">
        <f t="shared" si="191"/>
        <v>2.7627291317228795</v>
      </c>
      <c r="CB11" s="78">
        <f t="shared" si="191"/>
        <v>2.6445437812962025</v>
      </c>
      <c r="CC11" s="78">
        <f t="shared" si="191"/>
        <v>2.6969861186911852</v>
      </c>
      <c r="CD11" s="78">
        <f t="shared" si="191"/>
        <v>2.5828662269791112</v>
      </c>
      <c r="CE11" s="78">
        <f t="shared" si="191"/>
        <v>2.5807669256337102</v>
      </c>
      <c r="CF11" s="78">
        <f t="shared" si="191"/>
        <v>2.4750904099209095</v>
      </c>
      <c r="CG11" s="78">
        <f t="shared" si="191"/>
        <v>2.5278550491697063</v>
      </c>
      <c r="CH11" s="78">
        <f t="shared" si="191"/>
        <v>2.4261108365848938</v>
      </c>
      <c r="CI11" s="78">
        <f t="shared" si="191"/>
        <v>2.4288282891085831</v>
      </c>
      <c r="CJ11" s="78">
        <f t="shared" si="191"/>
        <v>2.333236622729105</v>
      </c>
      <c r="CK11" s="78">
        <f t="shared" si="191"/>
        <v>2.3867857178846235</v>
      </c>
      <c r="CL11" s="78">
        <f t="shared" si="191"/>
        <v>2.2944946966739739</v>
      </c>
      <c r="CM11" s="78">
        <f t="shared" si="191"/>
        <v>2.3006073798769946</v>
      </c>
      <c r="CN11" s="78">
        <f t="shared" si="191"/>
        <v>2.2132635526995399</v>
      </c>
      <c r="CO11" s="78">
        <f t="shared" si="191"/>
        <v>2.2672233084900442</v>
      </c>
    </row>
    <row r="12" spans="1:98" s="12" customFormat="1" x14ac:dyDescent="0.2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G12" s="55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</row>
    <row r="13" spans="1:98" s="12" customFormat="1" x14ac:dyDescent="0.2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G13" s="55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</row>
    <row r="14" spans="1:98" s="93" customFormat="1" x14ac:dyDescent="0.2">
      <c r="A14" s="27" t="s">
        <v>7</v>
      </c>
      <c r="B14" s="27"/>
      <c r="C14" s="27"/>
      <c r="D14" s="91" t="e">
        <f t="shared" ref="D14" si="193">D29/C7</f>
        <v>#DIV/0!</v>
      </c>
      <c r="E14" s="91" t="e">
        <f t="shared" ref="E14" si="194">E29/D7</f>
        <v>#DIV/0!</v>
      </c>
      <c r="F14" s="91" t="e">
        <f t="shared" ref="F14" si="195">F29/E7</f>
        <v>#DIV/0!</v>
      </c>
      <c r="G14" s="91" t="e">
        <f t="shared" ref="G14" si="196">G29/F7</f>
        <v>#DIV/0!</v>
      </c>
      <c r="H14" s="91" t="e">
        <f t="shared" ref="H14" si="197">H29/G7</f>
        <v>#DIV/0!</v>
      </c>
      <c r="I14" s="91" t="e">
        <f t="shared" ref="I14" si="198">I29/H7</f>
        <v>#DIV/0!</v>
      </c>
      <c r="J14" s="91">
        <f t="shared" ref="J14" si="199">J29/I7</f>
        <v>0.46164952176799023</v>
      </c>
      <c r="K14" s="91">
        <f t="shared" ref="K14" si="200">K29/J7</f>
        <v>0.68872644262073657</v>
      </c>
      <c r="L14" s="91">
        <f t="shared" ref="L14" si="201">L29/K7</f>
        <v>0.48606936874983731</v>
      </c>
      <c r="M14" s="91">
        <f t="shared" ref="M14" si="202">M29/L7</f>
        <v>0.44476922362392851</v>
      </c>
      <c r="N14" s="91">
        <f t="shared" ref="N14" si="203">N29/M7</f>
        <v>0.3711067650933278</v>
      </c>
      <c r="O14" s="91">
        <f t="shared" ref="O14" si="204">O29/N7</f>
        <v>0.28510577158746125</v>
      </c>
      <c r="P14" s="91">
        <f t="shared" ref="P14:Z14" si="205">P29/O7</f>
        <v>0.24327682732818345</v>
      </c>
      <c r="Q14" s="91">
        <f t="shared" si="205"/>
        <v>0.21203024438543588</v>
      </c>
      <c r="R14" s="91">
        <f t="shared" si="205"/>
        <v>0.27473570154688703</v>
      </c>
      <c r="S14" s="91">
        <f t="shared" si="205"/>
        <v>0.25966795808653076</v>
      </c>
      <c r="T14" s="91">
        <f t="shared" si="205"/>
        <v>0.23987796063276373</v>
      </c>
      <c r="U14" s="91">
        <f t="shared" si="205"/>
        <v>0.2286728466155038</v>
      </c>
      <c r="V14" s="91">
        <f t="shared" si="205"/>
        <v>0.19880539984120682</v>
      </c>
      <c r="W14" s="91">
        <f t="shared" si="205"/>
        <v>0.19388823571375657</v>
      </c>
      <c r="X14" s="91">
        <f t="shared" si="205"/>
        <v>0.21144071914065896</v>
      </c>
      <c r="Y14" s="91">
        <f t="shared" si="205"/>
        <v>0.22710507199089469</v>
      </c>
      <c r="Z14" s="91" t="e">
        <f t="shared" si="205"/>
        <v>#DIV/0!</v>
      </c>
      <c r="AA14" s="92">
        <f t="shared" ref="AA14" si="206">AA29/Z7</f>
        <v>0.85349168519578733</v>
      </c>
      <c r="AB14" s="92">
        <f t="shared" ref="AB14" si="207">AB29/AA7</f>
        <v>0.36364901555496648</v>
      </c>
      <c r="AC14" s="92">
        <f t="shared" ref="AC14" si="208">AC29/AB7</f>
        <v>0.32304864514996467</v>
      </c>
      <c r="AD14" s="92">
        <f t="shared" ref="AD14" si="209">AD29/AC7</f>
        <v>0.32252097208329422</v>
      </c>
      <c r="AE14" s="92">
        <f t="shared" ref="AE14" si="210">AE29/AD7</f>
        <v>0.32218445355360525</v>
      </c>
      <c r="AG14" s="65"/>
      <c r="AH14" s="91"/>
      <c r="AI14" s="91" t="e">
        <f t="shared" ref="AI14:AJ14" si="211">AI29/AH7</f>
        <v>#DIV/0!</v>
      </c>
      <c r="AJ14" s="91" t="e">
        <f t="shared" si="211"/>
        <v>#DIV/0!</v>
      </c>
      <c r="AK14" s="91" t="e">
        <f t="shared" ref="AK14" si="212">AK29/AJ7</f>
        <v>#DIV/0!</v>
      </c>
      <c r="AL14" s="91" t="e">
        <f t="shared" ref="AL14" si="213">AL29/AK7</f>
        <v>#DIV/0!</v>
      </c>
      <c r="AM14" s="91" t="e">
        <f t="shared" ref="AM14" si="214">AM29/AL7</f>
        <v>#DIV/0!</v>
      </c>
      <c r="AN14" s="91" t="e">
        <f t="shared" ref="AN14" si="215">AN29/AM7</f>
        <v>#DIV/0!</v>
      </c>
      <c r="AO14" s="91" t="e">
        <f t="shared" ref="AO14" si="216">AO29/AN7</f>
        <v>#DIV/0!</v>
      </c>
      <c r="AP14" s="91" t="e">
        <f t="shared" ref="AP14" si="217">AP29/AO7</f>
        <v>#DIV/0!</v>
      </c>
      <c r="AQ14" s="91" t="e">
        <f t="shared" ref="AQ14" si="218">AQ29/AP7</f>
        <v>#DIV/0!</v>
      </c>
      <c r="AR14" s="91" t="e">
        <f t="shared" ref="AR14" si="219">AR29/AQ7</f>
        <v>#DIV/0!</v>
      </c>
      <c r="AS14" s="91" t="e">
        <f t="shared" ref="AS14" si="220">AS29/AR7</f>
        <v>#DIV/0!</v>
      </c>
      <c r="AT14" s="91" t="e">
        <f t="shared" ref="AT14:BY14" si="221">AT29/AS7</f>
        <v>#DIV/0!</v>
      </c>
      <c r="AU14" s="91" t="e">
        <f t="shared" si="221"/>
        <v>#DIV/0!</v>
      </c>
      <c r="AV14" s="91" t="e">
        <f t="shared" si="221"/>
        <v>#DIV/0!</v>
      </c>
      <c r="AW14" s="91" t="e">
        <f t="shared" si="221"/>
        <v>#DIV/0!</v>
      </c>
      <c r="AX14" s="91" t="e">
        <f t="shared" si="221"/>
        <v>#DIV/0!</v>
      </c>
      <c r="AY14" s="91" t="e">
        <f t="shared" si="221"/>
        <v>#DIV/0!</v>
      </c>
      <c r="AZ14" s="91" t="e">
        <f t="shared" si="221"/>
        <v>#DIV/0!</v>
      </c>
      <c r="BA14" s="91" t="e">
        <f t="shared" si="221"/>
        <v>#DIV/0!</v>
      </c>
      <c r="BB14" s="91" t="e">
        <f t="shared" si="221"/>
        <v>#DIV/0!</v>
      </c>
      <c r="BC14" s="91" t="e">
        <f t="shared" si="221"/>
        <v>#DIV/0!</v>
      </c>
      <c r="BD14" s="91" t="e">
        <f t="shared" si="221"/>
        <v>#DIV/0!</v>
      </c>
      <c r="BE14" s="91" t="e">
        <f t="shared" si="221"/>
        <v>#DIV/0!</v>
      </c>
      <c r="BF14" s="91" t="e">
        <f t="shared" si="221"/>
        <v>#DIV/0!</v>
      </c>
      <c r="BG14" s="91" t="e">
        <f t="shared" si="221"/>
        <v>#DIV/0!</v>
      </c>
      <c r="BH14" s="91" t="e">
        <f t="shared" si="221"/>
        <v>#DIV/0!</v>
      </c>
      <c r="BI14" s="91" t="e">
        <f t="shared" si="221"/>
        <v>#DIV/0!</v>
      </c>
      <c r="BJ14" s="91" t="e">
        <f t="shared" si="221"/>
        <v>#DIV/0!</v>
      </c>
      <c r="BK14" s="91" t="e">
        <f t="shared" si="221"/>
        <v>#DIV/0!</v>
      </c>
      <c r="BL14" s="91" t="e">
        <f t="shared" si="221"/>
        <v>#DIV/0!</v>
      </c>
      <c r="BM14" s="91" t="e">
        <f t="shared" si="221"/>
        <v>#DIV/0!</v>
      </c>
      <c r="BN14" s="91" t="e">
        <f t="shared" si="221"/>
        <v>#DIV/0!</v>
      </c>
      <c r="BO14" s="91" t="e">
        <f t="shared" si="221"/>
        <v>#DIV/0!</v>
      </c>
      <c r="BP14" s="91" t="e">
        <f t="shared" si="221"/>
        <v>#DIV/0!</v>
      </c>
      <c r="BQ14" s="91" t="e">
        <f t="shared" si="221"/>
        <v>#DIV/0!</v>
      </c>
      <c r="BR14" s="91" t="e">
        <f t="shared" si="221"/>
        <v>#DIV/0!</v>
      </c>
      <c r="BS14" s="91" t="e">
        <f t="shared" si="221"/>
        <v>#DIV/0!</v>
      </c>
      <c r="BT14" s="91" t="e">
        <f t="shared" si="221"/>
        <v>#DIV/0!</v>
      </c>
      <c r="BU14" s="91">
        <f t="shared" si="221"/>
        <v>0.14858092176523655</v>
      </c>
      <c r="BV14" s="91">
        <f t="shared" si="221"/>
        <v>7.7442627784064549E-2</v>
      </c>
      <c r="BW14" s="91">
        <f t="shared" si="221"/>
        <v>7.8125496835293462E-2</v>
      </c>
      <c r="BX14" s="91">
        <f t="shared" si="221"/>
        <v>7.4169177457711982E-2</v>
      </c>
      <c r="BY14" s="91">
        <f t="shared" si="221"/>
        <v>6.9908610851052697E-2</v>
      </c>
      <c r="BZ14" s="16">
        <f t="shared" ref="BZ14:CG15" si="222">+AVERAGE(BV14:BY14)</f>
        <v>7.4911478232030676E-2</v>
      </c>
      <c r="CA14" s="16">
        <f t="shared" si="222"/>
        <v>7.4278690844022194E-2</v>
      </c>
      <c r="CB14" s="16">
        <f t="shared" si="222"/>
        <v>7.3316989346204384E-2</v>
      </c>
      <c r="CC14" s="16">
        <f t="shared" si="222"/>
        <v>7.3103942318327481E-2</v>
      </c>
      <c r="CD14" s="16">
        <f t="shared" si="222"/>
        <v>7.390277518514618E-2</v>
      </c>
      <c r="CE14" s="16">
        <f t="shared" si="222"/>
        <v>7.3650599423425056E-2</v>
      </c>
      <c r="CF14" s="16">
        <f t="shared" si="222"/>
        <v>7.3493576568275765E-2</v>
      </c>
      <c r="CG14" s="16">
        <f t="shared" si="222"/>
        <v>7.353772337379362E-2</v>
      </c>
      <c r="CH14" s="16">
        <f t="shared" ref="CH14:CO15" si="223">+AVERAGE(CD14:CG14)</f>
        <v>7.3646168637660159E-2</v>
      </c>
      <c r="CI14" s="16">
        <f t="shared" si="223"/>
        <v>7.3582017000788646E-2</v>
      </c>
      <c r="CJ14" s="16">
        <f t="shared" si="223"/>
        <v>7.3564871395129544E-2</v>
      </c>
      <c r="CK14" s="16">
        <f t="shared" si="223"/>
        <v>7.3582695101842982E-2</v>
      </c>
      <c r="CL14" s="16">
        <f t="shared" si="223"/>
        <v>7.3593938033855333E-2</v>
      </c>
      <c r="CM14" s="16">
        <f t="shared" si="223"/>
        <v>7.3580880382904126E-2</v>
      </c>
      <c r="CN14" s="16">
        <f t="shared" si="223"/>
        <v>7.3580596228432993E-2</v>
      </c>
      <c r="CO14" s="16">
        <f t="shared" si="223"/>
        <v>7.3584527436758862E-2</v>
      </c>
    </row>
    <row r="15" spans="1:98" s="93" customFormat="1" x14ac:dyDescent="0.2">
      <c r="A15" s="27" t="s">
        <v>26</v>
      </c>
      <c r="B15" s="27"/>
      <c r="C15" s="27"/>
      <c r="D15" s="91" t="e">
        <f t="shared" ref="D15" si="224">D30/C7</f>
        <v>#DIV/0!</v>
      </c>
      <c r="E15" s="91" t="e">
        <f t="shared" ref="E15" si="225">E30/D7</f>
        <v>#DIV/0!</v>
      </c>
      <c r="F15" s="91" t="e">
        <f t="shared" ref="F15" si="226">F30/E7</f>
        <v>#DIV/0!</v>
      </c>
      <c r="G15" s="91" t="e">
        <f t="shared" ref="G15" si="227">G30/F7</f>
        <v>#DIV/0!</v>
      </c>
      <c r="H15" s="91" t="e">
        <f t="shared" ref="H15" si="228">H30/G7</f>
        <v>#DIV/0!</v>
      </c>
      <c r="I15" s="91" t="e">
        <f t="shared" ref="I15" si="229">I30/H7</f>
        <v>#DIV/0!</v>
      </c>
      <c r="J15" s="91">
        <f t="shared" ref="J15" si="230">J30/I7</f>
        <v>3.1034110334311516E-2</v>
      </c>
      <c r="K15" s="91">
        <f t="shared" ref="K15" si="231">K30/J7</f>
        <v>0.16331580245550911</v>
      </c>
      <c r="L15" s="91">
        <f t="shared" ref="L15" si="232">L30/K7</f>
        <v>0.12775677010811765</v>
      </c>
      <c r="M15" s="91">
        <f t="shared" ref="M15" si="233">M30/L7</f>
        <v>0.17522711462012727</v>
      </c>
      <c r="N15" s="91">
        <f t="shared" ref="N15" si="234">N30/M7</f>
        <v>0.19765477383216568</v>
      </c>
      <c r="O15" s="91">
        <f t="shared" ref="O15" si="235">O30/N7</f>
        <v>0.15057682068271905</v>
      </c>
      <c r="P15" s="91">
        <f t="shared" ref="P15:Z15" si="236">P30/O7</f>
        <v>0.12998021276821539</v>
      </c>
      <c r="Q15" s="91">
        <f t="shared" si="236"/>
        <v>0.10104157960047064</v>
      </c>
      <c r="R15" s="91">
        <f t="shared" si="236"/>
        <v>9.8608246616823464E-2</v>
      </c>
      <c r="S15" s="91">
        <f t="shared" si="236"/>
        <v>9.0498668887251096E-2</v>
      </c>
      <c r="T15" s="91">
        <f t="shared" si="236"/>
        <v>9.164582409427946E-2</v>
      </c>
      <c r="U15" s="91">
        <f t="shared" si="236"/>
        <v>8.6767306526532376E-2</v>
      </c>
      <c r="V15" s="91">
        <f t="shared" si="236"/>
        <v>7.0993754533153944E-2</v>
      </c>
      <c r="W15" s="91">
        <f t="shared" si="236"/>
        <v>5.7365506133748918E-2</v>
      </c>
      <c r="X15" s="91">
        <f t="shared" si="236"/>
        <v>6.0232121638830606E-2</v>
      </c>
      <c r="Y15" s="91">
        <f t="shared" si="236"/>
        <v>7.8623986891328601E-2</v>
      </c>
      <c r="Z15" s="91" t="e">
        <f t="shared" si="236"/>
        <v>#DIV/0!</v>
      </c>
      <c r="AA15" s="92">
        <f t="shared" ref="AA15" si="237">AA30/Z7</f>
        <v>0.31752265318869721</v>
      </c>
      <c r="AB15" s="92">
        <f t="shared" ref="AB15" si="238">AB30/AA7</f>
        <v>0.13313656126658754</v>
      </c>
      <c r="AC15" s="92">
        <f t="shared" ref="AC15" si="239">AC30/AB7</f>
        <v>0.1180122080666374</v>
      </c>
      <c r="AD15" s="92">
        <f t="shared" ref="AD15" si="240">AD30/AC7</f>
        <v>0.11777097152913124</v>
      </c>
      <c r="AE15" s="92">
        <f t="shared" ref="AE15" si="241">AE30/AD7</f>
        <v>0.11764087313581321</v>
      </c>
      <c r="AG15" s="65"/>
      <c r="AH15" s="91"/>
      <c r="AI15" s="91" t="e">
        <f t="shared" ref="AI15:AJ15" si="242">AI30/AH7</f>
        <v>#DIV/0!</v>
      </c>
      <c r="AJ15" s="91" t="e">
        <f t="shared" si="242"/>
        <v>#DIV/0!</v>
      </c>
      <c r="AK15" s="91" t="e">
        <f t="shared" ref="AK15" si="243">AK30/AJ7</f>
        <v>#DIV/0!</v>
      </c>
      <c r="AL15" s="91" t="e">
        <f t="shared" ref="AL15" si="244">AL30/AK7</f>
        <v>#DIV/0!</v>
      </c>
      <c r="AM15" s="91" t="e">
        <f t="shared" ref="AM15" si="245">AM30/AL7</f>
        <v>#DIV/0!</v>
      </c>
      <c r="AN15" s="91" t="e">
        <f t="shared" ref="AN15" si="246">AN30/AM7</f>
        <v>#DIV/0!</v>
      </c>
      <c r="AO15" s="91" t="e">
        <f t="shared" ref="AO15" si="247">AO30/AN7</f>
        <v>#DIV/0!</v>
      </c>
      <c r="AP15" s="91" t="e">
        <f t="shared" ref="AP15" si="248">AP30/AO7</f>
        <v>#DIV/0!</v>
      </c>
      <c r="AQ15" s="91" t="e">
        <f t="shared" ref="AQ15" si="249">AQ30/AP7</f>
        <v>#DIV/0!</v>
      </c>
      <c r="AR15" s="91" t="e">
        <f t="shared" ref="AR15" si="250">AR30/AQ7</f>
        <v>#DIV/0!</v>
      </c>
      <c r="AS15" s="91" t="e">
        <f t="shared" ref="AS15" si="251">AS30/AR7</f>
        <v>#DIV/0!</v>
      </c>
      <c r="AT15" s="91" t="e">
        <f t="shared" ref="AT15:BY15" si="252">AT30/AS7</f>
        <v>#DIV/0!</v>
      </c>
      <c r="AU15" s="91" t="e">
        <f t="shared" si="252"/>
        <v>#DIV/0!</v>
      </c>
      <c r="AV15" s="91" t="e">
        <f t="shared" si="252"/>
        <v>#DIV/0!</v>
      </c>
      <c r="AW15" s="91" t="e">
        <f t="shared" si="252"/>
        <v>#DIV/0!</v>
      </c>
      <c r="AX15" s="91" t="e">
        <f t="shared" si="252"/>
        <v>#DIV/0!</v>
      </c>
      <c r="AY15" s="91" t="e">
        <f t="shared" si="252"/>
        <v>#DIV/0!</v>
      </c>
      <c r="AZ15" s="91" t="e">
        <f t="shared" si="252"/>
        <v>#DIV/0!</v>
      </c>
      <c r="BA15" s="91" t="e">
        <f t="shared" si="252"/>
        <v>#DIV/0!</v>
      </c>
      <c r="BB15" s="91" t="e">
        <f t="shared" si="252"/>
        <v>#DIV/0!</v>
      </c>
      <c r="BC15" s="91" t="e">
        <f t="shared" si="252"/>
        <v>#DIV/0!</v>
      </c>
      <c r="BD15" s="91" t="e">
        <f t="shared" si="252"/>
        <v>#DIV/0!</v>
      </c>
      <c r="BE15" s="91" t="e">
        <f t="shared" si="252"/>
        <v>#DIV/0!</v>
      </c>
      <c r="BF15" s="91" t="e">
        <f t="shared" si="252"/>
        <v>#DIV/0!</v>
      </c>
      <c r="BG15" s="91" t="e">
        <f t="shared" si="252"/>
        <v>#DIV/0!</v>
      </c>
      <c r="BH15" s="91" t="e">
        <f t="shared" si="252"/>
        <v>#DIV/0!</v>
      </c>
      <c r="BI15" s="91" t="e">
        <f t="shared" si="252"/>
        <v>#DIV/0!</v>
      </c>
      <c r="BJ15" s="91" t="e">
        <f t="shared" si="252"/>
        <v>#DIV/0!</v>
      </c>
      <c r="BK15" s="91" t="e">
        <f t="shared" si="252"/>
        <v>#DIV/0!</v>
      </c>
      <c r="BL15" s="91" t="e">
        <f t="shared" si="252"/>
        <v>#DIV/0!</v>
      </c>
      <c r="BM15" s="91" t="e">
        <f t="shared" si="252"/>
        <v>#DIV/0!</v>
      </c>
      <c r="BN15" s="91" t="e">
        <f t="shared" si="252"/>
        <v>#DIV/0!</v>
      </c>
      <c r="BO15" s="91" t="e">
        <f t="shared" si="252"/>
        <v>#DIV/0!</v>
      </c>
      <c r="BP15" s="91" t="e">
        <f t="shared" si="252"/>
        <v>#DIV/0!</v>
      </c>
      <c r="BQ15" s="91" t="e">
        <f t="shared" si="252"/>
        <v>#DIV/0!</v>
      </c>
      <c r="BR15" s="91" t="e">
        <f t="shared" si="252"/>
        <v>#DIV/0!</v>
      </c>
      <c r="BS15" s="91" t="e">
        <f t="shared" si="252"/>
        <v>#DIV/0!</v>
      </c>
      <c r="BT15" s="91" t="e">
        <f t="shared" si="252"/>
        <v>#DIV/0!</v>
      </c>
      <c r="BU15" s="91">
        <f t="shared" si="252"/>
        <v>5.7484074769349733E-2</v>
      </c>
      <c r="BV15" s="91">
        <f t="shared" si="252"/>
        <v>3.0171303703125613E-2</v>
      </c>
      <c r="BW15" s="91">
        <f t="shared" si="252"/>
        <v>2.9116159554491823E-2</v>
      </c>
      <c r="BX15" s="91">
        <f t="shared" si="252"/>
        <v>2.70427470606486E-2</v>
      </c>
      <c r="BY15" s="91">
        <f t="shared" si="252"/>
        <v>2.4786369485585234E-2</v>
      </c>
      <c r="BZ15" s="16">
        <f t="shared" si="222"/>
        <v>2.7779144950962821E-2</v>
      </c>
      <c r="CA15" s="16">
        <f t="shared" si="222"/>
        <v>2.7181105262922119E-2</v>
      </c>
      <c r="CB15" s="16">
        <f t="shared" si="222"/>
        <v>2.6697341690029693E-2</v>
      </c>
      <c r="CC15" s="16">
        <f t="shared" si="222"/>
        <v>2.6610990347374963E-2</v>
      </c>
      <c r="CD15" s="16">
        <f t="shared" si="222"/>
        <v>2.7067145562822401E-2</v>
      </c>
      <c r="CE15" s="16">
        <f t="shared" si="222"/>
        <v>2.6889145715787294E-2</v>
      </c>
      <c r="CF15" s="16">
        <f t="shared" si="222"/>
        <v>2.6816155829003589E-2</v>
      </c>
      <c r="CG15" s="16">
        <f t="shared" si="222"/>
        <v>2.684585936374706E-2</v>
      </c>
      <c r="CH15" s="16">
        <f t="shared" si="223"/>
        <v>2.6904576617840084E-2</v>
      </c>
      <c r="CI15" s="16">
        <f t="shared" si="223"/>
        <v>2.6863934381594508E-2</v>
      </c>
      <c r="CJ15" s="16">
        <f t="shared" si="223"/>
        <v>2.685763154804631E-2</v>
      </c>
      <c r="CK15" s="16">
        <f t="shared" si="223"/>
        <v>2.6868000477806991E-2</v>
      </c>
      <c r="CL15" s="16">
        <f t="shared" si="223"/>
        <v>2.6873535756321974E-2</v>
      </c>
      <c r="CM15" s="16">
        <f t="shared" si="223"/>
        <v>2.6865775540942445E-2</v>
      </c>
      <c r="CN15" s="16">
        <f t="shared" si="223"/>
        <v>2.6866235830779427E-2</v>
      </c>
      <c r="CO15" s="16">
        <f t="shared" si="223"/>
        <v>2.6868386901462711E-2</v>
      </c>
    </row>
    <row r="16" spans="1:98" s="30" customFormat="1" x14ac:dyDescent="0.2">
      <c r="A16" s="32" t="s">
        <v>8</v>
      </c>
      <c r="B16" s="32"/>
      <c r="C16" s="32"/>
      <c r="D16" s="28" t="e">
        <f t="shared" ref="D16:O16" si="253">D14-D15</f>
        <v>#DIV/0!</v>
      </c>
      <c r="E16" s="28" t="e">
        <f t="shared" si="253"/>
        <v>#DIV/0!</v>
      </c>
      <c r="F16" s="28" t="e">
        <f t="shared" si="253"/>
        <v>#DIV/0!</v>
      </c>
      <c r="G16" s="28" t="e">
        <f t="shared" si="253"/>
        <v>#DIV/0!</v>
      </c>
      <c r="H16" s="28" t="e">
        <f t="shared" si="253"/>
        <v>#DIV/0!</v>
      </c>
      <c r="I16" s="28" t="e">
        <f t="shared" si="253"/>
        <v>#DIV/0!</v>
      </c>
      <c r="J16" s="28">
        <f t="shared" si="253"/>
        <v>0.43061541143367871</v>
      </c>
      <c r="K16" s="28">
        <f t="shared" si="253"/>
        <v>0.52541064016522743</v>
      </c>
      <c r="L16" s="28">
        <f t="shared" si="253"/>
        <v>0.35831259864171966</v>
      </c>
      <c r="M16" s="28">
        <f t="shared" si="253"/>
        <v>0.26954210900380127</v>
      </c>
      <c r="N16" s="28">
        <f t="shared" si="253"/>
        <v>0.17345199126116212</v>
      </c>
      <c r="O16" s="28">
        <f t="shared" si="253"/>
        <v>0.13452895090474221</v>
      </c>
      <c r="P16" s="28">
        <f>P14-P15</f>
        <v>0.11329661455996806</v>
      </c>
      <c r="Q16" s="28">
        <f t="shared" ref="Q16:T16" si="254">Q14-Q15</f>
        <v>0.11098866478496525</v>
      </c>
      <c r="R16" s="28">
        <f t="shared" si="254"/>
        <v>0.17612745493006357</v>
      </c>
      <c r="S16" s="28">
        <f t="shared" si="254"/>
        <v>0.16916928919927965</v>
      </c>
      <c r="T16" s="28">
        <f t="shared" si="254"/>
        <v>0.14823213653848427</v>
      </c>
      <c r="U16" s="28">
        <f t="shared" ref="U16:W16" si="255">U14-U15</f>
        <v>0.14190554008897144</v>
      </c>
      <c r="V16" s="28">
        <f t="shared" si="255"/>
        <v>0.12781164530805289</v>
      </c>
      <c r="W16" s="28">
        <f t="shared" si="255"/>
        <v>0.13652272958000766</v>
      </c>
      <c r="X16" s="28">
        <f t="shared" ref="X16:Y16" si="256">X14-X15</f>
        <v>0.15120859750182836</v>
      </c>
      <c r="Y16" s="28">
        <f t="shared" si="256"/>
        <v>0.14848108509956609</v>
      </c>
      <c r="Z16" s="28" t="e">
        <f t="shared" ref="Z16:AB16" si="257">Z14-Z15</f>
        <v>#DIV/0!</v>
      </c>
      <c r="AA16" s="29">
        <f t="shared" si="257"/>
        <v>0.53596903200709012</v>
      </c>
      <c r="AB16" s="29">
        <f t="shared" si="257"/>
        <v>0.23051245428837894</v>
      </c>
      <c r="AC16" s="29">
        <f t="shared" ref="AC16:AE16" si="258">AC14-AC15</f>
        <v>0.20503643708332728</v>
      </c>
      <c r="AD16" s="29">
        <f t="shared" si="258"/>
        <v>0.20475000055416298</v>
      </c>
      <c r="AE16" s="29">
        <f t="shared" si="258"/>
        <v>0.20454358041779203</v>
      </c>
      <c r="AG16" s="58"/>
      <c r="AH16" s="28"/>
      <c r="AI16" s="28" t="e">
        <f t="shared" ref="AI16" si="259">AI14-AI15</f>
        <v>#DIV/0!</v>
      </c>
      <c r="AJ16" s="28" t="e">
        <f t="shared" ref="AJ16:AS16" si="260">AJ14-AJ15</f>
        <v>#DIV/0!</v>
      </c>
      <c r="AK16" s="28" t="e">
        <f t="shared" si="260"/>
        <v>#DIV/0!</v>
      </c>
      <c r="AL16" s="28" t="e">
        <f t="shared" si="260"/>
        <v>#DIV/0!</v>
      </c>
      <c r="AM16" s="28" t="e">
        <f t="shared" si="260"/>
        <v>#DIV/0!</v>
      </c>
      <c r="AN16" s="28" t="e">
        <f t="shared" si="260"/>
        <v>#DIV/0!</v>
      </c>
      <c r="AO16" s="28" t="e">
        <f t="shared" si="260"/>
        <v>#DIV/0!</v>
      </c>
      <c r="AP16" s="28" t="e">
        <f t="shared" si="260"/>
        <v>#DIV/0!</v>
      </c>
      <c r="AQ16" s="28" t="e">
        <f t="shared" si="260"/>
        <v>#DIV/0!</v>
      </c>
      <c r="AR16" s="28" t="e">
        <f t="shared" si="260"/>
        <v>#DIV/0!</v>
      </c>
      <c r="AS16" s="28" t="e">
        <f t="shared" si="260"/>
        <v>#DIV/0!</v>
      </c>
      <c r="AT16" s="28" t="e">
        <f t="shared" ref="AT16:AW16" si="261">AT14-AT15</f>
        <v>#DIV/0!</v>
      </c>
      <c r="AU16" s="28" t="e">
        <f t="shared" si="261"/>
        <v>#DIV/0!</v>
      </c>
      <c r="AV16" s="28" t="e">
        <f t="shared" si="261"/>
        <v>#DIV/0!</v>
      </c>
      <c r="AW16" s="28" t="e">
        <f t="shared" si="261"/>
        <v>#DIV/0!</v>
      </c>
      <c r="AX16" s="28" t="e">
        <f t="shared" ref="AX16" si="262">AX14-AX15</f>
        <v>#DIV/0!</v>
      </c>
      <c r="AY16" s="28" t="e">
        <f t="shared" ref="AY16" si="263">AY14-AY15</f>
        <v>#DIV/0!</v>
      </c>
      <c r="AZ16" s="28" t="e">
        <f t="shared" ref="AZ16:BA16" si="264">AZ14-AZ15</f>
        <v>#DIV/0!</v>
      </c>
      <c r="BA16" s="28" t="e">
        <f t="shared" si="264"/>
        <v>#DIV/0!</v>
      </c>
      <c r="BB16" s="28" t="e">
        <f t="shared" ref="BB16:BF16" si="265">BB14-BB15</f>
        <v>#DIV/0!</v>
      </c>
      <c r="BC16" s="28" t="e">
        <f t="shared" si="265"/>
        <v>#DIV/0!</v>
      </c>
      <c r="BD16" s="28" t="e">
        <f t="shared" si="265"/>
        <v>#DIV/0!</v>
      </c>
      <c r="BE16" s="28" t="e">
        <f t="shared" si="265"/>
        <v>#DIV/0!</v>
      </c>
      <c r="BF16" s="28" t="e">
        <f t="shared" si="265"/>
        <v>#DIV/0!</v>
      </c>
      <c r="BG16" s="28" t="e">
        <f t="shared" ref="BG16:BH16" si="266">BG14-BG15</f>
        <v>#DIV/0!</v>
      </c>
      <c r="BH16" s="28" t="e">
        <f t="shared" si="266"/>
        <v>#DIV/0!</v>
      </c>
      <c r="BI16" s="28" t="e">
        <f t="shared" ref="BI16:BJ16" si="267">BI14-BI15</f>
        <v>#DIV/0!</v>
      </c>
      <c r="BJ16" s="28" t="e">
        <f t="shared" si="267"/>
        <v>#DIV/0!</v>
      </c>
      <c r="BK16" s="28" t="e">
        <f t="shared" ref="BK16:BR16" si="268">BK14-BK15</f>
        <v>#DIV/0!</v>
      </c>
      <c r="BL16" s="28" t="e">
        <f t="shared" si="268"/>
        <v>#DIV/0!</v>
      </c>
      <c r="BM16" s="28" t="e">
        <f t="shared" si="268"/>
        <v>#DIV/0!</v>
      </c>
      <c r="BN16" s="28" t="e">
        <f t="shared" si="268"/>
        <v>#DIV/0!</v>
      </c>
      <c r="BO16" s="28" t="e">
        <f t="shared" si="268"/>
        <v>#DIV/0!</v>
      </c>
      <c r="BP16" s="28" t="e">
        <f t="shared" si="268"/>
        <v>#DIV/0!</v>
      </c>
      <c r="BQ16" s="28" t="e">
        <f t="shared" si="268"/>
        <v>#DIV/0!</v>
      </c>
      <c r="BR16" s="28" t="e">
        <f t="shared" si="268"/>
        <v>#DIV/0!</v>
      </c>
      <c r="BS16" s="28" t="e">
        <f t="shared" ref="BS16:BT16" si="269">BS14-BS15</f>
        <v>#DIV/0!</v>
      </c>
      <c r="BT16" s="28" t="e">
        <f t="shared" si="269"/>
        <v>#DIV/0!</v>
      </c>
      <c r="BU16" s="28">
        <f t="shared" ref="BU16:BV16" si="270">BU14-BU15</f>
        <v>9.1096846995886813E-2</v>
      </c>
      <c r="BV16" s="28">
        <f t="shared" si="270"/>
        <v>4.727132408093894E-2</v>
      </c>
      <c r="BW16" s="28">
        <f t="shared" ref="BW16:BX16" si="271">BW14-BW15</f>
        <v>4.9009337280801639E-2</v>
      </c>
      <c r="BX16" s="28">
        <f t="shared" si="271"/>
        <v>4.7126430397063379E-2</v>
      </c>
      <c r="BY16" s="28">
        <f t="shared" ref="BY16" si="272">BY14-BY15</f>
        <v>4.5122241365467462E-2</v>
      </c>
      <c r="BZ16" s="29">
        <f t="shared" ref="BZ16:CC16" si="273">BZ14-BZ15</f>
        <v>4.7132333281067855E-2</v>
      </c>
      <c r="CA16" s="29">
        <f t="shared" si="273"/>
        <v>4.7097585581100075E-2</v>
      </c>
      <c r="CB16" s="29">
        <f t="shared" si="273"/>
        <v>4.6619647656174691E-2</v>
      </c>
      <c r="CC16" s="29">
        <f t="shared" si="273"/>
        <v>4.6492951970952517E-2</v>
      </c>
      <c r="CD16" s="29">
        <f t="shared" ref="CD16:CO16" si="274">CD14-CD15</f>
        <v>4.6835629622323779E-2</v>
      </c>
      <c r="CE16" s="29">
        <f t="shared" si="274"/>
        <v>4.6761453707637762E-2</v>
      </c>
      <c r="CF16" s="29">
        <f t="shared" si="274"/>
        <v>4.6677420739272175E-2</v>
      </c>
      <c r="CG16" s="29">
        <f t="shared" si="274"/>
        <v>4.669186401004656E-2</v>
      </c>
      <c r="CH16" s="29">
        <f t="shared" si="274"/>
        <v>4.6741592019820075E-2</v>
      </c>
      <c r="CI16" s="29">
        <f t="shared" si="274"/>
        <v>4.6718082619194135E-2</v>
      </c>
      <c r="CJ16" s="29">
        <f t="shared" si="274"/>
        <v>4.6707239847083235E-2</v>
      </c>
      <c r="CK16" s="29">
        <f t="shared" si="274"/>
        <v>4.6714694624035991E-2</v>
      </c>
      <c r="CL16" s="29">
        <f t="shared" si="274"/>
        <v>4.6720402277533359E-2</v>
      </c>
      <c r="CM16" s="29">
        <f t="shared" si="274"/>
        <v>4.6715104841961681E-2</v>
      </c>
      <c r="CN16" s="29">
        <f t="shared" si="274"/>
        <v>4.6714360397653566E-2</v>
      </c>
      <c r="CO16" s="29">
        <f t="shared" si="274"/>
        <v>4.6716140535296151E-2</v>
      </c>
    </row>
    <row r="17" spans="1:98" s="93" customFormat="1" x14ac:dyDescent="0.2">
      <c r="A17" s="27" t="s">
        <v>27</v>
      </c>
      <c r="B17" s="27"/>
      <c r="C17" s="27"/>
      <c r="D17" s="91" t="e">
        <f t="shared" ref="D17" si="275">D32/C7</f>
        <v>#DIV/0!</v>
      </c>
      <c r="E17" s="91" t="e">
        <f t="shared" ref="E17" si="276">E32/D7</f>
        <v>#DIV/0!</v>
      </c>
      <c r="F17" s="91" t="e">
        <f t="shared" ref="F17" si="277">F32/E7</f>
        <v>#DIV/0!</v>
      </c>
      <c r="G17" s="91" t="e">
        <f t="shared" ref="G17" si="278">G32/F7</f>
        <v>#DIV/0!</v>
      </c>
      <c r="H17" s="91" t="e">
        <f t="shared" ref="H17" si="279">H32/G7</f>
        <v>#DIV/0!</v>
      </c>
      <c r="I17" s="91" t="e">
        <f t="shared" ref="I17" si="280">I32/H7</f>
        <v>#DIV/0!</v>
      </c>
      <c r="J17" s="91">
        <f t="shared" ref="J17" si="281">J32/I7</f>
        <v>2.9702752904746839E-3</v>
      </c>
      <c r="K17" s="91">
        <f t="shared" ref="K17" si="282">K32/J7</f>
        <v>2.4812606674705064E-4</v>
      </c>
      <c r="L17" s="91">
        <f t="shared" ref="L17" si="283">L32/K7</f>
        <v>4.4896063849641874E-3</v>
      </c>
      <c r="M17" s="91">
        <f t="shared" ref="M17" si="284">M32/L7</f>
        <v>4.3610890494418589E-3</v>
      </c>
      <c r="N17" s="91">
        <f t="shared" ref="N17" si="285">N32/M7</f>
        <v>1.7716868209200528E-3</v>
      </c>
      <c r="O17" s="91">
        <f t="shared" ref="O17" si="286">O32/N7</f>
        <v>2.4340565072979437E-3</v>
      </c>
      <c r="P17" s="91">
        <f t="shared" ref="P17:Z17" si="287">P32/O7</f>
        <v>3.7201153467299936E-3</v>
      </c>
      <c r="Q17" s="91">
        <f t="shared" si="287"/>
        <v>3.7323269016864588E-3</v>
      </c>
      <c r="R17" s="91">
        <f t="shared" si="287"/>
        <v>3.7780458209517032E-3</v>
      </c>
      <c r="S17" s="91">
        <f t="shared" si="287"/>
        <v>0</v>
      </c>
      <c r="T17" s="91">
        <f t="shared" si="287"/>
        <v>1.3169518091866051E-4</v>
      </c>
      <c r="U17" s="91">
        <f t="shared" si="287"/>
        <v>4.0392285626181946E-6</v>
      </c>
      <c r="V17" s="91">
        <f t="shared" si="287"/>
        <v>5.125994660028667E-4</v>
      </c>
      <c r="W17" s="91">
        <f t="shared" si="287"/>
        <v>3.6012281216817255E-4</v>
      </c>
      <c r="X17" s="91">
        <f t="shared" si="287"/>
        <v>3.7914110220273482E-4</v>
      </c>
      <c r="Y17" s="91">
        <f t="shared" si="287"/>
        <v>1.3620148012552008E-5</v>
      </c>
      <c r="Z17" s="91" t="e">
        <f t="shared" si="287"/>
        <v>#DIV/0!</v>
      </c>
      <c r="AA17" s="92">
        <f t="shared" ref="AA17" si="288">AA32/Z7</f>
        <v>4.5847634186821008E-5</v>
      </c>
      <c r="AB17" s="92">
        <f t="shared" ref="AB17" si="289">AB32/AA7</f>
        <v>0</v>
      </c>
      <c r="AC17" s="92">
        <f t="shared" ref="AC17" si="290">AC32/AB7</f>
        <v>0</v>
      </c>
      <c r="AD17" s="92">
        <f t="shared" ref="AD17" si="291">AD32/AC7</f>
        <v>0</v>
      </c>
      <c r="AE17" s="92">
        <f t="shared" ref="AE17" si="292">AE32/AD7</f>
        <v>0</v>
      </c>
      <c r="AG17" s="65"/>
      <c r="AH17" s="91"/>
      <c r="AI17" s="91" t="e">
        <f t="shared" ref="AI17:AJ17" si="293">AI32/AH7</f>
        <v>#DIV/0!</v>
      </c>
      <c r="AJ17" s="91" t="e">
        <f t="shared" si="293"/>
        <v>#DIV/0!</v>
      </c>
      <c r="AK17" s="91" t="e">
        <f t="shared" ref="AK17" si="294">AK32/AJ7</f>
        <v>#DIV/0!</v>
      </c>
      <c r="AL17" s="91" t="e">
        <f t="shared" ref="AL17" si="295">AL32/AK7</f>
        <v>#DIV/0!</v>
      </c>
      <c r="AM17" s="91" t="e">
        <f t="shared" ref="AM17" si="296">AM32/AL7</f>
        <v>#DIV/0!</v>
      </c>
      <c r="AN17" s="91" t="e">
        <f t="shared" ref="AN17" si="297">AN32/AM7</f>
        <v>#DIV/0!</v>
      </c>
      <c r="AO17" s="91" t="e">
        <f t="shared" ref="AO17" si="298">AO32/AN7</f>
        <v>#DIV/0!</v>
      </c>
      <c r="AP17" s="91" t="e">
        <f t="shared" ref="AP17" si="299">AP32/AO7</f>
        <v>#DIV/0!</v>
      </c>
      <c r="AQ17" s="91" t="e">
        <f t="shared" ref="AQ17" si="300">AQ32/AP7</f>
        <v>#DIV/0!</v>
      </c>
      <c r="AR17" s="91" t="e">
        <f t="shared" ref="AR17" si="301">AR32/AQ7</f>
        <v>#DIV/0!</v>
      </c>
      <c r="AS17" s="91" t="e">
        <f t="shared" ref="AS17" si="302">AS32/AR7</f>
        <v>#DIV/0!</v>
      </c>
      <c r="AT17" s="91" t="e">
        <f t="shared" ref="AT17:BY17" si="303">AT32/AS7</f>
        <v>#DIV/0!</v>
      </c>
      <c r="AU17" s="91" t="e">
        <f t="shared" si="303"/>
        <v>#DIV/0!</v>
      </c>
      <c r="AV17" s="91" t="e">
        <f t="shared" si="303"/>
        <v>#DIV/0!</v>
      </c>
      <c r="AW17" s="91" t="e">
        <f t="shared" si="303"/>
        <v>#DIV/0!</v>
      </c>
      <c r="AX17" s="91" t="e">
        <f t="shared" si="303"/>
        <v>#DIV/0!</v>
      </c>
      <c r="AY17" s="91" t="e">
        <f t="shared" si="303"/>
        <v>#DIV/0!</v>
      </c>
      <c r="AZ17" s="91" t="e">
        <f t="shared" si="303"/>
        <v>#DIV/0!</v>
      </c>
      <c r="BA17" s="91" t="e">
        <f t="shared" si="303"/>
        <v>#DIV/0!</v>
      </c>
      <c r="BB17" s="91" t="e">
        <f t="shared" si="303"/>
        <v>#DIV/0!</v>
      </c>
      <c r="BC17" s="91" t="e">
        <f t="shared" si="303"/>
        <v>#DIV/0!</v>
      </c>
      <c r="BD17" s="91" t="e">
        <f t="shared" si="303"/>
        <v>#DIV/0!</v>
      </c>
      <c r="BE17" s="91" t="e">
        <f t="shared" si="303"/>
        <v>#DIV/0!</v>
      </c>
      <c r="BF17" s="91" t="e">
        <f t="shared" si="303"/>
        <v>#DIV/0!</v>
      </c>
      <c r="BG17" s="91" t="e">
        <f t="shared" si="303"/>
        <v>#DIV/0!</v>
      </c>
      <c r="BH17" s="91" t="e">
        <f t="shared" si="303"/>
        <v>#DIV/0!</v>
      </c>
      <c r="BI17" s="91" t="e">
        <f t="shared" si="303"/>
        <v>#DIV/0!</v>
      </c>
      <c r="BJ17" s="91" t="e">
        <f t="shared" si="303"/>
        <v>#DIV/0!</v>
      </c>
      <c r="BK17" s="91" t="e">
        <f t="shared" si="303"/>
        <v>#DIV/0!</v>
      </c>
      <c r="BL17" s="91" t="e">
        <f t="shared" si="303"/>
        <v>#DIV/0!</v>
      </c>
      <c r="BM17" s="91" t="e">
        <f t="shared" si="303"/>
        <v>#DIV/0!</v>
      </c>
      <c r="BN17" s="91" t="e">
        <f t="shared" si="303"/>
        <v>#DIV/0!</v>
      </c>
      <c r="BO17" s="91" t="e">
        <f t="shared" si="303"/>
        <v>#DIV/0!</v>
      </c>
      <c r="BP17" s="91" t="e">
        <f t="shared" si="303"/>
        <v>#DIV/0!</v>
      </c>
      <c r="BQ17" s="91" t="e">
        <f t="shared" si="303"/>
        <v>#DIV/0!</v>
      </c>
      <c r="BR17" s="91" t="e">
        <f t="shared" si="303"/>
        <v>#DIV/0!</v>
      </c>
      <c r="BS17" s="91" t="e">
        <f t="shared" si="303"/>
        <v>#DIV/0!</v>
      </c>
      <c r="BT17" s="91" t="e">
        <f t="shared" si="303"/>
        <v>#DIV/0!</v>
      </c>
      <c r="BU17" s="91">
        <f t="shared" si="303"/>
        <v>0</v>
      </c>
      <c r="BV17" s="91">
        <f t="shared" si="303"/>
        <v>0</v>
      </c>
      <c r="BW17" s="91">
        <f t="shared" si="303"/>
        <v>0</v>
      </c>
      <c r="BX17" s="91">
        <f t="shared" si="303"/>
        <v>0</v>
      </c>
      <c r="BY17" s="91">
        <f t="shared" si="303"/>
        <v>0</v>
      </c>
      <c r="BZ17" s="16">
        <f t="shared" ref="BZ17" si="304">BY17</f>
        <v>0</v>
      </c>
      <c r="CA17" s="16">
        <f t="shared" ref="CA17" si="305">BZ17</f>
        <v>0</v>
      </c>
      <c r="CB17" s="16">
        <f t="shared" ref="CB17" si="306">CA17</f>
        <v>0</v>
      </c>
      <c r="CC17" s="16">
        <f t="shared" ref="CC17" si="307">CB17</f>
        <v>0</v>
      </c>
      <c r="CD17" s="16">
        <f t="shared" ref="CD17" si="308">CC17</f>
        <v>0</v>
      </c>
      <c r="CE17" s="16">
        <f t="shared" ref="CE17" si="309">CD17</f>
        <v>0</v>
      </c>
      <c r="CF17" s="16">
        <f t="shared" ref="CF17" si="310">CE17</f>
        <v>0</v>
      </c>
      <c r="CG17" s="16">
        <f t="shared" ref="CG17" si="311">CF17</f>
        <v>0</v>
      </c>
      <c r="CH17" s="16">
        <f t="shared" ref="CH17" si="312">CG17</f>
        <v>0</v>
      </c>
      <c r="CI17" s="16">
        <f t="shared" ref="CI17" si="313">CH17</f>
        <v>0</v>
      </c>
      <c r="CJ17" s="16">
        <f t="shared" ref="CJ17" si="314">CI17</f>
        <v>0</v>
      </c>
      <c r="CK17" s="16">
        <f t="shared" ref="CK17" si="315">CJ17</f>
        <v>0</v>
      </c>
      <c r="CL17" s="16">
        <f t="shared" ref="CL17" si="316">CK17</f>
        <v>0</v>
      </c>
      <c r="CM17" s="16">
        <f t="shared" ref="CM17" si="317">CL17</f>
        <v>0</v>
      </c>
      <c r="CN17" s="16">
        <f t="shared" ref="CN17" si="318">CM17</f>
        <v>0</v>
      </c>
      <c r="CO17" s="16">
        <f t="shared" ref="CO17" si="319">CN17</f>
        <v>0</v>
      </c>
    </row>
    <row r="18" spans="1:98" s="93" customFormat="1" x14ac:dyDescent="0.2">
      <c r="A18" s="33" t="s">
        <v>28</v>
      </c>
      <c r="B18" s="33"/>
      <c r="C18" s="33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2"/>
      <c r="AB18" s="92"/>
      <c r="AC18" s="92"/>
      <c r="AD18" s="92"/>
      <c r="AE18" s="92"/>
      <c r="AG18" s="65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</row>
    <row r="19" spans="1:98" s="30" customFormat="1" x14ac:dyDescent="0.2">
      <c r="A19" s="32" t="s">
        <v>29</v>
      </c>
      <c r="B19" s="32"/>
      <c r="C19" s="32"/>
      <c r="D19" s="28" t="e">
        <f t="shared" ref="D19:O19" si="320">D16+D17+D18</f>
        <v>#DIV/0!</v>
      </c>
      <c r="E19" s="28" t="e">
        <f t="shared" si="320"/>
        <v>#DIV/0!</v>
      </c>
      <c r="F19" s="28" t="e">
        <f t="shared" si="320"/>
        <v>#DIV/0!</v>
      </c>
      <c r="G19" s="28" t="e">
        <f t="shared" si="320"/>
        <v>#DIV/0!</v>
      </c>
      <c r="H19" s="28" t="e">
        <f t="shared" si="320"/>
        <v>#DIV/0!</v>
      </c>
      <c r="I19" s="28" t="e">
        <f t="shared" si="320"/>
        <v>#DIV/0!</v>
      </c>
      <c r="J19" s="28">
        <f t="shared" si="320"/>
        <v>0.43358568672415337</v>
      </c>
      <c r="K19" s="28">
        <f t="shared" si="320"/>
        <v>0.52565876623197449</v>
      </c>
      <c r="L19" s="28">
        <f t="shared" si="320"/>
        <v>0.36280220502668387</v>
      </c>
      <c r="M19" s="28">
        <f t="shared" si="320"/>
        <v>0.27390319805324315</v>
      </c>
      <c r="N19" s="28">
        <f t="shared" si="320"/>
        <v>0.17522367808208217</v>
      </c>
      <c r="O19" s="28">
        <f t="shared" si="320"/>
        <v>0.13696300741204015</v>
      </c>
      <c r="P19" s="28">
        <f>P16+P17+P18</f>
        <v>0.11701672990669805</v>
      </c>
      <c r="Q19" s="28">
        <f t="shared" ref="Q19:T19" si="321">Q16+Q17+Q18</f>
        <v>0.1147209916866517</v>
      </c>
      <c r="R19" s="28">
        <f t="shared" si="321"/>
        <v>0.17990550075101527</v>
      </c>
      <c r="S19" s="28">
        <f t="shared" si="321"/>
        <v>0.16916928919927965</v>
      </c>
      <c r="T19" s="28">
        <f t="shared" si="321"/>
        <v>0.14836383171940293</v>
      </c>
      <c r="U19" s="28">
        <f t="shared" ref="U19:W19" si="322">U16+U17+U18</f>
        <v>0.14190957931753406</v>
      </c>
      <c r="V19" s="28">
        <f t="shared" si="322"/>
        <v>0.12832424477405577</v>
      </c>
      <c r="W19" s="28">
        <f t="shared" si="322"/>
        <v>0.13688285239217585</v>
      </c>
      <c r="X19" s="28">
        <f t="shared" ref="X19:Y19" si="323">X16+X17+X18</f>
        <v>0.1515877386040311</v>
      </c>
      <c r="Y19" s="28">
        <f t="shared" si="323"/>
        <v>0.14849470524757863</v>
      </c>
      <c r="Z19" s="28" t="e">
        <f t="shared" ref="Z19:AB19" si="324">Z16+Z17+Z18</f>
        <v>#DIV/0!</v>
      </c>
      <c r="AA19" s="29">
        <f t="shared" si="324"/>
        <v>0.53601487964127692</v>
      </c>
      <c r="AB19" s="29">
        <f t="shared" si="324"/>
        <v>0.23051245428837894</v>
      </c>
      <c r="AC19" s="29">
        <f t="shared" ref="AC19:AE19" si="325">AC16+AC17+AC18</f>
        <v>0.20503643708332728</v>
      </c>
      <c r="AD19" s="29">
        <f t="shared" si="325"/>
        <v>0.20475000055416298</v>
      </c>
      <c r="AE19" s="29">
        <f t="shared" si="325"/>
        <v>0.20454358041779203</v>
      </c>
      <c r="AG19" s="58"/>
      <c r="AH19" s="28"/>
      <c r="AI19" s="28" t="e">
        <f t="shared" ref="AI19" si="326">AI16+AI17+AI18</f>
        <v>#DIV/0!</v>
      </c>
      <c r="AJ19" s="28" t="e">
        <f t="shared" ref="AJ19:AS19" si="327">AJ16+AJ17+AJ18</f>
        <v>#DIV/0!</v>
      </c>
      <c r="AK19" s="28" t="e">
        <f t="shared" si="327"/>
        <v>#DIV/0!</v>
      </c>
      <c r="AL19" s="28" t="e">
        <f t="shared" si="327"/>
        <v>#DIV/0!</v>
      </c>
      <c r="AM19" s="28" t="e">
        <f t="shared" si="327"/>
        <v>#DIV/0!</v>
      </c>
      <c r="AN19" s="28" t="e">
        <f t="shared" si="327"/>
        <v>#DIV/0!</v>
      </c>
      <c r="AO19" s="28" t="e">
        <f t="shared" si="327"/>
        <v>#DIV/0!</v>
      </c>
      <c r="AP19" s="28" t="e">
        <f t="shared" si="327"/>
        <v>#DIV/0!</v>
      </c>
      <c r="AQ19" s="28" t="e">
        <f t="shared" si="327"/>
        <v>#DIV/0!</v>
      </c>
      <c r="AR19" s="28" t="e">
        <f t="shared" si="327"/>
        <v>#DIV/0!</v>
      </c>
      <c r="AS19" s="28" t="e">
        <f t="shared" si="327"/>
        <v>#DIV/0!</v>
      </c>
      <c r="AT19" s="28" t="e">
        <f t="shared" ref="AT19:AW19" si="328">AT16+AT17+AT18</f>
        <v>#DIV/0!</v>
      </c>
      <c r="AU19" s="28" t="e">
        <f t="shared" si="328"/>
        <v>#DIV/0!</v>
      </c>
      <c r="AV19" s="28" t="e">
        <f t="shared" si="328"/>
        <v>#DIV/0!</v>
      </c>
      <c r="AW19" s="28" t="e">
        <f t="shared" si="328"/>
        <v>#DIV/0!</v>
      </c>
      <c r="AX19" s="28" t="e">
        <f t="shared" ref="AX19" si="329">AX16+AX17+AX18</f>
        <v>#DIV/0!</v>
      </c>
      <c r="AY19" s="28" t="e">
        <f t="shared" ref="AY19" si="330">AY16+AY17+AY18</f>
        <v>#DIV/0!</v>
      </c>
      <c r="AZ19" s="28" t="e">
        <f t="shared" ref="AZ19:BA19" si="331">AZ16+AZ17+AZ18</f>
        <v>#DIV/0!</v>
      </c>
      <c r="BA19" s="28" t="e">
        <f t="shared" si="331"/>
        <v>#DIV/0!</v>
      </c>
      <c r="BB19" s="28" t="e">
        <f t="shared" ref="BB19:BF19" si="332">BB16+BB17+BB18</f>
        <v>#DIV/0!</v>
      </c>
      <c r="BC19" s="28" t="e">
        <f t="shared" si="332"/>
        <v>#DIV/0!</v>
      </c>
      <c r="BD19" s="28" t="e">
        <f t="shared" si="332"/>
        <v>#DIV/0!</v>
      </c>
      <c r="BE19" s="28" t="e">
        <f t="shared" si="332"/>
        <v>#DIV/0!</v>
      </c>
      <c r="BF19" s="28" t="e">
        <f t="shared" si="332"/>
        <v>#DIV/0!</v>
      </c>
      <c r="BG19" s="28" t="e">
        <f t="shared" ref="BG19:BH19" si="333">BG16+BG17+BG18</f>
        <v>#DIV/0!</v>
      </c>
      <c r="BH19" s="28" t="e">
        <f t="shared" si="333"/>
        <v>#DIV/0!</v>
      </c>
      <c r="BI19" s="28" t="e">
        <f t="shared" ref="BI19:BJ19" si="334">BI16+BI17+BI18</f>
        <v>#DIV/0!</v>
      </c>
      <c r="BJ19" s="28" t="e">
        <f t="shared" si="334"/>
        <v>#DIV/0!</v>
      </c>
      <c r="BK19" s="28" t="e">
        <f t="shared" ref="BK19:BR19" si="335">BK16+BK17+BK18</f>
        <v>#DIV/0!</v>
      </c>
      <c r="BL19" s="28" t="e">
        <f t="shared" si="335"/>
        <v>#DIV/0!</v>
      </c>
      <c r="BM19" s="28" t="e">
        <f t="shared" si="335"/>
        <v>#DIV/0!</v>
      </c>
      <c r="BN19" s="28" t="e">
        <f t="shared" si="335"/>
        <v>#DIV/0!</v>
      </c>
      <c r="BO19" s="28" t="e">
        <f t="shared" si="335"/>
        <v>#DIV/0!</v>
      </c>
      <c r="BP19" s="28" t="e">
        <f t="shared" si="335"/>
        <v>#DIV/0!</v>
      </c>
      <c r="BQ19" s="28" t="e">
        <f t="shared" si="335"/>
        <v>#DIV/0!</v>
      </c>
      <c r="BR19" s="28" t="e">
        <f t="shared" si="335"/>
        <v>#DIV/0!</v>
      </c>
      <c r="BS19" s="28" t="e">
        <f t="shared" ref="BS19:BT19" si="336">BS16+BS17+BS18</f>
        <v>#DIV/0!</v>
      </c>
      <c r="BT19" s="28" t="e">
        <f t="shared" si="336"/>
        <v>#DIV/0!</v>
      </c>
      <c r="BU19" s="28">
        <f t="shared" ref="BU19:BV19" si="337">BU16+BU17+BU18</f>
        <v>9.1096846995886813E-2</v>
      </c>
      <c r="BV19" s="28">
        <f t="shared" si="337"/>
        <v>4.727132408093894E-2</v>
      </c>
      <c r="BW19" s="28">
        <f t="shared" ref="BW19:BX19" si="338">BW16+BW17+BW18</f>
        <v>4.9009337280801639E-2</v>
      </c>
      <c r="BX19" s="28">
        <f t="shared" si="338"/>
        <v>4.7126430397063379E-2</v>
      </c>
      <c r="BY19" s="28">
        <f t="shared" ref="BY19" si="339">BY16+BY17+BY18</f>
        <v>4.5122241365467462E-2</v>
      </c>
      <c r="BZ19" s="29">
        <f t="shared" ref="BZ19:CC19" si="340">BZ16+BZ17+BZ18</f>
        <v>4.7132333281067855E-2</v>
      </c>
      <c r="CA19" s="29">
        <f t="shared" si="340"/>
        <v>4.7097585581100075E-2</v>
      </c>
      <c r="CB19" s="29">
        <f t="shared" si="340"/>
        <v>4.6619647656174691E-2</v>
      </c>
      <c r="CC19" s="29">
        <f t="shared" si="340"/>
        <v>4.6492951970952517E-2</v>
      </c>
      <c r="CD19" s="29">
        <f t="shared" ref="CD19:CO19" si="341">CD16+CD17+CD18</f>
        <v>4.6835629622323779E-2</v>
      </c>
      <c r="CE19" s="29">
        <f t="shared" si="341"/>
        <v>4.6761453707637762E-2</v>
      </c>
      <c r="CF19" s="29">
        <f t="shared" si="341"/>
        <v>4.6677420739272175E-2</v>
      </c>
      <c r="CG19" s="29">
        <f t="shared" si="341"/>
        <v>4.669186401004656E-2</v>
      </c>
      <c r="CH19" s="29">
        <f t="shared" si="341"/>
        <v>4.6741592019820075E-2</v>
      </c>
      <c r="CI19" s="29">
        <f t="shared" si="341"/>
        <v>4.6718082619194135E-2</v>
      </c>
      <c r="CJ19" s="29">
        <f t="shared" si="341"/>
        <v>4.6707239847083235E-2</v>
      </c>
      <c r="CK19" s="29">
        <f t="shared" si="341"/>
        <v>4.6714694624035991E-2</v>
      </c>
      <c r="CL19" s="29">
        <f t="shared" si="341"/>
        <v>4.6720402277533359E-2</v>
      </c>
      <c r="CM19" s="29">
        <f t="shared" si="341"/>
        <v>4.6715104841961681E-2</v>
      </c>
      <c r="CN19" s="29">
        <f t="shared" si="341"/>
        <v>4.6714360397653566E-2</v>
      </c>
      <c r="CO19" s="29">
        <f t="shared" si="341"/>
        <v>4.6716140535296151E-2</v>
      </c>
    </row>
    <row r="20" spans="1:98" s="93" customFormat="1" x14ac:dyDescent="0.2">
      <c r="A20" s="27" t="s">
        <v>50</v>
      </c>
      <c r="B20" s="27"/>
      <c r="C20" s="27"/>
      <c r="D20" s="91" t="e">
        <f t="shared" ref="D20:AE20" si="342">D40/C7</f>
        <v>#DIV/0!</v>
      </c>
      <c r="E20" s="91" t="e">
        <f t="shared" si="342"/>
        <v>#DIV/0!</v>
      </c>
      <c r="F20" s="91" t="e">
        <f t="shared" si="342"/>
        <v>#DIV/0!</v>
      </c>
      <c r="G20" s="91" t="e">
        <f t="shared" si="342"/>
        <v>#DIV/0!</v>
      </c>
      <c r="H20" s="91" t="e">
        <f t="shared" si="342"/>
        <v>#DIV/0!</v>
      </c>
      <c r="I20" s="91" t="e">
        <f t="shared" si="342"/>
        <v>#DIV/0!</v>
      </c>
      <c r="J20" s="91">
        <f t="shared" si="342"/>
        <v>0.61481127749815112</v>
      </c>
      <c r="K20" s="91">
        <f t="shared" si="342"/>
        <v>0.40996242233603752</v>
      </c>
      <c r="L20" s="91">
        <f t="shared" si="342"/>
        <v>0.23612125515063828</v>
      </c>
      <c r="M20" s="91">
        <f t="shared" si="342"/>
        <v>0.15623627294383435</v>
      </c>
      <c r="N20" s="91">
        <f t="shared" si="342"/>
        <v>9.2116160208575909E-2</v>
      </c>
      <c r="O20" s="91">
        <f t="shared" si="342"/>
        <v>5.975777757118348E-2</v>
      </c>
      <c r="P20" s="91">
        <f t="shared" si="342"/>
        <v>4.6102031109657542E-2</v>
      </c>
      <c r="Q20" s="91">
        <f t="shared" si="342"/>
        <v>4.6188268727536924E-2</v>
      </c>
      <c r="R20" s="91">
        <f t="shared" si="342"/>
        <v>0.10882349757859204</v>
      </c>
      <c r="S20" s="91">
        <f t="shared" si="342"/>
        <v>9.6281697416796902E-2</v>
      </c>
      <c r="T20" s="91">
        <f t="shared" si="342"/>
        <v>8.2688902165327219E-2</v>
      </c>
      <c r="U20" s="91">
        <f t="shared" si="342"/>
        <v>7.9528583760366603E-2</v>
      </c>
      <c r="V20" s="91">
        <f t="shared" si="342"/>
        <v>6.2842115186658318E-2</v>
      </c>
      <c r="W20" s="91">
        <f t="shared" si="342"/>
        <v>7.1025307373394547E-2</v>
      </c>
      <c r="X20" s="91">
        <f t="shared" si="342"/>
        <v>8.374500715151495E-2</v>
      </c>
      <c r="Y20" s="91">
        <f t="shared" si="342"/>
        <v>7.7905323787372194E-2</v>
      </c>
      <c r="Z20" s="91" t="e">
        <f t="shared" si="342"/>
        <v>#DIV/0!</v>
      </c>
      <c r="AA20" s="92">
        <f t="shared" si="342"/>
        <v>0.24611056342227125</v>
      </c>
      <c r="AB20" s="92">
        <f t="shared" si="342"/>
        <v>9.9149598879383072E-2</v>
      </c>
      <c r="AC20" s="92">
        <f t="shared" si="342"/>
        <v>8.8349333595762539E-2</v>
      </c>
      <c r="AD20" s="92">
        <f t="shared" si="342"/>
        <v>8.8262986902639923E-2</v>
      </c>
      <c r="AE20" s="92">
        <f t="shared" si="342"/>
        <v>8.818082101700811E-2</v>
      </c>
      <c r="AG20" s="65"/>
      <c r="AH20" s="91"/>
      <c r="AI20" s="91" t="e">
        <f t="shared" ref="AI20:AJ20" si="343">AI40/AH7</f>
        <v>#DIV/0!</v>
      </c>
      <c r="AJ20" s="91" t="e">
        <f t="shared" si="343"/>
        <v>#DIV/0!</v>
      </c>
      <c r="AK20" s="91" t="e">
        <f t="shared" ref="AK20" si="344">AK40/AJ7</f>
        <v>#DIV/0!</v>
      </c>
      <c r="AL20" s="91" t="e">
        <f t="shared" ref="AL20" si="345">AL40/AK7</f>
        <v>#DIV/0!</v>
      </c>
      <c r="AM20" s="91" t="e">
        <f t="shared" ref="AM20" si="346">AM40/AL7</f>
        <v>#DIV/0!</v>
      </c>
      <c r="AN20" s="91" t="e">
        <f t="shared" ref="AN20" si="347">AN40/AM7</f>
        <v>#DIV/0!</v>
      </c>
      <c r="AO20" s="91" t="e">
        <f t="shared" ref="AO20" si="348">AO40/AN7</f>
        <v>#DIV/0!</v>
      </c>
      <c r="AP20" s="91" t="e">
        <f t="shared" ref="AP20" si="349">AP40/AO7</f>
        <v>#DIV/0!</v>
      </c>
      <c r="AQ20" s="91" t="e">
        <f t="shared" ref="AQ20" si="350">AQ40/AP7</f>
        <v>#DIV/0!</v>
      </c>
      <c r="AR20" s="91" t="e">
        <f t="shared" ref="AR20" si="351">AR40/AQ7</f>
        <v>#DIV/0!</v>
      </c>
      <c r="AS20" s="91" t="e">
        <f t="shared" ref="AS20" si="352">AS40/AR7</f>
        <v>#DIV/0!</v>
      </c>
      <c r="AT20" s="91" t="e">
        <f t="shared" ref="AT20:BY20" si="353">AT40/AS7</f>
        <v>#DIV/0!</v>
      </c>
      <c r="AU20" s="91" t="e">
        <f t="shared" si="353"/>
        <v>#DIV/0!</v>
      </c>
      <c r="AV20" s="91" t="e">
        <f t="shared" si="353"/>
        <v>#DIV/0!</v>
      </c>
      <c r="AW20" s="91" t="e">
        <f t="shared" si="353"/>
        <v>#DIV/0!</v>
      </c>
      <c r="AX20" s="91" t="e">
        <f t="shared" si="353"/>
        <v>#DIV/0!</v>
      </c>
      <c r="AY20" s="91" t="e">
        <f t="shared" si="353"/>
        <v>#DIV/0!</v>
      </c>
      <c r="AZ20" s="91" t="e">
        <f t="shared" si="353"/>
        <v>#DIV/0!</v>
      </c>
      <c r="BA20" s="91" t="e">
        <f t="shared" si="353"/>
        <v>#DIV/0!</v>
      </c>
      <c r="BB20" s="91" t="e">
        <f t="shared" si="353"/>
        <v>#DIV/0!</v>
      </c>
      <c r="BC20" s="91" t="e">
        <f t="shared" si="353"/>
        <v>#DIV/0!</v>
      </c>
      <c r="BD20" s="91" t="e">
        <f t="shared" si="353"/>
        <v>#DIV/0!</v>
      </c>
      <c r="BE20" s="91" t="e">
        <f t="shared" si="353"/>
        <v>#DIV/0!</v>
      </c>
      <c r="BF20" s="91" t="e">
        <f t="shared" si="353"/>
        <v>#DIV/0!</v>
      </c>
      <c r="BG20" s="91" t="e">
        <f t="shared" si="353"/>
        <v>#DIV/0!</v>
      </c>
      <c r="BH20" s="91" t="e">
        <f t="shared" si="353"/>
        <v>#DIV/0!</v>
      </c>
      <c r="BI20" s="91" t="e">
        <f t="shared" si="353"/>
        <v>#DIV/0!</v>
      </c>
      <c r="BJ20" s="91" t="e">
        <f t="shared" si="353"/>
        <v>#DIV/0!</v>
      </c>
      <c r="BK20" s="91" t="e">
        <f t="shared" si="353"/>
        <v>#DIV/0!</v>
      </c>
      <c r="BL20" s="91" t="e">
        <f t="shared" si="353"/>
        <v>#DIV/0!</v>
      </c>
      <c r="BM20" s="91" t="e">
        <f t="shared" si="353"/>
        <v>#DIV/0!</v>
      </c>
      <c r="BN20" s="91" t="e">
        <f t="shared" si="353"/>
        <v>#DIV/0!</v>
      </c>
      <c r="BO20" s="91" t="e">
        <f t="shared" si="353"/>
        <v>#DIV/0!</v>
      </c>
      <c r="BP20" s="91" t="e">
        <f t="shared" si="353"/>
        <v>#DIV/0!</v>
      </c>
      <c r="BQ20" s="91" t="e">
        <f t="shared" si="353"/>
        <v>#DIV/0!</v>
      </c>
      <c r="BR20" s="91" t="e">
        <f t="shared" si="353"/>
        <v>#DIV/0!</v>
      </c>
      <c r="BS20" s="91" t="e">
        <f t="shared" si="353"/>
        <v>#DIV/0!</v>
      </c>
      <c r="BT20" s="91" t="e">
        <f t="shared" si="353"/>
        <v>#DIV/0!</v>
      </c>
      <c r="BU20" s="91">
        <f t="shared" si="353"/>
        <v>4.449660946702285E-2</v>
      </c>
      <c r="BV20" s="91">
        <f t="shared" si="353"/>
        <v>2.2953222079143961E-2</v>
      </c>
      <c r="BW20" s="91">
        <f t="shared" si="353"/>
        <v>2.2703385569969453E-2</v>
      </c>
      <c r="BX20" s="91">
        <f t="shared" si="353"/>
        <v>2.2170608945848644E-2</v>
      </c>
      <c r="BY20" s="91">
        <f t="shared" si="353"/>
        <v>2.0139938023027382E-2</v>
      </c>
      <c r="BZ20" s="16">
        <f t="shared" ref="BZ20" si="354">BY20</f>
        <v>2.0139938023027382E-2</v>
      </c>
      <c r="CA20" s="16">
        <f t="shared" ref="CA20" si="355">BZ20</f>
        <v>2.0139938023027382E-2</v>
      </c>
      <c r="CB20" s="16">
        <f t="shared" ref="CB20" si="356">CA20</f>
        <v>2.0139938023027382E-2</v>
      </c>
      <c r="CC20" s="16">
        <f t="shared" ref="CC20" si="357">CB20</f>
        <v>2.0139938023027382E-2</v>
      </c>
      <c r="CD20" s="16">
        <f t="shared" ref="CD20" si="358">CC20</f>
        <v>2.0139938023027382E-2</v>
      </c>
      <c r="CE20" s="16">
        <f t="shared" ref="CE20" si="359">CD20</f>
        <v>2.0139938023027382E-2</v>
      </c>
      <c r="CF20" s="16">
        <f t="shared" ref="CF20" si="360">CE20</f>
        <v>2.0139938023027382E-2</v>
      </c>
      <c r="CG20" s="16">
        <f t="shared" ref="CG20" si="361">CF20</f>
        <v>2.0139938023027382E-2</v>
      </c>
      <c r="CH20" s="16">
        <f t="shared" ref="CH20" si="362">CG20</f>
        <v>2.0139938023027382E-2</v>
      </c>
      <c r="CI20" s="16">
        <f t="shared" ref="CI20" si="363">CH20</f>
        <v>2.0139938023027382E-2</v>
      </c>
      <c r="CJ20" s="16">
        <f t="shared" ref="CJ20" si="364">CI20</f>
        <v>2.0139938023027382E-2</v>
      </c>
      <c r="CK20" s="16">
        <f t="shared" ref="CK20" si="365">CJ20</f>
        <v>2.0139938023027382E-2</v>
      </c>
      <c r="CL20" s="16">
        <f t="shared" ref="CL20" si="366">CK20</f>
        <v>2.0139938023027382E-2</v>
      </c>
      <c r="CM20" s="16">
        <f t="shared" ref="CM20" si="367">CL20</f>
        <v>2.0139938023027382E-2</v>
      </c>
      <c r="CN20" s="16">
        <f t="shared" ref="CN20" si="368">CM20</f>
        <v>2.0139938023027382E-2</v>
      </c>
      <c r="CO20" s="16">
        <f t="shared" ref="CO20" si="369">CN20</f>
        <v>2.0139938023027382E-2</v>
      </c>
    </row>
    <row r="21" spans="1:98" s="37" customFormat="1" x14ac:dyDescent="0.2">
      <c r="A21" s="34" t="s">
        <v>11</v>
      </c>
      <c r="B21" s="34"/>
      <c r="C21" s="34"/>
      <c r="D21" s="35" t="e">
        <f t="shared" ref="D21:O21" si="370">D19-D20</f>
        <v>#DIV/0!</v>
      </c>
      <c r="E21" s="35" t="e">
        <f t="shared" si="370"/>
        <v>#DIV/0!</v>
      </c>
      <c r="F21" s="35" t="e">
        <f t="shared" si="370"/>
        <v>#DIV/0!</v>
      </c>
      <c r="G21" s="35" t="e">
        <f t="shared" si="370"/>
        <v>#DIV/0!</v>
      </c>
      <c r="H21" s="35" t="e">
        <f t="shared" si="370"/>
        <v>#DIV/0!</v>
      </c>
      <c r="I21" s="35" t="e">
        <f t="shared" si="370"/>
        <v>#DIV/0!</v>
      </c>
      <c r="J21" s="35">
        <f t="shared" si="370"/>
        <v>-0.18122559077399775</v>
      </c>
      <c r="K21" s="35">
        <f t="shared" si="370"/>
        <v>0.11569634389593697</v>
      </c>
      <c r="L21" s="35">
        <f t="shared" si="370"/>
        <v>0.12668094987604558</v>
      </c>
      <c r="M21" s="35">
        <f t="shared" si="370"/>
        <v>0.11766692510940879</v>
      </c>
      <c r="N21" s="35">
        <f t="shared" si="370"/>
        <v>8.3107517873506259E-2</v>
      </c>
      <c r="O21" s="35">
        <f t="shared" si="370"/>
        <v>7.7205229840856676E-2</v>
      </c>
      <c r="P21" s="35">
        <f>P19-P20</f>
        <v>7.0914698797040515E-2</v>
      </c>
      <c r="Q21" s="35">
        <f t="shared" ref="Q21:Z21" si="371">Q19-Q20</f>
        <v>6.8532722959114778E-2</v>
      </c>
      <c r="R21" s="35">
        <f t="shared" si="371"/>
        <v>7.1082003172423233E-2</v>
      </c>
      <c r="S21" s="35">
        <f t="shared" si="371"/>
        <v>7.2887591782482747E-2</v>
      </c>
      <c r="T21" s="35">
        <f t="shared" si="371"/>
        <v>6.5674929554075709E-2</v>
      </c>
      <c r="U21" s="35">
        <f t="shared" si="371"/>
        <v>6.238099555716746E-2</v>
      </c>
      <c r="V21" s="35">
        <f t="shared" si="371"/>
        <v>6.548212958739745E-2</v>
      </c>
      <c r="W21" s="35">
        <f t="shared" si="371"/>
        <v>6.5857545018781299E-2</v>
      </c>
      <c r="X21" s="35">
        <f t="shared" si="371"/>
        <v>6.7842731452516153E-2</v>
      </c>
      <c r="Y21" s="35">
        <f t="shared" si="371"/>
        <v>7.0589381460206435E-2</v>
      </c>
      <c r="Z21" s="35" t="e">
        <f t="shared" si="371"/>
        <v>#DIV/0!</v>
      </c>
      <c r="AA21" s="36">
        <f t="shared" ref="AA21" si="372">AA19-AA20</f>
        <v>0.2899043162190057</v>
      </c>
      <c r="AB21" s="36">
        <f t="shared" ref="AB21:AE21" si="373">AB19-AB20</f>
        <v>0.13136285540899587</v>
      </c>
      <c r="AC21" s="36">
        <f t="shared" si="373"/>
        <v>0.11668710348756474</v>
      </c>
      <c r="AD21" s="36">
        <f t="shared" si="373"/>
        <v>0.11648701365152306</v>
      </c>
      <c r="AE21" s="36">
        <f t="shared" si="373"/>
        <v>0.11636275940078392</v>
      </c>
      <c r="AG21" s="59"/>
      <c r="AH21" s="35"/>
      <c r="AI21" s="35" t="e">
        <f t="shared" ref="AI21" si="374">AI19-AI20</f>
        <v>#DIV/0!</v>
      </c>
      <c r="AJ21" s="35" t="e">
        <f t="shared" ref="AJ21:AS21" si="375">AJ19-AJ20</f>
        <v>#DIV/0!</v>
      </c>
      <c r="AK21" s="35" t="e">
        <f t="shared" si="375"/>
        <v>#DIV/0!</v>
      </c>
      <c r="AL21" s="35" t="e">
        <f t="shared" si="375"/>
        <v>#DIV/0!</v>
      </c>
      <c r="AM21" s="35" t="e">
        <f t="shared" si="375"/>
        <v>#DIV/0!</v>
      </c>
      <c r="AN21" s="35" t="e">
        <f t="shared" si="375"/>
        <v>#DIV/0!</v>
      </c>
      <c r="AO21" s="35" t="e">
        <f t="shared" si="375"/>
        <v>#DIV/0!</v>
      </c>
      <c r="AP21" s="35" t="e">
        <f t="shared" si="375"/>
        <v>#DIV/0!</v>
      </c>
      <c r="AQ21" s="35" t="e">
        <f t="shared" si="375"/>
        <v>#DIV/0!</v>
      </c>
      <c r="AR21" s="35" t="e">
        <f t="shared" si="375"/>
        <v>#DIV/0!</v>
      </c>
      <c r="AS21" s="35" t="e">
        <f t="shared" si="375"/>
        <v>#DIV/0!</v>
      </c>
      <c r="AT21" s="35" t="e">
        <f t="shared" ref="AT21" si="376">AT19-AT20</f>
        <v>#DIV/0!</v>
      </c>
      <c r="AU21" s="35" t="e">
        <f t="shared" ref="AU21" si="377">AU19-AU20</f>
        <v>#DIV/0!</v>
      </c>
      <c r="AV21" s="35" t="e">
        <f t="shared" ref="AV21" si="378">AV19-AV20</f>
        <v>#DIV/0!</v>
      </c>
      <c r="AW21" s="35" t="e">
        <f t="shared" ref="AW21" si="379">AW19-AW20</f>
        <v>#DIV/0!</v>
      </c>
      <c r="AX21" s="35" t="e">
        <f t="shared" ref="AX21" si="380">AX19-AX20</f>
        <v>#DIV/0!</v>
      </c>
      <c r="AY21" s="35" t="e">
        <f t="shared" ref="AY21" si="381">AY19-AY20</f>
        <v>#DIV/0!</v>
      </c>
      <c r="AZ21" s="35" t="e">
        <f t="shared" ref="AZ21" si="382">AZ19-AZ20</f>
        <v>#DIV/0!</v>
      </c>
      <c r="BA21" s="35" t="e">
        <f t="shared" ref="BA21" si="383">BA19-BA20</f>
        <v>#DIV/0!</v>
      </c>
      <c r="BB21" s="35" t="e">
        <f t="shared" ref="BB21" si="384">BB19-BB20</f>
        <v>#DIV/0!</v>
      </c>
      <c r="BC21" s="35" t="e">
        <f t="shared" ref="BC21" si="385">BC19-BC20</f>
        <v>#DIV/0!</v>
      </c>
      <c r="BD21" s="35" t="e">
        <f t="shared" ref="BD21" si="386">BD19-BD20</f>
        <v>#DIV/0!</v>
      </c>
      <c r="BE21" s="35" t="e">
        <f t="shared" ref="BE21" si="387">BE19-BE20</f>
        <v>#DIV/0!</v>
      </c>
      <c r="BF21" s="35" t="e">
        <f t="shared" ref="BF21" si="388">BF19-BF20</f>
        <v>#DIV/0!</v>
      </c>
      <c r="BG21" s="35" t="e">
        <f t="shared" ref="BG21" si="389">BG19-BG20</f>
        <v>#DIV/0!</v>
      </c>
      <c r="BH21" s="35" t="e">
        <f t="shared" ref="BH21" si="390">BH19-BH20</f>
        <v>#DIV/0!</v>
      </c>
      <c r="BI21" s="35" t="e">
        <f t="shared" ref="BI21" si="391">BI19-BI20</f>
        <v>#DIV/0!</v>
      </c>
      <c r="BJ21" s="35" t="e">
        <f t="shared" ref="BJ21" si="392">BJ19-BJ20</f>
        <v>#DIV/0!</v>
      </c>
      <c r="BK21" s="35" t="e">
        <f t="shared" ref="BK21" si="393">BK19-BK20</f>
        <v>#DIV/0!</v>
      </c>
      <c r="BL21" s="35" t="e">
        <f t="shared" ref="BL21" si="394">BL19-BL20</f>
        <v>#DIV/0!</v>
      </c>
      <c r="BM21" s="35" t="e">
        <f t="shared" ref="BM21" si="395">BM19-BM20</f>
        <v>#DIV/0!</v>
      </c>
      <c r="BN21" s="35" t="e">
        <f t="shared" ref="BN21" si="396">BN19-BN20</f>
        <v>#DIV/0!</v>
      </c>
      <c r="BO21" s="35" t="e">
        <f t="shared" ref="BO21" si="397">BO19-BO20</f>
        <v>#DIV/0!</v>
      </c>
      <c r="BP21" s="35" t="e">
        <f t="shared" ref="BP21" si="398">BP19-BP20</f>
        <v>#DIV/0!</v>
      </c>
      <c r="BQ21" s="35" t="e">
        <f t="shared" ref="BQ21" si="399">BQ19-BQ20</f>
        <v>#DIV/0!</v>
      </c>
      <c r="BR21" s="35" t="e">
        <f t="shared" ref="BR21" si="400">BR19-BR20</f>
        <v>#DIV/0!</v>
      </c>
      <c r="BS21" s="35" t="e">
        <f t="shared" ref="BS21" si="401">BS19-BS20</f>
        <v>#DIV/0!</v>
      </c>
      <c r="BT21" s="35" t="e">
        <f t="shared" ref="BT21" si="402">BT19-BT20</f>
        <v>#DIV/0!</v>
      </c>
      <c r="BU21" s="35">
        <f t="shared" ref="BU21:BV21" si="403">BU19-BU20</f>
        <v>4.6600237528863962E-2</v>
      </c>
      <c r="BV21" s="35">
        <f t="shared" si="403"/>
        <v>2.4318102001794979E-2</v>
      </c>
      <c r="BW21" s="35">
        <f t="shared" ref="BW21:BX21" si="404">BW19-BW20</f>
        <v>2.6305951710832186E-2</v>
      </c>
      <c r="BX21" s="35">
        <f t="shared" si="404"/>
        <v>2.4955821451214735E-2</v>
      </c>
      <c r="BY21" s="35">
        <f t="shared" ref="BY21" si="405">BY19-BY20</f>
        <v>2.4982303342440081E-2</v>
      </c>
      <c r="BZ21" s="36">
        <f t="shared" ref="BZ21" si="406">BZ19-BZ20</f>
        <v>2.6992395258040473E-2</v>
      </c>
      <c r="CA21" s="36">
        <f t="shared" ref="CA21" si="407">CA19-CA20</f>
        <v>2.6957647558072693E-2</v>
      </c>
      <c r="CB21" s="36">
        <f t="shared" ref="CB21" si="408">CB19-CB20</f>
        <v>2.6479709633147309E-2</v>
      </c>
      <c r="CC21" s="36">
        <f t="shared" ref="CC21" si="409">CC19-CC20</f>
        <v>2.6353013947925136E-2</v>
      </c>
      <c r="CD21" s="36">
        <f t="shared" ref="CD21" si="410">CD19-CD20</f>
        <v>2.6695691599296398E-2</v>
      </c>
      <c r="CE21" s="36">
        <f t="shared" ref="CE21" si="411">CE19-CE20</f>
        <v>2.6621515684610381E-2</v>
      </c>
      <c r="CF21" s="36">
        <f t="shared" ref="CF21" si="412">CF19-CF20</f>
        <v>2.6537482716244794E-2</v>
      </c>
      <c r="CG21" s="36">
        <f t="shared" ref="CG21" si="413">CG19-CG20</f>
        <v>2.6551925987019179E-2</v>
      </c>
      <c r="CH21" s="36">
        <f t="shared" ref="CH21" si="414">CH19-CH20</f>
        <v>2.6601653996792693E-2</v>
      </c>
      <c r="CI21" s="36">
        <f t="shared" ref="CI21" si="415">CI19-CI20</f>
        <v>2.6578144596166753E-2</v>
      </c>
      <c r="CJ21" s="36">
        <f t="shared" ref="CJ21" si="416">CJ19-CJ20</f>
        <v>2.6567301824055853E-2</v>
      </c>
      <c r="CK21" s="36">
        <f t="shared" ref="CK21" si="417">CK19-CK20</f>
        <v>2.6574756601008609E-2</v>
      </c>
      <c r="CL21" s="36">
        <f t="shared" ref="CL21" si="418">CL19-CL20</f>
        <v>2.6580464254505977E-2</v>
      </c>
      <c r="CM21" s="36">
        <f t="shared" ref="CM21" si="419">CM19-CM20</f>
        <v>2.65751668189343E-2</v>
      </c>
      <c r="CN21" s="36">
        <f t="shared" ref="CN21" si="420">CN19-CN20</f>
        <v>2.6574422374626185E-2</v>
      </c>
      <c r="CO21" s="36">
        <f t="shared" ref="CO21" si="421">CO19-CO20</f>
        <v>2.6576202512268769E-2</v>
      </c>
    </row>
    <row r="22" spans="1:98" s="30" customFormat="1" x14ac:dyDescent="0.2">
      <c r="A22" s="32" t="s">
        <v>30</v>
      </c>
      <c r="B22" s="32"/>
      <c r="C22" s="32"/>
      <c r="D22" s="28" t="e">
        <f t="shared" ref="D22:AE22" si="422">D43/C7</f>
        <v>#DIV/0!</v>
      </c>
      <c r="E22" s="28" t="e">
        <f t="shared" si="422"/>
        <v>#DIV/0!</v>
      </c>
      <c r="F22" s="28" t="e">
        <f t="shared" si="422"/>
        <v>#DIV/0!</v>
      </c>
      <c r="G22" s="28" t="e">
        <f t="shared" si="422"/>
        <v>#DIV/0!</v>
      </c>
      <c r="H22" s="28" t="e">
        <f t="shared" si="422"/>
        <v>#DIV/0!</v>
      </c>
      <c r="I22" s="28" t="e">
        <f t="shared" si="422"/>
        <v>#DIV/0!</v>
      </c>
      <c r="J22" s="28">
        <f t="shared" si="422"/>
        <v>1.3925462644901067E-4</v>
      </c>
      <c r="K22" s="28">
        <f t="shared" si="422"/>
        <v>2.8785617327545514E-2</v>
      </c>
      <c r="L22" s="28">
        <f t="shared" si="422"/>
        <v>5.9738004006063231E-2</v>
      </c>
      <c r="M22" s="28">
        <f t="shared" si="422"/>
        <v>4.4827459070858625E-2</v>
      </c>
      <c r="N22" s="28">
        <f t="shared" si="422"/>
        <v>2.5285052129000323E-2</v>
      </c>
      <c r="O22" s="28">
        <f t="shared" si="422"/>
        <v>2.3441316418894364E-2</v>
      </c>
      <c r="P22" s="28">
        <f t="shared" si="422"/>
        <v>1.9755394697870871E-2</v>
      </c>
      <c r="Q22" s="28">
        <f t="shared" si="422"/>
        <v>1.595159869609665E-2</v>
      </c>
      <c r="R22" s="28">
        <f t="shared" si="422"/>
        <v>2.0160160473145641E-2</v>
      </c>
      <c r="S22" s="28">
        <f t="shared" si="422"/>
        <v>1.9820083146277919E-2</v>
      </c>
      <c r="T22" s="28">
        <f t="shared" si="422"/>
        <v>1.8274012306763444E-2</v>
      </c>
      <c r="U22" s="28">
        <f t="shared" si="422"/>
        <v>3.1247472160414347E-2</v>
      </c>
      <c r="V22" s="28">
        <f t="shared" si="422"/>
        <v>5.6387031124523715E-2</v>
      </c>
      <c r="W22" s="28">
        <f t="shared" si="422"/>
        <v>4.2748635649003046E-2</v>
      </c>
      <c r="X22" s="28">
        <f t="shared" si="422"/>
        <v>2.3051574441389118E-2</v>
      </c>
      <c r="Y22" s="28">
        <f t="shared" si="422"/>
        <v>1.7636329068864993E-2</v>
      </c>
      <c r="Z22" s="28" t="e">
        <f t="shared" si="422"/>
        <v>#DIV/0!</v>
      </c>
      <c r="AA22" s="29">
        <f t="shared" si="422"/>
        <v>0.13308317814410861</v>
      </c>
      <c r="AB22" s="29">
        <f t="shared" si="422"/>
        <v>4.9650951205343907E-2</v>
      </c>
      <c r="AC22" s="29">
        <f t="shared" si="422"/>
        <v>4.4242523428907207E-2</v>
      </c>
      <c r="AD22" s="29">
        <f t="shared" si="422"/>
        <v>4.4199283763841204E-2</v>
      </c>
      <c r="AE22" s="29">
        <f t="shared" si="422"/>
        <v>4.4158137713586239E-2</v>
      </c>
      <c r="AG22" s="58"/>
      <c r="AH22" s="28"/>
      <c r="AI22" s="28" t="e">
        <f t="shared" ref="AI22:AJ22" si="423">AI43/AH7</f>
        <v>#DIV/0!</v>
      </c>
      <c r="AJ22" s="28" t="e">
        <f t="shared" si="423"/>
        <v>#DIV/0!</v>
      </c>
      <c r="AK22" s="28" t="e">
        <f t="shared" ref="AK22" si="424">AK43/AJ7</f>
        <v>#DIV/0!</v>
      </c>
      <c r="AL22" s="28" t="e">
        <f t="shared" ref="AL22" si="425">AL43/AK7</f>
        <v>#DIV/0!</v>
      </c>
      <c r="AM22" s="28" t="e">
        <f t="shared" ref="AM22" si="426">AM43/AL7</f>
        <v>#DIV/0!</v>
      </c>
      <c r="AN22" s="28" t="e">
        <f t="shared" ref="AN22" si="427">AN43/AM7</f>
        <v>#DIV/0!</v>
      </c>
      <c r="AO22" s="28" t="e">
        <f t="shared" ref="AO22" si="428">AO43/AN7</f>
        <v>#DIV/0!</v>
      </c>
      <c r="AP22" s="28" t="e">
        <f t="shared" ref="AP22" si="429">AP43/AO7</f>
        <v>#DIV/0!</v>
      </c>
      <c r="AQ22" s="28" t="e">
        <f t="shared" ref="AQ22" si="430">AQ43/AP7</f>
        <v>#DIV/0!</v>
      </c>
      <c r="AR22" s="28" t="e">
        <f t="shared" ref="AR22" si="431">AR43/AQ7</f>
        <v>#DIV/0!</v>
      </c>
      <c r="AS22" s="28" t="e">
        <f t="shared" ref="AS22" si="432">AS43/AR7</f>
        <v>#DIV/0!</v>
      </c>
      <c r="AT22" s="28" t="e">
        <f t="shared" ref="AT22:BY22" si="433">AT43/AS7</f>
        <v>#DIV/0!</v>
      </c>
      <c r="AU22" s="28" t="e">
        <f t="shared" si="433"/>
        <v>#DIV/0!</v>
      </c>
      <c r="AV22" s="28" t="e">
        <f t="shared" si="433"/>
        <v>#DIV/0!</v>
      </c>
      <c r="AW22" s="28" t="e">
        <f t="shared" si="433"/>
        <v>#DIV/0!</v>
      </c>
      <c r="AX22" s="28" t="e">
        <f t="shared" si="433"/>
        <v>#DIV/0!</v>
      </c>
      <c r="AY22" s="28" t="e">
        <f t="shared" si="433"/>
        <v>#DIV/0!</v>
      </c>
      <c r="AZ22" s="28" t="e">
        <f t="shared" si="433"/>
        <v>#DIV/0!</v>
      </c>
      <c r="BA22" s="28" t="e">
        <f t="shared" si="433"/>
        <v>#DIV/0!</v>
      </c>
      <c r="BB22" s="28" t="e">
        <f t="shared" si="433"/>
        <v>#DIV/0!</v>
      </c>
      <c r="BC22" s="28" t="e">
        <f t="shared" si="433"/>
        <v>#DIV/0!</v>
      </c>
      <c r="BD22" s="28" t="e">
        <f t="shared" si="433"/>
        <v>#DIV/0!</v>
      </c>
      <c r="BE22" s="28" t="e">
        <f t="shared" si="433"/>
        <v>#DIV/0!</v>
      </c>
      <c r="BF22" s="28" t="e">
        <f t="shared" si="433"/>
        <v>#DIV/0!</v>
      </c>
      <c r="BG22" s="28" t="e">
        <f t="shared" si="433"/>
        <v>#DIV/0!</v>
      </c>
      <c r="BH22" s="28" t="e">
        <f t="shared" si="433"/>
        <v>#DIV/0!</v>
      </c>
      <c r="BI22" s="28" t="e">
        <f t="shared" si="433"/>
        <v>#DIV/0!</v>
      </c>
      <c r="BJ22" s="28" t="e">
        <f t="shared" si="433"/>
        <v>#DIV/0!</v>
      </c>
      <c r="BK22" s="28" t="e">
        <f t="shared" si="433"/>
        <v>#DIV/0!</v>
      </c>
      <c r="BL22" s="28" t="e">
        <f t="shared" si="433"/>
        <v>#DIV/0!</v>
      </c>
      <c r="BM22" s="28" t="e">
        <f t="shared" si="433"/>
        <v>#DIV/0!</v>
      </c>
      <c r="BN22" s="28" t="e">
        <f t="shared" si="433"/>
        <v>#DIV/0!</v>
      </c>
      <c r="BO22" s="28" t="e">
        <f t="shared" si="433"/>
        <v>#DIV/0!</v>
      </c>
      <c r="BP22" s="28" t="e">
        <f t="shared" si="433"/>
        <v>#DIV/0!</v>
      </c>
      <c r="BQ22" s="28" t="e">
        <f t="shared" si="433"/>
        <v>#DIV/0!</v>
      </c>
      <c r="BR22" s="28" t="e">
        <f t="shared" si="433"/>
        <v>#DIV/0!</v>
      </c>
      <c r="BS22" s="28" t="e">
        <f t="shared" si="433"/>
        <v>#DIV/0!</v>
      </c>
      <c r="BT22" s="28" t="e">
        <f t="shared" si="433"/>
        <v>#DIV/0!</v>
      </c>
      <c r="BU22" s="28">
        <f t="shared" si="433"/>
        <v>2.2074163337663651E-2</v>
      </c>
      <c r="BV22" s="28">
        <f t="shared" si="433"/>
        <v>1.1614486457425547E-2</v>
      </c>
      <c r="BW22" s="28">
        <f t="shared" si="433"/>
        <v>1.2861642381715603E-2</v>
      </c>
      <c r="BX22" s="28">
        <f t="shared" si="433"/>
        <v>1.1302725620066862E-2</v>
      </c>
      <c r="BY22" s="28">
        <f t="shared" si="433"/>
        <v>1.0085437473896969E-2</v>
      </c>
      <c r="BZ22" s="31">
        <f t="shared" ref="BZ22" si="434">BY22</f>
        <v>1.0085437473896969E-2</v>
      </c>
      <c r="CA22" s="31">
        <f t="shared" ref="CA22" si="435">BZ22</f>
        <v>1.0085437473896969E-2</v>
      </c>
      <c r="CB22" s="31">
        <f t="shared" ref="CB22" si="436">CA22</f>
        <v>1.0085437473896969E-2</v>
      </c>
      <c r="CC22" s="31">
        <f t="shared" ref="CC22" si="437">CB22</f>
        <v>1.0085437473896969E-2</v>
      </c>
      <c r="CD22" s="31">
        <f t="shared" ref="CD22" si="438">CC22</f>
        <v>1.0085437473896969E-2</v>
      </c>
      <c r="CE22" s="31">
        <f t="shared" ref="CE22" si="439">CD22</f>
        <v>1.0085437473896969E-2</v>
      </c>
      <c r="CF22" s="31">
        <f t="shared" ref="CF22" si="440">CE22</f>
        <v>1.0085437473896969E-2</v>
      </c>
      <c r="CG22" s="31">
        <f t="shared" ref="CG22" si="441">CF22</f>
        <v>1.0085437473896969E-2</v>
      </c>
      <c r="CH22" s="31">
        <f t="shared" ref="CH22" si="442">CG22</f>
        <v>1.0085437473896969E-2</v>
      </c>
      <c r="CI22" s="31">
        <f t="shared" ref="CI22" si="443">CH22</f>
        <v>1.0085437473896969E-2</v>
      </c>
      <c r="CJ22" s="31">
        <f t="shared" ref="CJ22" si="444">CI22</f>
        <v>1.0085437473896969E-2</v>
      </c>
      <c r="CK22" s="31">
        <f t="shared" ref="CK22" si="445">CJ22</f>
        <v>1.0085437473896969E-2</v>
      </c>
      <c r="CL22" s="31">
        <f t="shared" ref="CL22" si="446">CK22</f>
        <v>1.0085437473896969E-2</v>
      </c>
      <c r="CM22" s="31">
        <f t="shared" ref="CM22" si="447">CL22</f>
        <v>1.0085437473896969E-2</v>
      </c>
      <c r="CN22" s="31">
        <f t="shared" ref="CN22" si="448">CM22</f>
        <v>1.0085437473896969E-2</v>
      </c>
      <c r="CO22" s="31">
        <f t="shared" ref="CO22" si="449">CN22</f>
        <v>1.0085437473896969E-2</v>
      </c>
    </row>
    <row r="23" spans="1:98" s="30" customFormat="1" x14ac:dyDescent="0.2">
      <c r="A23" s="32" t="s">
        <v>12</v>
      </c>
      <c r="B23" s="32"/>
      <c r="C23" s="32"/>
      <c r="D23" s="28" t="e">
        <f t="shared" ref="D23:O23" si="450">D21-D22</f>
        <v>#DIV/0!</v>
      </c>
      <c r="E23" s="28" t="e">
        <f t="shared" si="450"/>
        <v>#DIV/0!</v>
      </c>
      <c r="F23" s="28" t="e">
        <f t="shared" si="450"/>
        <v>#DIV/0!</v>
      </c>
      <c r="G23" s="28" t="e">
        <f t="shared" si="450"/>
        <v>#DIV/0!</v>
      </c>
      <c r="H23" s="28" t="e">
        <f t="shared" si="450"/>
        <v>#DIV/0!</v>
      </c>
      <c r="I23" s="28" t="e">
        <f t="shared" si="450"/>
        <v>#DIV/0!</v>
      </c>
      <c r="J23" s="28">
        <f t="shared" si="450"/>
        <v>-0.18136484540044676</v>
      </c>
      <c r="K23" s="28">
        <f t="shared" si="450"/>
        <v>8.6910726568391453E-2</v>
      </c>
      <c r="L23" s="28">
        <f t="shared" si="450"/>
        <v>6.6942945869982354E-2</v>
      </c>
      <c r="M23" s="28">
        <f t="shared" si="450"/>
        <v>7.2839466038550169E-2</v>
      </c>
      <c r="N23" s="28">
        <f t="shared" si="450"/>
        <v>5.7822465744505933E-2</v>
      </c>
      <c r="O23" s="28">
        <f t="shared" si="450"/>
        <v>5.3763913421962309E-2</v>
      </c>
      <c r="P23" s="28">
        <f>P21-P22</f>
        <v>5.1159304099169647E-2</v>
      </c>
      <c r="Q23" s="28">
        <f t="shared" ref="Q23:T23" si="451">Q21-Q22</f>
        <v>5.2581124263018128E-2</v>
      </c>
      <c r="R23" s="28">
        <f t="shared" si="451"/>
        <v>5.0921842699277589E-2</v>
      </c>
      <c r="S23" s="28">
        <f t="shared" si="451"/>
        <v>5.3067508636204824E-2</v>
      </c>
      <c r="T23" s="28">
        <f t="shared" si="451"/>
        <v>4.7400917247312269E-2</v>
      </c>
      <c r="U23" s="28">
        <f t="shared" ref="U23:W23" si="452">U21-U22</f>
        <v>3.1133523396753113E-2</v>
      </c>
      <c r="V23" s="28">
        <f t="shared" si="452"/>
        <v>9.0950984628737352E-3</v>
      </c>
      <c r="W23" s="28">
        <f t="shared" si="452"/>
        <v>2.3108909369778254E-2</v>
      </c>
      <c r="X23" s="28">
        <f t="shared" ref="X23:Y23" si="453">X21-X22</f>
        <v>4.4791157011127035E-2</v>
      </c>
      <c r="Y23" s="28">
        <f t="shared" si="453"/>
        <v>5.2953052391341446E-2</v>
      </c>
      <c r="Z23" s="28" t="e">
        <f t="shared" ref="Z23:AB23" si="454">Z21-Z22</f>
        <v>#DIV/0!</v>
      </c>
      <c r="AA23" s="29">
        <f t="shared" si="454"/>
        <v>0.15682113807489709</v>
      </c>
      <c r="AB23" s="29">
        <f t="shared" si="454"/>
        <v>8.1711904203651958E-2</v>
      </c>
      <c r="AC23" s="29">
        <f t="shared" ref="AC23:AE23" si="455">AC21-AC22</f>
        <v>7.2444580058657532E-2</v>
      </c>
      <c r="AD23" s="29">
        <f t="shared" si="455"/>
        <v>7.2287729887681854E-2</v>
      </c>
      <c r="AE23" s="29">
        <f t="shared" si="455"/>
        <v>7.2204621687197684E-2</v>
      </c>
      <c r="AG23" s="58"/>
      <c r="AH23" s="28"/>
      <c r="AI23" s="28" t="e">
        <f t="shared" ref="AI23" si="456">AI21-AI22</f>
        <v>#DIV/0!</v>
      </c>
      <c r="AJ23" s="28" t="e">
        <f t="shared" ref="AJ23:AS23" si="457">AJ21-AJ22</f>
        <v>#DIV/0!</v>
      </c>
      <c r="AK23" s="28" t="e">
        <f t="shared" si="457"/>
        <v>#DIV/0!</v>
      </c>
      <c r="AL23" s="28" t="e">
        <f t="shared" si="457"/>
        <v>#DIV/0!</v>
      </c>
      <c r="AM23" s="28" t="e">
        <f t="shared" si="457"/>
        <v>#DIV/0!</v>
      </c>
      <c r="AN23" s="28" t="e">
        <f t="shared" si="457"/>
        <v>#DIV/0!</v>
      </c>
      <c r="AO23" s="28" t="e">
        <f t="shared" si="457"/>
        <v>#DIV/0!</v>
      </c>
      <c r="AP23" s="28" t="e">
        <f t="shared" si="457"/>
        <v>#DIV/0!</v>
      </c>
      <c r="AQ23" s="28" t="e">
        <f t="shared" si="457"/>
        <v>#DIV/0!</v>
      </c>
      <c r="AR23" s="28" t="e">
        <f t="shared" si="457"/>
        <v>#DIV/0!</v>
      </c>
      <c r="AS23" s="28" t="e">
        <f t="shared" si="457"/>
        <v>#DIV/0!</v>
      </c>
      <c r="AT23" s="28" t="e">
        <f t="shared" ref="AT23:AW23" si="458">AT21-AT22</f>
        <v>#DIV/0!</v>
      </c>
      <c r="AU23" s="28" t="e">
        <f t="shared" si="458"/>
        <v>#DIV/0!</v>
      </c>
      <c r="AV23" s="28" t="e">
        <f t="shared" si="458"/>
        <v>#DIV/0!</v>
      </c>
      <c r="AW23" s="28" t="e">
        <f t="shared" si="458"/>
        <v>#DIV/0!</v>
      </c>
      <c r="AX23" s="28" t="e">
        <f t="shared" ref="AX23" si="459">AX21-AX22</f>
        <v>#DIV/0!</v>
      </c>
      <c r="AY23" s="28" t="e">
        <f t="shared" ref="AY23" si="460">AY21-AY22</f>
        <v>#DIV/0!</v>
      </c>
      <c r="AZ23" s="28" t="e">
        <f t="shared" ref="AZ23:BA23" si="461">AZ21-AZ22</f>
        <v>#DIV/0!</v>
      </c>
      <c r="BA23" s="28" t="e">
        <f t="shared" si="461"/>
        <v>#DIV/0!</v>
      </c>
      <c r="BB23" s="28" t="e">
        <f t="shared" ref="BB23:BF23" si="462">BB21-BB22</f>
        <v>#DIV/0!</v>
      </c>
      <c r="BC23" s="28" t="e">
        <f t="shared" si="462"/>
        <v>#DIV/0!</v>
      </c>
      <c r="BD23" s="28" t="e">
        <f t="shared" si="462"/>
        <v>#DIV/0!</v>
      </c>
      <c r="BE23" s="28" t="e">
        <f t="shared" si="462"/>
        <v>#DIV/0!</v>
      </c>
      <c r="BF23" s="28" t="e">
        <f t="shared" si="462"/>
        <v>#DIV/0!</v>
      </c>
      <c r="BG23" s="28" t="e">
        <f t="shared" ref="BG23:BH23" si="463">BG21-BG22</f>
        <v>#DIV/0!</v>
      </c>
      <c r="BH23" s="28" t="e">
        <f t="shared" si="463"/>
        <v>#DIV/0!</v>
      </c>
      <c r="BI23" s="28" t="e">
        <f t="shared" ref="BI23:BJ23" si="464">BI21-BI22</f>
        <v>#DIV/0!</v>
      </c>
      <c r="BJ23" s="28" t="e">
        <f t="shared" si="464"/>
        <v>#DIV/0!</v>
      </c>
      <c r="BK23" s="28" t="e">
        <f t="shared" ref="BK23:BR23" si="465">BK21-BK22</f>
        <v>#DIV/0!</v>
      </c>
      <c r="BL23" s="28" t="e">
        <f t="shared" si="465"/>
        <v>#DIV/0!</v>
      </c>
      <c r="BM23" s="28" t="e">
        <f t="shared" si="465"/>
        <v>#DIV/0!</v>
      </c>
      <c r="BN23" s="28" t="e">
        <f t="shared" si="465"/>
        <v>#DIV/0!</v>
      </c>
      <c r="BO23" s="28" t="e">
        <f t="shared" si="465"/>
        <v>#DIV/0!</v>
      </c>
      <c r="BP23" s="28" t="e">
        <f t="shared" si="465"/>
        <v>#DIV/0!</v>
      </c>
      <c r="BQ23" s="28" t="e">
        <f t="shared" si="465"/>
        <v>#DIV/0!</v>
      </c>
      <c r="BR23" s="28" t="e">
        <f t="shared" si="465"/>
        <v>#DIV/0!</v>
      </c>
      <c r="BS23" s="28" t="e">
        <f t="shared" ref="BS23:BT23" si="466">BS21-BS22</f>
        <v>#DIV/0!</v>
      </c>
      <c r="BT23" s="28" t="e">
        <f t="shared" si="466"/>
        <v>#DIV/0!</v>
      </c>
      <c r="BU23" s="28">
        <f t="shared" ref="BU23:BV23" si="467">BU21-BU22</f>
        <v>2.4526074191200311E-2</v>
      </c>
      <c r="BV23" s="28">
        <f t="shared" si="467"/>
        <v>1.2703615544369431E-2</v>
      </c>
      <c r="BW23" s="28">
        <f t="shared" ref="BW23:BX23" si="468">BW21-BW22</f>
        <v>1.3444309329116583E-2</v>
      </c>
      <c r="BX23" s="28">
        <f t="shared" si="468"/>
        <v>1.3653095831147873E-2</v>
      </c>
      <c r="BY23" s="28">
        <f t="shared" ref="BY23" si="469">BY21-BY22</f>
        <v>1.4896865868543111E-2</v>
      </c>
      <c r="BZ23" s="29">
        <f t="shared" ref="BZ23:CC23" si="470">BZ21-BZ22</f>
        <v>1.6906957784143504E-2</v>
      </c>
      <c r="CA23" s="29">
        <f t="shared" si="470"/>
        <v>1.6872210084175724E-2</v>
      </c>
      <c r="CB23" s="29">
        <f t="shared" si="470"/>
        <v>1.639427215925034E-2</v>
      </c>
      <c r="CC23" s="29">
        <f t="shared" si="470"/>
        <v>1.6267576474028166E-2</v>
      </c>
      <c r="CD23" s="29">
        <f t="shared" ref="CD23:CO23" si="471">CD21-CD22</f>
        <v>1.6610254125399428E-2</v>
      </c>
      <c r="CE23" s="29">
        <f t="shared" si="471"/>
        <v>1.6536078210713411E-2</v>
      </c>
      <c r="CF23" s="29">
        <f t="shared" si="471"/>
        <v>1.6452045242347824E-2</v>
      </c>
      <c r="CG23" s="29">
        <f t="shared" si="471"/>
        <v>1.6466488513122209E-2</v>
      </c>
      <c r="CH23" s="29">
        <f t="shared" si="471"/>
        <v>1.6516216522895723E-2</v>
      </c>
      <c r="CI23" s="29">
        <f t="shared" si="471"/>
        <v>1.6492707122269783E-2</v>
      </c>
      <c r="CJ23" s="29">
        <f t="shared" si="471"/>
        <v>1.6481864350158883E-2</v>
      </c>
      <c r="CK23" s="29">
        <f t="shared" si="471"/>
        <v>1.6489319127111639E-2</v>
      </c>
      <c r="CL23" s="29">
        <f t="shared" si="471"/>
        <v>1.6495026780609007E-2</v>
      </c>
      <c r="CM23" s="29">
        <f t="shared" si="471"/>
        <v>1.648972934503733E-2</v>
      </c>
      <c r="CN23" s="29">
        <f t="shared" si="471"/>
        <v>1.6488984900729215E-2</v>
      </c>
      <c r="CO23" s="29">
        <f t="shared" si="471"/>
        <v>1.64907650383718E-2</v>
      </c>
    </row>
    <row r="24" spans="1:98" s="93" customFormat="1" x14ac:dyDescent="0.2">
      <c r="A24" s="27" t="s">
        <v>13</v>
      </c>
      <c r="B24" s="27"/>
      <c r="C24" s="27"/>
      <c r="D24" s="91" t="e">
        <f t="shared" ref="D24:AE24" si="472">D45/C7</f>
        <v>#DIV/0!</v>
      </c>
      <c r="E24" s="91" t="e">
        <f t="shared" si="472"/>
        <v>#DIV/0!</v>
      </c>
      <c r="F24" s="91" t="e">
        <f t="shared" si="472"/>
        <v>#DIV/0!</v>
      </c>
      <c r="G24" s="91" t="e">
        <f t="shared" si="472"/>
        <v>#DIV/0!</v>
      </c>
      <c r="H24" s="91" t="e">
        <f t="shared" si="472"/>
        <v>#DIV/0!</v>
      </c>
      <c r="I24" s="91" t="e">
        <f t="shared" si="472"/>
        <v>#DIV/0!</v>
      </c>
      <c r="J24" s="91">
        <f t="shared" si="472"/>
        <v>1.8254425693743958E-3</v>
      </c>
      <c r="K24" s="91">
        <f t="shared" si="472"/>
        <v>1.6932839336136644E-2</v>
      </c>
      <c r="L24" s="91">
        <f t="shared" si="472"/>
        <v>2.3198266483977773E-2</v>
      </c>
      <c r="M24" s="91">
        <f t="shared" si="472"/>
        <v>2.014555083359194E-2</v>
      </c>
      <c r="N24" s="91">
        <f t="shared" si="472"/>
        <v>1.8363919048145244E-2</v>
      </c>
      <c r="O24" s="91">
        <f t="shared" si="472"/>
        <v>1.8395720117308001E-2</v>
      </c>
      <c r="P24" s="91">
        <f t="shared" si="472"/>
        <v>1.7445758769429064E-2</v>
      </c>
      <c r="Q24" s="91">
        <f t="shared" si="472"/>
        <v>1.8221213504529585E-2</v>
      </c>
      <c r="R24" s="91">
        <f t="shared" si="472"/>
        <v>1.8008492666026089E-2</v>
      </c>
      <c r="S24" s="91">
        <f t="shared" si="472"/>
        <v>1.8590311967598781E-2</v>
      </c>
      <c r="T24" s="91">
        <f t="shared" si="472"/>
        <v>1.5693996486845468E-2</v>
      </c>
      <c r="U24" s="91">
        <f t="shared" si="472"/>
        <v>9.7713190749273721E-3</v>
      </c>
      <c r="V24" s="91">
        <f t="shared" si="472"/>
        <v>1.9842794353704166E-3</v>
      </c>
      <c r="W24" s="91">
        <f t="shared" si="472"/>
        <v>5.7647087875453756E-3</v>
      </c>
      <c r="X24" s="91">
        <f t="shared" si="472"/>
        <v>1.1388723620797526E-2</v>
      </c>
      <c r="Y24" s="91">
        <f t="shared" si="472"/>
        <v>1.3521281761684425E-2</v>
      </c>
      <c r="Z24" s="91" t="e">
        <f t="shared" si="472"/>
        <v>#DIV/0!</v>
      </c>
      <c r="AA24" s="92">
        <f t="shared" si="472"/>
        <v>3.9014484263320569E-2</v>
      </c>
      <c r="AB24" s="92">
        <f t="shared" si="472"/>
        <v>2.1245095092949518E-2</v>
      </c>
      <c r="AC24" s="92">
        <f t="shared" si="472"/>
        <v>1.8835590815250953E-2</v>
      </c>
      <c r="AD24" s="92">
        <f t="shared" si="472"/>
        <v>1.8794809770797269E-2</v>
      </c>
      <c r="AE24" s="92">
        <f t="shared" si="472"/>
        <v>1.8773201638671418E-2</v>
      </c>
      <c r="AG24" s="65"/>
      <c r="AH24" s="91"/>
      <c r="AI24" s="91" t="e">
        <f t="shared" ref="AI24:AJ24" si="473">AI45/AH7</f>
        <v>#DIV/0!</v>
      </c>
      <c r="AJ24" s="91" t="e">
        <f t="shared" si="473"/>
        <v>#DIV/0!</v>
      </c>
      <c r="AK24" s="91" t="e">
        <f t="shared" ref="AK24" si="474">AK45/AJ7</f>
        <v>#DIV/0!</v>
      </c>
      <c r="AL24" s="91" t="e">
        <f t="shared" ref="AL24" si="475">AL45/AK7</f>
        <v>#DIV/0!</v>
      </c>
      <c r="AM24" s="91" t="e">
        <f t="shared" ref="AM24" si="476">AM45/AL7</f>
        <v>#DIV/0!</v>
      </c>
      <c r="AN24" s="91" t="e">
        <f t="shared" ref="AN24" si="477">AN45/AM7</f>
        <v>#DIV/0!</v>
      </c>
      <c r="AO24" s="91" t="e">
        <f t="shared" ref="AO24" si="478">AO45/AN7</f>
        <v>#DIV/0!</v>
      </c>
      <c r="AP24" s="91" t="e">
        <f t="shared" ref="AP24" si="479">AP45/AO7</f>
        <v>#DIV/0!</v>
      </c>
      <c r="AQ24" s="91" t="e">
        <f t="shared" ref="AQ24" si="480">AQ45/AP7</f>
        <v>#DIV/0!</v>
      </c>
      <c r="AR24" s="91" t="e">
        <f t="shared" ref="AR24" si="481">AR45/AQ7</f>
        <v>#DIV/0!</v>
      </c>
      <c r="AS24" s="91" t="e">
        <f t="shared" ref="AS24" si="482">AS45/AR7</f>
        <v>#DIV/0!</v>
      </c>
      <c r="AT24" s="91" t="e">
        <f t="shared" ref="AT24:BM24" si="483">AT45/AS7</f>
        <v>#DIV/0!</v>
      </c>
      <c r="AU24" s="91" t="e">
        <f t="shared" si="483"/>
        <v>#DIV/0!</v>
      </c>
      <c r="AV24" s="91" t="e">
        <f t="shared" si="483"/>
        <v>#DIV/0!</v>
      </c>
      <c r="AW24" s="91" t="e">
        <f t="shared" si="483"/>
        <v>#DIV/0!</v>
      </c>
      <c r="AX24" s="91" t="e">
        <f t="shared" si="483"/>
        <v>#DIV/0!</v>
      </c>
      <c r="AY24" s="91" t="e">
        <f t="shared" si="483"/>
        <v>#DIV/0!</v>
      </c>
      <c r="AZ24" s="91" t="e">
        <f t="shared" si="483"/>
        <v>#DIV/0!</v>
      </c>
      <c r="BA24" s="91" t="e">
        <f t="shared" si="483"/>
        <v>#DIV/0!</v>
      </c>
      <c r="BB24" s="91" t="e">
        <f t="shared" si="483"/>
        <v>#DIV/0!</v>
      </c>
      <c r="BC24" s="91" t="e">
        <f t="shared" si="483"/>
        <v>#DIV/0!</v>
      </c>
      <c r="BD24" s="91" t="e">
        <f t="shared" si="483"/>
        <v>#DIV/0!</v>
      </c>
      <c r="BE24" s="91" t="e">
        <f t="shared" si="483"/>
        <v>#DIV/0!</v>
      </c>
      <c r="BF24" s="91" t="e">
        <f t="shared" si="483"/>
        <v>#DIV/0!</v>
      </c>
      <c r="BG24" s="91" t="e">
        <f t="shared" si="483"/>
        <v>#DIV/0!</v>
      </c>
      <c r="BH24" s="91" t="e">
        <f t="shared" si="483"/>
        <v>#DIV/0!</v>
      </c>
      <c r="BI24" s="91" t="e">
        <f t="shared" si="483"/>
        <v>#DIV/0!</v>
      </c>
      <c r="BJ24" s="91" t="e">
        <f t="shared" si="483"/>
        <v>#DIV/0!</v>
      </c>
      <c r="BK24" s="91" t="e">
        <f t="shared" si="483"/>
        <v>#DIV/0!</v>
      </c>
      <c r="BL24" s="91" t="e">
        <f t="shared" si="483"/>
        <v>#DIV/0!</v>
      </c>
      <c r="BM24" s="91" t="e">
        <f t="shared" si="483"/>
        <v>#DIV/0!</v>
      </c>
      <c r="BN24" s="91" t="e">
        <f t="shared" ref="BN24:CO24" si="484">BN45/BM7</f>
        <v>#DIV/0!</v>
      </c>
      <c r="BO24" s="91" t="e">
        <f t="shared" si="484"/>
        <v>#DIV/0!</v>
      </c>
      <c r="BP24" s="91" t="e">
        <f t="shared" si="484"/>
        <v>#DIV/0!</v>
      </c>
      <c r="BQ24" s="91" t="e">
        <f t="shared" si="484"/>
        <v>#DIV/0!</v>
      </c>
      <c r="BR24" s="91" t="e">
        <f t="shared" si="484"/>
        <v>#DIV/0!</v>
      </c>
      <c r="BS24" s="91" t="e">
        <f t="shared" si="484"/>
        <v>#DIV/0!</v>
      </c>
      <c r="BT24" s="91" t="e">
        <f t="shared" si="484"/>
        <v>#DIV/0!</v>
      </c>
      <c r="BU24" s="91">
        <f t="shared" si="484"/>
        <v>6.0357407800837983E-3</v>
      </c>
      <c r="BV24" s="91">
        <f t="shared" si="484"/>
        <v>2.8580967122349265E-3</v>
      </c>
      <c r="BW24" s="91">
        <f t="shared" si="484"/>
        <v>3.4513133639562919E-3</v>
      </c>
      <c r="BX24" s="91">
        <f t="shared" si="484"/>
        <v>3.4343019154485662E-3</v>
      </c>
      <c r="BY24" s="91">
        <f t="shared" si="484"/>
        <v>3.8391250448401261E-3</v>
      </c>
      <c r="BZ24" s="92">
        <f t="shared" si="484"/>
        <v>4.3958090238773104E-3</v>
      </c>
      <c r="CA24" s="92">
        <f t="shared" si="484"/>
        <v>4.38677462188569E-3</v>
      </c>
      <c r="CB24" s="92">
        <f t="shared" si="484"/>
        <v>4.262510761405088E-3</v>
      </c>
      <c r="CC24" s="92">
        <f t="shared" si="484"/>
        <v>4.2295698832473241E-3</v>
      </c>
      <c r="CD24" s="92">
        <f t="shared" si="484"/>
        <v>4.3186660726038531E-3</v>
      </c>
      <c r="CE24" s="92">
        <f t="shared" si="484"/>
        <v>4.2993803347854877E-3</v>
      </c>
      <c r="CF24" s="92">
        <f t="shared" si="484"/>
        <v>4.2775317630104363E-3</v>
      </c>
      <c r="CG24" s="92">
        <f t="shared" si="484"/>
        <v>4.2812870134117751E-3</v>
      </c>
      <c r="CH24" s="92">
        <f t="shared" si="484"/>
        <v>4.2942162959528881E-3</v>
      </c>
      <c r="CI24" s="92">
        <f t="shared" si="484"/>
        <v>4.2881038517901451E-3</v>
      </c>
      <c r="CJ24" s="92">
        <f t="shared" si="484"/>
        <v>4.2852847310413085E-3</v>
      </c>
      <c r="CK24" s="92">
        <f t="shared" si="484"/>
        <v>4.2872229730490262E-3</v>
      </c>
      <c r="CL24" s="92">
        <f t="shared" si="484"/>
        <v>4.2887069629583413E-3</v>
      </c>
      <c r="CM24" s="92">
        <f t="shared" si="484"/>
        <v>4.2873296297097048E-3</v>
      </c>
      <c r="CN24" s="92">
        <f t="shared" si="484"/>
        <v>4.2871360741895959E-3</v>
      </c>
      <c r="CO24" s="92">
        <f t="shared" si="484"/>
        <v>4.2875989099766696E-3</v>
      </c>
    </row>
    <row r="25" spans="1:98" s="30" customFormat="1" x14ac:dyDescent="0.2">
      <c r="A25" s="32" t="s">
        <v>14</v>
      </c>
      <c r="B25" s="32"/>
      <c r="C25" s="32"/>
      <c r="D25" s="28" t="e">
        <f t="shared" ref="D25:O25" si="485">D23-D24</f>
        <v>#DIV/0!</v>
      </c>
      <c r="E25" s="28" t="e">
        <f t="shared" si="485"/>
        <v>#DIV/0!</v>
      </c>
      <c r="F25" s="28" t="e">
        <f t="shared" si="485"/>
        <v>#DIV/0!</v>
      </c>
      <c r="G25" s="28" t="e">
        <f t="shared" si="485"/>
        <v>#DIV/0!</v>
      </c>
      <c r="H25" s="28" t="e">
        <f t="shared" si="485"/>
        <v>#DIV/0!</v>
      </c>
      <c r="I25" s="28" t="e">
        <f t="shared" si="485"/>
        <v>#DIV/0!</v>
      </c>
      <c r="J25" s="28">
        <f t="shared" si="485"/>
        <v>-0.18319028796982115</v>
      </c>
      <c r="K25" s="28">
        <f t="shared" si="485"/>
        <v>6.9977887232254815E-2</v>
      </c>
      <c r="L25" s="28">
        <f t="shared" si="485"/>
        <v>4.3744679386004584E-2</v>
      </c>
      <c r="M25" s="28">
        <f t="shared" si="485"/>
        <v>5.2693915204958225E-2</v>
      </c>
      <c r="N25" s="28">
        <f t="shared" si="485"/>
        <v>3.9458546696360688E-2</v>
      </c>
      <c r="O25" s="28">
        <f t="shared" si="485"/>
        <v>3.5368193304654308E-2</v>
      </c>
      <c r="P25" s="28">
        <f>P23-P24</f>
        <v>3.371354532974058E-2</v>
      </c>
      <c r="Q25" s="28">
        <f t="shared" ref="Q25:T25" si="486">Q23-Q24</f>
        <v>3.4359910758488543E-2</v>
      </c>
      <c r="R25" s="28">
        <f t="shared" si="486"/>
        <v>3.29133500332515E-2</v>
      </c>
      <c r="S25" s="28">
        <f t="shared" si="486"/>
        <v>3.4477196668606047E-2</v>
      </c>
      <c r="T25" s="28">
        <f t="shared" si="486"/>
        <v>3.17069207604668E-2</v>
      </c>
      <c r="U25" s="28">
        <f t="shared" ref="U25:W25" si="487">U23-U24</f>
        <v>2.1362204321825742E-2</v>
      </c>
      <c r="V25" s="28">
        <f t="shared" si="487"/>
        <v>7.1108190275033182E-3</v>
      </c>
      <c r="W25" s="28">
        <f t="shared" si="487"/>
        <v>1.7344200582232877E-2</v>
      </c>
      <c r="X25" s="28">
        <f t="shared" ref="X25:Y25" si="488">X23-X24</f>
        <v>3.3402433390329507E-2</v>
      </c>
      <c r="Y25" s="28">
        <f t="shared" si="488"/>
        <v>3.9431770629657019E-2</v>
      </c>
      <c r="Z25" s="28" t="e">
        <f t="shared" ref="Z25:AB25" si="489">Z23-Z24</f>
        <v>#DIV/0!</v>
      </c>
      <c r="AA25" s="29">
        <f t="shared" si="489"/>
        <v>0.11780665381157651</v>
      </c>
      <c r="AB25" s="29">
        <f t="shared" si="489"/>
        <v>6.0466809110702444E-2</v>
      </c>
      <c r="AC25" s="29">
        <f t="shared" ref="AC25:AE25" si="490">AC23-AC24</f>
        <v>5.3608989243406582E-2</v>
      </c>
      <c r="AD25" s="29">
        <f t="shared" si="490"/>
        <v>5.3492920116884585E-2</v>
      </c>
      <c r="AE25" s="29">
        <f t="shared" si="490"/>
        <v>5.3431420048526267E-2</v>
      </c>
      <c r="AG25" s="58"/>
      <c r="AH25" s="28"/>
      <c r="AI25" s="28" t="e">
        <f t="shared" ref="AI25" si="491">AI23-AI24</f>
        <v>#DIV/0!</v>
      </c>
      <c r="AJ25" s="28" t="e">
        <f t="shared" ref="AJ25:AS25" si="492">AJ23-AJ24</f>
        <v>#DIV/0!</v>
      </c>
      <c r="AK25" s="28" t="e">
        <f t="shared" si="492"/>
        <v>#DIV/0!</v>
      </c>
      <c r="AL25" s="28" t="e">
        <f t="shared" si="492"/>
        <v>#DIV/0!</v>
      </c>
      <c r="AM25" s="28" t="e">
        <f t="shared" si="492"/>
        <v>#DIV/0!</v>
      </c>
      <c r="AN25" s="28" t="e">
        <f t="shared" si="492"/>
        <v>#DIV/0!</v>
      </c>
      <c r="AO25" s="28" t="e">
        <f t="shared" si="492"/>
        <v>#DIV/0!</v>
      </c>
      <c r="AP25" s="28" t="e">
        <f t="shared" si="492"/>
        <v>#DIV/0!</v>
      </c>
      <c r="AQ25" s="28" t="e">
        <f t="shared" si="492"/>
        <v>#DIV/0!</v>
      </c>
      <c r="AR25" s="28" t="e">
        <f t="shared" si="492"/>
        <v>#DIV/0!</v>
      </c>
      <c r="AS25" s="28" t="e">
        <f t="shared" si="492"/>
        <v>#DIV/0!</v>
      </c>
      <c r="AT25" s="28" t="e">
        <f t="shared" ref="AT25:AW25" si="493">AT23-AT24</f>
        <v>#DIV/0!</v>
      </c>
      <c r="AU25" s="28" t="e">
        <f t="shared" si="493"/>
        <v>#DIV/0!</v>
      </c>
      <c r="AV25" s="28" t="e">
        <f t="shared" si="493"/>
        <v>#DIV/0!</v>
      </c>
      <c r="AW25" s="28" t="e">
        <f t="shared" si="493"/>
        <v>#DIV/0!</v>
      </c>
      <c r="AX25" s="28" t="e">
        <f t="shared" ref="AX25" si="494">AX23-AX24</f>
        <v>#DIV/0!</v>
      </c>
      <c r="AY25" s="28" t="e">
        <f t="shared" ref="AY25" si="495">AY23-AY24</f>
        <v>#DIV/0!</v>
      </c>
      <c r="AZ25" s="28" t="e">
        <f t="shared" ref="AZ25:BA25" si="496">AZ23-AZ24</f>
        <v>#DIV/0!</v>
      </c>
      <c r="BA25" s="28" t="e">
        <f t="shared" si="496"/>
        <v>#DIV/0!</v>
      </c>
      <c r="BB25" s="28" t="e">
        <f t="shared" ref="BB25:BF25" si="497">BB23-BB24</f>
        <v>#DIV/0!</v>
      </c>
      <c r="BC25" s="28" t="e">
        <f t="shared" si="497"/>
        <v>#DIV/0!</v>
      </c>
      <c r="BD25" s="28" t="e">
        <f t="shared" si="497"/>
        <v>#DIV/0!</v>
      </c>
      <c r="BE25" s="28" t="e">
        <f t="shared" si="497"/>
        <v>#DIV/0!</v>
      </c>
      <c r="BF25" s="28" t="e">
        <f t="shared" si="497"/>
        <v>#DIV/0!</v>
      </c>
      <c r="BG25" s="28" t="e">
        <f t="shared" ref="BG25:BH25" si="498">BG23-BG24</f>
        <v>#DIV/0!</v>
      </c>
      <c r="BH25" s="28" t="e">
        <f t="shared" si="498"/>
        <v>#DIV/0!</v>
      </c>
      <c r="BI25" s="28" t="e">
        <f t="shared" ref="BI25:BJ25" si="499">BI23-BI24</f>
        <v>#DIV/0!</v>
      </c>
      <c r="BJ25" s="28" t="e">
        <f t="shared" si="499"/>
        <v>#DIV/0!</v>
      </c>
      <c r="BK25" s="28" t="e">
        <f t="shared" ref="BK25:BR25" si="500">BK23-BK24</f>
        <v>#DIV/0!</v>
      </c>
      <c r="BL25" s="28" t="e">
        <f t="shared" si="500"/>
        <v>#DIV/0!</v>
      </c>
      <c r="BM25" s="28" t="e">
        <f t="shared" si="500"/>
        <v>#DIV/0!</v>
      </c>
      <c r="BN25" s="28" t="e">
        <f t="shared" si="500"/>
        <v>#DIV/0!</v>
      </c>
      <c r="BO25" s="28" t="e">
        <f t="shared" si="500"/>
        <v>#DIV/0!</v>
      </c>
      <c r="BP25" s="28" t="e">
        <f t="shared" si="500"/>
        <v>#DIV/0!</v>
      </c>
      <c r="BQ25" s="28" t="e">
        <f t="shared" si="500"/>
        <v>#DIV/0!</v>
      </c>
      <c r="BR25" s="28" t="e">
        <f t="shared" si="500"/>
        <v>#DIV/0!</v>
      </c>
      <c r="BS25" s="28" t="e">
        <f t="shared" ref="BS25:BT25" si="501">BS23-BS24</f>
        <v>#DIV/0!</v>
      </c>
      <c r="BT25" s="28" t="e">
        <f t="shared" si="501"/>
        <v>#DIV/0!</v>
      </c>
      <c r="BU25" s="28">
        <f t="shared" ref="BU25" si="502">BU23-BU24</f>
        <v>1.8490333411116514E-2</v>
      </c>
      <c r="BV25" s="28">
        <f>BV23-BV24</f>
        <v>9.8455188321345047E-3</v>
      </c>
      <c r="BW25" s="28">
        <f t="shared" ref="BW25:BX25" si="503">BW23-BW24</f>
        <v>9.9929959651602913E-3</v>
      </c>
      <c r="BX25" s="28">
        <f t="shared" si="503"/>
        <v>1.0218793915699307E-2</v>
      </c>
      <c r="BY25" s="28">
        <f t="shared" ref="BY25" si="504">BY23-BY24</f>
        <v>1.1057740823702984E-2</v>
      </c>
      <c r="BZ25" s="29">
        <f t="shared" ref="BZ25:CC25" si="505">BZ23-BZ24</f>
        <v>1.2511148760266193E-2</v>
      </c>
      <c r="CA25" s="29">
        <f t="shared" si="505"/>
        <v>1.2485435462290034E-2</v>
      </c>
      <c r="CB25" s="29">
        <f t="shared" si="505"/>
        <v>1.2131761397845251E-2</v>
      </c>
      <c r="CC25" s="29">
        <f t="shared" si="505"/>
        <v>1.2038006590780841E-2</v>
      </c>
      <c r="CD25" s="29">
        <f t="shared" ref="CD25:CO25" si="506">CD23-CD24</f>
        <v>1.2291588052795576E-2</v>
      </c>
      <c r="CE25" s="29">
        <f t="shared" si="506"/>
        <v>1.2236697875927923E-2</v>
      </c>
      <c r="CF25" s="29">
        <f t="shared" si="506"/>
        <v>1.2174513479337387E-2</v>
      </c>
      <c r="CG25" s="29">
        <f t="shared" si="506"/>
        <v>1.2185201499710434E-2</v>
      </c>
      <c r="CH25" s="29">
        <f t="shared" si="506"/>
        <v>1.2222000226942836E-2</v>
      </c>
      <c r="CI25" s="29">
        <f t="shared" si="506"/>
        <v>1.2204603270479638E-2</v>
      </c>
      <c r="CJ25" s="29">
        <f t="shared" si="506"/>
        <v>1.2196579619117576E-2</v>
      </c>
      <c r="CK25" s="29">
        <f t="shared" si="506"/>
        <v>1.2202096154062612E-2</v>
      </c>
      <c r="CL25" s="29">
        <f t="shared" si="506"/>
        <v>1.2206319817650666E-2</v>
      </c>
      <c r="CM25" s="29">
        <f t="shared" si="506"/>
        <v>1.2202399715327626E-2</v>
      </c>
      <c r="CN25" s="29">
        <f t="shared" si="506"/>
        <v>1.2201848826539619E-2</v>
      </c>
      <c r="CO25" s="29">
        <f t="shared" si="506"/>
        <v>1.2203166128395129E-2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4" t="s">
        <v>166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4" t="s">
        <v>167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8" customFormat="1" x14ac:dyDescent="0.2">
      <c r="A29" s="38" t="s">
        <v>7</v>
      </c>
      <c r="B29" s="38">
        <f>+'Annual Raw'!C14</f>
        <v>0</v>
      </c>
      <c r="C29" s="38">
        <f>+'Annual Raw'!D14</f>
        <v>0</v>
      </c>
      <c r="D29" s="38">
        <f>+'Annual Raw'!E14</f>
        <v>0</v>
      </c>
      <c r="E29" s="38">
        <f>+'Annual Raw'!F14</f>
        <v>0</v>
      </c>
      <c r="F29" s="38">
        <f>+'Annual Raw'!G14</f>
        <v>0</v>
      </c>
      <c r="G29" s="38">
        <f>+'Annual Raw'!H14</f>
        <v>0</v>
      </c>
      <c r="H29" s="38">
        <f>+'Annual Raw'!I14</f>
        <v>0</v>
      </c>
      <c r="I29" s="38">
        <f>+'Annual Raw'!J14</f>
        <v>0.48229759999999999</v>
      </c>
      <c r="J29" s="38">
        <f>+'Annual Raw'!K14</f>
        <v>23.3930015</v>
      </c>
      <c r="K29" s="38">
        <f>+'Annual Raw'!L14</f>
        <v>97.617619199999993</v>
      </c>
      <c r="L29" s="38">
        <f>+'Annual Raw'!M14</f>
        <v>178.45517369999999</v>
      </c>
      <c r="M29" s="38">
        <f>+'Annual Raw'!N14</f>
        <v>431.4</v>
      </c>
      <c r="N29" s="38">
        <f>+'Annual Raw'!O14</f>
        <v>963.54</v>
      </c>
      <c r="O29" s="38">
        <f>+'Annual Raw'!P14</f>
        <v>1686.7</v>
      </c>
      <c r="P29" s="38">
        <f>+'Annual Raw'!Q14</f>
        <v>2521.63</v>
      </c>
      <c r="Q29" s="38">
        <f>+'Annual Raw'!R14</f>
        <v>3297.77</v>
      </c>
      <c r="R29" s="38">
        <f>+'Annual Raw'!S14</f>
        <v>5711.35</v>
      </c>
      <c r="S29" s="38">
        <f>+'Annual Raw'!T14</f>
        <v>7027.12</v>
      </c>
      <c r="T29" s="38">
        <f>+'Annual Raw'!U14</f>
        <v>8724.81</v>
      </c>
      <c r="U29" s="38">
        <f>+'Annual Raw'!V14</f>
        <v>10756.47</v>
      </c>
      <c r="V29" s="38">
        <f>+'Annual Raw'!W14</f>
        <v>10944.78</v>
      </c>
      <c r="W29" s="38">
        <f>+'Annual Raw'!X14</f>
        <v>11306.29</v>
      </c>
      <c r="X29" s="38">
        <f>+'Annual Raw'!Y14</f>
        <v>12402.88</v>
      </c>
      <c r="Y29" s="38">
        <f>+'Annual Raw'!Z14</f>
        <v>14173.07</v>
      </c>
      <c r="Z29" s="38">
        <f>+'Annual Raw'!AA14</f>
        <v>16300.28</v>
      </c>
      <c r="AA29" s="38">
        <f>+'Annual Raw'!AB14</f>
        <v>18429.669999999998</v>
      </c>
      <c r="AB29" s="39">
        <f>SUM(BZ29:CC29)</f>
        <v>23951.083295687175</v>
      </c>
      <c r="AC29" s="39">
        <f>SUM(CD29:CG29)</f>
        <v>27334.819876513313</v>
      </c>
      <c r="AD29" s="39">
        <f>SUM(CH29:CK29)</f>
        <v>30859.373160028314</v>
      </c>
      <c r="AE29" s="39">
        <f>SUM(CL29:CO29)</f>
        <v>34813.635388204268</v>
      </c>
      <c r="AG29" s="60"/>
      <c r="AH29" s="38">
        <f>+'QTR Raw'!D13</f>
        <v>0</v>
      </c>
      <c r="AI29" s="38">
        <f>+'QTR Raw'!E13</f>
        <v>0</v>
      </c>
      <c r="AJ29" s="38">
        <f>+'QTR Raw'!F13</f>
        <v>0</v>
      </c>
      <c r="AK29" s="38">
        <f>+'QTR Raw'!G13</f>
        <v>0</v>
      </c>
      <c r="AL29" s="38">
        <f>+'QTR Raw'!H13</f>
        <v>0</v>
      </c>
      <c r="AM29" s="38">
        <f>+'QTR Raw'!I13</f>
        <v>0</v>
      </c>
      <c r="AN29" s="38">
        <f>+'QTR Raw'!J13</f>
        <v>0</v>
      </c>
      <c r="AO29" s="38">
        <f>+'QTR Raw'!K13</f>
        <v>0</v>
      </c>
      <c r="AP29" s="38">
        <f>+'QTR Raw'!L13</f>
        <v>0</v>
      </c>
      <c r="AQ29" s="38">
        <f>+'QTR Raw'!M13</f>
        <v>0</v>
      </c>
      <c r="AR29" s="38">
        <f>+'QTR Raw'!N13</f>
        <v>0</v>
      </c>
      <c r="AS29" s="38">
        <f>+'QTR Raw'!O13</f>
        <v>0</v>
      </c>
      <c r="AT29" s="38">
        <f>+'QTR Raw'!P13</f>
        <v>0</v>
      </c>
      <c r="AU29" s="38">
        <f>+'QTR Raw'!Q13</f>
        <v>0</v>
      </c>
      <c r="AV29" s="38">
        <f>+'QTR Raw'!R13</f>
        <v>0</v>
      </c>
      <c r="AW29" s="38">
        <f>+'QTR Raw'!S13</f>
        <v>0</v>
      </c>
      <c r="AX29" s="38">
        <f>+'QTR Raw'!T13</f>
        <v>0</v>
      </c>
      <c r="AY29" s="38">
        <f>+'QTR Raw'!U13</f>
        <v>0</v>
      </c>
      <c r="AZ29" s="38">
        <f>+'QTR Raw'!V13</f>
        <v>0</v>
      </c>
      <c r="BA29" s="38">
        <f>+'QTR Raw'!W13</f>
        <v>0</v>
      </c>
      <c r="BB29" s="38">
        <f>+'QTR Raw'!X13</f>
        <v>0</v>
      </c>
      <c r="BC29" s="38">
        <f>+'QTR Raw'!Y13</f>
        <v>0</v>
      </c>
      <c r="BD29" s="38">
        <f>+'QTR Raw'!Z13</f>
        <v>0</v>
      </c>
      <c r="BE29" s="38">
        <f>+'QTR Raw'!AA13</f>
        <v>0</v>
      </c>
      <c r="BF29" s="38">
        <f>+'QTR Raw'!AB13</f>
        <v>0</v>
      </c>
      <c r="BG29" s="38">
        <f>+'QTR Raw'!AC13</f>
        <v>0</v>
      </c>
      <c r="BH29" s="38">
        <f>+'QTR Raw'!AD13</f>
        <v>0</v>
      </c>
      <c r="BI29" s="38">
        <f>+'QTR Raw'!AE13</f>
        <v>0</v>
      </c>
      <c r="BJ29" s="38">
        <f>+'QTR Raw'!AF13</f>
        <v>0</v>
      </c>
      <c r="BK29" s="38">
        <f>+'QTR Raw'!AG13</f>
        <v>0</v>
      </c>
      <c r="BL29" s="38">
        <f>+'QTR Raw'!AH13</f>
        <v>0</v>
      </c>
      <c r="BM29" s="38">
        <f>+'QTR Raw'!AI13</f>
        <v>0</v>
      </c>
      <c r="BN29" s="38">
        <f>+'QTR Raw'!AJ13</f>
        <v>0</v>
      </c>
      <c r="BO29" s="38">
        <f>+'QTR Raw'!AK13</f>
        <v>0</v>
      </c>
      <c r="BP29" s="38">
        <f>+'QTR Raw'!AL13</f>
        <v>0</v>
      </c>
      <c r="BQ29" s="38">
        <f>+'QTR Raw'!AM13</f>
        <v>0</v>
      </c>
      <c r="BR29" s="38">
        <f>+'QTR Raw'!AN13</f>
        <v>3883.8</v>
      </c>
      <c r="BS29" s="38">
        <f>+'QTR Raw'!AO13</f>
        <v>4006.8</v>
      </c>
      <c r="BT29" s="38">
        <f>+'QTR Raw'!AP13</f>
        <v>4143.6000000000004</v>
      </c>
      <c r="BU29" s="38">
        <f>+'QTR Raw'!AQ13</f>
        <v>4266.1000000000004</v>
      </c>
      <c r="BV29" s="38">
        <f>+'QTR Raw'!AR13</f>
        <v>4465.3999999999996</v>
      </c>
      <c r="BW29" s="38">
        <f>+'QTR Raw'!AS13</f>
        <v>4545.3999999999996</v>
      </c>
      <c r="BX29" s="38">
        <f>+'QTR Raw'!AT13</f>
        <v>4673.5</v>
      </c>
      <c r="BY29" s="38">
        <f>+'QTR Raw'!AU13</f>
        <v>4745.3999999999996</v>
      </c>
      <c r="BZ29" s="39">
        <f t="shared" ref="BZ29:CC29" si="507">BZ14*BY7</f>
        <v>5571.9606977853809</v>
      </c>
      <c r="CA29" s="39">
        <f t="shared" si="507"/>
        <v>6018.393294250036</v>
      </c>
      <c r="CB29" s="39">
        <f t="shared" si="507"/>
        <v>6105.5031667709673</v>
      </c>
      <c r="CC29" s="39">
        <f t="shared" si="507"/>
        <v>6255.2261368807904</v>
      </c>
      <c r="CD29" s="39">
        <f t="shared" ref="CD29" si="508">CD14*CC7</f>
        <v>6547.3881921472766</v>
      </c>
      <c r="CE29" s="39">
        <f t="shared" ref="CE29" si="509">CE14*CD7</f>
        <v>6750.9898686765873</v>
      </c>
      <c r="CF29" s="39">
        <f t="shared" ref="CF29" si="510">CF14*CE7</f>
        <v>6922.2155047444739</v>
      </c>
      <c r="CG29" s="39">
        <f t="shared" ref="CG29" si="511">CG14*CF7</f>
        <v>7114.2263109449759</v>
      </c>
      <c r="CH29" s="39">
        <f t="shared" ref="CH29" si="512">CH14*CG7</f>
        <v>7374.4899727376214</v>
      </c>
      <c r="CI29" s="39">
        <f t="shared" ref="CI29" si="513">CI14*CH7</f>
        <v>7620.4592719764205</v>
      </c>
      <c r="CJ29" s="39">
        <f t="shared" ref="CJ29" si="514">CJ14*CI7</f>
        <v>7826.1500206473538</v>
      </c>
      <c r="CK29" s="39">
        <f t="shared" ref="CK29" si="515">CK14*CJ7</f>
        <v>8038.2738946669178</v>
      </c>
      <c r="CL29" s="39">
        <f t="shared" ref="CL29" si="516">CL14*CK7</f>
        <v>8318.3284446751313</v>
      </c>
      <c r="CM29" s="39">
        <f t="shared" ref="CM29" si="517">CM14*CL7</f>
        <v>8598.6519865056453</v>
      </c>
      <c r="CN29" s="39">
        <f t="shared" ref="CN29" si="518">CN14*CM7</f>
        <v>8830.5579017525251</v>
      </c>
      <c r="CO29" s="39">
        <f t="shared" ref="CO29" si="519">CO14*CN7</f>
        <v>9066.0970552709696</v>
      </c>
      <c r="CT29" s="38">
        <v>18429.699999999997</v>
      </c>
    </row>
    <row r="30" spans="1:98" s="38" customFormat="1" x14ac:dyDescent="0.2">
      <c r="A30" s="38" t="s">
        <v>9</v>
      </c>
      <c r="B30" s="38">
        <f>+'Annual Raw'!C29</f>
        <v>0</v>
      </c>
      <c r="C30" s="38">
        <f>+'Annual Raw'!D29</f>
        <v>0</v>
      </c>
      <c r="D30" s="38">
        <f>+'Annual Raw'!E29</f>
        <v>0</v>
      </c>
      <c r="E30" s="38">
        <f>+'Annual Raw'!F29</f>
        <v>0</v>
      </c>
      <c r="F30" s="38">
        <f>+'Annual Raw'!G29</f>
        <v>0</v>
      </c>
      <c r="G30" s="38">
        <f>+'Annual Raw'!H29</f>
        <v>0</v>
      </c>
      <c r="H30" s="38">
        <f>+'Annual Raw'!I29</f>
        <v>0</v>
      </c>
      <c r="I30" s="38">
        <f>+'Annual Raw'!J29</f>
        <v>0</v>
      </c>
      <c r="J30" s="38">
        <f>+'Annual Raw'!K29</f>
        <v>1.5725804000000001</v>
      </c>
      <c r="K30" s="38">
        <f>+'Annual Raw'!L29</f>
        <v>23.147796899999999</v>
      </c>
      <c r="L30" s="38">
        <f>+'Annual Raw'!M29</f>
        <v>46.904532699999997</v>
      </c>
      <c r="M30" s="38">
        <f>+'Annual Raw'!N29</f>
        <v>169.96</v>
      </c>
      <c r="N30" s="38">
        <f>+'Annual Raw'!O29</f>
        <v>513.19000000000005</v>
      </c>
      <c r="O30" s="38">
        <f>+'Annual Raw'!P29</f>
        <v>890.82</v>
      </c>
      <c r="P30" s="38">
        <f>+'Annual Raw'!Q29</f>
        <v>1347.28</v>
      </c>
      <c r="Q30" s="38">
        <f>+'Annual Raw'!R29</f>
        <v>1571.53</v>
      </c>
      <c r="R30" s="38">
        <f>+'Annual Raw'!S29</f>
        <v>2049.92</v>
      </c>
      <c r="S30" s="38">
        <f>+'Annual Raw'!T29</f>
        <v>2449.0700000000002</v>
      </c>
      <c r="T30" s="38">
        <f>+'Annual Raw'!U29</f>
        <v>3333.33</v>
      </c>
      <c r="U30" s="38">
        <f>+'Annual Raw'!V29</f>
        <v>4081.42</v>
      </c>
      <c r="V30" s="38">
        <f>+'Annual Raw'!W29</f>
        <v>3908.4</v>
      </c>
      <c r="W30" s="38">
        <f>+'Annual Raw'!X29</f>
        <v>3345.18</v>
      </c>
      <c r="X30" s="38">
        <f>+'Annual Raw'!Y29</f>
        <v>3533.15</v>
      </c>
      <c r="Y30" s="38">
        <f>+'Annual Raw'!Z29</f>
        <v>4906.7299999999996</v>
      </c>
      <c r="Z30" s="38">
        <f>+'Annual Raw'!AA29</f>
        <v>6433.36</v>
      </c>
      <c r="AA30" s="38">
        <f>+'Annual Raw'!AB29</f>
        <v>6856.35</v>
      </c>
      <c r="AB30" s="39">
        <f>SUM(BZ30:CC30)</f>
        <v>8768.7982978064938</v>
      </c>
      <c r="AC30" s="39">
        <f>SUM(CD30:CG30)</f>
        <v>9985.6244536597696</v>
      </c>
      <c r="AD30" s="39">
        <f>SUM(CH30:CK30)</f>
        <v>11268.533436324655</v>
      </c>
      <c r="AE30" s="39">
        <f>SUM(CL30:CO30)</f>
        <v>12711.682450620736</v>
      </c>
      <c r="AG30" s="60"/>
      <c r="AH30" s="38">
        <f>+'QTR Raw'!D14+'QTR Raw'!D33</f>
        <v>0</v>
      </c>
      <c r="AI30" s="38">
        <f>+'QTR Raw'!E14+'QTR Raw'!E33</f>
        <v>0</v>
      </c>
      <c r="AJ30" s="38">
        <f>+'QTR Raw'!F14+'QTR Raw'!F33</f>
        <v>0</v>
      </c>
      <c r="AK30" s="38">
        <f>+'QTR Raw'!G14+'QTR Raw'!G33</f>
        <v>0</v>
      </c>
      <c r="AL30" s="38">
        <f>+'QTR Raw'!H14+'QTR Raw'!H33</f>
        <v>0</v>
      </c>
      <c r="AM30" s="38">
        <f>+'QTR Raw'!I14+'QTR Raw'!I33</f>
        <v>0</v>
      </c>
      <c r="AN30" s="38">
        <f>+'QTR Raw'!J14+'QTR Raw'!J33</f>
        <v>0</v>
      </c>
      <c r="AO30" s="38">
        <f>+'QTR Raw'!K14+'QTR Raw'!K33</f>
        <v>0</v>
      </c>
      <c r="AP30" s="38">
        <f>+'QTR Raw'!L14+'QTR Raw'!L33</f>
        <v>0</v>
      </c>
      <c r="AQ30" s="38">
        <f>+'QTR Raw'!M14+'QTR Raw'!M33</f>
        <v>0</v>
      </c>
      <c r="AR30" s="38">
        <f>+'QTR Raw'!N14+'QTR Raw'!N33</f>
        <v>0</v>
      </c>
      <c r="AS30" s="38">
        <f>+'QTR Raw'!O14+'QTR Raw'!O33</f>
        <v>0</v>
      </c>
      <c r="AT30" s="38">
        <f>+'QTR Raw'!P14+'QTR Raw'!P33</f>
        <v>0</v>
      </c>
      <c r="AU30" s="38">
        <f>+'QTR Raw'!Q14+'QTR Raw'!Q33</f>
        <v>0</v>
      </c>
      <c r="AV30" s="38">
        <f>+'QTR Raw'!R14+'QTR Raw'!R33</f>
        <v>0</v>
      </c>
      <c r="AW30" s="38">
        <f>+'QTR Raw'!S14+'QTR Raw'!S33</f>
        <v>0</v>
      </c>
      <c r="AX30" s="38">
        <f>+'QTR Raw'!T14+'QTR Raw'!T33</f>
        <v>0</v>
      </c>
      <c r="AY30" s="38">
        <f>+'QTR Raw'!U14+'QTR Raw'!U33</f>
        <v>0</v>
      </c>
      <c r="AZ30" s="38">
        <f>+'QTR Raw'!V14+'QTR Raw'!V33</f>
        <v>0</v>
      </c>
      <c r="BA30" s="38">
        <f>+'QTR Raw'!W14+'QTR Raw'!W33</f>
        <v>0</v>
      </c>
      <c r="BB30" s="38">
        <f>+'QTR Raw'!X14+'QTR Raw'!X33</f>
        <v>0</v>
      </c>
      <c r="BC30" s="38">
        <f>+'QTR Raw'!Y14+'QTR Raw'!Y33</f>
        <v>0</v>
      </c>
      <c r="BD30" s="38">
        <f>+'QTR Raw'!Z14+'QTR Raw'!Z33</f>
        <v>0</v>
      </c>
      <c r="BE30" s="38">
        <f>+'QTR Raw'!AA14+'QTR Raw'!AA33</f>
        <v>0</v>
      </c>
      <c r="BF30" s="38">
        <f>+'QTR Raw'!AB14+'QTR Raw'!AB33</f>
        <v>0</v>
      </c>
      <c r="BG30" s="38">
        <f>+'QTR Raw'!AC14+'QTR Raw'!AC33</f>
        <v>0</v>
      </c>
      <c r="BH30" s="38">
        <f>+'QTR Raw'!AD14+'QTR Raw'!AD33</f>
        <v>0</v>
      </c>
      <c r="BI30" s="38">
        <f>+'QTR Raw'!AE14+'QTR Raw'!AE33</f>
        <v>0</v>
      </c>
      <c r="BJ30" s="38">
        <f>+'QTR Raw'!AF14+'QTR Raw'!AF33</f>
        <v>0</v>
      </c>
      <c r="BK30" s="38">
        <f>+'QTR Raw'!AG14+'QTR Raw'!AG33</f>
        <v>0</v>
      </c>
      <c r="BL30" s="38">
        <f>+'QTR Raw'!AH14+'QTR Raw'!AH33</f>
        <v>0</v>
      </c>
      <c r="BM30" s="38">
        <f>+'QTR Raw'!AI14+'QTR Raw'!AI33</f>
        <v>0</v>
      </c>
      <c r="BN30" s="38">
        <f>+'QTR Raw'!AJ14+'QTR Raw'!AJ33</f>
        <v>0</v>
      </c>
      <c r="BO30" s="38">
        <f>+'QTR Raw'!AK14+'QTR Raw'!AK33</f>
        <v>0</v>
      </c>
      <c r="BP30" s="38">
        <f>+'QTR Raw'!AL14+'QTR Raw'!AL33</f>
        <v>0</v>
      </c>
      <c r="BQ30" s="38">
        <f>+'QTR Raw'!AM14+'QTR Raw'!AM33</f>
        <v>0</v>
      </c>
      <c r="BR30" s="38">
        <f>+'QTR Raw'!AN14+'QTR Raw'!AN33</f>
        <v>1496.4</v>
      </c>
      <c r="BS30" s="38">
        <f>+'QTR Raw'!AO14+'QTR Raw'!AO33</f>
        <v>1598.5</v>
      </c>
      <c r="BT30" s="38">
        <f>+'QTR Raw'!AP14+'QTR Raw'!AP33</f>
        <v>1644.8</v>
      </c>
      <c r="BU30" s="38">
        <f>+'QTR Raw'!AQ14+'QTR Raw'!AQ33</f>
        <v>1650.5</v>
      </c>
      <c r="BV30" s="38">
        <f>+'QTR Raw'!AR14+'QTR Raw'!AR33</f>
        <v>1739.7</v>
      </c>
      <c r="BW30" s="38">
        <f>+'QTR Raw'!AS14+'QTR Raw'!AS33</f>
        <v>1694</v>
      </c>
      <c r="BX30" s="38">
        <f>+'QTR Raw'!AT14+'QTR Raw'!AT33</f>
        <v>1704</v>
      </c>
      <c r="BY30" s="38">
        <f>+'QTR Raw'!AU14+'QTR Raw'!AU33</f>
        <v>1682.5</v>
      </c>
      <c r="BZ30" s="39">
        <f t="shared" ref="BZ30:CC30" si="520">BZ15*BY7</f>
        <v>2066.2294689395853</v>
      </c>
      <c r="CA30" s="39">
        <f t="shared" si="520"/>
        <v>2202.3352833208955</v>
      </c>
      <c r="CB30" s="39">
        <f t="shared" si="520"/>
        <v>2223.2323733746084</v>
      </c>
      <c r="CC30" s="39">
        <f t="shared" si="520"/>
        <v>2277.0011721714027</v>
      </c>
      <c r="CD30" s="39">
        <f t="shared" ref="CD30" si="521">CD15*CC7</f>
        <v>2398.0034418081564</v>
      </c>
      <c r="CE30" s="39">
        <f t="shared" ref="CE30" si="522">CE15*CD7</f>
        <v>2464.7233250746931</v>
      </c>
      <c r="CF30" s="39">
        <f t="shared" ref="CF30" si="523">CF15*CE7</f>
        <v>2525.7610028643016</v>
      </c>
      <c r="CG30" s="39">
        <f t="shared" ref="CG30" si="524">CG15*CF7</f>
        <v>2597.1366839126194</v>
      </c>
      <c r="CH30" s="39">
        <f t="shared" ref="CH30" si="525">CH15*CG7</f>
        <v>2694.0645271742469</v>
      </c>
      <c r="CI30" s="39">
        <f t="shared" ref="CI30" si="526">CI15*CH7</f>
        <v>2782.140612397101</v>
      </c>
      <c r="CJ30" s="39">
        <f t="shared" ref="CJ30" si="527">CJ15*CI7</f>
        <v>2857.2313076618479</v>
      </c>
      <c r="CK30" s="39">
        <f t="shared" ref="CK30" si="528">CK15*CJ7</f>
        <v>2935.0969890914594</v>
      </c>
      <c r="CL30" s="39">
        <f t="shared" ref="CL30" si="529">CL15*CK7</f>
        <v>3037.5178019142163</v>
      </c>
      <c r="CM30" s="39">
        <f t="shared" ref="CM30" si="530">CM15*CL7</f>
        <v>3139.530989871284</v>
      </c>
      <c r="CN30" s="39">
        <f t="shared" ref="CN30" si="531">CN15*CM7</f>
        <v>3224.2719312752779</v>
      </c>
      <c r="CO30" s="39">
        <f t="shared" ref="CO30" si="532">CO15*CN7</f>
        <v>3310.3617275599577</v>
      </c>
      <c r="CT30" s="38">
        <v>6820.2</v>
      </c>
    </row>
    <row r="31" spans="1:98" s="40" customFormat="1" x14ac:dyDescent="0.2">
      <c r="A31" s="40" t="s">
        <v>8</v>
      </c>
      <c r="B31" s="40">
        <f t="shared" ref="B31" si="533">B29-B30</f>
        <v>0</v>
      </c>
      <c r="C31" s="40">
        <f t="shared" ref="C31:Z31" si="534">C29-C30</f>
        <v>0</v>
      </c>
      <c r="D31" s="40">
        <f t="shared" si="534"/>
        <v>0</v>
      </c>
      <c r="E31" s="40">
        <f t="shared" si="534"/>
        <v>0</v>
      </c>
      <c r="F31" s="40">
        <f t="shared" si="534"/>
        <v>0</v>
      </c>
      <c r="G31" s="40">
        <f t="shared" si="534"/>
        <v>0</v>
      </c>
      <c r="H31" s="40">
        <f t="shared" si="534"/>
        <v>0</v>
      </c>
      <c r="I31" s="40">
        <f t="shared" si="534"/>
        <v>0.48229759999999999</v>
      </c>
      <c r="J31" s="40">
        <f t="shared" si="534"/>
        <v>21.820421100000001</v>
      </c>
      <c r="K31" s="40">
        <f t="shared" si="534"/>
        <v>74.46982229999999</v>
      </c>
      <c r="L31" s="40">
        <f t="shared" si="534"/>
        <v>131.55064099999998</v>
      </c>
      <c r="M31" s="40">
        <f t="shared" si="534"/>
        <v>261.43999999999994</v>
      </c>
      <c r="N31" s="40">
        <f t="shared" si="534"/>
        <v>450.34999999999991</v>
      </c>
      <c r="O31" s="40">
        <f t="shared" si="534"/>
        <v>795.88</v>
      </c>
      <c r="P31" s="40">
        <f t="shared" si="534"/>
        <v>1174.3500000000001</v>
      </c>
      <c r="Q31" s="40">
        <f t="shared" si="534"/>
        <v>1726.24</v>
      </c>
      <c r="R31" s="40">
        <f t="shared" si="534"/>
        <v>3661.4300000000003</v>
      </c>
      <c r="S31" s="40">
        <f t="shared" si="534"/>
        <v>4578.0499999999993</v>
      </c>
      <c r="T31" s="40">
        <f t="shared" si="534"/>
        <v>5391.48</v>
      </c>
      <c r="U31" s="40">
        <f t="shared" si="534"/>
        <v>6675.0499999999993</v>
      </c>
      <c r="V31" s="40">
        <f t="shared" si="534"/>
        <v>7036.380000000001</v>
      </c>
      <c r="W31" s="40">
        <f t="shared" si="534"/>
        <v>7961.1100000000006</v>
      </c>
      <c r="X31" s="40">
        <f t="shared" si="534"/>
        <v>8869.73</v>
      </c>
      <c r="Y31" s="40">
        <f t="shared" si="534"/>
        <v>9266.34</v>
      </c>
      <c r="Z31" s="40">
        <f t="shared" si="534"/>
        <v>9866.9200000000019</v>
      </c>
      <c r="AA31" s="40">
        <f t="shared" ref="AA31" si="535">AA29-AA30</f>
        <v>11573.319999999998</v>
      </c>
      <c r="AB31" s="41">
        <f t="shared" ref="AB31" si="536">AB29-AB30</f>
        <v>15182.284997880681</v>
      </c>
      <c r="AC31" s="41">
        <f t="shared" ref="AC31" si="537">AC29-AC30</f>
        <v>17349.195422853543</v>
      </c>
      <c r="AD31" s="41">
        <f t="shared" ref="AD31" si="538">AD29-AD30</f>
        <v>19590.839723703659</v>
      </c>
      <c r="AE31" s="41">
        <f t="shared" ref="AE31" si="539">AE29-AE30</f>
        <v>22101.952937583534</v>
      </c>
      <c r="AG31" s="61"/>
      <c r="AH31" s="40">
        <f t="shared" ref="AH31:AU31" si="540">AH29-AH30</f>
        <v>0</v>
      </c>
      <c r="AI31" s="40">
        <f t="shared" si="540"/>
        <v>0</v>
      </c>
      <c r="AJ31" s="40">
        <f t="shared" si="540"/>
        <v>0</v>
      </c>
      <c r="AK31" s="40">
        <f t="shared" si="540"/>
        <v>0</v>
      </c>
      <c r="AL31" s="40">
        <f t="shared" si="540"/>
        <v>0</v>
      </c>
      <c r="AM31" s="40">
        <f t="shared" si="540"/>
        <v>0</v>
      </c>
      <c r="AN31" s="40">
        <f t="shared" si="540"/>
        <v>0</v>
      </c>
      <c r="AO31" s="40">
        <f t="shared" si="540"/>
        <v>0</v>
      </c>
      <c r="AP31" s="40">
        <f t="shared" si="540"/>
        <v>0</v>
      </c>
      <c r="AQ31" s="40">
        <f t="shared" si="540"/>
        <v>0</v>
      </c>
      <c r="AR31" s="40">
        <f t="shared" si="540"/>
        <v>0</v>
      </c>
      <c r="AS31" s="40">
        <f t="shared" si="540"/>
        <v>0</v>
      </c>
      <c r="AT31" s="40">
        <f t="shared" si="540"/>
        <v>0</v>
      </c>
      <c r="AU31" s="40">
        <f t="shared" si="540"/>
        <v>0</v>
      </c>
      <c r="AV31" s="40">
        <f t="shared" ref="AV31:BV31" si="541">AV29-AV30</f>
        <v>0</v>
      </c>
      <c r="AW31" s="40">
        <f t="shared" si="541"/>
        <v>0</v>
      </c>
      <c r="AX31" s="40">
        <f t="shared" si="541"/>
        <v>0</v>
      </c>
      <c r="AY31" s="40">
        <f t="shared" si="541"/>
        <v>0</v>
      </c>
      <c r="AZ31" s="40">
        <f t="shared" si="541"/>
        <v>0</v>
      </c>
      <c r="BA31" s="40">
        <f t="shared" si="541"/>
        <v>0</v>
      </c>
      <c r="BB31" s="40">
        <f t="shared" si="541"/>
        <v>0</v>
      </c>
      <c r="BC31" s="40">
        <f t="shared" si="541"/>
        <v>0</v>
      </c>
      <c r="BD31" s="40">
        <f t="shared" si="541"/>
        <v>0</v>
      </c>
      <c r="BE31" s="40">
        <f t="shared" si="541"/>
        <v>0</v>
      </c>
      <c r="BF31" s="40">
        <f t="shared" si="541"/>
        <v>0</v>
      </c>
      <c r="BG31" s="40">
        <f t="shared" si="541"/>
        <v>0</v>
      </c>
      <c r="BH31" s="40">
        <f t="shared" si="541"/>
        <v>0</v>
      </c>
      <c r="BI31" s="40">
        <f t="shared" si="541"/>
        <v>0</v>
      </c>
      <c r="BJ31" s="40">
        <f t="shared" si="541"/>
        <v>0</v>
      </c>
      <c r="BK31" s="40">
        <f t="shared" si="541"/>
        <v>0</v>
      </c>
      <c r="BL31" s="40">
        <f t="shared" si="541"/>
        <v>0</v>
      </c>
      <c r="BM31" s="40">
        <f t="shared" si="541"/>
        <v>0</v>
      </c>
      <c r="BN31" s="40">
        <f t="shared" si="541"/>
        <v>0</v>
      </c>
      <c r="BO31" s="40">
        <f t="shared" si="541"/>
        <v>0</v>
      </c>
      <c r="BP31" s="40">
        <f t="shared" si="541"/>
        <v>0</v>
      </c>
      <c r="BQ31" s="40">
        <f t="shared" si="541"/>
        <v>0</v>
      </c>
      <c r="BR31" s="40">
        <f t="shared" si="541"/>
        <v>2387.4</v>
      </c>
      <c r="BS31" s="40">
        <f t="shared" si="541"/>
        <v>2408.3000000000002</v>
      </c>
      <c r="BT31" s="40">
        <f t="shared" si="541"/>
        <v>2498.8000000000002</v>
      </c>
      <c r="BU31" s="40">
        <f t="shared" si="541"/>
        <v>2615.6000000000004</v>
      </c>
      <c r="BV31" s="40">
        <f t="shared" si="541"/>
        <v>2725.7</v>
      </c>
      <c r="BW31" s="40">
        <f t="shared" ref="BW31:BX31" si="542">BW29-BW30</f>
        <v>2851.3999999999996</v>
      </c>
      <c r="BX31" s="40">
        <f t="shared" si="542"/>
        <v>2969.5</v>
      </c>
      <c r="BY31" s="40">
        <f t="shared" ref="BY31" si="543">BY29-BY30</f>
        <v>3062.8999999999996</v>
      </c>
      <c r="BZ31" s="41">
        <f t="shared" ref="BZ31:CC31" si="544">BZ29-BZ30</f>
        <v>3505.7312288457956</v>
      </c>
      <c r="CA31" s="41">
        <f t="shared" si="544"/>
        <v>3816.0580109291404</v>
      </c>
      <c r="CB31" s="41">
        <f t="shared" si="544"/>
        <v>3882.2707933963588</v>
      </c>
      <c r="CC31" s="41">
        <f t="shared" si="544"/>
        <v>3978.2249647093877</v>
      </c>
      <c r="CD31" s="41">
        <f t="shared" ref="CD31:CO31" si="545">CD29-CD30</f>
        <v>4149.3847503391207</v>
      </c>
      <c r="CE31" s="41">
        <f t="shared" si="545"/>
        <v>4286.2665436018942</v>
      </c>
      <c r="CF31" s="41">
        <f t="shared" si="545"/>
        <v>4396.4545018801728</v>
      </c>
      <c r="CG31" s="41">
        <f t="shared" si="545"/>
        <v>4517.0896270323565</v>
      </c>
      <c r="CH31" s="41">
        <f t="shared" si="545"/>
        <v>4680.4254455633745</v>
      </c>
      <c r="CI31" s="41">
        <f t="shared" si="545"/>
        <v>4838.3186595793195</v>
      </c>
      <c r="CJ31" s="41">
        <f t="shared" si="545"/>
        <v>4968.9187129855054</v>
      </c>
      <c r="CK31" s="41">
        <f t="shared" si="545"/>
        <v>5103.1769055754585</v>
      </c>
      <c r="CL31" s="41">
        <f t="shared" si="545"/>
        <v>5280.8106427609146</v>
      </c>
      <c r="CM31" s="41">
        <f t="shared" si="545"/>
        <v>5459.1209966343613</v>
      </c>
      <c r="CN31" s="41">
        <f t="shared" si="545"/>
        <v>5606.2859704772472</v>
      </c>
      <c r="CO31" s="41">
        <f t="shared" si="545"/>
        <v>5755.7353277110124</v>
      </c>
      <c r="CT31" s="40">
        <v>11609.499999999996</v>
      </c>
    </row>
    <row r="32" spans="1:98" s="38" customFormat="1" x14ac:dyDescent="0.2">
      <c r="A32" s="38" t="s">
        <v>3</v>
      </c>
      <c r="B32" s="38">
        <f>+'Annual Raw'!C27</f>
        <v>0</v>
      </c>
      <c r="C32" s="38">
        <f>+'Annual Raw'!D27</f>
        <v>0</v>
      </c>
      <c r="D32" s="38">
        <f>+'Annual Raw'!E27</f>
        <v>0</v>
      </c>
      <c r="E32" s="38">
        <f>+'Annual Raw'!F27</f>
        <v>0</v>
      </c>
      <c r="F32" s="38">
        <f>+'Annual Raw'!G27</f>
        <v>0</v>
      </c>
      <c r="G32" s="38">
        <f>+'Annual Raw'!H27</f>
        <v>0</v>
      </c>
      <c r="H32" s="38">
        <f>+'Annual Raw'!I27</f>
        <v>0</v>
      </c>
      <c r="I32" s="38">
        <f>+'Annual Raw'!J27</f>
        <v>0</v>
      </c>
      <c r="J32" s="38">
        <f>+'Annual Raw'!K27</f>
        <v>0.1505117</v>
      </c>
      <c r="K32" s="38">
        <f>+'Annual Raw'!L27</f>
        <v>3.5168499999999998E-2</v>
      </c>
      <c r="L32" s="38">
        <f>+'Annual Raw'!M27</f>
        <v>1.6483110000000001</v>
      </c>
      <c r="M32" s="38">
        <f>+'Annual Raw'!N27</f>
        <v>4.2300000000000004</v>
      </c>
      <c r="N32" s="38">
        <f>+'Annual Raw'!O27</f>
        <v>4.5999999999999996</v>
      </c>
      <c r="O32" s="38">
        <f>+'Annual Raw'!P27</f>
        <v>14.4</v>
      </c>
      <c r="P32" s="38">
        <f>+'Annual Raw'!Q27</f>
        <v>38.56</v>
      </c>
      <c r="Q32" s="38">
        <f>+'Annual Raw'!R27</f>
        <v>58.05</v>
      </c>
      <c r="R32" s="38">
        <f>+'Annual Raw'!S27</f>
        <v>78.540000000000006</v>
      </c>
      <c r="S32" s="38">
        <f>+'Annual Raw'!T27</f>
        <v>0</v>
      </c>
      <c r="T32" s="38">
        <f>+'Annual Raw'!U27</f>
        <v>4.79</v>
      </c>
      <c r="U32" s="38">
        <f>+'Annual Raw'!V27</f>
        <v>0.19</v>
      </c>
      <c r="V32" s="38">
        <f>+'Annual Raw'!W27</f>
        <v>28.22</v>
      </c>
      <c r="W32" s="38">
        <f>+'Annual Raw'!X27</f>
        <v>21</v>
      </c>
      <c r="X32" s="38">
        <f>+'Annual Raw'!Y27</f>
        <v>22.24</v>
      </c>
      <c r="Y32" s="38">
        <f>+'Annual Raw'!Z27</f>
        <v>0.85</v>
      </c>
      <c r="Z32" s="38">
        <f>+'Annual Raw'!AA27</f>
        <v>1.24</v>
      </c>
      <c r="AA32" s="38">
        <f>+'Annual Raw'!AB27</f>
        <v>0.99</v>
      </c>
      <c r="AB32" s="39">
        <f>SUM(BZ32:CC32)</f>
        <v>0</v>
      </c>
      <c r="AC32" s="39">
        <f>SUM(CD32:CG32)</f>
        <v>0</v>
      </c>
      <c r="AD32" s="39">
        <f>SUM(CH32:CK32)</f>
        <v>0</v>
      </c>
      <c r="AE32" s="39">
        <f>SUM(CL32:CO32)</f>
        <v>0</v>
      </c>
      <c r="AG32" s="60"/>
      <c r="AH32" s="38">
        <f>+'QTR Raw'!D32</f>
        <v>0</v>
      </c>
      <c r="AI32" s="38">
        <f>+'QTR Raw'!E32</f>
        <v>0</v>
      </c>
      <c r="AJ32" s="38">
        <f>+'QTR Raw'!F32</f>
        <v>0</v>
      </c>
      <c r="AK32" s="38">
        <f>+'QTR Raw'!G32</f>
        <v>0</v>
      </c>
      <c r="AL32" s="38">
        <f>+'QTR Raw'!H32</f>
        <v>0</v>
      </c>
      <c r="AM32" s="38">
        <f>+'QTR Raw'!I32</f>
        <v>0</v>
      </c>
      <c r="AN32" s="38">
        <f>+'QTR Raw'!J32</f>
        <v>0</v>
      </c>
      <c r="AO32" s="38">
        <f>+'QTR Raw'!K32</f>
        <v>0</v>
      </c>
      <c r="AP32" s="38">
        <f>+'QTR Raw'!L32</f>
        <v>0</v>
      </c>
      <c r="AQ32" s="38">
        <f>+'QTR Raw'!M32</f>
        <v>0</v>
      </c>
      <c r="AR32" s="38">
        <f>+'QTR Raw'!N32</f>
        <v>0</v>
      </c>
      <c r="AS32" s="38">
        <f>+'QTR Raw'!O32</f>
        <v>0</v>
      </c>
      <c r="AT32" s="38">
        <f>+'QTR Raw'!P32</f>
        <v>0</v>
      </c>
      <c r="AU32" s="38">
        <f>+'QTR Raw'!Q32</f>
        <v>0</v>
      </c>
      <c r="AV32" s="38">
        <f>+'QTR Raw'!R32</f>
        <v>0</v>
      </c>
      <c r="AW32" s="38">
        <f>+'QTR Raw'!S32</f>
        <v>0</v>
      </c>
      <c r="AX32" s="38">
        <f>+'QTR Raw'!T32</f>
        <v>0</v>
      </c>
      <c r="AY32" s="38">
        <f>+'QTR Raw'!U32</f>
        <v>0</v>
      </c>
      <c r="AZ32" s="38">
        <f>+'QTR Raw'!V32</f>
        <v>0</v>
      </c>
      <c r="BA32" s="38">
        <f>+'QTR Raw'!W32</f>
        <v>0</v>
      </c>
      <c r="BB32" s="38">
        <f>+'QTR Raw'!X32</f>
        <v>0</v>
      </c>
      <c r="BC32" s="38">
        <f>+'QTR Raw'!Y32</f>
        <v>0</v>
      </c>
      <c r="BD32" s="38">
        <f>+'QTR Raw'!Z32</f>
        <v>0</v>
      </c>
      <c r="BE32" s="38">
        <f>+'QTR Raw'!AA32</f>
        <v>0</v>
      </c>
      <c r="BF32" s="38">
        <f>+'QTR Raw'!AB32</f>
        <v>0</v>
      </c>
      <c r="BG32" s="38">
        <f>+'QTR Raw'!AC32</f>
        <v>0</v>
      </c>
      <c r="BH32" s="38">
        <f>+'QTR Raw'!AD32</f>
        <v>0</v>
      </c>
      <c r="BI32" s="38">
        <f>+'QTR Raw'!AE32</f>
        <v>0</v>
      </c>
      <c r="BJ32" s="38">
        <f>+'QTR Raw'!AF32</f>
        <v>0</v>
      </c>
      <c r="BK32" s="38">
        <f>+'QTR Raw'!AG32</f>
        <v>0</v>
      </c>
      <c r="BL32" s="38">
        <f>+'QTR Raw'!AH32</f>
        <v>0</v>
      </c>
      <c r="BM32" s="38">
        <f>+'QTR Raw'!AI32</f>
        <v>0</v>
      </c>
      <c r="BN32" s="38">
        <f>+'QTR Raw'!AJ32</f>
        <v>0</v>
      </c>
      <c r="BO32" s="38">
        <f>+'QTR Raw'!AK32</f>
        <v>0</v>
      </c>
      <c r="BP32" s="38">
        <f>+'QTR Raw'!AL32</f>
        <v>0</v>
      </c>
      <c r="BQ32" s="38">
        <f>+'QTR Raw'!AM32</f>
        <v>0</v>
      </c>
      <c r="BR32" s="38">
        <f>+'QTR Raw'!AN32</f>
        <v>0</v>
      </c>
      <c r="BS32" s="38">
        <f>+'QTR Raw'!AO32</f>
        <v>0</v>
      </c>
      <c r="BT32" s="38">
        <f>+'QTR Raw'!AP32</f>
        <v>0</v>
      </c>
      <c r="BU32" s="38">
        <f>+'QTR Raw'!AQ32</f>
        <v>0</v>
      </c>
      <c r="BV32" s="38">
        <f>+'QTR Raw'!AR32</f>
        <v>0</v>
      </c>
      <c r="BW32" s="38">
        <f>+'QTR Raw'!AS32</f>
        <v>0</v>
      </c>
      <c r="BX32" s="38">
        <f>+'QTR Raw'!AT32</f>
        <v>0</v>
      </c>
      <c r="BY32" s="38">
        <f>+'QTR Raw'!AU32</f>
        <v>0</v>
      </c>
      <c r="BZ32" s="39">
        <f t="shared" ref="BZ32:CC32" si="546">BZ17*BY7</f>
        <v>0</v>
      </c>
      <c r="CA32" s="39">
        <f t="shared" si="546"/>
        <v>0</v>
      </c>
      <c r="CB32" s="39">
        <f t="shared" si="546"/>
        <v>0</v>
      </c>
      <c r="CC32" s="39">
        <f t="shared" si="546"/>
        <v>0</v>
      </c>
      <c r="CD32" s="39">
        <f t="shared" ref="CD32" si="547">CD17*CC7</f>
        <v>0</v>
      </c>
      <c r="CE32" s="39">
        <f t="shared" ref="CE32" si="548">CE17*CD7</f>
        <v>0</v>
      </c>
      <c r="CF32" s="39">
        <f t="shared" ref="CF32" si="549">CF17*CE7</f>
        <v>0</v>
      </c>
      <c r="CG32" s="39">
        <f t="shared" ref="CG32" si="550">CG17*CF7</f>
        <v>0</v>
      </c>
      <c r="CH32" s="39">
        <f t="shared" ref="CH32" si="551">CH17*CG7</f>
        <v>0</v>
      </c>
      <c r="CI32" s="39">
        <f t="shared" ref="CI32" si="552">CI17*CH7</f>
        <v>0</v>
      </c>
      <c r="CJ32" s="39">
        <f t="shared" ref="CJ32" si="553">CJ17*CI7</f>
        <v>0</v>
      </c>
      <c r="CK32" s="39">
        <f t="shared" ref="CK32" si="554">CK17*CJ7</f>
        <v>0</v>
      </c>
      <c r="CL32" s="39">
        <f t="shared" ref="CL32" si="555">CL17*CK7</f>
        <v>0</v>
      </c>
      <c r="CM32" s="39">
        <f t="shared" ref="CM32" si="556">CM17*CL7</f>
        <v>0</v>
      </c>
      <c r="CN32" s="39">
        <f t="shared" ref="CN32" si="557">CN17*CM7</f>
        <v>0</v>
      </c>
      <c r="CO32" s="39">
        <f t="shared" ref="CO32" si="558">CO17*CN7</f>
        <v>0</v>
      </c>
      <c r="CT32" s="38">
        <v>0</v>
      </c>
    </row>
    <row r="33" spans="1:98" s="40" customFormat="1" x14ac:dyDescent="0.2">
      <c r="A33" s="40" t="s">
        <v>10</v>
      </c>
      <c r="B33" s="40">
        <f t="shared" ref="B33" si="559">B31+B32</f>
        <v>0</v>
      </c>
      <c r="C33" s="40">
        <f t="shared" ref="C33:Z33" si="560">C31+C32</f>
        <v>0</v>
      </c>
      <c r="D33" s="40">
        <f t="shared" si="560"/>
        <v>0</v>
      </c>
      <c r="E33" s="40">
        <f t="shared" si="560"/>
        <v>0</v>
      </c>
      <c r="F33" s="40">
        <f t="shared" si="560"/>
        <v>0</v>
      </c>
      <c r="G33" s="40">
        <f t="shared" si="560"/>
        <v>0</v>
      </c>
      <c r="H33" s="40">
        <f t="shared" si="560"/>
        <v>0</v>
      </c>
      <c r="I33" s="40">
        <f t="shared" si="560"/>
        <v>0.48229759999999999</v>
      </c>
      <c r="J33" s="40">
        <f t="shared" si="560"/>
        <v>21.9709328</v>
      </c>
      <c r="K33" s="40">
        <f t="shared" si="560"/>
        <v>74.504990799999987</v>
      </c>
      <c r="L33" s="40">
        <f t="shared" si="560"/>
        <v>133.19895199999999</v>
      </c>
      <c r="M33" s="40">
        <f t="shared" si="560"/>
        <v>265.66999999999996</v>
      </c>
      <c r="N33" s="40">
        <f t="shared" si="560"/>
        <v>454.94999999999993</v>
      </c>
      <c r="O33" s="40">
        <f t="shared" si="560"/>
        <v>810.28</v>
      </c>
      <c r="P33" s="40">
        <f t="shared" si="560"/>
        <v>1212.9100000000001</v>
      </c>
      <c r="Q33" s="40">
        <f t="shared" si="560"/>
        <v>1784.29</v>
      </c>
      <c r="R33" s="40">
        <f t="shared" si="560"/>
        <v>3739.9700000000003</v>
      </c>
      <c r="S33" s="40">
        <f t="shared" si="560"/>
        <v>4578.0499999999993</v>
      </c>
      <c r="T33" s="40">
        <f t="shared" si="560"/>
        <v>5396.2699999999995</v>
      </c>
      <c r="U33" s="40">
        <f t="shared" si="560"/>
        <v>6675.2399999999989</v>
      </c>
      <c r="V33" s="40">
        <f t="shared" si="560"/>
        <v>7064.6000000000013</v>
      </c>
      <c r="W33" s="40">
        <f t="shared" si="560"/>
        <v>7982.1100000000006</v>
      </c>
      <c r="X33" s="40">
        <f t="shared" si="560"/>
        <v>8891.9699999999993</v>
      </c>
      <c r="Y33" s="40">
        <f t="shared" si="560"/>
        <v>9267.19</v>
      </c>
      <c r="Z33" s="40">
        <f t="shared" si="560"/>
        <v>9868.1600000000017</v>
      </c>
      <c r="AA33" s="40">
        <f t="shared" ref="AA33" si="561">AA31+AA32</f>
        <v>11574.309999999998</v>
      </c>
      <c r="AB33" s="41">
        <f t="shared" ref="AB33" si="562">AB31+AB32</f>
        <v>15182.284997880681</v>
      </c>
      <c r="AC33" s="41">
        <f t="shared" ref="AC33" si="563">AC31+AC32</f>
        <v>17349.195422853543</v>
      </c>
      <c r="AD33" s="41">
        <f t="shared" ref="AD33" si="564">AD31+AD32</f>
        <v>19590.839723703659</v>
      </c>
      <c r="AE33" s="41">
        <f t="shared" ref="AE33" si="565">AE31+AE32</f>
        <v>22101.952937583534</v>
      </c>
      <c r="AG33" s="61"/>
      <c r="AH33" s="40">
        <f t="shared" ref="AH33:AU33" si="566">AH31+AH32</f>
        <v>0</v>
      </c>
      <c r="AI33" s="40">
        <f t="shared" si="566"/>
        <v>0</v>
      </c>
      <c r="AJ33" s="40">
        <f t="shared" si="566"/>
        <v>0</v>
      </c>
      <c r="AK33" s="40">
        <f t="shared" si="566"/>
        <v>0</v>
      </c>
      <c r="AL33" s="40">
        <f t="shared" si="566"/>
        <v>0</v>
      </c>
      <c r="AM33" s="40">
        <f t="shared" si="566"/>
        <v>0</v>
      </c>
      <c r="AN33" s="40">
        <f t="shared" si="566"/>
        <v>0</v>
      </c>
      <c r="AO33" s="40">
        <f t="shared" si="566"/>
        <v>0</v>
      </c>
      <c r="AP33" s="40">
        <f t="shared" si="566"/>
        <v>0</v>
      </c>
      <c r="AQ33" s="40">
        <f t="shared" si="566"/>
        <v>0</v>
      </c>
      <c r="AR33" s="40">
        <f t="shared" si="566"/>
        <v>0</v>
      </c>
      <c r="AS33" s="40">
        <f t="shared" si="566"/>
        <v>0</v>
      </c>
      <c r="AT33" s="40">
        <f t="shared" si="566"/>
        <v>0</v>
      </c>
      <c r="AU33" s="40">
        <f t="shared" si="566"/>
        <v>0</v>
      </c>
      <c r="AV33" s="40">
        <f t="shared" ref="AV33:BV33" si="567">AV31+AV32</f>
        <v>0</v>
      </c>
      <c r="AW33" s="40">
        <f t="shared" si="567"/>
        <v>0</v>
      </c>
      <c r="AX33" s="40">
        <f t="shared" si="567"/>
        <v>0</v>
      </c>
      <c r="AY33" s="40">
        <f t="shared" si="567"/>
        <v>0</v>
      </c>
      <c r="AZ33" s="40">
        <f t="shared" si="567"/>
        <v>0</v>
      </c>
      <c r="BA33" s="40">
        <f t="shared" si="567"/>
        <v>0</v>
      </c>
      <c r="BB33" s="40">
        <f t="shared" si="567"/>
        <v>0</v>
      </c>
      <c r="BC33" s="40">
        <f t="shared" si="567"/>
        <v>0</v>
      </c>
      <c r="BD33" s="40">
        <f t="shared" si="567"/>
        <v>0</v>
      </c>
      <c r="BE33" s="40">
        <f t="shared" si="567"/>
        <v>0</v>
      </c>
      <c r="BF33" s="40">
        <f t="shared" si="567"/>
        <v>0</v>
      </c>
      <c r="BG33" s="40">
        <f t="shared" si="567"/>
        <v>0</v>
      </c>
      <c r="BH33" s="40">
        <f t="shared" si="567"/>
        <v>0</v>
      </c>
      <c r="BI33" s="40">
        <f t="shared" si="567"/>
        <v>0</v>
      </c>
      <c r="BJ33" s="40">
        <f t="shared" si="567"/>
        <v>0</v>
      </c>
      <c r="BK33" s="40">
        <f t="shared" si="567"/>
        <v>0</v>
      </c>
      <c r="BL33" s="40">
        <f t="shared" si="567"/>
        <v>0</v>
      </c>
      <c r="BM33" s="40">
        <f t="shared" si="567"/>
        <v>0</v>
      </c>
      <c r="BN33" s="40">
        <f t="shared" si="567"/>
        <v>0</v>
      </c>
      <c r="BO33" s="40">
        <f t="shared" si="567"/>
        <v>0</v>
      </c>
      <c r="BP33" s="40">
        <f t="shared" si="567"/>
        <v>0</v>
      </c>
      <c r="BQ33" s="40">
        <f t="shared" si="567"/>
        <v>0</v>
      </c>
      <c r="BR33" s="40">
        <f t="shared" si="567"/>
        <v>2387.4</v>
      </c>
      <c r="BS33" s="40">
        <f t="shared" si="567"/>
        <v>2408.3000000000002</v>
      </c>
      <c r="BT33" s="40">
        <f t="shared" si="567"/>
        <v>2498.8000000000002</v>
      </c>
      <c r="BU33" s="40">
        <f t="shared" si="567"/>
        <v>2615.6000000000004</v>
      </c>
      <c r="BV33" s="40">
        <f t="shared" si="567"/>
        <v>2725.7</v>
      </c>
      <c r="BW33" s="40">
        <f t="shared" ref="BW33:BX33" si="568">BW31+BW32</f>
        <v>2851.3999999999996</v>
      </c>
      <c r="BX33" s="40">
        <f t="shared" si="568"/>
        <v>2969.5</v>
      </c>
      <c r="BY33" s="40">
        <f t="shared" ref="BY33" si="569">BY31+BY32</f>
        <v>3062.8999999999996</v>
      </c>
      <c r="BZ33" s="41">
        <f t="shared" ref="BZ33:CC33" si="570">BZ31+BZ32</f>
        <v>3505.7312288457956</v>
      </c>
      <c r="CA33" s="41">
        <f t="shared" si="570"/>
        <v>3816.0580109291404</v>
      </c>
      <c r="CB33" s="41">
        <f t="shared" si="570"/>
        <v>3882.2707933963588</v>
      </c>
      <c r="CC33" s="41">
        <f t="shared" si="570"/>
        <v>3978.2249647093877</v>
      </c>
      <c r="CD33" s="41">
        <f t="shared" ref="CD33:CO33" si="571">CD31+CD32</f>
        <v>4149.3847503391207</v>
      </c>
      <c r="CE33" s="41">
        <f t="shared" si="571"/>
        <v>4286.2665436018942</v>
      </c>
      <c r="CF33" s="41">
        <f t="shared" si="571"/>
        <v>4396.4545018801728</v>
      </c>
      <c r="CG33" s="41">
        <f t="shared" si="571"/>
        <v>4517.0896270323565</v>
      </c>
      <c r="CH33" s="41">
        <f t="shared" si="571"/>
        <v>4680.4254455633745</v>
      </c>
      <c r="CI33" s="41">
        <f t="shared" si="571"/>
        <v>4838.3186595793195</v>
      </c>
      <c r="CJ33" s="41">
        <f t="shared" si="571"/>
        <v>4968.9187129855054</v>
      </c>
      <c r="CK33" s="41">
        <f t="shared" si="571"/>
        <v>5103.1769055754585</v>
      </c>
      <c r="CL33" s="41">
        <f t="shared" si="571"/>
        <v>5280.8106427609146</v>
      </c>
      <c r="CM33" s="41">
        <f t="shared" si="571"/>
        <v>5459.1209966343613</v>
      </c>
      <c r="CN33" s="41">
        <f t="shared" si="571"/>
        <v>5606.2859704772472</v>
      </c>
      <c r="CO33" s="41">
        <f t="shared" si="571"/>
        <v>5755.7353277110124</v>
      </c>
      <c r="CT33" s="40">
        <v>11609.499999999996</v>
      </c>
    </row>
    <row r="34" spans="1:98" s="71" customFormat="1" x14ac:dyDescent="0.2">
      <c r="A34" s="71" t="s">
        <v>15</v>
      </c>
      <c r="C34" s="71" t="e">
        <f t="shared" ref="C34:Y34" si="572">+IF(B33&lt;0,1-C33/B33,C33/B33-1)</f>
        <v>#DIV/0!</v>
      </c>
      <c r="D34" s="71" t="e">
        <f t="shared" si="572"/>
        <v>#DIV/0!</v>
      </c>
      <c r="E34" s="71" t="e">
        <f t="shared" si="572"/>
        <v>#DIV/0!</v>
      </c>
      <c r="F34" s="71" t="e">
        <f t="shared" si="572"/>
        <v>#DIV/0!</v>
      </c>
      <c r="G34" s="71" t="e">
        <f t="shared" si="572"/>
        <v>#DIV/0!</v>
      </c>
      <c r="H34" s="71" t="e">
        <f t="shared" si="572"/>
        <v>#DIV/0!</v>
      </c>
      <c r="I34" s="71" t="e">
        <f t="shared" si="572"/>
        <v>#DIV/0!</v>
      </c>
      <c r="J34" s="71">
        <f t="shared" si="572"/>
        <v>44.554721400230896</v>
      </c>
      <c r="K34" s="71">
        <f t="shared" si="572"/>
        <v>2.3910708970899948</v>
      </c>
      <c r="L34" s="71">
        <f t="shared" si="572"/>
        <v>0.78778563113385447</v>
      </c>
      <c r="M34" s="71">
        <f t="shared" si="572"/>
        <v>0.99453521225902719</v>
      </c>
      <c r="N34" s="71">
        <f t="shared" si="572"/>
        <v>0.71246282982647657</v>
      </c>
      <c r="O34" s="71">
        <f t="shared" si="572"/>
        <v>0.78103088251456221</v>
      </c>
      <c r="P34" s="71">
        <f t="shared" si="572"/>
        <v>0.49690230537591962</v>
      </c>
      <c r="Q34" s="71">
        <f t="shared" si="572"/>
        <v>0.47108194342531595</v>
      </c>
      <c r="R34" s="71">
        <f t="shared" si="572"/>
        <v>1.0960550134787508</v>
      </c>
      <c r="S34" s="71">
        <f t="shared" si="572"/>
        <v>0.22408735898951027</v>
      </c>
      <c r="T34" s="71">
        <f t="shared" si="572"/>
        <v>0.17872675047236286</v>
      </c>
      <c r="U34" s="71">
        <f t="shared" si="572"/>
        <v>0.23701000876531375</v>
      </c>
      <c r="V34" s="71">
        <f t="shared" si="572"/>
        <v>5.8328988920248959E-2</v>
      </c>
      <c r="W34" s="71">
        <f t="shared" si="572"/>
        <v>0.12987430286215762</v>
      </c>
      <c r="X34" s="71">
        <f t="shared" si="572"/>
        <v>0.11398740433293941</v>
      </c>
      <c r="Y34" s="71">
        <f t="shared" si="572"/>
        <v>4.2197623248841465E-2</v>
      </c>
      <c r="Z34" s="74">
        <f>+IF(Y33&lt;0,1-Z33/Y33,Z33/Y33-1)</f>
        <v>6.4849215350068379E-2</v>
      </c>
      <c r="AA34" s="74">
        <f>+IF(Z33&lt;0,1-AA33/Z33,AA33/Z33-1)</f>
        <v>0.17289444030092693</v>
      </c>
      <c r="AB34" s="72">
        <f t="shared" ref="AB34:AE34" si="573">+IF(AA33&lt;0,1-AB33/AA33,AB33/AA33-1)</f>
        <v>0.31172268566166661</v>
      </c>
      <c r="AC34" s="72">
        <f t="shared" si="573"/>
        <v>0.14272623819638119</v>
      </c>
      <c r="AD34" s="72">
        <f t="shared" si="573"/>
        <v>0.12920739240145207</v>
      </c>
      <c r="AE34" s="72">
        <f t="shared" si="573"/>
        <v>0.12817792648477377</v>
      </c>
      <c r="AG34" s="73"/>
      <c r="AH34" s="74"/>
      <c r="AI34" s="74"/>
      <c r="AJ34" s="74"/>
      <c r="AK34" s="74"/>
      <c r="AL34" s="74" t="e">
        <f t="shared" ref="AL34:BV34" si="574">+IF(AH33&lt;0,1-AL33/AH33,AL33/AH33-1)</f>
        <v>#DIV/0!</v>
      </c>
      <c r="AM34" s="74" t="e">
        <f t="shared" si="574"/>
        <v>#DIV/0!</v>
      </c>
      <c r="AN34" s="74" t="e">
        <f t="shared" si="574"/>
        <v>#DIV/0!</v>
      </c>
      <c r="AO34" s="74" t="e">
        <f t="shared" si="574"/>
        <v>#DIV/0!</v>
      </c>
      <c r="AP34" s="74" t="e">
        <f t="shared" si="574"/>
        <v>#DIV/0!</v>
      </c>
      <c r="AQ34" s="74" t="e">
        <f t="shared" si="574"/>
        <v>#DIV/0!</v>
      </c>
      <c r="AR34" s="74" t="e">
        <f t="shared" si="574"/>
        <v>#DIV/0!</v>
      </c>
      <c r="AS34" s="74" t="e">
        <f t="shared" si="574"/>
        <v>#DIV/0!</v>
      </c>
      <c r="AT34" s="74" t="e">
        <f t="shared" si="574"/>
        <v>#DIV/0!</v>
      </c>
      <c r="AU34" s="74" t="e">
        <f t="shared" si="574"/>
        <v>#DIV/0!</v>
      </c>
      <c r="AV34" s="74" t="e">
        <f t="shared" si="574"/>
        <v>#DIV/0!</v>
      </c>
      <c r="AW34" s="74" t="e">
        <f t="shared" si="574"/>
        <v>#DIV/0!</v>
      </c>
      <c r="AX34" s="74" t="e">
        <f t="shared" si="574"/>
        <v>#DIV/0!</v>
      </c>
      <c r="AY34" s="74" t="e">
        <f t="shared" si="574"/>
        <v>#DIV/0!</v>
      </c>
      <c r="AZ34" s="74" t="e">
        <f t="shared" si="574"/>
        <v>#DIV/0!</v>
      </c>
      <c r="BA34" s="74" t="e">
        <f t="shared" si="574"/>
        <v>#DIV/0!</v>
      </c>
      <c r="BB34" s="74" t="e">
        <f t="shared" si="574"/>
        <v>#DIV/0!</v>
      </c>
      <c r="BC34" s="74" t="e">
        <f t="shared" si="574"/>
        <v>#DIV/0!</v>
      </c>
      <c r="BD34" s="74" t="e">
        <f t="shared" si="574"/>
        <v>#DIV/0!</v>
      </c>
      <c r="BE34" s="74" t="e">
        <f t="shared" si="574"/>
        <v>#DIV/0!</v>
      </c>
      <c r="BF34" s="74" t="e">
        <f t="shared" si="574"/>
        <v>#DIV/0!</v>
      </c>
      <c r="BG34" s="74" t="e">
        <f t="shared" si="574"/>
        <v>#DIV/0!</v>
      </c>
      <c r="BH34" s="74" t="e">
        <f t="shared" si="574"/>
        <v>#DIV/0!</v>
      </c>
      <c r="BI34" s="74" t="e">
        <f t="shared" si="574"/>
        <v>#DIV/0!</v>
      </c>
      <c r="BJ34" s="74" t="e">
        <f t="shared" si="574"/>
        <v>#DIV/0!</v>
      </c>
      <c r="BK34" s="74" t="e">
        <f t="shared" si="574"/>
        <v>#DIV/0!</v>
      </c>
      <c r="BL34" s="74" t="e">
        <f t="shared" si="574"/>
        <v>#DIV/0!</v>
      </c>
      <c r="BM34" s="74" t="e">
        <f t="shared" si="574"/>
        <v>#DIV/0!</v>
      </c>
      <c r="BN34" s="74" t="e">
        <f t="shared" si="574"/>
        <v>#DIV/0!</v>
      </c>
      <c r="BO34" s="74" t="e">
        <f t="shared" si="574"/>
        <v>#DIV/0!</v>
      </c>
      <c r="BP34" s="74" t="e">
        <f t="shared" si="574"/>
        <v>#DIV/0!</v>
      </c>
      <c r="BQ34" s="74" t="e">
        <f t="shared" si="574"/>
        <v>#DIV/0!</v>
      </c>
      <c r="BR34" s="74" t="e">
        <f t="shared" si="574"/>
        <v>#DIV/0!</v>
      </c>
      <c r="BS34" s="74" t="e">
        <f t="shared" si="574"/>
        <v>#DIV/0!</v>
      </c>
      <c r="BT34" s="74" t="e">
        <f t="shared" si="574"/>
        <v>#DIV/0!</v>
      </c>
      <c r="BU34" s="74" t="e">
        <f t="shared" si="574"/>
        <v>#DIV/0!</v>
      </c>
      <c r="BV34" s="74">
        <f t="shared" si="574"/>
        <v>0.14170227025215709</v>
      </c>
      <c r="BW34" s="74">
        <f>+IF(BS33&lt;0,1-BW33/BS33,BW33/BS33-1)</f>
        <v>0.18398870572603054</v>
      </c>
      <c r="BX34" s="74">
        <f>+IF(BT33&lt;0,1-BX33/BT33,BX33/BT33-1)</f>
        <v>0.18837041780054409</v>
      </c>
      <c r="BY34" s="74">
        <f>+IF(BU33&lt;0,1-BY33/BU33,BY33/BU33-1)</f>
        <v>0.17101238721517031</v>
      </c>
      <c r="BZ34" s="36">
        <f t="shared" ref="BZ34:CO34" si="575">+IF(BV33&lt;0,1-BZ33/BV33,BZ33/BV33-1)</f>
        <v>0.28617647901302257</v>
      </c>
      <c r="CA34" s="36">
        <f t="shared" si="575"/>
        <v>0.33831030754336155</v>
      </c>
      <c r="CB34" s="36">
        <f t="shared" si="575"/>
        <v>0.30738198127508287</v>
      </c>
      <c r="CC34" s="36">
        <f t="shared" si="575"/>
        <v>0.29884258862822421</v>
      </c>
      <c r="CD34" s="36">
        <f t="shared" si="575"/>
        <v>0.18360036165842564</v>
      </c>
      <c r="CE34" s="36">
        <f t="shared" si="575"/>
        <v>0.12321839220632458</v>
      </c>
      <c r="CF34" s="36">
        <f t="shared" si="575"/>
        <v>0.13244406066635706</v>
      </c>
      <c r="CG34" s="36">
        <f t="shared" si="575"/>
        <v>0.13545354199503734</v>
      </c>
      <c r="CH34" s="36">
        <f t="shared" si="575"/>
        <v>0.12798058680406843</v>
      </c>
      <c r="CI34" s="36">
        <f t="shared" si="575"/>
        <v>0.12879556377600299</v>
      </c>
      <c r="CJ34" s="36">
        <f t="shared" si="575"/>
        <v>0.13021042543725048</v>
      </c>
      <c r="CK34" s="36">
        <f t="shared" si="575"/>
        <v>0.12974887082950137</v>
      </c>
      <c r="CL34" s="36">
        <f t="shared" si="575"/>
        <v>0.12827577411080271</v>
      </c>
      <c r="CM34" s="36">
        <f t="shared" si="575"/>
        <v>0.12830951839559468</v>
      </c>
      <c r="CN34" s="36">
        <f t="shared" si="575"/>
        <v>0.12827081590730804</v>
      </c>
      <c r="CO34" s="36">
        <f t="shared" si="575"/>
        <v>0.12787297681618748</v>
      </c>
      <c r="CT34" s="71">
        <v>0.17646045463389259</v>
      </c>
    </row>
    <row r="35" spans="1:98" s="38" customFormat="1" x14ac:dyDescent="0.2">
      <c r="A35" s="38" t="s">
        <v>0</v>
      </c>
      <c r="B35" s="38">
        <f>+'Annual Raw'!C18</f>
        <v>0</v>
      </c>
      <c r="C35" s="38">
        <f>+'Annual Raw'!D18</f>
        <v>0</v>
      </c>
      <c r="D35" s="38">
        <f>+'Annual Raw'!E18</f>
        <v>0</v>
      </c>
      <c r="E35" s="38">
        <f>+'Annual Raw'!F18</f>
        <v>0</v>
      </c>
      <c r="F35" s="38">
        <f>+'Annual Raw'!G18</f>
        <v>0</v>
      </c>
      <c r="G35" s="38">
        <f>+'Annual Raw'!H18</f>
        <v>0</v>
      </c>
      <c r="H35" s="38">
        <f>+'Annual Raw'!I18</f>
        <v>0</v>
      </c>
      <c r="I35" s="38">
        <f>+'Annual Raw'!J18</f>
        <v>1.3858446</v>
      </c>
      <c r="J35" s="38">
        <f>+'Annual Raw'!K18</f>
        <v>18.824250800000002</v>
      </c>
      <c r="K35" s="38">
        <f>+'Annual Raw'!L18</f>
        <v>41.787497799999997</v>
      </c>
      <c r="L35" s="38">
        <f>+'Annual Raw'!M18</f>
        <v>60.122644299999997</v>
      </c>
      <c r="M35" s="38">
        <f>+'Annual Raw'!N18</f>
        <v>100.34</v>
      </c>
      <c r="N35" s="38">
        <f>+'Annual Raw'!O18</f>
        <v>160.61000000000001</v>
      </c>
      <c r="O35" s="38">
        <f>+'Annual Raw'!P18</f>
        <v>234.99</v>
      </c>
      <c r="P35" s="38">
        <f>+'Annual Raw'!Q18</f>
        <v>312.22000000000003</v>
      </c>
      <c r="Q35" s="38">
        <f>+'Annual Raw'!R18</f>
        <v>493.76</v>
      </c>
      <c r="R35" s="38">
        <f>+'Annual Raw'!S18</f>
        <v>1896.65</v>
      </c>
      <c r="S35" s="38">
        <f>+'Annual Raw'!T18</f>
        <v>2228.29</v>
      </c>
      <c r="T35" s="38">
        <f>+'Annual Raw'!U18</f>
        <v>2551.7399999999998</v>
      </c>
      <c r="U35" s="38">
        <f>+'Annual Raw'!V18</f>
        <v>3195.57</v>
      </c>
      <c r="V35" s="38">
        <f>+'Annual Raw'!W18</f>
        <v>2955.59</v>
      </c>
      <c r="W35" s="38">
        <f>+'Annual Raw'!X18</f>
        <v>3500.41</v>
      </c>
      <c r="X35" s="38">
        <f>+'Annual Raw'!Y18</f>
        <v>4057.57</v>
      </c>
      <c r="Y35" s="38">
        <f>+'Annual Raw'!Z18</f>
        <v>3850.75</v>
      </c>
      <c r="Z35" s="38">
        <f>+'Annual Raw'!AA18</f>
        <v>3619.57</v>
      </c>
      <c r="AA35" s="38">
        <f>+'Annual Raw'!AB18</f>
        <v>3913.61</v>
      </c>
      <c r="AB35" s="39">
        <f>SUM(BZ35:CC35)</f>
        <v>6530.3086215425974</v>
      </c>
      <c r="AC35" s="39">
        <f>SUM(CD35:CG35)</f>
        <v>7475.6949342074022</v>
      </c>
      <c r="AD35" s="39">
        <f>SUM(CH35:CK35)</f>
        <v>8445.1576325517963</v>
      </c>
      <c r="AE35" s="39">
        <f>SUM(CL35:CO35)</f>
        <v>9528.3770438285555</v>
      </c>
      <c r="AG35" s="60"/>
      <c r="AH35" s="38">
        <f>+'QTR Raw'!D20</f>
        <v>0</v>
      </c>
      <c r="AI35" s="38">
        <f>+'QTR Raw'!E20</f>
        <v>0</v>
      </c>
      <c r="AJ35" s="38">
        <f>+'QTR Raw'!F20</f>
        <v>0</v>
      </c>
      <c r="AK35" s="38">
        <f>+'QTR Raw'!G20</f>
        <v>0</v>
      </c>
      <c r="AL35" s="38">
        <f>+'QTR Raw'!H20</f>
        <v>0</v>
      </c>
      <c r="AM35" s="38">
        <f>+'QTR Raw'!I20</f>
        <v>0</v>
      </c>
      <c r="AN35" s="38">
        <f>+'QTR Raw'!J20</f>
        <v>0</v>
      </c>
      <c r="AO35" s="38">
        <f>+'QTR Raw'!K20</f>
        <v>0</v>
      </c>
      <c r="AP35" s="38">
        <f>+'QTR Raw'!L20</f>
        <v>0</v>
      </c>
      <c r="AQ35" s="38">
        <f>+'QTR Raw'!M20</f>
        <v>0</v>
      </c>
      <c r="AR35" s="38">
        <f>+'QTR Raw'!N20</f>
        <v>0</v>
      </c>
      <c r="AS35" s="38">
        <f>+'QTR Raw'!O20</f>
        <v>0</v>
      </c>
      <c r="AT35" s="38">
        <f>+'QTR Raw'!P20</f>
        <v>0</v>
      </c>
      <c r="AU35" s="38">
        <f>+'QTR Raw'!Q20</f>
        <v>0</v>
      </c>
      <c r="AV35" s="38">
        <f>+'QTR Raw'!R20</f>
        <v>0</v>
      </c>
      <c r="AW35" s="38">
        <f>+'QTR Raw'!S20</f>
        <v>0</v>
      </c>
      <c r="AX35" s="38">
        <f>+'QTR Raw'!T20</f>
        <v>0</v>
      </c>
      <c r="AY35" s="38">
        <f>+'QTR Raw'!U20</f>
        <v>0</v>
      </c>
      <c r="AZ35" s="38">
        <f>+'QTR Raw'!V20</f>
        <v>0</v>
      </c>
      <c r="BA35" s="38">
        <f>+'QTR Raw'!W20</f>
        <v>0</v>
      </c>
      <c r="BB35" s="38">
        <f>+'QTR Raw'!X20</f>
        <v>0</v>
      </c>
      <c r="BC35" s="38">
        <f>+'QTR Raw'!Y20</f>
        <v>0</v>
      </c>
      <c r="BD35" s="38">
        <f>+'QTR Raw'!Z20</f>
        <v>0</v>
      </c>
      <c r="BE35" s="38">
        <f>+'QTR Raw'!AA20</f>
        <v>0</v>
      </c>
      <c r="BF35" s="38">
        <f>+'QTR Raw'!AB20</f>
        <v>0</v>
      </c>
      <c r="BG35" s="38">
        <f>+'QTR Raw'!AC20</f>
        <v>0</v>
      </c>
      <c r="BH35" s="38">
        <f>+'QTR Raw'!AD20</f>
        <v>0</v>
      </c>
      <c r="BI35" s="38">
        <f>+'QTR Raw'!AE20</f>
        <v>0</v>
      </c>
      <c r="BJ35" s="38">
        <f>+'QTR Raw'!AF20</f>
        <v>0</v>
      </c>
      <c r="BK35" s="38">
        <f>+'QTR Raw'!AG20</f>
        <v>0</v>
      </c>
      <c r="BL35" s="38">
        <f>+'QTR Raw'!AH20</f>
        <v>0</v>
      </c>
      <c r="BM35" s="38">
        <f>+'QTR Raw'!AI20</f>
        <v>0</v>
      </c>
      <c r="BN35" s="38">
        <f>+'QTR Raw'!AJ20</f>
        <v>0</v>
      </c>
      <c r="BO35" s="38">
        <f>+'QTR Raw'!AK20</f>
        <v>0</v>
      </c>
      <c r="BP35" s="38">
        <f>+'QTR Raw'!AL20</f>
        <v>0</v>
      </c>
      <c r="BQ35" s="38">
        <f>+'QTR Raw'!AM20</f>
        <v>0</v>
      </c>
      <c r="BR35" s="38">
        <f>+'QTR Raw'!AN20</f>
        <v>905.5</v>
      </c>
      <c r="BS35" s="38">
        <f>+'QTR Raw'!AO20</f>
        <v>879.8</v>
      </c>
      <c r="BT35" s="38">
        <f>+'QTR Raw'!AP20</f>
        <v>903.3</v>
      </c>
      <c r="BU35" s="38">
        <f>+'QTR Raw'!AQ20</f>
        <v>930.9</v>
      </c>
      <c r="BV35" s="38">
        <f>+'QTR Raw'!AR20</f>
        <v>960.1</v>
      </c>
      <c r="BW35" s="38">
        <f>+'QTR Raw'!AS20</f>
        <v>957.7</v>
      </c>
      <c r="BX35" s="38">
        <f>+'QTR Raw'!AT20</f>
        <v>1025.3</v>
      </c>
      <c r="BY35" s="38">
        <f>+'QTR Raw'!AU20</f>
        <v>970.5</v>
      </c>
      <c r="BZ35" s="109">
        <f t="shared" ref="BZ35:CO35" si="576">BZ20*BY7</f>
        <v>1498.0206741155905</v>
      </c>
      <c r="CA35" s="109">
        <f t="shared" si="576"/>
        <v>1631.8282749345744</v>
      </c>
      <c r="CB35" s="109">
        <f t="shared" si="576"/>
        <v>1677.161821218871</v>
      </c>
      <c r="CC35" s="109">
        <f t="shared" si="576"/>
        <v>1723.2978512735613</v>
      </c>
      <c r="CD35" s="109">
        <f t="shared" si="576"/>
        <v>1784.2901308129897</v>
      </c>
      <c r="CE35" s="109">
        <f t="shared" si="576"/>
        <v>1846.0748264594274</v>
      </c>
      <c r="CF35" s="109">
        <f t="shared" si="576"/>
        <v>1896.9411716965196</v>
      </c>
      <c r="CG35" s="109">
        <f t="shared" si="576"/>
        <v>1948.3888052384657</v>
      </c>
      <c r="CH35" s="109">
        <f t="shared" si="576"/>
        <v>2016.6937907265901</v>
      </c>
      <c r="CI35" s="109">
        <f t="shared" si="576"/>
        <v>2085.7756242665178</v>
      </c>
      <c r="CJ35" s="109">
        <f t="shared" si="576"/>
        <v>2142.5739403275497</v>
      </c>
      <c r="CK35" s="109">
        <f t="shared" si="576"/>
        <v>2200.1142772311405</v>
      </c>
      <c r="CL35" s="109">
        <f t="shared" si="576"/>
        <v>2276.4187351120413</v>
      </c>
      <c r="CM35" s="109">
        <f t="shared" si="576"/>
        <v>2353.5505037262506</v>
      </c>
      <c r="CN35" s="109">
        <f t="shared" si="576"/>
        <v>2417.0351691350802</v>
      </c>
      <c r="CO35" s="109">
        <f t="shared" si="576"/>
        <v>2481.372635855183</v>
      </c>
      <c r="CT35" s="38">
        <v>3913.6000000000004</v>
      </c>
    </row>
    <row r="36" spans="1:98" s="38" customFormat="1" x14ac:dyDescent="0.2">
      <c r="A36" s="38" t="s">
        <v>1</v>
      </c>
      <c r="B36" s="38">
        <f>+'Annual Raw'!C19+'Annual Raw'!C20+'Annual Raw'!C21+'Annual Raw'!C17+'Annual Raw'!C16+'Annual Raw'!C15-'Annual Raw'!C24</f>
        <v>0</v>
      </c>
      <c r="C36" s="38">
        <f>+'Annual Raw'!D19+'Annual Raw'!D20+'Annual Raw'!D21+'Annual Raw'!D17+'Annual Raw'!D16+'Annual Raw'!D15-'Annual Raw'!D24</f>
        <v>0</v>
      </c>
      <c r="D36" s="38">
        <f>+'Annual Raw'!E19+'Annual Raw'!E20+'Annual Raw'!E21+'Annual Raw'!E17+'Annual Raw'!E16+'Annual Raw'!E15-'Annual Raw'!E24</f>
        <v>0</v>
      </c>
      <c r="E36" s="38">
        <f>+'Annual Raw'!F19+'Annual Raw'!F20+'Annual Raw'!F21+'Annual Raw'!F17+'Annual Raw'!F16+'Annual Raw'!F15-'Annual Raw'!F24</f>
        <v>0</v>
      </c>
      <c r="F36" s="38">
        <f>+'Annual Raw'!G19+'Annual Raw'!G20+'Annual Raw'!G21+'Annual Raw'!G17+'Annual Raw'!G16+'Annual Raw'!G15-'Annual Raw'!G24</f>
        <v>0</v>
      </c>
      <c r="G36" s="38">
        <f>+'Annual Raw'!H19+'Annual Raw'!H20+'Annual Raw'!H21+'Annual Raw'!H17+'Annual Raw'!H16+'Annual Raw'!H15-'Annual Raw'!H24</f>
        <v>0</v>
      </c>
      <c r="H36" s="38">
        <f>+'Annual Raw'!I19+'Annual Raw'!I20+'Annual Raw'!I21+'Annual Raw'!I17+'Annual Raw'!I16+'Annual Raw'!I15-'Annual Raw'!I24</f>
        <v>0</v>
      </c>
      <c r="I36" s="38">
        <f>+'Annual Raw'!J19+'Annual Raw'!J20+'Annual Raw'!J21+'Annual Raw'!J17+'Annual Raw'!J16+'Annual Raw'!J15-'Annual Raw'!J24</f>
        <v>0.57096859999999994</v>
      </c>
      <c r="J36" s="38">
        <f>+'Annual Raw'!K19+'Annual Raw'!K20+'Annual Raw'!K21+'Annual Raw'!K17+'Annual Raw'!K16+'Annual Raw'!K15-'Annual Raw'!K24</f>
        <v>10.485976899999999</v>
      </c>
      <c r="K36" s="38">
        <f>+'Annual Raw'!L19+'Annual Raw'!L20+'Annual Raw'!L21+'Annual Raw'!L17+'Annual Raw'!L16+'Annual Raw'!L15-'Annual Raw'!L24</f>
        <v>13.6623681</v>
      </c>
      <c r="L36" s="38">
        <f>+'Annual Raw'!M19+'Annual Raw'!M20+'Annual Raw'!M21+'Annual Raw'!M17+'Annual Raw'!M16+'Annual Raw'!M15-'Annual Raw'!M24</f>
        <v>18.446962299999999</v>
      </c>
      <c r="M36" s="38">
        <f>+'Annual Raw'!N19+'Annual Raw'!N20+'Annual Raw'!N21+'Annual Raw'!N17+'Annual Raw'!N16+'Annual Raw'!N15-'Annual Raw'!N24</f>
        <v>30.090000000000003</v>
      </c>
      <c r="N36" s="38">
        <f>+'Annual Raw'!O19+'Annual Raw'!O20+'Annual Raw'!O21+'Annual Raw'!O17+'Annual Raw'!O16+'Annual Raw'!O15-'Annual Raw'!O24</f>
        <v>43.980000000000004</v>
      </c>
      <c r="O36" s="38">
        <f>+'Annual Raw'!P19+'Annual Raw'!P20+'Annual Raw'!P21+'Annual Raw'!P17+'Annual Raw'!P16+'Annual Raw'!P15-'Annual Raw'!P24</f>
        <v>67.600000000000009</v>
      </c>
      <c r="P36" s="38">
        <f>+'Annual Raw'!Q19+'Annual Raw'!Q20+'Annual Raw'!Q21+'Annual Raw'!Q17+'Annual Raw'!Q16+'Annual Raw'!Q15-'Annual Raw'!Q24</f>
        <v>91.249999999999986</v>
      </c>
      <c r="Q36" s="38">
        <f>+'Annual Raw'!R19+'Annual Raw'!R20+'Annual Raw'!R21+'Annual Raw'!R17+'Annual Raw'!R16+'Annual Raw'!R15-'Annual Raw'!R24</f>
        <v>137.36000000000001</v>
      </c>
      <c r="R36" s="38">
        <f>+'Annual Raw'!S19+'Annual Raw'!S20+'Annual Raw'!S21+'Annual Raw'!S17+'Annual Raw'!S16+'Annual Raw'!S15-'Annual Raw'!S24</f>
        <v>257.34000000000003</v>
      </c>
      <c r="S36" s="38">
        <f>+'Annual Raw'!T19+'Annual Raw'!T20+'Annual Raw'!T21+'Annual Raw'!T17+'Annual Raw'!T16+'Annual Raw'!T15-'Annual Raw'!T24</f>
        <v>329.66</v>
      </c>
      <c r="T36" s="38">
        <f>+'Annual Raw'!U19+'Annual Raw'!U20+'Annual Raw'!U21+'Annual Raw'!U17+'Annual Raw'!U16+'Annual Raw'!U15-'Annual Raw'!U24</f>
        <v>390.89</v>
      </c>
      <c r="U36" s="38">
        <f>+'Annual Raw'!V19+'Annual Raw'!V20+'Annual Raw'!V21+'Annual Raw'!V17+'Annual Raw'!V16+'Annual Raw'!V15-'Annual Raw'!V24</f>
        <v>432.67</v>
      </c>
      <c r="V36" s="38">
        <f>+'Annual Raw'!W19+'Annual Raw'!W20+'Annual Raw'!W21+'Annual Raw'!W17+'Annual Raw'!W16+'Annual Raw'!W15-'Annual Raw'!W24</f>
        <v>394.03</v>
      </c>
      <c r="W36" s="38">
        <f>+'Annual Raw'!X19+'Annual Raw'!X20+'Annual Raw'!X21+'Annual Raw'!X17+'Annual Raw'!X16+'Annual Raw'!X15-'Annual Raw'!X24</f>
        <v>539.82000000000005</v>
      </c>
      <c r="X36" s="38">
        <f>+'Annual Raw'!Y19+'Annual Raw'!Y20+'Annual Raw'!Y21+'Annual Raw'!Y17+'Annual Raw'!Y16+'Annual Raw'!Y15-'Annual Raw'!Y24</f>
        <v>740.5</v>
      </c>
      <c r="Y36" s="38">
        <f>+'Annual Raw'!Z19+'Annual Raw'!Z20+'Annual Raw'!Z21+'Annual Raw'!Z17+'Annual Raw'!Z16+'Annual Raw'!Z15-'Annual Raw'!Z24</f>
        <v>865.4899999999999</v>
      </c>
      <c r="Z36" s="38">
        <f>+'Annual Raw'!AA19+'Annual Raw'!AA20+'Annual Raw'!AA21+'Annual Raw'!AA17+'Annual Raw'!AA16+'Annual Raw'!AA15-'Annual Raw'!AA24</f>
        <v>965.32999999999993</v>
      </c>
      <c r="AA36" s="38">
        <f>+'Annual Raw'!AB19+'Annual Raw'!AB20+'Annual Raw'!AB21+'Annual Raw'!AB17+'Annual Raw'!AB16+'Annual Raw'!AB15-'Annual Raw'!AB24</f>
        <v>1191.44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Raw'!D15+'QTR Raw'!D21+'QTR Raw'!D17+'QTR Raw'!D18+'QTR Raw'!D19+'QTR Raw'!D16+'QTR Raw'!D25</f>
        <v>0</v>
      </c>
      <c r="AI36" s="38">
        <f>+'QTR Raw'!E15+'QTR Raw'!E21+'QTR Raw'!E17+'QTR Raw'!E18+'QTR Raw'!E19+'QTR Raw'!E16+'QTR Raw'!E25</f>
        <v>0</v>
      </c>
      <c r="AJ36" s="38">
        <f>+'QTR Raw'!F15+'QTR Raw'!F21+'QTR Raw'!F17+'QTR Raw'!F18+'QTR Raw'!F19+'QTR Raw'!F16+'QTR Raw'!F25</f>
        <v>0</v>
      </c>
      <c r="AK36" s="38">
        <f>+'QTR Raw'!G15+'QTR Raw'!G21+'QTR Raw'!G17+'QTR Raw'!G18+'QTR Raw'!G19+'QTR Raw'!G16+'QTR Raw'!G25</f>
        <v>0</v>
      </c>
      <c r="AL36" s="38">
        <f>+'QTR Raw'!H15+'QTR Raw'!H21+'QTR Raw'!H17+'QTR Raw'!H18+'QTR Raw'!H19+'QTR Raw'!H16+'QTR Raw'!H25</f>
        <v>0</v>
      </c>
      <c r="AM36" s="38">
        <f>+'QTR Raw'!I15+'QTR Raw'!I21+'QTR Raw'!I17+'QTR Raw'!I18+'QTR Raw'!I19+'QTR Raw'!I16+'QTR Raw'!I25</f>
        <v>0</v>
      </c>
      <c r="AN36" s="38">
        <f>+'QTR Raw'!J15+'QTR Raw'!J21+'QTR Raw'!J17+'QTR Raw'!J18+'QTR Raw'!J19+'QTR Raw'!J16+'QTR Raw'!J25</f>
        <v>0</v>
      </c>
      <c r="AO36" s="38">
        <f>+'QTR Raw'!K15+'QTR Raw'!K21+'QTR Raw'!K17+'QTR Raw'!K18+'QTR Raw'!K19+'QTR Raw'!K16+'QTR Raw'!K25</f>
        <v>0</v>
      </c>
      <c r="AP36" s="38">
        <f>+'QTR Raw'!L15+'QTR Raw'!L21+'QTR Raw'!L17+'QTR Raw'!L18+'QTR Raw'!L19+'QTR Raw'!L16+'QTR Raw'!L25</f>
        <v>0</v>
      </c>
      <c r="AQ36" s="38">
        <f>+'QTR Raw'!M15+'QTR Raw'!M21+'QTR Raw'!M17+'QTR Raw'!M18+'QTR Raw'!M19+'QTR Raw'!M16+'QTR Raw'!M25</f>
        <v>0</v>
      </c>
      <c r="AR36" s="38">
        <f>+'QTR Raw'!N15+'QTR Raw'!N21+'QTR Raw'!N17+'QTR Raw'!N18+'QTR Raw'!N19+'QTR Raw'!N16+'QTR Raw'!N25</f>
        <v>0</v>
      </c>
      <c r="AS36" s="38">
        <f>+'QTR Raw'!O15+'QTR Raw'!O21+'QTR Raw'!O17+'QTR Raw'!O18+'QTR Raw'!O19+'QTR Raw'!O16+'QTR Raw'!O25</f>
        <v>0</v>
      </c>
      <c r="AT36" s="38">
        <f>+'QTR Raw'!P15+'QTR Raw'!P21+'QTR Raw'!P17+'QTR Raw'!P18+'QTR Raw'!P19+'QTR Raw'!P16+'QTR Raw'!P25</f>
        <v>0</v>
      </c>
      <c r="AU36" s="38">
        <f>+'QTR Raw'!Q15+'QTR Raw'!Q21+'QTR Raw'!Q17+'QTR Raw'!Q18+'QTR Raw'!Q19+'QTR Raw'!Q16+'QTR Raw'!Q25</f>
        <v>0</v>
      </c>
      <c r="AV36" s="38">
        <f>+'QTR Raw'!R15+'QTR Raw'!R21+'QTR Raw'!R17+'QTR Raw'!R18+'QTR Raw'!R19+'QTR Raw'!R16+'QTR Raw'!R25</f>
        <v>0</v>
      </c>
      <c r="AW36" s="38">
        <f>+'QTR Raw'!S15+'QTR Raw'!S21+'QTR Raw'!S17+'QTR Raw'!S18+'QTR Raw'!S19+'QTR Raw'!S16+'QTR Raw'!S25</f>
        <v>0</v>
      </c>
      <c r="AX36" s="38">
        <f>+'QTR Raw'!T15+'QTR Raw'!T21+'QTR Raw'!T17+'QTR Raw'!T18+'QTR Raw'!T19+'QTR Raw'!T16+'QTR Raw'!T25</f>
        <v>0</v>
      </c>
      <c r="AY36" s="38">
        <f>+'QTR Raw'!U15+'QTR Raw'!U21+'QTR Raw'!U17+'QTR Raw'!U18+'QTR Raw'!U19+'QTR Raw'!U16+'QTR Raw'!U25</f>
        <v>0</v>
      </c>
      <c r="AZ36" s="38">
        <f>+'QTR Raw'!V15+'QTR Raw'!V21+'QTR Raw'!V17+'QTR Raw'!V18+'QTR Raw'!V19+'QTR Raw'!V16+'QTR Raw'!V25</f>
        <v>0</v>
      </c>
      <c r="BA36" s="38">
        <f>+'QTR Raw'!W15+'QTR Raw'!W21+'QTR Raw'!W17+'QTR Raw'!W18+'QTR Raw'!W19+'QTR Raw'!W16+'QTR Raw'!W25</f>
        <v>0</v>
      </c>
      <c r="BB36" s="38">
        <f>+'QTR Raw'!X15+'QTR Raw'!X21+'QTR Raw'!X17+'QTR Raw'!X18+'QTR Raw'!X19+'QTR Raw'!X16+'QTR Raw'!X25</f>
        <v>0</v>
      </c>
      <c r="BC36" s="38">
        <f>+'QTR Raw'!Y15+'QTR Raw'!Y21+'QTR Raw'!Y17+'QTR Raw'!Y18+'QTR Raw'!Y19+'QTR Raw'!Y16+'QTR Raw'!Y25</f>
        <v>0</v>
      </c>
      <c r="BD36" s="38">
        <f>+'QTR Raw'!Z15+'QTR Raw'!Z21+'QTR Raw'!Z17+'QTR Raw'!Z18+'QTR Raw'!Z19+'QTR Raw'!Z16+'QTR Raw'!Z25</f>
        <v>0</v>
      </c>
      <c r="BE36" s="38">
        <f>+'QTR Raw'!AA15+'QTR Raw'!AA21+'QTR Raw'!AA17+'QTR Raw'!AA18+'QTR Raw'!AA19+'QTR Raw'!AA16+'QTR Raw'!AA25</f>
        <v>0</v>
      </c>
      <c r="BF36" s="38">
        <f>+'QTR Raw'!AB15+'QTR Raw'!AB21+'QTR Raw'!AB17+'QTR Raw'!AB18+'QTR Raw'!AB19+'QTR Raw'!AB16+'QTR Raw'!AB25</f>
        <v>0</v>
      </c>
      <c r="BG36" s="38">
        <f>+'QTR Raw'!AC15+'QTR Raw'!AC21+'QTR Raw'!AC17+'QTR Raw'!AC18+'QTR Raw'!AC19+'QTR Raw'!AC16+'QTR Raw'!AC25</f>
        <v>0</v>
      </c>
      <c r="BH36" s="38">
        <f>+'QTR Raw'!AD15+'QTR Raw'!AD21+'QTR Raw'!AD17+'QTR Raw'!AD18+'QTR Raw'!AD19+'QTR Raw'!AD16+'QTR Raw'!AD25</f>
        <v>0</v>
      </c>
      <c r="BI36" s="38">
        <f>+'QTR Raw'!AE15+'QTR Raw'!AE21+'QTR Raw'!AE17+'QTR Raw'!AE18+'QTR Raw'!AE19+'QTR Raw'!AE16+'QTR Raw'!AE25</f>
        <v>0</v>
      </c>
      <c r="BJ36" s="38">
        <f>+'QTR Raw'!AF15+'QTR Raw'!AF21+'QTR Raw'!AF17+'QTR Raw'!AF18+'QTR Raw'!AF19+'QTR Raw'!AF16+'QTR Raw'!AF25</f>
        <v>0</v>
      </c>
      <c r="BK36" s="38">
        <f>+'QTR Raw'!AG15+'QTR Raw'!AG21+'QTR Raw'!AG17+'QTR Raw'!AG18+'QTR Raw'!AG19+'QTR Raw'!AG16+'QTR Raw'!AG25</f>
        <v>0</v>
      </c>
      <c r="BL36" s="38">
        <f>+'QTR Raw'!AH15+'QTR Raw'!AH21+'QTR Raw'!AH17+'QTR Raw'!AH18+'QTR Raw'!AH19+'QTR Raw'!AH16+'QTR Raw'!AH25</f>
        <v>0</v>
      </c>
      <c r="BM36" s="38">
        <f>+'QTR Raw'!AI15+'QTR Raw'!AI21+'QTR Raw'!AI17+'QTR Raw'!AI18+'QTR Raw'!AI19+'QTR Raw'!AI16+'QTR Raw'!AI25</f>
        <v>0</v>
      </c>
      <c r="BN36" s="38">
        <f>+'QTR Raw'!AJ15+'QTR Raw'!AJ21+'QTR Raw'!AJ17+'QTR Raw'!AJ18+'QTR Raw'!AJ19+'QTR Raw'!AJ16+'QTR Raw'!AJ25</f>
        <v>0</v>
      </c>
      <c r="BO36" s="38">
        <f>+'QTR Raw'!AK15+'QTR Raw'!AK21+'QTR Raw'!AK17+'QTR Raw'!AK18+'QTR Raw'!AK19+'QTR Raw'!AK16+'QTR Raw'!AK25</f>
        <v>0</v>
      </c>
      <c r="BP36" s="38">
        <f>+'QTR Raw'!AL15+'QTR Raw'!AL21+'QTR Raw'!AL17+'QTR Raw'!AL18+'QTR Raw'!AL19+'QTR Raw'!AL16+'QTR Raw'!AL25</f>
        <v>0</v>
      </c>
      <c r="BQ36" s="38">
        <f>+'QTR Raw'!AM15+'QTR Raw'!AM21+'QTR Raw'!AM17+'QTR Raw'!AM18+'QTR Raw'!AM19+'QTR Raw'!AM16+'QTR Raw'!AM25</f>
        <v>0</v>
      </c>
      <c r="BR36" s="38">
        <f>+'QTR Raw'!AN15+'QTR Raw'!AN21+'QTR Raw'!AN17+'QTR Raw'!AN18+'QTR Raw'!AN19+'QTR Raw'!AN16+'QTR Raw'!AN25</f>
        <v>241.9</v>
      </c>
      <c r="BS36" s="38">
        <f>+'QTR Raw'!AO15+'QTR Raw'!AO21+'QTR Raw'!AO17+'QTR Raw'!AO18+'QTR Raw'!AO19+'QTR Raw'!AO16+'QTR Raw'!AO25</f>
        <v>250.2</v>
      </c>
      <c r="BT36" s="38">
        <f>+'QTR Raw'!AP15+'QTR Raw'!AP21+'QTR Raw'!AP17+'QTR Raw'!AP18+'QTR Raw'!AP19+'QTR Raw'!AP16+'QTR Raw'!AP25</f>
        <v>270.39999999999998</v>
      </c>
      <c r="BU36" s="38">
        <f>+'QTR Raw'!AQ15+'QTR Raw'!AQ21+'QTR Raw'!AQ17+'QTR Raw'!AQ18+'QTR Raw'!AQ19+'QTR Raw'!AQ16+'QTR Raw'!AQ25</f>
        <v>292.89999999999998</v>
      </c>
      <c r="BV36" s="38">
        <f>+'QTR Raw'!AR15+'QTR Raw'!AR21+'QTR Raw'!AR17+'QTR Raw'!AR18+'QTR Raw'!AR19+'QTR Raw'!AR16+'QTR Raw'!AR25</f>
        <v>312</v>
      </c>
      <c r="BW36" s="38">
        <f>+'QTR Raw'!AS15+'QTR Raw'!AS21+'QTR Raw'!AS17+'QTR Raw'!AS18+'QTR Raw'!AS19+'QTR Raw'!AS16+'QTR Raw'!AS25</f>
        <v>310.8</v>
      </c>
      <c r="BX36" s="38">
        <f>+'QTR Raw'!AT15+'QTR Raw'!AT21+'QTR Raw'!AT17+'QTR Raw'!AT18+'QTR Raw'!AT19+'QTR Raw'!AT16+'QTR Raw'!AT25</f>
        <v>320.5</v>
      </c>
      <c r="BY36" s="38">
        <f>+'QTR Raw'!AU15+'QTR Raw'!AU21+'QTR Raw'!AU17+'QTR Raw'!AU18+'QTR Raw'!AU19+'QTR Raw'!AU16+'QTR Raw'!AU25</f>
        <v>342.3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1285.5999999999999</v>
      </c>
    </row>
    <row r="37" spans="1:98" s="38" customFormat="1" x14ac:dyDescent="0.2">
      <c r="A37" s="38" t="s">
        <v>4</v>
      </c>
      <c r="B37" s="38">
        <f>+'Annual Raw'!C31</f>
        <v>0</v>
      </c>
      <c r="C37" s="38">
        <f>+'Annual Raw'!D31</f>
        <v>0</v>
      </c>
      <c r="D37" s="38">
        <f>+'Annual Raw'!E31</f>
        <v>0</v>
      </c>
      <c r="E37" s="38">
        <f>+'Annual Raw'!F31</f>
        <v>0</v>
      </c>
      <c r="F37" s="38">
        <f>+'Annual Raw'!G31</f>
        <v>0</v>
      </c>
      <c r="G37" s="38">
        <f>+'Annual Raw'!H31</f>
        <v>0</v>
      </c>
      <c r="H37" s="38">
        <f>+'Annual Raw'!I31</f>
        <v>0</v>
      </c>
      <c r="I37" s="38">
        <f>+'Annual Raw'!J31</f>
        <v>2.71798E-2</v>
      </c>
      <c r="J37" s="38">
        <f>+'Annual Raw'!K31</f>
        <v>1.3996854000000001</v>
      </c>
      <c r="K37" s="38">
        <f>+'Annual Raw'!L31</f>
        <v>1.7089407000000001</v>
      </c>
      <c r="L37" s="38">
        <f>+'Annual Raw'!M31</f>
        <v>3.2444142</v>
      </c>
      <c r="M37" s="38">
        <f>+'Annual Raw'!N31</f>
        <v>3.61</v>
      </c>
      <c r="N37" s="38">
        <f>+'Annual Raw'!O31</f>
        <v>4.2699999999999996</v>
      </c>
      <c r="O37" s="38">
        <f>+'Annual Raw'!P31</f>
        <v>7.59</v>
      </c>
      <c r="P37" s="38">
        <f>+'Annual Raw'!Q31</f>
        <v>13.85</v>
      </c>
      <c r="Q37" s="38">
        <f>+'Annual Raw'!R31</f>
        <v>19.89</v>
      </c>
      <c r="R37" s="38">
        <f>+'Annual Raw'!S31</f>
        <v>38.619999999999997</v>
      </c>
      <c r="S37" s="38">
        <f>+'Annual Raw'!T31</f>
        <v>45.31</v>
      </c>
      <c r="T37" s="38">
        <f>+'Annual Raw'!U31</f>
        <v>61.92</v>
      </c>
      <c r="U37" s="38">
        <f>+'Annual Raw'!V31</f>
        <v>109.66</v>
      </c>
      <c r="V37" s="38">
        <f>+'Annual Raw'!W31</f>
        <v>107.79</v>
      </c>
      <c r="W37" s="38">
        <f>+'Annual Raw'!X31</f>
        <v>98.94</v>
      </c>
      <c r="X37" s="38">
        <f>+'Annual Raw'!Y31</f>
        <v>111.84</v>
      </c>
      <c r="Y37" s="38">
        <f>+'Annual Raw'!Z31</f>
        <v>145.13999999999999</v>
      </c>
      <c r="Z37" s="38">
        <f>+'Annual Raw'!AA31</f>
        <v>194.42</v>
      </c>
      <c r="AA37" s="38">
        <f>+'Annual Raw'!AB31</f>
        <v>209.27</v>
      </c>
      <c r="AB37" s="39">
        <f>SUM(BZ37:CC37)</f>
        <v>0</v>
      </c>
      <c r="AC37" s="39">
        <f>SUM(CD37:CG37)</f>
        <v>0</v>
      </c>
      <c r="AD37" s="39">
        <f>SUM(CH37:CK37)</f>
        <v>0</v>
      </c>
      <c r="AE37" s="39">
        <f>SUM(CL37:CO37)</f>
        <v>0</v>
      </c>
      <c r="AG37" s="60"/>
      <c r="AH37" s="38">
        <f>+'QTR Raw'!D37</f>
        <v>0</v>
      </c>
      <c r="AI37" s="38">
        <f>+'QTR Raw'!E37</f>
        <v>0</v>
      </c>
      <c r="AJ37" s="38">
        <f>+'QTR Raw'!F37</f>
        <v>0</v>
      </c>
      <c r="AK37" s="38">
        <f>+'QTR Raw'!G37</f>
        <v>0</v>
      </c>
      <c r="AL37" s="38">
        <f>+'QTR Raw'!H37</f>
        <v>0</v>
      </c>
      <c r="AM37" s="38">
        <f>+'QTR Raw'!I37</f>
        <v>0</v>
      </c>
      <c r="AN37" s="38">
        <f>+'QTR Raw'!J37</f>
        <v>0</v>
      </c>
      <c r="AO37" s="38">
        <f>+'QTR Raw'!K37</f>
        <v>0</v>
      </c>
      <c r="AP37" s="38">
        <f>+'QTR Raw'!L37</f>
        <v>0</v>
      </c>
      <c r="AQ37" s="38">
        <f>+'QTR Raw'!M37</f>
        <v>0</v>
      </c>
      <c r="AR37" s="38">
        <f>+'QTR Raw'!N37</f>
        <v>0</v>
      </c>
      <c r="AS37" s="38">
        <f>+'QTR Raw'!O37</f>
        <v>0</v>
      </c>
      <c r="AT37" s="38">
        <f>+'QTR Raw'!P37</f>
        <v>0</v>
      </c>
      <c r="AU37" s="38">
        <f>+'QTR Raw'!Q37</f>
        <v>0</v>
      </c>
      <c r="AV37" s="38">
        <f>+'QTR Raw'!R37</f>
        <v>0</v>
      </c>
      <c r="AW37" s="38">
        <f>+'QTR Raw'!S37</f>
        <v>0</v>
      </c>
      <c r="AX37" s="38">
        <f>+'QTR Raw'!T37</f>
        <v>0</v>
      </c>
      <c r="AY37" s="38">
        <f>+'QTR Raw'!U37</f>
        <v>0</v>
      </c>
      <c r="AZ37" s="38">
        <f>+'QTR Raw'!V37</f>
        <v>0</v>
      </c>
      <c r="BA37" s="38">
        <f>+'QTR Raw'!W37</f>
        <v>0</v>
      </c>
      <c r="BB37" s="38">
        <f>+'QTR Raw'!X37</f>
        <v>0</v>
      </c>
      <c r="BC37" s="38">
        <f>+'QTR Raw'!Y37</f>
        <v>0</v>
      </c>
      <c r="BD37" s="38">
        <f>+'QTR Raw'!Z37</f>
        <v>0</v>
      </c>
      <c r="BE37" s="38">
        <f>+'QTR Raw'!AA37</f>
        <v>0</v>
      </c>
      <c r="BF37" s="38">
        <f>+'QTR Raw'!AB37</f>
        <v>0</v>
      </c>
      <c r="BG37" s="38">
        <f>+'QTR Raw'!AC37</f>
        <v>0</v>
      </c>
      <c r="BH37" s="38">
        <f>+'QTR Raw'!AD37</f>
        <v>0</v>
      </c>
      <c r="BI37" s="38">
        <f>+'QTR Raw'!AE37</f>
        <v>0</v>
      </c>
      <c r="BJ37" s="38">
        <f>+'QTR Raw'!AF37</f>
        <v>0</v>
      </c>
      <c r="BK37" s="38">
        <f>+'QTR Raw'!AG37</f>
        <v>0</v>
      </c>
      <c r="BL37" s="38">
        <f>+'QTR Raw'!AH37</f>
        <v>0</v>
      </c>
      <c r="BM37" s="38">
        <f>+'QTR Raw'!AI37</f>
        <v>0</v>
      </c>
      <c r="BN37" s="38">
        <f>+'QTR Raw'!AJ37</f>
        <v>0</v>
      </c>
      <c r="BO37" s="38">
        <f>+'QTR Raw'!AK37</f>
        <v>0</v>
      </c>
      <c r="BP37" s="38">
        <f>+'QTR Raw'!AL37</f>
        <v>0</v>
      </c>
      <c r="BQ37" s="38">
        <f>+'QTR Raw'!AM37</f>
        <v>0</v>
      </c>
      <c r="BR37" s="38">
        <f>+'QTR Raw'!AN37</f>
        <v>43.8</v>
      </c>
      <c r="BS37" s="38">
        <f>+'QTR Raw'!AO37</f>
        <v>48.2</v>
      </c>
      <c r="BT37" s="38">
        <f>+'QTR Raw'!AP37</f>
        <v>48.6</v>
      </c>
      <c r="BU37" s="38">
        <f>+'QTR Raw'!AQ37</f>
        <v>53.8</v>
      </c>
      <c r="BV37" s="38">
        <f>+'QTR Raw'!AR37</f>
        <v>51.4</v>
      </c>
      <c r="BW37" s="38">
        <f>+'QTR Raw'!AS37</f>
        <v>52.4</v>
      </c>
      <c r="BX37" s="38">
        <f>+'QTR Raw'!AT37</f>
        <v>51.2</v>
      </c>
      <c r="BY37" s="38">
        <f>+'QTR Raw'!AU37</f>
        <v>54.3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T37" s="38">
        <v>209.3</v>
      </c>
    </row>
    <row r="38" spans="1:98" s="38" customFormat="1" x14ac:dyDescent="0.2">
      <c r="A38" s="38" t="s">
        <v>23</v>
      </c>
      <c r="B38" s="38">
        <f>+'Annual Raw'!C22</f>
        <v>0</v>
      </c>
      <c r="C38" s="38">
        <f>+'Annual Raw'!D22</f>
        <v>0</v>
      </c>
      <c r="D38" s="38">
        <f>+'Annual Raw'!E22</f>
        <v>0</v>
      </c>
      <c r="E38" s="38">
        <f>+'Annual Raw'!F22</f>
        <v>0</v>
      </c>
      <c r="F38" s="38">
        <f>+'Annual Raw'!G22</f>
        <v>0</v>
      </c>
      <c r="G38" s="38">
        <f>+'Annual Raw'!H22</f>
        <v>0</v>
      </c>
      <c r="H38" s="38">
        <f>+'Annual Raw'!I22</f>
        <v>0</v>
      </c>
      <c r="I38" s="38">
        <f>+'Annual Raw'!J22</f>
        <v>1.4659999999999999E-2</v>
      </c>
      <c r="J38" s="38">
        <f>+'Annual Raw'!K22</f>
        <v>0.44419940000000002</v>
      </c>
      <c r="K38" s="38">
        <f>+'Annual Raw'!L22</f>
        <v>0.94779880000000005</v>
      </c>
      <c r="L38" s="38">
        <f>+'Annual Raw'!M22</f>
        <v>4.8753744000000001</v>
      </c>
      <c r="M38" s="38">
        <f>+'Annual Raw'!N22</f>
        <v>17.5</v>
      </c>
      <c r="N38" s="38">
        <f>+'Annual Raw'!O22</f>
        <v>30.31</v>
      </c>
      <c r="O38" s="38">
        <f>+'Annual Raw'!P22</f>
        <v>43.35</v>
      </c>
      <c r="P38" s="38">
        <f>+'Annual Raw'!Q22</f>
        <v>60.54</v>
      </c>
      <c r="Q38" s="38">
        <f>+'Annual Raw'!R22</f>
        <v>67.37</v>
      </c>
      <c r="R38" s="38">
        <f>+'Annual Raw'!S22</f>
        <v>69.67</v>
      </c>
      <c r="S38" s="38">
        <f>+'Annual Raw'!T22</f>
        <v>2.31</v>
      </c>
      <c r="T38" s="38">
        <f>+'Annual Raw'!U22</f>
        <v>3</v>
      </c>
      <c r="U38" s="38">
        <f>+'Annual Raw'!V22</f>
        <v>3.02</v>
      </c>
      <c r="V38" s="38">
        <f>+'Annual Raw'!W22</f>
        <v>2.2200000000000002</v>
      </c>
      <c r="W38" s="38">
        <f>+'Annual Raw'!X22</f>
        <v>2.56</v>
      </c>
      <c r="X38" s="38">
        <f>+'Annual Raw'!Y22</f>
        <v>2.48</v>
      </c>
      <c r="Y38" s="38">
        <f>+'Annual Raw'!Z22</f>
        <v>0.5</v>
      </c>
      <c r="Z38" s="38">
        <f>+'Annual Raw'!AA22</f>
        <v>0.09</v>
      </c>
      <c r="AA38" s="38">
        <f>+'Annual Raw'!AB22</f>
        <v>0.01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AH38" s="38">
        <f>+'QTR Raw'!D22</f>
        <v>0</v>
      </c>
      <c r="AI38" s="38">
        <f>+'QTR Raw'!E22</f>
        <v>0</v>
      </c>
      <c r="AJ38" s="38">
        <f>+'QTR Raw'!F22</f>
        <v>0</v>
      </c>
      <c r="AK38" s="38">
        <f>+'QTR Raw'!G22</f>
        <v>0</v>
      </c>
      <c r="AL38" s="38">
        <f>+'QTR Raw'!H22</f>
        <v>0</v>
      </c>
      <c r="AM38" s="38">
        <f>+'QTR Raw'!I22</f>
        <v>0</v>
      </c>
      <c r="AN38" s="38">
        <f>+'QTR Raw'!J22</f>
        <v>0</v>
      </c>
      <c r="AO38" s="38">
        <f>+'QTR Raw'!K22</f>
        <v>0</v>
      </c>
      <c r="AP38" s="38">
        <f>+'QTR Raw'!L22</f>
        <v>0</v>
      </c>
      <c r="AQ38" s="38">
        <f>+'QTR Raw'!M22</f>
        <v>0</v>
      </c>
      <c r="AR38" s="38">
        <f>+'QTR Raw'!N22</f>
        <v>0</v>
      </c>
      <c r="AS38" s="38">
        <f>+'QTR Raw'!O22</f>
        <v>0</v>
      </c>
      <c r="AT38" s="38">
        <f>+'QTR Raw'!P22</f>
        <v>0</v>
      </c>
      <c r="AU38" s="38">
        <f>+'QTR Raw'!Q22</f>
        <v>0</v>
      </c>
      <c r="AV38" s="38">
        <f>+'QTR Raw'!R22</f>
        <v>0</v>
      </c>
      <c r="AW38" s="38">
        <f>+'QTR Raw'!S22</f>
        <v>0</v>
      </c>
      <c r="AX38" s="38">
        <f>+'QTR Raw'!T22</f>
        <v>0</v>
      </c>
      <c r="AY38" s="38">
        <f>+'QTR Raw'!U22</f>
        <v>0</v>
      </c>
      <c r="AZ38" s="38">
        <f>+'QTR Raw'!V22</f>
        <v>0</v>
      </c>
      <c r="BA38" s="38">
        <f>+'QTR Raw'!W22</f>
        <v>0</v>
      </c>
      <c r="BB38" s="38">
        <f>+'QTR Raw'!X22</f>
        <v>0</v>
      </c>
      <c r="BC38" s="38">
        <f>+'QTR Raw'!Y22</f>
        <v>0</v>
      </c>
      <c r="BD38" s="38">
        <f>+'QTR Raw'!Z22</f>
        <v>0</v>
      </c>
      <c r="BE38" s="38">
        <f>+'QTR Raw'!AA22</f>
        <v>0</v>
      </c>
      <c r="BF38" s="38">
        <f>+'QTR Raw'!AB22</f>
        <v>0</v>
      </c>
      <c r="BG38" s="38">
        <f>+'QTR Raw'!AC22</f>
        <v>0</v>
      </c>
      <c r="BH38" s="38">
        <f>+'QTR Raw'!AD22</f>
        <v>0</v>
      </c>
      <c r="BI38" s="38">
        <f>+'QTR Raw'!AE22</f>
        <v>0</v>
      </c>
      <c r="BJ38" s="38">
        <f>+'QTR Raw'!AF22</f>
        <v>0</v>
      </c>
      <c r="BK38" s="38">
        <f>+'QTR Raw'!AG22</f>
        <v>0</v>
      </c>
      <c r="BL38" s="38">
        <f>+'QTR Raw'!AH22</f>
        <v>0</v>
      </c>
      <c r="BM38" s="38">
        <f>+'QTR Raw'!AI22</f>
        <v>0</v>
      </c>
      <c r="BN38" s="38">
        <f>+'QTR Raw'!AJ22</f>
        <v>0</v>
      </c>
      <c r="BO38" s="38">
        <f>+'QTR Raw'!AK22</f>
        <v>0</v>
      </c>
      <c r="BP38" s="38">
        <f>+'QTR Raw'!AL22</f>
        <v>0</v>
      </c>
      <c r="BQ38" s="38">
        <f>+'QTR Raw'!AM22</f>
        <v>0</v>
      </c>
      <c r="BR38" s="38">
        <f>+'QTR Raw'!AN22</f>
        <v>0</v>
      </c>
      <c r="BS38" s="38">
        <f>+'QTR Raw'!AO22</f>
        <v>0</v>
      </c>
      <c r="BT38" s="38">
        <f>+'QTR Raw'!AP22</f>
        <v>0</v>
      </c>
      <c r="BU38" s="38">
        <f>+'QTR Raw'!AQ22</f>
        <v>0</v>
      </c>
      <c r="BV38" s="38">
        <f>+'QTR Raw'!AR22</f>
        <v>0</v>
      </c>
      <c r="BW38" s="38">
        <f>+'QTR Raw'!AS22</f>
        <v>0</v>
      </c>
      <c r="BX38" s="38">
        <f>+'QTR Raw'!AT22</f>
        <v>0</v>
      </c>
      <c r="BY38" s="38">
        <f>+'QTR Raw'!AU22</f>
        <v>0</v>
      </c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T38" s="38">
        <v>0</v>
      </c>
    </row>
    <row r="39" spans="1:98" s="38" customFormat="1" x14ac:dyDescent="0.2">
      <c r="A39" s="38" t="s">
        <v>478</v>
      </c>
      <c r="AB39" s="39"/>
      <c r="AC39" s="39"/>
      <c r="AD39" s="39"/>
      <c r="AE39" s="39"/>
      <c r="AG39" s="60"/>
      <c r="AH39" s="38">
        <f>+'QTR Raw'!D23+'QTR Raw'!D24+'QTR Raw'!D26</f>
        <v>0</v>
      </c>
      <c r="AI39" s="38">
        <f>+'QTR Raw'!E23+'QTR Raw'!E24+'QTR Raw'!E26</f>
        <v>0</v>
      </c>
      <c r="AJ39" s="38">
        <f>+'QTR Raw'!F23+'QTR Raw'!F24+'QTR Raw'!F26</f>
        <v>0</v>
      </c>
      <c r="AK39" s="38">
        <f>+'QTR Raw'!G23+'QTR Raw'!G24+'QTR Raw'!G26</f>
        <v>0</v>
      </c>
      <c r="AL39" s="38">
        <f>+'QTR Raw'!H23+'QTR Raw'!H24+'QTR Raw'!H26</f>
        <v>0</v>
      </c>
      <c r="AM39" s="38">
        <f>+'QTR Raw'!I23+'QTR Raw'!I24+'QTR Raw'!I26</f>
        <v>0</v>
      </c>
      <c r="AN39" s="38">
        <f>+'QTR Raw'!J23+'QTR Raw'!J24+'QTR Raw'!J26</f>
        <v>0</v>
      </c>
      <c r="AO39" s="38">
        <f>+'QTR Raw'!K23+'QTR Raw'!K24+'QTR Raw'!K26</f>
        <v>0</v>
      </c>
      <c r="AP39" s="38">
        <f>+'QTR Raw'!L23+'QTR Raw'!L24+'QTR Raw'!L26</f>
        <v>0</v>
      </c>
      <c r="AQ39" s="38">
        <f>+'QTR Raw'!M23+'QTR Raw'!M24+'QTR Raw'!M26</f>
        <v>0</v>
      </c>
      <c r="AR39" s="38">
        <f>+'QTR Raw'!N23+'QTR Raw'!N24+'QTR Raw'!N26</f>
        <v>0</v>
      </c>
      <c r="AS39" s="38">
        <f>+'QTR Raw'!O23+'QTR Raw'!O24+'QTR Raw'!O26</f>
        <v>0</v>
      </c>
      <c r="AT39" s="38">
        <f>+'QTR Raw'!P23+'QTR Raw'!P24+'QTR Raw'!P26</f>
        <v>0</v>
      </c>
      <c r="AU39" s="38">
        <f>+'QTR Raw'!Q23+'QTR Raw'!Q24+'QTR Raw'!Q26</f>
        <v>0</v>
      </c>
      <c r="AV39" s="38">
        <f>+'QTR Raw'!R23+'QTR Raw'!R24+'QTR Raw'!R26</f>
        <v>0</v>
      </c>
      <c r="AW39" s="38">
        <f>+'QTR Raw'!S23+'QTR Raw'!S24+'QTR Raw'!S26</f>
        <v>0</v>
      </c>
      <c r="AX39" s="38">
        <f>+'QTR Raw'!T23+'QTR Raw'!T24+'QTR Raw'!T26</f>
        <v>0</v>
      </c>
      <c r="AY39" s="38">
        <f>+'QTR Raw'!U23+'QTR Raw'!U24+'QTR Raw'!U26</f>
        <v>0</v>
      </c>
      <c r="AZ39" s="38">
        <f>+'QTR Raw'!V23+'QTR Raw'!V24+'QTR Raw'!V26</f>
        <v>0</v>
      </c>
      <c r="BA39" s="38">
        <f>+'QTR Raw'!W23+'QTR Raw'!W24+'QTR Raw'!W26</f>
        <v>0</v>
      </c>
      <c r="BB39" s="38">
        <f>+'QTR Raw'!X23+'QTR Raw'!X24+'QTR Raw'!X26</f>
        <v>0</v>
      </c>
      <c r="BC39" s="38">
        <f>+'QTR Raw'!Y23+'QTR Raw'!Y24+'QTR Raw'!Y26</f>
        <v>0</v>
      </c>
      <c r="BD39" s="38">
        <f>+'QTR Raw'!Z23+'QTR Raw'!Z24+'QTR Raw'!Z26</f>
        <v>0</v>
      </c>
      <c r="BE39" s="38">
        <f>+'QTR Raw'!AA23+'QTR Raw'!AA24+'QTR Raw'!AA26</f>
        <v>0</v>
      </c>
      <c r="BF39" s="38">
        <f>+'QTR Raw'!AB23+'QTR Raw'!AB24+'QTR Raw'!AB26</f>
        <v>0</v>
      </c>
      <c r="BG39" s="38">
        <f>+'QTR Raw'!AC23+'QTR Raw'!AC24+'QTR Raw'!AC26</f>
        <v>0</v>
      </c>
      <c r="BH39" s="38">
        <f>+'QTR Raw'!AD23+'QTR Raw'!AD24+'QTR Raw'!AD26</f>
        <v>0</v>
      </c>
      <c r="BI39" s="38">
        <f>+'QTR Raw'!AE23+'QTR Raw'!AE24+'QTR Raw'!AE26</f>
        <v>0</v>
      </c>
      <c r="BJ39" s="38">
        <f>+'QTR Raw'!AF23+'QTR Raw'!AF24+'QTR Raw'!AF26</f>
        <v>0</v>
      </c>
      <c r="BK39" s="38">
        <f>+'QTR Raw'!AG23+'QTR Raw'!AG24+'QTR Raw'!AG26</f>
        <v>0</v>
      </c>
      <c r="BL39" s="38">
        <f>+'QTR Raw'!AH23+'QTR Raw'!AH24+'QTR Raw'!AH26</f>
        <v>0</v>
      </c>
      <c r="BM39" s="38">
        <f>+'QTR Raw'!AI23+'QTR Raw'!AI24+'QTR Raw'!AI26</f>
        <v>0</v>
      </c>
      <c r="BN39" s="38">
        <f>+'QTR Raw'!AJ23+'QTR Raw'!AJ24+'QTR Raw'!AJ26</f>
        <v>0</v>
      </c>
      <c r="BO39" s="38">
        <f>+'QTR Raw'!AK23+'QTR Raw'!AK24+'QTR Raw'!AK26</f>
        <v>0</v>
      </c>
      <c r="BP39" s="38">
        <f>+'QTR Raw'!AL23+'QTR Raw'!AL24+'QTR Raw'!AL26</f>
        <v>0</v>
      </c>
      <c r="BQ39" s="38">
        <f>+'QTR Raw'!AM23+'QTR Raw'!AM24+'QTR Raw'!AM26</f>
        <v>0</v>
      </c>
      <c r="BR39" s="38">
        <f>+'QTR Raw'!AN23+'QTR Raw'!AN24+'QTR Raw'!AN26</f>
        <v>0</v>
      </c>
      <c r="BS39" s="38">
        <f>+'QTR Raw'!AO23+'QTR Raw'!AO24+'QTR Raw'!AO26</f>
        <v>0</v>
      </c>
      <c r="BT39" s="38">
        <f>+'QTR Raw'!AP23+'QTR Raw'!AP24+'QTR Raw'!AP26</f>
        <v>0</v>
      </c>
      <c r="BU39" s="38">
        <f>+'QTR Raw'!AQ23+'QTR Raw'!AQ24+'QTR Raw'!AQ26</f>
        <v>0</v>
      </c>
      <c r="BV39" s="38">
        <f>+'QTR Raw'!AR23+'QTR Raw'!AR24+'QTR Raw'!AR26</f>
        <v>0</v>
      </c>
      <c r="BW39" s="38">
        <f>+'QTR Raw'!AS23+'QTR Raw'!AS24+'QTR Raw'!AS26</f>
        <v>0</v>
      </c>
      <c r="BX39" s="38">
        <f>+'QTR Raw'!AT23+'QTR Raw'!AT24+'QTR Raw'!AT26</f>
        <v>0</v>
      </c>
      <c r="BY39" s="38">
        <f>+'QTR Raw'!AU23+'QTR Raw'!AU24+'QTR Raw'!AU26</f>
        <v>0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</row>
    <row r="40" spans="1:98" s="43" customFormat="1" x14ac:dyDescent="0.2">
      <c r="A40" s="43" t="s">
        <v>50</v>
      </c>
      <c r="B40" s="43">
        <f>SUM(B35:B39)</f>
        <v>0</v>
      </c>
      <c r="C40" s="43">
        <f t="shared" ref="C40:AE40" si="577">SUM(C35:C39)</f>
        <v>0</v>
      </c>
      <c r="D40" s="43">
        <f t="shared" si="577"/>
        <v>0</v>
      </c>
      <c r="E40" s="43">
        <f t="shared" si="577"/>
        <v>0</v>
      </c>
      <c r="F40" s="43">
        <f t="shared" si="577"/>
        <v>0</v>
      </c>
      <c r="G40" s="43">
        <f t="shared" si="577"/>
        <v>0</v>
      </c>
      <c r="H40" s="43">
        <f t="shared" si="577"/>
        <v>0</v>
      </c>
      <c r="I40" s="43">
        <f t="shared" si="577"/>
        <v>1.998653</v>
      </c>
      <c r="J40" s="43">
        <f t="shared" si="577"/>
        <v>31.154112499999997</v>
      </c>
      <c r="K40" s="43">
        <f t="shared" si="577"/>
        <v>58.106605399999999</v>
      </c>
      <c r="L40" s="43">
        <f t="shared" si="577"/>
        <v>86.689395199999993</v>
      </c>
      <c r="M40" s="43">
        <f t="shared" si="577"/>
        <v>151.54000000000002</v>
      </c>
      <c r="N40" s="43">
        <f t="shared" si="577"/>
        <v>239.17000000000004</v>
      </c>
      <c r="O40" s="43">
        <f t="shared" si="577"/>
        <v>353.53000000000003</v>
      </c>
      <c r="P40" s="43">
        <f t="shared" si="577"/>
        <v>477.86000000000007</v>
      </c>
      <c r="Q40" s="43">
        <f t="shared" si="577"/>
        <v>718.38</v>
      </c>
      <c r="R40" s="43">
        <f t="shared" si="577"/>
        <v>2262.2800000000002</v>
      </c>
      <c r="S40" s="43">
        <f t="shared" si="577"/>
        <v>2605.5699999999997</v>
      </c>
      <c r="T40" s="43">
        <f t="shared" si="577"/>
        <v>3007.5499999999997</v>
      </c>
      <c r="U40" s="43">
        <f t="shared" si="577"/>
        <v>3740.92</v>
      </c>
      <c r="V40" s="43">
        <f t="shared" si="577"/>
        <v>3459.6299999999997</v>
      </c>
      <c r="W40" s="43">
        <f t="shared" si="577"/>
        <v>4141.7300000000005</v>
      </c>
      <c r="X40" s="43">
        <f t="shared" si="577"/>
        <v>4912.3899999999994</v>
      </c>
      <c r="Y40" s="43">
        <f t="shared" si="577"/>
        <v>4861.88</v>
      </c>
      <c r="Z40" s="43">
        <f t="shared" si="577"/>
        <v>4779.41</v>
      </c>
      <c r="AA40" s="43">
        <f t="shared" ref="AA40" si="578">SUM(AA35:AA39)</f>
        <v>5314.3300000000008</v>
      </c>
      <c r="AB40" s="44">
        <f t="shared" si="577"/>
        <v>6530.3086215425974</v>
      </c>
      <c r="AC40" s="44">
        <f t="shared" si="577"/>
        <v>7475.6949342074022</v>
      </c>
      <c r="AD40" s="44">
        <f t="shared" si="577"/>
        <v>8445.1576325517963</v>
      </c>
      <c r="AE40" s="44">
        <f t="shared" si="577"/>
        <v>9528.3770438285555</v>
      </c>
      <c r="AG40" s="62"/>
      <c r="AH40" s="43">
        <f t="shared" ref="AH40:CO40" si="579">SUM(AH35:AH39)</f>
        <v>0</v>
      </c>
      <c r="AI40" s="43">
        <f t="shared" si="579"/>
        <v>0</v>
      </c>
      <c r="AJ40" s="43">
        <f t="shared" si="579"/>
        <v>0</v>
      </c>
      <c r="AK40" s="43">
        <f t="shared" si="579"/>
        <v>0</v>
      </c>
      <c r="AL40" s="43">
        <f t="shared" si="579"/>
        <v>0</v>
      </c>
      <c r="AM40" s="43">
        <f t="shared" si="579"/>
        <v>0</v>
      </c>
      <c r="AN40" s="43">
        <f t="shared" si="579"/>
        <v>0</v>
      </c>
      <c r="AO40" s="43">
        <f t="shared" si="579"/>
        <v>0</v>
      </c>
      <c r="AP40" s="43">
        <f t="shared" si="579"/>
        <v>0</v>
      </c>
      <c r="AQ40" s="43">
        <f t="shared" si="579"/>
        <v>0</v>
      </c>
      <c r="AR40" s="43">
        <f t="shared" si="579"/>
        <v>0</v>
      </c>
      <c r="AS40" s="43">
        <f t="shared" si="579"/>
        <v>0</v>
      </c>
      <c r="AT40" s="43">
        <f t="shared" si="579"/>
        <v>0</v>
      </c>
      <c r="AU40" s="43">
        <f t="shared" si="579"/>
        <v>0</v>
      </c>
      <c r="AV40" s="43">
        <f t="shared" si="579"/>
        <v>0</v>
      </c>
      <c r="AW40" s="43">
        <f t="shared" si="579"/>
        <v>0</v>
      </c>
      <c r="AX40" s="43">
        <f t="shared" si="579"/>
        <v>0</v>
      </c>
      <c r="AY40" s="43">
        <f t="shared" si="579"/>
        <v>0</v>
      </c>
      <c r="AZ40" s="43">
        <f t="shared" si="579"/>
        <v>0</v>
      </c>
      <c r="BA40" s="43">
        <f t="shared" si="579"/>
        <v>0</v>
      </c>
      <c r="BB40" s="43">
        <f t="shared" si="579"/>
        <v>0</v>
      </c>
      <c r="BC40" s="43">
        <f t="shared" si="579"/>
        <v>0</v>
      </c>
      <c r="BD40" s="43">
        <f t="shared" si="579"/>
        <v>0</v>
      </c>
      <c r="BE40" s="43">
        <f t="shared" si="579"/>
        <v>0</v>
      </c>
      <c r="BF40" s="43">
        <f t="shared" si="579"/>
        <v>0</v>
      </c>
      <c r="BG40" s="43">
        <f t="shared" si="579"/>
        <v>0</v>
      </c>
      <c r="BH40" s="43">
        <f t="shared" si="579"/>
        <v>0</v>
      </c>
      <c r="BI40" s="43">
        <f t="shared" si="579"/>
        <v>0</v>
      </c>
      <c r="BJ40" s="43">
        <f t="shared" si="579"/>
        <v>0</v>
      </c>
      <c r="BK40" s="43">
        <f t="shared" si="579"/>
        <v>0</v>
      </c>
      <c r="BL40" s="43">
        <f t="shared" si="579"/>
        <v>0</v>
      </c>
      <c r="BM40" s="43">
        <f t="shared" si="579"/>
        <v>0</v>
      </c>
      <c r="BN40" s="43">
        <f t="shared" si="579"/>
        <v>0</v>
      </c>
      <c r="BO40" s="43">
        <f t="shared" si="579"/>
        <v>0</v>
      </c>
      <c r="BP40" s="43">
        <f t="shared" si="579"/>
        <v>0</v>
      </c>
      <c r="BQ40" s="43">
        <f t="shared" si="579"/>
        <v>0</v>
      </c>
      <c r="BR40" s="43">
        <f t="shared" si="579"/>
        <v>1191.2</v>
      </c>
      <c r="BS40" s="43">
        <f t="shared" si="579"/>
        <v>1178.2</v>
      </c>
      <c r="BT40" s="43">
        <f t="shared" si="579"/>
        <v>1222.2999999999997</v>
      </c>
      <c r="BU40" s="43">
        <f t="shared" si="579"/>
        <v>1277.5999999999999</v>
      </c>
      <c r="BV40" s="43">
        <f t="shared" si="579"/>
        <v>1323.5</v>
      </c>
      <c r="BW40" s="43">
        <f t="shared" si="579"/>
        <v>1320.9</v>
      </c>
      <c r="BX40" s="43">
        <f t="shared" ref="BX40:BY40" si="580">SUM(BX35:BX39)</f>
        <v>1397</v>
      </c>
      <c r="BY40" s="43">
        <f t="shared" si="580"/>
        <v>1367.1</v>
      </c>
      <c r="BZ40" s="44">
        <f t="shared" si="579"/>
        <v>1498.0206741155905</v>
      </c>
      <c r="CA40" s="44">
        <f t="shared" si="579"/>
        <v>1631.8282749345744</v>
      </c>
      <c r="CB40" s="44">
        <f t="shared" si="579"/>
        <v>1677.161821218871</v>
      </c>
      <c r="CC40" s="44">
        <f t="shared" si="579"/>
        <v>1723.2978512735613</v>
      </c>
      <c r="CD40" s="44">
        <f t="shared" si="579"/>
        <v>1784.2901308129897</v>
      </c>
      <c r="CE40" s="44">
        <f t="shared" si="579"/>
        <v>1846.0748264594274</v>
      </c>
      <c r="CF40" s="44">
        <f t="shared" si="579"/>
        <v>1896.9411716965196</v>
      </c>
      <c r="CG40" s="44">
        <f t="shared" si="579"/>
        <v>1948.3888052384657</v>
      </c>
      <c r="CH40" s="44">
        <f t="shared" si="579"/>
        <v>2016.6937907265901</v>
      </c>
      <c r="CI40" s="44">
        <f t="shared" si="579"/>
        <v>2085.7756242665178</v>
      </c>
      <c r="CJ40" s="44">
        <f t="shared" si="579"/>
        <v>2142.5739403275497</v>
      </c>
      <c r="CK40" s="44">
        <f t="shared" si="579"/>
        <v>2200.1142772311405</v>
      </c>
      <c r="CL40" s="44">
        <f t="shared" si="579"/>
        <v>2276.4187351120413</v>
      </c>
      <c r="CM40" s="44">
        <f t="shared" si="579"/>
        <v>2353.5505037262506</v>
      </c>
      <c r="CN40" s="44">
        <f t="shared" si="579"/>
        <v>2417.0351691350802</v>
      </c>
      <c r="CO40" s="44">
        <f t="shared" si="579"/>
        <v>2481.372635855183</v>
      </c>
      <c r="CT40" s="43">
        <v>5408.5000000000009</v>
      </c>
    </row>
    <row r="41" spans="1:98" s="40" customFormat="1" x14ac:dyDescent="0.2">
      <c r="A41" s="40" t="s">
        <v>11</v>
      </c>
      <c r="B41" s="40">
        <f t="shared" ref="B41:AE41" si="581">+B33-B40</f>
        <v>0</v>
      </c>
      <c r="C41" s="40">
        <f t="shared" si="581"/>
        <v>0</v>
      </c>
      <c r="D41" s="40">
        <f t="shared" si="581"/>
        <v>0</v>
      </c>
      <c r="E41" s="40">
        <f t="shared" si="581"/>
        <v>0</v>
      </c>
      <c r="F41" s="40">
        <f t="shared" si="581"/>
        <v>0</v>
      </c>
      <c r="G41" s="40">
        <f t="shared" si="581"/>
        <v>0</v>
      </c>
      <c r="H41" s="40">
        <f t="shared" si="581"/>
        <v>0</v>
      </c>
      <c r="I41" s="40">
        <f t="shared" si="581"/>
        <v>-1.5163554000000001</v>
      </c>
      <c r="J41" s="40">
        <f t="shared" si="581"/>
        <v>-9.1831796999999966</v>
      </c>
      <c r="K41" s="40">
        <f t="shared" si="581"/>
        <v>16.398385399999988</v>
      </c>
      <c r="L41" s="40">
        <f t="shared" si="581"/>
        <v>46.509556799999999</v>
      </c>
      <c r="M41" s="40">
        <f t="shared" si="581"/>
        <v>114.12999999999994</v>
      </c>
      <c r="N41" s="40">
        <f t="shared" si="581"/>
        <v>215.77999999999989</v>
      </c>
      <c r="O41" s="40">
        <f t="shared" si="581"/>
        <v>456.74999999999994</v>
      </c>
      <c r="P41" s="40">
        <f t="shared" si="581"/>
        <v>735.05</v>
      </c>
      <c r="Q41" s="40">
        <f t="shared" si="581"/>
        <v>1065.9099999999999</v>
      </c>
      <c r="R41" s="40">
        <f t="shared" si="581"/>
        <v>1477.69</v>
      </c>
      <c r="S41" s="40">
        <f t="shared" si="581"/>
        <v>1972.4799999999996</v>
      </c>
      <c r="T41" s="40">
        <f t="shared" si="581"/>
        <v>2388.7199999999998</v>
      </c>
      <c r="U41" s="40">
        <f t="shared" si="581"/>
        <v>2934.3199999999988</v>
      </c>
      <c r="V41" s="40">
        <f t="shared" si="581"/>
        <v>3604.9700000000016</v>
      </c>
      <c r="W41" s="40">
        <f t="shared" si="581"/>
        <v>3840.38</v>
      </c>
      <c r="X41" s="40">
        <f t="shared" si="581"/>
        <v>3979.58</v>
      </c>
      <c r="Y41" s="40">
        <f t="shared" si="581"/>
        <v>4405.3100000000004</v>
      </c>
      <c r="Z41" s="40">
        <f t="shared" si="581"/>
        <v>5088.7500000000018</v>
      </c>
      <c r="AA41" s="40">
        <f t="shared" ref="AA41" si="582">+AA33-AA40</f>
        <v>6259.9799999999968</v>
      </c>
      <c r="AB41" s="41">
        <f t="shared" si="581"/>
        <v>8651.9763763380834</v>
      </c>
      <c r="AC41" s="41">
        <f t="shared" si="581"/>
        <v>9873.5004886461411</v>
      </c>
      <c r="AD41" s="41">
        <f t="shared" si="581"/>
        <v>11145.682091151863</v>
      </c>
      <c r="AE41" s="41">
        <f t="shared" si="581"/>
        <v>12573.575893754978</v>
      </c>
      <c r="AG41" s="61"/>
      <c r="AH41" s="40">
        <f t="shared" ref="AH41:AU41" si="583">+AH33-AH40</f>
        <v>0</v>
      </c>
      <c r="AI41" s="40">
        <f t="shared" si="583"/>
        <v>0</v>
      </c>
      <c r="AJ41" s="40">
        <f t="shared" si="583"/>
        <v>0</v>
      </c>
      <c r="AK41" s="40">
        <f t="shared" si="583"/>
        <v>0</v>
      </c>
      <c r="AL41" s="40">
        <f t="shared" si="583"/>
        <v>0</v>
      </c>
      <c r="AM41" s="40">
        <f t="shared" si="583"/>
        <v>0</v>
      </c>
      <c r="AN41" s="40">
        <f t="shared" si="583"/>
        <v>0</v>
      </c>
      <c r="AO41" s="40">
        <f t="shared" si="583"/>
        <v>0</v>
      </c>
      <c r="AP41" s="40">
        <f t="shared" si="583"/>
        <v>0</v>
      </c>
      <c r="AQ41" s="40">
        <f t="shared" si="583"/>
        <v>0</v>
      </c>
      <c r="AR41" s="40">
        <f t="shared" si="583"/>
        <v>0</v>
      </c>
      <c r="AS41" s="40">
        <f t="shared" si="583"/>
        <v>0</v>
      </c>
      <c r="AT41" s="40">
        <f t="shared" si="583"/>
        <v>0</v>
      </c>
      <c r="AU41" s="40">
        <f t="shared" si="583"/>
        <v>0</v>
      </c>
      <c r="AV41" s="40">
        <f t="shared" ref="AV41:BM41" si="584">+AV33-AV40</f>
        <v>0</v>
      </c>
      <c r="AW41" s="40">
        <f t="shared" si="584"/>
        <v>0</v>
      </c>
      <c r="AX41" s="40">
        <f t="shared" si="584"/>
        <v>0</v>
      </c>
      <c r="AY41" s="40">
        <f t="shared" si="584"/>
        <v>0</v>
      </c>
      <c r="AZ41" s="40">
        <f t="shared" si="584"/>
        <v>0</v>
      </c>
      <c r="BA41" s="40">
        <f t="shared" si="584"/>
        <v>0</v>
      </c>
      <c r="BB41" s="40">
        <f t="shared" si="584"/>
        <v>0</v>
      </c>
      <c r="BC41" s="40">
        <f t="shared" si="584"/>
        <v>0</v>
      </c>
      <c r="BD41" s="40">
        <f t="shared" si="584"/>
        <v>0</v>
      </c>
      <c r="BE41" s="40">
        <f t="shared" si="584"/>
        <v>0</v>
      </c>
      <c r="BF41" s="40">
        <f t="shared" si="584"/>
        <v>0</v>
      </c>
      <c r="BG41" s="40">
        <f t="shared" si="584"/>
        <v>0</v>
      </c>
      <c r="BH41" s="40">
        <f t="shared" si="584"/>
        <v>0</v>
      </c>
      <c r="BI41" s="40">
        <f t="shared" si="584"/>
        <v>0</v>
      </c>
      <c r="BJ41" s="40">
        <f t="shared" si="584"/>
        <v>0</v>
      </c>
      <c r="BK41" s="40">
        <f t="shared" si="584"/>
        <v>0</v>
      </c>
      <c r="BL41" s="40">
        <f t="shared" si="584"/>
        <v>0</v>
      </c>
      <c r="BM41" s="40">
        <f t="shared" si="584"/>
        <v>0</v>
      </c>
      <c r="BN41" s="40">
        <f t="shared" ref="BN41:CO41" si="585">+BN33-BN40</f>
        <v>0</v>
      </c>
      <c r="BO41" s="40">
        <f t="shared" si="585"/>
        <v>0</v>
      </c>
      <c r="BP41" s="40">
        <f t="shared" si="585"/>
        <v>0</v>
      </c>
      <c r="BQ41" s="40">
        <f t="shared" si="585"/>
        <v>0</v>
      </c>
      <c r="BR41" s="40">
        <f t="shared" si="585"/>
        <v>1196.2</v>
      </c>
      <c r="BS41" s="40">
        <f t="shared" si="585"/>
        <v>1230.1000000000001</v>
      </c>
      <c r="BT41" s="40">
        <f t="shared" si="585"/>
        <v>1276.5000000000005</v>
      </c>
      <c r="BU41" s="40">
        <f t="shared" si="585"/>
        <v>1338.0000000000005</v>
      </c>
      <c r="BV41" s="40">
        <f t="shared" si="585"/>
        <v>1402.1999999999998</v>
      </c>
      <c r="BW41" s="40">
        <f t="shared" ref="BW41:BX41" si="586">+BW33-BW40</f>
        <v>1530.4999999999995</v>
      </c>
      <c r="BX41" s="40">
        <f t="shared" si="586"/>
        <v>1572.5</v>
      </c>
      <c r="BY41" s="40">
        <f t="shared" ref="BY41" si="587">+BY33-BY40</f>
        <v>1695.7999999999997</v>
      </c>
      <c r="BZ41" s="41">
        <f t="shared" si="585"/>
        <v>2007.7105547302051</v>
      </c>
      <c r="CA41" s="41">
        <f t="shared" si="585"/>
        <v>2184.229735994566</v>
      </c>
      <c r="CB41" s="41">
        <f t="shared" si="585"/>
        <v>2205.1089721774879</v>
      </c>
      <c r="CC41" s="41">
        <f t="shared" si="585"/>
        <v>2254.9271134358264</v>
      </c>
      <c r="CD41" s="41">
        <f t="shared" si="585"/>
        <v>2365.0946195261313</v>
      </c>
      <c r="CE41" s="41">
        <f t="shared" si="585"/>
        <v>2440.1917171424666</v>
      </c>
      <c r="CF41" s="41">
        <f t="shared" si="585"/>
        <v>2499.5133301836531</v>
      </c>
      <c r="CG41" s="41">
        <f t="shared" si="585"/>
        <v>2568.700821793891</v>
      </c>
      <c r="CH41" s="41">
        <f t="shared" si="585"/>
        <v>2663.7316548367844</v>
      </c>
      <c r="CI41" s="41">
        <f t="shared" si="585"/>
        <v>2752.5430353128017</v>
      </c>
      <c r="CJ41" s="41">
        <f t="shared" si="585"/>
        <v>2826.3447726579557</v>
      </c>
      <c r="CK41" s="41">
        <f t="shared" si="585"/>
        <v>2903.062628344318</v>
      </c>
      <c r="CL41" s="41">
        <f t="shared" si="585"/>
        <v>3004.3919076488733</v>
      </c>
      <c r="CM41" s="41">
        <f t="shared" si="585"/>
        <v>3105.5704929081107</v>
      </c>
      <c r="CN41" s="41">
        <f t="shared" si="585"/>
        <v>3189.2508013421671</v>
      </c>
      <c r="CO41" s="41">
        <f t="shared" si="585"/>
        <v>3274.3626918558293</v>
      </c>
      <c r="CT41" s="40">
        <v>6200.9999999999955</v>
      </c>
    </row>
    <row r="42" spans="1:98" s="71" customFormat="1" x14ac:dyDescent="0.2">
      <c r="A42" s="71" t="s">
        <v>15</v>
      </c>
      <c r="C42" s="71" t="e">
        <f t="shared" ref="C42:AE42" si="588">+IF(B41&lt;0,1-C41/B41,C41/B41-1)</f>
        <v>#DIV/0!</v>
      </c>
      <c r="D42" s="71" t="e">
        <f t="shared" si="588"/>
        <v>#DIV/0!</v>
      </c>
      <c r="E42" s="71" t="e">
        <f t="shared" si="588"/>
        <v>#DIV/0!</v>
      </c>
      <c r="F42" s="71" t="e">
        <f t="shared" si="588"/>
        <v>#DIV/0!</v>
      </c>
      <c r="G42" s="71" t="e">
        <f t="shared" si="588"/>
        <v>#DIV/0!</v>
      </c>
      <c r="H42" s="71" t="e">
        <f t="shared" si="588"/>
        <v>#DIV/0!</v>
      </c>
      <c r="I42" s="71" t="e">
        <f t="shared" si="588"/>
        <v>#DIV/0!</v>
      </c>
      <c r="J42" s="71">
        <f t="shared" si="588"/>
        <v>-5.0560866535641944</v>
      </c>
      <c r="K42" s="71">
        <f t="shared" si="588"/>
        <v>2.7856979756151343</v>
      </c>
      <c r="L42" s="71">
        <f t="shared" si="588"/>
        <v>1.8362278154531015</v>
      </c>
      <c r="M42" s="71">
        <f t="shared" si="588"/>
        <v>1.4539042694124307</v>
      </c>
      <c r="N42" s="71">
        <f t="shared" si="588"/>
        <v>0.89065101200385532</v>
      </c>
      <c r="O42" s="71">
        <f t="shared" si="588"/>
        <v>1.116739271480212</v>
      </c>
      <c r="P42" s="71">
        <f t="shared" si="588"/>
        <v>0.60930487137383693</v>
      </c>
      <c r="Q42" s="71">
        <f t="shared" si="588"/>
        <v>0.45011903952112098</v>
      </c>
      <c r="R42" s="71">
        <f t="shared" si="588"/>
        <v>0.38631779418525047</v>
      </c>
      <c r="S42" s="71">
        <f t="shared" si="588"/>
        <v>0.33484018975563168</v>
      </c>
      <c r="T42" s="71">
        <f t="shared" si="588"/>
        <v>0.21102368591823506</v>
      </c>
      <c r="U42" s="71">
        <f t="shared" si="588"/>
        <v>0.22840684550721679</v>
      </c>
      <c r="V42" s="71">
        <f t="shared" si="588"/>
        <v>0.22855380462935293</v>
      </c>
      <c r="W42" s="71">
        <f t="shared" si="588"/>
        <v>6.5301514298315544E-2</v>
      </c>
      <c r="X42" s="71">
        <f t="shared" si="588"/>
        <v>3.6246413115368803E-2</v>
      </c>
      <c r="Y42" s="71">
        <f t="shared" si="588"/>
        <v>0.10697862588514373</v>
      </c>
      <c r="Z42" s="71">
        <f t="shared" si="588"/>
        <v>0.15514004689794847</v>
      </c>
      <c r="AA42" s="71">
        <f t="shared" si="588"/>
        <v>0.2301606484893135</v>
      </c>
      <c r="AB42" s="72">
        <f t="shared" si="588"/>
        <v>0.38210926813473645</v>
      </c>
      <c r="AC42" s="72">
        <f t="shared" si="588"/>
        <v>0.14118440217298223</v>
      </c>
      <c r="AD42" s="72">
        <f t="shared" si="588"/>
        <v>0.12884808219421728</v>
      </c>
      <c r="AE42" s="72">
        <f t="shared" si="588"/>
        <v>0.12811183657720382</v>
      </c>
      <c r="AG42" s="73"/>
      <c r="AH42" s="74"/>
      <c r="AI42" s="74"/>
      <c r="AJ42" s="74"/>
      <c r="AK42" s="74"/>
      <c r="AL42" s="74" t="e">
        <f t="shared" ref="AL42" si="589">+IF(AH41&lt;0,1-AL41/AH41,AL41/AH41-1)</f>
        <v>#DIV/0!</v>
      </c>
      <c r="AM42" s="74" t="e">
        <f t="shared" ref="AM42" si="590">+IF(AI41&lt;0,1-AM41/AI41,AM41/AI41-1)</f>
        <v>#DIV/0!</v>
      </c>
      <c r="AN42" s="74" t="e">
        <f t="shared" ref="AN42" si="591">+IF(AJ41&lt;0,1-AN41/AJ41,AN41/AJ41-1)</f>
        <v>#DIV/0!</v>
      </c>
      <c r="AO42" s="74" t="e">
        <f t="shared" ref="AO42" si="592">+IF(AK41&lt;0,1-AO41/AK41,AO41/AK41-1)</f>
        <v>#DIV/0!</v>
      </c>
      <c r="AP42" s="74" t="e">
        <f t="shared" ref="AP42" si="593">+IF(AL41&lt;0,1-AP41/AL41,AP41/AL41-1)</f>
        <v>#DIV/0!</v>
      </c>
      <c r="AQ42" s="74" t="e">
        <f t="shared" ref="AQ42" si="594">+IF(AM41&lt;0,1-AQ41/AM41,AQ41/AM41-1)</f>
        <v>#DIV/0!</v>
      </c>
      <c r="AR42" s="74" t="e">
        <f t="shared" ref="AR42" si="595">+IF(AN41&lt;0,1-AR41/AN41,AR41/AN41-1)</f>
        <v>#DIV/0!</v>
      </c>
      <c r="AS42" s="74" t="e">
        <f t="shared" ref="AS42" si="596">+IF(AO41&lt;0,1-AS41/AO41,AS41/AO41-1)</f>
        <v>#DIV/0!</v>
      </c>
      <c r="AT42" s="74" t="e">
        <f t="shared" ref="AT42" si="597">+IF(AP41&lt;0,1-AT41/AP41,AT41/AP41-1)</f>
        <v>#DIV/0!</v>
      </c>
      <c r="AU42" s="74" t="e">
        <f t="shared" ref="AU42" si="598">+IF(AQ41&lt;0,1-AU41/AQ41,AU41/AQ41-1)</f>
        <v>#DIV/0!</v>
      </c>
      <c r="AV42" s="74" t="e">
        <f t="shared" ref="AV42" si="599">+IF(AR41&lt;0,1-AV41/AR41,AV41/AR41-1)</f>
        <v>#DIV/0!</v>
      </c>
      <c r="AW42" s="74" t="e">
        <f t="shared" ref="AW42" si="600">+IF(AS41&lt;0,1-AW41/AS41,AW41/AS41-1)</f>
        <v>#DIV/0!</v>
      </c>
      <c r="AX42" s="74" t="e">
        <f t="shared" ref="AX42" si="601">+IF(AT41&lt;0,1-AX41/AT41,AX41/AT41-1)</f>
        <v>#DIV/0!</v>
      </c>
      <c r="AY42" s="74" t="e">
        <f t="shared" ref="AY42" si="602">+IF(AU41&lt;0,1-AY41/AU41,AY41/AU41-1)</f>
        <v>#DIV/0!</v>
      </c>
      <c r="AZ42" s="74" t="e">
        <f t="shared" ref="AZ42" si="603">+IF(AV41&lt;0,1-AZ41/AV41,AZ41/AV41-1)</f>
        <v>#DIV/0!</v>
      </c>
      <c r="BA42" s="74" t="e">
        <f t="shared" ref="BA42" si="604">+IF(AW41&lt;0,1-BA41/AW41,BA41/AW41-1)</f>
        <v>#DIV/0!</v>
      </c>
      <c r="BB42" s="74" t="e">
        <f t="shared" ref="BB42" si="605">+IF(AX41&lt;0,1-BB41/AX41,BB41/AX41-1)</f>
        <v>#DIV/0!</v>
      </c>
      <c r="BC42" s="74" t="e">
        <f t="shared" ref="BC42" si="606">+IF(AY41&lt;0,1-BC41/AY41,BC41/AY41-1)</f>
        <v>#DIV/0!</v>
      </c>
      <c r="BD42" s="74" t="e">
        <f t="shared" ref="BD42" si="607">+IF(AZ41&lt;0,1-BD41/AZ41,BD41/AZ41-1)</f>
        <v>#DIV/0!</v>
      </c>
      <c r="BE42" s="74" t="e">
        <f t="shared" ref="BE42" si="608">+IF(BA41&lt;0,1-BE41/BA41,BE41/BA41-1)</f>
        <v>#DIV/0!</v>
      </c>
      <c r="BF42" s="74" t="e">
        <f t="shared" ref="BF42" si="609">+IF(BB41&lt;0,1-BF41/BB41,BF41/BB41-1)</f>
        <v>#DIV/0!</v>
      </c>
      <c r="BG42" s="74" t="e">
        <f t="shared" ref="BG42" si="610">+IF(BC41&lt;0,1-BG41/BC41,BG41/BC41-1)</f>
        <v>#DIV/0!</v>
      </c>
      <c r="BH42" s="74" t="e">
        <f t="shared" ref="BH42" si="611">+IF(BD41&lt;0,1-BH41/BD41,BH41/BD41-1)</f>
        <v>#DIV/0!</v>
      </c>
      <c r="BI42" s="74" t="e">
        <f t="shared" ref="BI42" si="612">+IF(BE41&lt;0,1-BI41/BE41,BI41/BE41-1)</f>
        <v>#DIV/0!</v>
      </c>
      <c r="BJ42" s="74" t="e">
        <f t="shared" ref="BJ42" si="613">+IF(BF41&lt;0,1-BJ41/BF41,BJ41/BF41-1)</f>
        <v>#DIV/0!</v>
      </c>
      <c r="BK42" s="74" t="e">
        <f t="shared" ref="BK42" si="614">+IF(BG41&lt;0,1-BK41/BG41,BK41/BG41-1)</f>
        <v>#DIV/0!</v>
      </c>
      <c r="BL42" s="74" t="e">
        <f t="shared" ref="BL42" si="615">+IF(BH41&lt;0,1-BL41/BH41,BL41/BH41-1)</f>
        <v>#DIV/0!</v>
      </c>
      <c r="BM42" s="74" t="e">
        <f t="shared" ref="BM42" si="616">+IF(BI41&lt;0,1-BM41/BI41,BM41/BI41-1)</f>
        <v>#DIV/0!</v>
      </c>
      <c r="BN42" s="74" t="e">
        <f t="shared" ref="BN42" si="617">+IF(BJ41&lt;0,1-BN41/BJ41,BN41/BJ41-1)</f>
        <v>#DIV/0!</v>
      </c>
      <c r="BO42" s="74" t="e">
        <f t="shared" ref="BO42" si="618">+IF(BK41&lt;0,1-BO41/BK41,BO41/BK41-1)</f>
        <v>#DIV/0!</v>
      </c>
      <c r="BP42" s="74" t="e">
        <f t="shared" ref="BP42" si="619">+IF(BL41&lt;0,1-BP41/BL41,BP41/BL41-1)</f>
        <v>#DIV/0!</v>
      </c>
      <c r="BQ42" s="74" t="e">
        <f t="shared" ref="BQ42" si="620">+IF(BM41&lt;0,1-BQ41/BM41,BQ41/BM41-1)</f>
        <v>#DIV/0!</v>
      </c>
      <c r="BR42" s="74" t="e">
        <f t="shared" ref="BR42" si="621">+IF(BN41&lt;0,1-BR41/BN41,BR41/BN41-1)</f>
        <v>#DIV/0!</v>
      </c>
      <c r="BS42" s="74" t="e">
        <f t="shared" ref="BS42" si="622">+IF(BO41&lt;0,1-BS41/BO41,BS41/BO41-1)</f>
        <v>#DIV/0!</v>
      </c>
      <c r="BT42" s="74" t="e">
        <f t="shared" ref="BT42" si="623">+IF(BP41&lt;0,1-BT41/BP41,BT41/BP41-1)</f>
        <v>#DIV/0!</v>
      </c>
      <c r="BU42" s="74" t="e">
        <f t="shared" ref="BU42" si="624">+IF(BQ41&lt;0,1-BU41/BQ41,BU41/BQ41-1)</f>
        <v>#DIV/0!</v>
      </c>
      <c r="BV42" s="74">
        <f t="shared" ref="BV42" si="625">+IF(BR41&lt;0,1-BV41/BR41,BV41/BR41-1)</f>
        <v>0.17221200468149123</v>
      </c>
      <c r="BW42" s="74">
        <f>+IF(BS41&lt;0,1-BW41/BS41,BW41/BS41-1)</f>
        <v>0.24420778798471621</v>
      </c>
      <c r="BX42" s="74">
        <f>+IF(BT41&lt;0,1-BX41/BT41,BX41/BT41-1)</f>
        <v>0.23188405797101397</v>
      </c>
      <c r="BY42" s="74">
        <f>+IF(BU41&lt;0,1-BY41/BU41,BY41/BU41-1)</f>
        <v>0.26741405082212188</v>
      </c>
      <c r="BZ42" s="36">
        <f t="shared" ref="BZ42" si="626">+IF(BV41&lt;0,1-BZ41/BV41,BZ41/BV41-1)</f>
        <v>0.43182895074183802</v>
      </c>
      <c r="CA42" s="36">
        <f t="shared" ref="CA42" si="627">+IF(BW41&lt;0,1-CA41/BW41,CA41/BW41-1)</f>
        <v>0.42713475073150375</v>
      </c>
      <c r="CB42" s="36">
        <f t="shared" ref="CB42" si="628">+IF(BX41&lt;0,1-CB41/BX41,CB41/BX41-1)</f>
        <v>0.40229505384895892</v>
      </c>
      <c r="CC42" s="36">
        <f t="shared" ref="CC42" si="629">+IF(BY41&lt;0,1-CC41/BY41,CC41/BY41-1)</f>
        <v>0.32971288680022814</v>
      </c>
      <c r="CD42" s="36">
        <f t="shared" ref="CD42" si="630">+IF(BZ41&lt;0,1-CD41/BZ41,CD41/BZ41-1)</f>
        <v>0.17800577077902102</v>
      </c>
      <c r="CE42" s="36">
        <f t="shared" ref="CE42" si="631">+IF(CA41&lt;0,1-CE41/CA41,CE41/CA41-1)</f>
        <v>0.11718638242572554</v>
      </c>
      <c r="CF42" s="36">
        <f t="shared" ref="CF42" si="632">+IF(CB41&lt;0,1-CF41/CB41,CF41/CB41-1)</f>
        <v>0.13351011751380648</v>
      </c>
      <c r="CG42" s="36">
        <f t="shared" ref="CG42" si="633">+IF(CC41&lt;0,1-CG41/CC41,CG41/CC41-1)</f>
        <v>0.13915026631613303</v>
      </c>
      <c r="CH42" s="36">
        <f t="shared" ref="CH42" si="634">+IF(CD41&lt;0,1-CH41/CD41,CH41/CD41-1)</f>
        <v>0.12626853608524469</v>
      </c>
      <c r="CI42" s="36">
        <f t="shared" ref="CI42" si="635">+IF(CE41&lt;0,1-CI41/CE41,CI41/CE41-1)</f>
        <v>0.12800277780473213</v>
      </c>
      <c r="CJ42" s="36">
        <f t="shared" ref="CJ42" si="636">+IF(CF41&lt;0,1-CJ41/CF41,CJ41/CF41-1)</f>
        <v>0.13075803138456887</v>
      </c>
      <c r="CK42" s="36">
        <f t="shared" ref="CK42" si="637">+IF(CG41&lt;0,1-CK41/CG41,CK41/CG41-1)</f>
        <v>0.13016767219972336</v>
      </c>
      <c r="CL42" s="36">
        <f t="shared" ref="CL42" si="638">+IF(CH41&lt;0,1-CL41/CH41,CL41/CH41-1)</f>
        <v>0.12788835248983155</v>
      </c>
      <c r="CM42" s="36">
        <f t="shared" ref="CM42" si="639">+IF(CI41&lt;0,1-CM41/CI41,CM41/CI41-1)</f>
        <v>0.12825501838346032</v>
      </c>
      <c r="CN42" s="36">
        <f t="shared" ref="CN42" si="640">+IF(CJ41&lt;0,1-CN41/CJ41,CN41/CJ41-1)</f>
        <v>0.1284011887703731</v>
      </c>
      <c r="CO42" s="36">
        <f t="shared" ref="CO42" si="641">+IF(CK41&lt;0,1-CO41/CK41,CO41/CK41-1)</f>
        <v>0.12789943278739124</v>
      </c>
      <c r="CT42" s="71">
        <v>0.21857037582903338</v>
      </c>
    </row>
    <row r="43" spans="1:98" s="38" customFormat="1" x14ac:dyDescent="0.2">
      <c r="A43" s="38" t="s">
        <v>2</v>
      </c>
      <c r="B43" s="38">
        <f>+'Annual Raw'!C23</f>
        <v>0</v>
      </c>
      <c r="C43" s="38">
        <f>+'Annual Raw'!D23</f>
        <v>0</v>
      </c>
      <c r="D43" s="38">
        <f>+'Annual Raw'!E23</f>
        <v>0</v>
      </c>
      <c r="E43" s="38">
        <f>+'Annual Raw'!F23</f>
        <v>0</v>
      </c>
      <c r="F43" s="38">
        <f>+'Annual Raw'!G23</f>
        <v>0</v>
      </c>
      <c r="G43" s="38">
        <f>+'Annual Raw'!H23</f>
        <v>0</v>
      </c>
      <c r="H43" s="38">
        <f>+'Annual Raw'!I23</f>
        <v>0</v>
      </c>
      <c r="I43" s="38">
        <f>+'Annual Raw'!J23</f>
        <v>2.0770582000000002</v>
      </c>
      <c r="J43" s="38">
        <f>+'Annual Raw'!K23</f>
        <v>7.0564E-3</v>
      </c>
      <c r="K43" s="38">
        <f>+'Annual Raw'!L23</f>
        <v>4.0799703000000003</v>
      </c>
      <c r="L43" s="38">
        <f>+'Annual Raw'!M23</f>
        <v>21.932169699999999</v>
      </c>
      <c r="M43" s="38">
        <f>+'Annual Raw'!N23</f>
        <v>43.48</v>
      </c>
      <c r="N43" s="38">
        <f>+'Annual Raw'!O23</f>
        <v>65.650000000000006</v>
      </c>
      <c r="O43" s="38">
        <f>+'Annual Raw'!P23</f>
        <v>138.68</v>
      </c>
      <c r="P43" s="38">
        <f>+'Annual Raw'!Q23</f>
        <v>204.77</v>
      </c>
      <c r="Q43" s="38">
        <f>+'Annual Raw'!R23</f>
        <v>248.1</v>
      </c>
      <c r="R43" s="38">
        <f>+'Annual Raw'!S23</f>
        <v>419.1</v>
      </c>
      <c r="S43" s="38">
        <f>+'Annual Raw'!T23</f>
        <v>536.37</v>
      </c>
      <c r="T43" s="38">
        <f>+'Annual Raw'!U23</f>
        <v>664.66</v>
      </c>
      <c r="U43" s="38">
        <f>+'Annual Raw'!V23</f>
        <v>1469.84</v>
      </c>
      <c r="V43" s="38">
        <f>+'Annual Raw'!W23</f>
        <v>3104.26</v>
      </c>
      <c r="W43" s="38">
        <f>+'Annual Raw'!X23</f>
        <v>2492.8200000000002</v>
      </c>
      <c r="X43" s="38">
        <f>+'Annual Raw'!Y23</f>
        <v>1352.18</v>
      </c>
      <c r="Y43" s="38">
        <f>+'Annual Raw'!Z23</f>
        <v>1100.6400000000001</v>
      </c>
      <c r="Z43" s="38">
        <f>+'Annual Raw'!AA23</f>
        <v>2160.9499999999998</v>
      </c>
      <c r="AA43" s="38">
        <f>+'Annual Raw'!AB23</f>
        <v>2873.7</v>
      </c>
      <c r="AB43" s="39">
        <f>SUM(BZ43:CC43)</f>
        <v>3270.1699087909169</v>
      </c>
      <c r="AC43" s="39">
        <f>SUM(CD43:CG43)</f>
        <v>3743.5891682820484</v>
      </c>
      <c r="AD43" s="39">
        <f>SUM(CH43:CK43)</f>
        <v>4229.0651124606557</v>
      </c>
      <c r="AE43" s="39">
        <f>SUM(CL43:CO43)</f>
        <v>4771.506783852702</v>
      </c>
      <c r="AG43" s="60"/>
      <c r="AH43" s="38">
        <f>+'QTR Raw'!D36+'QTR Raw'!D27</f>
        <v>0</v>
      </c>
      <c r="AI43" s="38">
        <f>+'QTR Raw'!E36+'QTR Raw'!E27</f>
        <v>0</v>
      </c>
      <c r="AJ43" s="38">
        <f>+'QTR Raw'!F36+'QTR Raw'!F27</f>
        <v>0</v>
      </c>
      <c r="AK43" s="38">
        <f>+'QTR Raw'!G36+'QTR Raw'!G27</f>
        <v>0</v>
      </c>
      <c r="AL43" s="38">
        <f>+'QTR Raw'!H36+'QTR Raw'!H27</f>
        <v>0</v>
      </c>
      <c r="AM43" s="38">
        <f>+'QTR Raw'!I36+'QTR Raw'!I27</f>
        <v>0</v>
      </c>
      <c r="AN43" s="38">
        <f>+'QTR Raw'!J36+'QTR Raw'!J27</f>
        <v>0</v>
      </c>
      <c r="AO43" s="38">
        <f>+'QTR Raw'!K36+'QTR Raw'!K27</f>
        <v>0</v>
      </c>
      <c r="AP43" s="38">
        <f>+'QTR Raw'!L36+'QTR Raw'!L27</f>
        <v>0</v>
      </c>
      <c r="AQ43" s="38">
        <f>+'QTR Raw'!M36+'QTR Raw'!M27</f>
        <v>0</v>
      </c>
      <c r="AR43" s="38">
        <f>+'QTR Raw'!N36+'QTR Raw'!N27</f>
        <v>0</v>
      </c>
      <c r="AS43" s="38">
        <f>+'QTR Raw'!O36+'QTR Raw'!O27</f>
        <v>0</v>
      </c>
      <c r="AT43" s="38">
        <f>+'QTR Raw'!P36+'QTR Raw'!P27</f>
        <v>0</v>
      </c>
      <c r="AU43" s="38">
        <f>+'QTR Raw'!Q36+'QTR Raw'!Q27</f>
        <v>0</v>
      </c>
      <c r="AV43" s="38">
        <f>+'QTR Raw'!R36+'QTR Raw'!R27</f>
        <v>0</v>
      </c>
      <c r="AW43" s="38">
        <f>+'QTR Raw'!S36+'QTR Raw'!S27</f>
        <v>0</v>
      </c>
      <c r="AX43" s="38">
        <f>+'QTR Raw'!T36+'QTR Raw'!T27</f>
        <v>0</v>
      </c>
      <c r="AY43" s="38">
        <f>+'QTR Raw'!U36+'QTR Raw'!U27</f>
        <v>0</v>
      </c>
      <c r="AZ43" s="38">
        <f>+'QTR Raw'!V36+'QTR Raw'!V27</f>
        <v>0</v>
      </c>
      <c r="BA43" s="38">
        <f>+'QTR Raw'!W36+'QTR Raw'!W27</f>
        <v>0</v>
      </c>
      <c r="BB43" s="38">
        <f>+'QTR Raw'!X36+'QTR Raw'!X27</f>
        <v>0</v>
      </c>
      <c r="BC43" s="38">
        <f>+'QTR Raw'!Y36+'QTR Raw'!Y27</f>
        <v>0</v>
      </c>
      <c r="BD43" s="38">
        <f>+'QTR Raw'!Z36+'QTR Raw'!Z27</f>
        <v>0</v>
      </c>
      <c r="BE43" s="38">
        <f>+'QTR Raw'!AA36+'QTR Raw'!AA27</f>
        <v>0</v>
      </c>
      <c r="BF43" s="38">
        <f>+'QTR Raw'!AB36+'QTR Raw'!AB27</f>
        <v>0</v>
      </c>
      <c r="BG43" s="38">
        <f>+'QTR Raw'!AC36+'QTR Raw'!AC27</f>
        <v>0</v>
      </c>
      <c r="BH43" s="38">
        <f>+'QTR Raw'!AD36+'QTR Raw'!AD27</f>
        <v>0</v>
      </c>
      <c r="BI43" s="38">
        <f>+'QTR Raw'!AE36+'QTR Raw'!AE27</f>
        <v>0</v>
      </c>
      <c r="BJ43" s="38">
        <f>+'QTR Raw'!AF36+'QTR Raw'!AF27</f>
        <v>0</v>
      </c>
      <c r="BK43" s="38">
        <f>+'QTR Raw'!AG36+'QTR Raw'!AG27</f>
        <v>0</v>
      </c>
      <c r="BL43" s="38">
        <f>+'QTR Raw'!AH36+'QTR Raw'!AH27</f>
        <v>0</v>
      </c>
      <c r="BM43" s="38">
        <f>+'QTR Raw'!AI36+'QTR Raw'!AI27</f>
        <v>0</v>
      </c>
      <c r="BN43" s="38">
        <f>+'QTR Raw'!AJ36+'QTR Raw'!AJ27</f>
        <v>0</v>
      </c>
      <c r="BO43" s="38">
        <f>+'QTR Raw'!AK36+'QTR Raw'!AK27</f>
        <v>0</v>
      </c>
      <c r="BP43" s="38">
        <f>+'QTR Raw'!AL36+'QTR Raw'!AL27</f>
        <v>0</v>
      </c>
      <c r="BQ43" s="38">
        <f>+'QTR Raw'!AM36+'QTR Raw'!AM27</f>
        <v>0</v>
      </c>
      <c r="BR43" s="38">
        <f>+'QTR Raw'!AN36+'QTR Raw'!AN27</f>
        <v>412.5</v>
      </c>
      <c r="BS43" s="38">
        <f>+'QTR Raw'!AO36+'QTR Raw'!AO27</f>
        <v>431</v>
      </c>
      <c r="BT43" s="38">
        <f>+'QTR Raw'!AP36+'QTR Raw'!AP27</f>
        <v>635.70000000000005</v>
      </c>
      <c r="BU43" s="38">
        <f>+'QTR Raw'!AQ36+'QTR Raw'!AQ27</f>
        <v>633.79999999999995</v>
      </c>
      <c r="BV43" s="38">
        <f>+'QTR Raw'!AR36+'QTR Raw'!AR27</f>
        <v>669.7</v>
      </c>
      <c r="BW43" s="38">
        <f>+'QTR Raw'!AS36+'QTR Raw'!AS27</f>
        <v>748.3</v>
      </c>
      <c r="BX43" s="38">
        <f>+'QTR Raw'!AT36+'QTR Raw'!AT27</f>
        <v>712.2</v>
      </c>
      <c r="BY43" s="38">
        <f>+'QTR Raw'!AU36+'QTR Raw'!AU27</f>
        <v>684.6</v>
      </c>
      <c r="BZ43" s="39">
        <f t="shared" ref="BZ43:CO43" si="642">BZ22*BY7</f>
        <v>750.16089057094098</v>
      </c>
      <c r="CA43" s="39">
        <f t="shared" si="642"/>
        <v>817.16746179519407</v>
      </c>
      <c r="CB43" s="39">
        <f t="shared" si="642"/>
        <v>839.86905332926574</v>
      </c>
      <c r="CC43" s="39">
        <f t="shared" si="642"/>
        <v>862.97250309551612</v>
      </c>
      <c r="CD43" s="39">
        <f t="shared" si="642"/>
        <v>893.51548793400104</v>
      </c>
      <c r="CE43" s="39">
        <f t="shared" si="642"/>
        <v>924.45528944051216</v>
      </c>
      <c r="CF43" s="39">
        <f t="shared" si="642"/>
        <v>949.92752991254292</v>
      </c>
      <c r="CG43" s="39">
        <f t="shared" si="642"/>
        <v>975.69086099499214</v>
      </c>
      <c r="CH43" s="39">
        <f t="shared" si="642"/>
        <v>1009.8958153254508</v>
      </c>
      <c r="CI43" s="39">
        <f t="shared" si="642"/>
        <v>1044.489790339301</v>
      </c>
      <c r="CJ43" s="39">
        <f t="shared" si="642"/>
        <v>1072.9325722684814</v>
      </c>
      <c r="CK43" s="39">
        <f t="shared" si="642"/>
        <v>1101.7469345274224</v>
      </c>
      <c r="CL43" s="39">
        <f t="shared" si="642"/>
        <v>1139.9577690422818</v>
      </c>
      <c r="CM43" s="39">
        <f t="shared" si="642"/>
        <v>1178.5828943391055</v>
      </c>
      <c r="CN43" s="39">
        <f t="shared" si="642"/>
        <v>1210.3739863871524</v>
      </c>
      <c r="CO43" s="39">
        <f t="shared" si="642"/>
        <v>1242.5921340841624</v>
      </c>
      <c r="CT43" s="38">
        <v>2814.7999999999997</v>
      </c>
    </row>
    <row r="44" spans="1:98" s="43" customFormat="1" x14ac:dyDescent="0.2">
      <c r="A44" s="43" t="s">
        <v>12</v>
      </c>
      <c r="B44" s="43">
        <f t="shared" ref="B44" si="643">B41-B43</f>
        <v>0</v>
      </c>
      <c r="C44" s="43">
        <f t="shared" ref="C44:Z44" si="644">C41-C43</f>
        <v>0</v>
      </c>
      <c r="D44" s="43">
        <f t="shared" si="644"/>
        <v>0</v>
      </c>
      <c r="E44" s="43">
        <f t="shared" si="644"/>
        <v>0</v>
      </c>
      <c r="F44" s="43">
        <f t="shared" si="644"/>
        <v>0</v>
      </c>
      <c r="G44" s="43">
        <f t="shared" si="644"/>
        <v>0</v>
      </c>
      <c r="H44" s="43">
        <f t="shared" si="644"/>
        <v>0</v>
      </c>
      <c r="I44" s="43">
        <f t="shared" si="644"/>
        <v>-3.5934136000000003</v>
      </c>
      <c r="J44" s="43">
        <f t="shared" si="644"/>
        <v>-9.1902360999999964</v>
      </c>
      <c r="K44" s="43">
        <f t="shared" si="644"/>
        <v>12.318415099999989</v>
      </c>
      <c r="L44" s="43">
        <f t="shared" si="644"/>
        <v>24.577387099999999</v>
      </c>
      <c r="M44" s="43">
        <f t="shared" si="644"/>
        <v>70.649999999999949</v>
      </c>
      <c r="N44" s="43">
        <f t="shared" si="644"/>
        <v>150.12999999999988</v>
      </c>
      <c r="O44" s="43">
        <f t="shared" si="644"/>
        <v>318.06999999999994</v>
      </c>
      <c r="P44" s="43">
        <f t="shared" si="644"/>
        <v>530.28</v>
      </c>
      <c r="Q44" s="43">
        <f t="shared" si="644"/>
        <v>817.80999999999983</v>
      </c>
      <c r="R44" s="43">
        <f t="shared" si="644"/>
        <v>1058.5900000000001</v>
      </c>
      <c r="S44" s="43">
        <f t="shared" si="644"/>
        <v>1436.1099999999997</v>
      </c>
      <c r="T44" s="43">
        <f t="shared" si="644"/>
        <v>1724.06</v>
      </c>
      <c r="U44" s="43">
        <f t="shared" si="644"/>
        <v>1464.4799999999989</v>
      </c>
      <c r="V44" s="43">
        <f t="shared" si="644"/>
        <v>500.7100000000014</v>
      </c>
      <c r="W44" s="43">
        <f t="shared" si="644"/>
        <v>1347.56</v>
      </c>
      <c r="X44" s="43">
        <f t="shared" si="644"/>
        <v>2627.3999999999996</v>
      </c>
      <c r="Y44" s="43">
        <f t="shared" si="644"/>
        <v>3304.67</v>
      </c>
      <c r="Z44" s="43">
        <f t="shared" si="644"/>
        <v>2927.800000000002</v>
      </c>
      <c r="AA44" s="43">
        <f t="shared" ref="AA44" si="645">AA41-AA43</f>
        <v>3386.279999999997</v>
      </c>
      <c r="AB44" s="44">
        <f t="shared" ref="AB44" si="646">AB41-AB43</f>
        <v>5381.8064675471669</v>
      </c>
      <c r="AC44" s="44">
        <f t="shared" ref="AC44" si="647">AC41-AC43</f>
        <v>6129.9113203640927</v>
      </c>
      <c r="AD44" s="44">
        <f t="shared" ref="AD44" si="648">AD41-AD43</f>
        <v>6916.6169786912069</v>
      </c>
      <c r="AE44" s="44">
        <f t="shared" ref="AE44" si="649">AE41-AE43</f>
        <v>7802.0691099022761</v>
      </c>
      <c r="AG44" s="62"/>
      <c r="AH44" s="43">
        <f t="shared" ref="AH44:AU44" si="650">AH41-AH43</f>
        <v>0</v>
      </c>
      <c r="AI44" s="43">
        <f t="shared" si="650"/>
        <v>0</v>
      </c>
      <c r="AJ44" s="43">
        <f t="shared" si="650"/>
        <v>0</v>
      </c>
      <c r="AK44" s="43">
        <f t="shared" si="650"/>
        <v>0</v>
      </c>
      <c r="AL44" s="43">
        <f t="shared" si="650"/>
        <v>0</v>
      </c>
      <c r="AM44" s="43">
        <f t="shared" si="650"/>
        <v>0</v>
      </c>
      <c r="AN44" s="43">
        <f t="shared" si="650"/>
        <v>0</v>
      </c>
      <c r="AO44" s="43">
        <f t="shared" si="650"/>
        <v>0</v>
      </c>
      <c r="AP44" s="43">
        <f t="shared" si="650"/>
        <v>0</v>
      </c>
      <c r="AQ44" s="43">
        <f t="shared" si="650"/>
        <v>0</v>
      </c>
      <c r="AR44" s="43">
        <f t="shared" si="650"/>
        <v>0</v>
      </c>
      <c r="AS44" s="43">
        <f t="shared" si="650"/>
        <v>0</v>
      </c>
      <c r="AT44" s="43">
        <f t="shared" si="650"/>
        <v>0</v>
      </c>
      <c r="AU44" s="43">
        <f t="shared" si="650"/>
        <v>0</v>
      </c>
      <c r="AV44" s="43">
        <f t="shared" ref="AV44:BV44" si="651">AV41-AV43</f>
        <v>0</v>
      </c>
      <c r="AW44" s="43">
        <f t="shared" si="651"/>
        <v>0</v>
      </c>
      <c r="AX44" s="43">
        <f t="shared" si="651"/>
        <v>0</v>
      </c>
      <c r="AY44" s="43">
        <f t="shared" si="651"/>
        <v>0</v>
      </c>
      <c r="AZ44" s="43">
        <f t="shared" si="651"/>
        <v>0</v>
      </c>
      <c r="BA44" s="43">
        <f t="shared" si="651"/>
        <v>0</v>
      </c>
      <c r="BB44" s="43">
        <f t="shared" si="651"/>
        <v>0</v>
      </c>
      <c r="BC44" s="43">
        <f t="shared" si="651"/>
        <v>0</v>
      </c>
      <c r="BD44" s="43">
        <f t="shared" si="651"/>
        <v>0</v>
      </c>
      <c r="BE44" s="43">
        <f t="shared" si="651"/>
        <v>0</v>
      </c>
      <c r="BF44" s="43">
        <f t="shared" si="651"/>
        <v>0</v>
      </c>
      <c r="BG44" s="43">
        <f t="shared" si="651"/>
        <v>0</v>
      </c>
      <c r="BH44" s="43">
        <f t="shared" si="651"/>
        <v>0</v>
      </c>
      <c r="BI44" s="43">
        <f t="shared" si="651"/>
        <v>0</v>
      </c>
      <c r="BJ44" s="43">
        <f t="shared" si="651"/>
        <v>0</v>
      </c>
      <c r="BK44" s="43">
        <f t="shared" si="651"/>
        <v>0</v>
      </c>
      <c r="BL44" s="43">
        <f t="shared" si="651"/>
        <v>0</v>
      </c>
      <c r="BM44" s="43">
        <f t="shared" si="651"/>
        <v>0</v>
      </c>
      <c r="BN44" s="43">
        <f t="shared" si="651"/>
        <v>0</v>
      </c>
      <c r="BO44" s="43">
        <f t="shared" si="651"/>
        <v>0</v>
      </c>
      <c r="BP44" s="43">
        <f t="shared" si="651"/>
        <v>0</v>
      </c>
      <c r="BQ44" s="43">
        <f t="shared" si="651"/>
        <v>0</v>
      </c>
      <c r="BR44" s="43">
        <f t="shared" si="651"/>
        <v>783.7</v>
      </c>
      <c r="BS44" s="43">
        <f t="shared" si="651"/>
        <v>799.10000000000014</v>
      </c>
      <c r="BT44" s="43">
        <f t="shared" si="651"/>
        <v>640.80000000000041</v>
      </c>
      <c r="BU44" s="43">
        <f t="shared" si="651"/>
        <v>704.2000000000005</v>
      </c>
      <c r="BV44" s="43">
        <f t="shared" si="651"/>
        <v>732.49999999999977</v>
      </c>
      <c r="BW44" s="43">
        <f t="shared" ref="BW44:BX44" si="652">BW41-BW43</f>
        <v>782.19999999999959</v>
      </c>
      <c r="BX44" s="43">
        <f t="shared" si="652"/>
        <v>860.3</v>
      </c>
      <c r="BY44" s="43">
        <f t="shared" ref="BY44" si="653">BY41-BY43</f>
        <v>1011.1999999999997</v>
      </c>
      <c r="BZ44" s="44">
        <f t="shared" ref="BZ44:CC44" si="654">BZ41-BZ43</f>
        <v>1257.549664159264</v>
      </c>
      <c r="CA44" s="44">
        <f t="shared" si="654"/>
        <v>1367.062274199372</v>
      </c>
      <c r="CB44" s="44">
        <f t="shared" si="654"/>
        <v>1365.2399188482223</v>
      </c>
      <c r="CC44" s="44">
        <f t="shared" si="654"/>
        <v>1391.9546103403104</v>
      </c>
      <c r="CD44" s="44">
        <f t="shared" ref="CD44:CO44" si="655">CD41-CD43</f>
        <v>1471.5791315921301</v>
      </c>
      <c r="CE44" s="44">
        <f t="shared" si="655"/>
        <v>1515.7364277019544</v>
      </c>
      <c r="CF44" s="44">
        <f t="shared" si="655"/>
        <v>1549.5858002711102</v>
      </c>
      <c r="CG44" s="44">
        <f t="shared" si="655"/>
        <v>1593.0099607988989</v>
      </c>
      <c r="CH44" s="44">
        <f t="shared" si="655"/>
        <v>1653.8358395113337</v>
      </c>
      <c r="CI44" s="44">
        <f t="shared" si="655"/>
        <v>1708.0532449735008</v>
      </c>
      <c r="CJ44" s="44">
        <f t="shared" si="655"/>
        <v>1753.4122003894743</v>
      </c>
      <c r="CK44" s="44">
        <f t="shared" si="655"/>
        <v>1801.3156938168956</v>
      </c>
      <c r="CL44" s="44">
        <f t="shared" si="655"/>
        <v>1864.4341386065914</v>
      </c>
      <c r="CM44" s="44">
        <f t="shared" si="655"/>
        <v>1926.9875985690053</v>
      </c>
      <c r="CN44" s="44">
        <f t="shared" si="655"/>
        <v>1978.8768149550147</v>
      </c>
      <c r="CO44" s="44">
        <f t="shared" si="655"/>
        <v>2031.770557771667</v>
      </c>
      <c r="CT44" s="43">
        <v>3386.1999999999957</v>
      </c>
    </row>
    <row r="45" spans="1:98" s="38" customFormat="1" x14ac:dyDescent="0.2">
      <c r="A45" s="38" t="s">
        <v>13</v>
      </c>
      <c r="B45" s="38">
        <f>+'Annual Raw'!C36</f>
        <v>0</v>
      </c>
      <c r="C45" s="38">
        <f>+'Annual Raw'!D36</f>
        <v>0</v>
      </c>
      <c r="D45" s="38">
        <f>+'Annual Raw'!E36</f>
        <v>0</v>
      </c>
      <c r="E45" s="38">
        <f>+'Annual Raw'!F36</f>
        <v>0</v>
      </c>
      <c r="F45" s="38">
        <f>+'Annual Raw'!G36</f>
        <v>0</v>
      </c>
      <c r="G45" s="38">
        <f>+'Annual Raw'!H36</f>
        <v>0</v>
      </c>
      <c r="H45" s="38">
        <f>+'Annual Raw'!I36</f>
        <v>0</v>
      </c>
      <c r="I45" s="38">
        <f>+'Annual Raw'!J36</f>
        <v>3.3E-3</v>
      </c>
      <c r="J45" s="38">
        <f>+'Annual Raw'!K36</f>
        <v>9.2499999999999999E-2</v>
      </c>
      <c r="K45" s="38">
        <f>+'Annual Raw'!L36</f>
        <v>2.4</v>
      </c>
      <c r="L45" s="38">
        <f>+'Annual Raw'!M36</f>
        <v>8.5169955999999996</v>
      </c>
      <c r="M45" s="38">
        <f>+'Annual Raw'!N36</f>
        <v>19.54</v>
      </c>
      <c r="N45" s="38">
        <f>+'Annual Raw'!O36</f>
        <v>47.68</v>
      </c>
      <c r="O45" s="38">
        <f>+'Annual Raw'!P36</f>
        <v>108.83</v>
      </c>
      <c r="P45" s="38">
        <f>+'Annual Raw'!Q36</f>
        <v>180.83</v>
      </c>
      <c r="Q45" s="38">
        <f>+'Annual Raw'!R36</f>
        <v>283.39999999999998</v>
      </c>
      <c r="R45" s="38">
        <f>+'Annual Raw'!S36</f>
        <v>374.37</v>
      </c>
      <c r="S45" s="38">
        <f>+'Annual Raw'!T36</f>
        <v>503.09</v>
      </c>
      <c r="T45" s="38">
        <f>+'Annual Raw'!U36</f>
        <v>570.82000000000005</v>
      </c>
      <c r="U45" s="38">
        <f>+'Annual Raw'!V36</f>
        <v>459.63</v>
      </c>
      <c r="V45" s="38">
        <f>+'Annual Raw'!W36</f>
        <v>109.24</v>
      </c>
      <c r="W45" s="38">
        <f>+'Annual Raw'!X36</f>
        <v>336.16</v>
      </c>
      <c r="X45" s="38">
        <f>+'Annual Raw'!Y36</f>
        <v>668.05</v>
      </c>
      <c r="Y45" s="38">
        <f>+'Annual Raw'!Z36</f>
        <v>843.83</v>
      </c>
      <c r="Z45" s="38">
        <f>+'Annual Raw'!AA36</f>
        <v>751.88</v>
      </c>
      <c r="AA45" s="38">
        <f>+'Annual Raw'!AB36</f>
        <v>842.45</v>
      </c>
      <c r="AB45" s="39">
        <f>SUM(BZ45:CC45)</f>
        <v>1399.2696815622639</v>
      </c>
      <c r="AC45" s="39">
        <f>SUM(CD45:CG45)</f>
        <v>1593.7769432946643</v>
      </c>
      <c r="AD45" s="39">
        <f>SUM(CH45:CK45)</f>
        <v>1798.320414459713</v>
      </c>
      <c r="AE45" s="39">
        <f>SUM(CL45:CO45)</f>
        <v>2028.5379685745925</v>
      </c>
      <c r="AG45" s="60"/>
      <c r="AH45" s="38">
        <f>+'QTR Raw'!D38</f>
        <v>0</v>
      </c>
      <c r="AI45" s="38">
        <f>+'QTR Raw'!E38</f>
        <v>0</v>
      </c>
      <c r="AJ45" s="38">
        <f>+'QTR Raw'!F38</f>
        <v>0</v>
      </c>
      <c r="AK45" s="38">
        <f>+'QTR Raw'!G38</f>
        <v>0</v>
      </c>
      <c r="AL45" s="38">
        <f>+'QTR Raw'!H38</f>
        <v>0</v>
      </c>
      <c r="AM45" s="38">
        <f>+'QTR Raw'!I38</f>
        <v>0</v>
      </c>
      <c r="AN45" s="38">
        <f>+'QTR Raw'!J38</f>
        <v>0</v>
      </c>
      <c r="AO45" s="38">
        <f>+'QTR Raw'!K38</f>
        <v>0</v>
      </c>
      <c r="AP45" s="38">
        <f>+'QTR Raw'!L38</f>
        <v>0</v>
      </c>
      <c r="AQ45" s="38">
        <f>+'QTR Raw'!M38</f>
        <v>0</v>
      </c>
      <c r="AR45" s="38">
        <f>+'QTR Raw'!N38</f>
        <v>0</v>
      </c>
      <c r="AS45" s="38">
        <f>+'QTR Raw'!O38</f>
        <v>0</v>
      </c>
      <c r="AT45" s="38">
        <f>+'QTR Raw'!P38</f>
        <v>0</v>
      </c>
      <c r="AU45" s="38">
        <f>+'QTR Raw'!Q38</f>
        <v>0</v>
      </c>
      <c r="AV45" s="38">
        <f>+'QTR Raw'!R38</f>
        <v>0</v>
      </c>
      <c r="AW45" s="38">
        <f>+'QTR Raw'!S38</f>
        <v>0</v>
      </c>
      <c r="AX45" s="38">
        <f>+'QTR Raw'!T38</f>
        <v>0</v>
      </c>
      <c r="AY45" s="38">
        <f>+'QTR Raw'!U38</f>
        <v>0</v>
      </c>
      <c r="AZ45" s="38">
        <f>+'QTR Raw'!V38</f>
        <v>0</v>
      </c>
      <c r="BA45" s="38">
        <f>+'QTR Raw'!W38</f>
        <v>0</v>
      </c>
      <c r="BB45" s="38">
        <f>+'QTR Raw'!X38</f>
        <v>0</v>
      </c>
      <c r="BC45" s="38">
        <f>+'QTR Raw'!Y38</f>
        <v>0</v>
      </c>
      <c r="BD45" s="38">
        <f>+'QTR Raw'!Z38</f>
        <v>0</v>
      </c>
      <c r="BE45" s="38">
        <f>+'QTR Raw'!AA38</f>
        <v>0</v>
      </c>
      <c r="BF45" s="38">
        <f>+'QTR Raw'!AB38</f>
        <v>0</v>
      </c>
      <c r="BG45" s="38">
        <f>+'QTR Raw'!AC38</f>
        <v>0</v>
      </c>
      <c r="BH45" s="38">
        <f>+'QTR Raw'!AD38</f>
        <v>0</v>
      </c>
      <c r="BI45" s="38">
        <f>+'QTR Raw'!AE38</f>
        <v>0</v>
      </c>
      <c r="BJ45" s="38">
        <f>+'QTR Raw'!AF38</f>
        <v>0</v>
      </c>
      <c r="BK45" s="38">
        <f>+'QTR Raw'!AG38</f>
        <v>0</v>
      </c>
      <c r="BL45" s="38">
        <f>+'QTR Raw'!AH38</f>
        <v>0</v>
      </c>
      <c r="BM45" s="38">
        <f>+'QTR Raw'!AI38</f>
        <v>0</v>
      </c>
      <c r="BN45" s="38">
        <f>+'QTR Raw'!AJ38</f>
        <v>0</v>
      </c>
      <c r="BO45" s="38">
        <f>+'QTR Raw'!AK38</f>
        <v>0</v>
      </c>
      <c r="BP45" s="38">
        <f>+'QTR Raw'!AL38</f>
        <v>0</v>
      </c>
      <c r="BQ45" s="38">
        <f>+'QTR Raw'!AM38</f>
        <v>0</v>
      </c>
      <c r="BR45" s="38">
        <f>+'QTR Raw'!AN38</f>
        <v>202</v>
      </c>
      <c r="BS45" s="38">
        <f>+'QTR Raw'!AO38</f>
        <v>208.1</v>
      </c>
      <c r="BT45" s="38">
        <f>+'QTR Raw'!AP38</f>
        <v>168.5</v>
      </c>
      <c r="BU45" s="38">
        <f>+'QTR Raw'!AQ38</f>
        <v>173.3</v>
      </c>
      <c r="BV45" s="38">
        <f>+'QTR Raw'!AR38</f>
        <v>164.8</v>
      </c>
      <c r="BW45" s="38">
        <f>+'QTR Raw'!AS38</f>
        <v>200.8</v>
      </c>
      <c r="BX45" s="38">
        <f>+'QTR Raw'!AT38</f>
        <v>216.4</v>
      </c>
      <c r="BY45" s="38">
        <f>+'QTR Raw'!AU38</f>
        <v>260.60000000000002</v>
      </c>
      <c r="BZ45" s="39">
        <f t="shared" ref="BZ45:CC45" si="656">BZ44*0.26</f>
        <v>326.96291268140868</v>
      </c>
      <c r="CA45" s="39">
        <f t="shared" si="656"/>
        <v>355.43619129183674</v>
      </c>
      <c r="CB45" s="39">
        <f t="shared" si="656"/>
        <v>354.96237890053777</v>
      </c>
      <c r="CC45" s="39">
        <f t="shared" si="656"/>
        <v>361.9081986884807</v>
      </c>
      <c r="CD45" s="39">
        <f t="shared" ref="CD45:CO45" si="657">CD44*0.26</f>
        <v>382.61057421395384</v>
      </c>
      <c r="CE45" s="39">
        <f t="shared" si="657"/>
        <v>394.09147120250816</v>
      </c>
      <c r="CF45" s="39">
        <f t="shared" si="657"/>
        <v>402.89230807048864</v>
      </c>
      <c r="CG45" s="39">
        <f t="shared" si="657"/>
        <v>414.18258980771373</v>
      </c>
      <c r="CH45" s="39">
        <f t="shared" si="657"/>
        <v>429.99731827294676</v>
      </c>
      <c r="CI45" s="39">
        <f t="shared" si="657"/>
        <v>444.09384369311022</v>
      </c>
      <c r="CJ45" s="39">
        <f t="shared" si="657"/>
        <v>455.88717210126333</v>
      </c>
      <c r="CK45" s="39">
        <f t="shared" si="657"/>
        <v>468.34208039239286</v>
      </c>
      <c r="CL45" s="39">
        <f t="shared" si="657"/>
        <v>484.7528760377138</v>
      </c>
      <c r="CM45" s="39">
        <f t="shared" si="657"/>
        <v>501.0167756279414</v>
      </c>
      <c r="CN45" s="39">
        <f t="shared" si="657"/>
        <v>514.50797188830381</v>
      </c>
      <c r="CO45" s="39">
        <f t="shared" si="657"/>
        <v>528.26034502063339</v>
      </c>
      <c r="CT45" s="38">
        <v>842.6</v>
      </c>
    </row>
    <row r="46" spans="1:98" s="43" customFormat="1" x14ac:dyDescent="0.2">
      <c r="A46" s="43" t="s">
        <v>14</v>
      </c>
      <c r="B46" s="43">
        <f t="shared" ref="B46" si="658">B44-B45</f>
        <v>0</v>
      </c>
      <c r="C46" s="43">
        <f t="shared" ref="C46:Z46" si="659">C44-C45</f>
        <v>0</v>
      </c>
      <c r="D46" s="43">
        <f t="shared" si="659"/>
        <v>0</v>
      </c>
      <c r="E46" s="43">
        <f t="shared" si="659"/>
        <v>0</v>
      </c>
      <c r="F46" s="43">
        <f t="shared" si="659"/>
        <v>0</v>
      </c>
      <c r="G46" s="43">
        <f t="shared" si="659"/>
        <v>0</v>
      </c>
      <c r="H46" s="43">
        <f t="shared" si="659"/>
        <v>0</v>
      </c>
      <c r="I46" s="43">
        <f t="shared" si="659"/>
        <v>-3.5967136000000002</v>
      </c>
      <c r="J46" s="43">
        <f t="shared" si="659"/>
        <v>-9.2827360999999957</v>
      </c>
      <c r="K46" s="43">
        <f t="shared" si="659"/>
        <v>9.9184150999999883</v>
      </c>
      <c r="L46" s="43">
        <f t="shared" si="659"/>
        <v>16.060391500000001</v>
      </c>
      <c r="M46" s="43">
        <f t="shared" si="659"/>
        <v>51.10999999999995</v>
      </c>
      <c r="N46" s="43">
        <f t="shared" si="659"/>
        <v>102.44999999999987</v>
      </c>
      <c r="O46" s="43">
        <f t="shared" si="659"/>
        <v>209.23999999999995</v>
      </c>
      <c r="P46" s="43">
        <f t="shared" si="659"/>
        <v>349.44999999999993</v>
      </c>
      <c r="Q46" s="43">
        <f t="shared" si="659"/>
        <v>534.40999999999985</v>
      </c>
      <c r="R46" s="43">
        <f t="shared" si="659"/>
        <v>684.22000000000014</v>
      </c>
      <c r="S46" s="43">
        <f t="shared" si="659"/>
        <v>933.01999999999975</v>
      </c>
      <c r="T46" s="43">
        <f t="shared" si="659"/>
        <v>1153.2399999999998</v>
      </c>
      <c r="U46" s="43">
        <f t="shared" si="659"/>
        <v>1004.8499999999989</v>
      </c>
      <c r="V46" s="43">
        <f t="shared" si="659"/>
        <v>391.47000000000139</v>
      </c>
      <c r="W46" s="43">
        <f t="shared" si="659"/>
        <v>1011.3999999999999</v>
      </c>
      <c r="X46" s="43">
        <f t="shared" si="659"/>
        <v>1959.3499999999997</v>
      </c>
      <c r="Y46" s="43">
        <f t="shared" si="659"/>
        <v>2460.84</v>
      </c>
      <c r="Z46" s="43">
        <f t="shared" si="659"/>
        <v>2175.9200000000019</v>
      </c>
      <c r="AA46" s="43">
        <f t="shared" ref="AA46" si="660">AA44-AA45</f>
        <v>2543.8299999999972</v>
      </c>
      <c r="AB46" s="44">
        <f t="shared" ref="AB46" si="661">AB44-AB45</f>
        <v>3982.536785984903</v>
      </c>
      <c r="AC46" s="44">
        <f t="shared" ref="AC46" si="662">AC44-AC45</f>
        <v>4536.1343770694284</v>
      </c>
      <c r="AD46" s="44">
        <f t="shared" ref="AD46" si="663">AD44-AD45</f>
        <v>5118.2965642314939</v>
      </c>
      <c r="AE46" s="44">
        <f t="shared" ref="AE46" si="664">AE44-AE45</f>
        <v>5773.5311413276831</v>
      </c>
      <c r="AG46" s="62"/>
      <c r="AH46" s="43">
        <f t="shared" ref="AH46:AU46" si="665">AH44-AH45</f>
        <v>0</v>
      </c>
      <c r="AI46" s="43">
        <f t="shared" si="665"/>
        <v>0</v>
      </c>
      <c r="AJ46" s="43">
        <f t="shared" si="665"/>
        <v>0</v>
      </c>
      <c r="AK46" s="43">
        <f t="shared" si="665"/>
        <v>0</v>
      </c>
      <c r="AL46" s="43">
        <f t="shared" si="665"/>
        <v>0</v>
      </c>
      <c r="AM46" s="43">
        <f t="shared" si="665"/>
        <v>0</v>
      </c>
      <c r="AN46" s="43">
        <f t="shared" si="665"/>
        <v>0</v>
      </c>
      <c r="AO46" s="43">
        <f t="shared" si="665"/>
        <v>0</v>
      </c>
      <c r="AP46" s="43">
        <f t="shared" si="665"/>
        <v>0</v>
      </c>
      <c r="AQ46" s="43">
        <f t="shared" si="665"/>
        <v>0</v>
      </c>
      <c r="AR46" s="43">
        <f t="shared" si="665"/>
        <v>0</v>
      </c>
      <c r="AS46" s="43">
        <f t="shared" si="665"/>
        <v>0</v>
      </c>
      <c r="AT46" s="43">
        <f t="shared" si="665"/>
        <v>0</v>
      </c>
      <c r="AU46" s="43">
        <f t="shared" si="665"/>
        <v>0</v>
      </c>
      <c r="AV46" s="43">
        <f t="shared" ref="AV46:BV46" si="666">AV44-AV45</f>
        <v>0</v>
      </c>
      <c r="AW46" s="43">
        <f t="shared" si="666"/>
        <v>0</v>
      </c>
      <c r="AX46" s="43">
        <f t="shared" si="666"/>
        <v>0</v>
      </c>
      <c r="AY46" s="43">
        <f t="shared" si="666"/>
        <v>0</v>
      </c>
      <c r="AZ46" s="43">
        <f t="shared" si="666"/>
        <v>0</v>
      </c>
      <c r="BA46" s="43">
        <f t="shared" si="666"/>
        <v>0</v>
      </c>
      <c r="BB46" s="43">
        <f t="shared" si="666"/>
        <v>0</v>
      </c>
      <c r="BC46" s="43">
        <f t="shared" si="666"/>
        <v>0</v>
      </c>
      <c r="BD46" s="43">
        <f t="shared" si="666"/>
        <v>0</v>
      </c>
      <c r="BE46" s="43">
        <f t="shared" si="666"/>
        <v>0</v>
      </c>
      <c r="BF46" s="43">
        <f t="shared" si="666"/>
        <v>0</v>
      </c>
      <c r="BG46" s="43">
        <f t="shared" si="666"/>
        <v>0</v>
      </c>
      <c r="BH46" s="43">
        <f t="shared" si="666"/>
        <v>0</v>
      </c>
      <c r="BI46" s="43">
        <f t="shared" si="666"/>
        <v>0</v>
      </c>
      <c r="BJ46" s="43">
        <f t="shared" si="666"/>
        <v>0</v>
      </c>
      <c r="BK46" s="43">
        <f t="shared" si="666"/>
        <v>0</v>
      </c>
      <c r="BL46" s="43">
        <f t="shared" si="666"/>
        <v>0</v>
      </c>
      <c r="BM46" s="43">
        <f t="shared" si="666"/>
        <v>0</v>
      </c>
      <c r="BN46" s="43">
        <f t="shared" si="666"/>
        <v>0</v>
      </c>
      <c r="BO46" s="43">
        <f t="shared" si="666"/>
        <v>0</v>
      </c>
      <c r="BP46" s="43">
        <f t="shared" si="666"/>
        <v>0</v>
      </c>
      <c r="BQ46" s="43">
        <f t="shared" si="666"/>
        <v>0</v>
      </c>
      <c r="BR46" s="43">
        <f t="shared" si="666"/>
        <v>581.70000000000005</v>
      </c>
      <c r="BS46" s="43">
        <f t="shared" si="666"/>
        <v>591.00000000000011</v>
      </c>
      <c r="BT46" s="43">
        <f t="shared" si="666"/>
        <v>472.30000000000041</v>
      </c>
      <c r="BU46" s="43">
        <f t="shared" si="666"/>
        <v>530.90000000000055</v>
      </c>
      <c r="BV46" s="43">
        <f t="shared" si="666"/>
        <v>567.69999999999982</v>
      </c>
      <c r="BW46" s="43">
        <f t="shared" ref="BW46:BX46" si="667">BW44-BW45</f>
        <v>581.39999999999964</v>
      </c>
      <c r="BX46" s="43">
        <f t="shared" si="667"/>
        <v>643.9</v>
      </c>
      <c r="BY46" s="43">
        <f t="shared" ref="BY46" si="668">BY44-BY45</f>
        <v>750.59999999999968</v>
      </c>
      <c r="BZ46" s="44">
        <f t="shared" ref="BZ46:CC46" si="669">BZ44-BZ45</f>
        <v>930.58675147785539</v>
      </c>
      <c r="CA46" s="44">
        <f t="shared" si="669"/>
        <v>1011.6260829075353</v>
      </c>
      <c r="CB46" s="44">
        <f t="shared" si="669"/>
        <v>1010.2775399476845</v>
      </c>
      <c r="CC46" s="44">
        <f t="shared" si="669"/>
        <v>1030.0464116518297</v>
      </c>
      <c r="CD46" s="44">
        <f t="shared" ref="CD46:CO46" si="670">CD44-CD45</f>
        <v>1088.9685573781762</v>
      </c>
      <c r="CE46" s="44">
        <f t="shared" si="670"/>
        <v>1121.6449564994464</v>
      </c>
      <c r="CF46" s="44">
        <f t="shared" si="670"/>
        <v>1146.6934922006217</v>
      </c>
      <c r="CG46" s="44">
        <f t="shared" si="670"/>
        <v>1178.827370991185</v>
      </c>
      <c r="CH46" s="44">
        <f t="shared" si="670"/>
        <v>1223.8385212383869</v>
      </c>
      <c r="CI46" s="44">
        <f t="shared" si="670"/>
        <v>1263.9594012803905</v>
      </c>
      <c r="CJ46" s="44">
        <f t="shared" si="670"/>
        <v>1297.5250282882109</v>
      </c>
      <c r="CK46" s="44">
        <f t="shared" si="670"/>
        <v>1332.9736134245027</v>
      </c>
      <c r="CL46" s="44">
        <f t="shared" si="670"/>
        <v>1379.6812625688776</v>
      </c>
      <c r="CM46" s="44">
        <f t="shared" si="670"/>
        <v>1425.9708229410639</v>
      </c>
      <c r="CN46" s="44">
        <f t="shared" si="670"/>
        <v>1464.3688430667107</v>
      </c>
      <c r="CO46" s="44">
        <f t="shared" si="670"/>
        <v>1503.5102127510336</v>
      </c>
      <c r="CT46" s="43">
        <v>2543.5999999999958</v>
      </c>
    </row>
    <row r="47" spans="1:98" s="38" customFormat="1" x14ac:dyDescent="0.2">
      <c r="A47" s="38" t="s">
        <v>5</v>
      </c>
      <c r="B47" s="38">
        <f>+'Annual Raw'!C42</f>
        <v>0</v>
      </c>
      <c r="C47" s="38">
        <f>+'Annual Raw'!D42</f>
        <v>0</v>
      </c>
      <c r="D47" s="38">
        <f>+'Annual Raw'!E42</f>
        <v>0</v>
      </c>
      <c r="E47" s="38">
        <f>+'Annual Raw'!F42</f>
        <v>0</v>
      </c>
      <c r="F47" s="38">
        <f>+'Annual Raw'!G42</f>
        <v>0</v>
      </c>
      <c r="G47" s="38">
        <f>+'Annual Raw'!H42</f>
        <v>0</v>
      </c>
      <c r="H47" s="38">
        <f>+'Annual Raw'!I42</f>
        <v>0</v>
      </c>
      <c r="I47" s="38">
        <f>+'Annual Raw'!J42</f>
        <v>0</v>
      </c>
      <c r="J47" s="38">
        <f>+'Annual Raw'!K42</f>
        <v>0</v>
      </c>
      <c r="K47" s="38">
        <f>+'Annual Raw'!L42</f>
        <v>0</v>
      </c>
      <c r="L47" s="38">
        <f>+'Annual Raw'!M42</f>
        <v>0</v>
      </c>
      <c r="M47" s="38">
        <f>+'Annual Raw'!N42</f>
        <v>0</v>
      </c>
      <c r="N47" s="38">
        <f>+'Annual Raw'!O42</f>
        <v>0</v>
      </c>
      <c r="O47" s="38">
        <f>+'Annual Raw'!P42</f>
        <v>0</v>
      </c>
      <c r="P47" s="38">
        <f>+'Annual Raw'!Q42</f>
        <v>0</v>
      </c>
      <c r="Q47" s="38">
        <f>+'Annual Raw'!R42</f>
        <v>0</v>
      </c>
      <c r="R47" s="38">
        <f>+'Annual Raw'!S42</f>
        <v>0</v>
      </c>
      <c r="S47" s="38">
        <f>+'Annual Raw'!T42</f>
        <v>0</v>
      </c>
      <c r="T47" s="38">
        <f>+'Annual Raw'!U42</f>
        <v>0</v>
      </c>
      <c r="U47" s="38">
        <f>+'Annual Raw'!V42</f>
        <v>0</v>
      </c>
      <c r="V47" s="38">
        <f>+'Annual Raw'!W42</f>
        <v>0</v>
      </c>
      <c r="W47" s="38">
        <f>+'Annual Raw'!X42</f>
        <v>0</v>
      </c>
      <c r="X47" s="38">
        <f>+'Annual Raw'!Y42</f>
        <v>0</v>
      </c>
      <c r="Y47" s="38">
        <f>+'Annual Raw'!Z42</f>
        <v>0</v>
      </c>
      <c r="Z47" s="38">
        <f>+'Annual Raw'!AA42</f>
        <v>0</v>
      </c>
      <c r="AA47" s="38">
        <f>+'Annual Raw'!AB42</f>
        <v>0</v>
      </c>
      <c r="AB47" s="39">
        <f>SUM(BZ47:CC47)</f>
        <v>0</v>
      </c>
      <c r="AC47" s="39">
        <f>SUM(CD47:CG47)</f>
        <v>0</v>
      </c>
      <c r="AD47" s="39">
        <f>SUM(CH47:CK47)</f>
        <v>0</v>
      </c>
      <c r="AE47" s="39">
        <f>SUM(CL47:CO47)</f>
        <v>0</v>
      </c>
      <c r="AG47" s="60"/>
      <c r="AH47" s="38">
        <f>+'QTR Raw'!D39</f>
        <v>0</v>
      </c>
      <c r="AI47" s="38">
        <f>+'QTR Raw'!E39</f>
        <v>0</v>
      </c>
      <c r="AJ47" s="38">
        <f>+'QTR Raw'!F39</f>
        <v>0</v>
      </c>
      <c r="AK47" s="38">
        <f>+'QTR Raw'!G39</f>
        <v>0</v>
      </c>
      <c r="AL47" s="38">
        <f>+'QTR Raw'!H39</f>
        <v>0</v>
      </c>
      <c r="AM47" s="38">
        <f>+'QTR Raw'!I39</f>
        <v>0</v>
      </c>
      <c r="AN47" s="38">
        <f>+'QTR Raw'!J39</f>
        <v>0</v>
      </c>
      <c r="AO47" s="38">
        <f>+'QTR Raw'!K39</f>
        <v>0</v>
      </c>
      <c r="AP47" s="38">
        <f>+'QTR Raw'!L39</f>
        <v>0</v>
      </c>
      <c r="AQ47" s="38">
        <f>+'QTR Raw'!M39</f>
        <v>0</v>
      </c>
      <c r="AR47" s="38">
        <f>+'QTR Raw'!N39</f>
        <v>0</v>
      </c>
      <c r="AS47" s="38">
        <f>+'QTR Raw'!O39</f>
        <v>0</v>
      </c>
      <c r="AT47" s="38">
        <f>+'QTR Raw'!P39</f>
        <v>0</v>
      </c>
      <c r="AU47" s="38">
        <f>+'QTR Raw'!Q39</f>
        <v>0</v>
      </c>
      <c r="AV47" s="38">
        <f>+'QTR Raw'!R39</f>
        <v>0</v>
      </c>
      <c r="AW47" s="38">
        <f>+'QTR Raw'!S39</f>
        <v>0</v>
      </c>
      <c r="AX47" s="38">
        <f>+'QTR Raw'!T39</f>
        <v>0</v>
      </c>
      <c r="AY47" s="38">
        <f>+'QTR Raw'!U39</f>
        <v>0</v>
      </c>
      <c r="AZ47" s="38">
        <f>+'QTR Raw'!V39</f>
        <v>0</v>
      </c>
      <c r="BA47" s="38">
        <f>+'QTR Raw'!W39</f>
        <v>0</v>
      </c>
      <c r="BB47" s="38">
        <f>+'QTR Raw'!X39</f>
        <v>0</v>
      </c>
      <c r="BC47" s="38">
        <f>+'QTR Raw'!Y39</f>
        <v>0</v>
      </c>
      <c r="BD47" s="38">
        <f>+'QTR Raw'!Z39</f>
        <v>0</v>
      </c>
      <c r="BE47" s="38">
        <f>+'QTR Raw'!AA39</f>
        <v>0</v>
      </c>
      <c r="BF47" s="38">
        <f>+'QTR Raw'!AB39</f>
        <v>0</v>
      </c>
      <c r="BG47" s="38">
        <f>+'QTR Raw'!AC39</f>
        <v>0</v>
      </c>
      <c r="BH47" s="38">
        <f>+'QTR Raw'!AD39</f>
        <v>0</v>
      </c>
      <c r="BI47" s="38">
        <f>+'QTR Raw'!AE39</f>
        <v>0</v>
      </c>
      <c r="BJ47" s="38">
        <f>+'QTR Raw'!AF39</f>
        <v>0</v>
      </c>
      <c r="BK47" s="38">
        <f>+'QTR Raw'!AG39</f>
        <v>0</v>
      </c>
      <c r="BL47" s="38">
        <f>+'QTR Raw'!AH39</f>
        <v>0</v>
      </c>
      <c r="BM47" s="38">
        <f>+'QTR Raw'!AI39</f>
        <v>0</v>
      </c>
      <c r="BN47" s="38">
        <f>+'QTR Raw'!AJ39</f>
        <v>0</v>
      </c>
      <c r="BO47" s="38">
        <f>+'QTR Raw'!AK39</f>
        <v>0</v>
      </c>
      <c r="BP47" s="38">
        <f>+'QTR Raw'!AL39</f>
        <v>0</v>
      </c>
      <c r="BQ47" s="38">
        <f>+'QTR Raw'!AM39</f>
        <v>0</v>
      </c>
      <c r="BR47" s="38">
        <f>+'QTR Raw'!AN39</f>
        <v>0</v>
      </c>
      <c r="BS47" s="38">
        <f>+'QTR Raw'!AO39</f>
        <v>0</v>
      </c>
      <c r="BT47" s="38">
        <f>+'QTR Raw'!AP39</f>
        <v>0</v>
      </c>
      <c r="BU47" s="38">
        <f>+'QTR Raw'!AQ39</f>
        <v>0</v>
      </c>
      <c r="BV47" s="38">
        <f>+'QTR Raw'!AR39</f>
        <v>0</v>
      </c>
      <c r="BW47" s="38">
        <f>+'QTR Raw'!AS39</f>
        <v>0</v>
      </c>
      <c r="BX47" s="38">
        <f>+'QTR Raw'!AT39</f>
        <v>0</v>
      </c>
      <c r="BY47" s="38">
        <f>+'QTR Raw'!AU39</f>
        <v>0</v>
      </c>
      <c r="BZ47" s="39">
        <f t="shared" ref="BZ47:BZ48" si="671">+BY47</f>
        <v>0</v>
      </c>
      <c r="CA47" s="39">
        <f t="shared" ref="CA47:CA48" si="672">+BZ47</f>
        <v>0</v>
      </c>
      <c r="CB47" s="39">
        <f t="shared" ref="CB47:CB48" si="673">+CA47</f>
        <v>0</v>
      </c>
      <c r="CC47" s="39">
        <f t="shared" ref="CC47:CC48" si="674">+CB47</f>
        <v>0</v>
      </c>
      <c r="CD47" s="39">
        <f t="shared" ref="CD47:CD48" si="675">+CC47</f>
        <v>0</v>
      </c>
      <c r="CE47" s="39">
        <f t="shared" ref="CE47:CE48" si="676">+CD47</f>
        <v>0</v>
      </c>
      <c r="CF47" s="39">
        <f t="shared" ref="CF47:CF48" si="677">+CE47</f>
        <v>0</v>
      </c>
      <c r="CG47" s="39">
        <f t="shared" ref="CG47:CG48" si="678">+CF47</f>
        <v>0</v>
      </c>
      <c r="CH47" s="39">
        <f t="shared" ref="CH47:CH48" si="679">+CG47</f>
        <v>0</v>
      </c>
      <c r="CI47" s="39">
        <f t="shared" ref="CI47:CI48" si="680">+CH47</f>
        <v>0</v>
      </c>
      <c r="CJ47" s="39">
        <f t="shared" ref="CJ47:CJ48" si="681">+CI47</f>
        <v>0</v>
      </c>
      <c r="CK47" s="39">
        <f t="shared" ref="CK47:CK48" si="682">+CJ47</f>
        <v>0</v>
      </c>
      <c r="CL47" s="39">
        <f t="shared" ref="CL47:CL48" si="683">+CK47</f>
        <v>0</v>
      </c>
      <c r="CM47" s="39">
        <f t="shared" ref="CM47:CM48" si="684">+CL47</f>
        <v>0</v>
      </c>
      <c r="CN47" s="39">
        <f t="shared" ref="CN47:CN48" si="685">+CM47</f>
        <v>0</v>
      </c>
      <c r="CO47" s="39">
        <f t="shared" ref="CO47:CO48" si="686">+CN47</f>
        <v>0</v>
      </c>
      <c r="CT47" s="38">
        <v>0</v>
      </c>
    </row>
    <row r="48" spans="1:98" s="38" customFormat="1" x14ac:dyDescent="0.2">
      <c r="A48" s="38" t="s">
        <v>44</v>
      </c>
      <c r="B48" s="38">
        <f>+'Annual Raw'!C43</f>
        <v>0</v>
      </c>
      <c r="C48" s="38">
        <f>+'Annual Raw'!D43</f>
        <v>0</v>
      </c>
      <c r="D48" s="38">
        <f>+'Annual Raw'!E43</f>
        <v>0</v>
      </c>
      <c r="E48" s="38">
        <f>+'Annual Raw'!F43</f>
        <v>0</v>
      </c>
      <c r="F48" s="38">
        <f>+'Annual Raw'!G43</f>
        <v>0</v>
      </c>
      <c r="G48" s="38">
        <f>+'Annual Raw'!H43</f>
        <v>0</v>
      </c>
      <c r="H48" s="38">
        <f>+'Annual Raw'!I43</f>
        <v>0</v>
      </c>
      <c r="I48" s="38">
        <f>+'Annual Raw'!J43</f>
        <v>0</v>
      </c>
      <c r="J48" s="38">
        <f>+'Annual Raw'!K43</f>
        <v>0</v>
      </c>
      <c r="K48" s="38">
        <f>+'Annual Raw'!L43</f>
        <v>0</v>
      </c>
      <c r="L48" s="38">
        <f>+'Annual Raw'!M43</f>
        <v>0</v>
      </c>
      <c r="M48" s="38">
        <f>+'Annual Raw'!N43</f>
        <v>0</v>
      </c>
      <c r="N48" s="38">
        <f>+'Annual Raw'!O43</f>
        <v>0</v>
      </c>
      <c r="O48" s="38">
        <f>+'Annual Raw'!P43</f>
        <v>0</v>
      </c>
      <c r="P48" s="38">
        <f>+'Annual Raw'!Q43</f>
        <v>0</v>
      </c>
      <c r="Q48" s="38">
        <f>+'Annual Raw'!R43</f>
        <v>0</v>
      </c>
      <c r="R48" s="38">
        <f>+'Annual Raw'!S43</f>
        <v>0</v>
      </c>
      <c r="S48" s="38">
        <f>+'Annual Raw'!T43</f>
        <v>0</v>
      </c>
      <c r="T48" s="38">
        <f>+'Annual Raw'!U43</f>
        <v>0</v>
      </c>
      <c r="U48" s="38">
        <f>+'Annual Raw'!V43</f>
        <v>0</v>
      </c>
      <c r="V48" s="38">
        <f>+'Annual Raw'!W43</f>
        <v>0</v>
      </c>
      <c r="W48" s="38">
        <f>+'Annual Raw'!X43</f>
        <v>0</v>
      </c>
      <c r="X48" s="38">
        <f>+'Annual Raw'!Y43</f>
        <v>0</v>
      </c>
      <c r="Y48" s="38">
        <f>+'Annual Raw'!Z43</f>
        <v>0</v>
      </c>
      <c r="Z48" s="38">
        <f>+'Annual Raw'!AA43</f>
        <v>0</v>
      </c>
      <c r="AA48" s="38">
        <f>+'Annual Raw'!AB43</f>
        <v>0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AH48" s="38">
        <f>+'QTR Raw'!D40</f>
        <v>0</v>
      </c>
      <c r="AI48" s="38">
        <f>+'QTR Raw'!E40</f>
        <v>0</v>
      </c>
      <c r="AJ48" s="38">
        <f>+'QTR Raw'!F40</f>
        <v>0</v>
      </c>
      <c r="AK48" s="38">
        <f>+'QTR Raw'!G40</f>
        <v>0</v>
      </c>
      <c r="AL48" s="38">
        <f>+'QTR Raw'!H40</f>
        <v>0</v>
      </c>
      <c r="AM48" s="38">
        <f>+'QTR Raw'!I40</f>
        <v>0</v>
      </c>
      <c r="AN48" s="38">
        <f>+'QTR Raw'!J40</f>
        <v>0</v>
      </c>
      <c r="AO48" s="38">
        <f>+'QTR Raw'!K40</f>
        <v>0</v>
      </c>
      <c r="AP48" s="38">
        <f>+'QTR Raw'!L40</f>
        <v>0</v>
      </c>
      <c r="AQ48" s="38">
        <f>+'QTR Raw'!M40</f>
        <v>0</v>
      </c>
      <c r="AR48" s="38">
        <f>+'QTR Raw'!N40</f>
        <v>0</v>
      </c>
      <c r="AS48" s="38">
        <f>+'QTR Raw'!O40</f>
        <v>0</v>
      </c>
      <c r="AT48" s="38">
        <f>+'QTR Raw'!P40</f>
        <v>0</v>
      </c>
      <c r="AU48" s="38">
        <f>+'QTR Raw'!Q40</f>
        <v>0</v>
      </c>
      <c r="AV48" s="38">
        <f>+'QTR Raw'!R40</f>
        <v>0</v>
      </c>
      <c r="AW48" s="38">
        <f>+'QTR Raw'!S40</f>
        <v>0</v>
      </c>
      <c r="AX48" s="38">
        <f>+'QTR Raw'!T40</f>
        <v>0</v>
      </c>
      <c r="AY48" s="38">
        <f>+'QTR Raw'!U40</f>
        <v>0</v>
      </c>
      <c r="AZ48" s="38">
        <f>+'QTR Raw'!V40</f>
        <v>0</v>
      </c>
      <c r="BA48" s="38">
        <f>+'QTR Raw'!W40</f>
        <v>0</v>
      </c>
      <c r="BB48" s="38">
        <f>+'QTR Raw'!X40</f>
        <v>0</v>
      </c>
      <c r="BC48" s="38">
        <f>+'QTR Raw'!Y40</f>
        <v>0</v>
      </c>
      <c r="BD48" s="38">
        <f>+'QTR Raw'!Z40</f>
        <v>0</v>
      </c>
      <c r="BE48" s="38">
        <f>+'QTR Raw'!AA40</f>
        <v>0</v>
      </c>
      <c r="BF48" s="38">
        <f>+'QTR Raw'!AB40</f>
        <v>0</v>
      </c>
      <c r="BG48" s="38">
        <f>+'QTR Raw'!AC40</f>
        <v>0</v>
      </c>
      <c r="BH48" s="38">
        <f>+'QTR Raw'!AD40</f>
        <v>0</v>
      </c>
      <c r="BI48" s="38">
        <f>+'QTR Raw'!AE40</f>
        <v>0</v>
      </c>
      <c r="BJ48" s="38">
        <f>+'QTR Raw'!AF40</f>
        <v>0</v>
      </c>
      <c r="BK48" s="38">
        <f>+'QTR Raw'!AG40</f>
        <v>0</v>
      </c>
      <c r="BL48" s="38">
        <f>+'QTR Raw'!AH40</f>
        <v>0</v>
      </c>
      <c r="BM48" s="38">
        <f>+'QTR Raw'!AI40</f>
        <v>0</v>
      </c>
      <c r="BN48" s="38">
        <f>+'QTR Raw'!AJ40</f>
        <v>0</v>
      </c>
      <c r="BO48" s="38">
        <f>+'QTR Raw'!AK40</f>
        <v>0</v>
      </c>
      <c r="BP48" s="38">
        <f>+'QTR Raw'!AL40</f>
        <v>0</v>
      </c>
      <c r="BQ48" s="38">
        <f>+'QTR Raw'!AM40</f>
        <v>0</v>
      </c>
      <c r="BR48" s="38">
        <f>+'QTR Raw'!AN40</f>
        <v>0</v>
      </c>
      <c r="BS48" s="38">
        <f>+'QTR Raw'!AO40</f>
        <v>0</v>
      </c>
      <c r="BT48" s="38">
        <f>+'QTR Raw'!AP40</f>
        <v>0</v>
      </c>
      <c r="BU48" s="38">
        <f>+'QTR Raw'!AQ40</f>
        <v>0</v>
      </c>
      <c r="BV48" s="38">
        <f>+'QTR Raw'!AR40</f>
        <v>0</v>
      </c>
      <c r="BW48" s="38">
        <f>+'QTR Raw'!AS40</f>
        <v>0</v>
      </c>
      <c r="BX48" s="38">
        <f>+'QTR Raw'!AT40</f>
        <v>0</v>
      </c>
      <c r="BY48" s="38">
        <f>+'QTR Raw'!AU40</f>
        <v>0</v>
      </c>
      <c r="BZ48" s="39">
        <f t="shared" si="671"/>
        <v>0</v>
      </c>
      <c r="CA48" s="39">
        <f t="shared" si="672"/>
        <v>0</v>
      </c>
      <c r="CB48" s="39">
        <f t="shared" si="673"/>
        <v>0</v>
      </c>
      <c r="CC48" s="39">
        <f t="shared" si="674"/>
        <v>0</v>
      </c>
      <c r="CD48" s="39">
        <f t="shared" si="675"/>
        <v>0</v>
      </c>
      <c r="CE48" s="39">
        <f t="shared" si="676"/>
        <v>0</v>
      </c>
      <c r="CF48" s="39">
        <f t="shared" si="677"/>
        <v>0</v>
      </c>
      <c r="CG48" s="39">
        <f t="shared" si="678"/>
        <v>0</v>
      </c>
      <c r="CH48" s="39">
        <f t="shared" si="679"/>
        <v>0</v>
      </c>
      <c r="CI48" s="39">
        <f t="shared" si="680"/>
        <v>0</v>
      </c>
      <c r="CJ48" s="39">
        <f t="shared" si="681"/>
        <v>0</v>
      </c>
      <c r="CK48" s="39">
        <f t="shared" si="682"/>
        <v>0</v>
      </c>
      <c r="CL48" s="39">
        <f t="shared" si="683"/>
        <v>0</v>
      </c>
      <c r="CM48" s="39">
        <f t="shared" si="684"/>
        <v>0</v>
      </c>
      <c r="CN48" s="39">
        <f t="shared" si="685"/>
        <v>0</v>
      </c>
      <c r="CO48" s="39">
        <f t="shared" si="686"/>
        <v>0</v>
      </c>
      <c r="CT48" s="38">
        <v>0</v>
      </c>
    </row>
    <row r="49" spans="1:98" s="38" customFormat="1" x14ac:dyDescent="0.2">
      <c r="A49" s="38" t="s">
        <v>290</v>
      </c>
      <c r="B49" s="38">
        <f>+'Annual Raw'!C34+'Annual Raw'!C44+'Annual Raw'!C33+'Annual Raw'!C40</f>
        <v>0</v>
      </c>
      <c r="C49" s="38">
        <f>+'Annual Raw'!D34+'Annual Raw'!D44+'Annual Raw'!D33+'Annual Raw'!D40</f>
        <v>0</v>
      </c>
      <c r="D49" s="38">
        <f>+'Annual Raw'!E34+'Annual Raw'!E44+'Annual Raw'!E33+'Annual Raw'!E40</f>
        <v>0</v>
      </c>
      <c r="E49" s="38">
        <f>+'Annual Raw'!F34+'Annual Raw'!F44+'Annual Raw'!F33+'Annual Raw'!F40</f>
        <v>0</v>
      </c>
      <c r="F49" s="38">
        <f>+'Annual Raw'!G34+'Annual Raw'!G44+'Annual Raw'!G33+'Annual Raw'!G40</f>
        <v>0</v>
      </c>
      <c r="G49" s="38">
        <f>+'Annual Raw'!H34+'Annual Raw'!H44+'Annual Raw'!H33+'Annual Raw'!H40</f>
        <v>0</v>
      </c>
      <c r="H49" s="38">
        <f>+'Annual Raw'!I34+'Annual Raw'!I44+'Annual Raw'!I33+'Annual Raw'!I40</f>
        <v>0</v>
      </c>
      <c r="I49" s="38">
        <f>+'Annual Raw'!J34+'Annual Raw'!J44+'Annual Raw'!J33+'Annual Raw'!J40</f>
        <v>0</v>
      </c>
      <c r="J49" s="38">
        <f>+'Annual Raw'!K34+'Annual Raw'!K44+'Annual Raw'!K33+'Annual Raw'!K40</f>
        <v>0</v>
      </c>
      <c r="K49" s="38">
        <f>+'Annual Raw'!L34+'Annual Raw'!L44+'Annual Raw'!L33+'Annual Raw'!L40</f>
        <v>0</v>
      </c>
      <c r="L49" s="38">
        <f>+'Annual Raw'!M34+'Annual Raw'!M44+'Annual Raw'!M33+'Annual Raw'!M40</f>
        <v>-0.25263580000000002</v>
      </c>
      <c r="M49" s="38">
        <f>+'Annual Raw'!N34+'Annual Raw'!N44+'Annual Raw'!N33+'Annual Raw'!N40</f>
        <v>0</v>
      </c>
      <c r="N49" s="38">
        <f>+'Annual Raw'!O34+'Annual Raw'!O44+'Annual Raw'!O33+'Annual Raw'!O40</f>
        <v>0</v>
      </c>
      <c r="O49" s="38">
        <f>+'Annual Raw'!P34+'Annual Raw'!P44+'Annual Raw'!P33+'Annual Raw'!P40</f>
        <v>0</v>
      </c>
      <c r="P49" s="38">
        <f>+'Annual Raw'!Q34+'Annual Raw'!Q44+'Annual Raw'!Q33+'Annual Raw'!Q40</f>
        <v>0</v>
      </c>
      <c r="Q49" s="38">
        <f>+'Annual Raw'!R34+'Annual Raw'!R44+'Annual Raw'!R33+'Annual Raw'!R40</f>
        <v>0</v>
      </c>
      <c r="R49" s="38">
        <f>+'Annual Raw'!S34+'Annual Raw'!S44+'Annual Raw'!S33+'Annual Raw'!S40</f>
        <v>0</v>
      </c>
      <c r="S49" s="38">
        <f>+'Annual Raw'!T34+'Annual Raw'!T44+'Annual Raw'!T33+'Annual Raw'!T40</f>
        <v>0</v>
      </c>
      <c r="T49" s="38">
        <f>+'Annual Raw'!U34+'Annual Raw'!U44+'Annual Raw'!U33+'Annual Raw'!U40</f>
        <v>0</v>
      </c>
      <c r="U49" s="38">
        <f>+'Annual Raw'!V34+'Annual Raw'!V44+'Annual Raw'!V33+'Annual Raw'!V40</f>
        <v>0</v>
      </c>
      <c r="V49" s="38">
        <f>+'Annual Raw'!W34+'Annual Raw'!W44+'Annual Raw'!W33+'Annual Raw'!W40</f>
        <v>0</v>
      </c>
      <c r="W49" s="38">
        <f>+'Annual Raw'!X34+'Annual Raw'!X44+'Annual Raw'!X33+'Annual Raw'!X40</f>
        <v>0</v>
      </c>
      <c r="X49" s="38">
        <f>+'Annual Raw'!Y34+'Annual Raw'!Y44+'Annual Raw'!Y33+'Annual Raw'!Y40</f>
        <v>0</v>
      </c>
      <c r="Y49" s="38">
        <f>+'Annual Raw'!Z34+'Annual Raw'!Z44+'Annual Raw'!Z33+'Annual Raw'!Z40</f>
        <v>0</v>
      </c>
      <c r="Z49" s="38">
        <f>+'Annual Raw'!AA34+'Annual Raw'!AA44+'Annual Raw'!AA33+'Annual Raw'!AA40</f>
        <v>0</v>
      </c>
      <c r="AA49" s="38">
        <f>+'Annual Raw'!AB34+'Annual Raw'!AB44+'Annual Raw'!AB33+'Annual Raw'!AB40</f>
        <v>0</v>
      </c>
      <c r="AB49" s="39"/>
      <c r="AC49" s="39"/>
      <c r="AD49" s="39"/>
      <c r="AE49" s="39"/>
      <c r="AG49" s="60"/>
      <c r="AH49" s="38">
        <f>+'QTR Raw'!D41+'QTR Raw'!D34+'QTR Raw'!D35</f>
        <v>0</v>
      </c>
      <c r="AI49" s="38">
        <f>+'QTR Raw'!E41+'QTR Raw'!E34+'QTR Raw'!E35</f>
        <v>0</v>
      </c>
      <c r="AJ49" s="38">
        <f>+'QTR Raw'!F41+'QTR Raw'!F34+'QTR Raw'!F35</f>
        <v>0</v>
      </c>
      <c r="AK49" s="38">
        <f>+'QTR Raw'!G41+'QTR Raw'!G34+'QTR Raw'!G35</f>
        <v>0</v>
      </c>
      <c r="AL49" s="38">
        <f>+'QTR Raw'!H41+'QTR Raw'!H34+'QTR Raw'!H35</f>
        <v>0</v>
      </c>
      <c r="AM49" s="38">
        <f>+'QTR Raw'!I41+'QTR Raw'!I34+'QTR Raw'!I35</f>
        <v>0</v>
      </c>
      <c r="AN49" s="38">
        <f>+'QTR Raw'!J41+'QTR Raw'!J34+'QTR Raw'!J35</f>
        <v>0</v>
      </c>
      <c r="AO49" s="38">
        <f>+'QTR Raw'!K41+'QTR Raw'!K34+'QTR Raw'!K35</f>
        <v>0</v>
      </c>
      <c r="AP49" s="38">
        <f>+'QTR Raw'!L41+'QTR Raw'!L34+'QTR Raw'!L35</f>
        <v>0</v>
      </c>
      <c r="AQ49" s="38">
        <f>+'QTR Raw'!M41+'QTR Raw'!M34+'QTR Raw'!M35</f>
        <v>0</v>
      </c>
      <c r="AR49" s="38">
        <f>+'QTR Raw'!N41+'QTR Raw'!N34+'QTR Raw'!N35</f>
        <v>0</v>
      </c>
      <c r="AS49" s="38">
        <f>+'QTR Raw'!O41+'QTR Raw'!O34+'QTR Raw'!O35</f>
        <v>0</v>
      </c>
      <c r="AT49" s="38">
        <f>+'QTR Raw'!P41+'QTR Raw'!P34+'QTR Raw'!P35</f>
        <v>0</v>
      </c>
      <c r="AU49" s="38">
        <f>+'QTR Raw'!Q41+'QTR Raw'!Q34+'QTR Raw'!Q35</f>
        <v>0</v>
      </c>
      <c r="AV49" s="38">
        <f>+'QTR Raw'!R41+'QTR Raw'!R34+'QTR Raw'!R35</f>
        <v>0</v>
      </c>
      <c r="AW49" s="38">
        <f>+'QTR Raw'!S41+'QTR Raw'!S34+'QTR Raw'!S35</f>
        <v>0</v>
      </c>
      <c r="AX49" s="38">
        <f>+'QTR Raw'!T41+'QTR Raw'!T34+'QTR Raw'!T35</f>
        <v>0</v>
      </c>
      <c r="AY49" s="38">
        <f>+'QTR Raw'!U41+'QTR Raw'!U34+'QTR Raw'!U35</f>
        <v>0</v>
      </c>
      <c r="AZ49" s="38">
        <f>+'QTR Raw'!V41+'QTR Raw'!V34+'QTR Raw'!V35</f>
        <v>0</v>
      </c>
      <c r="BA49" s="38">
        <f>+'QTR Raw'!W41+'QTR Raw'!W34+'QTR Raw'!W35</f>
        <v>0</v>
      </c>
      <c r="BB49" s="38">
        <f>+'QTR Raw'!X41+'QTR Raw'!X34+'QTR Raw'!X35</f>
        <v>0</v>
      </c>
      <c r="BC49" s="38">
        <f>+'QTR Raw'!Y41+'QTR Raw'!Y34+'QTR Raw'!Y35</f>
        <v>0</v>
      </c>
      <c r="BD49" s="38">
        <f>+'QTR Raw'!Z41+'QTR Raw'!Z34+'QTR Raw'!Z35</f>
        <v>0</v>
      </c>
      <c r="BE49" s="38">
        <f>+'QTR Raw'!AA41+'QTR Raw'!AA34+'QTR Raw'!AA35</f>
        <v>0</v>
      </c>
      <c r="BF49" s="38">
        <f>+'QTR Raw'!AB41+'QTR Raw'!AB34+'QTR Raw'!AB35</f>
        <v>0</v>
      </c>
      <c r="BG49" s="38">
        <f>+'QTR Raw'!AC41+'QTR Raw'!AC34+'QTR Raw'!AC35</f>
        <v>0</v>
      </c>
      <c r="BH49" s="38">
        <f>+'QTR Raw'!AD41+'QTR Raw'!AD34+'QTR Raw'!AD35</f>
        <v>0</v>
      </c>
      <c r="BI49" s="38">
        <f>+'QTR Raw'!AE41+'QTR Raw'!AE34+'QTR Raw'!AE35</f>
        <v>0</v>
      </c>
      <c r="BJ49" s="38">
        <f>+'QTR Raw'!AF41+'QTR Raw'!AF34+'QTR Raw'!AF35</f>
        <v>0</v>
      </c>
      <c r="BK49" s="38">
        <f>+'QTR Raw'!AG41+'QTR Raw'!AG34+'QTR Raw'!AG35</f>
        <v>0</v>
      </c>
      <c r="BL49" s="38">
        <f>+'QTR Raw'!AH41+'QTR Raw'!AH34+'QTR Raw'!AH35</f>
        <v>0</v>
      </c>
      <c r="BM49" s="38">
        <f>+'QTR Raw'!AI41+'QTR Raw'!AI34+'QTR Raw'!AI35</f>
        <v>0</v>
      </c>
      <c r="BN49" s="38">
        <f>+'QTR Raw'!AJ41+'QTR Raw'!AJ34+'QTR Raw'!AJ35</f>
        <v>0</v>
      </c>
      <c r="BO49" s="38">
        <f>+'QTR Raw'!AK41+'QTR Raw'!AK34+'QTR Raw'!AK35</f>
        <v>0</v>
      </c>
      <c r="BP49" s="38">
        <f>+'QTR Raw'!AL41+'QTR Raw'!AL34+'QTR Raw'!AL35</f>
        <v>0</v>
      </c>
      <c r="BQ49" s="38">
        <f>+'QTR Raw'!AM41+'QTR Raw'!AM34+'QTR Raw'!AM35</f>
        <v>0</v>
      </c>
      <c r="BR49" s="38">
        <f>+'QTR Raw'!AN41+'QTR Raw'!AN34+'QTR Raw'!AN35</f>
        <v>0</v>
      </c>
      <c r="BS49" s="38">
        <f>+'QTR Raw'!AO41+'QTR Raw'!AO34+'QTR Raw'!AO35</f>
        <v>0</v>
      </c>
      <c r="BT49" s="38">
        <f>+'QTR Raw'!AP41+'QTR Raw'!AP34+'QTR Raw'!AP35</f>
        <v>0</v>
      </c>
      <c r="BU49" s="38">
        <f>+'QTR Raw'!AQ41+'QTR Raw'!AQ34+'QTR Raw'!AQ35</f>
        <v>0</v>
      </c>
      <c r="BV49" s="38">
        <f>+'QTR Raw'!AR41+'QTR Raw'!AR34+'QTR Raw'!AR35</f>
        <v>0</v>
      </c>
      <c r="BW49" s="38">
        <f>+'QTR Raw'!AS41+'QTR Raw'!AS34+'QTR Raw'!AS35</f>
        <v>0</v>
      </c>
      <c r="BX49" s="38">
        <f>+'QTR Raw'!AT41+'QTR Raw'!AT34+'QTR Raw'!AT35</f>
        <v>0</v>
      </c>
      <c r="BY49" s="38">
        <f>+'QTR Raw'!AU41+'QTR Raw'!AU34+'QTR Raw'!AU35</f>
        <v>0</v>
      </c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T49" s="38">
        <v>0</v>
      </c>
    </row>
    <row r="50" spans="1:98" s="40" customFormat="1" x14ac:dyDescent="0.2">
      <c r="A50" s="40" t="s">
        <v>6</v>
      </c>
      <c r="B50" s="40">
        <f t="shared" ref="B50:Y50" si="687">B46+B47+B48+B49</f>
        <v>0</v>
      </c>
      <c r="C50" s="40">
        <f t="shared" si="687"/>
        <v>0</v>
      </c>
      <c r="D50" s="40">
        <f t="shared" si="687"/>
        <v>0</v>
      </c>
      <c r="E50" s="40">
        <f t="shared" si="687"/>
        <v>0</v>
      </c>
      <c r="F50" s="40">
        <f t="shared" si="687"/>
        <v>0</v>
      </c>
      <c r="G50" s="40">
        <f t="shared" si="687"/>
        <v>0</v>
      </c>
      <c r="H50" s="40">
        <f t="shared" si="687"/>
        <v>0</v>
      </c>
      <c r="I50" s="40">
        <f t="shared" si="687"/>
        <v>-3.5967136000000002</v>
      </c>
      <c r="J50" s="40">
        <f t="shared" si="687"/>
        <v>-9.2827360999999957</v>
      </c>
      <c r="K50" s="40">
        <f t="shared" si="687"/>
        <v>9.9184150999999883</v>
      </c>
      <c r="L50" s="40">
        <f t="shared" si="687"/>
        <v>15.807755700000001</v>
      </c>
      <c r="M50" s="40">
        <f t="shared" si="687"/>
        <v>51.10999999999995</v>
      </c>
      <c r="N50" s="40">
        <f t="shared" si="687"/>
        <v>102.44999999999987</v>
      </c>
      <c r="O50" s="40">
        <f t="shared" si="687"/>
        <v>209.23999999999995</v>
      </c>
      <c r="P50" s="40">
        <f t="shared" si="687"/>
        <v>349.44999999999993</v>
      </c>
      <c r="Q50" s="40">
        <f t="shared" si="687"/>
        <v>534.40999999999985</v>
      </c>
      <c r="R50" s="40">
        <f t="shared" si="687"/>
        <v>684.22000000000014</v>
      </c>
      <c r="S50" s="40">
        <f t="shared" si="687"/>
        <v>933.01999999999975</v>
      </c>
      <c r="T50" s="40">
        <f t="shared" si="687"/>
        <v>1153.2399999999998</v>
      </c>
      <c r="U50" s="40">
        <f t="shared" si="687"/>
        <v>1004.8499999999989</v>
      </c>
      <c r="V50" s="40">
        <f t="shared" si="687"/>
        <v>391.47000000000139</v>
      </c>
      <c r="W50" s="40">
        <f t="shared" si="687"/>
        <v>1011.3999999999999</v>
      </c>
      <c r="X50" s="40">
        <f t="shared" si="687"/>
        <v>1959.3499999999997</v>
      </c>
      <c r="Y50" s="40">
        <f t="shared" si="687"/>
        <v>2460.84</v>
      </c>
      <c r="Z50" s="40">
        <f>Z46+Z47+Z48+Z49</f>
        <v>2175.9200000000019</v>
      </c>
      <c r="AA50" s="40">
        <f>AA46+AA47+AA48+AA49</f>
        <v>2543.8299999999972</v>
      </c>
      <c r="AB50" s="41">
        <f t="shared" ref="AB50" si="688">AB46+AB47+AB48</f>
        <v>3982.536785984903</v>
      </c>
      <c r="AC50" s="41">
        <f t="shared" ref="AC50" si="689">AC46+AC47+AC48</f>
        <v>4536.1343770694284</v>
      </c>
      <c r="AD50" s="41">
        <f t="shared" ref="AD50" si="690">AD46+AD47+AD48</f>
        <v>5118.2965642314939</v>
      </c>
      <c r="AE50" s="41">
        <f t="shared" ref="AE50" si="691">AE46+AE47+AE48</f>
        <v>5773.5311413276831</v>
      </c>
      <c r="AG50" s="61"/>
      <c r="AH50" s="40">
        <f t="shared" ref="AH50" si="692">AH46+AH47+AH48+AH49</f>
        <v>0</v>
      </c>
      <c r="AI50" s="40">
        <f t="shared" ref="AI50" si="693">AI46+AI47+AI48+AI49</f>
        <v>0</v>
      </c>
      <c r="AJ50" s="40">
        <f t="shared" ref="AJ50" si="694">AJ46+AJ47+AJ48+AJ49</f>
        <v>0</v>
      </c>
      <c r="AK50" s="40">
        <f t="shared" ref="AK50" si="695">AK46+AK47+AK48+AK49</f>
        <v>0</v>
      </c>
      <c r="AL50" s="40">
        <f t="shared" ref="AL50" si="696">AL46+AL47+AL48+AL49</f>
        <v>0</v>
      </c>
      <c r="AM50" s="40">
        <f t="shared" ref="AM50" si="697">AM46+AM47+AM48+AM49</f>
        <v>0</v>
      </c>
      <c r="AN50" s="40">
        <f t="shared" ref="AN50" si="698">AN46+AN47+AN48+AN49</f>
        <v>0</v>
      </c>
      <c r="AO50" s="40">
        <f t="shared" ref="AO50" si="699">AO46+AO47+AO48+AO49</f>
        <v>0</v>
      </c>
      <c r="AP50" s="40">
        <f t="shared" ref="AP50" si="700">AP46+AP47+AP48+AP49</f>
        <v>0</v>
      </c>
      <c r="AQ50" s="40">
        <f t="shared" ref="AQ50" si="701">AQ46+AQ47+AQ48+AQ49</f>
        <v>0</v>
      </c>
      <c r="AR50" s="40">
        <f t="shared" ref="AR50" si="702">AR46+AR47+AR48+AR49</f>
        <v>0</v>
      </c>
      <c r="AS50" s="40">
        <f t="shared" ref="AS50" si="703">AS46+AS47+AS48+AS49</f>
        <v>0</v>
      </c>
      <c r="AT50" s="40">
        <f t="shared" ref="AT50" si="704">AT46+AT47+AT48+AT49</f>
        <v>0</v>
      </c>
      <c r="AU50" s="40">
        <f t="shared" ref="AU50" si="705">AU46+AU47+AU48+AU49</f>
        <v>0</v>
      </c>
      <c r="AV50" s="40">
        <f t="shared" ref="AV50:BV50" si="706">AV46+AV47+AV48+AV49</f>
        <v>0</v>
      </c>
      <c r="AW50" s="40">
        <f t="shared" si="706"/>
        <v>0</v>
      </c>
      <c r="AX50" s="40">
        <f t="shared" si="706"/>
        <v>0</v>
      </c>
      <c r="AY50" s="40">
        <f t="shared" si="706"/>
        <v>0</v>
      </c>
      <c r="AZ50" s="40">
        <f t="shared" si="706"/>
        <v>0</v>
      </c>
      <c r="BA50" s="40">
        <f t="shared" si="706"/>
        <v>0</v>
      </c>
      <c r="BB50" s="40">
        <f t="shared" si="706"/>
        <v>0</v>
      </c>
      <c r="BC50" s="40">
        <f t="shared" si="706"/>
        <v>0</v>
      </c>
      <c r="BD50" s="40">
        <f t="shared" si="706"/>
        <v>0</v>
      </c>
      <c r="BE50" s="40">
        <f t="shared" si="706"/>
        <v>0</v>
      </c>
      <c r="BF50" s="40">
        <f t="shared" si="706"/>
        <v>0</v>
      </c>
      <c r="BG50" s="40">
        <f t="shared" si="706"/>
        <v>0</v>
      </c>
      <c r="BH50" s="40">
        <f t="shared" si="706"/>
        <v>0</v>
      </c>
      <c r="BI50" s="40">
        <f t="shared" si="706"/>
        <v>0</v>
      </c>
      <c r="BJ50" s="40">
        <f t="shared" si="706"/>
        <v>0</v>
      </c>
      <c r="BK50" s="40">
        <f t="shared" si="706"/>
        <v>0</v>
      </c>
      <c r="BL50" s="40">
        <f t="shared" si="706"/>
        <v>0</v>
      </c>
      <c r="BM50" s="40">
        <f t="shared" si="706"/>
        <v>0</v>
      </c>
      <c r="BN50" s="40">
        <f t="shared" si="706"/>
        <v>0</v>
      </c>
      <c r="BO50" s="40">
        <f t="shared" si="706"/>
        <v>0</v>
      </c>
      <c r="BP50" s="40">
        <f t="shared" si="706"/>
        <v>0</v>
      </c>
      <c r="BQ50" s="40">
        <f t="shared" si="706"/>
        <v>0</v>
      </c>
      <c r="BR50" s="40">
        <f t="shared" si="706"/>
        <v>581.70000000000005</v>
      </c>
      <c r="BS50" s="40">
        <f t="shared" si="706"/>
        <v>591.00000000000011</v>
      </c>
      <c r="BT50" s="40">
        <f t="shared" si="706"/>
        <v>472.30000000000041</v>
      </c>
      <c r="BU50" s="40">
        <f t="shared" si="706"/>
        <v>530.90000000000055</v>
      </c>
      <c r="BV50" s="40">
        <f t="shared" si="706"/>
        <v>567.69999999999982</v>
      </c>
      <c r="BW50" s="40">
        <f>BW46+BW47+BW48+BW49</f>
        <v>581.39999999999964</v>
      </c>
      <c r="BX50" s="40">
        <f>BX46+BX47+BX48+BX49</f>
        <v>643.9</v>
      </c>
      <c r="BY50" s="40">
        <f>BY46+BY47+BY48+BY49</f>
        <v>750.59999999999968</v>
      </c>
      <c r="BZ50" s="41">
        <f t="shared" ref="BZ50:CC50" si="707">BZ46+BZ47+BZ48</f>
        <v>930.58675147785539</v>
      </c>
      <c r="CA50" s="41">
        <f t="shared" si="707"/>
        <v>1011.6260829075353</v>
      </c>
      <c r="CB50" s="41">
        <f t="shared" si="707"/>
        <v>1010.2775399476845</v>
      </c>
      <c r="CC50" s="41">
        <f t="shared" si="707"/>
        <v>1030.0464116518297</v>
      </c>
      <c r="CD50" s="41">
        <f t="shared" ref="CD50:CO50" si="708">CD46+CD47+CD48</f>
        <v>1088.9685573781762</v>
      </c>
      <c r="CE50" s="41">
        <f t="shared" si="708"/>
        <v>1121.6449564994464</v>
      </c>
      <c r="CF50" s="41">
        <f t="shared" si="708"/>
        <v>1146.6934922006217</v>
      </c>
      <c r="CG50" s="41">
        <f t="shared" si="708"/>
        <v>1178.827370991185</v>
      </c>
      <c r="CH50" s="41">
        <f t="shared" si="708"/>
        <v>1223.8385212383869</v>
      </c>
      <c r="CI50" s="41">
        <f t="shared" si="708"/>
        <v>1263.9594012803905</v>
      </c>
      <c r="CJ50" s="41">
        <f t="shared" si="708"/>
        <v>1297.5250282882109</v>
      </c>
      <c r="CK50" s="41">
        <f t="shared" si="708"/>
        <v>1332.9736134245027</v>
      </c>
      <c r="CL50" s="41">
        <f t="shared" si="708"/>
        <v>1379.6812625688776</v>
      </c>
      <c r="CM50" s="41">
        <f t="shared" si="708"/>
        <v>1425.9708229410639</v>
      </c>
      <c r="CN50" s="41">
        <f t="shared" si="708"/>
        <v>1464.3688430667107</v>
      </c>
      <c r="CO50" s="41">
        <f t="shared" si="708"/>
        <v>1503.5102127510336</v>
      </c>
      <c r="CT50" s="40">
        <v>2543.5999999999958</v>
      </c>
    </row>
    <row r="51" spans="1:98" s="71" customFormat="1" x14ac:dyDescent="0.2">
      <c r="A51" s="71" t="s">
        <v>15</v>
      </c>
      <c r="C51" s="71" t="e">
        <f t="shared" ref="C51:AE51" si="709">+IF(B50&lt;0,1-C50/B50,C50/B50-1)</f>
        <v>#DIV/0!</v>
      </c>
      <c r="D51" s="71" t="e">
        <f t="shared" si="709"/>
        <v>#DIV/0!</v>
      </c>
      <c r="E51" s="71" t="e">
        <f t="shared" si="709"/>
        <v>#DIV/0!</v>
      </c>
      <c r="F51" s="71" t="e">
        <f t="shared" si="709"/>
        <v>#DIV/0!</v>
      </c>
      <c r="G51" s="71" t="e">
        <f t="shared" si="709"/>
        <v>#DIV/0!</v>
      </c>
      <c r="H51" s="71" t="e">
        <f t="shared" si="709"/>
        <v>#DIV/0!</v>
      </c>
      <c r="I51" s="71" t="e">
        <f t="shared" si="709"/>
        <v>#DIV/0!</v>
      </c>
      <c r="J51" s="71">
        <f t="shared" si="709"/>
        <v>-1.5808938748973493</v>
      </c>
      <c r="K51" s="71">
        <f t="shared" si="709"/>
        <v>2.0684797017982657</v>
      </c>
      <c r="L51" s="71">
        <f t="shared" si="709"/>
        <v>0.59377839509863017</v>
      </c>
      <c r="M51" s="71">
        <f t="shared" si="709"/>
        <v>2.2332230437999461</v>
      </c>
      <c r="N51" s="71">
        <f t="shared" si="709"/>
        <v>1.0045000978282133</v>
      </c>
      <c r="O51" s="71">
        <f t="shared" si="709"/>
        <v>1.0423621278672544</v>
      </c>
      <c r="P51" s="71">
        <f t="shared" si="709"/>
        <v>0.670091760657618</v>
      </c>
      <c r="Q51" s="71">
        <f t="shared" si="709"/>
        <v>0.52928888252968931</v>
      </c>
      <c r="R51" s="71">
        <f t="shared" si="709"/>
        <v>0.28032783817668139</v>
      </c>
      <c r="S51" s="71">
        <f t="shared" si="709"/>
        <v>0.36362573441290746</v>
      </c>
      <c r="T51" s="71">
        <f t="shared" si="709"/>
        <v>0.23602923838717293</v>
      </c>
      <c r="U51" s="71">
        <f t="shared" si="709"/>
        <v>-0.12867226249523167</v>
      </c>
      <c r="V51" s="71">
        <f t="shared" si="709"/>
        <v>-0.61041946559187754</v>
      </c>
      <c r="W51" s="71">
        <f t="shared" si="709"/>
        <v>1.5835951669348769</v>
      </c>
      <c r="X51" s="71">
        <f t="shared" si="709"/>
        <v>0.93726517698240053</v>
      </c>
      <c r="Y51" s="71">
        <f t="shared" si="709"/>
        <v>0.25594712532217345</v>
      </c>
      <c r="Z51" s="71">
        <f t="shared" si="709"/>
        <v>-0.11578160302985896</v>
      </c>
      <c r="AA51" s="71">
        <f t="shared" si="709"/>
        <v>0.1690825030331975</v>
      </c>
      <c r="AB51" s="72">
        <f t="shared" si="709"/>
        <v>0.5655671904116657</v>
      </c>
      <c r="AC51" s="72">
        <f t="shared" si="709"/>
        <v>0.13900627183977599</v>
      </c>
      <c r="AD51" s="72">
        <f t="shared" si="709"/>
        <v>0.1283388318707992</v>
      </c>
      <c r="AE51" s="72">
        <f t="shared" si="709"/>
        <v>0.12801809525364449</v>
      </c>
      <c r="AG51" s="73"/>
      <c r="AH51" s="74"/>
      <c r="AI51" s="74"/>
      <c r="AJ51" s="74"/>
      <c r="AK51" s="74"/>
      <c r="AL51" s="74" t="e">
        <f t="shared" ref="AL51" si="710">+IF(AH50&lt;0,1-AL50/AH50,AL50/AH50-1)</f>
        <v>#DIV/0!</v>
      </c>
      <c r="AM51" s="74" t="e">
        <f t="shared" ref="AM51" si="711">+IF(AI50&lt;0,1-AM50/AI50,AM50/AI50-1)</f>
        <v>#DIV/0!</v>
      </c>
      <c r="AN51" s="74" t="e">
        <f t="shared" ref="AN51" si="712">+IF(AJ50&lt;0,1-AN50/AJ50,AN50/AJ50-1)</f>
        <v>#DIV/0!</v>
      </c>
      <c r="AO51" s="74" t="e">
        <f t="shared" ref="AO51" si="713">+IF(AK50&lt;0,1-AO50/AK50,AO50/AK50-1)</f>
        <v>#DIV/0!</v>
      </c>
      <c r="AP51" s="74" t="e">
        <f t="shared" ref="AP51" si="714">+IF(AL50&lt;0,1-AP50/AL50,AP50/AL50-1)</f>
        <v>#DIV/0!</v>
      </c>
      <c r="AQ51" s="74" t="e">
        <f t="shared" ref="AQ51" si="715">+IF(AM50&lt;0,1-AQ50/AM50,AQ50/AM50-1)</f>
        <v>#DIV/0!</v>
      </c>
      <c r="AR51" s="74" t="e">
        <f t="shared" ref="AR51" si="716">+IF(AN50&lt;0,1-AR50/AN50,AR50/AN50-1)</f>
        <v>#DIV/0!</v>
      </c>
      <c r="AS51" s="74" t="e">
        <f t="shared" ref="AS51" si="717">+IF(AO50&lt;0,1-AS50/AO50,AS50/AO50-1)</f>
        <v>#DIV/0!</v>
      </c>
      <c r="AT51" s="74" t="e">
        <f t="shared" ref="AT51" si="718">+IF(AP50&lt;0,1-AT50/AP50,AT50/AP50-1)</f>
        <v>#DIV/0!</v>
      </c>
      <c r="AU51" s="74" t="e">
        <f t="shared" ref="AU51" si="719">+IF(AQ50&lt;0,1-AU50/AQ50,AU50/AQ50-1)</f>
        <v>#DIV/0!</v>
      </c>
      <c r="AV51" s="74" t="e">
        <f t="shared" ref="AV51" si="720">+IF(AR50&lt;0,1-AV50/AR50,AV50/AR50-1)</f>
        <v>#DIV/0!</v>
      </c>
      <c r="AW51" s="74" t="e">
        <f t="shared" ref="AW51" si="721">+IF(AS50&lt;0,1-AW50/AS50,AW50/AS50-1)</f>
        <v>#DIV/0!</v>
      </c>
      <c r="AX51" s="74" t="e">
        <f t="shared" ref="AX51" si="722">+IF(AT50&lt;0,1-AX50/AT50,AX50/AT50-1)</f>
        <v>#DIV/0!</v>
      </c>
      <c r="AY51" s="74" t="e">
        <f t="shared" ref="AY51" si="723">+IF(AU50&lt;0,1-AY50/AU50,AY50/AU50-1)</f>
        <v>#DIV/0!</v>
      </c>
      <c r="AZ51" s="74" t="e">
        <f t="shared" ref="AZ51" si="724">+IF(AV50&lt;0,1-AZ50/AV50,AZ50/AV50-1)</f>
        <v>#DIV/0!</v>
      </c>
      <c r="BA51" s="74" t="e">
        <f t="shared" ref="BA51" si="725">+IF(AW50&lt;0,1-BA50/AW50,BA50/AW50-1)</f>
        <v>#DIV/0!</v>
      </c>
      <c r="BB51" s="74" t="e">
        <f t="shared" ref="BB51" si="726">+IF(AX50&lt;0,1-BB50/AX50,BB50/AX50-1)</f>
        <v>#DIV/0!</v>
      </c>
      <c r="BC51" s="74" t="e">
        <f t="shared" ref="BC51" si="727">+IF(AY50&lt;0,1-BC50/AY50,BC50/AY50-1)</f>
        <v>#DIV/0!</v>
      </c>
      <c r="BD51" s="74" t="e">
        <f t="shared" ref="BD51" si="728">+IF(AZ50&lt;0,1-BD50/AZ50,BD50/AZ50-1)</f>
        <v>#DIV/0!</v>
      </c>
      <c r="BE51" s="74" t="e">
        <f t="shared" ref="BE51" si="729">+IF(BA50&lt;0,1-BE50/BA50,BE50/BA50-1)</f>
        <v>#DIV/0!</v>
      </c>
      <c r="BF51" s="74" t="e">
        <f t="shared" ref="BF51" si="730">+IF(BB50&lt;0,1-BF50/BB50,BF50/BB50-1)</f>
        <v>#DIV/0!</v>
      </c>
      <c r="BG51" s="74" t="e">
        <f t="shared" ref="BG51" si="731">+IF(BC50&lt;0,1-BG50/BC50,BG50/BC50-1)</f>
        <v>#DIV/0!</v>
      </c>
      <c r="BH51" s="74" t="e">
        <f t="shared" ref="BH51" si="732">+IF(BD50&lt;0,1-BH50/BD50,BH50/BD50-1)</f>
        <v>#DIV/0!</v>
      </c>
      <c r="BI51" s="74" t="e">
        <f t="shared" ref="BI51" si="733">+IF(BE50&lt;0,1-BI50/BE50,BI50/BE50-1)</f>
        <v>#DIV/0!</v>
      </c>
      <c r="BJ51" s="74" t="e">
        <f t="shared" ref="BJ51" si="734">+IF(BF50&lt;0,1-BJ50/BF50,BJ50/BF50-1)</f>
        <v>#DIV/0!</v>
      </c>
      <c r="BK51" s="74" t="e">
        <f t="shared" ref="BK51" si="735">+IF(BG50&lt;0,1-BK50/BG50,BK50/BG50-1)</f>
        <v>#DIV/0!</v>
      </c>
      <c r="BL51" s="74" t="e">
        <f t="shared" ref="BL51" si="736">+IF(BH50&lt;0,1-BL50/BH50,BL50/BH50-1)</f>
        <v>#DIV/0!</v>
      </c>
      <c r="BM51" s="74" t="e">
        <f t="shared" ref="BM51" si="737">+IF(BI50&lt;0,1-BM50/BI50,BM50/BI50-1)</f>
        <v>#DIV/0!</v>
      </c>
      <c r="BN51" s="74" t="e">
        <f t="shared" ref="BN51" si="738">+IF(BJ50&lt;0,1-BN50/BJ50,BN50/BJ50-1)</f>
        <v>#DIV/0!</v>
      </c>
      <c r="BO51" s="74" t="e">
        <f t="shared" ref="BO51" si="739">+IF(BK50&lt;0,1-BO50/BK50,BO50/BK50-1)</f>
        <v>#DIV/0!</v>
      </c>
      <c r="BP51" s="74" t="e">
        <f t="shared" ref="BP51" si="740">+IF(BL50&lt;0,1-BP50/BL50,BP50/BL50-1)</f>
        <v>#DIV/0!</v>
      </c>
      <c r="BQ51" s="74" t="e">
        <f t="shared" ref="BQ51" si="741">+IF(BM50&lt;0,1-BQ50/BM50,BQ50/BM50-1)</f>
        <v>#DIV/0!</v>
      </c>
      <c r="BR51" s="74" t="e">
        <f t="shared" ref="BR51" si="742">+IF(BN50&lt;0,1-BR50/BN50,BR50/BN50-1)</f>
        <v>#DIV/0!</v>
      </c>
      <c r="BS51" s="74" t="e">
        <f t="shared" ref="BS51" si="743">+IF(BO50&lt;0,1-BS50/BO50,BS50/BO50-1)</f>
        <v>#DIV/0!</v>
      </c>
      <c r="BT51" s="74" t="e">
        <f t="shared" ref="BT51" si="744">+IF(BP50&lt;0,1-BT50/BP50,BT50/BP50-1)</f>
        <v>#DIV/0!</v>
      </c>
      <c r="BU51" s="74" t="e">
        <f t="shared" ref="BU51" si="745">+IF(BQ50&lt;0,1-BU50/BQ50,BU50/BQ50-1)</f>
        <v>#DIV/0!</v>
      </c>
      <c r="BV51" s="74">
        <f t="shared" ref="BV51" si="746">+IF(BR50&lt;0,1-BV50/BR50,BV50/BR50-1)</f>
        <v>-2.4067388688327696E-2</v>
      </c>
      <c r="BW51" s="74">
        <f>+IF(BS50&lt;0,1-BW50/BS50,BW50/BS50-1)</f>
        <v>-1.6243654822335807E-2</v>
      </c>
      <c r="BX51" s="74">
        <f>+IF(BT50&lt;0,1-BX50/BT50,BX50/BT50-1)</f>
        <v>0.3633283929705684</v>
      </c>
      <c r="BY51" s="74">
        <f>+IF(BU50&lt;0,1-BY50/BU50,BY50/BU50-1)</f>
        <v>0.41382557920512131</v>
      </c>
      <c r="BZ51" s="36">
        <f t="shared" ref="BZ51" si="747">+IF(BV50&lt;0,1-BZ50/BV50,BZ50/BV50-1)</f>
        <v>0.6392227434875033</v>
      </c>
      <c r="CA51" s="36">
        <f t="shared" ref="CA51" si="748">+IF(BW50&lt;0,1-CA50/BW50,CA50/BW50-1)</f>
        <v>0.73998294273741982</v>
      </c>
      <c r="CB51" s="36">
        <f t="shared" ref="CB51" si="749">+IF(BX50&lt;0,1-CB50/BX50,CB50/BX50-1)</f>
        <v>0.56899757718230259</v>
      </c>
      <c r="CC51" s="36">
        <f t="shared" ref="CC51" si="750">+IF(BY50&lt;0,1-CC50/BY50,CC50/BY50-1)</f>
        <v>0.37229737763366644</v>
      </c>
      <c r="CD51" s="36">
        <f t="shared" ref="CD51" si="751">+IF(BZ50&lt;0,1-CD50/BZ50,CD50/BZ50-1)</f>
        <v>0.17019563801955728</v>
      </c>
      <c r="CE51" s="36">
        <f t="shared" ref="CE51" si="752">+IF(CA50&lt;0,1-CE50/CA50,CE50/CA50-1)</f>
        <v>0.10875448493350781</v>
      </c>
      <c r="CF51" s="36">
        <f t="shared" ref="CF51" si="753">+IF(CB50&lt;0,1-CF50/CB50,CF50/CB50-1)</f>
        <v>0.13502819458898507</v>
      </c>
      <c r="CG51" s="36">
        <f t="shared" ref="CG51" si="754">+IF(CC50&lt;0,1-CG50/CC50,CG50/CC50-1)</f>
        <v>0.14444102484737886</v>
      </c>
      <c r="CH51" s="36">
        <f t="shared" ref="CH51" si="755">+IF(CD50&lt;0,1-CH50/CD50,CH50/CD50-1)</f>
        <v>0.12385110933315313</v>
      </c>
      <c r="CI51" s="36">
        <f t="shared" ref="CI51" si="756">+IF(CE50&lt;0,1-CI50/CE50,CI50/CE50-1)</f>
        <v>0.12688011830864432</v>
      </c>
      <c r="CJ51" s="36">
        <f t="shared" ref="CJ51" si="757">+IF(CF50&lt;0,1-CJ50/CF50,CJ50/CF50-1)</f>
        <v>0.1315360531070322</v>
      </c>
      <c r="CK51" s="36">
        <f t="shared" ref="CK51" si="758">+IF(CG50&lt;0,1-CK50/CG50,CK50/CG50-1)</f>
        <v>0.13076235437569461</v>
      </c>
      <c r="CL51" s="36">
        <f t="shared" ref="CL51" si="759">+IF(CH50&lt;0,1-CL50/CH50,CL50/CH50-1)</f>
        <v>0.12733930059073106</v>
      </c>
      <c r="CM51" s="36">
        <f t="shared" ref="CM51" si="760">+IF(CI50&lt;0,1-CM50/CI50,CM50/CI50-1)</f>
        <v>0.12817771005663303</v>
      </c>
      <c r="CN51" s="36">
        <f t="shared" ref="CN51" si="761">+IF(CJ50&lt;0,1-CN50/CJ50,CN50/CJ50-1)</f>
        <v>0.1285862015306265</v>
      </c>
      <c r="CO51" s="36">
        <f t="shared" ref="CO51" si="762">+IF(CK50&lt;0,1-CO50/CK50,CO50/CK50-1)</f>
        <v>0.12793696560009948</v>
      </c>
      <c r="CT51" s="71">
        <v>0.16897680061766684</v>
      </c>
    </row>
    <row r="52" spans="1:98" s="45" customFormat="1" x14ac:dyDescent="0.2">
      <c r="A52" s="114" t="s">
        <v>168</v>
      </c>
      <c r="AB52" s="39"/>
      <c r="AC52" s="39"/>
      <c r="AD52" s="39"/>
      <c r="AE52" s="39"/>
      <c r="AG52" s="60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141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</row>
    <row r="53" spans="1:98" s="67" customFormat="1" x14ac:dyDescent="0.2">
      <c r="A53" s="67" t="s">
        <v>43</v>
      </c>
      <c r="B53" s="67">
        <f>+'Annual Raw'!C45</f>
        <v>0</v>
      </c>
      <c r="C53" s="67">
        <f>+'Annual Raw'!D45</f>
        <v>0</v>
      </c>
      <c r="D53" s="67">
        <f>+'Annual Raw'!E45</f>
        <v>0</v>
      </c>
      <c r="E53" s="67">
        <f>+'Annual Raw'!F45</f>
        <v>0</v>
      </c>
      <c r="F53" s="67">
        <f>+'Annual Raw'!G45</f>
        <v>0</v>
      </c>
      <c r="G53" s="67">
        <f>+'Annual Raw'!H45</f>
        <v>0</v>
      </c>
      <c r="H53" s="67">
        <f>+'Annual Raw'!I45</f>
        <v>0</v>
      </c>
      <c r="I53" s="67">
        <f>+'Annual Raw'!J45</f>
        <v>-3.5967136000000002</v>
      </c>
      <c r="J53" s="67">
        <f>+'Annual Raw'!K45</f>
        <v>-9.2827360999999993</v>
      </c>
      <c r="K53" s="67">
        <f>+'Annual Raw'!L45</f>
        <v>9.9184151000000007</v>
      </c>
      <c r="L53" s="67">
        <f>+'Annual Raw'!M45</f>
        <v>16.060391500000001</v>
      </c>
      <c r="M53" s="67">
        <f>+'Annual Raw'!N45</f>
        <v>51.11</v>
      </c>
      <c r="N53" s="67">
        <f>+'Annual Raw'!O45</f>
        <v>102.45</v>
      </c>
      <c r="O53" s="67">
        <f>+'Annual Raw'!P45</f>
        <v>209.24</v>
      </c>
      <c r="P53" s="67">
        <f>+'Annual Raw'!Q45</f>
        <v>349.45</v>
      </c>
      <c r="Q53" s="67">
        <f>+'Annual Raw'!R45</f>
        <v>534.41</v>
      </c>
      <c r="R53" s="67">
        <f>+'Annual Raw'!S45</f>
        <v>684.22</v>
      </c>
      <c r="S53" s="67">
        <f>+'Annual Raw'!T45</f>
        <v>933.02</v>
      </c>
      <c r="T53" s="67">
        <f>+'Annual Raw'!U45</f>
        <v>1153.24</v>
      </c>
      <c r="U53" s="67">
        <f>+'Annual Raw'!V45</f>
        <v>1004.85</v>
      </c>
      <c r="V53" s="67">
        <f>+'Annual Raw'!W45</f>
        <v>391.47</v>
      </c>
      <c r="W53" s="67">
        <f>+'Annual Raw'!X45</f>
        <v>1011.4</v>
      </c>
      <c r="X53" s="67">
        <f>+'Annual Raw'!Y45</f>
        <v>1959.35</v>
      </c>
      <c r="Y53" s="67">
        <f>+'Annual Raw'!Z45</f>
        <v>2460.84</v>
      </c>
      <c r="Z53" s="67">
        <f>+'Annual Raw'!AA45</f>
        <v>2175.92</v>
      </c>
      <c r="AA53" s="67">
        <f>+'Annual Raw'!AB45</f>
        <v>2543.83</v>
      </c>
      <c r="AB53" s="39"/>
      <c r="AC53" s="39"/>
      <c r="AD53" s="39"/>
      <c r="AE53" s="39"/>
      <c r="AG53" s="62"/>
      <c r="AH53" s="68">
        <f>+'QTR Raw'!D45</f>
        <v>0</v>
      </c>
      <c r="AI53" s="68">
        <f>+'QTR Raw'!E45</f>
        <v>0</v>
      </c>
      <c r="AJ53" s="68">
        <f>+'QTR Raw'!F45</f>
        <v>0</v>
      </c>
      <c r="AK53" s="68">
        <f>+'QTR Raw'!G45</f>
        <v>0</v>
      </c>
      <c r="AL53" s="68">
        <f>+'QTR Raw'!H45</f>
        <v>0</v>
      </c>
      <c r="AM53" s="68">
        <f>+'QTR Raw'!I45</f>
        <v>0</v>
      </c>
      <c r="AN53" s="68">
        <f>+'QTR Raw'!J45</f>
        <v>0</v>
      </c>
      <c r="AO53" s="68">
        <f>+'QTR Raw'!K45</f>
        <v>0</v>
      </c>
      <c r="AP53" s="68">
        <f>+'QTR Raw'!L45</f>
        <v>0</v>
      </c>
      <c r="AQ53" s="68">
        <f>+'QTR Raw'!M45</f>
        <v>0</v>
      </c>
      <c r="AR53" s="68">
        <f>+'QTR Raw'!N45</f>
        <v>0</v>
      </c>
      <c r="AS53" s="68">
        <f>+'QTR Raw'!O45</f>
        <v>0</v>
      </c>
      <c r="AT53" s="68">
        <f>+'QTR Raw'!P45</f>
        <v>0</v>
      </c>
      <c r="AU53" s="68">
        <f>+'QTR Raw'!Q45</f>
        <v>0</v>
      </c>
      <c r="AV53" s="68">
        <f>+'QTR Raw'!R45</f>
        <v>0</v>
      </c>
      <c r="AW53" s="68">
        <f>+'QTR Raw'!S45</f>
        <v>0</v>
      </c>
      <c r="AX53" s="68">
        <f>+'QTR Raw'!T45</f>
        <v>0</v>
      </c>
      <c r="AY53" s="68">
        <f>+'QTR Raw'!U45</f>
        <v>0</v>
      </c>
      <c r="AZ53" s="68">
        <f>+'QTR Raw'!V45</f>
        <v>0</v>
      </c>
      <c r="BA53" s="68">
        <f>+'QTR Raw'!W45</f>
        <v>0</v>
      </c>
      <c r="BB53" s="68">
        <f>+'QTR Raw'!X45</f>
        <v>0</v>
      </c>
      <c r="BC53" s="68">
        <f>+'QTR Raw'!Y45</f>
        <v>0</v>
      </c>
      <c r="BD53" s="68">
        <f>+'QTR Raw'!Z45</f>
        <v>0</v>
      </c>
      <c r="BE53" s="68">
        <f>+'QTR Raw'!AA45</f>
        <v>0</v>
      </c>
      <c r="BF53" s="68">
        <f>+'QTR Raw'!AB45</f>
        <v>0</v>
      </c>
      <c r="BG53" s="68">
        <f>+'QTR Raw'!AC45</f>
        <v>0</v>
      </c>
      <c r="BH53" s="68">
        <f>+'QTR Raw'!AD45</f>
        <v>0</v>
      </c>
      <c r="BI53" s="68">
        <f>+'QTR Raw'!AE45</f>
        <v>0</v>
      </c>
      <c r="BJ53" s="68">
        <f>+'QTR Raw'!AF45</f>
        <v>0</v>
      </c>
      <c r="BK53" s="68">
        <f>+'QTR Raw'!AG45</f>
        <v>0</v>
      </c>
      <c r="BL53" s="68">
        <f>+'QTR Raw'!AH45</f>
        <v>0</v>
      </c>
      <c r="BM53" s="68">
        <f>+'QTR Raw'!AI45</f>
        <v>0</v>
      </c>
      <c r="BN53" s="68">
        <f>+'QTR Raw'!AJ45</f>
        <v>0</v>
      </c>
      <c r="BO53" s="68">
        <f>+'QTR Raw'!AK45</f>
        <v>0</v>
      </c>
      <c r="BP53" s="68">
        <f>+'QTR Raw'!AL45</f>
        <v>0</v>
      </c>
      <c r="BQ53" s="68">
        <f>+'QTR Raw'!AM45</f>
        <v>0</v>
      </c>
      <c r="BR53" s="68">
        <f>+'QTR Raw'!AN45</f>
        <v>581.70000000000005</v>
      </c>
      <c r="BS53" s="68">
        <f>+'QTR Raw'!AO45</f>
        <v>591</v>
      </c>
      <c r="BT53" s="68">
        <f>+'QTR Raw'!AP45</f>
        <v>472.3</v>
      </c>
      <c r="BU53" s="68">
        <f>+'QTR Raw'!AQ45</f>
        <v>530.9</v>
      </c>
      <c r="BV53" s="68">
        <f>+'QTR Raw'!AR45</f>
        <v>567.70000000000005</v>
      </c>
      <c r="BW53" s="68">
        <f>+'QTR Raw'!AS45</f>
        <v>581.4</v>
      </c>
      <c r="BX53" s="68">
        <f>+'QTR Raw'!AT45</f>
        <v>643.9</v>
      </c>
      <c r="BY53" s="68">
        <f>+'QTR Raw'!AU45</f>
        <v>750.6</v>
      </c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T53" s="67">
        <v>2543.83</v>
      </c>
    </row>
    <row r="54" spans="1:98" s="45" customFormat="1" x14ac:dyDescent="0.2">
      <c r="A54" s="45" t="s">
        <v>288</v>
      </c>
      <c r="B54" s="45">
        <f t="shared" ref="B54:X54" si="763">+B50-B53</f>
        <v>0</v>
      </c>
      <c r="C54" s="45">
        <f t="shared" si="763"/>
        <v>0</v>
      </c>
      <c r="D54" s="45">
        <f t="shared" si="763"/>
        <v>0</v>
      </c>
      <c r="E54" s="45">
        <f t="shared" si="763"/>
        <v>0</v>
      </c>
      <c r="F54" s="45">
        <f t="shared" si="763"/>
        <v>0</v>
      </c>
      <c r="G54" s="45">
        <f t="shared" si="763"/>
        <v>0</v>
      </c>
      <c r="H54" s="45">
        <f t="shared" si="763"/>
        <v>0</v>
      </c>
      <c r="I54" s="45">
        <f t="shared" si="763"/>
        <v>0</v>
      </c>
      <c r="J54" s="45">
        <f t="shared" si="763"/>
        <v>0</v>
      </c>
      <c r="K54" s="45">
        <f t="shared" si="763"/>
        <v>0</v>
      </c>
      <c r="L54" s="45">
        <f t="shared" si="763"/>
        <v>-0.25263580000000019</v>
      </c>
      <c r="M54" s="45">
        <f t="shared" si="763"/>
        <v>0</v>
      </c>
      <c r="N54" s="45">
        <f t="shared" si="763"/>
        <v>-1.2789769243681803E-13</v>
      </c>
      <c r="O54" s="45">
        <f t="shared" si="763"/>
        <v>0</v>
      </c>
      <c r="P54" s="45">
        <f t="shared" si="763"/>
        <v>0</v>
      </c>
      <c r="Q54" s="45">
        <f t="shared" si="763"/>
        <v>0</v>
      </c>
      <c r="R54" s="45">
        <f t="shared" si="763"/>
        <v>0</v>
      </c>
      <c r="S54" s="45">
        <f t="shared" si="763"/>
        <v>0</v>
      </c>
      <c r="T54" s="105">
        <f t="shared" si="763"/>
        <v>0</v>
      </c>
      <c r="U54" s="105">
        <f t="shared" si="763"/>
        <v>-1.1368683772161603E-12</v>
      </c>
      <c r="V54" s="105">
        <f t="shared" si="763"/>
        <v>1.3642420526593924E-12</v>
      </c>
      <c r="W54" s="105">
        <f t="shared" si="763"/>
        <v>0</v>
      </c>
      <c r="X54" s="105">
        <f t="shared" si="763"/>
        <v>0</v>
      </c>
      <c r="Y54" s="105">
        <f t="shared" ref="Y54:Z54" si="764">+Y50-Y53</f>
        <v>0</v>
      </c>
      <c r="Z54" s="105">
        <f t="shared" si="764"/>
        <v>0</v>
      </c>
      <c r="AA54" s="105">
        <f t="shared" ref="AA54" si="765">+AA50-AA53</f>
        <v>0</v>
      </c>
      <c r="AB54" s="39"/>
      <c r="AC54" s="39"/>
      <c r="AD54" s="39"/>
      <c r="AE54" s="39"/>
      <c r="AG54" s="60"/>
      <c r="AH54" s="105">
        <f t="shared" ref="AH54" si="766">+AH50-AH53</f>
        <v>0</v>
      </c>
      <c r="AI54" s="105">
        <f t="shared" ref="AI54" si="767">+AI50-AI53</f>
        <v>0</v>
      </c>
      <c r="AJ54" s="105">
        <f t="shared" ref="AJ54" si="768">+AJ50-AJ53</f>
        <v>0</v>
      </c>
      <c r="AK54" s="105">
        <f t="shared" ref="AK54" si="769">+AK50-AK53</f>
        <v>0</v>
      </c>
      <c r="AL54" s="105">
        <f t="shared" ref="AL54" si="770">+AL50-AL53</f>
        <v>0</v>
      </c>
      <c r="AM54" s="105">
        <f t="shared" ref="AM54" si="771">+AM50-AM53</f>
        <v>0</v>
      </c>
      <c r="AN54" s="105">
        <f t="shared" ref="AN54" si="772">+AN50-AN53</f>
        <v>0</v>
      </c>
      <c r="AO54" s="105">
        <f t="shared" ref="AO54" si="773">+AO50-AO53</f>
        <v>0</v>
      </c>
      <c r="AP54" s="105">
        <f t="shared" ref="AP54" si="774">+AP50-AP53</f>
        <v>0</v>
      </c>
      <c r="AQ54" s="105">
        <f t="shared" ref="AQ54" si="775">+AQ50-AQ53</f>
        <v>0</v>
      </c>
      <c r="AR54" s="105">
        <f t="shared" ref="AR54" si="776">+AR50-AR53</f>
        <v>0</v>
      </c>
      <c r="AS54" s="105">
        <f t="shared" ref="AS54" si="777">+AS50-AS53</f>
        <v>0</v>
      </c>
      <c r="AT54" s="105">
        <f t="shared" ref="AT54" si="778">+AT50-AT53</f>
        <v>0</v>
      </c>
      <c r="AU54" s="105">
        <f t="shared" ref="AU54" si="779">+AU50-AU53</f>
        <v>0</v>
      </c>
      <c r="AV54" s="105">
        <f t="shared" ref="AV54" si="780">+AV50-AV53</f>
        <v>0</v>
      </c>
      <c r="AW54" s="105">
        <f t="shared" ref="AW54" si="781">+AW50-AW53</f>
        <v>0</v>
      </c>
      <c r="AX54" s="105">
        <f t="shared" ref="AX54" si="782">+AX50-AX53</f>
        <v>0</v>
      </c>
      <c r="AY54" s="105">
        <f t="shared" ref="AY54" si="783">+AY50-AY53</f>
        <v>0</v>
      </c>
      <c r="AZ54" s="105">
        <f t="shared" ref="AZ54" si="784">+AZ50-AZ53</f>
        <v>0</v>
      </c>
      <c r="BA54" s="105">
        <f t="shared" ref="BA54" si="785">+BA50-BA53</f>
        <v>0</v>
      </c>
      <c r="BB54" s="105">
        <f t="shared" ref="BB54" si="786">+BB50-BB53</f>
        <v>0</v>
      </c>
      <c r="BC54" s="105">
        <f t="shared" ref="BC54" si="787">+BC50-BC53</f>
        <v>0</v>
      </c>
      <c r="BD54" s="105">
        <f t="shared" ref="BD54" si="788">+BD50-BD53</f>
        <v>0</v>
      </c>
      <c r="BE54" s="105">
        <f t="shared" ref="BE54" si="789">+BE50-BE53</f>
        <v>0</v>
      </c>
      <c r="BF54" s="105">
        <f t="shared" ref="BF54" si="790">+BF50-BF53</f>
        <v>0</v>
      </c>
      <c r="BG54" s="105">
        <f t="shared" ref="BG54" si="791">+BG50-BG53</f>
        <v>0</v>
      </c>
      <c r="BH54" s="105">
        <f t="shared" ref="BH54" si="792">+BH50-BH53</f>
        <v>0</v>
      </c>
      <c r="BI54" s="105">
        <f t="shared" ref="BI54" si="793">+BI50-BI53</f>
        <v>0</v>
      </c>
      <c r="BJ54" s="105">
        <f t="shared" ref="BJ54" si="794">+BJ50-BJ53</f>
        <v>0</v>
      </c>
      <c r="BK54" s="105">
        <f t="shared" ref="BK54" si="795">+BK50-BK53</f>
        <v>0</v>
      </c>
      <c r="BL54" s="105">
        <f t="shared" ref="BL54" si="796">+BL50-BL53</f>
        <v>0</v>
      </c>
      <c r="BM54" s="105">
        <f t="shared" ref="BM54" si="797">+BM50-BM53</f>
        <v>0</v>
      </c>
      <c r="BN54" s="105">
        <f t="shared" ref="BN54" si="798">+BN50-BN53</f>
        <v>0</v>
      </c>
      <c r="BO54" s="105">
        <f t="shared" ref="BO54" si="799">+BO50-BO53</f>
        <v>0</v>
      </c>
      <c r="BP54" s="105">
        <f t="shared" ref="BP54" si="800">+BP50-BP53</f>
        <v>0</v>
      </c>
      <c r="BQ54" s="105">
        <f t="shared" ref="BQ54" si="801">+BQ50-BQ53</f>
        <v>0</v>
      </c>
      <c r="BR54" s="105">
        <f t="shared" ref="BR54" si="802">+BR50-BR53</f>
        <v>0</v>
      </c>
      <c r="BS54" s="105">
        <f t="shared" ref="BS54" si="803">+BS50-BS53</f>
        <v>0</v>
      </c>
      <c r="BT54" s="105">
        <f t="shared" ref="BT54" si="804">+BT50-BT53</f>
        <v>0</v>
      </c>
      <c r="BU54" s="105">
        <f t="shared" ref="BU54" si="805">+BU50-BU53</f>
        <v>0</v>
      </c>
      <c r="BV54" s="105">
        <f t="shared" ref="BV54:BW54" si="806">+BV50-BV53</f>
        <v>0</v>
      </c>
      <c r="BW54" s="105">
        <f t="shared" si="806"/>
        <v>0</v>
      </c>
      <c r="BX54" s="105">
        <f t="shared" ref="BX54:BY54" si="807">+BX50-BX53</f>
        <v>0</v>
      </c>
      <c r="BY54" s="105">
        <f t="shared" si="807"/>
        <v>0</v>
      </c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T54" s="45">
        <v>0</v>
      </c>
    </row>
    <row r="55" spans="1:98" s="45" customFormat="1" x14ac:dyDescent="0.2">
      <c r="A55" s="117" t="s">
        <v>169</v>
      </c>
      <c r="AB55" s="39"/>
      <c r="AC55" s="39"/>
      <c r="AD55" s="39"/>
      <c r="AE55" s="39"/>
      <c r="AG55" s="60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</row>
    <row r="56" spans="1:98" s="50" customFormat="1" x14ac:dyDescent="0.2">
      <c r="A56" s="50" t="s">
        <v>32</v>
      </c>
      <c r="B56" s="50">
        <f t="shared" ref="B56:Y56" si="808">+C56</f>
        <v>830.3</v>
      </c>
      <c r="C56" s="50">
        <f t="shared" si="808"/>
        <v>830.3</v>
      </c>
      <c r="D56" s="50">
        <f t="shared" si="808"/>
        <v>830.3</v>
      </c>
      <c r="E56" s="50">
        <f t="shared" si="808"/>
        <v>830.3</v>
      </c>
      <c r="F56" s="50">
        <f t="shared" si="808"/>
        <v>830.3</v>
      </c>
      <c r="G56" s="50">
        <f t="shared" si="808"/>
        <v>830.3</v>
      </c>
      <c r="H56" s="50">
        <f t="shared" si="808"/>
        <v>830.3</v>
      </c>
      <c r="I56" s="50">
        <f t="shared" si="808"/>
        <v>830.3</v>
      </c>
      <c r="J56" s="50">
        <f t="shared" si="808"/>
        <v>830.3</v>
      </c>
      <c r="K56" s="50">
        <f t="shared" si="808"/>
        <v>830.3</v>
      </c>
      <c r="L56" s="50">
        <f t="shared" si="808"/>
        <v>830.3</v>
      </c>
      <c r="M56" s="50">
        <f t="shared" si="808"/>
        <v>830.3</v>
      </c>
      <c r="N56" s="50">
        <f t="shared" si="808"/>
        <v>830.3</v>
      </c>
      <c r="O56" s="50">
        <f t="shared" si="808"/>
        <v>830.3</v>
      </c>
      <c r="P56" s="50">
        <f t="shared" si="808"/>
        <v>830.3</v>
      </c>
      <c r="Q56" s="50">
        <f t="shared" si="808"/>
        <v>830.3</v>
      </c>
      <c r="R56" s="50">
        <f t="shared" si="808"/>
        <v>830.3</v>
      </c>
      <c r="S56" s="50">
        <f t="shared" si="808"/>
        <v>830.3</v>
      </c>
      <c r="T56" s="50">
        <f t="shared" si="808"/>
        <v>830.3</v>
      </c>
      <c r="U56" s="50">
        <f t="shared" si="808"/>
        <v>830.3</v>
      </c>
      <c r="V56" s="50">
        <f t="shared" si="808"/>
        <v>830.3</v>
      </c>
      <c r="W56" s="50">
        <f t="shared" si="808"/>
        <v>830.3</v>
      </c>
      <c r="X56" s="50">
        <f t="shared" si="808"/>
        <v>830.3</v>
      </c>
      <c r="Y56" s="50">
        <f t="shared" si="808"/>
        <v>830.3</v>
      </c>
      <c r="Z56" s="50">
        <f>+AA56</f>
        <v>830.3</v>
      </c>
      <c r="AA56" s="50">
        <f>+AB56</f>
        <v>830.3</v>
      </c>
      <c r="AB56" s="51">
        <f>+CC56</f>
        <v>830.3</v>
      </c>
      <c r="AC56" s="51">
        <f>+CG56</f>
        <v>830.3</v>
      </c>
      <c r="AD56" s="51">
        <f>+CK56</f>
        <v>830.3</v>
      </c>
      <c r="AE56" s="51">
        <f>+CO56</f>
        <v>830.3</v>
      </c>
      <c r="AG56" s="64"/>
      <c r="AH56" s="50">
        <f t="shared" ref="AH56:BU57" si="809">+AI56</f>
        <v>829.6</v>
      </c>
      <c r="AI56" s="50">
        <f t="shared" si="809"/>
        <v>829.6</v>
      </c>
      <c r="AJ56" s="50">
        <f t="shared" si="809"/>
        <v>829.6</v>
      </c>
      <c r="AK56" s="50">
        <f t="shared" si="809"/>
        <v>829.6</v>
      </c>
      <c r="AL56" s="50">
        <f t="shared" si="809"/>
        <v>829.6</v>
      </c>
      <c r="AM56" s="50">
        <f t="shared" si="809"/>
        <v>829.6</v>
      </c>
      <c r="AN56" s="50">
        <f t="shared" si="809"/>
        <v>829.6</v>
      </c>
      <c r="AO56" s="50">
        <f t="shared" si="809"/>
        <v>829.6</v>
      </c>
      <c r="AP56" s="50">
        <f t="shared" si="809"/>
        <v>829.6</v>
      </c>
      <c r="AQ56" s="50">
        <f t="shared" si="809"/>
        <v>829.6</v>
      </c>
      <c r="AR56" s="50">
        <f t="shared" si="809"/>
        <v>829.6</v>
      </c>
      <c r="AS56" s="50">
        <f t="shared" si="809"/>
        <v>829.6</v>
      </c>
      <c r="AT56" s="50">
        <f t="shared" si="809"/>
        <v>829.6</v>
      </c>
      <c r="AU56" s="50">
        <f t="shared" si="809"/>
        <v>829.6</v>
      </c>
      <c r="AV56" s="50">
        <f t="shared" si="809"/>
        <v>829.6</v>
      </c>
      <c r="AW56" s="50">
        <f t="shared" si="809"/>
        <v>829.6</v>
      </c>
      <c r="AX56" s="50">
        <f t="shared" si="809"/>
        <v>829.6</v>
      </c>
      <c r="AY56" s="50">
        <f t="shared" si="809"/>
        <v>829.6</v>
      </c>
      <c r="AZ56" s="50">
        <f t="shared" si="809"/>
        <v>829.6</v>
      </c>
      <c r="BA56" s="50">
        <f t="shared" si="809"/>
        <v>829.6</v>
      </c>
      <c r="BB56" s="50">
        <f t="shared" si="809"/>
        <v>829.6</v>
      </c>
      <c r="BC56" s="50">
        <f t="shared" si="809"/>
        <v>829.6</v>
      </c>
      <c r="BD56" s="50">
        <f t="shared" si="809"/>
        <v>829.6</v>
      </c>
      <c r="BE56" s="50">
        <f t="shared" si="809"/>
        <v>829.6</v>
      </c>
      <c r="BF56" s="50">
        <f t="shared" si="809"/>
        <v>829.6</v>
      </c>
      <c r="BG56" s="50">
        <f t="shared" si="809"/>
        <v>829.6</v>
      </c>
      <c r="BH56" s="50">
        <f t="shared" si="809"/>
        <v>829.6</v>
      </c>
      <c r="BI56" s="50">
        <f t="shared" si="809"/>
        <v>829.6</v>
      </c>
      <c r="BJ56" s="50">
        <f t="shared" si="809"/>
        <v>829.6</v>
      </c>
      <c r="BK56" s="50">
        <f t="shared" si="809"/>
        <v>829.6</v>
      </c>
      <c r="BL56" s="50">
        <f t="shared" si="809"/>
        <v>829.6</v>
      </c>
      <c r="BM56" s="50">
        <f t="shared" si="809"/>
        <v>829.6</v>
      </c>
      <c r="BN56" s="50">
        <f t="shared" si="809"/>
        <v>829.6</v>
      </c>
      <c r="BO56" s="50">
        <f t="shared" si="809"/>
        <v>829.6</v>
      </c>
      <c r="BP56" s="50">
        <f t="shared" si="809"/>
        <v>829.6</v>
      </c>
      <c r="BQ56" s="50">
        <f t="shared" si="809"/>
        <v>829.6</v>
      </c>
      <c r="BR56" s="50">
        <f t="shared" si="809"/>
        <v>829.6</v>
      </c>
      <c r="BS56" s="50">
        <f t="shared" si="809"/>
        <v>829.6</v>
      </c>
      <c r="BT56" s="50">
        <f t="shared" si="809"/>
        <v>829.6</v>
      </c>
      <c r="BU56" s="50">
        <f t="shared" si="809"/>
        <v>829.6</v>
      </c>
      <c r="BV56" s="50">
        <f>+BW56</f>
        <v>829.6</v>
      </c>
      <c r="BW56" s="50">
        <f>+'QTR Raw'!AS50</f>
        <v>829.6</v>
      </c>
      <c r="BX56" s="50">
        <f>+'QTR Raw'!AT50</f>
        <v>830.03800000000001</v>
      </c>
      <c r="BY56" s="50">
        <f>+'QTR Raw'!AU50</f>
        <v>830.3</v>
      </c>
      <c r="BZ56" s="51">
        <f t="shared" ref="BZ56:CO56" si="810">BZ97</f>
        <v>830.3</v>
      </c>
      <c r="CA56" s="51">
        <f t="shared" si="810"/>
        <v>830.3</v>
      </c>
      <c r="CB56" s="51">
        <f t="shared" si="810"/>
        <v>830.3</v>
      </c>
      <c r="CC56" s="51">
        <f t="shared" si="810"/>
        <v>830.3</v>
      </c>
      <c r="CD56" s="51">
        <f t="shared" si="810"/>
        <v>830.3</v>
      </c>
      <c r="CE56" s="51">
        <f t="shared" si="810"/>
        <v>830.3</v>
      </c>
      <c r="CF56" s="51">
        <f t="shared" si="810"/>
        <v>830.3</v>
      </c>
      <c r="CG56" s="51">
        <f t="shared" si="810"/>
        <v>830.3</v>
      </c>
      <c r="CH56" s="51">
        <f t="shared" si="810"/>
        <v>830.3</v>
      </c>
      <c r="CI56" s="51">
        <f t="shared" si="810"/>
        <v>830.3</v>
      </c>
      <c r="CJ56" s="51">
        <f t="shared" si="810"/>
        <v>830.3</v>
      </c>
      <c r="CK56" s="51">
        <f t="shared" si="810"/>
        <v>830.3</v>
      </c>
      <c r="CL56" s="51">
        <f t="shared" si="810"/>
        <v>830.3</v>
      </c>
      <c r="CM56" s="51">
        <f t="shared" si="810"/>
        <v>830.3</v>
      </c>
      <c r="CN56" s="51">
        <f t="shared" si="810"/>
        <v>830.3</v>
      </c>
      <c r="CO56" s="51">
        <f t="shared" si="810"/>
        <v>830.3</v>
      </c>
      <c r="CT56" s="50">
        <v>830.3</v>
      </c>
    </row>
    <row r="57" spans="1:98" s="50" customFormat="1" x14ac:dyDescent="0.2">
      <c r="A57" s="50" t="s">
        <v>33</v>
      </c>
      <c r="B57" s="50">
        <f t="shared" ref="B57:Y57" si="811">+C57</f>
        <v>10</v>
      </c>
      <c r="C57" s="50">
        <f t="shared" si="811"/>
        <v>10</v>
      </c>
      <c r="D57" s="50">
        <f t="shared" si="811"/>
        <v>10</v>
      </c>
      <c r="E57" s="50">
        <f t="shared" si="811"/>
        <v>10</v>
      </c>
      <c r="F57" s="50">
        <f t="shared" si="811"/>
        <v>10</v>
      </c>
      <c r="G57" s="50">
        <f t="shared" si="811"/>
        <v>10</v>
      </c>
      <c r="H57" s="50">
        <f t="shared" si="811"/>
        <v>10</v>
      </c>
      <c r="I57" s="50">
        <f t="shared" si="811"/>
        <v>10</v>
      </c>
      <c r="J57" s="50">
        <f t="shared" si="811"/>
        <v>10</v>
      </c>
      <c r="K57" s="50">
        <f t="shared" si="811"/>
        <v>10</v>
      </c>
      <c r="L57" s="50">
        <f t="shared" si="811"/>
        <v>10</v>
      </c>
      <c r="M57" s="50">
        <f t="shared" si="811"/>
        <v>10</v>
      </c>
      <c r="N57" s="50">
        <f t="shared" si="811"/>
        <v>10</v>
      </c>
      <c r="O57" s="50">
        <f t="shared" si="811"/>
        <v>10</v>
      </c>
      <c r="P57" s="50">
        <f t="shared" si="811"/>
        <v>10</v>
      </c>
      <c r="Q57" s="50">
        <f t="shared" si="811"/>
        <v>10</v>
      </c>
      <c r="R57" s="50">
        <f t="shared" si="811"/>
        <v>10</v>
      </c>
      <c r="S57" s="50">
        <f t="shared" si="811"/>
        <v>10</v>
      </c>
      <c r="T57" s="50">
        <f t="shared" si="811"/>
        <v>10</v>
      </c>
      <c r="U57" s="50">
        <f t="shared" si="811"/>
        <v>10</v>
      </c>
      <c r="V57" s="50">
        <f t="shared" si="811"/>
        <v>10</v>
      </c>
      <c r="W57" s="50">
        <f t="shared" si="811"/>
        <v>10</v>
      </c>
      <c r="X57" s="50">
        <f t="shared" si="811"/>
        <v>10</v>
      </c>
      <c r="Y57" s="50">
        <f t="shared" si="811"/>
        <v>10</v>
      </c>
      <c r="Z57" s="50">
        <f>+AA57</f>
        <v>10</v>
      </c>
      <c r="AA57" s="50">
        <f>+AB57</f>
        <v>10</v>
      </c>
      <c r="AB57" s="51">
        <f>+CC57</f>
        <v>10</v>
      </c>
      <c r="AC57" s="51">
        <f>+CG57</f>
        <v>10</v>
      </c>
      <c r="AD57" s="51">
        <f>+CK57</f>
        <v>10</v>
      </c>
      <c r="AE57" s="51">
        <f>+CO57</f>
        <v>10</v>
      </c>
      <c r="AG57" s="64"/>
      <c r="AH57" s="50">
        <f t="shared" si="809"/>
        <v>10</v>
      </c>
      <c r="AI57" s="50">
        <f t="shared" si="809"/>
        <v>10</v>
      </c>
      <c r="AJ57" s="50">
        <f t="shared" si="809"/>
        <v>10</v>
      </c>
      <c r="AK57" s="50">
        <f t="shared" si="809"/>
        <v>10</v>
      </c>
      <c r="AL57" s="50">
        <f t="shared" si="809"/>
        <v>10</v>
      </c>
      <c r="AM57" s="50">
        <f t="shared" si="809"/>
        <v>10</v>
      </c>
      <c r="AN57" s="50">
        <f t="shared" si="809"/>
        <v>10</v>
      </c>
      <c r="AO57" s="50">
        <f t="shared" si="809"/>
        <v>10</v>
      </c>
      <c r="AP57" s="50">
        <f t="shared" si="809"/>
        <v>10</v>
      </c>
      <c r="AQ57" s="50">
        <f t="shared" si="809"/>
        <v>10</v>
      </c>
      <c r="AR57" s="50">
        <f t="shared" si="809"/>
        <v>10</v>
      </c>
      <c r="AS57" s="50">
        <f t="shared" si="809"/>
        <v>10</v>
      </c>
      <c r="AT57" s="50">
        <f t="shared" si="809"/>
        <v>10</v>
      </c>
      <c r="AU57" s="50">
        <f t="shared" si="809"/>
        <v>10</v>
      </c>
      <c r="AV57" s="50">
        <f t="shared" si="809"/>
        <v>10</v>
      </c>
      <c r="AW57" s="50">
        <f t="shared" si="809"/>
        <v>10</v>
      </c>
      <c r="AX57" s="50">
        <f t="shared" si="809"/>
        <v>10</v>
      </c>
      <c r="AY57" s="50">
        <f t="shared" si="809"/>
        <v>10</v>
      </c>
      <c r="AZ57" s="50">
        <f t="shared" si="809"/>
        <v>10</v>
      </c>
      <c r="BA57" s="50">
        <f t="shared" si="809"/>
        <v>10</v>
      </c>
      <c r="BB57" s="50">
        <f t="shared" si="809"/>
        <v>10</v>
      </c>
      <c r="BC57" s="50">
        <f t="shared" si="809"/>
        <v>10</v>
      </c>
      <c r="BD57" s="50">
        <f t="shared" si="809"/>
        <v>10</v>
      </c>
      <c r="BE57" s="50">
        <f t="shared" si="809"/>
        <v>10</v>
      </c>
      <c r="BF57" s="50">
        <f t="shared" si="809"/>
        <v>10</v>
      </c>
      <c r="BG57" s="50">
        <f t="shared" si="809"/>
        <v>10</v>
      </c>
      <c r="BH57" s="50">
        <f t="shared" si="809"/>
        <v>10</v>
      </c>
      <c r="BI57" s="50">
        <f t="shared" si="809"/>
        <v>10</v>
      </c>
      <c r="BJ57" s="50">
        <f t="shared" si="809"/>
        <v>10</v>
      </c>
      <c r="BK57" s="50">
        <f t="shared" si="809"/>
        <v>10</v>
      </c>
      <c r="BL57" s="50">
        <f t="shared" si="809"/>
        <v>10</v>
      </c>
      <c r="BM57" s="50">
        <f t="shared" si="809"/>
        <v>10</v>
      </c>
      <c r="BN57" s="50">
        <f t="shared" si="809"/>
        <v>10</v>
      </c>
      <c r="BO57" s="50">
        <f t="shared" si="809"/>
        <v>10</v>
      </c>
      <c r="BP57" s="50">
        <f t="shared" si="809"/>
        <v>10</v>
      </c>
      <c r="BQ57" s="50">
        <f t="shared" si="809"/>
        <v>10</v>
      </c>
      <c r="BR57" s="50">
        <f t="shared" si="809"/>
        <v>10</v>
      </c>
      <c r="BS57" s="50">
        <f t="shared" si="809"/>
        <v>10</v>
      </c>
      <c r="BT57" s="50">
        <f t="shared" si="809"/>
        <v>10</v>
      </c>
      <c r="BU57" s="50">
        <f t="shared" si="809"/>
        <v>10</v>
      </c>
      <c r="BV57" s="50">
        <f>+BW57</f>
        <v>10</v>
      </c>
      <c r="BW57" s="50">
        <f>+'QTR Raw'!AS51</f>
        <v>10</v>
      </c>
      <c r="BX57" s="50">
        <f>+'QTR Raw'!AT51</f>
        <v>10</v>
      </c>
      <c r="BY57" s="50">
        <f>+'QTR Raw'!AU51</f>
        <v>10</v>
      </c>
      <c r="BZ57" s="51">
        <f t="shared" ref="BZ57:CO57" si="812">+BY57</f>
        <v>10</v>
      </c>
      <c r="CA57" s="51">
        <f t="shared" si="812"/>
        <v>10</v>
      </c>
      <c r="CB57" s="51">
        <f t="shared" si="812"/>
        <v>10</v>
      </c>
      <c r="CC57" s="51">
        <f t="shared" si="812"/>
        <v>10</v>
      </c>
      <c r="CD57" s="51">
        <f t="shared" si="812"/>
        <v>10</v>
      </c>
      <c r="CE57" s="51">
        <f t="shared" si="812"/>
        <v>10</v>
      </c>
      <c r="CF57" s="51">
        <f t="shared" si="812"/>
        <v>10</v>
      </c>
      <c r="CG57" s="51">
        <f t="shared" si="812"/>
        <v>10</v>
      </c>
      <c r="CH57" s="51">
        <f t="shared" si="812"/>
        <v>10</v>
      </c>
      <c r="CI57" s="51">
        <f t="shared" si="812"/>
        <v>10</v>
      </c>
      <c r="CJ57" s="51">
        <f t="shared" si="812"/>
        <v>10</v>
      </c>
      <c r="CK57" s="51">
        <f t="shared" si="812"/>
        <v>10</v>
      </c>
      <c r="CL57" s="51">
        <f t="shared" si="812"/>
        <v>10</v>
      </c>
      <c r="CM57" s="51">
        <f t="shared" si="812"/>
        <v>10</v>
      </c>
      <c r="CN57" s="51">
        <f t="shared" si="812"/>
        <v>10</v>
      </c>
      <c r="CO57" s="51">
        <f t="shared" si="812"/>
        <v>10</v>
      </c>
      <c r="CT57" s="50">
        <v>10</v>
      </c>
    </row>
    <row r="58" spans="1:98" s="43" customFormat="1" x14ac:dyDescent="0.2">
      <c r="A58" s="43" t="s">
        <v>41</v>
      </c>
      <c r="B58" s="43">
        <f t="shared" ref="B58:X58" si="813">B56/B57</f>
        <v>83.03</v>
      </c>
      <c r="C58" s="43">
        <f t="shared" si="813"/>
        <v>83.03</v>
      </c>
      <c r="D58" s="43">
        <f t="shared" si="813"/>
        <v>83.03</v>
      </c>
      <c r="E58" s="43">
        <f t="shared" si="813"/>
        <v>83.03</v>
      </c>
      <c r="F58" s="43">
        <f t="shared" si="813"/>
        <v>83.03</v>
      </c>
      <c r="G58" s="43">
        <f t="shared" si="813"/>
        <v>83.03</v>
      </c>
      <c r="H58" s="43">
        <f t="shared" si="813"/>
        <v>83.03</v>
      </c>
      <c r="I58" s="43">
        <f t="shared" si="813"/>
        <v>83.03</v>
      </c>
      <c r="J58" s="43">
        <f t="shared" si="813"/>
        <v>83.03</v>
      </c>
      <c r="K58" s="43">
        <f t="shared" si="813"/>
        <v>83.03</v>
      </c>
      <c r="L58" s="43">
        <f t="shared" si="813"/>
        <v>83.03</v>
      </c>
      <c r="M58" s="43">
        <f t="shared" si="813"/>
        <v>83.03</v>
      </c>
      <c r="N58" s="43">
        <f t="shared" si="813"/>
        <v>83.03</v>
      </c>
      <c r="O58" s="43">
        <f t="shared" si="813"/>
        <v>83.03</v>
      </c>
      <c r="P58" s="43">
        <f t="shared" si="813"/>
        <v>83.03</v>
      </c>
      <c r="Q58" s="43">
        <f t="shared" si="813"/>
        <v>83.03</v>
      </c>
      <c r="R58" s="43">
        <f t="shared" si="813"/>
        <v>83.03</v>
      </c>
      <c r="S58" s="43">
        <f t="shared" si="813"/>
        <v>83.03</v>
      </c>
      <c r="T58" s="43">
        <f t="shared" si="813"/>
        <v>83.03</v>
      </c>
      <c r="U58" s="43">
        <f t="shared" si="813"/>
        <v>83.03</v>
      </c>
      <c r="V58" s="43">
        <f t="shared" si="813"/>
        <v>83.03</v>
      </c>
      <c r="W58" s="43">
        <f t="shared" si="813"/>
        <v>83.03</v>
      </c>
      <c r="X58" s="43">
        <f t="shared" si="813"/>
        <v>83.03</v>
      </c>
      <c r="Y58" s="43">
        <f t="shared" ref="Y58" si="814">Y56/Y57</f>
        <v>83.03</v>
      </c>
      <c r="Z58" s="43">
        <f t="shared" ref="Z58:AA58" si="815">Z56/Z57</f>
        <v>83.03</v>
      </c>
      <c r="AA58" s="43">
        <f t="shared" ref="AA58" si="816">AA56/AA57</f>
        <v>83.03</v>
      </c>
      <c r="AB58" s="44">
        <f t="shared" ref="AB58" si="817">AB56/AB57</f>
        <v>83.03</v>
      </c>
      <c r="AC58" s="44">
        <f t="shared" ref="AC58" si="818">AC56/AC57</f>
        <v>83.03</v>
      </c>
      <c r="AD58" s="44">
        <f t="shared" ref="AD58" si="819">AD56/AD57</f>
        <v>83.03</v>
      </c>
      <c r="AE58" s="44">
        <f t="shared" ref="AE58" si="820">AE56/AE57</f>
        <v>83.03</v>
      </c>
      <c r="AG58" s="62"/>
      <c r="AH58" s="43">
        <f t="shared" ref="AH58:AL58" si="821">AH56/AH57</f>
        <v>82.960000000000008</v>
      </c>
      <c r="AI58" s="43">
        <f t="shared" si="821"/>
        <v>82.960000000000008</v>
      </c>
      <c r="AJ58" s="43">
        <f t="shared" si="821"/>
        <v>82.960000000000008</v>
      </c>
      <c r="AK58" s="43">
        <f t="shared" si="821"/>
        <v>82.960000000000008</v>
      </c>
      <c r="AL58" s="43">
        <f t="shared" si="821"/>
        <v>82.960000000000008</v>
      </c>
      <c r="AM58" s="43">
        <f t="shared" ref="AM58" si="822">AM56/AM57</f>
        <v>82.960000000000008</v>
      </c>
      <c r="AN58" s="43">
        <f t="shared" ref="AN58" si="823">AN56/AN57</f>
        <v>82.960000000000008</v>
      </c>
      <c r="AO58" s="43">
        <f t="shared" ref="AO58" si="824">AO56/AO57</f>
        <v>82.960000000000008</v>
      </c>
      <c r="AP58" s="43">
        <f t="shared" ref="AP58" si="825">AP56/AP57</f>
        <v>82.960000000000008</v>
      </c>
      <c r="AQ58" s="43">
        <f t="shared" ref="AQ58" si="826">AQ56/AQ57</f>
        <v>82.960000000000008</v>
      </c>
      <c r="AR58" s="43">
        <f t="shared" ref="AR58" si="827">AR56/AR57</f>
        <v>82.960000000000008</v>
      </c>
      <c r="AS58" s="43">
        <f t="shared" ref="AS58" si="828">AS56/AS57</f>
        <v>82.960000000000008</v>
      </c>
      <c r="AT58" s="43">
        <f t="shared" ref="AT58" si="829">AT56/AT57</f>
        <v>82.960000000000008</v>
      </c>
      <c r="AU58" s="43">
        <f t="shared" ref="AU58" si="830">AU56/AU57</f>
        <v>82.960000000000008</v>
      </c>
      <c r="AV58" s="43">
        <f t="shared" ref="AV58:AW58" si="831">AV56/AV57</f>
        <v>82.960000000000008</v>
      </c>
      <c r="AW58" s="43">
        <f t="shared" si="831"/>
        <v>82.960000000000008</v>
      </c>
      <c r="AX58" s="43">
        <f t="shared" ref="AX58:BB58" si="832">AX56/AX57</f>
        <v>82.960000000000008</v>
      </c>
      <c r="AY58" s="43">
        <f t="shared" si="832"/>
        <v>82.960000000000008</v>
      </c>
      <c r="AZ58" s="43">
        <f t="shared" si="832"/>
        <v>82.960000000000008</v>
      </c>
      <c r="BA58" s="43">
        <f t="shared" si="832"/>
        <v>82.960000000000008</v>
      </c>
      <c r="BB58" s="43">
        <f t="shared" si="832"/>
        <v>82.960000000000008</v>
      </c>
      <c r="BC58" s="43">
        <f t="shared" ref="BC58:BG58" si="833">BC56/BC57</f>
        <v>82.960000000000008</v>
      </c>
      <c r="BD58" s="43">
        <f t="shared" si="833"/>
        <v>82.960000000000008</v>
      </c>
      <c r="BE58" s="43">
        <f t="shared" si="833"/>
        <v>82.960000000000008</v>
      </c>
      <c r="BF58" s="43">
        <f t="shared" si="833"/>
        <v>82.960000000000008</v>
      </c>
      <c r="BG58" s="43">
        <f t="shared" si="833"/>
        <v>82.960000000000008</v>
      </c>
      <c r="BH58" s="43">
        <f t="shared" ref="BH58:BJ58" si="834">BH56/BH57</f>
        <v>82.960000000000008</v>
      </c>
      <c r="BI58" s="43">
        <f t="shared" si="834"/>
        <v>82.960000000000008</v>
      </c>
      <c r="BJ58" s="43">
        <f t="shared" si="834"/>
        <v>82.960000000000008</v>
      </c>
      <c r="BK58" s="43">
        <f t="shared" ref="BK58" si="835">BK56/BK57</f>
        <v>82.960000000000008</v>
      </c>
      <c r="BL58" s="43">
        <f t="shared" ref="BL58:BM58" si="836">BL56/BL57</f>
        <v>82.960000000000008</v>
      </c>
      <c r="BM58" s="43">
        <f t="shared" si="836"/>
        <v>82.960000000000008</v>
      </c>
      <c r="BN58" s="43">
        <f t="shared" ref="BN58:BO58" si="837">BN56/BN57</f>
        <v>82.960000000000008</v>
      </c>
      <c r="BO58" s="43">
        <f t="shared" si="837"/>
        <v>82.960000000000008</v>
      </c>
      <c r="BP58" s="43">
        <f t="shared" ref="BP58:BQ58" si="838">BP56/BP57</f>
        <v>82.960000000000008</v>
      </c>
      <c r="BQ58" s="43">
        <f t="shared" si="838"/>
        <v>82.960000000000008</v>
      </c>
      <c r="BR58" s="43">
        <f t="shared" ref="BR58" si="839">BR56/BR57</f>
        <v>82.960000000000008</v>
      </c>
      <c r="BS58" s="43">
        <f t="shared" ref="BS58:BT58" si="840">BS56/BS57</f>
        <v>82.960000000000008</v>
      </c>
      <c r="BT58" s="43">
        <f t="shared" si="840"/>
        <v>82.960000000000008</v>
      </c>
      <c r="BU58" s="43">
        <f t="shared" ref="BU58" si="841">BU56/BU57</f>
        <v>82.960000000000008</v>
      </c>
      <c r="BV58" s="43">
        <f t="shared" ref="BV58" si="842">BV56/BV57</f>
        <v>82.960000000000008</v>
      </c>
      <c r="BW58" s="43">
        <f t="shared" ref="BW58:BX58" si="843">BW56/BW57</f>
        <v>82.960000000000008</v>
      </c>
      <c r="BX58" s="43">
        <f t="shared" si="843"/>
        <v>83.003799999999998</v>
      </c>
      <c r="BY58" s="43">
        <f t="shared" ref="BY58" si="844">BY56/BY57</f>
        <v>83.03</v>
      </c>
      <c r="BZ58" s="44">
        <f t="shared" ref="BZ58:CC58" si="845">BZ56/BZ57</f>
        <v>83.03</v>
      </c>
      <c r="CA58" s="44">
        <f t="shared" si="845"/>
        <v>83.03</v>
      </c>
      <c r="CB58" s="44">
        <f t="shared" si="845"/>
        <v>83.03</v>
      </c>
      <c r="CC58" s="44">
        <f t="shared" si="845"/>
        <v>83.03</v>
      </c>
      <c r="CD58" s="44">
        <f t="shared" ref="CD58:CO58" si="846">CD56/CD57</f>
        <v>83.03</v>
      </c>
      <c r="CE58" s="44">
        <f t="shared" si="846"/>
        <v>83.03</v>
      </c>
      <c r="CF58" s="44">
        <f t="shared" si="846"/>
        <v>83.03</v>
      </c>
      <c r="CG58" s="44">
        <f t="shared" si="846"/>
        <v>83.03</v>
      </c>
      <c r="CH58" s="44">
        <f t="shared" si="846"/>
        <v>83.03</v>
      </c>
      <c r="CI58" s="44">
        <f t="shared" si="846"/>
        <v>83.03</v>
      </c>
      <c r="CJ58" s="44">
        <f t="shared" si="846"/>
        <v>83.03</v>
      </c>
      <c r="CK58" s="44">
        <f t="shared" si="846"/>
        <v>83.03</v>
      </c>
      <c r="CL58" s="44">
        <f t="shared" si="846"/>
        <v>83.03</v>
      </c>
      <c r="CM58" s="44">
        <f t="shared" si="846"/>
        <v>83.03</v>
      </c>
      <c r="CN58" s="44">
        <f t="shared" si="846"/>
        <v>83.03</v>
      </c>
      <c r="CO58" s="44">
        <f t="shared" si="846"/>
        <v>83.03</v>
      </c>
      <c r="CT58" s="43">
        <v>83.03</v>
      </c>
    </row>
    <row r="59" spans="1:98" s="38" customFormat="1" x14ac:dyDescent="0.2">
      <c r="A59" s="38" t="s">
        <v>34</v>
      </c>
      <c r="B59" s="38">
        <f t="shared" ref="B59:X59" si="847">B50/B58</f>
        <v>0</v>
      </c>
      <c r="C59" s="38">
        <f t="shared" si="847"/>
        <v>0</v>
      </c>
      <c r="D59" s="38">
        <f t="shared" si="847"/>
        <v>0</v>
      </c>
      <c r="E59" s="38">
        <f t="shared" si="847"/>
        <v>0</v>
      </c>
      <c r="F59" s="38">
        <f t="shared" si="847"/>
        <v>0</v>
      </c>
      <c r="G59" s="38">
        <f t="shared" si="847"/>
        <v>0</v>
      </c>
      <c r="H59" s="38">
        <f t="shared" si="847"/>
        <v>0</v>
      </c>
      <c r="I59" s="38">
        <f t="shared" si="847"/>
        <v>-4.3318241599421894E-2</v>
      </c>
      <c r="J59" s="38">
        <f t="shared" si="847"/>
        <v>-0.11179978441527154</v>
      </c>
      <c r="K59" s="38">
        <f t="shared" si="847"/>
        <v>0.11945580031313968</v>
      </c>
      <c r="L59" s="38">
        <f t="shared" si="847"/>
        <v>0.19038607370829821</v>
      </c>
      <c r="M59" s="38">
        <f t="shared" si="847"/>
        <v>0.6155606407322648</v>
      </c>
      <c r="N59" s="38">
        <f t="shared" si="847"/>
        <v>1.2338913645670224</v>
      </c>
      <c r="O59" s="38">
        <f t="shared" si="847"/>
        <v>2.5200529928941342</v>
      </c>
      <c r="P59" s="38">
        <f t="shared" si="847"/>
        <v>4.2087197398530645</v>
      </c>
      <c r="Q59" s="38">
        <f t="shared" si="847"/>
        <v>6.4363483078405377</v>
      </c>
      <c r="R59" s="38">
        <f t="shared" si="847"/>
        <v>8.2406359147296175</v>
      </c>
      <c r="S59" s="38">
        <f t="shared" si="847"/>
        <v>11.237143201252556</v>
      </c>
      <c r="T59" s="38">
        <f t="shared" si="847"/>
        <v>13.889437552691795</v>
      </c>
      <c r="U59" s="38">
        <f t="shared" si="847"/>
        <v>12.102252198000709</v>
      </c>
      <c r="V59" s="38">
        <f t="shared" si="847"/>
        <v>4.7148018788389905</v>
      </c>
      <c r="W59" s="38">
        <f t="shared" si="847"/>
        <v>12.181139347223894</v>
      </c>
      <c r="X59" s="38">
        <f t="shared" si="847"/>
        <v>23.598097073346977</v>
      </c>
      <c r="Y59" s="38">
        <f t="shared" ref="Y59" si="848">Y50/Y58</f>
        <v>29.637962182343731</v>
      </c>
      <c r="Z59" s="38">
        <f t="shared" ref="Z59:AA59" si="849">Z50/Z58</f>
        <v>26.206431410333636</v>
      </c>
      <c r="AA59" s="38">
        <f t="shared" ref="AA59" si="850">AA50/AA58</f>
        <v>30.637480428760654</v>
      </c>
      <c r="AB59" s="39">
        <f t="shared" ref="AB59" si="851">AB50/AB58</f>
        <v>47.965034156147212</v>
      </c>
      <c r="AC59" s="39">
        <f t="shared" ref="AC59" si="852">AC50/AC58</f>
        <v>54.63247473286075</v>
      </c>
      <c r="AD59" s="39">
        <f t="shared" ref="AD59" si="853">AD50/AD58</f>
        <v>61.643942722287051</v>
      </c>
      <c r="AE59" s="39">
        <f t="shared" ref="AE59" si="854">AE50/AE58</f>
        <v>69.535482853518999</v>
      </c>
      <c r="AG59" s="60"/>
      <c r="AH59" s="38">
        <f t="shared" ref="AH59:AL59" si="855">AH50/AH58</f>
        <v>0</v>
      </c>
      <c r="AI59" s="38">
        <f t="shared" si="855"/>
        <v>0</v>
      </c>
      <c r="AJ59" s="38">
        <f t="shared" si="855"/>
        <v>0</v>
      </c>
      <c r="AK59" s="38">
        <f t="shared" si="855"/>
        <v>0</v>
      </c>
      <c r="AL59" s="38">
        <f t="shared" si="855"/>
        <v>0</v>
      </c>
      <c r="AM59" s="38">
        <f t="shared" ref="AM59" si="856">AM50/AM58</f>
        <v>0</v>
      </c>
      <c r="AN59" s="38">
        <f t="shared" ref="AN59" si="857">AN50/AN58</f>
        <v>0</v>
      </c>
      <c r="AO59" s="38">
        <f t="shared" ref="AO59" si="858">AO50/AO58</f>
        <v>0</v>
      </c>
      <c r="AP59" s="38">
        <f t="shared" ref="AP59" si="859">AP50/AP58</f>
        <v>0</v>
      </c>
      <c r="AQ59" s="38">
        <f t="shared" ref="AQ59" si="860">AQ50/AQ58</f>
        <v>0</v>
      </c>
      <c r="AR59" s="38">
        <f t="shared" ref="AR59" si="861">AR50/AR58</f>
        <v>0</v>
      </c>
      <c r="AS59" s="38">
        <f t="shared" ref="AS59" si="862">AS50/AS58</f>
        <v>0</v>
      </c>
      <c r="AT59" s="38">
        <f t="shared" ref="AT59" si="863">AT50/AT58</f>
        <v>0</v>
      </c>
      <c r="AU59" s="38">
        <f t="shared" ref="AU59" si="864">AU50/AU58</f>
        <v>0</v>
      </c>
      <c r="AV59" s="38">
        <f t="shared" ref="AV59:AW59" si="865">AV50/AV58</f>
        <v>0</v>
      </c>
      <c r="AW59" s="38">
        <f t="shared" si="865"/>
        <v>0</v>
      </c>
      <c r="AX59" s="38">
        <f t="shared" ref="AX59:BB59" si="866">AX50/AX58</f>
        <v>0</v>
      </c>
      <c r="AY59" s="38">
        <f t="shared" si="866"/>
        <v>0</v>
      </c>
      <c r="AZ59" s="38">
        <f t="shared" si="866"/>
        <v>0</v>
      </c>
      <c r="BA59" s="38">
        <f t="shared" si="866"/>
        <v>0</v>
      </c>
      <c r="BB59" s="38">
        <f t="shared" si="866"/>
        <v>0</v>
      </c>
      <c r="BC59" s="38">
        <f t="shared" ref="BC59:BF59" si="867">BC50/BC58</f>
        <v>0</v>
      </c>
      <c r="BD59" s="38">
        <f t="shared" si="867"/>
        <v>0</v>
      </c>
      <c r="BE59" s="38">
        <f t="shared" si="867"/>
        <v>0</v>
      </c>
      <c r="BF59" s="38">
        <f t="shared" si="867"/>
        <v>0</v>
      </c>
      <c r="BG59" s="38">
        <f t="shared" ref="BG59:BH59" si="868">BG50/BG58</f>
        <v>0</v>
      </c>
      <c r="BH59" s="38">
        <f t="shared" si="868"/>
        <v>0</v>
      </c>
      <c r="BI59" s="38">
        <f t="shared" ref="BI59:BJ59" si="869">BI50/BI58</f>
        <v>0</v>
      </c>
      <c r="BJ59" s="38">
        <f t="shared" si="869"/>
        <v>0</v>
      </c>
      <c r="BK59" s="38">
        <f t="shared" ref="BK59" si="870">BK50/BK58</f>
        <v>0</v>
      </c>
      <c r="BL59" s="38">
        <f t="shared" ref="BL59:BM59" si="871">BL50/BL58</f>
        <v>0</v>
      </c>
      <c r="BM59" s="38">
        <f t="shared" si="871"/>
        <v>0</v>
      </c>
      <c r="BN59" s="38">
        <f t="shared" ref="BN59:BO59" si="872">BN50/BN58</f>
        <v>0</v>
      </c>
      <c r="BO59" s="38">
        <f t="shared" si="872"/>
        <v>0</v>
      </c>
      <c r="BP59" s="38">
        <f t="shared" ref="BP59:BQ59" si="873">BP50/BP58</f>
        <v>0</v>
      </c>
      <c r="BQ59" s="38">
        <f t="shared" si="873"/>
        <v>0</v>
      </c>
      <c r="BR59" s="38">
        <f t="shared" ref="BR59" si="874">BR50/BR58</f>
        <v>7.0118129218900673</v>
      </c>
      <c r="BS59" s="38">
        <f t="shared" ref="BS59:BT59" si="875">BS50/BS58</f>
        <v>7.1239151398264227</v>
      </c>
      <c r="BT59" s="38">
        <f t="shared" si="875"/>
        <v>5.6931051108968225</v>
      </c>
      <c r="BU59" s="38">
        <f t="shared" ref="BU59" si="876">BU50/BU58</f>
        <v>6.3994696239151461</v>
      </c>
      <c r="BV59" s="38">
        <f t="shared" ref="BV59" si="877">BV50/BV58</f>
        <v>6.8430568948891004</v>
      </c>
      <c r="BW59" s="38">
        <f t="shared" ref="BW59:BX59" si="878">BW50/BW58</f>
        <v>7.00819672131147</v>
      </c>
      <c r="BX59" s="38">
        <f t="shared" si="878"/>
        <v>7.7574761637419005</v>
      </c>
      <c r="BY59" s="38">
        <f t="shared" ref="BY59" si="879">BY50/BY58</f>
        <v>9.0401059857882657</v>
      </c>
      <c r="BZ59" s="39">
        <f t="shared" ref="BZ59:CC59" si="880">BZ50/BZ58</f>
        <v>11.207837546403171</v>
      </c>
      <c r="CA59" s="39">
        <f t="shared" si="880"/>
        <v>12.183862253493139</v>
      </c>
      <c r="CB59" s="39">
        <f t="shared" si="880"/>
        <v>12.167620618423275</v>
      </c>
      <c r="CC59" s="39">
        <f t="shared" si="880"/>
        <v>12.405713737827648</v>
      </c>
      <c r="CD59" s="39">
        <f t="shared" ref="CD59:CO59" si="881">CD50/CD58</f>
        <v>13.115362608432809</v>
      </c>
      <c r="CE59" s="39">
        <f t="shared" si="881"/>
        <v>13.508911917372593</v>
      </c>
      <c r="CF59" s="39">
        <f t="shared" si="881"/>
        <v>13.81059246297268</v>
      </c>
      <c r="CG59" s="39">
        <f t="shared" si="881"/>
        <v>14.197607744082681</v>
      </c>
      <c r="CH59" s="39">
        <f t="shared" si="881"/>
        <v>14.739714816793771</v>
      </c>
      <c r="CI59" s="39">
        <f t="shared" si="881"/>
        <v>15.222924259669885</v>
      </c>
      <c r="CJ59" s="39">
        <f t="shared" si="881"/>
        <v>15.627183286621834</v>
      </c>
      <c r="CK59" s="39">
        <f t="shared" si="881"/>
        <v>16.054120359201526</v>
      </c>
      <c r="CL59" s="39">
        <f t="shared" si="881"/>
        <v>16.616659792471125</v>
      </c>
      <c r="CM59" s="39">
        <f t="shared" si="881"/>
        <v>17.174163831639937</v>
      </c>
      <c r="CN59" s="39">
        <f t="shared" si="881"/>
        <v>17.636623426071427</v>
      </c>
      <c r="CO59" s="39">
        <f t="shared" si="881"/>
        <v>18.108035803336548</v>
      </c>
      <c r="CT59" s="38">
        <v>30.634710345658146</v>
      </c>
    </row>
    <row r="60" spans="1:98" s="43" customFormat="1" x14ac:dyDescent="0.2">
      <c r="A60" s="43" t="s">
        <v>42</v>
      </c>
      <c r="B60" s="43">
        <f t="shared" ref="B60:AB60" si="882">+B59</f>
        <v>0</v>
      </c>
      <c r="C60" s="43">
        <f t="shared" si="882"/>
        <v>0</v>
      </c>
      <c r="D60" s="43">
        <f t="shared" si="882"/>
        <v>0</v>
      </c>
      <c r="E60" s="43">
        <f t="shared" si="882"/>
        <v>0</v>
      </c>
      <c r="F60" s="43">
        <f t="shared" si="882"/>
        <v>0</v>
      </c>
      <c r="G60" s="43">
        <f t="shared" si="882"/>
        <v>0</v>
      </c>
      <c r="H60" s="43">
        <f t="shared" si="882"/>
        <v>0</v>
      </c>
      <c r="I60" s="43">
        <f t="shared" si="882"/>
        <v>-4.3318241599421894E-2</v>
      </c>
      <c r="J60" s="43">
        <f t="shared" si="882"/>
        <v>-0.11179978441527154</v>
      </c>
      <c r="K60" s="43">
        <f t="shared" si="882"/>
        <v>0.11945580031313968</v>
      </c>
      <c r="L60" s="43">
        <f t="shared" si="882"/>
        <v>0.19038607370829821</v>
      </c>
      <c r="M60" s="43">
        <f t="shared" si="882"/>
        <v>0.6155606407322648</v>
      </c>
      <c r="N60" s="43">
        <f t="shared" si="882"/>
        <v>1.2338913645670224</v>
      </c>
      <c r="O60" s="43">
        <f t="shared" si="882"/>
        <v>2.5200529928941342</v>
      </c>
      <c r="P60" s="43">
        <f t="shared" si="882"/>
        <v>4.2087197398530645</v>
      </c>
      <c r="Q60" s="43">
        <f t="shared" si="882"/>
        <v>6.4363483078405377</v>
      </c>
      <c r="R60" s="43">
        <f t="shared" si="882"/>
        <v>8.2406359147296175</v>
      </c>
      <c r="S60" s="43">
        <f t="shared" si="882"/>
        <v>11.237143201252556</v>
      </c>
      <c r="T60" s="43">
        <f t="shared" si="882"/>
        <v>13.889437552691795</v>
      </c>
      <c r="U60" s="43">
        <f t="shared" si="882"/>
        <v>12.102252198000709</v>
      </c>
      <c r="V60" s="43">
        <f t="shared" si="882"/>
        <v>4.7148018788389905</v>
      </c>
      <c r="W60" s="43">
        <f t="shared" si="882"/>
        <v>12.181139347223894</v>
      </c>
      <c r="X60" s="43">
        <f t="shared" si="882"/>
        <v>23.598097073346977</v>
      </c>
      <c r="Y60" s="43">
        <f t="shared" si="882"/>
        <v>29.637962182343731</v>
      </c>
      <c r="Z60" s="43">
        <f t="shared" si="882"/>
        <v>26.206431410333636</v>
      </c>
      <c r="AA60" s="43">
        <f t="shared" ref="AA60" si="883">+AA59</f>
        <v>30.637480428760654</v>
      </c>
      <c r="AB60" s="44">
        <f t="shared" si="882"/>
        <v>47.965034156147212</v>
      </c>
      <c r="AC60" s="44">
        <f t="shared" ref="AC60" si="884">+AC59</f>
        <v>54.63247473286075</v>
      </c>
      <c r="AD60" s="44">
        <f t="shared" ref="AD60" si="885">+AD59</f>
        <v>61.643942722287051</v>
      </c>
      <c r="AE60" s="44">
        <f t="shared" ref="AE60" si="886">+AE59</f>
        <v>69.535482853518999</v>
      </c>
      <c r="AG60" s="62"/>
      <c r="AO60" s="43">
        <f>AO59+AN59+AM59+AL59</f>
        <v>0</v>
      </c>
      <c r="AP60" s="43">
        <f t="shared" ref="AP60:AV60" si="887">AP59+AO59+AN59+AM59</f>
        <v>0</v>
      </c>
      <c r="AQ60" s="43">
        <f t="shared" si="887"/>
        <v>0</v>
      </c>
      <c r="AR60" s="43">
        <f t="shared" si="887"/>
        <v>0</v>
      </c>
      <c r="AS60" s="43">
        <f t="shared" si="887"/>
        <v>0</v>
      </c>
      <c r="AT60" s="43">
        <f t="shared" si="887"/>
        <v>0</v>
      </c>
      <c r="AU60" s="43">
        <f t="shared" si="887"/>
        <v>0</v>
      </c>
      <c r="AV60" s="43">
        <f t="shared" si="887"/>
        <v>0</v>
      </c>
      <c r="AW60" s="43">
        <f>AW59+AV59+AU59+AT59</f>
        <v>0</v>
      </c>
      <c r="AX60" s="43">
        <f t="shared" ref="AX60:BB60" si="888">AX59+AW59+AV59+AU59</f>
        <v>0</v>
      </c>
      <c r="AY60" s="43">
        <f t="shared" si="888"/>
        <v>0</v>
      </c>
      <c r="AZ60" s="43">
        <f t="shared" si="888"/>
        <v>0</v>
      </c>
      <c r="BA60" s="43">
        <f t="shared" si="888"/>
        <v>0</v>
      </c>
      <c r="BB60" s="43">
        <f t="shared" si="888"/>
        <v>0</v>
      </c>
      <c r="BC60" s="43">
        <f t="shared" ref="BC60" si="889">BC59+BB59+BA59+AZ59</f>
        <v>0</v>
      </c>
      <c r="BD60" s="43">
        <f t="shared" ref="BD60" si="890">BD59+BC59+BB59+BA59</f>
        <v>0</v>
      </c>
      <c r="BE60" s="43">
        <f t="shared" ref="BE60" si="891">BE59+BD59+BC59+BB59</f>
        <v>0</v>
      </c>
      <c r="BF60" s="43">
        <f t="shared" ref="BF60:BH60" si="892">BF59+BE59+BD59+BC59</f>
        <v>0</v>
      </c>
      <c r="BG60" s="43">
        <f t="shared" si="892"/>
        <v>0</v>
      </c>
      <c r="BH60" s="43">
        <f t="shared" si="892"/>
        <v>0</v>
      </c>
      <c r="BI60" s="43">
        <f t="shared" ref="BI60" si="893">BI59+BH59+BG59+BF59</f>
        <v>0</v>
      </c>
      <c r="BJ60" s="43">
        <f t="shared" ref="BJ60:BK60" si="894">BJ59+BI59+BH59+BG59</f>
        <v>0</v>
      </c>
      <c r="BK60" s="43">
        <f t="shared" si="894"/>
        <v>0</v>
      </c>
      <c r="BL60" s="43">
        <f t="shared" ref="BL60" si="895">BL59+BK59+BJ59+BI59</f>
        <v>0</v>
      </c>
      <c r="BM60" s="43">
        <f t="shared" ref="BM60" si="896">BM59+BL59+BK59+BJ59</f>
        <v>0</v>
      </c>
      <c r="BN60" s="43">
        <f t="shared" ref="BN60" si="897">BN59+BM59+BL59+BK59</f>
        <v>0</v>
      </c>
      <c r="BO60" s="43">
        <f t="shared" ref="BO60" si="898">BO59+BN59+BM59+BL59</f>
        <v>0</v>
      </c>
      <c r="BP60" s="43">
        <f t="shared" ref="BP60" si="899">BP59+BO59+BN59+BM59</f>
        <v>0</v>
      </c>
      <c r="BQ60" s="43">
        <f t="shared" ref="BQ60" si="900">BQ59+BP59+BO59+BN59</f>
        <v>0</v>
      </c>
      <c r="BR60" s="43">
        <f t="shared" ref="BR60" si="901">BR59+BQ59+BP59+BO59</f>
        <v>7.0118129218900673</v>
      </c>
      <c r="BS60" s="43">
        <f t="shared" ref="BS60" si="902">BS59+BR59+BQ59+BP59</f>
        <v>14.13572806171649</v>
      </c>
      <c r="BT60" s="43">
        <f t="shared" ref="BT60:BU60" si="903">BT59+BS59+BR59+BQ59</f>
        <v>19.828833172613315</v>
      </c>
      <c r="BU60" s="43">
        <f t="shared" si="903"/>
        <v>26.22830279652846</v>
      </c>
      <c r="BV60" s="43">
        <f t="shared" ref="BV60:BY60" si="904">BV59+BU59+BT59+BS59</f>
        <v>26.059546769527493</v>
      </c>
      <c r="BW60" s="43">
        <f t="shared" si="904"/>
        <v>25.943828351012538</v>
      </c>
      <c r="BX60" s="43">
        <f t="shared" si="904"/>
        <v>28.008199403857617</v>
      </c>
      <c r="BY60" s="43">
        <f t="shared" si="904"/>
        <v>30.648835765730738</v>
      </c>
      <c r="BZ60" s="44">
        <f t="shared" ref="BZ60" si="905">BZ59+BY59+BX59+BW59</f>
        <v>35.013616417244805</v>
      </c>
      <c r="CA60" s="44">
        <f t="shared" ref="CA60" si="906">CA59+BZ59+BY59+BX59</f>
        <v>40.189281949426473</v>
      </c>
      <c r="CB60" s="44">
        <f t="shared" ref="CB60" si="907">CB59+CA59+BZ59+BY59</f>
        <v>44.599426404107852</v>
      </c>
      <c r="CC60" s="44">
        <f t="shared" ref="CC60" si="908">CC59+CB59+CA59+BZ59</f>
        <v>47.965034156147233</v>
      </c>
      <c r="CD60" s="44">
        <f t="shared" ref="CD60" si="909">CD59+CC59+CB59+CA59</f>
        <v>49.872559218176868</v>
      </c>
      <c r="CE60" s="44">
        <f t="shared" ref="CE60" si="910">CE59+CD59+CC59+CB59</f>
        <v>51.197608882056329</v>
      </c>
      <c r="CF60" s="44">
        <f t="shared" ref="CF60" si="911">CF59+CE59+CD59+CC59</f>
        <v>52.840580726605729</v>
      </c>
      <c r="CG60" s="44">
        <f t="shared" ref="CG60" si="912">CG59+CF59+CE59+CD59</f>
        <v>54.632474732860764</v>
      </c>
      <c r="CH60" s="44">
        <f t="shared" ref="CH60" si="913">CH59+CG59+CF59+CE59</f>
        <v>56.256826941221725</v>
      </c>
      <c r="CI60" s="44">
        <f t="shared" ref="CI60" si="914">CI59+CH59+CG59+CF59</f>
        <v>57.970839283519012</v>
      </c>
      <c r="CJ60" s="44">
        <f t="shared" ref="CJ60" si="915">CJ59+CI59+CH59+CG59</f>
        <v>59.78743010716817</v>
      </c>
      <c r="CK60" s="44">
        <f t="shared" ref="CK60" si="916">CK59+CJ59+CI59+CH59</f>
        <v>61.643942722287015</v>
      </c>
      <c r="CL60" s="44">
        <f t="shared" ref="CL60" si="917">CL59+CK59+CJ59+CI59</f>
        <v>63.520887697964369</v>
      </c>
      <c r="CM60" s="44">
        <f t="shared" ref="CM60" si="918">CM59+CL59+CK59+CJ59</f>
        <v>65.472127269934418</v>
      </c>
      <c r="CN60" s="44">
        <f t="shared" ref="CN60" si="919">CN59+CM59+CL59+CK59</f>
        <v>67.481567409384013</v>
      </c>
      <c r="CO60" s="44">
        <f t="shared" ref="CO60" si="920">CO59+CN59+CM59+CL59</f>
        <v>69.535482853519028</v>
      </c>
      <c r="CT60" s="43">
        <v>30.634710345658146</v>
      </c>
    </row>
    <row r="61" spans="1:98" s="121" customFormat="1" x14ac:dyDescent="0.2">
      <c r="A61" s="121" t="s">
        <v>184</v>
      </c>
      <c r="AB61" s="122"/>
      <c r="AC61" s="122"/>
      <c r="AD61" s="122"/>
      <c r="AE61" s="122"/>
      <c r="AG61" s="123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</row>
    <row r="62" spans="1:98" s="121" customFormat="1" x14ac:dyDescent="0.2">
      <c r="A62" s="121" t="s">
        <v>185</v>
      </c>
      <c r="AB62" s="122"/>
      <c r="AC62" s="122"/>
      <c r="AD62" s="122"/>
      <c r="AE62" s="122"/>
      <c r="AG62" s="123"/>
      <c r="BZ62" s="122"/>
      <c r="CA62" s="122"/>
      <c r="CB62" s="122"/>
      <c r="CC62" s="124" t="e">
        <f>+CC60/CC61-1</f>
        <v>#DIV/0!</v>
      </c>
      <c r="CD62" s="122"/>
      <c r="CE62" s="122"/>
      <c r="CF62" s="122"/>
      <c r="CG62" s="124" t="e">
        <f>+CG60/CG61-1</f>
        <v>#DIV/0!</v>
      </c>
      <c r="CH62" s="122"/>
      <c r="CI62" s="122"/>
      <c r="CJ62" s="122"/>
      <c r="CK62" s="122"/>
      <c r="CL62" s="122"/>
      <c r="CM62" s="122"/>
      <c r="CN62" s="122"/>
      <c r="CO62" s="122"/>
    </row>
    <row r="63" spans="1:98" s="50" customFormat="1" x14ac:dyDescent="0.2">
      <c r="A63" s="50" t="s">
        <v>35</v>
      </c>
      <c r="B63" s="50">
        <f t="shared" ref="B63:AE63" si="921">B100/B58</f>
        <v>0</v>
      </c>
      <c r="C63" s="50">
        <f t="shared" si="921"/>
        <v>0</v>
      </c>
      <c r="D63" s="50">
        <f t="shared" si="921"/>
        <v>0</v>
      </c>
      <c r="E63" s="50">
        <f t="shared" si="921"/>
        <v>0</v>
      </c>
      <c r="F63" s="50">
        <f t="shared" si="921"/>
        <v>0</v>
      </c>
      <c r="G63" s="50">
        <f t="shared" si="921"/>
        <v>0</v>
      </c>
      <c r="H63" s="50">
        <f t="shared" si="921"/>
        <v>0</v>
      </c>
      <c r="I63" s="50">
        <f t="shared" si="921"/>
        <v>1.2205863711911356</v>
      </c>
      <c r="J63" s="50">
        <f t="shared" si="921"/>
        <v>1.109569436348308</v>
      </c>
      <c r="K63" s="50">
        <f t="shared" si="921"/>
        <v>1.2290252366614476</v>
      </c>
      <c r="L63" s="50">
        <f t="shared" si="921"/>
        <v>8.6627619065398047</v>
      </c>
      <c r="M63" s="50">
        <f t="shared" si="921"/>
        <v>9.283271106828856</v>
      </c>
      <c r="N63" s="50">
        <f t="shared" si="921"/>
        <v>10.520655184872936</v>
      </c>
      <c r="O63" s="50">
        <f t="shared" si="921"/>
        <v>19.613392749608575</v>
      </c>
      <c r="P63" s="50">
        <f t="shared" si="921"/>
        <v>37.638564374322534</v>
      </c>
      <c r="Q63" s="50">
        <f t="shared" si="921"/>
        <v>42.89774780199928</v>
      </c>
      <c r="R63" s="50">
        <f t="shared" si="921"/>
        <v>64.589786824039493</v>
      </c>
      <c r="S63" s="50">
        <f t="shared" si="921"/>
        <v>72.749006383234985</v>
      </c>
      <c r="T63" s="50">
        <f t="shared" si="921"/>
        <v>86.456341081536792</v>
      </c>
      <c r="U63" s="50">
        <f t="shared" si="921"/>
        <v>96.56509695290859</v>
      </c>
      <c r="V63" s="50">
        <f t="shared" si="921"/>
        <v>101.72515958087438</v>
      </c>
      <c r="W63" s="50">
        <f t="shared" si="921"/>
        <v>114.89497771889678</v>
      </c>
      <c r="X63" s="50">
        <f t="shared" si="921"/>
        <v>137.74503191617487</v>
      </c>
      <c r="Y63" s="50">
        <f t="shared" si="921"/>
        <v>165.51499458027217</v>
      </c>
      <c r="Z63" s="50">
        <f t="shared" si="921"/>
        <v>190.5305311333253</v>
      </c>
      <c r="AA63" s="50">
        <f t="shared" ref="AA63" si="922">AA100/AA58</f>
        <v>248.87450319161746</v>
      </c>
      <c r="AB63" s="51">
        <f t="shared" si="921"/>
        <v>296.83893515578592</v>
      </c>
      <c r="AC63" s="51">
        <f t="shared" si="921"/>
        <v>351.47140988864669</v>
      </c>
      <c r="AD63" s="51">
        <f t="shared" si="921"/>
        <v>413.11535261093377</v>
      </c>
      <c r="AE63" s="51">
        <f t="shared" si="921"/>
        <v>482.65083546445271</v>
      </c>
      <c r="AG63" s="64"/>
      <c r="AH63" s="50">
        <f t="shared" ref="AH63:BM63" si="923">AH100/AH58</f>
        <v>0</v>
      </c>
      <c r="AI63" s="50">
        <f t="shared" si="923"/>
        <v>0</v>
      </c>
      <c r="AJ63" s="50">
        <f t="shared" si="923"/>
        <v>0</v>
      </c>
      <c r="AK63" s="50">
        <f t="shared" si="923"/>
        <v>0</v>
      </c>
      <c r="AL63" s="50">
        <f t="shared" si="923"/>
        <v>0</v>
      </c>
      <c r="AM63" s="50">
        <f t="shared" si="923"/>
        <v>0</v>
      </c>
      <c r="AN63" s="50">
        <f t="shared" si="923"/>
        <v>0</v>
      </c>
      <c r="AO63" s="50">
        <f t="shared" si="923"/>
        <v>0</v>
      </c>
      <c r="AP63" s="50">
        <f t="shared" si="923"/>
        <v>0</v>
      </c>
      <c r="AQ63" s="50">
        <f t="shared" si="923"/>
        <v>0</v>
      </c>
      <c r="AR63" s="50">
        <f t="shared" si="923"/>
        <v>0</v>
      </c>
      <c r="AS63" s="50">
        <f t="shared" si="923"/>
        <v>0</v>
      </c>
      <c r="AT63" s="50">
        <f t="shared" si="923"/>
        <v>0</v>
      </c>
      <c r="AU63" s="50">
        <f t="shared" si="923"/>
        <v>0</v>
      </c>
      <c r="AV63" s="50">
        <f t="shared" si="923"/>
        <v>0</v>
      </c>
      <c r="AW63" s="50">
        <f t="shared" si="923"/>
        <v>0</v>
      </c>
      <c r="AX63" s="50">
        <f t="shared" si="923"/>
        <v>0</v>
      </c>
      <c r="AY63" s="50">
        <f t="shared" si="923"/>
        <v>0</v>
      </c>
      <c r="AZ63" s="50">
        <f t="shared" si="923"/>
        <v>0</v>
      </c>
      <c r="BA63" s="50">
        <f t="shared" si="923"/>
        <v>0</v>
      </c>
      <c r="BB63" s="50">
        <f t="shared" si="923"/>
        <v>0</v>
      </c>
      <c r="BC63" s="50">
        <f t="shared" si="923"/>
        <v>0</v>
      </c>
      <c r="BD63" s="50">
        <f t="shared" si="923"/>
        <v>0</v>
      </c>
      <c r="BE63" s="50">
        <f t="shared" si="923"/>
        <v>0</v>
      </c>
      <c r="BF63" s="50">
        <f t="shared" si="923"/>
        <v>0</v>
      </c>
      <c r="BG63" s="50">
        <f t="shared" si="923"/>
        <v>0</v>
      </c>
      <c r="BH63" s="50">
        <f t="shared" si="923"/>
        <v>0</v>
      </c>
      <c r="BI63" s="50">
        <f t="shared" si="923"/>
        <v>0</v>
      </c>
      <c r="BJ63" s="50">
        <f t="shared" si="923"/>
        <v>0</v>
      </c>
      <c r="BK63" s="50">
        <f t="shared" si="923"/>
        <v>0</v>
      </c>
      <c r="BL63" s="50">
        <f t="shared" si="923"/>
        <v>0</v>
      </c>
      <c r="BM63" s="50">
        <f t="shared" si="923"/>
        <v>0</v>
      </c>
      <c r="BN63" s="50">
        <f t="shared" ref="BN63:CO63" si="924">BN100/BN58</f>
        <v>0</v>
      </c>
      <c r="BO63" s="50">
        <f t="shared" si="924"/>
        <v>0</v>
      </c>
      <c r="BP63" s="50">
        <f t="shared" si="924"/>
        <v>0</v>
      </c>
      <c r="BQ63" s="50">
        <f t="shared" si="924"/>
        <v>0</v>
      </c>
      <c r="BR63" s="50">
        <f t="shared" si="924"/>
        <v>0</v>
      </c>
      <c r="BS63" s="50">
        <f t="shared" si="924"/>
        <v>0</v>
      </c>
      <c r="BT63" s="50">
        <f t="shared" si="924"/>
        <v>184.99758919961423</v>
      </c>
      <c r="BU63" s="50">
        <f t="shared" si="924"/>
        <v>190.69069431051105</v>
      </c>
      <c r="BV63" s="50">
        <f t="shared" si="924"/>
        <v>197.53375120540014</v>
      </c>
      <c r="BW63" s="50">
        <f t="shared" ref="BW63:BX63" si="925">BW100/BW58</f>
        <v>233.10270009643196</v>
      </c>
      <c r="BX63" s="50">
        <f t="shared" si="925"/>
        <v>240.73717106927634</v>
      </c>
      <c r="BY63" s="50">
        <f t="shared" ref="BY63" si="926">BY100/BY58</f>
        <v>248.87390099963869</v>
      </c>
      <c r="BZ63" s="51">
        <f t="shared" si="924"/>
        <v>260.08173854604183</v>
      </c>
      <c r="CA63" s="51">
        <f t="shared" si="924"/>
        <v>272.26560079953498</v>
      </c>
      <c r="CB63" s="51">
        <f t="shared" si="924"/>
        <v>284.43322141795829</v>
      </c>
      <c r="CC63" s="51">
        <f t="shared" si="924"/>
        <v>296.83893515578592</v>
      </c>
      <c r="CD63" s="51">
        <f t="shared" si="924"/>
        <v>309.95429776421872</v>
      </c>
      <c r="CE63" s="51">
        <f t="shared" si="924"/>
        <v>323.46320968159137</v>
      </c>
      <c r="CF63" s="51">
        <f t="shared" si="924"/>
        <v>337.273802144564</v>
      </c>
      <c r="CG63" s="51">
        <f t="shared" si="924"/>
        <v>351.47140988864669</v>
      </c>
      <c r="CH63" s="51">
        <f t="shared" si="924"/>
        <v>366.21112470544045</v>
      </c>
      <c r="CI63" s="51">
        <f t="shared" si="924"/>
        <v>381.43404896511038</v>
      </c>
      <c r="CJ63" s="51">
        <f t="shared" si="924"/>
        <v>397.06123225173224</v>
      </c>
      <c r="CK63" s="51">
        <f t="shared" si="924"/>
        <v>413.11535261093377</v>
      </c>
      <c r="CL63" s="51">
        <f t="shared" si="924"/>
        <v>429.73201240340489</v>
      </c>
      <c r="CM63" s="51">
        <f t="shared" si="924"/>
        <v>446.90617623504477</v>
      </c>
      <c r="CN63" s="51">
        <f t="shared" si="924"/>
        <v>464.54279966111619</v>
      </c>
      <c r="CO63" s="51">
        <f t="shared" si="924"/>
        <v>482.65083546445271</v>
      </c>
      <c r="CT63" s="50">
        <v>248.87390099963869</v>
      </c>
    </row>
    <row r="64" spans="1:98" s="50" customFormat="1" x14ac:dyDescent="0.2">
      <c r="A64" s="50" t="s">
        <v>162</v>
      </c>
      <c r="C64" s="50">
        <f t="shared" ref="C64:AE64" si="927">+C63-C68</f>
        <v>0</v>
      </c>
      <c r="D64" s="50">
        <f t="shared" si="927"/>
        <v>0</v>
      </c>
      <c r="E64" s="50">
        <f t="shared" si="927"/>
        <v>0</v>
      </c>
      <c r="F64" s="50">
        <f t="shared" si="927"/>
        <v>0</v>
      </c>
      <c r="G64" s="50">
        <f t="shared" si="927"/>
        <v>0</v>
      </c>
      <c r="H64" s="50">
        <f t="shared" si="927"/>
        <v>0</v>
      </c>
      <c r="I64" s="50">
        <f t="shared" si="927"/>
        <v>1.2205863711911356</v>
      </c>
      <c r="J64" s="50">
        <f t="shared" si="927"/>
        <v>1.1094851294712755</v>
      </c>
      <c r="K64" s="50">
        <f t="shared" si="927"/>
        <v>1.1983423509574851</v>
      </c>
      <c r="L64" s="50">
        <f t="shared" si="927"/>
        <v>8.636135207756233</v>
      </c>
      <c r="M64" s="50">
        <f t="shared" si="927"/>
        <v>9.2607491268216293</v>
      </c>
      <c r="N64" s="50">
        <f t="shared" si="927"/>
        <v>10.278935324581475</v>
      </c>
      <c r="O64" s="50">
        <f t="shared" si="927"/>
        <v>18.93460195110201</v>
      </c>
      <c r="P64" s="50">
        <f t="shared" si="927"/>
        <v>36.552089606166447</v>
      </c>
      <c r="Q64" s="50">
        <f t="shared" si="927"/>
        <v>40.771407924846443</v>
      </c>
      <c r="R64" s="50">
        <f t="shared" si="927"/>
        <v>61.339636276044793</v>
      </c>
      <c r="S64" s="50">
        <f t="shared" si="927"/>
        <v>66.8027219077442</v>
      </c>
      <c r="T64" s="50">
        <f t="shared" si="927"/>
        <v>78.282187161267004</v>
      </c>
      <c r="U64" s="50">
        <f t="shared" si="927"/>
        <v>74.638925689509819</v>
      </c>
      <c r="V64" s="50">
        <f t="shared" si="927"/>
        <v>79.009032879682039</v>
      </c>
      <c r="W64" s="50">
        <f t="shared" si="927"/>
        <v>97.998072985667832</v>
      </c>
      <c r="X64" s="50">
        <f t="shared" si="927"/>
        <v>129.69673611947488</v>
      </c>
      <c r="Y64" s="50">
        <f t="shared" si="927"/>
        <v>158.67421413946764</v>
      </c>
      <c r="Z64" s="50">
        <f t="shared" si="927"/>
        <v>177.72636396483199</v>
      </c>
      <c r="AA64" s="50">
        <f t="shared" ref="AA64" si="928">+AA63-AA68</f>
        <v>233.36769842225698</v>
      </c>
      <c r="AB64" s="51">
        <f t="shared" si="927"/>
        <v>296.83893515578592</v>
      </c>
      <c r="AC64" s="51">
        <f t="shared" si="927"/>
        <v>351.47140988864669</v>
      </c>
      <c r="AD64" s="51">
        <f t="shared" si="927"/>
        <v>413.11535261093377</v>
      </c>
      <c r="AE64" s="51">
        <f t="shared" si="927"/>
        <v>482.65083546445271</v>
      </c>
      <c r="AG64" s="64"/>
      <c r="AH64" s="50">
        <f t="shared" ref="AH64:AS64" si="929">+AH63-AH68</f>
        <v>0</v>
      </c>
      <c r="AI64" s="50">
        <f t="shared" si="929"/>
        <v>0</v>
      </c>
      <c r="AJ64" s="50">
        <f t="shared" si="929"/>
        <v>0</v>
      </c>
      <c r="AK64" s="50">
        <f t="shared" si="929"/>
        <v>0</v>
      </c>
      <c r="AL64" s="50">
        <f t="shared" si="929"/>
        <v>0</v>
      </c>
      <c r="AM64" s="50">
        <f t="shared" si="929"/>
        <v>0</v>
      </c>
      <c r="AN64" s="50">
        <f t="shared" si="929"/>
        <v>0</v>
      </c>
      <c r="AO64" s="50">
        <f t="shared" si="929"/>
        <v>0</v>
      </c>
      <c r="AP64" s="50">
        <f t="shared" si="929"/>
        <v>0</v>
      </c>
      <c r="AQ64" s="50">
        <f t="shared" si="929"/>
        <v>0</v>
      </c>
      <c r="AR64" s="50">
        <f t="shared" si="929"/>
        <v>0</v>
      </c>
      <c r="AS64" s="50">
        <f t="shared" si="929"/>
        <v>0</v>
      </c>
      <c r="AT64" s="50">
        <f t="shared" ref="AT64:CO64" si="930">+AT63-AT68</f>
        <v>0</v>
      </c>
      <c r="AU64" s="50">
        <f t="shared" si="930"/>
        <v>0</v>
      </c>
      <c r="AV64" s="50">
        <f t="shared" si="930"/>
        <v>0</v>
      </c>
      <c r="AW64" s="50">
        <f t="shared" si="930"/>
        <v>0</v>
      </c>
      <c r="AX64" s="50">
        <f t="shared" si="930"/>
        <v>0</v>
      </c>
      <c r="AY64" s="50">
        <f t="shared" si="930"/>
        <v>0</v>
      </c>
      <c r="AZ64" s="50">
        <f t="shared" si="930"/>
        <v>0</v>
      </c>
      <c r="BA64" s="50">
        <f t="shared" si="930"/>
        <v>0</v>
      </c>
      <c r="BB64" s="50">
        <f t="shared" si="930"/>
        <v>0</v>
      </c>
      <c r="BC64" s="50">
        <f t="shared" si="930"/>
        <v>0</v>
      </c>
      <c r="BD64" s="50">
        <f t="shared" si="930"/>
        <v>0</v>
      </c>
      <c r="BE64" s="50">
        <f t="shared" si="930"/>
        <v>0</v>
      </c>
      <c r="BF64" s="50">
        <f t="shared" si="930"/>
        <v>0</v>
      </c>
      <c r="BG64" s="50">
        <f t="shared" si="930"/>
        <v>0</v>
      </c>
      <c r="BH64" s="50">
        <f t="shared" si="930"/>
        <v>0</v>
      </c>
      <c r="BI64" s="50">
        <f t="shared" si="930"/>
        <v>0</v>
      </c>
      <c r="BJ64" s="50">
        <f t="shared" si="930"/>
        <v>0</v>
      </c>
      <c r="BK64" s="50">
        <f t="shared" si="930"/>
        <v>0</v>
      </c>
      <c r="BL64" s="50">
        <f t="shared" si="930"/>
        <v>0</v>
      </c>
      <c r="BM64" s="50">
        <f t="shared" si="930"/>
        <v>0</v>
      </c>
      <c r="BN64" s="50">
        <f t="shared" si="930"/>
        <v>0</v>
      </c>
      <c r="BO64" s="50">
        <f t="shared" si="930"/>
        <v>0</v>
      </c>
      <c r="BP64" s="50">
        <f t="shared" si="930"/>
        <v>0</v>
      </c>
      <c r="BQ64" s="50">
        <f t="shared" si="930"/>
        <v>0</v>
      </c>
      <c r="BR64" s="50">
        <f t="shared" si="930"/>
        <v>0</v>
      </c>
      <c r="BS64" s="50">
        <f t="shared" si="930"/>
        <v>0</v>
      </c>
      <c r="BT64" s="50">
        <f t="shared" si="930"/>
        <v>184.99758919961423</v>
      </c>
      <c r="BU64" s="50">
        <f t="shared" si="930"/>
        <v>190.69069431051105</v>
      </c>
      <c r="BV64" s="50">
        <f t="shared" si="930"/>
        <v>197.53375120540014</v>
      </c>
      <c r="BW64" s="50">
        <f t="shared" ref="BW64:BX64" si="931">+BW63-BW68</f>
        <v>233.10270009643196</v>
      </c>
      <c r="BX64" s="50">
        <f t="shared" si="931"/>
        <v>240.73717106927634</v>
      </c>
      <c r="BY64" s="50">
        <f t="shared" ref="BY64" si="932">+BY63-BY68</f>
        <v>248.87390099963869</v>
      </c>
      <c r="BZ64" s="51">
        <f t="shared" si="930"/>
        <v>260.08173854604183</v>
      </c>
      <c r="CA64" s="51">
        <f t="shared" si="930"/>
        <v>272.26560079953498</v>
      </c>
      <c r="CB64" s="51">
        <f t="shared" si="930"/>
        <v>284.43322141795829</v>
      </c>
      <c r="CC64" s="51">
        <f t="shared" si="930"/>
        <v>296.83893515578592</v>
      </c>
      <c r="CD64" s="51">
        <f t="shared" si="930"/>
        <v>309.95429776421872</v>
      </c>
      <c r="CE64" s="51">
        <f t="shared" si="930"/>
        <v>323.46320968159137</v>
      </c>
      <c r="CF64" s="51">
        <f t="shared" si="930"/>
        <v>337.273802144564</v>
      </c>
      <c r="CG64" s="51">
        <f t="shared" si="930"/>
        <v>351.47140988864669</v>
      </c>
      <c r="CH64" s="51">
        <f t="shared" si="930"/>
        <v>366.21112470544045</v>
      </c>
      <c r="CI64" s="51">
        <f t="shared" si="930"/>
        <v>381.43404896511038</v>
      </c>
      <c r="CJ64" s="51">
        <f t="shared" si="930"/>
        <v>397.06123225173224</v>
      </c>
      <c r="CK64" s="51">
        <f t="shared" si="930"/>
        <v>413.11535261093377</v>
      </c>
      <c r="CL64" s="51">
        <f t="shared" si="930"/>
        <v>429.73201240340489</v>
      </c>
      <c r="CM64" s="51">
        <f t="shared" si="930"/>
        <v>446.90617623504477</v>
      </c>
      <c r="CN64" s="51">
        <f t="shared" si="930"/>
        <v>464.54279966111619</v>
      </c>
      <c r="CO64" s="51">
        <f t="shared" si="930"/>
        <v>482.65083546445271</v>
      </c>
      <c r="CT64" s="50">
        <v>248.87390099963869</v>
      </c>
    </row>
    <row r="65" spans="1:98" s="50" customFormat="1" x14ac:dyDescent="0.2">
      <c r="AB65" s="51"/>
      <c r="AC65" s="51"/>
      <c r="AD65" s="51"/>
      <c r="AE65" s="51"/>
      <c r="AG65" s="64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</row>
    <row r="66" spans="1:98" s="50" customFormat="1" x14ac:dyDescent="0.2">
      <c r="A66" s="50" t="s">
        <v>144</v>
      </c>
      <c r="B66" s="50">
        <f>+'Annual Raw'!C150</f>
        <v>0</v>
      </c>
      <c r="C66" s="50">
        <f>+'Annual Raw'!D150</f>
        <v>0</v>
      </c>
      <c r="D66" s="50">
        <f>+'Annual Raw'!E150</f>
        <v>0</v>
      </c>
      <c r="E66" s="50">
        <f>+'Annual Raw'!F150</f>
        <v>0</v>
      </c>
      <c r="F66" s="50">
        <f>+'Annual Raw'!G150</f>
        <v>0</v>
      </c>
      <c r="G66" s="50">
        <f>+'Annual Raw'!H150</f>
        <v>0</v>
      </c>
      <c r="H66" s="50">
        <f>+'Annual Raw'!I150</f>
        <v>0</v>
      </c>
      <c r="I66" s="50">
        <f>+'Annual Raw'!J150</f>
        <v>0</v>
      </c>
      <c r="J66" s="50">
        <f>+'Annual Raw'!K150</f>
        <v>1.4E-2</v>
      </c>
      <c r="K66" s="50">
        <f>+'Annual Raw'!L150</f>
        <v>5.0952999999999999</v>
      </c>
      <c r="L66" s="50">
        <f>+'Annual Raw'!M150</f>
        <v>4.1377740000000003</v>
      </c>
      <c r="M66" s="50">
        <f>+'Annual Raw'!N150</f>
        <v>3.77</v>
      </c>
      <c r="N66" s="50">
        <f>+'Annual Raw'!O150</f>
        <v>35.770000000000003</v>
      </c>
      <c r="O66" s="50">
        <f>+'Annual Raw'!P150</f>
        <v>107.97</v>
      </c>
      <c r="P66" s="50">
        <f>+'Annual Raw'!Q150</f>
        <v>160.04</v>
      </c>
      <c r="Q66" s="50">
        <f>+'Annual Raw'!R150</f>
        <v>299.69</v>
      </c>
      <c r="R66" s="50">
        <f>+'Annual Raw'!S150</f>
        <v>468.72</v>
      </c>
      <c r="S66" s="50">
        <f>+'Annual Raw'!T150</f>
        <v>737.6</v>
      </c>
      <c r="T66" s="50">
        <f>+'Annual Raw'!U150</f>
        <v>1000.39</v>
      </c>
      <c r="U66" s="50">
        <f>+'Annual Raw'!V150</f>
        <v>2259.13</v>
      </c>
      <c r="V66" s="50">
        <f>+'Annual Raw'!W150</f>
        <v>2760.86</v>
      </c>
      <c r="W66" s="50">
        <f>+'Annual Raw'!X150</f>
        <v>3058.76</v>
      </c>
      <c r="X66" s="50">
        <f>+'Annual Raw'!Y150</f>
        <v>1914.85</v>
      </c>
      <c r="Y66" s="50">
        <f>+'Annual Raw'!Z150</f>
        <v>1711.82</v>
      </c>
      <c r="Z66" s="50">
        <f>+'Annual Raw'!AA150</f>
        <v>2413.71</v>
      </c>
      <c r="AA66" s="50">
        <f>+'Annual Raw'!AB150</f>
        <v>2895.52</v>
      </c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T66" s="50">
        <v>2895.52</v>
      </c>
    </row>
    <row r="67" spans="1:98" s="50" customFormat="1" x14ac:dyDescent="0.2">
      <c r="A67" s="50" t="s">
        <v>145</v>
      </c>
      <c r="B67" s="50">
        <f>+'Annual Raw'!C151</f>
        <v>0</v>
      </c>
      <c r="C67" s="50">
        <f>+'Annual Raw'!D151</f>
        <v>0</v>
      </c>
      <c r="D67" s="50">
        <f>+'Annual Raw'!E151</f>
        <v>0</v>
      </c>
      <c r="E67" s="50">
        <f>+'Annual Raw'!F151</f>
        <v>0</v>
      </c>
      <c r="F67" s="50">
        <f>+'Annual Raw'!G151</f>
        <v>0</v>
      </c>
      <c r="G67" s="50">
        <f>+'Annual Raw'!H151</f>
        <v>0</v>
      </c>
      <c r="H67" s="50">
        <f>+'Annual Raw'!I151</f>
        <v>0</v>
      </c>
      <c r="I67" s="50">
        <f>+'Annual Raw'!J151</f>
        <v>0</v>
      </c>
      <c r="J67" s="50">
        <f>+'Annual Raw'!K151</f>
        <v>7.0000000000000001E-3</v>
      </c>
      <c r="K67" s="50">
        <f>+'Annual Raw'!L151</f>
        <v>2.5476000000000001</v>
      </c>
      <c r="L67" s="50">
        <f>+'Annual Raw'!M151</f>
        <v>2.2108148000000001</v>
      </c>
      <c r="M67" s="50">
        <f>+'Annual Raw'!N151</f>
        <v>1.87</v>
      </c>
      <c r="N67" s="50">
        <f>+'Annual Raw'!O151</f>
        <v>20.07</v>
      </c>
      <c r="O67" s="50">
        <f>+'Annual Raw'!P151</f>
        <v>56.36</v>
      </c>
      <c r="P67" s="50">
        <f>+'Annual Raw'!Q151</f>
        <v>90.21</v>
      </c>
      <c r="Q67" s="50">
        <f>+'Annual Raw'!R151</f>
        <v>176.55</v>
      </c>
      <c r="R67" s="50">
        <f>+'Annual Raw'!S151</f>
        <v>269.86</v>
      </c>
      <c r="S67" s="50">
        <f>+'Annual Raw'!T151</f>
        <v>493.72</v>
      </c>
      <c r="T67" s="50">
        <f>+'Annual Raw'!U151</f>
        <v>678.7</v>
      </c>
      <c r="U67" s="50">
        <f>+'Annual Raw'!V151</f>
        <v>1820.53</v>
      </c>
      <c r="V67" s="50">
        <f>+'Annual Raw'!W151</f>
        <v>1886.12</v>
      </c>
      <c r="W67" s="50">
        <f>+'Annual Raw'!X151</f>
        <v>1402.95</v>
      </c>
      <c r="X67" s="50">
        <f>+'Annual Raw'!Y151</f>
        <v>668.25</v>
      </c>
      <c r="Y67" s="50">
        <f>+'Annual Raw'!Z151</f>
        <v>567.99</v>
      </c>
      <c r="Z67" s="50">
        <f>+'Annual Raw'!AA151</f>
        <v>1063.1300000000001</v>
      </c>
      <c r="AA67" s="50">
        <f>+'Annual Raw'!AB151</f>
        <v>1287.53</v>
      </c>
      <c r="AB67" s="51"/>
      <c r="AC67" s="51"/>
      <c r="AD67" s="51"/>
      <c r="AE67" s="51"/>
      <c r="AG67" s="64"/>
      <c r="BZ67" s="140">
        <f t="shared" ref="BZ67:CO67" si="933">+BZ71*BZ114</f>
        <v>0</v>
      </c>
      <c r="CA67" s="140">
        <f t="shared" si="933"/>
        <v>0</v>
      </c>
      <c r="CB67" s="140">
        <f t="shared" si="933"/>
        <v>0</v>
      </c>
      <c r="CC67" s="140">
        <f t="shared" si="933"/>
        <v>0</v>
      </c>
      <c r="CD67" s="140">
        <f t="shared" si="933"/>
        <v>0</v>
      </c>
      <c r="CE67" s="140">
        <f t="shared" si="933"/>
        <v>0</v>
      </c>
      <c r="CF67" s="140">
        <f t="shared" si="933"/>
        <v>0</v>
      </c>
      <c r="CG67" s="140">
        <f t="shared" si="933"/>
        <v>0</v>
      </c>
      <c r="CH67" s="140">
        <f t="shared" si="933"/>
        <v>0</v>
      </c>
      <c r="CI67" s="140">
        <f t="shared" si="933"/>
        <v>0</v>
      </c>
      <c r="CJ67" s="140">
        <f t="shared" si="933"/>
        <v>0</v>
      </c>
      <c r="CK67" s="140">
        <f t="shared" si="933"/>
        <v>0</v>
      </c>
      <c r="CL67" s="140">
        <f t="shared" si="933"/>
        <v>0</v>
      </c>
      <c r="CM67" s="140">
        <f t="shared" si="933"/>
        <v>0</v>
      </c>
      <c r="CN67" s="140">
        <f t="shared" si="933"/>
        <v>0</v>
      </c>
      <c r="CO67" s="140">
        <f t="shared" si="933"/>
        <v>0</v>
      </c>
      <c r="CT67" s="50">
        <v>1287.53</v>
      </c>
    </row>
    <row r="68" spans="1:98" s="50" customFormat="1" x14ac:dyDescent="0.2">
      <c r="A68" s="50" t="s">
        <v>163</v>
      </c>
      <c r="C68" s="50">
        <f t="shared" ref="C68:Z68" si="934">+C67/C58</f>
        <v>0</v>
      </c>
      <c r="D68" s="50">
        <f t="shared" si="934"/>
        <v>0</v>
      </c>
      <c r="E68" s="50">
        <f t="shared" si="934"/>
        <v>0</v>
      </c>
      <c r="F68" s="50">
        <f t="shared" si="934"/>
        <v>0</v>
      </c>
      <c r="G68" s="50">
        <f t="shared" si="934"/>
        <v>0</v>
      </c>
      <c r="H68" s="50">
        <f t="shared" si="934"/>
        <v>0</v>
      </c>
      <c r="I68" s="50">
        <f t="shared" si="934"/>
        <v>0</v>
      </c>
      <c r="J68" s="50">
        <f t="shared" si="934"/>
        <v>8.4306877032397934E-5</v>
      </c>
      <c r="K68" s="50">
        <f t="shared" si="934"/>
        <v>3.0682885703962423E-2</v>
      </c>
      <c r="L68" s="50">
        <f t="shared" si="934"/>
        <v>2.6626698783572204E-2</v>
      </c>
      <c r="M68" s="50">
        <f t="shared" si="934"/>
        <v>2.2521980007226303E-2</v>
      </c>
      <c r="N68" s="50">
        <f t="shared" si="934"/>
        <v>0.24171986029146092</v>
      </c>
      <c r="O68" s="50">
        <f t="shared" si="934"/>
        <v>0.67879079850656387</v>
      </c>
      <c r="P68" s="50">
        <f t="shared" si="934"/>
        <v>1.086474768156088</v>
      </c>
      <c r="Q68" s="50">
        <f t="shared" si="934"/>
        <v>2.1263398771528363</v>
      </c>
      <c r="R68" s="50">
        <f t="shared" si="934"/>
        <v>3.2501505479947008</v>
      </c>
      <c r="S68" s="50">
        <f t="shared" si="934"/>
        <v>5.9462844754907866</v>
      </c>
      <c r="T68" s="50">
        <f t="shared" si="934"/>
        <v>8.1741539202697826</v>
      </c>
      <c r="U68" s="50">
        <f t="shared" si="934"/>
        <v>21.926171263398771</v>
      </c>
      <c r="V68" s="50">
        <f t="shared" si="934"/>
        <v>22.716126701192337</v>
      </c>
      <c r="W68" s="50">
        <f t="shared" si="934"/>
        <v>16.896904733228954</v>
      </c>
      <c r="X68" s="50">
        <f t="shared" si="934"/>
        <v>8.0482957966999873</v>
      </c>
      <c r="Y68" s="50">
        <f t="shared" si="934"/>
        <v>6.8407804408045285</v>
      </c>
      <c r="Z68" s="50">
        <f t="shared" si="934"/>
        <v>12.804167168493317</v>
      </c>
      <c r="AA68" s="50">
        <f t="shared" ref="AA68" si="935">+AA67/AA58</f>
        <v>15.506804769360471</v>
      </c>
      <c r="AB68" s="51"/>
      <c r="AC68" s="51"/>
      <c r="AD68" s="51"/>
      <c r="AE68" s="51"/>
      <c r="AG68" s="64"/>
      <c r="BZ68" s="51">
        <f t="shared" ref="BZ68:CO68" si="936">+BZ67/BZ58</f>
        <v>0</v>
      </c>
      <c r="CA68" s="51">
        <f t="shared" si="936"/>
        <v>0</v>
      </c>
      <c r="CB68" s="51">
        <f t="shared" si="936"/>
        <v>0</v>
      </c>
      <c r="CC68" s="51">
        <f t="shared" si="936"/>
        <v>0</v>
      </c>
      <c r="CD68" s="51">
        <f t="shared" si="936"/>
        <v>0</v>
      </c>
      <c r="CE68" s="51">
        <f t="shared" si="936"/>
        <v>0</v>
      </c>
      <c r="CF68" s="51">
        <f t="shared" si="936"/>
        <v>0</v>
      </c>
      <c r="CG68" s="51">
        <f t="shared" si="936"/>
        <v>0</v>
      </c>
      <c r="CH68" s="51">
        <f t="shared" si="936"/>
        <v>0</v>
      </c>
      <c r="CI68" s="51">
        <f t="shared" si="936"/>
        <v>0</v>
      </c>
      <c r="CJ68" s="51">
        <f t="shared" si="936"/>
        <v>0</v>
      </c>
      <c r="CK68" s="51">
        <f t="shared" si="936"/>
        <v>0</v>
      </c>
      <c r="CL68" s="51">
        <f t="shared" si="936"/>
        <v>0</v>
      </c>
      <c r="CM68" s="51">
        <f t="shared" si="936"/>
        <v>0</v>
      </c>
      <c r="CN68" s="51">
        <f t="shared" si="936"/>
        <v>0</v>
      </c>
      <c r="CO68" s="51">
        <f t="shared" si="936"/>
        <v>0</v>
      </c>
    </row>
    <row r="69" spans="1:98" s="50" customFormat="1" x14ac:dyDescent="0.2">
      <c r="AB69" s="51"/>
      <c r="AC69" s="51"/>
      <c r="AD69" s="51"/>
      <c r="AE69" s="51"/>
      <c r="AG69" s="64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</row>
    <row r="70" spans="1:98" s="142" customFormat="1" x14ac:dyDescent="0.2">
      <c r="A70" s="142" t="s">
        <v>158</v>
      </c>
      <c r="B70" s="142" t="e">
        <f t="shared" ref="B70:Z70" si="937">+B66/B114</f>
        <v>#DIV/0!</v>
      </c>
      <c r="C70" s="142" t="e">
        <f t="shared" si="937"/>
        <v>#DIV/0!</v>
      </c>
      <c r="D70" s="142" t="e">
        <f t="shared" si="937"/>
        <v>#DIV/0!</v>
      </c>
      <c r="E70" s="142" t="e">
        <f t="shared" si="937"/>
        <v>#DIV/0!</v>
      </c>
      <c r="F70" s="142" t="e">
        <f t="shared" si="937"/>
        <v>#DIV/0!</v>
      </c>
      <c r="G70" s="142" t="e">
        <f t="shared" si="937"/>
        <v>#DIV/0!</v>
      </c>
      <c r="H70" s="142" t="e">
        <f t="shared" si="937"/>
        <v>#DIV/0!</v>
      </c>
      <c r="I70" s="142">
        <f t="shared" si="937"/>
        <v>0</v>
      </c>
      <c r="J70" s="142">
        <f t="shared" si="937"/>
        <v>9.4899303691000787E-5</v>
      </c>
      <c r="K70" s="142">
        <f t="shared" si="937"/>
        <v>9.3352263224644322E-3</v>
      </c>
      <c r="L70" s="142">
        <f t="shared" si="937"/>
        <v>3.2430114052328677E-3</v>
      </c>
      <c r="M70" s="142">
        <f t="shared" si="937"/>
        <v>9.389250428991614E-4</v>
      </c>
      <c r="N70" s="142">
        <f t="shared" si="937"/>
        <v>4.2967844388413943E-3</v>
      </c>
      <c r="O70" s="142">
        <f t="shared" si="937"/>
        <v>7.9138557343020246E-3</v>
      </c>
      <c r="P70" s="142">
        <f t="shared" si="937"/>
        <v>8.2353274139559066E-3</v>
      </c>
      <c r="Q70" s="142">
        <f t="shared" si="937"/>
        <v>1.1965865202446276E-2</v>
      </c>
      <c r="R70" s="142">
        <f t="shared" si="937"/>
        <v>1.4190520882214924E-2</v>
      </c>
      <c r="S70" s="142">
        <f t="shared" si="937"/>
        <v>1.6631945376145561E-2</v>
      </c>
      <c r="T70" s="142">
        <f t="shared" si="937"/>
        <v>1.8160380783641697E-2</v>
      </c>
      <c r="U70" s="142">
        <f t="shared" si="937"/>
        <v>3.8931346909177142E-2</v>
      </c>
      <c r="V70" s="142">
        <f t="shared" si="937"/>
        <v>4.6404369795526368E-2</v>
      </c>
      <c r="W70" s="142">
        <f t="shared" si="937"/>
        <v>5.2206436932355528E-2</v>
      </c>
      <c r="X70" s="142">
        <f t="shared" si="937"/>
        <v>2.8344041016374069E-2</v>
      </c>
      <c r="Y70" s="142">
        <f t="shared" si="937"/>
        <v>1.9403902045331919E-2</v>
      </c>
      <c r="Z70" s="142">
        <f t="shared" si="937"/>
        <v>2.2999680691010951E-2</v>
      </c>
      <c r="AA70" s="142">
        <f t="shared" ref="AA70" si="938">+AA66/AA114</f>
        <v>2.484931532477715E-2</v>
      </c>
      <c r="AB70" s="113"/>
      <c r="AC70" s="113"/>
      <c r="AD70" s="113"/>
      <c r="AE70" s="113"/>
      <c r="AG70" s="143"/>
      <c r="AI70" s="142" t="e">
        <f t="shared" ref="AI70:BW70" si="939">+AI66/AI114</f>
        <v>#DIV/0!</v>
      </c>
      <c r="AJ70" s="142" t="e">
        <f t="shared" si="939"/>
        <v>#DIV/0!</v>
      </c>
      <c r="AK70" s="142" t="e">
        <f t="shared" si="939"/>
        <v>#DIV/0!</v>
      </c>
      <c r="AL70" s="142" t="e">
        <f t="shared" si="939"/>
        <v>#DIV/0!</v>
      </c>
      <c r="AM70" s="142" t="e">
        <f t="shared" si="939"/>
        <v>#DIV/0!</v>
      </c>
      <c r="AN70" s="142" t="e">
        <f t="shared" si="939"/>
        <v>#DIV/0!</v>
      </c>
      <c r="AO70" s="142" t="e">
        <f t="shared" si="939"/>
        <v>#DIV/0!</v>
      </c>
      <c r="AP70" s="142" t="e">
        <f t="shared" si="939"/>
        <v>#DIV/0!</v>
      </c>
      <c r="AQ70" s="142" t="e">
        <f t="shared" si="939"/>
        <v>#DIV/0!</v>
      </c>
      <c r="AR70" s="142" t="e">
        <f t="shared" si="939"/>
        <v>#DIV/0!</v>
      </c>
      <c r="AS70" s="142" t="e">
        <f t="shared" si="939"/>
        <v>#DIV/0!</v>
      </c>
      <c r="AT70" s="142" t="e">
        <f t="shared" si="939"/>
        <v>#DIV/0!</v>
      </c>
      <c r="AU70" s="142" t="e">
        <f t="shared" si="939"/>
        <v>#DIV/0!</v>
      </c>
      <c r="AV70" s="142" t="e">
        <f t="shared" si="939"/>
        <v>#DIV/0!</v>
      </c>
      <c r="AW70" s="142" t="e">
        <f t="shared" si="939"/>
        <v>#DIV/0!</v>
      </c>
      <c r="AX70" s="142" t="e">
        <f t="shared" si="939"/>
        <v>#DIV/0!</v>
      </c>
      <c r="AY70" s="142" t="e">
        <f t="shared" si="939"/>
        <v>#DIV/0!</v>
      </c>
      <c r="AZ70" s="142" t="e">
        <f t="shared" si="939"/>
        <v>#DIV/0!</v>
      </c>
      <c r="BA70" s="142" t="e">
        <f t="shared" si="939"/>
        <v>#DIV/0!</v>
      </c>
      <c r="BB70" s="142" t="e">
        <f t="shared" si="939"/>
        <v>#DIV/0!</v>
      </c>
      <c r="BC70" s="142" t="e">
        <f t="shared" si="939"/>
        <v>#DIV/0!</v>
      </c>
      <c r="BD70" s="142" t="e">
        <f t="shared" si="939"/>
        <v>#DIV/0!</v>
      </c>
      <c r="BE70" s="142" t="e">
        <f t="shared" si="939"/>
        <v>#DIV/0!</v>
      </c>
      <c r="BF70" s="142" t="e">
        <f t="shared" si="939"/>
        <v>#DIV/0!</v>
      </c>
      <c r="BG70" s="142" t="e">
        <f t="shared" si="939"/>
        <v>#DIV/0!</v>
      </c>
      <c r="BH70" s="142" t="e">
        <f t="shared" si="939"/>
        <v>#DIV/0!</v>
      </c>
      <c r="BI70" s="142" t="e">
        <f t="shared" si="939"/>
        <v>#DIV/0!</v>
      </c>
      <c r="BJ70" s="142" t="e">
        <f t="shared" si="939"/>
        <v>#DIV/0!</v>
      </c>
      <c r="BK70" s="142" t="e">
        <f t="shared" si="939"/>
        <v>#DIV/0!</v>
      </c>
      <c r="BL70" s="142" t="e">
        <f t="shared" si="939"/>
        <v>#DIV/0!</v>
      </c>
      <c r="BM70" s="142" t="e">
        <f t="shared" si="939"/>
        <v>#DIV/0!</v>
      </c>
      <c r="BN70" s="142" t="e">
        <f t="shared" si="939"/>
        <v>#DIV/0!</v>
      </c>
      <c r="BO70" s="142" t="e">
        <f t="shared" si="939"/>
        <v>#DIV/0!</v>
      </c>
      <c r="BP70" s="142" t="e">
        <f t="shared" si="939"/>
        <v>#DIV/0!</v>
      </c>
      <c r="BQ70" s="142" t="e">
        <f t="shared" si="939"/>
        <v>#DIV/0!</v>
      </c>
      <c r="BR70" s="142" t="e">
        <f t="shared" si="939"/>
        <v>#DIV/0!</v>
      </c>
      <c r="BS70" s="142" t="e">
        <f t="shared" si="939"/>
        <v>#DIV/0!</v>
      </c>
      <c r="BT70" s="142">
        <f t="shared" si="939"/>
        <v>0</v>
      </c>
      <c r="BU70" s="142">
        <f t="shared" si="939"/>
        <v>0</v>
      </c>
      <c r="BV70" s="142">
        <f t="shared" si="939"/>
        <v>0</v>
      </c>
      <c r="BW70" s="142">
        <f t="shared" si="939"/>
        <v>0</v>
      </c>
      <c r="BX70" s="142">
        <f t="shared" ref="BX70:BY70" si="940">+BX66/BX114</f>
        <v>0</v>
      </c>
      <c r="BY70" s="142">
        <f t="shared" si="940"/>
        <v>0</v>
      </c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T70" s="142">
        <v>2.484931532477715E-2</v>
      </c>
    </row>
    <row r="71" spans="1:98" s="142" customFormat="1" x14ac:dyDescent="0.2">
      <c r="A71" s="142" t="s">
        <v>159</v>
      </c>
      <c r="B71" s="142" t="e">
        <f t="shared" ref="B71:Z71" si="941">+B67/B114</f>
        <v>#DIV/0!</v>
      </c>
      <c r="C71" s="142" t="e">
        <f t="shared" si="941"/>
        <v>#DIV/0!</v>
      </c>
      <c r="D71" s="142" t="e">
        <f t="shared" si="941"/>
        <v>#DIV/0!</v>
      </c>
      <c r="E71" s="142" t="e">
        <f t="shared" si="941"/>
        <v>#DIV/0!</v>
      </c>
      <c r="F71" s="142" t="e">
        <f t="shared" si="941"/>
        <v>#DIV/0!</v>
      </c>
      <c r="G71" s="142" t="e">
        <f t="shared" si="941"/>
        <v>#DIV/0!</v>
      </c>
      <c r="H71" s="142" t="e">
        <f t="shared" si="941"/>
        <v>#DIV/0!</v>
      </c>
      <c r="I71" s="142">
        <f t="shared" si="941"/>
        <v>0</v>
      </c>
      <c r="J71" s="142">
        <f t="shared" si="941"/>
        <v>4.7449651845500394E-5</v>
      </c>
      <c r="K71" s="142">
        <f t="shared" si="941"/>
        <v>4.6675215549840813E-3</v>
      </c>
      <c r="L71" s="142">
        <f t="shared" si="941"/>
        <v>1.7327426803053095E-3</v>
      </c>
      <c r="M71" s="142">
        <f t="shared" si="941"/>
        <v>4.6572674541682545E-4</v>
      </c>
      <c r="N71" s="142">
        <f t="shared" si="941"/>
        <v>2.4108600415864347E-3</v>
      </c>
      <c r="O71" s="142">
        <f t="shared" si="941"/>
        <v>4.1310077723929056E-3</v>
      </c>
      <c r="P71" s="142">
        <f t="shared" si="941"/>
        <v>4.6420200325728708E-3</v>
      </c>
      <c r="Q71" s="142">
        <f t="shared" si="941"/>
        <v>7.0491958406749987E-3</v>
      </c>
      <c r="R71" s="142">
        <f t="shared" si="941"/>
        <v>8.1700246741647879E-3</v>
      </c>
      <c r="S71" s="142">
        <f t="shared" si="941"/>
        <v>1.1132760400095698E-2</v>
      </c>
      <c r="T71" s="142">
        <f t="shared" si="941"/>
        <v>1.2320645386157019E-2</v>
      </c>
      <c r="U71" s="142">
        <f t="shared" si="941"/>
        <v>3.1372999778040332E-2</v>
      </c>
      <c r="V71" s="142">
        <f t="shared" si="941"/>
        <v>3.1701792180240281E-2</v>
      </c>
      <c r="W71" s="142">
        <f t="shared" si="941"/>
        <v>2.39453310146099E-2</v>
      </c>
      <c r="X71" s="142">
        <f t="shared" si="941"/>
        <v>9.8915870220601994E-3</v>
      </c>
      <c r="Y71" s="142">
        <f t="shared" si="941"/>
        <v>6.4383067861855086E-3</v>
      </c>
      <c r="Z71" s="142">
        <f t="shared" si="941"/>
        <v>1.0130318278929315E-2</v>
      </c>
      <c r="AA71" s="142">
        <f t="shared" ref="AA71" si="942">+AA67/AA114</f>
        <v>1.1049565867308918E-2</v>
      </c>
      <c r="AB71" s="113"/>
      <c r="AC71" s="113"/>
      <c r="AD71" s="113"/>
      <c r="AE71" s="113"/>
      <c r="AG71" s="143"/>
      <c r="AI71" s="142" t="e">
        <f t="shared" ref="AI71:BW71" si="943">+AI67/AI114</f>
        <v>#DIV/0!</v>
      </c>
      <c r="AJ71" s="142" t="e">
        <f t="shared" si="943"/>
        <v>#DIV/0!</v>
      </c>
      <c r="AK71" s="142" t="e">
        <f t="shared" si="943"/>
        <v>#DIV/0!</v>
      </c>
      <c r="AL71" s="142" t="e">
        <f t="shared" si="943"/>
        <v>#DIV/0!</v>
      </c>
      <c r="AM71" s="142" t="e">
        <f t="shared" si="943"/>
        <v>#DIV/0!</v>
      </c>
      <c r="AN71" s="142" t="e">
        <f t="shared" si="943"/>
        <v>#DIV/0!</v>
      </c>
      <c r="AO71" s="142" t="e">
        <f t="shared" si="943"/>
        <v>#DIV/0!</v>
      </c>
      <c r="AP71" s="142" t="e">
        <f t="shared" si="943"/>
        <v>#DIV/0!</v>
      </c>
      <c r="AQ71" s="142" t="e">
        <f t="shared" si="943"/>
        <v>#DIV/0!</v>
      </c>
      <c r="AR71" s="142" t="e">
        <f t="shared" si="943"/>
        <v>#DIV/0!</v>
      </c>
      <c r="AS71" s="142" t="e">
        <f t="shared" si="943"/>
        <v>#DIV/0!</v>
      </c>
      <c r="AT71" s="142" t="e">
        <f t="shared" si="943"/>
        <v>#DIV/0!</v>
      </c>
      <c r="AU71" s="142" t="e">
        <f t="shared" si="943"/>
        <v>#DIV/0!</v>
      </c>
      <c r="AV71" s="142" t="e">
        <f t="shared" si="943"/>
        <v>#DIV/0!</v>
      </c>
      <c r="AW71" s="142" t="e">
        <f t="shared" si="943"/>
        <v>#DIV/0!</v>
      </c>
      <c r="AX71" s="142" t="e">
        <f t="shared" si="943"/>
        <v>#DIV/0!</v>
      </c>
      <c r="AY71" s="142" t="e">
        <f t="shared" si="943"/>
        <v>#DIV/0!</v>
      </c>
      <c r="AZ71" s="142" t="e">
        <f t="shared" si="943"/>
        <v>#DIV/0!</v>
      </c>
      <c r="BA71" s="142" t="e">
        <f t="shared" si="943"/>
        <v>#DIV/0!</v>
      </c>
      <c r="BB71" s="142" t="e">
        <f t="shared" si="943"/>
        <v>#DIV/0!</v>
      </c>
      <c r="BC71" s="142" t="e">
        <f t="shared" si="943"/>
        <v>#DIV/0!</v>
      </c>
      <c r="BD71" s="142" t="e">
        <f t="shared" si="943"/>
        <v>#DIV/0!</v>
      </c>
      <c r="BE71" s="142" t="e">
        <f t="shared" si="943"/>
        <v>#DIV/0!</v>
      </c>
      <c r="BF71" s="142" t="e">
        <f t="shared" si="943"/>
        <v>#DIV/0!</v>
      </c>
      <c r="BG71" s="142" t="e">
        <f t="shared" si="943"/>
        <v>#DIV/0!</v>
      </c>
      <c r="BH71" s="142" t="e">
        <f t="shared" si="943"/>
        <v>#DIV/0!</v>
      </c>
      <c r="BI71" s="142" t="e">
        <f t="shared" si="943"/>
        <v>#DIV/0!</v>
      </c>
      <c r="BJ71" s="142" t="e">
        <f t="shared" si="943"/>
        <v>#DIV/0!</v>
      </c>
      <c r="BK71" s="142" t="e">
        <f t="shared" si="943"/>
        <v>#DIV/0!</v>
      </c>
      <c r="BL71" s="142" t="e">
        <f t="shared" si="943"/>
        <v>#DIV/0!</v>
      </c>
      <c r="BM71" s="142" t="e">
        <f t="shared" si="943"/>
        <v>#DIV/0!</v>
      </c>
      <c r="BN71" s="142" t="e">
        <f t="shared" si="943"/>
        <v>#DIV/0!</v>
      </c>
      <c r="BO71" s="142" t="e">
        <f t="shared" si="943"/>
        <v>#DIV/0!</v>
      </c>
      <c r="BP71" s="142" t="e">
        <f t="shared" si="943"/>
        <v>#DIV/0!</v>
      </c>
      <c r="BQ71" s="142" t="e">
        <f t="shared" si="943"/>
        <v>#DIV/0!</v>
      </c>
      <c r="BR71" s="142" t="e">
        <f t="shared" si="943"/>
        <v>#DIV/0!</v>
      </c>
      <c r="BS71" s="142" t="e">
        <f t="shared" si="943"/>
        <v>#DIV/0!</v>
      </c>
      <c r="BT71" s="142">
        <f t="shared" si="943"/>
        <v>0</v>
      </c>
      <c r="BU71" s="142">
        <f t="shared" si="943"/>
        <v>0</v>
      </c>
      <c r="BV71" s="142">
        <f t="shared" si="943"/>
        <v>0</v>
      </c>
      <c r="BW71" s="142">
        <f t="shared" si="943"/>
        <v>0</v>
      </c>
      <c r="BX71" s="142">
        <f t="shared" ref="BX71:BY71" si="944">+BX67/BX114</f>
        <v>0</v>
      </c>
      <c r="BY71" s="142">
        <f t="shared" si="944"/>
        <v>0</v>
      </c>
      <c r="BZ71" s="113">
        <f t="shared" ref="BZ71:CO71" si="945">+BY71</f>
        <v>0</v>
      </c>
      <c r="CA71" s="113">
        <f t="shared" si="945"/>
        <v>0</v>
      </c>
      <c r="CB71" s="113">
        <f t="shared" si="945"/>
        <v>0</v>
      </c>
      <c r="CC71" s="113">
        <f t="shared" si="945"/>
        <v>0</v>
      </c>
      <c r="CD71" s="113">
        <f t="shared" si="945"/>
        <v>0</v>
      </c>
      <c r="CE71" s="113">
        <f t="shared" si="945"/>
        <v>0</v>
      </c>
      <c r="CF71" s="113">
        <f t="shared" si="945"/>
        <v>0</v>
      </c>
      <c r="CG71" s="113">
        <f t="shared" si="945"/>
        <v>0</v>
      </c>
      <c r="CH71" s="113">
        <f t="shared" si="945"/>
        <v>0</v>
      </c>
      <c r="CI71" s="113">
        <f t="shared" si="945"/>
        <v>0</v>
      </c>
      <c r="CJ71" s="113">
        <f t="shared" si="945"/>
        <v>0</v>
      </c>
      <c r="CK71" s="113">
        <f t="shared" si="945"/>
        <v>0</v>
      </c>
      <c r="CL71" s="113">
        <f t="shared" si="945"/>
        <v>0</v>
      </c>
      <c r="CM71" s="113">
        <f t="shared" si="945"/>
        <v>0</v>
      </c>
      <c r="CN71" s="113">
        <f t="shared" si="945"/>
        <v>0</v>
      </c>
      <c r="CO71" s="113">
        <f t="shared" si="945"/>
        <v>0</v>
      </c>
      <c r="CT71" s="142">
        <v>1.1049565867308918E-2</v>
      </c>
    </row>
    <row r="72" spans="1:98" s="50" customFormat="1" x14ac:dyDescent="0.2"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8" s="50" customFormat="1" x14ac:dyDescent="0.2">
      <c r="AB73" s="51"/>
      <c r="AC73" s="51"/>
      <c r="AD73" s="51"/>
      <c r="AE73" s="51"/>
      <c r="AF73" s="145"/>
      <c r="AG73" s="64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</row>
    <row r="74" spans="1:98" s="38" customFormat="1" x14ac:dyDescent="0.2">
      <c r="A74" s="38" t="s">
        <v>287</v>
      </c>
      <c r="D74" s="110" t="e">
        <f t="shared" ref="D74:Z74" si="946">+D31/D76</f>
        <v>#DIV/0!</v>
      </c>
      <c r="E74" s="110" t="e">
        <f t="shared" si="946"/>
        <v>#DIV/0!</v>
      </c>
      <c r="F74" s="110" t="e">
        <f t="shared" si="946"/>
        <v>#DIV/0!</v>
      </c>
      <c r="G74" s="110" t="e">
        <f t="shared" si="946"/>
        <v>#DIV/0!</v>
      </c>
      <c r="H74" s="110" t="e">
        <f t="shared" si="946"/>
        <v>#DIV/0!</v>
      </c>
      <c r="I74" s="110">
        <f t="shared" si="946"/>
        <v>0.35494224579618933</v>
      </c>
      <c r="J74" s="110">
        <f t="shared" si="946"/>
        <v>0.29046954282845933</v>
      </c>
      <c r="K74" s="110">
        <f t="shared" si="946"/>
        <v>0.21373606468278933</v>
      </c>
      <c r="L74" s="110">
        <f t="shared" si="946"/>
        <v>0.14154977720832684</v>
      </c>
      <c r="M74" s="110">
        <f t="shared" si="946"/>
        <v>9.8135654252527071E-2</v>
      </c>
      <c r="N74" s="110">
        <f t="shared" si="946"/>
        <v>7.295409407975946E-2</v>
      </c>
      <c r="O74" s="110">
        <f t="shared" si="946"/>
        <v>7.2441995568175155E-2</v>
      </c>
      <c r="P74" s="110">
        <f t="shared" si="946"/>
        <v>7.0084756990571831E-2</v>
      </c>
      <c r="Q74" s="110">
        <f t="shared" si="946"/>
        <v>7.6278329471709025E-2</v>
      </c>
      <c r="R74" s="110">
        <f t="shared" si="946"/>
        <v>0.124347283147556</v>
      </c>
      <c r="S74" s="110">
        <f t="shared" si="946"/>
        <v>0.11701766684196971</v>
      </c>
      <c r="T74" s="110">
        <f t="shared" si="946"/>
        <v>0.10739502602718101</v>
      </c>
      <c r="U74" s="110">
        <f t="shared" si="946"/>
        <v>0.11565629735591759</v>
      </c>
      <c r="V74" s="110">
        <f t="shared" si="946"/>
        <v>0.11643572043731201</v>
      </c>
      <c r="W74" s="110">
        <f t="shared" si="946"/>
        <v>0.1306044098598815</v>
      </c>
      <c r="X74" s="110">
        <f t="shared" si="946"/>
        <v>0.13685333288897075</v>
      </c>
      <c r="Y74" s="110">
        <f t="shared" si="946"/>
        <v>0.11553939775708925</v>
      </c>
      <c r="Z74" s="110">
        <f t="shared" si="946"/>
        <v>9.9361636339403883E-2</v>
      </c>
      <c r="AA74" s="110">
        <f t="shared" ref="AA74" si="947">+AA31/AA76</f>
        <v>0.10184361949942072</v>
      </c>
      <c r="AB74" s="39"/>
      <c r="AC74" s="39"/>
      <c r="AD74" s="39"/>
      <c r="AE74" s="39"/>
      <c r="AG74" s="60"/>
      <c r="AI74" s="110" t="e">
        <f t="shared" ref="AI74:AT74" si="948">+AI31/AI76*4</f>
        <v>#DIV/0!</v>
      </c>
      <c r="AJ74" s="110" t="e">
        <f t="shared" si="948"/>
        <v>#DIV/0!</v>
      </c>
      <c r="AK74" s="110" t="e">
        <f t="shared" si="948"/>
        <v>#DIV/0!</v>
      </c>
      <c r="AL74" s="110" t="e">
        <f t="shared" si="948"/>
        <v>#DIV/0!</v>
      </c>
      <c r="AM74" s="110" t="e">
        <f t="shared" si="948"/>
        <v>#DIV/0!</v>
      </c>
      <c r="AN74" s="110" t="e">
        <f t="shared" si="948"/>
        <v>#DIV/0!</v>
      </c>
      <c r="AO74" s="110" t="e">
        <f t="shared" si="948"/>
        <v>#DIV/0!</v>
      </c>
      <c r="AP74" s="110" t="e">
        <f t="shared" si="948"/>
        <v>#DIV/0!</v>
      </c>
      <c r="AQ74" s="110" t="e">
        <f t="shared" si="948"/>
        <v>#DIV/0!</v>
      </c>
      <c r="AR74" s="110" t="e">
        <f t="shared" si="948"/>
        <v>#DIV/0!</v>
      </c>
      <c r="AS74" s="110" t="e">
        <f t="shared" si="948"/>
        <v>#DIV/0!</v>
      </c>
      <c r="AT74" s="110" t="e">
        <f t="shared" si="948"/>
        <v>#DIV/0!</v>
      </c>
      <c r="AU74" s="110" t="e">
        <f t="shared" ref="AU74:CO74" si="949">+AU31/AU76*4</f>
        <v>#DIV/0!</v>
      </c>
      <c r="AV74" s="110" t="e">
        <f t="shared" si="949"/>
        <v>#DIV/0!</v>
      </c>
      <c r="AW74" s="110" t="e">
        <f t="shared" si="949"/>
        <v>#DIV/0!</v>
      </c>
      <c r="AX74" s="110" t="e">
        <f t="shared" si="949"/>
        <v>#DIV/0!</v>
      </c>
      <c r="AY74" s="110" t="e">
        <f t="shared" si="949"/>
        <v>#DIV/0!</v>
      </c>
      <c r="AZ74" s="110" t="e">
        <f t="shared" si="949"/>
        <v>#DIV/0!</v>
      </c>
      <c r="BA74" s="110" t="e">
        <f t="shared" si="949"/>
        <v>#DIV/0!</v>
      </c>
      <c r="BB74" s="110" t="e">
        <f t="shared" si="949"/>
        <v>#DIV/0!</v>
      </c>
      <c r="BC74" s="110" t="e">
        <f t="shared" si="949"/>
        <v>#DIV/0!</v>
      </c>
      <c r="BD74" s="110" t="e">
        <f t="shared" si="949"/>
        <v>#DIV/0!</v>
      </c>
      <c r="BE74" s="110" t="e">
        <f t="shared" si="949"/>
        <v>#DIV/0!</v>
      </c>
      <c r="BF74" s="110" t="e">
        <f t="shared" si="949"/>
        <v>#DIV/0!</v>
      </c>
      <c r="BG74" s="110" t="e">
        <f t="shared" si="949"/>
        <v>#DIV/0!</v>
      </c>
      <c r="BH74" s="110" t="e">
        <f t="shared" si="949"/>
        <v>#DIV/0!</v>
      </c>
      <c r="BI74" s="110" t="e">
        <f t="shared" si="949"/>
        <v>#DIV/0!</v>
      </c>
      <c r="BJ74" s="110" t="e">
        <f t="shared" si="949"/>
        <v>#DIV/0!</v>
      </c>
      <c r="BK74" s="110" t="e">
        <f t="shared" si="949"/>
        <v>#DIV/0!</v>
      </c>
      <c r="BL74" s="110" t="e">
        <f t="shared" si="949"/>
        <v>#DIV/0!</v>
      </c>
      <c r="BM74" s="110" t="e">
        <f t="shared" si="949"/>
        <v>#DIV/0!</v>
      </c>
      <c r="BN74" s="110" t="e">
        <f t="shared" si="949"/>
        <v>#DIV/0!</v>
      </c>
      <c r="BO74" s="110" t="e">
        <f t="shared" si="949"/>
        <v>#DIV/0!</v>
      </c>
      <c r="BP74" s="110" t="e">
        <f t="shared" si="949"/>
        <v>#DIV/0!</v>
      </c>
      <c r="BQ74" s="110" t="e">
        <f t="shared" si="949"/>
        <v>#DIV/0!</v>
      </c>
      <c r="BR74" s="110" t="e">
        <f t="shared" si="949"/>
        <v>#DIV/0!</v>
      </c>
      <c r="BS74" s="110" t="e">
        <f t="shared" si="949"/>
        <v>#DIV/0!</v>
      </c>
      <c r="BT74" s="110">
        <f t="shared" si="949"/>
        <v>0.19343738811530536</v>
      </c>
      <c r="BU74" s="110">
        <f t="shared" si="949"/>
        <v>0.1002404356296956</v>
      </c>
      <c r="BV74" s="110">
        <f t="shared" si="949"/>
        <v>0.10343908291122367</v>
      </c>
      <c r="BW74" s="110">
        <f t="shared" ref="BW74:BX74" si="950">+BW31/BW76*4</f>
        <v>0.105490683919182</v>
      </c>
      <c r="BX74" s="110">
        <f t="shared" si="950"/>
        <v>0.10716744303966495</v>
      </c>
      <c r="BY74" s="110">
        <f t="shared" ref="BY74" si="951">+BY31/BY76*4</f>
        <v>0.10687346525757502</v>
      </c>
      <c r="BZ74" s="112">
        <f t="shared" si="949"/>
        <v>0.1166528425130204</v>
      </c>
      <c r="CA74" s="112">
        <f t="shared" si="949"/>
        <v>0.1233273768505527</v>
      </c>
      <c r="CB74" s="112">
        <f t="shared" si="949"/>
        <v>0.12318725462936013</v>
      </c>
      <c r="CC74" s="112">
        <f t="shared" si="949"/>
        <v>0.12327055669589239</v>
      </c>
      <c r="CD74" s="112">
        <f t="shared" si="949"/>
        <v>0.12558956715695749</v>
      </c>
      <c r="CE74" s="112">
        <f t="shared" si="949"/>
        <v>0.12729975377845396</v>
      </c>
      <c r="CF74" s="112">
        <f t="shared" si="949"/>
        <v>0.12814182602721891</v>
      </c>
      <c r="CG74" s="112">
        <f t="shared" si="949"/>
        <v>0.12848275968342657</v>
      </c>
      <c r="CH74" s="112">
        <f t="shared" si="949"/>
        <v>0.12995879377747138</v>
      </c>
      <c r="CI74" s="112">
        <f t="shared" si="949"/>
        <v>0.13176344492787959</v>
      </c>
      <c r="CJ74" s="112">
        <f t="shared" si="949"/>
        <v>0.13273815103881506</v>
      </c>
      <c r="CK74" s="112">
        <f t="shared" si="949"/>
        <v>0.13296043404800834</v>
      </c>
      <c r="CL74" s="112">
        <f t="shared" si="949"/>
        <v>0.13423986498349311</v>
      </c>
      <c r="CM74" s="112">
        <f t="shared" si="949"/>
        <v>0.13604722624354756</v>
      </c>
      <c r="CN74" s="112">
        <f t="shared" si="949"/>
        <v>0.13698829524690473</v>
      </c>
      <c r="CO74" s="112">
        <f t="shared" si="949"/>
        <v>0.13709832378097656</v>
      </c>
      <c r="CT74" s="38">
        <v>0.10354859536407154</v>
      </c>
    </row>
    <row r="75" spans="1:98" s="50" customFormat="1" x14ac:dyDescent="0.2">
      <c r="A75" s="50" t="s">
        <v>160</v>
      </c>
      <c r="B75" s="50">
        <f t="shared" ref="B75:Z75" si="952">+B125+B114+B142</f>
        <v>0</v>
      </c>
      <c r="C75" s="50">
        <f t="shared" si="952"/>
        <v>0</v>
      </c>
      <c r="D75" s="50">
        <f t="shared" si="952"/>
        <v>0</v>
      </c>
      <c r="E75" s="50">
        <f t="shared" si="952"/>
        <v>0</v>
      </c>
      <c r="F75" s="50">
        <f t="shared" si="952"/>
        <v>0</v>
      </c>
      <c r="G75" s="50">
        <f t="shared" si="952"/>
        <v>0</v>
      </c>
      <c r="H75" s="50">
        <f t="shared" si="952"/>
        <v>0</v>
      </c>
      <c r="I75" s="50">
        <f t="shared" si="952"/>
        <v>2.7176117</v>
      </c>
      <c r="J75" s="50">
        <f t="shared" si="952"/>
        <v>147.52479159999999</v>
      </c>
      <c r="K75" s="50">
        <f t="shared" si="952"/>
        <v>549.31429739999999</v>
      </c>
      <c r="L75" s="50">
        <f t="shared" si="952"/>
        <v>1309.4048556</v>
      </c>
      <c r="M75" s="50">
        <f t="shared" si="952"/>
        <v>4018.73</v>
      </c>
      <c r="N75" s="50">
        <f t="shared" si="952"/>
        <v>8327.39</v>
      </c>
      <c r="O75" s="50">
        <f t="shared" si="952"/>
        <v>13645.5</v>
      </c>
      <c r="P75" s="50">
        <f t="shared" si="952"/>
        <v>19866.78</v>
      </c>
      <c r="Q75" s="50">
        <f t="shared" si="952"/>
        <v>25394.829999999998</v>
      </c>
      <c r="R75" s="50">
        <f t="shared" si="952"/>
        <v>33495.56</v>
      </c>
      <c r="S75" s="50">
        <f t="shared" si="952"/>
        <v>44749.89</v>
      </c>
      <c r="T75" s="50">
        <f t="shared" si="952"/>
        <v>55654.76</v>
      </c>
      <c r="U75" s="50">
        <f t="shared" si="952"/>
        <v>59774.319999999992</v>
      </c>
      <c r="V75" s="50">
        <f t="shared" si="952"/>
        <v>61088.590000000004</v>
      </c>
      <c r="W75" s="50">
        <f t="shared" si="952"/>
        <v>60823.22</v>
      </c>
      <c r="X75" s="50">
        <f t="shared" si="952"/>
        <v>68800.66</v>
      </c>
      <c r="Y75" s="50">
        <f t="shared" si="952"/>
        <v>91600.73</v>
      </c>
      <c r="Z75" s="50">
        <f t="shared" si="952"/>
        <v>107005.49999999999</v>
      </c>
      <c r="AA75" s="50">
        <f t="shared" ref="AA75" si="953">+AA125+AA114+AA142</f>
        <v>120270.79000000001</v>
      </c>
      <c r="AB75" s="51"/>
      <c r="AC75" s="51"/>
      <c r="AD75" s="51"/>
      <c r="AE75" s="51"/>
      <c r="AG75" s="64"/>
      <c r="AI75" s="50">
        <f t="shared" ref="AI75:AT75" si="954">+AI125+AI114+AI142</f>
        <v>0</v>
      </c>
      <c r="AJ75" s="50">
        <f t="shared" si="954"/>
        <v>0</v>
      </c>
      <c r="AK75" s="50">
        <f t="shared" si="954"/>
        <v>0</v>
      </c>
      <c r="AL75" s="50">
        <f t="shared" si="954"/>
        <v>0</v>
      </c>
      <c r="AM75" s="50">
        <f t="shared" si="954"/>
        <v>0</v>
      </c>
      <c r="AN75" s="50">
        <f t="shared" si="954"/>
        <v>0</v>
      </c>
      <c r="AO75" s="50">
        <f t="shared" si="954"/>
        <v>0</v>
      </c>
      <c r="AP75" s="50">
        <f t="shared" si="954"/>
        <v>0</v>
      </c>
      <c r="AQ75" s="50">
        <f t="shared" si="954"/>
        <v>0</v>
      </c>
      <c r="AR75" s="50">
        <f t="shared" si="954"/>
        <v>0</v>
      </c>
      <c r="AS75" s="50">
        <f t="shared" si="954"/>
        <v>0</v>
      </c>
      <c r="AT75" s="50">
        <f t="shared" si="954"/>
        <v>0</v>
      </c>
      <c r="AU75" s="50">
        <f t="shared" ref="AU75:BU75" si="955">+AU125+AU114+AU142</f>
        <v>0</v>
      </c>
      <c r="AV75" s="50">
        <f t="shared" si="955"/>
        <v>0</v>
      </c>
      <c r="AW75" s="50">
        <f t="shared" si="955"/>
        <v>0</v>
      </c>
      <c r="AX75" s="50">
        <f t="shared" si="955"/>
        <v>0</v>
      </c>
      <c r="AY75" s="50">
        <f t="shared" si="955"/>
        <v>0</v>
      </c>
      <c r="AZ75" s="50">
        <f t="shared" si="955"/>
        <v>0</v>
      </c>
      <c r="BA75" s="50">
        <f t="shared" si="955"/>
        <v>0</v>
      </c>
      <c r="BB75" s="50">
        <f t="shared" si="955"/>
        <v>0</v>
      </c>
      <c r="BC75" s="50">
        <f t="shared" si="955"/>
        <v>0</v>
      </c>
      <c r="BD75" s="50">
        <f t="shared" si="955"/>
        <v>0</v>
      </c>
      <c r="BE75" s="50">
        <f t="shared" si="955"/>
        <v>0</v>
      </c>
      <c r="BF75" s="50">
        <f t="shared" si="955"/>
        <v>0</v>
      </c>
      <c r="BG75" s="50">
        <f t="shared" si="955"/>
        <v>0</v>
      </c>
      <c r="BH75" s="50">
        <f t="shared" si="955"/>
        <v>0</v>
      </c>
      <c r="BI75" s="50">
        <f t="shared" si="955"/>
        <v>0</v>
      </c>
      <c r="BJ75" s="50">
        <f t="shared" si="955"/>
        <v>0</v>
      </c>
      <c r="BK75" s="50">
        <f t="shared" si="955"/>
        <v>0</v>
      </c>
      <c r="BL75" s="50">
        <f t="shared" si="955"/>
        <v>0</v>
      </c>
      <c r="BM75" s="50">
        <f t="shared" si="955"/>
        <v>0</v>
      </c>
      <c r="BN75" s="50">
        <f t="shared" si="955"/>
        <v>0</v>
      </c>
      <c r="BO75" s="50">
        <f t="shared" si="955"/>
        <v>0</v>
      </c>
      <c r="BP75" s="50">
        <f t="shared" si="955"/>
        <v>0</v>
      </c>
      <c r="BQ75" s="50">
        <f t="shared" si="955"/>
        <v>0</v>
      </c>
      <c r="BR75" s="50">
        <f t="shared" si="955"/>
        <v>0</v>
      </c>
      <c r="BS75" s="50">
        <f t="shared" si="955"/>
        <v>0</v>
      </c>
      <c r="BT75" s="50">
        <f t="shared" si="955"/>
        <v>103343</v>
      </c>
      <c r="BU75" s="50">
        <f t="shared" si="955"/>
        <v>105403.1</v>
      </c>
      <c r="BV75" s="50">
        <f>+BV125+BV114+BV142</f>
        <v>105403.1</v>
      </c>
      <c r="BW75" s="50">
        <f>+BW125+BW114+BW142</f>
        <v>110835.9</v>
      </c>
      <c r="BX75" s="50">
        <f>+BX125+BX114+BX142</f>
        <v>110835.9</v>
      </c>
      <c r="BY75" s="50">
        <f>+BY125+BY114+BY142</f>
        <v>118437.1</v>
      </c>
      <c r="BZ75" s="39">
        <f t="shared" ref="BZ75:CO75" si="956">+BZ125+BZ114+BZ142</f>
        <v>121984.38675147784</v>
      </c>
      <c r="CA75" s="39">
        <f t="shared" si="956"/>
        <v>125555.65558986957</v>
      </c>
      <c r="CB75" s="39">
        <f t="shared" si="956"/>
        <v>126565.93312981725</v>
      </c>
      <c r="CC75" s="39">
        <f t="shared" si="956"/>
        <v>131612.50437159787</v>
      </c>
      <c r="CD75" s="39">
        <f t="shared" si="956"/>
        <v>132701.47292897603</v>
      </c>
      <c r="CE75" s="39">
        <f t="shared" si="956"/>
        <v>136663.79551052125</v>
      </c>
      <c r="CF75" s="39">
        <f t="shared" si="956"/>
        <v>137810.48900272185</v>
      </c>
      <c r="CG75" s="39">
        <f t="shared" si="956"/>
        <v>143446.83381084044</v>
      </c>
      <c r="CH75" s="39">
        <f t="shared" si="956"/>
        <v>144670.67233207883</v>
      </c>
      <c r="CI75" s="39">
        <f t="shared" si="956"/>
        <v>149087.20032995194</v>
      </c>
      <c r="CJ75" s="39">
        <f t="shared" si="956"/>
        <v>150384.72535824016</v>
      </c>
      <c r="CK75" s="39">
        <f t="shared" si="956"/>
        <v>156664.62760839306</v>
      </c>
      <c r="CL75" s="39">
        <f t="shared" si="956"/>
        <v>158044.30887096192</v>
      </c>
      <c r="CM75" s="39">
        <f t="shared" si="956"/>
        <v>162968.98319640363</v>
      </c>
      <c r="CN75" s="39">
        <f t="shared" si="956"/>
        <v>164433.35203947034</v>
      </c>
      <c r="CO75" s="39">
        <f t="shared" si="956"/>
        <v>171426.93677959198</v>
      </c>
      <c r="CT75" s="50">
        <v>116528.58</v>
      </c>
    </row>
    <row r="76" spans="1:98" x14ac:dyDescent="0.2">
      <c r="A76" s="47" t="s">
        <v>161</v>
      </c>
      <c r="D76" s="111">
        <f t="shared" ref="D76:AA76" si="957">+AVERAGE(C75:D75)</f>
        <v>0</v>
      </c>
      <c r="E76" s="111">
        <f t="shared" si="957"/>
        <v>0</v>
      </c>
      <c r="F76" s="111">
        <f t="shared" si="957"/>
        <v>0</v>
      </c>
      <c r="G76" s="111">
        <f t="shared" si="957"/>
        <v>0</v>
      </c>
      <c r="H76" s="111">
        <f t="shared" si="957"/>
        <v>0</v>
      </c>
      <c r="I76" s="111">
        <f t="shared" si="957"/>
        <v>1.35880585</v>
      </c>
      <c r="J76" s="111">
        <f t="shared" si="957"/>
        <v>75.121201649999989</v>
      </c>
      <c r="K76" s="111">
        <f t="shared" si="957"/>
        <v>348.41954449999997</v>
      </c>
      <c r="L76" s="111">
        <f t="shared" si="957"/>
        <v>929.3595765</v>
      </c>
      <c r="M76" s="111">
        <f t="shared" si="957"/>
        <v>2664.0674278000001</v>
      </c>
      <c r="N76" s="111">
        <f t="shared" si="957"/>
        <v>6173.0599999999995</v>
      </c>
      <c r="O76" s="111">
        <f t="shared" si="957"/>
        <v>10986.445</v>
      </c>
      <c r="P76" s="111">
        <f t="shared" si="957"/>
        <v>16756.14</v>
      </c>
      <c r="Q76" s="111">
        <f t="shared" si="957"/>
        <v>22630.805</v>
      </c>
      <c r="R76" s="111">
        <f t="shared" si="957"/>
        <v>29445.195</v>
      </c>
      <c r="S76" s="111">
        <f t="shared" si="957"/>
        <v>39122.724999999999</v>
      </c>
      <c r="T76" s="111">
        <f t="shared" si="957"/>
        <v>50202.324999999997</v>
      </c>
      <c r="U76" s="111">
        <f t="shared" si="957"/>
        <v>57714.539999999994</v>
      </c>
      <c r="V76" s="111">
        <f t="shared" si="957"/>
        <v>60431.455000000002</v>
      </c>
      <c r="W76" s="111">
        <f t="shared" si="957"/>
        <v>60955.904999999999</v>
      </c>
      <c r="X76" s="111">
        <f t="shared" si="957"/>
        <v>64811.94</v>
      </c>
      <c r="Y76" s="111">
        <f t="shared" si="957"/>
        <v>80200.695000000007</v>
      </c>
      <c r="Z76" s="111">
        <f t="shared" si="957"/>
        <v>99303.114999999991</v>
      </c>
      <c r="AA76" s="111">
        <f t="shared" si="957"/>
        <v>113638.14499999999</v>
      </c>
      <c r="AH76" s="48"/>
      <c r="AI76" s="111">
        <f t="shared" ref="AI76" si="958">+AVERAGE(AH75:AI75)</f>
        <v>0</v>
      </c>
      <c r="AJ76" s="111">
        <f t="shared" ref="AJ76" si="959">+AVERAGE(AI75:AJ75)</f>
        <v>0</v>
      </c>
      <c r="AK76" s="111">
        <f t="shared" ref="AK76" si="960">+AVERAGE(AJ75:AK75)</f>
        <v>0</v>
      </c>
      <c r="AL76" s="111">
        <f t="shared" ref="AL76" si="961">+AVERAGE(AK75:AL75)</f>
        <v>0</v>
      </c>
      <c r="AM76" s="111">
        <f t="shared" ref="AM76" si="962">+AVERAGE(AL75:AM75)</f>
        <v>0</v>
      </c>
      <c r="AN76" s="111">
        <f t="shared" ref="AN76" si="963">+AVERAGE(AM75:AN75)</f>
        <v>0</v>
      </c>
      <c r="AO76" s="111">
        <f t="shared" ref="AO76" si="964">+AVERAGE(AN75:AO75)</f>
        <v>0</v>
      </c>
      <c r="AP76" s="111">
        <f t="shared" ref="AP76" si="965">+AVERAGE(AO75:AP75)</f>
        <v>0</v>
      </c>
      <c r="AQ76" s="111">
        <f t="shared" ref="AQ76" si="966">+AVERAGE(AP75:AQ75)</f>
        <v>0</v>
      </c>
      <c r="AR76" s="111">
        <f t="shared" ref="AR76" si="967">+AVERAGE(AQ75:AR75)</f>
        <v>0</v>
      </c>
      <c r="AS76" s="111">
        <f t="shared" ref="AS76" si="968">+AVERAGE(AR75:AS75)</f>
        <v>0</v>
      </c>
      <c r="AT76" s="111">
        <f t="shared" ref="AT76" si="969">+AVERAGE(AS75:AT75)</f>
        <v>0</v>
      </c>
      <c r="AU76" s="111">
        <f t="shared" ref="AU76:CO76" si="970">+AVERAGE(AT75:AU75)</f>
        <v>0</v>
      </c>
      <c r="AV76" s="111">
        <f t="shared" si="970"/>
        <v>0</v>
      </c>
      <c r="AW76" s="111">
        <f t="shared" si="970"/>
        <v>0</v>
      </c>
      <c r="AX76" s="111">
        <f t="shared" si="970"/>
        <v>0</v>
      </c>
      <c r="AY76" s="111">
        <f t="shared" si="970"/>
        <v>0</v>
      </c>
      <c r="AZ76" s="111">
        <f t="shared" si="970"/>
        <v>0</v>
      </c>
      <c r="BA76" s="111">
        <f t="shared" si="970"/>
        <v>0</v>
      </c>
      <c r="BB76" s="111">
        <f t="shared" si="970"/>
        <v>0</v>
      </c>
      <c r="BC76" s="111">
        <f t="shared" si="970"/>
        <v>0</v>
      </c>
      <c r="BD76" s="111">
        <f t="shared" si="970"/>
        <v>0</v>
      </c>
      <c r="BE76" s="111">
        <f t="shared" si="970"/>
        <v>0</v>
      </c>
      <c r="BF76" s="111">
        <f t="shared" si="970"/>
        <v>0</v>
      </c>
      <c r="BG76" s="111">
        <f t="shared" si="970"/>
        <v>0</v>
      </c>
      <c r="BH76" s="111">
        <f t="shared" si="970"/>
        <v>0</v>
      </c>
      <c r="BI76" s="111">
        <f t="shared" si="970"/>
        <v>0</v>
      </c>
      <c r="BJ76" s="111">
        <f t="shared" si="970"/>
        <v>0</v>
      </c>
      <c r="BK76" s="111">
        <f t="shared" si="970"/>
        <v>0</v>
      </c>
      <c r="BL76" s="111">
        <f t="shared" si="970"/>
        <v>0</v>
      </c>
      <c r="BM76" s="111">
        <f t="shared" si="970"/>
        <v>0</v>
      </c>
      <c r="BN76" s="111">
        <f t="shared" si="970"/>
        <v>0</v>
      </c>
      <c r="BO76" s="111">
        <f t="shared" si="970"/>
        <v>0</v>
      </c>
      <c r="BP76" s="111">
        <f t="shared" si="970"/>
        <v>0</v>
      </c>
      <c r="BQ76" s="111">
        <f t="shared" si="970"/>
        <v>0</v>
      </c>
      <c r="BR76" s="111">
        <f t="shared" si="970"/>
        <v>0</v>
      </c>
      <c r="BS76" s="111">
        <f t="shared" si="970"/>
        <v>0</v>
      </c>
      <c r="BT76" s="111">
        <f t="shared" si="970"/>
        <v>51671.5</v>
      </c>
      <c r="BU76" s="111">
        <f t="shared" si="970"/>
        <v>104373.05</v>
      </c>
      <c r="BV76" s="111">
        <f>+AVERAGE(BU75:BV75)</f>
        <v>105403.1</v>
      </c>
      <c r="BW76" s="111">
        <f>+AVERAGE(BV75:BW75)</f>
        <v>108119.5</v>
      </c>
      <c r="BX76" s="111">
        <f>+AVERAGE(BW75:BX75)</f>
        <v>110835.9</v>
      </c>
      <c r="BY76" s="111">
        <f>+AVERAGE(BX75:BY75)</f>
        <v>114636.5</v>
      </c>
      <c r="BZ76" s="39">
        <f t="shared" si="970"/>
        <v>120210.74337573892</v>
      </c>
      <c r="CA76" s="39">
        <f t="shared" si="970"/>
        <v>123770.0211706737</v>
      </c>
      <c r="CB76" s="39">
        <f t="shared" si="970"/>
        <v>126060.79435984341</v>
      </c>
      <c r="CC76" s="39">
        <f t="shared" si="970"/>
        <v>129089.21875070756</v>
      </c>
      <c r="CD76" s="39">
        <f t="shared" si="970"/>
        <v>132156.98865028695</v>
      </c>
      <c r="CE76" s="39">
        <f t="shared" si="970"/>
        <v>134682.63421974864</v>
      </c>
      <c r="CF76" s="39">
        <f t="shared" si="970"/>
        <v>137237.14225662156</v>
      </c>
      <c r="CG76" s="39">
        <f t="shared" si="970"/>
        <v>140628.66140678115</v>
      </c>
      <c r="CH76" s="39">
        <f t="shared" si="970"/>
        <v>144058.75307145965</v>
      </c>
      <c r="CI76" s="39">
        <f t="shared" si="970"/>
        <v>146878.93633101537</v>
      </c>
      <c r="CJ76" s="39">
        <f t="shared" si="970"/>
        <v>149735.96284409607</v>
      </c>
      <c r="CK76" s="39">
        <f t="shared" si="970"/>
        <v>153524.67648331661</v>
      </c>
      <c r="CL76" s="39">
        <f t="shared" si="970"/>
        <v>157354.46823967749</v>
      </c>
      <c r="CM76" s="39">
        <f t="shared" si="970"/>
        <v>160506.64603368277</v>
      </c>
      <c r="CN76" s="39">
        <f t="shared" si="970"/>
        <v>163701.16761793697</v>
      </c>
      <c r="CO76" s="39">
        <f t="shared" si="970"/>
        <v>167930.14440953115</v>
      </c>
      <c r="CT76" s="47">
        <v>111767.03999999999</v>
      </c>
    </row>
    <row r="77" spans="1:98" s="128" customFormat="1" x14ac:dyDescent="0.2">
      <c r="A77" s="128" t="s">
        <v>175</v>
      </c>
      <c r="D77" s="128" t="e">
        <f t="shared" ref="D77:AE77" si="971">D50/D100</f>
        <v>#DIV/0!</v>
      </c>
      <c r="E77" s="128" t="e">
        <f t="shared" si="971"/>
        <v>#DIV/0!</v>
      </c>
      <c r="F77" s="128" t="e">
        <f t="shared" si="971"/>
        <v>#DIV/0!</v>
      </c>
      <c r="G77" s="128" t="e">
        <f t="shared" si="971"/>
        <v>#DIV/0!</v>
      </c>
      <c r="H77" s="128" t="e">
        <f t="shared" si="971"/>
        <v>#DIV/0!</v>
      </c>
      <c r="I77" s="128">
        <f t="shared" si="971"/>
        <v>-3.5489697920474773E-2</v>
      </c>
      <c r="J77" s="128">
        <f t="shared" si="971"/>
        <v>-0.10075961066773306</v>
      </c>
      <c r="K77" s="128">
        <f t="shared" si="971"/>
        <v>9.7195563402450683E-2</v>
      </c>
      <c r="L77" s="128">
        <f t="shared" si="971"/>
        <v>2.1977525847105356E-2</v>
      </c>
      <c r="M77" s="128">
        <f t="shared" si="971"/>
        <v>6.6308592483036818E-2</v>
      </c>
      <c r="N77" s="128">
        <f t="shared" si="971"/>
        <v>0.11728274930454578</v>
      </c>
      <c r="O77" s="128">
        <f t="shared" si="971"/>
        <v>0.12848633712004909</v>
      </c>
      <c r="P77" s="128">
        <f t="shared" si="971"/>
        <v>0.11181934831511006</v>
      </c>
      <c r="Q77" s="128">
        <f t="shared" si="971"/>
        <v>0.15003930596889209</v>
      </c>
      <c r="R77" s="128">
        <f t="shared" si="971"/>
        <v>0.12758419434297558</v>
      </c>
      <c r="S77" s="128">
        <f t="shared" si="971"/>
        <v>0.15446455917289556</v>
      </c>
      <c r="T77" s="128">
        <f t="shared" si="971"/>
        <v>0.16065261817629659</v>
      </c>
      <c r="U77" s="128">
        <f t="shared" si="971"/>
        <v>0.12532739654269237</v>
      </c>
      <c r="V77" s="128">
        <f t="shared" si="971"/>
        <v>4.6348434332910429E-2</v>
      </c>
      <c r="W77" s="128">
        <f t="shared" si="971"/>
        <v>0.10601977204805586</v>
      </c>
      <c r="X77" s="128">
        <f t="shared" si="971"/>
        <v>0.17131722825188839</v>
      </c>
      <c r="Y77" s="128">
        <f t="shared" si="971"/>
        <v>0.17906511888848708</v>
      </c>
      <c r="Z77" s="128">
        <f t="shared" si="971"/>
        <v>0.13754452503990278</v>
      </c>
      <c r="AA77" s="128">
        <f t="shared" ref="AA77" si="972">AA50/AA100</f>
        <v>0.12310413495902291</v>
      </c>
      <c r="AB77" s="112">
        <f t="shared" si="971"/>
        <v>0.16158606057178576</v>
      </c>
      <c r="AC77" s="112">
        <f t="shared" si="971"/>
        <v>0.15543931368463065</v>
      </c>
      <c r="AD77" s="112">
        <f t="shared" si="971"/>
        <v>0.14921726421613396</v>
      </c>
      <c r="AE77" s="112">
        <f t="shared" si="971"/>
        <v>0.14406995232196237</v>
      </c>
      <c r="AG77" s="129"/>
      <c r="BU77" s="128">
        <f t="shared" ref="BU77:BX77" si="973">+SUM(BR50:BU50)/BU100</f>
        <v>0.13754369551887846</v>
      </c>
      <c r="BV77" s="128">
        <f t="shared" si="973"/>
        <v>0.13192452738079263</v>
      </c>
      <c r="BW77" s="128">
        <f t="shared" si="973"/>
        <v>0.11129784571469943</v>
      </c>
      <c r="BX77" s="128">
        <f t="shared" si="973"/>
        <v>0.11629908768347673</v>
      </c>
      <c r="BY77" s="128">
        <f>+SUM(BV50:BY50)/BY100</f>
        <v>0.12309330236159502</v>
      </c>
      <c r="BZ77" s="112">
        <f t="shared" ref="BZ77:CG77" si="974">+SUM(BW50:BZ50)/BZ100</f>
        <v>0.13459330270716782</v>
      </c>
      <c r="CA77" s="112">
        <f t="shared" si="974"/>
        <v>0.14760158452149277</v>
      </c>
      <c r="CB77" s="112">
        <f t="shared" si="974"/>
        <v>0.15680104518653099</v>
      </c>
      <c r="CC77" s="112">
        <f t="shared" si="974"/>
        <v>0.16158606057178582</v>
      </c>
      <c r="CD77" s="112">
        <f t="shared" si="974"/>
        <v>0.16090294465319777</v>
      </c>
      <c r="CE77" s="112">
        <f t="shared" si="974"/>
        <v>0.15827954261770263</v>
      </c>
      <c r="CF77" s="112">
        <f t="shared" si="974"/>
        <v>0.15666968614406915</v>
      </c>
      <c r="CG77" s="112">
        <f t="shared" si="974"/>
        <v>0.15543931368463068</v>
      </c>
      <c r="CH77" s="112"/>
      <c r="CI77" s="112"/>
      <c r="CJ77" s="112"/>
      <c r="CK77" s="112"/>
      <c r="CL77" s="112"/>
      <c r="CM77" s="112"/>
      <c r="CN77" s="112"/>
      <c r="CO77" s="112"/>
      <c r="CT77" s="128">
        <v>0.12309330236159484</v>
      </c>
    </row>
    <row r="78" spans="1:98" x14ac:dyDescent="0.2"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55" t="e">
        <f t="shared" ref="BU78:BX78" si="975">+BU75/BQ75-1</f>
        <v>#DIV/0!</v>
      </c>
      <c r="BV78" s="155" t="e">
        <f t="shared" si="975"/>
        <v>#DIV/0!</v>
      </c>
      <c r="BW78" s="155" t="e">
        <f t="shared" si="975"/>
        <v>#DIV/0!</v>
      </c>
      <c r="BX78" s="155">
        <f t="shared" si="975"/>
        <v>7.2505152743775447E-2</v>
      </c>
      <c r="BY78" s="155">
        <f>+BY75/BU75-1</f>
        <v>0.12365860207147605</v>
      </c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x14ac:dyDescent="0.2">
      <c r="A79" s="117" t="s">
        <v>170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</row>
    <row r="80" spans="1:98" x14ac:dyDescent="0.2">
      <c r="A80" s="117" t="s">
        <v>171</v>
      </c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</row>
    <row r="81" spans="1:98" s="52" customFormat="1" x14ac:dyDescent="0.2"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49"/>
      <c r="AC81" s="49"/>
      <c r="AD81" s="49"/>
      <c r="AE81" s="49"/>
      <c r="AG81" s="63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</row>
    <row r="82" spans="1:98" s="88" customFormat="1" x14ac:dyDescent="0.2">
      <c r="A82" s="88" t="s">
        <v>36</v>
      </c>
      <c r="AB82" s="19"/>
      <c r="AC82" s="19"/>
      <c r="AD82" s="19"/>
      <c r="AE82" s="19"/>
      <c r="AG82" s="84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</row>
    <row r="83" spans="1:98" s="95" customFormat="1" x14ac:dyDescent="0.2">
      <c r="A83" s="95" t="s">
        <v>40</v>
      </c>
      <c r="B83" s="95">
        <f>+'Annual Raw'!C59</f>
        <v>0</v>
      </c>
      <c r="C83" s="95">
        <f>+'Annual Raw'!D59</f>
        <v>0</v>
      </c>
      <c r="D83" s="95">
        <f>+'Annual Raw'!E59</f>
        <v>0</v>
      </c>
      <c r="E83" s="95">
        <f>+'Annual Raw'!F59</f>
        <v>0</v>
      </c>
      <c r="F83" s="95">
        <f>+'Annual Raw'!G59</f>
        <v>0</v>
      </c>
      <c r="G83" s="95">
        <f>+'Annual Raw'!H59</f>
        <v>0</v>
      </c>
      <c r="H83" s="95">
        <f>+'Annual Raw'!I59</f>
        <v>0</v>
      </c>
      <c r="I83" s="95">
        <f>+'Annual Raw'!J59</f>
        <v>0</v>
      </c>
      <c r="J83" s="95">
        <f>+'Annual Raw'!K59</f>
        <v>0</v>
      </c>
      <c r="K83" s="95">
        <f>+'Annual Raw'!L59</f>
        <v>0</v>
      </c>
      <c r="L83" s="95">
        <f>+'Annual Raw'!M59</f>
        <v>0</v>
      </c>
      <c r="M83" s="95">
        <f>+'Annual Raw'!N59</f>
        <v>0</v>
      </c>
      <c r="N83" s="95">
        <f>+'Annual Raw'!O59</f>
        <v>0</v>
      </c>
      <c r="O83" s="95">
        <f>+'Annual Raw'!P59</f>
        <v>0</v>
      </c>
      <c r="P83" s="95">
        <f>+'Annual Raw'!Q59</f>
        <v>0</v>
      </c>
      <c r="Q83" s="95">
        <f>+'Annual Raw'!R59</f>
        <v>0</v>
      </c>
      <c r="R83" s="95">
        <f>+'Annual Raw'!S59</f>
        <v>0</v>
      </c>
      <c r="S83" s="95">
        <f>+'Annual Raw'!T59</f>
        <v>0</v>
      </c>
      <c r="T83" s="95">
        <f>+'Annual Raw'!U59</f>
        <v>0</v>
      </c>
      <c r="U83" s="95">
        <f>+'Annual Raw'!V59</f>
        <v>0</v>
      </c>
      <c r="V83" s="95">
        <f>+'Annual Raw'!W59</f>
        <v>0</v>
      </c>
      <c r="W83" s="95">
        <f>+'Annual Raw'!X59</f>
        <v>0</v>
      </c>
      <c r="X83" s="95">
        <f>+'Annual Raw'!Y59</f>
        <v>0</v>
      </c>
      <c r="Y83" s="95">
        <f>+'Annual Raw'!Z59</f>
        <v>0</v>
      </c>
      <c r="Z83" s="95">
        <f>+'Annual Raw'!AA59</f>
        <v>0</v>
      </c>
      <c r="AA83" s="95">
        <f>+'Annual Raw'!AB59</f>
        <v>560.04999999999995</v>
      </c>
      <c r="AB83" s="78">
        <f>+CC83</f>
        <v>650</v>
      </c>
      <c r="AC83" s="78">
        <f>+CG83</f>
        <v>650</v>
      </c>
      <c r="AD83" s="78">
        <f>+CK83</f>
        <v>650</v>
      </c>
      <c r="AE83" s="78">
        <f>+CO83</f>
        <v>650</v>
      </c>
      <c r="AG83" s="77"/>
      <c r="AH83" s="95">
        <f>+'QTR Share Price'!IA21</f>
        <v>0</v>
      </c>
      <c r="AI83" s="95">
        <f>+'QTR Share Price'!IB21</f>
        <v>0</v>
      </c>
      <c r="AJ83" s="95">
        <f>+'QTR Share Price'!IC21</f>
        <v>0</v>
      </c>
      <c r="AK83" s="95">
        <f>+'QTR Share Price'!ID21</f>
        <v>0</v>
      </c>
      <c r="AL83" s="95">
        <f>+'QTR Share Price'!IE21</f>
        <v>0</v>
      </c>
      <c r="AM83" s="95">
        <f>+'QTR Share Price'!IF21</f>
        <v>0</v>
      </c>
      <c r="AN83" s="95">
        <f>+'QTR Share Price'!IG21</f>
        <v>0</v>
      </c>
      <c r="AO83" s="95">
        <f>+'QTR Share Price'!IH21</f>
        <v>0</v>
      </c>
      <c r="AP83" s="95">
        <f>+'QTR Share Price'!II21</f>
        <v>0</v>
      </c>
      <c r="AQ83" s="95">
        <f>+'QTR Share Price'!IJ21</f>
        <v>0</v>
      </c>
      <c r="AR83" s="95">
        <f>+'QTR Share Price'!IK21</f>
        <v>0</v>
      </c>
      <c r="AS83" s="95">
        <f>+'QTR Share Price'!IL21</f>
        <v>0</v>
      </c>
      <c r="AT83" s="95">
        <f>+'QTR Share Price'!IM21</f>
        <v>0</v>
      </c>
      <c r="AU83" s="95">
        <f>+'QTR Share Price'!IN21</f>
        <v>0</v>
      </c>
      <c r="AV83" s="95">
        <f>+'QTR Share Price'!IO21</f>
        <v>0</v>
      </c>
      <c r="AW83" s="95">
        <f>+'QTR Share Price'!IP21</f>
        <v>0</v>
      </c>
      <c r="AX83" s="95">
        <f>+'QTR Share Price'!IQ21</f>
        <v>0</v>
      </c>
      <c r="AY83" s="95">
        <f>+'QTR Share Price'!IR21</f>
        <v>0</v>
      </c>
      <c r="AZ83" s="95">
        <f>+'QTR Share Price'!IS21</f>
        <v>0</v>
      </c>
      <c r="BA83" s="95">
        <f>+'QTR Share Price'!IT21</f>
        <v>0</v>
      </c>
      <c r="BB83" s="95">
        <f>+'QTR Share Price'!IU21</f>
        <v>0</v>
      </c>
      <c r="BC83" s="95">
        <f>+'QTR Share Price'!IV21</f>
        <v>0</v>
      </c>
      <c r="BD83" s="95">
        <f>+'QTR Share Price'!IW21</f>
        <v>0</v>
      </c>
      <c r="BE83" s="95">
        <f>+'QTR Share Price'!IX21</f>
        <v>0</v>
      </c>
      <c r="BF83" s="95">
        <f>+'QTR Share Price'!IY21</f>
        <v>0</v>
      </c>
      <c r="BG83" s="95">
        <f>+'QTR Share Price'!IZ21</f>
        <v>0</v>
      </c>
      <c r="BH83" s="95">
        <f>+'QTR Share Price'!JA21</f>
        <v>0</v>
      </c>
      <c r="BI83" s="95">
        <f>+'QTR Share Price'!JB21</f>
        <v>0</v>
      </c>
      <c r="BJ83" s="95">
        <f>+'QTR Share Price'!JC21</f>
        <v>0</v>
      </c>
      <c r="BK83" s="95">
        <f>+'QTR Share Price'!JD21</f>
        <v>0</v>
      </c>
      <c r="BL83" s="95">
        <f>+'QTR Share Price'!JE21</f>
        <v>0</v>
      </c>
      <c r="BM83" s="95">
        <f>+'QTR Share Price'!JF21</f>
        <v>0</v>
      </c>
      <c r="BN83" s="95">
        <f>+'QTR Share Price'!JG21</f>
        <v>0</v>
      </c>
      <c r="BO83" s="95">
        <f>+'QTR Share Price'!JH21</f>
        <v>0</v>
      </c>
      <c r="BP83" s="95">
        <f>+'QTR Share Price'!JI21</f>
        <v>0</v>
      </c>
      <c r="BQ83" s="95">
        <f>+'QTR Share Price'!JJ21</f>
        <v>0</v>
      </c>
      <c r="BR83" s="95">
        <f>+'QTR Share Price'!JK21</f>
        <v>0</v>
      </c>
      <c r="BS83" s="95">
        <f>+'QTR Share Price'!JL21</f>
        <v>0</v>
      </c>
      <c r="BT83" s="95">
        <f>+'QTR Share Price'!JM21</f>
        <v>0</v>
      </c>
      <c r="BU83" s="95">
        <f>+'QTR Share Price'!JN21</f>
        <v>0</v>
      </c>
      <c r="BV83" s="95">
        <f>+'QTR Share Price'!JO21</f>
        <v>0</v>
      </c>
      <c r="BW83" s="95">
        <f>+'QTR Share Price'!JP21</f>
        <v>750.1</v>
      </c>
      <c r="BX83" s="95">
        <f>+'QTR Share Price'!JQ21</f>
        <v>765.15</v>
      </c>
      <c r="BY83" s="95">
        <f>+'QTR Share Price'!JR21</f>
        <v>560.04999999999995</v>
      </c>
      <c r="BZ83" s="78">
        <v>650</v>
      </c>
      <c r="CA83" s="78">
        <f t="shared" ref="CA83" si="976">+BZ83</f>
        <v>650</v>
      </c>
      <c r="CB83" s="78">
        <f t="shared" ref="CB83" si="977">+CA83</f>
        <v>650</v>
      </c>
      <c r="CC83" s="78">
        <f t="shared" ref="CC83" si="978">+CB83</f>
        <v>650</v>
      </c>
      <c r="CD83" s="78">
        <f t="shared" ref="CD83" si="979">+CC83</f>
        <v>650</v>
      </c>
      <c r="CE83" s="78">
        <f t="shared" ref="CE83" si="980">+CD83</f>
        <v>650</v>
      </c>
      <c r="CF83" s="78">
        <f t="shared" ref="CF83" si="981">+CE83</f>
        <v>650</v>
      </c>
      <c r="CG83" s="78">
        <f t="shared" ref="CG83" si="982">+CF83</f>
        <v>650</v>
      </c>
      <c r="CH83" s="78">
        <f t="shared" ref="CH83" si="983">+CG83</f>
        <v>650</v>
      </c>
      <c r="CI83" s="78">
        <f t="shared" ref="CI83" si="984">+CH83</f>
        <v>650</v>
      </c>
      <c r="CJ83" s="78">
        <f t="shared" ref="CJ83" si="985">+CI83</f>
        <v>650</v>
      </c>
      <c r="CK83" s="78">
        <f t="shared" ref="CK83" si="986">+CJ83</f>
        <v>650</v>
      </c>
      <c r="CL83" s="78">
        <f t="shared" ref="CL83" si="987">+CK83</f>
        <v>650</v>
      </c>
      <c r="CM83" s="78">
        <f t="shared" ref="CM83" si="988">+CL83</f>
        <v>650</v>
      </c>
      <c r="CN83" s="78">
        <f t="shared" ref="CN83" si="989">+CM83</f>
        <v>650</v>
      </c>
      <c r="CO83" s="78">
        <f t="shared" ref="CO83" si="990">+CN83</f>
        <v>650</v>
      </c>
      <c r="CT83" s="95">
        <v>560.04999999999995</v>
      </c>
    </row>
    <row r="84" spans="1:98" s="95" customFormat="1" x14ac:dyDescent="0.2">
      <c r="A84" s="95" t="s">
        <v>37</v>
      </c>
      <c r="B84" s="95">
        <f>+'Annual Raw'!C60</f>
        <v>0</v>
      </c>
      <c r="C84" s="95">
        <f>+'Annual Raw'!D60</f>
        <v>0</v>
      </c>
      <c r="D84" s="95">
        <f>+'Annual Raw'!E60</f>
        <v>0</v>
      </c>
      <c r="E84" s="95">
        <f>+'Annual Raw'!F60</f>
        <v>0</v>
      </c>
      <c r="F84" s="95">
        <f>+'Annual Raw'!G60</f>
        <v>0</v>
      </c>
      <c r="G84" s="95">
        <f>+'Annual Raw'!H60</f>
        <v>0</v>
      </c>
      <c r="H84" s="95">
        <f>+'Annual Raw'!I60</f>
        <v>0</v>
      </c>
      <c r="I84" s="95">
        <f>+'Annual Raw'!J60</f>
        <v>0</v>
      </c>
      <c r="J84" s="95">
        <f>+'Annual Raw'!K60</f>
        <v>0</v>
      </c>
      <c r="K84" s="95">
        <f>+'Annual Raw'!L60</f>
        <v>0</v>
      </c>
      <c r="L84" s="95">
        <f>+'Annual Raw'!M60</f>
        <v>0</v>
      </c>
      <c r="M84" s="95">
        <f>+'Annual Raw'!N60</f>
        <v>0</v>
      </c>
      <c r="N84" s="95">
        <f>+'Annual Raw'!O60</f>
        <v>0</v>
      </c>
      <c r="O84" s="95">
        <f>+'Annual Raw'!P60</f>
        <v>0</v>
      </c>
      <c r="P84" s="95">
        <f>+'Annual Raw'!Q60</f>
        <v>0</v>
      </c>
      <c r="Q84" s="95">
        <f>+'Annual Raw'!R60</f>
        <v>0</v>
      </c>
      <c r="R84" s="95">
        <f>+'Annual Raw'!S60</f>
        <v>0</v>
      </c>
      <c r="S84" s="95">
        <f>+'Annual Raw'!T60</f>
        <v>0</v>
      </c>
      <c r="T84" s="95">
        <f>+'Annual Raw'!U60</f>
        <v>0</v>
      </c>
      <c r="U84" s="95">
        <f>+'Annual Raw'!V60</f>
        <v>0</v>
      </c>
      <c r="V84" s="95">
        <f>+'Annual Raw'!W60</f>
        <v>0</v>
      </c>
      <c r="W84" s="95">
        <f>+'Annual Raw'!X60</f>
        <v>0</v>
      </c>
      <c r="X84" s="95">
        <f>+'Annual Raw'!Y60</f>
        <v>0</v>
      </c>
      <c r="Y84" s="95">
        <f>+'Annual Raw'!Z60</f>
        <v>0</v>
      </c>
      <c r="Z84" s="95">
        <f>+'Annual Raw'!AA60</f>
        <v>0</v>
      </c>
      <c r="AA84" s="95">
        <f>+'Annual Raw'!AB60</f>
        <v>891.65</v>
      </c>
      <c r="AB84" s="78">
        <f>+MAX(BZ84:CC84)</f>
        <v>742.09733788946482</v>
      </c>
      <c r="AC84" s="78">
        <f>+MAX(CD84:CG84)</f>
        <v>878.67852472161667</v>
      </c>
      <c r="AD84" s="78">
        <f>+MAX(CH84:CK84)</f>
        <v>1032.7883815273344</v>
      </c>
      <c r="AE84" s="78">
        <f>+MAX(CL84:CO84)</f>
        <v>1206.6270886611319</v>
      </c>
      <c r="AG84" s="77"/>
      <c r="AH84" s="95">
        <f>+'QTR Share Price'!IA19</f>
        <v>0</v>
      </c>
      <c r="AI84" s="95">
        <f>+'QTR Share Price'!IB19</f>
        <v>0</v>
      </c>
      <c r="AJ84" s="95">
        <f>+'QTR Share Price'!IC19</f>
        <v>0</v>
      </c>
      <c r="AK84" s="95">
        <f>+'QTR Share Price'!ID19</f>
        <v>0</v>
      </c>
      <c r="AL84" s="95">
        <f>+'QTR Share Price'!IE19</f>
        <v>0</v>
      </c>
      <c r="AM84" s="95">
        <f>+'QTR Share Price'!IF19</f>
        <v>0</v>
      </c>
      <c r="AN84" s="95">
        <f>+'QTR Share Price'!IG19</f>
        <v>0</v>
      </c>
      <c r="AO84" s="95">
        <f>+'QTR Share Price'!IH19</f>
        <v>0</v>
      </c>
      <c r="AP84" s="95">
        <f>+'QTR Share Price'!II19</f>
        <v>0</v>
      </c>
      <c r="AQ84" s="95">
        <f>+'QTR Share Price'!IJ19</f>
        <v>0</v>
      </c>
      <c r="AR84" s="95">
        <f>+'QTR Share Price'!IK19</f>
        <v>0</v>
      </c>
      <c r="AS84" s="95">
        <f>+'QTR Share Price'!IL19</f>
        <v>0</v>
      </c>
      <c r="AT84" s="95">
        <f>+'QTR Share Price'!IM19</f>
        <v>0</v>
      </c>
      <c r="AU84" s="95">
        <f>+'QTR Share Price'!IN19</f>
        <v>0</v>
      </c>
      <c r="AV84" s="95">
        <f>+'QTR Share Price'!IO19</f>
        <v>0</v>
      </c>
      <c r="AW84" s="95">
        <f>+'QTR Share Price'!IP19</f>
        <v>0</v>
      </c>
      <c r="AX84" s="95">
        <f>+'QTR Share Price'!IQ19</f>
        <v>0</v>
      </c>
      <c r="AY84" s="95">
        <f>+'QTR Share Price'!IR19</f>
        <v>0</v>
      </c>
      <c r="AZ84" s="95">
        <f>+'QTR Share Price'!IS19</f>
        <v>0</v>
      </c>
      <c r="BA84" s="95">
        <f>+'QTR Share Price'!IT19</f>
        <v>0</v>
      </c>
      <c r="BB84" s="95">
        <f>+'QTR Share Price'!IU19</f>
        <v>0</v>
      </c>
      <c r="BC84" s="95">
        <f>+'QTR Share Price'!IV19</f>
        <v>0</v>
      </c>
      <c r="BD84" s="95">
        <f>+'QTR Share Price'!IW19</f>
        <v>0</v>
      </c>
      <c r="BE84" s="95">
        <f>+'QTR Share Price'!IX19</f>
        <v>0</v>
      </c>
      <c r="BF84" s="95">
        <f>+'QTR Share Price'!IY19</f>
        <v>0</v>
      </c>
      <c r="BG84" s="95">
        <f>+'QTR Share Price'!IZ19</f>
        <v>0</v>
      </c>
      <c r="BH84" s="95">
        <f>+'QTR Share Price'!JA19</f>
        <v>0</v>
      </c>
      <c r="BI84" s="95">
        <f>+'QTR Share Price'!JB19</f>
        <v>0</v>
      </c>
      <c r="BJ84" s="95">
        <f>+'QTR Share Price'!JC19</f>
        <v>0</v>
      </c>
      <c r="BK84" s="95">
        <f>+'QTR Share Price'!JD19</f>
        <v>0</v>
      </c>
      <c r="BL84" s="95">
        <f>+'QTR Share Price'!JE19</f>
        <v>0</v>
      </c>
      <c r="BM84" s="95">
        <f>+'QTR Share Price'!JF19</f>
        <v>0</v>
      </c>
      <c r="BN84" s="95">
        <f>+'QTR Share Price'!JG19</f>
        <v>0</v>
      </c>
      <c r="BO84" s="95">
        <f>+'QTR Share Price'!JH19</f>
        <v>0</v>
      </c>
      <c r="BP84" s="95">
        <f>+'QTR Share Price'!JI19</f>
        <v>0</v>
      </c>
      <c r="BQ84" s="95">
        <f>+'QTR Share Price'!JJ19</f>
        <v>0</v>
      </c>
      <c r="BR84" s="95">
        <f>+'QTR Share Price'!JK19</f>
        <v>0</v>
      </c>
      <c r="BS84" s="95">
        <f>+'QTR Share Price'!JL19</f>
        <v>0</v>
      </c>
      <c r="BT84" s="95">
        <f>+'QTR Share Price'!JM19</f>
        <v>0</v>
      </c>
      <c r="BU84" s="95">
        <f>+'QTR Share Price'!JN19</f>
        <v>0</v>
      </c>
      <c r="BV84" s="95">
        <f>+'QTR Share Price'!JO19</f>
        <v>0</v>
      </c>
      <c r="BW84" s="95">
        <f>+'QTR Share Price'!JP19</f>
        <v>891.65</v>
      </c>
      <c r="BX84" s="95">
        <f>+'QTR Share Price'!JQ19</f>
        <v>797</v>
      </c>
      <c r="BY84" s="95">
        <f>+'QTR Share Price'!JR19</f>
        <v>788.8</v>
      </c>
      <c r="BZ84" s="78">
        <f t="shared" ref="BZ84:CO84" si="991">+BZ92*BZ64</f>
        <v>650.20434636510458</v>
      </c>
      <c r="CA84" s="78">
        <f t="shared" si="991"/>
        <v>680.66400199883742</v>
      </c>
      <c r="CB84" s="78">
        <f t="shared" si="991"/>
        <v>711.08305354489573</v>
      </c>
      <c r="CC84" s="78">
        <f t="shared" si="991"/>
        <v>742.09733788946482</v>
      </c>
      <c r="CD84" s="78">
        <f t="shared" si="991"/>
        <v>774.88574441054675</v>
      </c>
      <c r="CE84" s="78">
        <f t="shared" si="991"/>
        <v>808.65802420397836</v>
      </c>
      <c r="CF84" s="78">
        <f t="shared" si="991"/>
        <v>843.18450536140995</v>
      </c>
      <c r="CG84" s="78">
        <f t="shared" si="991"/>
        <v>878.67852472161667</v>
      </c>
      <c r="CH84" s="78">
        <f t="shared" si="991"/>
        <v>915.52781176360111</v>
      </c>
      <c r="CI84" s="78">
        <f t="shared" si="991"/>
        <v>953.58512241277595</v>
      </c>
      <c r="CJ84" s="78">
        <f t="shared" si="991"/>
        <v>992.65308062933059</v>
      </c>
      <c r="CK84" s="78">
        <f t="shared" si="991"/>
        <v>1032.7883815273344</v>
      </c>
      <c r="CL84" s="78">
        <f t="shared" si="991"/>
        <v>1074.3300310085122</v>
      </c>
      <c r="CM84" s="78">
        <f t="shared" si="991"/>
        <v>1117.2654405876119</v>
      </c>
      <c r="CN84" s="78">
        <f t="shared" si="991"/>
        <v>1161.3569991527904</v>
      </c>
      <c r="CO84" s="78">
        <f t="shared" si="991"/>
        <v>1206.6270886611319</v>
      </c>
      <c r="CT84" s="95">
        <v>891.65</v>
      </c>
    </row>
    <row r="85" spans="1:98" s="95" customFormat="1" x14ac:dyDescent="0.2">
      <c r="A85" s="95" t="s">
        <v>38</v>
      </c>
      <c r="B85" s="95">
        <f>+'Annual Raw'!C61</f>
        <v>0</v>
      </c>
      <c r="C85" s="95">
        <f>+'Annual Raw'!D61</f>
        <v>0</v>
      </c>
      <c r="D85" s="95">
        <f>+'Annual Raw'!E61</f>
        <v>0</v>
      </c>
      <c r="E85" s="95">
        <f>+'Annual Raw'!F61</f>
        <v>0</v>
      </c>
      <c r="F85" s="95">
        <f>+'Annual Raw'!G61</f>
        <v>0</v>
      </c>
      <c r="G85" s="95">
        <f>+'Annual Raw'!H61</f>
        <v>0</v>
      </c>
      <c r="H85" s="95">
        <f>+'Annual Raw'!I61</f>
        <v>0</v>
      </c>
      <c r="I85" s="95">
        <f>+'Annual Raw'!J61</f>
        <v>0</v>
      </c>
      <c r="J85" s="95">
        <f>+'Annual Raw'!K61</f>
        <v>0</v>
      </c>
      <c r="K85" s="95">
        <f>+'Annual Raw'!L61</f>
        <v>0</v>
      </c>
      <c r="L85" s="95">
        <f>+'Annual Raw'!M61</f>
        <v>0</v>
      </c>
      <c r="M85" s="95">
        <f>+'Annual Raw'!N61</f>
        <v>0</v>
      </c>
      <c r="N85" s="95">
        <f>+'Annual Raw'!O61</f>
        <v>0</v>
      </c>
      <c r="O85" s="95">
        <f>+'Annual Raw'!P61</f>
        <v>0</v>
      </c>
      <c r="P85" s="95">
        <f>+'Annual Raw'!Q61</f>
        <v>0</v>
      </c>
      <c r="Q85" s="95">
        <f>+'Annual Raw'!R61</f>
        <v>0</v>
      </c>
      <c r="R85" s="95">
        <f>+'Annual Raw'!S61</f>
        <v>0</v>
      </c>
      <c r="S85" s="95">
        <f>+'Annual Raw'!T61</f>
        <v>0</v>
      </c>
      <c r="T85" s="95">
        <f>+'Annual Raw'!U61</f>
        <v>0</v>
      </c>
      <c r="U85" s="95">
        <f>+'Annual Raw'!V61</f>
        <v>0</v>
      </c>
      <c r="V85" s="95">
        <f>+'Annual Raw'!W61</f>
        <v>0</v>
      </c>
      <c r="W85" s="95">
        <f>+'Annual Raw'!X61</f>
        <v>0</v>
      </c>
      <c r="X85" s="95">
        <f>+'Annual Raw'!Y61</f>
        <v>0</v>
      </c>
      <c r="Y85" s="95">
        <f>+'Annual Raw'!Z61</f>
        <v>0</v>
      </c>
      <c r="Z85" s="95">
        <f>+'Annual Raw'!AA61</f>
        <v>0</v>
      </c>
      <c r="AA85" s="95">
        <f>+'Annual Raw'!AB61</f>
        <v>557</v>
      </c>
      <c r="AB85" s="78">
        <f>+MIN(BZ85:CC85)</f>
        <v>520.16347709208367</v>
      </c>
      <c r="AC85" s="78">
        <f>+MIN(CD85:CG85)</f>
        <v>619.90859552843744</v>
      </c>
      <c r="AD85" s="78">
        <f>+MIN(CH85:CK85)</f>
        <v>732.42224941088091</v>
      </c>
      <c r="AE85" s="78">
        <f>+MIN(CL85:CO85)</f>
        <v>859.46402480680979</v>
      </c>
      <c r="AG85" s="77"/>
      <c r="AH85" s="95">
        <f>+'QTR Share Price'!IA20</f>
        <v>0</v>
      </c>
      <c r="AI85" s="95">
        <f>+'QTR Share Price'!IB20</f>
        <v>0</v>
      </c>
      <c r="AJ85" s="95">
        <f>+'QTR Share Price'!IC20</f>
        <v>0</v>
      </c>
      <c r="AK85" s="95">
        <f>+'QTR Share Price'!ID20</f>
        <v>0</v>
      </c>
      <c r="AL85" s="95">
        <f>+'QTR Share Price'!IE20</f>
        <v>0</v>
      </c>
      <c r="AM85" s="95">
        <f>+'QTR Share Price'!IF20</f>
        <v>0</v>
      </c>
      <c r="AN85" s="95">
        <f>+'QTR Share Price'!IG20</f>
        <v>0</v>
      </c>
      <c r="AO85" s="95">
        <f>+'QTR Share Price'!IH20</f>
        <v>0</v>
      </c>
      <c r="AP85" s="95">
        <f>+'QTR Share Price'!II20</f>
        <v>0</v>
      </c>
      <c r="AQ85" s="95">
        <f>+'QTR Share Price'!IJ20</f>
        <v>0</v>
      </c>
      <c r="AR85" s="95">
        <f>+'QTR Share Price'!IK20</f>
        <v>0</v>
      </c>
      <c r="AS85" s="95">
        <f>+'QTR Share Price'!IL20</f>
        <v>0</v>
      </c>
      <c r="AT85" s="95">
        <f>+'QTR Share Price'!IM20</f>
        <v>0</v>
      </c>
      <c r="AU85" s="95">
        <f>+'QTR Share Price'!IN20</f>
        <v>0</v>
      </c>
      <c r="AV85" s="95">
        <f>+'QTR Share Price'!IO20</f>
        <v>0</v>
      </c>
      <c r="AW85" s="95">
        <f>+'QTR Share Price'!IP20</f>
        <v>0</v>
      </c>
      <c r="AX85" s="95">
        <f>+'QTR Share Price'!IQ20</f>
        <v>0</v>
      </c>
      <c r="AY85" s="95">
        <f>+'QTR Share Price'!IR20</f>
        <v>0</v>
      </c>
      <c r="AZ85" s="95">
        <f>+'QTR Share Price'!IS20</f>
        <v>0</v>
      </c>
      <c r="BA85" s="95">
        <f>+'QTR Share Price'!IT20</f>
        <v>0</v>
      </c>
      <c r="BB85" s="95">
        <f>+'QTR Share Price'!IU20</f>
        <v>0</v>
      </c>
      <c r="BC85" s="95">
        <f>+'QTR Share Price'!IV20</f>
        <v>0</v>
      </c>
      <c r="BD85" s="95">
        <f>+'QTR Share Price'!IW20</f>
        <v>0</v>
      </c>
      <c r="BE85" s="95">
        <f>+'QTR Share Price'!IX20</f>
        <v>0</v>
      </c>
      <c r="BF85" s="95">
        <f>+'QTR Share Price'!IY20</f>
        <v>0</v>
      </c>
      <c r="BG85" s="95">
        <f>+'QTR Share Price'!IZ20</f>
        <v>0</v>
      </c>
      <c r="BH85" s="95">
        <f>+'QTR Share Price'!JA20</f>
        <v>0</v>
      </c>
      <c r="BI85" s="95">
        <f>+'QTR Share Price'!JB20</f>
        <v>0</v>
      </c>
      <c r="BJ85" s="95">
        <f>+'QTR Share Price'!JC20</f>
        <v>0</v>
      </c>
      <c r="BK85" s="95">
        <f>+'QTR Share Price'!JD20</f>
        <v>0</v>
      </c>
      <c r="BL85" s="95">
        <f>+'QTR Share Price'!JE20</f>
        <v>0</v>
      </c>
      <c r="BM85" s="95">
        <f>+'QTR Share Price'!JF20</f>
        <v>0</v>
      </c>
      <c r="BN85" s="95">
        <f>+'QTR Share Price'!JG20</f>
        <v>0</v>
      </c>
      <c r="BO85" s="95">
        <f>+'QTR Share Price'!JH20</f>
        <v>0</v>
      </c>
      <c r="BP85" s="95">
        <f>+'QTR Share Price'!JI20</f>
        <v>0</v>
      </c>
      <c r="BQ85" s="95">
        <f>+'QTR Share Price'!JJ20</f>
        <v>0</v>
      </c>
      <c r="BR85" s="95">
        <f>+'QTR Share Price'!JK20</f>
        <v>0</v>
      </c>
      <c r="BS85" s="95">
        <f>+'QTR Share Price'!JL20</f>
        <v>0</v>
      </c>
      <c r="BT85" s="95">
        <f>+'QTR Share Price'!JM20</f>
        <v>0</v>
      </c>
      <c r="BU85" s="95">
        <f>+'QTR Share Price'!JN20</f>
        <v>0</v>
      </c>
      <c r="BV85" s="95">
        <f>+'QTR Share Price'!JO20</f>
        <v>0</v>
      </c>
      <c r="BW85" s="95">
        <f>+'QTR Share Price'!JP20</f>
        <v>732.3</v>
      </c>
      <c r="BX85" s="95">
        <f>+'QTR Share Price'!JQ20</f>
        <v>705</v>
      </c>
      <c r="BY85" s="95">
        <f>+'QTR Share Price'!JR20</f>
        <v>557</v>
      </c>
      <c r="BZ85" s="78">
        <f t="shared" ref="BZ85:CO85" si="992">+BZ93*BZ64</f>
        <v>520.16347709208367</v>
      </c>
      <c r="CA85" s="78">
        <f t="shared" si="992"/>
        <v>544.53120159906996</v>
      </c>
      <c r="CB85" s="78">
        <f t="shared" si="992"/>
        <v>568.86644283591659</v>
      </c>
      <c r="CC85" s="78">
        <f t="shared" si="992"/>
        <v>593.67787031157184</v>
      </c>
      <c r="CD85" s="78">
        <f t="shared" si="992"/>
        <v>619.90859552843744</v>
      </c>
      <c r="CE85" s="78">
        <f t="shared" si="992"/>
        <v>646.92641936318273</v>
      </c>
      <c r="CF85" s="78">
        <f t="shared" si="992"/>
        <v>674.547604289128</v>
      </c>
      <c r="CG85" s="78">
        <f t="shared" si="992"/>
        <v>702.94281977729338</v>
      </c>
      <c r="CH85" s="78">
        <f t="shared" si="992"/>
        <v>732.42224941088091</v>
      </c>
      <c r="CI85" s="78">
        <f t="shared" si="992"/>
        <v>762.86809793022076</v>
      </c>
      <c r="CJ85" s="78">
        <f t="shared" si="992"/>
        <v>794.12246450346447</v>
      </c>
      <c r="CK85" s="78">
        <f t="shared" si="992"/>
        <v>826.23070522186754</v>
      </c>
      <c r="CL85" s="78">
        <f t="shared" si="992"/>
        <v>859.46402480680979</v>
      </c>
      <c r="CM85" s="78">
        <f t="shared" si="992"/>
        <v>893.81235247008954</v>
      </c>
      <c r="CN85" s="78">
        <f t="shared" si="992"/>
        <v>929.08559932223238</v>
      </c>
      <c r="CO85" s="78">
        <f t="shared" si="992"/>
        <v>965.30167092890542</v>
      </c>
      <c r="CT85" s="95">
        <v>0</v>
      </c>
    </row>
    <row r="86" spans="1:98" s="89" customFormat="1" x14ac:dyDescent="0.2">
      <c r="AB86" s="83"/>
      <c r="AC86" s="83"/>
      <c r="AD86" s="83"/>
      <c r="AE86" s="83"/>
      <c r="AG86" s="82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</row>
    <row r="87" spans="1:98" s="90" customFormat="1" x14ac:dyDescent="0.2">
      <c r="A87" s="90" t="s">
        <v>46</v>
      </c>
      <c r="AB87" s="69"/>
      <c r="AC87" s="69"/>
      <c r="AD87" s="69"/>
      <c r="AE87" s="69"/>
      <c r="AG87" s="70"/>
      <c r="BZ87" s="69">
        <f t="shared" ref="BZ87:CC87" si="993">+BZ84/BZ83-1</f>
        <v>3.1437902323783184E-4</v>
      </c>
      <c r="CA87" s="69">
        <f t="shared" si="993"/>
        <v>4.717538769051921E-2</v>
      </c>
      <c r="CB87" s="69">
        <f t="shared" si="993"/>
        <v>9.397392853060893E-2</v>
      </c>
      <c r="CC87" s="69">
        <f t="shared" si="993"/>
        <v>0.14168821213763816</v>
      </c>
      <c r="CD87" s="69">
        <f t="shared" ref="CD87:CO87" si="994">+CD84/CD83-1</f>
        <v>0.19213191447776423</v>
      </c>
      <c r="CE87" s="69">
        <f t="shared" si="994"/>
        <v>0.24408926800612063</v>
      </c>
      <c r="CF87" s="69">
        <f t="shared" si="994"/>
        <v>0.29720693132524612</v>
      </c>
      <c r="CG87" s="69">
        <f t="shared" si="994"/>
        <v>0.35181311495633327</v>
      </c>
      <c r="CH87" s="69">
        <f t="shared" si="994"/>
        <v>0.4085043257901555</v>
      </c>
      <c r="CI87" s="69">
        <f t="shared" si="994"/>
        <v>0.46705403448119376</v>
      </c>
      <c r="CJ87" s="69">
        <f t="shared" si="994"/>
        <v>0.52715858558358542</v>
      </c>
      <c r="CK87" s="69">
        <f t="shared" si="994"/>
        <v>0.58890520234974519</v>
      </c>
      <c r="CL87" s="69">
        <f t="shared" si="994"/>
        <v>0.65281543232078798</v>
      </c>
      <c r="CM87" s="69">
        <f t="shared" si="994"/>
        <v>0.71886990859632593</v>
      </c>
      <c r="CN87" s="69">
        <f t="shared" si="994"/>
        <v>0.78670307561967756</v>
      </c>
      <c r="CO87" s="69">
        <f t="shared" si="994"/>
        <v>0.8563493671709721</v>
      </c>
    </row>
    <row r="88" spans="1:98" s="90" customFormat="1" x14ac:dyDescent="0.2">
      <c r="A88" s="90" t="s">
        <v>47</v>
      </c>
      <c r="AB88" s="69"/>
      <c r="AC88" s="69"/>
      <c r="AD88" s="69"/>
      <c r="AE88" s="69"/>
      <c r="AG88" s="70"/>
      <c r="BZ88" s="69">
        <f t="shared" ref="BZ88:CC88" si="995">+BZ85/BZ83-1</f>
        <v>-0.19974849678140971</v>
      </c>
      <c r="CA88" s="69">
        <f t="shared" si="995"/>
        <v>-0.16225968984758465</v>
      </c>
      <c r="CB88" s="69">
        <f t="shared" si="995"/>
        <v>-0.12482085717551294</v>
      </c>
      <c r="CC88" s="69">
        <f t="shared" si="995"/>
        <v>-8.6649430289889473E-2</v>
      </c>
      <c r="CD88" s="69">
        <f t="shared" ref="CD88:CO88" si="996">+CD85/CD83-1</f>
        <v>-4.6294468417788504E-2</v>
      </c>
      <c r="CE88" s="69">
        <f t="shared" si="996"/>
        <v>-4.7285855951034739E-3</v>
      </c>
      <c r="CF88" s="69">
        <f t="shared" si="996"/>
        <v>3.7765545060197026E-2</v>
      </c>
      <c r="CG88" s="69">
        <f t="shared" si="996"/>
        <v>8.1450491965066707E-2</v>
      </c>
      <c r="CH88" s="69">
        <f t="shared" si="996"/>
        <v>0.12680346063212444</v>
      </c>
      <c r="CI88" s="69">
        <f t="shared" si="996"/>
        <v>0.1736432275849551</v>
      </c>
      <c r="CJ88" s="69">
        <f t="shared" si="996"/>
        <v>0.22172686846686851</v>
      </c>
      <c r="CK88" s="69">
        <f t="shared" si="996"/>
        <v>0.27112416187979616</v>
      </c>
      <c r="CL88" s="69">
        <f t="shared" si="996"/>
        <v>0.32225234585663043</v>
      </c>
      <c r="CM88" s="69">
        <f t="shared" si="996"/>
        <v>0.37509592687706084</v>
      </c>
      <c r="CN88" s="69">
        <f t="shared" si="996"/>
        <v>0.42936246049574223</v>
      </c>
      <c r="CO88" s="69">
        <f t="shared" si="996"/>
        <v>0.4850794937367775</v>
      </c>
    </row>
    <row r="89" spans="1:98" s="90" customFormat="1" x14ac:dyDescent="0.2">
      <c r="AB89" s="69"/>
      <c r="AC89" s="69"/>
      <c r="AD89" s="69"/>
      <c r="AE89" s="69"/>
      <c r="AG89" s="70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</row>
    <row r="90" spans="1:98" s="89" customFormat="1" x14ac:dyDescent="0.2">
      <c r="A90" s="89" t="s">
        <v>164</v>
      </c>
      <c r="AB90" s="83"/>
      <c r="AC90" s="83"/>
      <c r="AD90" s="83"/>
      <c r="AE90" s="83"/>
      <c r="AG90" s="82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</row>
    <row r="91" spans="1:98" s="89" customFormat="1" x14ac:dyDescent="0.2">
      <c r="A91" s="89" t="s">
        <v>40</v>
      </c>
      <c r="B91" s="89" t="e">
        <f t="shared" ref="B91:AE91" si="997">+B83/B64</f>
        <v>#DIV/0!</v>
      </c>
      <c r="C91" s="89" t="e">
        <f t="shared" si="997"/>
        <v>#DIV/0!</v>
      </c>
      <c r="D91" s="89" t="e">
        <f t="shared" si="997"/>
        <v>#DIV/0!</v>
      </c>
      <c r="E91" s="89" t="e">
        <f t="shared" si="997"/>
        <v>#DIV/0!</v>
      </c>
      <c r="F91" s="89" t="e">
        <f t="shared" si="997"/>
        <v>#DIV/0!</v>
      </c>
      <c r="G91" s="89" t="e">
        <f t="shared" si="997"/>
        <v>#DIV/0!</v>
      </c>
      <c r="H91" s="89" t="e">
        <f t="shared" si="997"/>
        <v>#DIV/0!</v>
      </c>
      <c r="I91" s="89">
        <f t="shared" si="997"/>
        <v>0</v>
      </c>
      <c r="J91" s="89">
        <f t="shared" si="997"/>
        <v>0</v>
      </c>
      <c r="K91" s="89">
        <f t="shared" si="997"/>
        <v>0</v>
      </c>
      <c r="L91" s="89">
        <f t="shared" si="997"/>
        <v>0</v>
      </c>
      <c r="M91" s="89">
        <f t="shared" si="997"/>
        <v>0</v>
      </c>
      <c r="N91" s="89">
        <f t="shared" si="997"/>
        <v>0</v>
      </c>
      <c r="O91" s="89">
        <f t="shared" si="997"/>
        <v>0</v>
      </c>
      <c r="P91" s="89">
        <f t="shared" si="997"/>
        <v>0</v>
      </c>
      <c r="Q91" s="89">
        <f t="shared" si="997"/>
        <v>0</v>
      </c>
      <c r="R91" s="89">
        <f t="shared" si="997"/>
        <v>0</v>
      </c>
      <c r="S91" s="89">
        <f t="shared" si="997"/>
        <v>0</v>
      </c>
      <c r="T91" s="89">
        <f t="shared" si="997"/>
        <v>0</v>
      </c>
      <c r="U91" s="89">
        <f t="shared" si="997"/>
        <v>0</v>
      </c>
      <c r="V91" s="89">
        <f t="shared" si="997"/>
        <v>0</v>
      </c>
      <c r="W91" s="89">
        <f t="shared" si="997"/>
        <v>0</v>
      </c>
      <c r="X91" s="89">
        <f t="shared" si="997"/>
        <v>0</v>
      </c>
      <c r="Y91" s="89">
        <f t="shared" si="997"/>
        <v>0</v>
      </c>
      <c r="Z91" s="89">
        <f t="shared" si="997"/>
        <v>0</v>
      </c>
      <c r="AA91" s="89">
        <f t="shared" ref="AA91" si="998">+AA83/AA64</f>
        <v>2.3998608367240353</v>
      </c>
      <c r="AB91" s="83">
        <f t="shared" si="997"/>
        <v>2.1897396972498551</v>
      </c>
      <c r="AC91" s="83">
        <f t="shared" si="997"/>
        <v>1.8493680615613466</v>
      </c>
      <c r="AD91" s="83">
        <f t="shared" si="997"/>
        <v>1.5734104188864675</v>
      </c>
      <c r="AE91" s="83">
        <f t="shared" si="997"/>
        <v>1.3467292548546155</v>
      </c>
      <c r="AG91" s="82"/>
      <c r="AH91" s="89" t="e">
        <f t="shared" ref="AH91:AS91" si="999">+AH83/AH64</f>
        <v>#DIV/0!</v>
      </c>
      <c r="AI91" s="89" t="e">
        <f t="shared" si="999"/>
        <v>#DIV/0!</v>
      </c>
      <c r="AJ91" s="89" t="e">
        <f t="shared" si="999"/>
        <v>#DIV/0!</v>
      </c>
      <c r="AK91" s="89" t="e">
        <f t="shared" si="999"/>
        <v>#DIV/0!</v>
      </c>
      <c r="AL91" s="89" t="e">
        <f t="shared" si="999"/>
        <v>#DIV/0!</v>
      </c>
      <c r="AM91" s="89" t="e">
        <f t="shared" si="999"/>
        <v>#DIV/0!</v>
      </c>
      <c r="AN91" s="89" t="e">
        <f t="shared" si="999"/>
        <v>#DIV/0!</v>
      </c>
      <c r="AO91" s="89" t="e">
        <f t="shared" si="999"/>
        <v>#DIV/0!</v>
      </c>
      <c r="AP91" s="89" t="e">
        <f t="shared" si="999"/>
        <v>#DIV/0!</v>
      </c>
      <c r="AQ91" s="89" t="e">
        <f t="shared" si="999"/>
        <v>#DIV/0!</v>
      </c>
      <c r="AR91" s="89" t="e">
        <f t="shared" si="999"/>
        <v>#DIV/0!</v>
      </c>
      <c r="AS91" s="89" t="e">
        <f t="shared" si="999"/>
        <v>#DIV/0!</v>
      </c>
      <c r="AT91" s="89" t="e">
        <f t="shared" ref="AT91:CO91" si="1000">+AT83/AT64</f>
        <v>#DIV/0!</v>
      </c>
      <c r="AU91" s="89" t="e">
        <f t="shared" si="1000"/>
        <v>#DIV/0!</v>
      </c>
      <c r="AV91" s="89" t="e">
        <f t="shared" si="1000"/>
        <v>#DIV/0!</v>
      </c>
      <c r="AW91" s="89" t="e">
        <f t="shared" si="1000"/>
        <v>#DIV/0!</v>
      </c>
      <c r="AX91" s="89" t="e">
        <f t="shared" si="1000"/>
        <v>#DIV/0!</v>
      </c>
      <c r="AY91" s="89" t="e">
        <f t="shared" si="1000"/>
        <v>#DIV/0!</v>
      </c>
      <c r="AZ91" s="89" t="e">
        <f t="shared" si="1000"/>
        <v>#DIV/0!</v>
      </c>
      <c r="BA91" s="89" t="e">
        <f t="shared" si="1000"/>
        <v>#DIV/0!</v>
      </c>
      <c r="BB91" s="89" t="e">
        <f t="shared" si="1000"/>
        <v>#DIV/0!</v>
      </c>
      <c r="BC91" s="89" t="e">
        <f t="shared" si="1000"/>
        <v>#DIV/0!</v>
      </c>
      <c r="BD91" s="89" t="e">
        <f t="shared" si="1000"/>
        <v>#DIV/0!</v>
      </c>
      <c r="BE91" s="89" t="e">
        <f t="shared" si="1000"/>
        <v>#DIV/0!</v>
      </c>
      <c r="BF91" s="89" t="e">
        <f t="shared" si="1000"/>
        <v>#DIV/0!</v>
      </c>
      <c r="BG91" s="89" t="e">
        <f t="shared" si="1000"/>
        <v>#DIV/0!</v>
      </c>
      <c r="BH91" s="89" t="e">
        <f t="shared" si="1000"/>
        <v>#DIV/0!</v>
      </c>
      <c r="BI91" s="89" t="e">
        <f t="shared" si="1000"/>
        <v>#DIV/0!</v>
      </c>
      <c r="BJ91" s="89" t="e">
        <f t="shared" si="1000"/>
        <v>#DIV/0!</v>
      </c>
      <c r="BK91" s="89" t="e">
        <f t="shared" si="1000"/>
        <v>#DIV/0!</v>
      </c>
      <c r="BL91" s="89" t="e">
        <f t="shared" si="1000"/>
        <v>#DIV/0!</v>
      </c>
      <c r="BM91" s="89" t="e">
        <f t="shared" si="1000"/>
        <v>#DIV/0!</v>
      </c>
      <c r="BN91" s="89" t="e">
        <f t="shared" si="1000"/>
        <v>#DIV/0!</v>
      </c>
      <c r="BO91" s="89" t="e">
        <f t="shared" si="1000"/>
        <v>#DIV/0!</v>
      </c>
      <c r="BP91" s="89" t="e">
        <f t="shared" si="1000"/>
        <v>#DIV/0!</v>
      </c>
      <c r="BQ91" s="89" t="e">
        <f t="shared" si="1000"/>
        <v>#DIV/0!</v>
      </c>
      <c r="BR91" s="89" t="e">
        <f t="shared" si="1000"/>
        <v>#DIV/0!</v>
      </c>
      <c r="BS91" s="89" t="e">
        <f t="shared" si="1000"/>
        <v>#DIV/0!</v>
      </c>
      <c r="BT91" s="89">
        <f t="shared" si="1000"/>
        <v>0</v>
      </c>
      <c r="BU91" s="89">
        <f t="shared" si="1000"/>
        <v>0</v>
      </c>
      <c r="BV91" s="89">
        <f t="shared" si="1000"/>
        <v>0</v>
      </c>
      <c r="BW91" s="89">
        <f t="shared" ref="BW91:BX91" si="1001">+BW83/BW64</f>
        <v>3.21789494368659</v>
      </c>
      <c r="BX91" s="89">
        <f t="shared" si="1001"/>
        <v>3.1783625129490893</v>
      </c>
      <c r="BY91" s="89">
        <f t="shared" ref="BY91" si="1002">+BY83/BY64</f>
        <v>2.2503364063104914</v>
      </c>
      <c r="BZ91" s="83">
        <f t="shared" si="1000"/>
        <v>2.4992142994496769</v>
      </c>
      <c r="CA91" s="83">
        <f t="shared" si="1000"/>
        <v>2.3873746741828952</v>
      </c>
      <c r="CB91" s="83">
        <f t="shared" si="1000"/>
        <v>2.2852464165740409</v>
      </c>
      <c r="CC91" s="83">
        <f t="shared" si="1000"/>
        <v>2.1897396972498551</v>
      </c>
      <c r="CD91" s="83">
        <f t="shared" si="1000"/>
        <v>2.0970833593488449</v>
      </c>
      <c r="CE91" s="83">
        <f t="shared" si="1000"/>
        <v>2.009502102696139</v>
      </c>
      <c r="CF91" s="83">
        <f t="shared" si="1000"/>
        <v>1.9272175777275276</v>
      </c>
      <c r="CG91" s="83">
        <f t="shared" si="1000"/>
        <v>1.8493680615613466</v>
      </c>
      <c r="CH91" s="83">
        <f t="shared" si="1000"/>
        <v>1.7749324259955874</v>
      </c>
      <c r="CI91" s="83">
        <f t="shared" si="1000"/>
        <v>1.7040953783846791</v>
      </c>
      <c r="CJ91" s="83">
        <f t="shared" si="1000"/>
        <v>1.6370271061565322</v>
      </c>
      <c r="CK91" s="83">
        <f t="shared" si="1000"/>
        <v>1.5734104188864675</v>
      </c>
      <c r="CL91" s="83">
        <f t="shared" si="1000"/>
        <v>1.5125705817555468</v>
      </c>
      <c r="CM91" s="83">
        <f t="shared" si="1000"/>
        <v>1.454443985258643</v>
      </c>
      <c r="CN91" s="83">
        <f t="shared" si="1000"/>
        <v>1.3992252177284306</v>
      </c>
      <c r="CO91" s="83">
        <f t="shared" si="1000"/>
        <v>1.3467292548546155</v>
      </c>
      <c r="CT91" s="89">
        <v>2.2503364063104914</v>
      </c>
    </row>
    <row r="92" spans="1:98" s="89" customFormat="1" x14ac:dyDescent="0.2">
      <c r="A92" s="89" t="s">
        <v>37</v>
      </c>
      <c r="B92" s="89" t="e">
        <f>B84/B59</f>
        <v>#DIV/0!</v>
      </c>
      <c r="C92" s="89" t="e">
        <f>C84/C59</f>
        <v>#DIV/0!</v>
      </c>
      <c r="D92" s="89" t="e">
        <f t="shared" ref="D92:AE92" si="1003">D84/D64</f>
        <v>#DIV/0!</v>
      </c>
      <c r="E92" s="89" t="e">
        <f t="shared" si="1003"/>
        <v>#DIV/0!</v>
      </c>
      <c r="F92" s="89" t="e">
        <f t="shared" si="1003"/>
        <v>#DIV/0!</v>
      </c>
      <c r="G92" s="89" t="e">
        <f t="shared" si="1003"/>
        <v>#DIV/0!</v>
      </c>
      <c r="H92" s="89" t="e">
        <f t="shared" si="1003"/>
        <v>#DIV/0!</v>
      </c>
      <c r="I92" s="89">
        <f t="shared" si="1003"/>
        <v>0</v>
      </c>
      <c r="J92" s="89">
        <f t="shared" si="1003"/>
        <v>0</v>
      </c>
      <c r="K92" s="89">
        <f t="shared" si="1003"/>
        <v>0</v>
      </c>
      <c r="L92" s="89">
        <f t="shared" si="1003"/>
        <v>0</v>
      </c>
      <c r="M92" s="89">
        <f t="shared" si="1003"/>
        <v>0</v>
      </c>
      <c r="N92" s="89">
        <f t="shared" si="1003"/>
        <v>0</v>
      </c>
      <c r="O92" s="89">
        <f t="shared" si="1003"/>
        <v>0</v>
      </c>
      <c r="P92" s="89">
        <f t="shared" si="1003"/>
        <v>0</v>
      </c>
      <c r="Q92" s="89">
        <f t="shared" si="1003"/>
        <v>0</v>
      </c>
      <c r="R92" s="89">
        <f t="shared" si="1003"/>
        <v>0</v>
      </c>
      <c r="S92" s="89">
        <f t="shared" si="1003"/>
        <v>0</v>
      </c>
      <c r="T92" s="89">
        <f t="shared" si="1003"/>
        <v>0</v>
      </c>
      <c r="U92" s="89">
        <f t="shared" si="1003"/>
        <v>0</v>
      </c>
      <c r="V92" s="89">
        <f t="shared" si="1003"/>
        <v>0</v>
      </c>
      <c r="W92" s="89">
        <f t="shared" si="1003"/>
        <v>0</v>
      </c>
      <c r="X92" s="89">
        <f t="shared" si="1003"/>
        <v>0</v>
      </c>
      <c r="Y92" s="89">
        <f t="shared" si="1003"/>
        <v>0</v>
      </c>
      <c r="Z92" s="89">
        <f t="shared" si="1003"/>
        <v>0</v>
      </c>
      <c r="AA92" s="89">
        <f t="shared" ref="AA92" si="1004">AA84/AA64</f>
        <v>3.8207944202570951</v>
      </c>
      <c r="AB92" s="83">
        <f t="shared" si="1003"/>
        <v>2.5</v>
      </c>
      <c r="AC92" s="83">
        <f t="shared" si="1003"/>
        <v>2.5</v>
      </c>
      <c r="AD92" s="83">
        <f t="shared" si="1003"/>
        <v>2.5</v>
      </c>
      <c r="AE92" s="83">
        <f t="shared" si="1003"/>
        <v>2.5000000000000004</v>
      </c>
      <c r="AG92" s="82"/>
      <c r="AH92" s="89" t="e">
        <f t="shared" ref="AH92:AS92" si="1005">AH84/AH64</f>
        <v>#DIV/0!</v>
      </c>
      <c r="AI92" s="89" t="e">
        <f t="shared" si="1005"/>
        <v>#DIV/0!</v>
      </c>
      <c r="AJ92" s="89" t="e">
        <f t="shared" si="1005"/>
        <v>#DIV/0!</v>
      </c>
      <c r="AK92" s="89" t="e">
        <f t="shared" si="1005"/>
        <v>#DIV/0!</v>
      </c>
      <c r="AL92" s="89" t="e">
        <f t="shared" si="1005"/>
        <v>#DIV/0!</v>
      </c>
      <c r="AM92" s="89" t="e">
        <f t="shared" si="1005"/>
        <v>#DIV/0!</v>
      </c>
      <c r="AN92" s="89" t="e">
        <f t="shared" si="1005"/>
        <v>#DIV/0!</v>
      </c>
      <c r="AO92" s="89" t="e">
        <f t="shared" si="1005"/>
        <v>#DIV/0!</v>
      </c>
      <c r="AP92" s="89" t="e">
        <f t="shared" si="1005"/>
        <v>#DIV/0!</v>
      </c>
      <c r="AQ92" s="89" t="e">
        <f t="shared" si="1005"/>
        <v>#DIV/0!</v>
      </c>
      <c r="AR92" s="89" t="e">
        <f t="shared" si="1005"/>
        <v>#DIV/0!</v>
      </c>
      <c r="AS92" s="89" t="e">
        <f t="shared" si="1005"/>
        <v>#DIV/0!</v>
      </c>
      <c r="AT92" s="89" t="e">
        <f t="shared" ref="AT92:BV92" si="1006">AT84/AT64</f>
        <v>#DIV/0!</v>
      </c>
      <c r="AU92" s="89" t="e">
        <f t="shared" si="1006"/>
        <v>#DIV/0!</v>
      </c>
      <c r="AV92" s="89" t="e">
        <f t="shared" si="1006"/>
        <v>#DIV/0!</v>
      </c>
      <c r="AW92" s="89" t="e">
        <f t="shared" si="1006"/>
        <v>#DIV/0!</v>
      </c>
      <c r="AX92" s="89" t="e">
        <f t="shared" si="1006"/>
        <v>#DIV/0!</v>
      </c>
      <c r="AY92" s="89" t="e">
        <f t="shared" si="1006"/>
        <v>#DIV/0!</v>
      </c>
      <c r="AZ92" s="89" t="e">
        <f t="shared" si="1006"/>
        <v>#DIV/0!</v>
      </c>
      <c r="BA92" s="89" t="e">
        <f t="shared" si="1006"/>
        <v>#DIV/0!</v>
      </c>
      <c r="BB92" s="89" t="e">
        <f t="shared" si="1006"/>
        <v>#DIV/0!</v>
      </c>
      <c r="BC92" s="89" t="e">
        <f t="shared" si="1006"/>
        <v>#DIV/0!</v>
      </c>
      <c r="BD92" s="89" t="e">
        <f t="shared" si="1006"/>
        <v>#DIV/0!</v>
      </c>
      <c r="BE92" s="89" t="e">
        <f t="shared" si="1006"/>
        <v>#DIV/0!</v>
      </c>
      <c r="BF92" s="89" t="e">
        <f t="shared" si="1006"/>
        <v>#DIV/0!</v>
      </c>
      <c r="BG92" s="89" t="e">
        <f t="shared" si="1006"/>
        <v>#DIV/0!</v>
      </c>
      <c r="BH92" s="89" t="e">
        <f t="shared" si="1006"/>
        <v>#DIV/0!</v>
      </c>
      <c r="BI92" s="89" t="e">
        <f t="shared" si="1006"/>
        <v>#DIV/0!</v>
      </c>
      <c r="BJ92" s="89" t="e">
        <f t="shared" si="1006"/>
        <v>#DIV/0!</v>
      </c>
      <c r="BK92" s="89" t="e">
        <f t="shared" si="1006"/>
        <v>#DIV/0!</v>
      </c>
      <c r="BL92" s="89" t="e">
        <f t="shared" si="1006"/>
        <v>#DIV/0!</v>
      </c>
      <c r="BM92" s="89" t="e">
        <f t="shared" si="1006"/>
        <v>#DIV/0!</v>
      </c>
      <c r="BN92" s="89" t="e">
        <f t="shared" si="1006"/>
        <v>#DIV/0!</v>
      </c>
      <c r="BO92" s="89" t="e">
        <f t="shared" si="1006"/>
        <v>#DIV/0!</v>
      </c>
      <c r="BP92" s="89" t="e">
        <f t="shared" si="1006"/>
        <v>#DIV/0!</v>
      </c>
      <c r="BQ92" s="89" t="e">
        <f t="shared" si="1006"/>
        <v>#DIV/0!</v>
      </c>
      <c r="BR92" s="89" t="e">
        <f t="shared" si="1006"/>
        <v>#DIV/0!</v>
      </c>
      <c r="BS92" s="89" t="e">
        <f t="shared" si="1006"/>
        <v>#DIV/0!</v>
      </c>
      <c r="BT92" s="89">
        <f t="shared" si="1006"/>
        <v>0</v>
      </c>
      <c r="BU92" s="89">
        <f t="shared" si="1006"/>
        <v>0</v>
      </c>
      <c r="BV92" s="89">
        <f t="shared" si="1006"/>
        <v>0</v>
      </c>
      <c r="BW92" s="89">
        <f t="shared" ref="BW92:BX92" si="1007">BW84/BW64</f>
        <v>3.8251380169819331</v>
      </c>
      <c r="BX92" s="89">
        <f t="shared" si="1007"/>
        <v>3.3106644747048608</v>
      </c>
      <c r="BY92" s="89">
        <f t="shared" ref="BY92" si="1008">BY84/BY64</f>
        <v>3.1694765776229188</v>
      </c>
      <c r="BZ92" s="83">
        <v>2.5</v>
      </c>
      <c r="CA92" s="83">
        <f t="shared" ref="CA92:CA93" si="1009">BZ92</f>
        <v>2.5</v>
      </c>
      <c r="CB92" s="83">
        <f t="shared" ref="CB92:CB93" si="1010">CA92</f>
        <v>2.5</v>
      </c>
      <c r="CC92" s="83">
        <f t="shared" ref="CC92:CC93" si="1011">CB92</f>
        <v>2.5</v>
      </c>
      <c r="CD92" s="83">
        <f t="shared" ref="CD92:CD93" si="1012">CC92</f>
        <v>2.5</v>
      </c>
      <c r="CE92" s="83">
        <f t="shared" ref="CE92:CE93" si="1013">CD92</f>
        <v>2.5</v>
      </c>
      <c r="CF92" s="83">
        <f t="shared" ref="CF92:CF93" si="1014">CE92</f>
        <v>2.5</v>
      </c>
      <c r="CG92" s="83">
        <f t="shared" ref="CG92:CG93" si="1015">CF92</f>
        <v>2.5</v>
      </c>
      <c r="CH92" s="83">
        <f t="shared" ref="CH92:CH93" si="1016">CG92</f>
        <v>2.5</v>
      </c>
      <c r="CI92" s="83">
        <f t="shared" ref="CI92:CI93" si="1017">CH92</f>
        <v>2.5</v>
      </c>
      <c r="CJ92" s="83">
        <f t="shared" ref="CJ92:CJ93" si="1018">CI92</f>
        <v>2.5</v>
      </c>
      <c r="CK92" s="83">
        <f t="shared" ref="CK92:CK93" si="1019">CJ92</f>
        <v>2.5</v>
      </c>
      <c r="CL92" s="83">
        <f t="shared" ref="CL92:CL93" si="1020">CK92</f>
        <v>2.5</v>
      </c>
      <c r="CM92" s="83">
        <f t="shared" ref="CM92:CM93" si="1021">CL92</f>
        <v>2.5</v>
      </c>
      <c r="CN92" s="83">
        <f t="shared" ref="CN92:CN93" si="1022">CM92</f>
        <v>2.5</v>
      </c>
      <c r="CO92" s="83">
        <f t="shared" ref="CO92:CO93" si="1023">CN92</f>
        <v>2.5</v>
      </c>
      <c r="CT92" s="89">
        <v>3.5827380710414243</v>
      </c>
    </row>
    <row r="93" spans="1:98" s="89" customFormat="1" x14ac:dyDescent="0.2">
      <c r="A93" s="89" t="s">
        <v>38</v>
      </c>
      <c r="B93" s="89" t="e">
        <f>B85/B59</f>
        <v>#DIV/0!</v>
      </c>
      <c r="C93" s="89" t="e">
        <f>C85/C59</f>
        <v>#DIV/0!</v>
      </c>
      <c r="D93" s="89" t="e">
        <f t="shared" ref="D93:AE93" si="1024">D85/D64</f>
        <v>#DIV/0!</v>
      </c>
      <c r="E93" s="89" t="e">
        <f t="shared" si="1024"/>
        <v>#DIV/0!</v>
      </c>
      <c r="F93" s="89" t="e">
        <f t="shared" si="1024"/>
        <v>#DIV/0!</v>
      </c>
      <c r="G93" s="89" t="e">
        <f t="shared" si="1024"/>
        <v>#DIV/0!</v>
      </c>
      <c r="H93" s="89" t="e">
        <f t="shared" si="1024"/>
        <v>#DIV/0!</v>
      </c>
      <c r="I93" s="89">
        <f t="shared" si="1024"/>
        <v>0</v>
      </c>
      <c r="J93" s="89">
        <f t="shared" si="1024"/>
        <v>0</v>
      </c>
      <c r="K93" s="89">
        <f t="shared" si="1024"/>
        <v>0</v>
      </c>
      <c r="L93" s="89">
        <f t="shared" si="1024"/>
        <v>0</v>
      </c>
      <c r="M93" s="89">
        <f t="shared" si="1024"/>
        <v>0</v>
      </c>
      <c r="N93" s="89">
        <f t="shared" si="1024"/>
        <v>0</v>
      </c>
      <c r="O93" s="89">
        <f t="shared" si="1024"/>
        <v>0</v>
      </c>
      <c r="P93" s="89">
        <f t="shared" si="1024"/>
        <v>0</v>
      </c>
      <c r="Q93" s="89">
        <f t="shared" si="1024"/>
        <v>0</v>
      </c>
      <c r="R93" s="89">
        <f t="shared" si="1024"/>
        <v>0</v>
      </c>
      <c r="S93" s="89">
        <f t="shared" si="1024"/>
        <v>0</v>
      </c>
      <c r="T93" s="89">
        <f t="shared" si="1024"/>
        <v>0</v>
      </c>
      <c r="U93" s="89">
        <f t="shared" si="1024"/>
        <v>0</v>
      </c>
      <c r="V93" s="89">
        <f t="shared" si="1024"/>
        <v>0</v>
      </c>
      <c r="W93" s="89">
        <f t="shared" si="1024"/>
        <v>0</v>
      </c>
      <c r="X93" s="89">
        <f t="shared" si="1024"/>
        <v>0</v>
      </c>
      <c r="Y93" s="89">
        <f t="shared" si="1024"/>
        <v>0</v>
      </c>
      <c r="Z93" s="89">
        <f t="shared" si="1024"/>
        <v>0</v>
      </c>
      <c r="AA93" s="89">
        <f t="shared" ref="AA93" si="1025">AA85/AA64</f>
        <v>2.3867913330154233</v>
      </c>
      <c r="AB93" s="83">
        <f t="shared" si="1024"/>
        <v>1.7523424843816171</v>
      </c>
      <c r="AC93" s="83">
        <f t="shared" si="1024"/>
        <v>1.763752550242528</v>
      </c>
      <c r="AD93" s="83">
        <f t="shared" si="1024"/>
        <v>1.772924304995912</v>
      </c>
      <c r="AE93" s="83">
        <f t="shared" si="1024"/>
        <v>1.7807159164652673</v>
      </c>
      <c r="AG93" s="82"/>
      <c r="AH93" s="89" t="e">
        <f t="shared" ref="AH93:AS93" si="1026">AH85/AH64</f>
        <v>#DIV/0!</v>
      </c>
      <c r="AI93" s="89" t="e">
        <f t="shared" si="1026"/>
        <v>#DIV/0!</v>
      </c>
      <c r="AJ93" s="89" t="e">
        <f t="shared" si="1026"/>
        <v>#DIV/0!</v>
      </c>
      <c r="AK93" s="89" t="e">
        <f t="shared" si="1026"/>
        <v>#DIV/0!</v>
      </c>
      <c r="AL93" s="89" t="e">
        <f t="shared" si="1026"/>
        <v>#DIV/0!</v>
      </c>
      <c r="AM93" s="89" t="e">
        <f t="shared" si="1026"/>
        <v>#DIV/0!</v>
      </c>
      <c r="AN93" s="89" t="e">
        <f t="shared" si="1026"/>
        <v>#DIV/0!</v>
      </c>
      <c r="AO93" s="89" t="e">
        <f t="shared" si="1026"/>
        <v>#DIV/0!</v>
      </c>
      <c r="AP93" s="89" t="e">
        <f t="shared" si="1026"/>
        <v>#DIV/0!</v>
      </c>
      <c r="AQ93" s="89" t="e">
        <f t="shared" si="1026"/>
        <v>#DIV/0!</v>
      </c>
      <c r="AR93" s="89" t="e">
        <f t="shared" si="1026"/>
        <v>#DIV/0!</v>
      </c>
      <c r="AS93" s="89" t="e">
        <f t="shared" si="1026"/>
        <v>#DIV/0!</v>
      </c>
      <c r="AT93" s="89" t="e">
        <f t="shared" ref="AT93:BV93" si="1027">AT85/AT64</f>
        <v>#DIV/0!</v>
      </c>
      <c r="AU93" s="89" t="e">
        <f t="shared" si="1027"/>
        <v>#DIV/0!</v>
      </c>
      <c r="AV93" s="89" t="e">
        <f t="shared" si="1027"/>
        <v>#DIV/0!</v>
      </c>
      <c r="AW93" s="89" t="e">
        <f t="shared" si="1027"/>
        <v>#DIV/0!</v>
      </c>
      <c r="AX93" s="89" t="e">
        <f t="shared" si="1027"/>
        <v>#DIV/0!</v>
      </c>
      <c r="AY93" s="89" t="e">
        <f t="shared" si="1027"/>
        <v>#DIV/0!</v>
      </c>
      <c r="AZ93" s="89" t="e">
        <f t="shared" si="1027"/>
        <v>#DIV/0!</v>
      </c>
      <c r="BA93" s="89" t="e">
        <f t="shared" si="1027"/>
        <v>#DIV/0!</v>
      </c>
      <c r="BB93" s="89" t="e">
        <f t="shared" si="1027"/>
        <v>#DIV/0!</v>
      </c>
      <c r="BC93" s="89" t="e">
        <f t="shared" si="1027"/>
        <v>#DIV/0!</v>
      </c>
      <c r="BD93" s="89" t="e">
        <f t="shared" si="1027"/>
        <v>#DIV/0!</v>
      </c>
      <c r="BE93" s="89" t="e">
        <f t="shared" si="1027"/>
        <v>#DIV/0!</v>
      </c>
      <c r="BF93" s="89" t="e">
        <f t="shared" si="1027"/>
        <v>#DIV/0!</v>
      </c>
      <c r="BG93" s="89" t="e">
        <f t="shared" si="1027"/>
        <v>#DIV/0!</v>
      </c>
      <c r="BH93" s="89" t="e">
        <f t="shared" si="1027"/>
        <v>#DIV/0!</v>
      </c>
      <c r="BI93" s="89" t="e">
        <f t="shared" si="1027"/>
        <v>#DIV/0!</v>
      </c>
      <c r="BJ93" s="89" t="e">
        <f t="shared" si="1027"/>
        <v>#DIV/0!</v>
      </c>
      <c r="BK93" s="89" t="e">
        <f t="shared" si="1027"/>
        <v>#DIV/0!</v>
      </c>
      <c r="BL93" s="89" t="e">
        <f t="shared" si="1027"/>
        <v>#DIV/0!</v>
      </c>
      <c r="BM93" s="89" t="e">
        <f t="shared" si="1027"/>
        <v>#DIV/0!</v>
      </c>
      <c r="BN93" s="89" t="e">
        <f t="shared" si="1027"/>
        <v>#DIV/0!</v>
      </c>
      <c r="BO93" s="89" t="e">
        <f t="shared" si="1027"/>
        <v>#DIV/0!</v>
      </c>
      <c r="BP93" s="89" t="e">
        <f t="shared" si="1027"/>
        <v>#DIV/0!</v>
      </c>
      <c r="BQ93" s="89" t="e">
        <f t="shared" si="1027"/>
        <v>#DIV/0!</v>
      </c>
      <c r="BR93" s="89" t="e">
        <f t="shared" si="1027"/>
        <v>#DIV/0!</v>
      </c>
      <c r="BS93" s="89" t="e">
        <f t="shared" si="1027"/>
        <v>#DIV/0!</v>
      </c>
      <c r="BT93" s="89">
        <f t="shared" si="1027"/>
        <v>0</v>
      </c>
      <c r="BU93" s="89">
        <f t="shared" si="1027"/>
        <v>0</v>
      </c>
      <c r="BV93" s="89">
        <f t="shared" si="1027"/>
        <v>0</v>
      </c>
      <c r="BW93" s="89">
        <f t="shared" ref="BW93:BY93" si="1028">BW85/BW64</f>
        <v>3.141533751848673</v>
      </c>
      <c r="BX93" s="89">
        <f t="shared" si="1028"/>
        <v>2.9285049619409373</v>
      </c>
      <c r="BY93" s="89">
        <f t="shared" si="1028"/>
        <v>2.2380812040263258</v>
      </c>
      <c r="BZ93" s="83">
        <v>2</v>
      </c>
      <c r="CA93" s="83">
        <f t="shared" si="1009"/>
        <v>2</v>
      </c>
      <c r="CB93" s="83">
        <f t="shared" si="1010"/>
        <v>2</v>
      </c>
      <c r="CC93" s="83">
        <f t="shared" si="1011"/>
        <v>2</v>
      </c>
      <c r="CD93" s="83">
        <f t="shared" si="1012"/>
        <v>2</v>
      </c>
      <c r="CE93" s="83">
        <f t="shared" si="1013"/>
        <v>2</v>
      </c>
      <c r="CF93" s="83">
        <f t="shared" si="1014"/>
        <v>2</v>
      </c>
      <c r="CG93" s="83">
        <f t="shared" si="1015"/>
        <v>2</v>
      </c>
      <c r="CH93" s="83">
        <f t="shared" si="1016"/>
        <v>2</v>
      </c>
      <c r="CI93" s="83">
        <f t="shared" si="1017"/>
        <v>2</v>
      </c>
      <c r="CJ93" s="83">
        <f t="shared" si="1018"/>
        <v>2</v>
      </c>
      <c r="CK93" s="83">
        <f t="shared" si="1019"/>
        <v>2</v>
      </c>
      <c r="CL93" s="83">
        <f t="shared" si="1020"/>
        <v>2</v>
      </c>
      <c r="CM93" s="83">
        <f t="shared" si="1021"/>
        <v>2</v>
      </c>
      <c r="CN93" s="83">
        <f t="shared" si="1022"/>
        <v>2</v>
      </c>
      <c r="CO93" s="83">
        <f t="shared" si="1023"/>
        <v>2</v>
      </c>
      <c r="CT93" s="89">
        <v>0</v>
      </c>
    </row>
    <row r="94" spans="1:98" s="86" customFormat="1" x14ac:dyDescent="0.2"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26"/>
      <c r="AC94" s="26"/>
      <c r="AD94" s="26"/>
      <c r="AE94" s="26"/>
      <c r="AG94" s="57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</row>
    <row r="95" spans="1:98" s="86" customFormat="1" x14ac:dyDescent="0.2">
      <c r="A95" s="120" t="s">
        <v>172</v>
      </c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26"/>
      <c r="AC95" s="26"/>
      <c r="AD95" s="26"/>
      <c r="AE95" s="26"/>
      <c r="AG95" s="57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</row>
    <row r="96" spans="1:98" x14ac:dyDescent="0.2">
      <c r="A96" s="119" t="s">
        <v>173</v>
      </c>
      <c r="AA96" s="47"/>
    </row>
    <row r="97" spans="1:98" s="38" customFormat="1" x14ac:dyDescent="0.2">
      <c r="A97" s="38" t="s">
        <v>16</v>
      </c>
      <c r="B97" s="38">
        <f>+'Annual Raw'!C77</f>
        <v>0</v>
      </c>
      <c r="C97" s="38">
        <f>+'Annual Raw'!D77</f>
        <v>0</v>
      </c>
      <c r="D97" s="38">
        <f>+'Annual Raw'!E77</f>
        <v>0</v>
      </c>
      <c r="E97" s="38">
        <f>+'Annual Raw'!F77</f>
        <v>0</v>
      </c>
      <c r="F97" s="38">
        <f>+'Annual Raw'!G77</f>
        <v>0</v>
      </c>
      <c r="G97" s="38">
        <f>+'Annual Raw'!H77</f>
        <v>0</v>
      </c>
      <c r="H97" s="38">
        <f>+'Annual Raw'!I77</f>
        <v>0</v>
      </c>
      <c r="I97" s="38">
        <f>+'Annual Raw'!J77</f>
        <v>104.94199999999999</v>
      </c>
      <c r="J97" s="38">
        <f>+'Annual Raw'!K77</f>
        <v>105.00700000000001</v>
      </c>
      <c r="K97" s="38">
        <f>+'Annual Raw'!L77</f>
        <v>105.00700000000001</v>
      </c>
      <c r="L97" s="38">
        <f>+'Annual Raw'!M77</f>
        <v>410.26400000000001</v>
      </c>
      <c r="M97" s="38">
        <f>+'Annual Raw'!N77</f>
        <v>410.61</v>
      </c>
      <c r="N97" s="38">
        <f>+'Annual Raw'!O77</f>
        <v>410.77</v>
      </c>
      <c r="O97" s="38">
        <f>+'Annual Raw'!P77</f>
        <v>513.75</v>
      </c>
      <c r="P97" s="38">
        <f>+'Annual Raw'!Q77</f>
        <v>699.47</v>
      </c>
      <c r="Q97" s="38">
        <f>+'Annual Raw'!R77</f>
        <v>700.17</v>
      </c>
      <c r="R97" s="38">
        <f>+'Annual Raw'!S77</f>
        <v>780.24</v>
      </c>
      <c r="S97" s="38">
        <f>+'Annual Raw'!T77</f>
        <v>782.94</v>
      </c>
      <c r="T97" s="38">
        <f>+'Annual Raw'!U77</f>
        <v>785.7</v>
      </c>
      <c r="U97" s="38">
        <f>+'Annual Raw'!V77</f>
        <v>787.58</v>
      </c>
      <c r="V97" s="38">
        <f>+'Annual Raw'!W77</f>
        <v>789.19</v>
      </c>
      <c r="W97" s="38">
        <f>+'Annual Raw'!X77</f>
        <v>790.44</v>
      </c>
      <c r="X97" s="38">
        <f>+'Annual Raw'!Y77</f>
        <v>791.4</v>
      </c>
      <c r="Y97" s="38">
        <f>+'Annual Raw'!Z77</f>
        <v>793.08</v>
      </c>
      <c r="Z97" s="38">
        <f>+'Annual Raw'!AA77</f>
        <v>795.78</v>
      </c>
      <c r="AA97" s="38">
        <f>+'Annual Raw'!AB77</f>
        <v>830.33</v>
      </c>
      <c r="AB97" s="39">
        <f>CC97</f>
        <v>830.3</v>
      </c>
      <c r="AC97" s="39">
        <f>CG97</f>
        <v>830.3</v>
      </c>
      <c r="AD97" s="39">
        <f>CK97</f>
        <v>830.3</v>
      </c>
      <c r="AE97" s="39">
        <f>CO97</f>
        <v>830.3</v>
      </c>
      <c r="AG97" s="60"/>
      <c r="AH97" s="38">
        <f>+'QTR Raw'!D54</f>
        <v>0</v>
      </c>
      <c r="AI97" s="38">
        <f>+'QTR Raw'!E54</f>
        <v>0</v>
      </c>
      <c r="AJ97" s="38">
        <f>+'QTR Raw'!F54</f>
        <v>0</v>
      </c>
      <c r="AK97" s="38">
        <f>+'QTR Raw'!G54</f>
        <v>0</v>
      </c>
      <c r="AL97" s="38">
        <f>+'QTR Raw'!H54</f>
        <v>0</v>
      </c>
      <c r="AM97" s="38">
        <f>+'QTR Raw'!I54</f>
        <v>0</v>
      </c>
      <c r="AN97" s="38">
        <f>+'QTR Raw'!J54</f>
        <v>0</v>
      </c>
      <c r="AO97" s="38">
        <f>+'QTR Raw'!K54</f>
        <v>0</v>
      </c>
      <c r="AP97" s="38">
        <f>+'QTR Raw'!L54</f>
        <v>0</v>
      </c>
      <c r="AQ97" s="38">
        <f>+'QTR Raw'!M54</f>
        <v>0</v>
      </c>
      <c r="AR97" s="38">
        <f>+'QTR Raw'!N54</f>
        <v>0</v>
      </c>
      <c r="AS97" s="38">
        <f>+'QTR Raw'!O54</f>
        <v>0</v>
      </c>
      <c r="AT97" s="38">
        <f>+'QTR Raw'!P54</f>
        <v>0</v>
      </c>
      <c r="AU97" s="38">
        <f>+'QTR Raw'!Q54</f>
        <v>0</v>
      </c>
      <c r="AV97" s="38">
        <f>+'QTR Raw'!R54</f>
        <v>0</v>
      </c>
      <c r="AW97" s="38">
        <f>+'QTR Raw'!S54</f>
        <v>0</v>
      </c>
      <c r="AX97" s="38">
        <f>+'QTR Raw'!T54</f>
        <v>0</v>
      </c>
      <c r="AY97" s="38">
        <f>+'QTR Raw'!U54</f>
        <v>0</v>
      </c>
      <c r="AZ97" s="38">
        <f>+'QTR Raw'!V54</f>
        <v>0</v>
      </c>
      <c r="BA97" s="38">
        <f>+'QTR Raw'!W54</f>
        <v>0</v>
      </c>
      <c r="BB97" s="38">
        <f>+'QTR Raw'!X54</f>
        <v>0</v>
      </c>
      <c r="BC97" s="38">
        <f>+'QTR Raw'!Y54</f>
        <v>0</v>
      </c>
      <c r="BD97" s="38">
        <f>+'QTR Raw'!Z54</f>
        <v>0</v>
      </c>
      <c r="BE97" s="38">
        <f>+'QTR Raw'!AA54</f>
        <v>0</v>
      </c>
      <c r="BF97" s="38">
        <f>+'QTR Raw'!AB54</f>
        <v>0</v>
      </c>
      <c r="BG97" s="38">
        <f>+'QTR Raw'!AC54</f>
        <v>0</v>
      </c>
      <c r="BH97" s="38">
        <f>+'QTR Raw'!AD54</f>
        <v>0</v>
      </c>
      <c r="BI97" s="38">
        <f>+'QTR Raw'!AE54</f>
        <v>0</v>
      </c>
      <c r="BJ97" s="38">
        <f>+'QTR Raw'!AF54</f>
        <v>0</v>
      </c>
      <c r="BK97" s="38">
        <f>+'QTR Raw'!AG54</f>
        <v>0</v>
      </c>
      <c r="BL97" s="38">
        <f>+'QTR Raw'!AH54</f>
        <v>0</v>
      </c>
      <c r="BM97" s="38">
        <f>+'QTR Raw'!AI54</f>
        <v>0</v>
      </c>
      <c r="BN97" s="38">
        <f>+'QTR Raw'!AJ54</f>
        <v>0</v>
      </c>
      <c r="BO97" s="38">
        <f>+'QTR Raw'!AK54</f>
        <v>0</v>
      </c>
      <c r="BP97" s="38">
        <f>+'QTR Raw'!AL54</f>
        <v>0</v>
      </c>
      <c r="BQ97" s="38">
        <f>+'QTR Raw'!AM54</f>
        <v>0</v>
      </c>
      <c r="BR97" s="38">
        <f>+'QTR Raw'!AN54</f>
        <v>0</v>
      </c>
      <c r="BS97" s="38">
        <f>+'QTR Raw'!AO54</f>
        <v>0</v>
      </c>
      <c r="BT97" s="38">
        <f>BU97</f>
        <v>795.8</v>
      </c>
      <c r="BU97" s="38">
        <f>+'QTR Raw'!AQ54</f>
        <v>795.8</v>
      </c>
      <c r="BV97" s="38">
        <f>BU97</f>
        <v>795.8</v>
      </c>
      <c r="BW97" s="38">
        <f>+'QTR Raw'!AS54</f>
        <v>829.6</v>
      </c>
      <c r="BX97" s="38">
        <f>BW97</f>
        <v>829.6</v>
      </c>
      <c r="BY97" s="38">
        <f>+'QTR Raw'!AU54</f>
        <v>830.3</v>
      </c>
      <c r="BZ97" s="39">
        <f t="shared" ref="BZ97" si="1029">BY97</f>
        <v>830.3</v>
      </c>
      <c r="CA97" s="39">
        <f t="shared" ref="CA97" si="1030">BZ97</f>
        <v>830.3</v>
      </c>
      <c r="CB97" s="39">
        <f t="shared" ref="CB97" si="1031">CA97</f>
        <v>830.3</v>
      </c>
      <c r="CC97" s="39">
        <f t="shared" ref="CC97" si="1032">CB97</f>
        <v>830.3</v>
      </c>
      <c r="CD97" s="39">
        <f t="shared" ref="CD97" si="1033">CC97</f>
        <v>830.3</v>
      </c>
      <c r="CE97" s="39">
        <f t="shared" ref="CE97" si="1034">CD97</f>
        <v>830.3</v>
      </c>
      <c r="CF97" s="39">
        <f t="shared" ref="CF97" si="1035">CE97</f>
        <v>830.3</v>
      </c>
      <c r="CG97" s="39">
        <f t="shared" ref="CG97" si="1036">CF97</f>
        <v>830.3</v>
      </c>
      <c r="CH97" s="39">
        <f t="shared" ref="CH97" si="1037">CG97</f>
        <v>830.3</v>
      </c>
      <c r="CI97" s="39">
        <f t="shared" ref="CI97" si="1038">CH97</f>
        <v>830.3</v>
      </c>
      <c r="CJ97" s="39">
        <f t="shared" ref="CJ97" si="1039">CI97</f>
        <v>830.3</v>
      </c>
      <c r="CK97" s="39">
        <f t="shared" ref="CK97" si="1040">CJ97</f>
        <v>830.3</v>
      </c>
      <c r="CL97" s="39">
        <f t="shared" ref="CL97" si="1041">CK97</f>
        <v>830.3</v>
      </c>
      <c r="CM97" s="39">
        <f t="shared" ref="CM97" si="1042">CL97</f>
        <v>830.3</v>
      </c>
      <c r="CN97" s="39">
        <f t="shared" ref="CN97" si="1043">CM97</f>
        <v>830.3</v>
      </c>
      <c r="CO97" s="39">
        <f t="shared" ref="CO97" si="1044">CN97</f>
        <v>830.3</v>
      </c>
      <c r="CT97" s="38">
        <v>830.3</v>
      </c>
    </row>
    <row r="98" spans="1:98" s="38" customFormat="1" x14ac:dyDescent="0.2">
      <c r="A98" s="38" t="s">
        <v>17</v>
      </c>
      <c r="B98" s="38">
        <f>+'Annual Raw'!C78</f>
        <v>0</v>
      </c>
      <c r="C98" s="38">
        <f>+'Annual Raw'!D78</f>
        <v>0</v>
      </c>
      <c r="D98" s="38">
        <f>+'Annual Raw'!E78</f>
        <v>0</v>
      </c>
      <c r="E98" s="38">
        <f>+'Annual Raw'!F78</f>
        <v>0</v>
      </c>
      <c r="F98" s="38">
        <f>+'Annual Raw'!G78</f>
        <v>0</v>
      </c>
      <c r="G98" s="38">
        <f>+'Annual Raw'!H78</f>
        <v>0</v>
      </c>
      <c r="H98" s="38">
        <f>+'Annual Raw'!I78</f>
        <v>0</v>
      </c>
      <c r="I98" s="38">
        <f>+'Annual Raw'!J78</f>
        <v>0</v>
      </c>
      <c r="J98" s="38">
        <f>+'Annual Raw'!K78</f>
        <v>0</v>
      </c>
      <c r="K98" s="38">
        <f>+'Annual Raw'!L78</f>
        <v>0</v>
      </c>
      <c r="L98" s="38">
        <f>+'Annual Raw'!M78</f>
        <v>0</v>
      </c>
      <c r="M98" s="38">
        <f>+'Annual Raw'!N78</f>
        <v>0</v>
      </c>
      <c r="N98" s="38">
        <f>+'Annual Raw'!O78</f>
        <v>0</v>
      </c>
      <c r="O98" s="38">
        <f>+'Annual Raw'!P78</f>
        <v>0</v>
      </c>
      <c r="P98" s="38">
        <f>+'Annual Raw'!Q78</f>
        <v>0</v>
      </c>
      <c r="Q98" s="38">
        <f>+'Annual Raw'!R78</f>
        <v>0</v>
      </c>
      <c r="R98" s="38">
        <f>+'Annual Raw'!S78</f>
        <v>0</v>
      </c>
      <c r="S98" s="38">
        <f>+'Annual Raw'!T78</f>
        <v>22.87</v>
      </c>
      <c r="T98" s="38">
        <f>+'Annual Raw'!U78</f>
        <v>38.229999999999997</v>
      </c>
      <c r="U98" s="38">
        <f>+'Annual Raw'!V78</f>
        <v>49.42</v>
      </c>
      <c r="V98" s="38">
        <f>+'Annual Raw'!W78</f>
        <v>62.97</v>
      </c>
      <c r="W98" s="38">
        <f>+'Annual Raw'!X78</f>
        <v>35.53</v>
      </c>
      <c r="X98" s="38">
        <f>+'Annual Raw'!Y78</f>
        <v>39.61</v>
      </c>
      <c r="Y98" s="38">
        <f>+'Annual Raw'!Z78</f>
        <v>69.22</v>
      </c>
      <c r="Z98" s="38">
        <f>+'Annual Raw'!AA78</f>
        <v>105.35</v>
      </c>
      <c r="AA98" s="38">
        <f>+'Annual Raw'!AB78</f>
        <v>140.28</v>
      </c>
      <c r="AB98" s="39"/>
      <c r="AC98" s="39"/>
      <c r="AD98" s="39"/>
      <c r="AE98" s="39"/>
      <c r="AG98" s="60"/>
      <c r="AH98" s="38">
        <f>+'QTR Raw'!D55</f>
        <v>0</v>
      </c>
      <c r="AI98" s="38">
        <f>+'QTR Raw'!E55</f>
        <v>0</v>
      </c>
      <c r="AJ98" s="38">
        <f>+'QTR Raw'!F55</f>
        <v>0</v>
      </c>
      <c r="AK98" s="38">
        <f>+'QTR Raw'!G55</f>
        <v>0</v>
      </c>
      <c r="AL98" s="38">
        <f>+'QTR Raw'!H55</f>
        <v>0</v>
      </c>
      <c r="AM98" s="38">
        <f>+'QTR Raw'!I55</f>
        <v>0</v>
      </c>
      <c r="AN98" s="38">
        <f>+'QTR Raw'!J55</f>
        <v>0</v>
      </c>
      <c r="AO98" s="38">
        <f>+'QTR Raw'!K55</f>
        <v>0</v>
      </c>
      <c r="AP98" s="38">
        <f>+'QTR Raw'!L55</f>
        <v>0</v>
      </c>
      <c r="AQ98" s="38">
        <f>+'QTR Raw'!M55</f>
        <v>0</v>
      </c>
      <c r="AR98" s="38">
        <f>+'QTR Raw'!N55</f>
        <v>0</v>
      </c>
      <c r="AS98" s="38">
        <f>+'QTR Raw'!O55</f>
        <v>0</v>
      </c>
      <c r="AT98" s="38">
        <f>+'QTR Raw'!P55</f>
        <v>0</v>
      </c>
      <c r="AU98" s="38">
        <f>+'QTR Raw'!Q55</f>
        <v>0</v>
      </c>
      <c r="AV98" s="38">
        <f>+'QTR Raw'!R55</f>
        <v>0</v>
      </c>
      <c r="AW98" s="38">
        <f>+'QTR Raw'!S55</f>
        <v>0</v>
      </c>
      <c r="AX98" s="38">
        <f>+'QTR Raw'!T55</f>
        <v>0</v>
      </c>
      <c r="AY98" s="38">
        <f>+'QTR Raw'!U55</f>
        <v>0</v>
      </c>
      <c r="AZ98" s="38">
        <f>+'QTR Raw'!V55</f>
        <v>0</v>
      </c>
      <c r="BA98" s="38">
        <f>+'QTR Raw'!W55</f>
        <v>0</v>
      </c>
      <c r="BB98" s="38">
        <f>+'QTR Raw'!X55</f>
        <v>0</v>
      </c>
      <c r="BC98" s="38">
        <f>+'QTR Raw'!Y55</f>
        <v>0</v>
      </c>
      <c r="BD98" s="38">
        <f>+'QTR Raw'!Z55</f>
        <v>0</v>
      </c>
      <c r="BE98" s="38">
        <f>+'QTR Raw'!AA55</f>
        <v>0</v>
      </c>
      <c r="BF98" s="38">
        <f>+'QTR Raw'!AB55</f>
        <v>0</v>
      </c>
      <c r="BG98" s="38">
        <f>+'QTR Raw'!AC55</f>
        <v>0</v>
      </c>
      <c r="BH98" s="38">
        <f>+'QTR Raw'!AD55</f>
        <v>0</v>
      </c>
      <c r="BI98" s="38">
        <f>+'QTR Raw'!AE55</f>
        <v>0</v>
      </c>
      <c r="BJ98" s="38">
        <f>+'QTR Raw'!AF55</f>
        <v>0</v>
      </c>
      <c r="BK98" s="38">
        <f>+'QTR Raw'!AG55</f>
        <v>0</v>
      </c>
      <c r="BL98" s="38">
        <f>+'QTR Raw'!AH55</f>
        <v>0</v>
      </c>
      <c r="BM98" s="38">
        <f>+'QTR Raw'!AI55</f>
        <v>0</v>
      </c>
      <c r="BN98" s="38">
        <f>+'QTR Raw'!AJ55</f>
        <v>0</v>
      </c>
      <c r="BO98" s="38">
        <f>+'QTR Raw'!AK55</f>
        <v>0</v>
      </c>
      <c r="BP98" s="38">
        <f>+'QTR Raw'!AL55</f>
        <v>0</v>
      </c>
      <c r="BQ98" s="38">
        <f>+'QTR Raw'!AM55</f>
        <v>0</v>
      </c>
      <c r="BR98" s="38">
        <f>+'QTR Raw'!AN55</f>
        <v>0</v>
      </c>
      <c r="BS98" s="38">
        <f>+'QTR Raw'!AO55</f>
        <v>0</v>
      </c>
      <c r="BT98" s="38">
        <f>+'QTR Raw'!AP55</f>
        <v>0</v>
      </c>
      <c r="BU98" s="38">
        <f>+'QTR Raw'!AQ55</f>
        <v>0</v>
      </c>
      <c r="BV98" s="38">
        <f>BU98</f>
        <v>0</v>
      </c>
      <c r="BW98" s="38">
        <f>+'QTR Raw'!AS55</f>
        <v>0</v>
      </c>
      <c r="BX98" s="38">
        <f>BW98</f>
        <v>0</v>
      </c>
      <c r="BY98" s="38">
        <f>+'QTR Raw'!AU55</f>
        <v>0</v>
      </c>
      <c r="BZ98" s="39">
        <f t="shared" ref="BZ98:CO98" si="1045">+BY98</f>
        <v>0</v>
      </c>
      <c r="CA98" s="39">
        <f t="shared" ref="CA98" si="1046">+BZ98</f>
        <v>0</v>
      </c>
      <c r="CB98" s="39">
        <f t="shared" ref="CB98" si="1047">+CA98</f>
        <v>0</v>
      </c>
      <c r="CC98" s="39">
        <f t="shared" si="1045"/>
        <v>0</v>
      </c>
      <c r="CD98" s="39">
        <f t="shared" si="1045"/>
        <v>0</v>
      </c>
      <c r="CE98" s="39">
        <f t="shared" si="1045"/>
        <v>0</v>
      </c>
      <c r="CF98" s="39">
        <f t="shared" si="1045"/>
        <v>0</v>
      </c>
      <c r="CG98" s="39">
        <f t="shared" si="1045"/>
        <v>0</v>
      </c>
      <c r="CH98" s="39">
        <f t="shared" si="1045"/>
        <v>0</v>
      </c>
      <c r="CI98" s="39">
        <f t="shared" si="1045"/>
        <v>0</v>
      </c>
      <c r="CJ98" s="39">
        <f t="shared" si="1045"/>
        <v>0</v>
      </c>
      <c r="CK98" s="39">
        <f t="shared" si="1045"/>
        <v>0</v>
      </c>
      <c r="CL98" s="39">
        <f t="shared" si="1045"/>
        <v>0</v>
      </c>
      <c r="CM98" s="39">
        <f t="shared" si="1045"/>
        <v>0</v>
      </c>
      <c r="CN98" s="39">
        <f t="shared" si="1045"/>
        <v>0</v>
      </c>
      <c r="CO98" s="39">
        <f t="shared" si="1045"/>
        <v>0</v>
      </c>
      <c r="CT98" s="38">
        <v>140.28</v>
      </c>
    </row>
    <row r="99" spans="1:98" s="38" customFormat="1" x14ac:dyDescent="0.2">
      <c r="A99" s="38" t="s">
        <v>18</v>
      </c>
      <c r="B99" s="38">
        <f>+'Annual Raw'!C79</f>
        <v>0</v>
      </c>
      <c r="C99" s="38">
        <f>+'Annual Raw'!D79</f>
        <v>0</v>
      </c>
      <c r="D99" s="38">
        <f>+'Annual Raw'!E79</f>
        <v>0</v>
      </c>
      <c r="E99" s="38">
        <f>+'Annual Raw'!F79</f>
        <v>0</v>
      </c>
      <c r="F99" s="38">
        <f>+'Annual Raw'!G79</f>
        <v>0</v>
      </c>
      <c r="G99" s="38">
        <f>+'Annual Raw'!H79</f>
        <v>0</v>
      </c>
      <c r="H99" s="38">
        <f>+'Annual Raw'!I79</f>
        <v>0</v>
      </c>
      <c r="I99" s="38">
        <f>+'Annual Raw'!J79</f>
        <v>-3.5967136000000002</v>
      </c>
      <c r="J99" s="38">
        <f>+'Annual Raw'!K79</f>
        <v>-12.8794497</v>
      </c>
      <c r="K99" s="38">
        <f>+'Annual Raw'!L79</f>
        <v>-2.9610346000000001</v>
      </c>
      <c r="L99" s="38">
        <f>+'Annual Raw'!M79</f>
        <v>309.0051211</v>
      </c>
      <c r="M99" s="38">
        <f>+'Annual Raw'!N79</f>
        <v>360.18</v>
      </c>
      <c r="N99" s="38">
        <f>+'Annual Raw'!O79</f>
        <v>462.76</v>
      </c>
      <c r="O99" s="38">
        <f>+'Annual Raw'!P79</f>
        <v>1114.75</v>
      </c>
      <c r="P99" s="38">
        <f>+'Annual Raw'!Q79</f>
        <v>2425.66</v>
      </c>
      <c r="Q99" s="38">
        <f>+'Annual Raw'!R79</f>
        <v>2861.63</v>
      </c>
      <c r="R99" s="38">
        <f>+'Annual Raw'!S79</f>
        <v>4582.6499999999996</v>
      </c>
      <c r="S99" s="38">
        <f>+'Annual Raw'!T79</f>
        <v>5234.54</v>
      </c>
      <c r="T99" s="38">
        <f>+'Annual Raw'!U79</f>
        <v>6354.54</v>
      </c>
      <c r="U99" s="38">
        <f>+'Annual Raw'!V79</f>
        <v>7180.8</v>
      </c>
      <c r="V99" s="38">
        <f>+'Annual Raw'!W79</f>
        <v>7594.08</v>
      </c>
      <c r="W99" s="38">
        <f>+'Annual Raw'!X79</f>
        <v>8713.76</v>
      </c>
      <c r="X99" s="38">
        <f>+'Annual Raw'!Y79</f>
        <v>10605.96</v>
      </c>
      <c r="Y99" s="38">
        <f>+'Annual Raw'!Z79</f>
        <v>12880.41</v>
      </c>
      <c r="Z99" s="38">
        <f>+'Annual Raw'!AA79</f>
        <v>14918.62</v>
      </c>
      <c r="AA99" s="38">
        <f>+'Annual Raw'!AB79</f>
        <v>19693.439999999999</v>
      </c>
      <c r="AB99" s="39">
        <f>CC99</f>
        <v>23816.236785984907</v>
      </c>
      <c r="AC99" s="39">
        <f>CG99</f>
        <v>28352.371163054337</v>
      </c>
      <c r="AD99" s="39">
        <f>CK99</f>
        <v>33470.667727285829</v>
      </c>
      <c r="AE99" s="39">
        <f>CO99</f>
        <v>39244.198868613508</v>
      </c>
      <c r="AG99" s="60"/>
      <c r="AH99" s="38">
        <f>+'QTR Raw'!D56</f>
        <v>0</v>
      </c>
      <c r="AI99" s="38">
        <f>+'QTR Raw'!E56</f>
        <v>0</v>
      </c>
      <c r="AJ99" s="38">
        <f>+'QTR Raw'!F56</f>
        <v>0</v>
      </c>
      <c r="AK99" s="38">
        <f>+'QTR Raw'!G56</f>
        <v>0</v>
      </c>
      <c r="AL99" s="38">
        <f>+'QTR Raw'!H56</f>
        <v>0</v>
      </c>
      <c r="AM99" s="38">
        <f>+'QTR Raw'!I56</f>
        <v>0</v>
      </c>
      <c r="AN99" s="38">
        <f>+'QTR Raw'!J56</f>
        <v>0</v>
      </c>
      <c r="AO99" s="38">
        <f>+'QTR Raw'!K56</f>
        <v>0</v>
      </c>
      <c r="AP99" s="38">
        <f>+'QTR Raw'!L56</f>
        <v>0</v>
      </c>
      <c r="AQ99" s="38">
        <f>+'QTR Raw'!M56</f>
        <v>0</v>
      </c>
      <c r="AR99" s="38">
        <f>+'QTR Raw'!N56</f>
        <v>0</v>
      </c>
      <c r="AS99" s="38">
        <f>+'QTR Raw'!O56</f>
        <v>0</v>
      </c>
      <c r="AT99" s="38">
        <f>+'QTR Raw'!P56</f>
        <v>0</v>
      </c>
      <c r="AU99" s="38">
        <f>+'QTR Raw'!Q56</f>
        <v>0</v>
      </c>
      <c r="AV99" s="38">
        <f>+'QTR Raw'!R56</f>
        <v>0</v>
      </c>
      <c r="AW99" s="38">
        <f>+'QTR Raw'!S56</f>
        <v>0</v>
      </c>
      <c r="AX99" s="38">
        <f>+'QTR Raw'!T56</f>
        <v>0</v>
      </c>
      <c r="AY99" s="38">
        <f>+'QTR Raw'!U56</f>
        <v>0</v>
      </c>
      <c r="AZ99" s="38">
        <f>+'QTR Raw'!V56</f>
        <v>0</v>
      </c>
      <c r="BA99" s="38">
        <f>+'QTR Raw'!W56</f>
        <v>0</v>
      </c>
      <c r="BB99" s="38">
        <f>+'QTR Raw'!X56</f>
        <v>0</v>
      </c>
      <c r="BC99" s="38">
        <f>+'QTR Raw'!Y56</f>
        <v>0</v>
      </c>
      <c r="BD99" s="38">
        <f>+'QTR Raw'!Z56</f>
        <v>0</v>
      </c>
      <c r="BE99" s="38">
        <f>+'QTR Raw'!AA56</f>
        <v>0</v>
      </c>
      <c r="BF99" s="38">
        <f>+'QTR Raw'!AB56</f>
        <v>0</v>
      </c>
      <c r="BG99" s="38">
        <f>+'QTR Raw'!AC56</f>
        <v>0</v>
      </c>
      <c r="BH99" s="38">
        <f>+'QTR Raw'!AD56</f>
        <v>0</v>
      </c>
      <c r="BI99" s="38">
        <f>+'QTR Raw'!AE56</f>
        <v>0</v>
      </c>
      <c r="BJ99" s="38">
        <f>+'QTR Raw'!AF56</f>
        <v>0</v>
      </c>
      <c r="BK99" s="38">
        <f>+'QTR Raw'!AG56</f>
        <v>0</v>
      </c>
      <c r="BL99" s="38">
        <f>+'QTR Raw'!AH56</f>
        <v>0</v>
      </c>
      <c r="BM99" s="38">
        <f>+'QTR Raw'!AI56</f>
        <v>0</v>
      </c>
      <c r="BN99" s="38">
        <f>+'QTR Raw'!AJ56</f>
        <v>0</v>
      </c>
      <c r="BO99" s="38">
        <f>+'QTR Raw'!AK56</f>
        <v>0</v>
      </c>
      <c r="BP99" s="38">
        <f>+'QTR Raw'!AL56</f>
        <v>0</v>
      </c>
      <c r="BQ99" s="38">
        <f>+'QTR Raw'!AM56</f>
        <v>0</v>
      </c>
      <c r="BR99" s="38">
        <f>+'QTR Raw'!AN56</f>
        <v>0</v>
      </c>
      <c r="BS99" s="38">
        <f>+'QTR Raw'!AO56</f>
        <v>0</v>
      </c>
      <c r="BT99" s="38">
        <f>BU99-BT50</f>
        <v>14551.599999999999</v>
      </c>
      <c r="BU99" s="38">
        <f>+'QTR Raw'!AQ56</f>
        <v>15023.9</v>
      </c>
      <c r="BV99" s="38">
        <f>BU99+BV50</f>
        <v>15591.599999999999</v>
      </c>
      <c r="BW99" s="38">
        <f>+'QTR Raw'!AS56</f>
        <v>18508.599999999999</v>
      </c>
      <c r="BX99" s="38">
        <f>BW99+BX50</f>
        <v>19152.5</v>
      </c>
      <c r="BY99" s="38">
        <f>+'QTR Raw'!AU56</f>
        <v>19833.7</v>
      </c>
      <c r="BZ99" s="39">
        <f t="shared" ref="BZ99:CO99" si="1048">BY99+BZ50</f>
        <v>20764.286751477855</v>
      </c>
      <c r="CA99" s="39">
        <f>BZ99+CA50</f>
        <v>21775.912834385392</v>
      </c>
      <c r="CB99" s="39">
        <f t="shared" ref="CB99" si="1049">CA99+CB50</f>
        <v>22786.190374333077</v>
      </c>
      <c r="CC99" s="39">
        <f t="shared" si="1048"/>
        <v>23816.236785984907</v>
      </c>
      <c r="CD99" s="39">
        <f t="shared" si="1048"/>
        <v>24905.205343363083</v>
      </c>
      <c r="CE99" s="39">
        <f t="shared" si="1048"/>
        <v>26026.85029986253</v>
      </c>
      <c r="CF99" s="39">
        <f t="shared" si="1048"/>
        <v>27173.543792063152</v>
      </c>
      <c r="CG99" s="39">
        <f t="shared" si="1048"/>
        <v>28352.371163054337</v>
      </c>
      <c r="CH99" s="39">
        <f t="shared" si="1048"/>
        <v>29576.209684292724</v>
      </c>
      <c r="CI99" s="39">
        <f t="shared" si="1048"/>
        <v>30840.169085573114</v>
      </c>
      <c r="CJ99" s="39">
        <f t="shared" si="1048"/>
        <v>32137.694113861326</v>
      </c>
      <c r="CK99" s="39">
        <f t="shared" si="1048"/>
        <v>33470.667727285829</v>
      </c>
      <c r="CL99" s="39">
        <f t="shared" si="1048"/>
        <v>34850.348989854705</v>
      </c>
      <c r="CM99" s="39">
        <f t="shared" si="1048"/>
        <v>36276.319812795766</v>
      </c>
      <c r="CN99" s="39">
        <f t="shared" si="1048"/>
        <v>37740.688655862476</v>
      </c>
      <c r="CO99" s="39">
        <f t="shared" si="1048"/>
        <v>39244.198868613508</v>
      </c>
      <c r="CT99" s="38">
        <v>19833.7</v>
      </c>
    </row>
    <row r="100" spans="1:98" s="43" customFormat="1" x14ac:dyDescent="0.2">
      <c r="A100" s="43" t="s">
        <v>19</v>
      </c>
      <c r="B100" s="43">
        <f t="shared" ref="B100:AB100" si="1050">SUM(B97:B99)</f>
        <v>0</v>
      </c>
      <c r="C100" s="43">
        <f t="shared" si="1050"/>
        <v>0</v>
      </c>
      <c r="D100" s="43">
        <f t="shared" si="1050"/>
        <v>0</v>
      </c>
      <c r="E100" s="43">
        <f t="shared" si="1050"/>
        <v>0</v>
      </c>
      <c r="F100" s="43">
        <f t="shared" si="1050"/>
        <v>0</v>
      </c>
      <c r="G100" s="43">
        <f t="shared" si="1050"/>
        <v>0</v>
      </c>
      <c r="H100" s="43">
        <f t="shared" si="1050"/>
        <v>0</v>
      </c>
      <c r="I100" s="43">
        <f t="shared" si="1050"/>
        <v>101.34528639999999</v>
      </c>
      <c r="J100" s="43">
        <f t="shared" si="1050"/>
        <v>92.12755030000001</v>
      </c>
      <c r="K100" s="43">
        <f t="shared" si="1050"/>
        <v>102.0459654</v>
      </c>
      <c r="L100" s="43">
        <f t="shared" si="1050"/>
        <v>719.26912110000001</v>
      </c>
      <c r="M100" s="43">
        <f t="shared" si="1050"/>
        <v>770.79</v>
      </c>
      <c r="N100" s="43">
        <f t="shared" si="1050"/>
        <v>873.53</v>
      </c>
      <c r="O100" s="43">
        <f t="shared" si="1050"/>
        <v>1628.5</v>
      </c>
      <c r="P100" s="43">
        <f t="shared" si="1050"/>
        <v>3125.13</v>
      </c>
      <c r="Q100" s="43">
        <f t="shared" si="1050"/>
        <v>3561.8</v>
      </c>
      <c r="R100" s="43">
        <f t="shared" si="1050"/>
        <v>5362.8899999999994</v>
      </c>
      <c r="S100" s="43">
        <f t="shared" si="1050"/>
        <v>6040.35</v>
      </c>
      <c r="T100" s="43">
        <f t="shared" si="1050"/>
        <v>7178.47</v>
      </c>
      <c r="U100" s="43">
        <f t="shared" si="1050"/>
        <v>8017.8</v>
      </c>
      <c r="V100" s="43">
        <f t="shared" si="1050"/>
        <v>8446.24</v>
      </c>
      <c r="W100" s="43">
        <f t="shared" si="1050"/>
        <v>9539.73</v>
      </c>
      <c r="X100" s="43">
        <f t="shared" si="1050"/>
        <v>11436.97</v>
      </c>
      <c r="Y100" s="43">
        <f t="shared" si="1050"/>
        <v>13742.71</v>
      </c>
      <c r="Z100" s="43">
        <f t="shared" si="1050"/>
        <v>15819.75</v>
      </c>
      <c r="AA100" s="43">
        <f t="shared" ref="AA100" si="1051">SUM(AA97:AA99)</f>
        <v>20664.05</v>
      </c>
      <c r="AB100" s="44">
        <f t="shared" si="1050"/>
        <v>24646.536785984907</v>
      </c>
      <c r="AC100" s="44">
        <f t="shared" ref="AC100" si="1052">SUM(AC97:AC99)</f>
        <v>29182.671163054336</v>
      </c>
      <c r="AD100" s="44">
        <f t="shared" ref="AD100" si="1053">SUM(AD97:AD99)</f>
        <v>34300.967727285832</v>
      </c>
      <c r="AE100" s="44">
        <f t="shared" ref="AE100" si="1054">SUM(AE97:AE99)</f>
        <v>40074.498868613511</v>
      </c>
      <c r="AG100" s="62"/>
      <c r="AH100" s="43">
        <f t="shared" ref="AH100" si="1055">SUM(AH97:AH99)</f>
        <v>0</v>
      </c>
      <c r="AI100" s="43">
        <f t="shared" ref="AI100" si="1056">SUM(AI97:AI99)</f>
        <v>0</v>
      </c>
      <c r="AJ100" s="43">
        <f t="shared" ref="AJ100:BC100" si="1057">SUM(AJ97:AJ99)</f>
        <v>0</v>
      </c>
      <c r="AK100" s="43">
        <f t="shared" si="1057"/>
        <v>0</v>
      </c>
      <c r="AL100" s="43">
        <f t="shared" si="1057"/>
        <v>0</v>
      </c>
      <c r="AM100" s="43">
        <f t="shared" si="1057"/>
        <v>0</v>
      </c>
      <c r="AN100" s="43">
        <f t="shared" si="1057"/>
        <v>0</v>
      </c>
      <c r="AO100" s="43">
        <f t="shared" si="1057"/>
        <v>0</v>
      </c>
      <c r="AP100" s="43">
        <f t="shared" si="1057"/>
        <v>0</v>
      </c>
      <c r="AQ100" s="43">
        <f t="shared" si="1057"/>
        <v>0</v>
      </c>
      <c r="AR100" s="43">
        <f t="shared" si="1057"/>
        <v>0</v>
      </c>
      <c r="AS100" s="43">
        <f t="shared" si="1057"/>
        <v>0</v>
      </c>
      <c r="AT100" s="43">
        <f t="shared" si="1057"/>
        <v>0</v>
      </c>
      <c r="AU100" s="43">
        <f t="shared" ref="AU100" si="1058">SUM(AU97:AU99)</f>
        <v>0</v>
      </c>
      <c r="AV100" s="43">
        <f t="shared" ref="AV100:BB100" si="1059">SUM(AV97:AV99)</f>
        <v>0</v>
      </c>
      <c r="AW100" s="43">
        <f t="shared" si="1059"/>
        <v>0</v>
      </c>
      <c r="AX100" s="43">
        <f t="shared" si="1059"/>
        <v>0</v>
      </c>
      <c r="AY100" s="43">
        <f t="shared" si="1059"/>
        <v>0</v>
      </c>
      <c r="AZ100" s="43">
        <f t="shared" si="1059"/>
        <v>0</v>
      </c>
      <c r="BA100" s="43">
        <f t="shared" si="1059"/>
        <v>0</v>
      </c>
      <c r="BB100" s="43">
        <f t="shared" si="1059"/>
        <v>0</v>
      </c>
      <c r="BC100" s="43">
        <f t="shared" si="1057"/>
        <v>0</v>
      </c>
      <c r="BD100" s="43">
        <f t="shared" ref="BD100:BV100" si="1060">SUM(BD97:BD99)</f>
        <v>0</v>
      </c>
      <c r="BE100" s="43">
        <f t="shared" si="1060"/>
        <v>0</v>
      </c>
      <c r="BF100" s="43">
        <f t="shared" si="1060"/>
        <v>0</v>
      </c>
      <c r="BG100" s="43">
        <f t="shared" si="1060"/>
        <v>0</v>
      </c>
      <c r="BH100" s="43">
        <f t="shared" si="1060"/>
        <v>0</v>
      </c>
      <c r="BI100" s="43">
        <f t="shared" si="1060"/>
        <v>0</v>
      </c>
      <c r="BJ100" s="43">
        <f t="shared" si="1060"/>
        <v>0</v>
      </c>
      <c r="BK100" s="43">
        <f t="shared" si="1060"/>
        <v>0</v>
      </c>
      <c r="BL100" s="43">
        <f t="shared" si="1060"/>
        <v>0</v>
      </c>
      <c r="BM100" s="43">
        <f t="shared" si="1060"/>
        <v>0</v>
      </c>
      <c r="BN100" s="43">
        <f t="shared" si="1060"/>
        <v>0</v>
      </c>
      <c r="BO100" s="43">
        <f t="shared" si="1060"/>
        <v>0</v>
      </c>
      <c r="BP100" s="43">
        <f t="shared" si="1060"/>
        <v>0</v>
      </c>
      <c r="BQ100" s="43">
        <f t="shared" si="1060"/>
        <v>0</v>
      </c>
      <c r="BR100" s="43">
        <f t="shared" si="1060"/>
        <v>0</v>
      </c>
      <c r="BS100" s="43">
        <f t="shared" si="1060"/>
        <v>0</v>
      </c>
      <c r="BT100" s="43">
        <f t="shared" si="1060"/>
        <v>15347.399999999998</v>
      </c>
      <c r="BU100" s="43">
        <f t="shared" si="1060"/>
        <v>15819.699999999999</v>
      </c>
      <c r="BV100" s="43">
        <f t="shared" si="1060"/>
        <v>16387.399999999998</v>
      </c>
      <c r="BW100" s="43">
        <f t="shared" ref="BW100:BY100" si="1061">SUM(BW97:BW99)</f>
        <v>19338.199999999997</v>
      </c>
      <c r="BX100" s="43">
        <f t="shared" ref="BX100:CO100" si="1062">SUM(BX97:BX99)</f>
        <v>19982.099999999999</v>
      </c>
      <c r="BY100" s="43">
        <f t="shared" si="1061"/>
        <v>20664</v>
      </c>
      <c r="BZ100" s="44">
        <f t="shared" si="1062"/>
        <v>21594.586751477855</v>
      </c>
      <c r="CA100" s="44">
        <f t="shared" si="1062"/>
        <v>22606.212834385391</v>
      </c>
      <c r="CB100" s="44">
        <f t="shared" si="1062"/>
        <v>23616.490374333076</v>
      </c>
      <c r="CC100" s="44">
        <f t="shared" si="1062"/>
        <v>24646.536785984907</v>
      </c>
      <c r="CD100" s="44">
        <f t="shared" si="1062"/>
        <v>25735.505343363082</v>
      </c>
      <c r="CE100" s="44">
        <f t="shared" si="1062"/>
        <v>26857.150299862529</v>
      </c>
      <c r="CF100" s="44">
        <f t="shared" si="1062"/>
        <v>28003.843792063151</v>
      </c>
      <c r="CG100" s="44">
        <f t="shared" si="1062"/>
        <v>29182.671163054336</v>
      </c>
      <c r="CH100" s="44">
        <f t="shared" si="1062"/>
        <v>30406.509684292723</v>
      </c>
      <c r="CI100" s="44">
        <f t="shared" si="1062"/>
        <v>31670.469085573113</v>
      </c>
      <c r="CJ100" s="44">
        <f t="shared" si="1062"/>
        <v>32967.994113861329</v>
      </c>
      <c r="CK100" s="44">
        <f t="shared" si="1062"/>
        <v>34300.967727285832</v>
      </c>
      <c r="CL100" s="44">
        <f t="shared" si="1062"/>
        <v>35680.648989854708</v>
      </c>
      <c r="CM100" s="44">
        <f t="shared" si="1062"/>
        <v>37106.619812795769</v>
      </c>
      <c r="CN100" s="44">
        <f t="shared" si="1062"/>
        <v>38570.988655862478</v>
      </c>
      <c r="CO100" s="44">
        <f t="shared" si="1062"/>
        <v>40074.498868613511</v>
      </c>
      <c r="CT100" s="43">
        <v>20664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5</v>
      </c>
      <c r="B102" s="38">
        <f>+'Annual Raw'!C81</f>
        <v>0</v>
      </c>
      <c r="C102" s="38">
        <f>+'Annual Raw'!D81</f>
        <v>0</v>
      </c>
      <c r="D102" s="38">
        <f>+'Annual Raw'!E81</f>
        <v>0</v>
      </c>
      <c r="E102" s="38">
        <f>+'Annual Raw'!F81</f>
        <v>0</v>
      </c>
      <c r="F102" s="38">
        <f>+'Annual Raw'!G81</f>
        <v>0</v>
      </c>
      <c r="G102" s="38">
        <f>+'Annual Raw'!H81</f>
        <v>0</v>
      </c>
      <c r="H102" s="38">
        <f>+'Annual Raw'!I81</f>
        <v>0</v>
      </c>
      <c r="I102" s="38">
        <f>+'Annual Raw'!J81</f>
        <v>0</v>
      </c>
      <c r="J102" s="38">
        <f>+'Annual Raw'!K81</f>
        <v>0</v>
      </c>
      <c r="K102" s="38">
        <f>+'Annual Raw'!L81</f>
        <v>0</v>
      </c>
      <c r="L102" s="38">
        <f>+'Annual Raw'!M81</f>
        <v>0</v>
      </c>
      <c r="M102" s="38">
        <f>+'Annual Raw'!N81</f>
        <v>0</v>
      </c>
      <c r="N102" s="38">
        <f>+'Annual Raw'!O81</f>
        <v>0</v>
      </c>
      <c r="O102" s="38">
        <f>+'Annual Raw'!P81</f>
        <v>0</v>
      </c>
      <c r="P102" s="38">
        <f>+'Annual Raw'!Q81</f>
        <v>0</v>
      </c>
      <c r="Q102" s="38">
        <f>+'Annual Raw'!R81</f>
        <v>0</v>
      </c>
      <c r="R102" s="38">
        <f>+'Annual Raw'!S81</f>
        <v>0</v>
      </c>
      <c r="S102" s="38">
        <f>+'Annual Raw'!T81</f>
        <v>0</v>
      </c>
      <c r="T102" s="38">
        <f>+'Annual Raw'!U81</f>
        <v>0</v>
      </c>
      <c r="U102" s="38">
        <f>+'Annual Raw'!V81</f>
        <v>0</v>
      </c>
      <c r="V102" s="38">
        <f>+'Annual Raw'!W81</f>
        <v>0</v>
      </c>
      <c r="W102" s="38">
        <f>+'Annual Raw'!X81</f>
        <v>0</v>
      </c>
      <c r="X102" s="38">
        <f>+'Annual Raw'!Y81</f>
        <v>0</v>
      </c>
      <c r="Y102" s="38">
        <f>+'Annual Raw'!Z81</f>
        <v>0</v>
      </c>
      <c r="Z102" s="38">
        <f>+'Annual Raw'!AA81</f>
        <v>0</v>
      </c>
      <c r="AA102" s="38">
        <f>+'Annual Raw'!AB81</f>
        <v>0</v>
      </c>
      <c r="AB102" s="39">
        <f>CC102</f>
        <v>0</v>
      </c>
      <c r="AC102" s="39">
        <f>CG102</f>
        <v>0</v>
      </c>
      <c r="AD102" s="39">
        <f>CK102</f>
        <v>0</v>
      </c>
      <c r="AE102" s="39">
        <f>CO102</f>
        <v>0</v>
      </c>
      <c r="AG102" s="60"/>
      <c r="AH102" s="38">
        <f>+'QTR Raw'!D58</f>
        <v>0</v>
      </c>
      <c r="AI102" s="38">
        <f>+'QTR Raw'!E58</f>
        <v>0</v>
      </c>
      <c r="AJ102" s="38">
        <f>+'QTR Raw'!F58</f>
        <v>0</v>
      </c>
      <c r="AK102" s="38">
        <f>+'QTR Raw'!G58</f>
        <v>0</v>
      </c>
      <c r="AL102" s="38">
        <f>+'QTR Raw'!H58</f>
        <v>0</v>
      </c>
      <c r="AM102" s="38">
        <f>+'QTR Raw'!I58</f>
        <v>0</v>
      </c>
      <c r="AN102" s="38">
        <f>+'QTR Raw'!J58</f>
        <v>0</v>
      </c>
      <c r="AO102" s="38">
        <f>+'QTR Raw'!K58</f>
        <v>0</v>
      </c>
      <c r="AP102" s="38">
        <f>+'QTR Raw'!L58</f>
        <v>0</v>
      </c>
      <c r="AQ102" s="38">
        <f>+'QTR Raw'!M58</f>
        <v>0</v>
      </c>
      <c r="AR102" s="38">
        <f>+'QTR Raw'!N58</f>
        <v>0</v>
      </c>
      <c r="AS102" s="38">
        <f>+'QTR Raw'!O58</f>
        <v>0</v>
      </c>
      <c r="AT102" s="38">
        <f>+'QTR Raw'!P58</f>
        <v>0</v>
      </c>
      <c r="AU102" s="38">
        <f>+'QTR Raw'!Q58</f>
        <v>0</v>
      </c>
      <c r="AV102" s="38">
        <f>+'QTR Raw'!R58</f>
        <v>0</v>
      </c>
      <c r="AW102" s="38">
        <f>+'QTR Raw'!S58</f>
        <v>0</v>
      </c>
      <c r="AX102" s="38">
        <f>+'QTR Raw'!T58</f>
        <v>0</v>
      </c>
      <c r="AY102" s="38">
        <f>+'QTR Raw'!U58</f>
        <v>0</v>
      </c>
      <c r="AZ102" s="38">
        <f>+'QTR Raw'!V58</f>
        <v>0</v>
      </c>
      <c r="BA102" s="38">
        <f>+'QTR Raw'!W58</f>
        <v>0</v>
      </c>
      <c r="BB102" s="38">
        <f>+'QTR Raw'!X58</f>
        <v>0</v>
      </c>
      <c r="BC102" s="38">
        <f>+'QTR Raw'!Y58</f>
        <v>0</v>
      </c>
      <c r="BD102" s="38">
        <f>+'QTR Raw'!Z58</f>
        <v>0</v>
      </c>
      <c r="BE102" s="38">
        <f>+'QTR Raw'!AA58</f>
        <v>0</v>
      </c>
      <c r="BF102" s="38">
        <f>+'QTR Raw'!AB58</f>
        <v>0</v>
      </c>
      <c r="BG102" s="38">
        <f>+'QTR Raw'!AC58</f>
        <v>0</v>
      </c>
      <c r="BH102" s="38">
        <f>+'QTR Raw'!AD58</f>
        <v>0</v>
      </c>
      <c r="BI102" s="38">
        <f>+'QTR Raw'!AE58</f>
        <v>0</v>
      </c>
      <c r="BJ102" s="38">
        <f>+'QTR Raw'!AF58</f>
        <v>0</v>
      </c>
      <c r="BK102" s="38">
        <f>+'QTR Raw'!AG58</f>
        <v>0</v>
      </c>
      <c r="BL102" s="38">
        <f>+'QTR Raw'!AH58</f>
        <v>0</v>
      </c>
      <c r="BM102" s="38">
        <f>+'QTR Raw'!AI58</f>
        <v>0</v>
      </c>
      <c r="BN102" s="38">
        <f>+'QTR Raw'!AJ58</f>
        <v>0</v>
      </c>
      <c r="BO102" s="38">
        <f>+'QTR Raw'!AK58</f>
        <v>0</v>
      </c>
      <c r="BP102" s="38">
        <f>+'QTR Raw'!AL58</f>
        <v>0</v>
      </c>
      <c r="BQ102" s="38">
        <f>+'QTR Raw'!AM58</f>
        <v>0</v>
      </c>
      <c r="BR102" s="38">
        <f>+'QTR Raw'!AN58</f>
        <v>0</v>
      </c>
      <c r="BS102" s="38">
        <f>+'QTR Raw'!AO58</f>
        <v>0</v>
      </c>
      <c r="BT102" s="38">
        <f>+'QTR Raw'!AP58</f>
        <v>0</v>
      </c>
      <c r="BU102" s="38">
        <f>+'QTR Raw'!AQ58</f>
        <v>0</v>
      </c>
      <c r="BV102" s="38">
        <f>+'QTR Raw'!AR58</f>
        <v>0</v>
      </c>
      <c r="BW102" s="38">
        <f>+'QTR Raw'!AS58</f>
        <v>0</v>
      </c>
      <c r="BX102" s="38">
        <f t="shared" ref="BX102" si="1063">BW102</f>
        <v>0</v>
      </c>
      <c r="BY102" s="38">
        <f>+'QTR Raw'!AU58</f>
        <v>0</v>
      </c>
      <c r="BZ102" s="39">
        <f t="shared" ref="BZ102" si="1064">BY102</f>
        <v>0</v>
      </c>
      <c r="CA102" s="39">
        <f t="shared" ref="CA102" si="1065">BZ102</f>
        <v>0</v>
      </c>
      <c r="CB102" s="39">
        <f t="shared" ref="CB102" si="1066">CA102</f>
        <v>0</v>
      </c>
      <c r="CC102" s="39">
        <f t="shared" ref="CC102" si="1067">CB102</f>
        <v>0</v>
      </c>
      <c r="CD102" s="39">
        <f t="shared" ref="CD102" si="1068">CC102</f>
        <v>0</v>
      </c>
      <c r="CE102" s="39">
        <f t="shared" ref="CE102" si="1069">CD102</f>
        <v>0</v>
      </c>
      <c r="CF102" s="39">
        <f t="shared" ref="CF102" si="1070">CE102</f>
        <v>0</v>
      </c>
      <c r="CG102" s="39">
        <f t="shared" ref="CG102" si="1071">CF102</f>
        <v>0</v>
      </c>
      <c r="CH102" s="39">
        <f t="shared" ref="CH102" si="1072">CG102</f>
        <v>0</v>
      </c>
      <c r="CI102" s="39">
        <f t="shared" ref="CI102" si="1073">CH102</f>
        <v>0</v>
      </c>
      <c r="CJ102" s="39">
        <f t="shared" ref="CJ102" si="1074">CI102</f>
        <v>0</v>
      </c>
      <c r="CK102" s="39">
        <f t="shared" ref="CK102" si="1075">CJ102</f>
        <v>0</v>
      </c>
      <c r="CL102" s="39">
        <f t="shared" ref="CL102" si="1076">CK102</f>
        <v>0</v>
      </c>
      <c r="CM102" s="39">
        <f t="shared" ref="CM102" si="1077">CL102</f>
        <v>0</v>
      </c>
      <c r="CN102" s="39">
        <f t="shared" ref="CN102" si="1078">CM102</f>
        <v>0</v>
      </c>
      <c r="CO102" s="39">
        <f t="shared" ref="CO102" si="1079">CN102</f>
        <v>0</v>
      </c>
      <c r="CT102" s="38">
        <v>0</v>
      </c>
    </row>
    <row r="103" spans="1:98" s="38" customFormat="1" x14ac:dyDescent="0.2">
      <c r="AB103" s="39"/>
      <c r="AC103" s="39"/>
      <c r="AD103" s="39"/>
      <c r="AE103" s="39"/>
      <c r="AG103" s="60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237</v>
      </c>
      <c r="B104" s="38">
        <f>+'Annual Raw'!C83</f>
        <v>0</v>
      </c>
      <c r="C104" s="38">
        <f>+'Annual Raw'!D83</f>
        <v>0</v>
      </c>
      <c r="D104" s="38">
        <f>+'Annual Raw'!E83</f>
        <v>0</v>
      </c>
      <c r="E104" s="38">
        <f>+'Annual Raw'!F83</f>
        <v>0</v>
      </c>
      <c r="F104" s="38">
        <f>+'Annual Raw'!G83</f>
        <v>0</v>
      </c>
      <c r="G104" s="38">
        <f>+'Annual Raw'!H83</f>
        <v>0</v>
      </c>
      <c r="H104" s="38">
        <f>+'Annual Raw'!I83</f>
        <v>0</v>
      </c>
      <c r="I104" s="38">
        <f>+'Annual Raw'!J83</f>
        <v>0</v>
      </c>
      <c r="J104" s="38">
        <f>+'Annual Raw'!K83</f>
        <v>90</v>
      </c>
      <c r="K104" s="38">
        <f>+'Annual Raw'!L83</f>
        <v>410.10510859999999</v>
      </c>
      <c r="L104" s="38">
        <f>+'Annual Raw'!M83</f>
        <v>334.17464469999999</v>
      </c>
      <c r="M104" s="38">
        <f>+'Annual Raw'!N83</f>
        <v>1784.75</v>
      </c>
      <c r="N104" s="38">
        <f>+'Annual Raw'!O83</f>
        <v>4455.37</v>
      </c>
      <c r="O104" s="38">
        <f>+'Annual Raw'!P83</f>
        <v>7015.71</v>
      </c>
      <c r="P104" s="38">
        <f>+'Annual Raw'!Q83</f>
        <v>9170.06</v>
      </c>
      <c r="Q104" s="38">
        <f>+'Annual Raw'!R83</f>
        <v>12140.45</v>
      </c>
      <c r="R104" s="38">
        <f>+'Annual Raw'!S83</f>
        <v>17040.22</v>
      </c>
      <c r="S104" s="38">
        <f>+'Annual Raw'!T83</f>
        <v>20176.689999999999</v>
      </c>
      <c r="T104" s="38">
        <f>+'Annual Raw'!U83</f>
        <v>26245.22</v>
      </c>
      <c r="U104" s="38">
        <f>+'Annual Raw'!V83</f>
        <v>28283.32</v>
      </c>
      <c r="V104" s="38">
        <f>+'Annual Raw'!W83</f>
        <v>30887.43</v>
      </c>
      <c r="W104" s="38">
        <f>+'Annual Raw'!X83</f>
        <v>28078.16</v>
      </c>
      <c r="X104" s="38">
        <f>+'Annual Raw'!Y83</f>
        <v>32040.07</v>
      </c>
      <c r="Y104" s="38">
        <f>+'Annual Raw'!Z83</f>
        <v>43614.94</v>
      </c>
      <c r="Z104" s="38">
        <f>+'Annual Raw'!AA83</f>
        <v>44957.23</v>
      </c>
      <c r="AA104" s="38">
        <f>+'Annual Raw'!AB83</f>
        <v>58682.48</v>
      </c>
      <c r="AB104" s="39"/>
      <c r="AC104" s="39"/>
      <c r="AD104" s="39"/>
      <c r="AE104" s="39"/>
      <c r="AG104" s="60"/>
      <c r="AH104" s="38">
        <f>+'QTR Raw'!D60</f>
        <v>0</v>
      </c>
      <c r="AI104" s="38">
        <f>+'QTR Raw'!E60</f>
        <v>0</v>
      </c>
      <c r="AJ104" s="38">
        <f>+'QTR Raw'!F60</f>
        <v>0</v>
      </c>
      <c r="AK104" s="38">
        <f>+'QTR Raw'!G60</f>
        <v>0</v>
      </c>
      <c r="AL104" s="38">
        <f>+'QTR Raw'!H60</f>
        <v>0</v>
      </c>
      <c r="AM104" s="38">
        <f>+'QTR Raw'!I60</f>
        <v>0</v>
      </c>
      <c r="AN104" s="38">
        <f>+'QTR Raw'!J60</f>
        <v>0</v>
      </c>
      <c r="AO104" s="38">
        <f>+'QTR Raw'!K60</f>
        <v>0</v>
      </c>
      <c r="AP104" s="38">
        <f>+'QTR Raw'!L60</f>
        <v>0</v>
      </c>
      <c r="AQ104" s="38">
        <f>+'QTR Raw'!M60</f>
        <v>0</v>
      </c>
      <c r="AR104" s="38">
        <f>+'QTR Raw'!N60</f>
        <v>0</v>
      </c>
      <c r="AS104" s="38">
        <f>+'QTR Raw'!O60</f>
        <v>0</v>
      </c>
      <c r="AT104" s="38">
        <f>+'QTR Raw'!P60</f>
        <v>0</v>
      </c>
      <c r="AU104" s="38">
        <f>+'QTR Raw'!Q60</f>
        <v>0</v>
      </c>
      <c r="AV104" s="38">
        <f>+'QTR Raw'!R60</f>
        <v>0</v>
      </c>
      <c r="AW104" s="38">
        <f>+'QTR Raw'!S60</f>
        <v>0</v>
      </c>
      <c r="AX104" s="38">
        <f>+'QTR Raw'!T60</f>
        <v>0</v>
      </c>
      <c r="AY104" s="38">
        <f>+'QTR Raw'!U60</f>
        <v>0</v>
      </c>
      <c r="AZ104" s="38">
        <f>+'QTR Raw'!V60</f>
        <v>0</v>
      </c>
      <c r="BA104" s="38">
        <f>+'QTR Raw'!W60</f>
        <v>0</v>
      </c>
      <c r="BB104" s="38">
        <f>+'QTR Raw'!X60</f>
        <v>0</v>
      </c>
      <c r="BC104" s="38">
        <f>+'QTR Raw'!Y60</f>
        <v>0</v>
      </c>
      <c r="BD104" s="38">
        <f>+'QTR Raw'!Z60</f>
        <v>0</v>
      </c>
      <c r="BE104" s="38">
        <f>+'QTR Raw'!AA60</f>
        <v>0</v>
      </c>
      <c r="BF104" s="38">
        <f>+'QTR Raw'!AB60</f>
        <v>0</v>
      </c>
      <c r="BG104" s="38">
        <f>+'QTR Raw'!AC60</f>
        <v>0</v>
      </c>
      <c r="BH104" s="38">
        <f>+'QTR Raw'!AD60</f>
        <v>0</v>
      </c>
      <c r="BI104" s="38">
        <f>+'QTR Raw'!AE60</f>
        <v>0</v>
      </c>
      <c r="BJ104" s="38">
        <f>+'QTR Raw'!AF60</f>
        <v>0</v>
      </c>
      <c r="BK104" s="38">
        <f>+'QTR Raw'!AG60</f>
        <v>0</v>
      </c>
      <c r="BL104" s="38">
        <f>+'QTR Raw'!AH60</f>
        <v>0</v>
      </c>
      <c r="BM104" s="38">
        <f>+'QTR Raw'!AI60</f>
        <v>0</v>
      </c>
      <c r="BN104" s="38">
        <f>+'QTR Raw'!AJ60</f>
        <v>0</v>
      </c>
      <c r="BO104" s="38">
        <f>+'QTR Raw'!AK60</f>
        <v>0</v>
      </c>
      <c r="BP104" s="38">
        <f>+'QTR Raw'!AL60</f>
        <v>0</v>
      </c>
      <c r="BQ104" s="38">
        <f>+'QTR Raw'!AM60</f>
        <v>0</v>
      </c>
      <c r="BR104" s="38">
        <f>+'QTR Raw'!AN60</f>
        <v>0</v>
      </c>
      <c r="BS104" s="38">
        <f>+'QTR Raw'!AO60</f>
        <v>0</v>
      </c>
      <c r="BT104" s="38">
        <f>+'QTR Raw'!AP60</f>
        <v>0</v>
      </c>
      <c r="BU104" s="38">
        <f>+'QTR Raw'!AQ60</f>
        <v>0</v>
      </c>
      <c r="BV104" s="38">
        <f>+'QTR Raw'!AR60</f>
        <v>0</v>
      </c>
      <c r="BW104" s="38">
        <f>+'QTR Raw'!AS60</f>
        <v>0</v>
      </c>
      <c r="BY104" s="38">
        <f>+'QTR Raw'!AU60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T104" s="38">
        <v>58682.48</v>
      </c>
    </row>
    <row r="105" spans="1:98" s="38" customFormat="1" x14ac:dyDescent="0.2">
      <c r="A105" s="38" t="s">
        <v>208</v>
      </c>
      <c r="B105" s="38">
        <f>+'Annual Raw'!C84</f>
        <v>0</v>
      </c>
      <c r="C105" s="38">
        <f>+'Annual Raw'!D84</f>
        <v>0</v>
      </c>
      <c r="D105" s="38">
        <f>+'Annual Raw'!E84</f>
        <v>0</v>
      </c>
      <c r="E105" s="38">
        <f>+'Annual Raw'!F84</f>
        <v>0</v>
      </c>
      <c r="F105" s="38">
        <f>+'Annual Raw'!G84</f>
        <v>0</v>
      </c>
      <c r="G105" s="38">
        <f>+'Annual Raw'!H84</f>
        <v>0</v>
      </c>
      <c r="H105" s="38">
        <f>+'Annual Raw'!I84</f>
        <v>0</v>
      </c>
      <c r="I105" s="38">
        <f>+'Annual Raw'!J84</f>
        <v>0</v>
      </c>
      <c r="J105" s="38">
        <f>+'Annual Raw'!K84</f>
        <v>0</v>
      </c>
      <c r="K105" s="38">
        <f>+'Annual Raw'!L84</f>
        <v>40</v>
      </c>
      <c r="L105" s="38">
        <f>+'Annual Raw'!M84</f>
        <v>0</v>
      </c>
      <c r="M105" s="38">
        <f>+'Annual Raw'!N84</f>
        <v>0</v>
      </c>
      <c r="N105" s="38">
        <f>+'Annual Raw'!O84</f>
        <v>600</v>
      </c>
      <c r="O105" s="38">
        <f>+'Annual Raw'!P84</f>
        <v>830</v>
      </c>
      <c r="P105" s="38">
        <f>+'Annual Raw'!Q84</f>
        <v>1330</v>
      </c>
      <c r="Q105" s="38">
        <f>+'Annual Raw'!R84</f>
        <v>1330</v>
      </c>
      <c r="R105" s="38">
        <f>+'Annual Raw'!S84</f>
        <v>1720</v>
      </c>
      <c r="S105" s="38">
        <f>+'Annual Raw'!T84</f>
        <v>1992.5</v>
      </c>
      <c r="T105" s="38">
        <f>+'Annual Raw'!U84</f>
        <v>2889.78</v>
      </c>
      <c r="U105" s="38">
        <f>+'Annual Raw'!V84</f>
        <v>3630.55</v>
      </c>
      <c r="V105" s="38">
        <f>+'Annual Raw'!W84</f>
        <v>3987.61</v>
      </c>
      <c r="W105" s="38">
        <f>+'Annual Raw'!X84</f>
        <v>3539.82</v>
      </c>
      <c r="X105" s="38">
        <f>+'Annual Raw'!Y84</f>
        <v>3311.68</v>
      </c>
      <c r="Y105" s="38">
        <f>+'Annual Raw'!Z84</f>
        <v>5148.29</v>
      </c>
      <c r="Z105" s="38">
        <f>+'Annual Raw'!AA84</f>
        <v>6003.71</v>
      </c>
      <c r="AA105" s="38">
        <f>+'Annual Raw'!AB84</f>
        <v>6314.8</v>
      </c>
      <c r="AB105" s="39"/>
      <c r="AC105" s="39"/>
      <c r="AD105" s="39"/>
      <c r="AE105" s="39"/>
      <c r="AG105" s="60"/>
      <c r="AH105" s="38">
        <f>+'QTR Raw'!D61</f>
        <v>0</v>
      </c>
      <c r="AI105" s="38">
        <f>+'QTR Raw'!E61</f>
        <v>0</v>
      </c>
      <c r="AJ105" s="38">
        <f>+'QTR Raw'!F61</f>
        <v>0</v>
      </c>
      <c r="AK105" s="38">
        <f>+'QTR Raw'!G61</f>
        <v>0</v>
      </c>
      <c r="AL105" s="38">
        <f>+'QTR Raw'!H61</f>
        <v>0</v>
      </c>
      <c r="AM105" s="38">
        <f>+'QTR Raw'!I61</f>
        <v>0</v>
      </c>
      <c r="AN105" s="38">
        <f>+'QTR Raw'!J61</f>
        <v>0</v>
      </c>
      <c r="AO105" s="38">
        <f>+'QTR Raw'!K61</f>
        <v>0</v>
      </c>
      <c r="AP105" s="38">
        <f>+'QTR Raw'!L61</f>
        <v>0</v>
      </c>
      <c r="AQ105" s="38">
        <f>+'QTR Raw'!M61</f>
        <v>0</v>
      </c>
      <c r="AR105" s="38">
        <f>+'QTR Raw'!N61</f>
        <v>0</v>
      </c>
      <c r="AS105" s="38">
        <f>+'QTR Raw'!O61</f>
        <v>0</v>
      </c>
      <c r="AT105" s="38">
        <f>+'QTR Raw'!P61</f>
        <v>0</v>
      </c>
      <c r="AU105" s="38">
        <f>+'QTR Raw'!Q61</f>
        <v>0</v>
      </c>
      <c r="AV105" s="38">
        <f>+'QTR Raw'!R61</f>
        <v>0</v>
      </c>
      <c r="AW105" s="38">
        <f>+'QTR Raw'!S61</f>
        <v>0</v>
      </c>
      <c r="AX105" s="38">
        <f>+'QTR Raw'!T61</f>
        <v>0</v>
      </c>
      <c r="AY105" s="38">
        <f>+'QTR Raw'!U61</f>
        <v>0</v>
      </c>
      <c r="AZ105" s="38">
        <f>+'QTR Raw'!V61</f>
        <v>0</v>
      </c>
      <c r="BA105" s="38">
        <f>+'QTR Raw'!W61</f>
        <v>0</v>
      </c>
      <c r="BB105" s="38">
        <f>+'QTR Raw'!X61</f>
        <v>0</v>
      </c>
      <c r="BC105" s="38">
        <f>+'QTR Raw'!Y61</f>
        <v>0</v>
      </c>
      <c r="BD105" s="38">
        <f>+'QTR Raw'!Z61</f>
        <v>0</v>
      </c>
      <c r="BE105" s="38">
        <f>+'QTR Raw'!AA61</f>
        <v>0</v>
      </c>
      <c r="BF105" s="38">
        <f>+'QTR Raw'!AB61</f>
        <v>0</v>
      </c>
      <c r="BG105" s="38">
        <f>+'QTR Raw'!AC61</f>
        <v>0</v>
      </c>
      <c r="BH105" s="38">
        <f>+'QTR Raw'!AD61</f>
        <v>0</v>
      </c>
      <c r="BI105" s="38">
        <f>+'QTR Raw'!AE61</f>
        <v>0</v>
      </c>
      <c r="BJ105" s="38">
        <f>+'QTR Raw'!AF61</f>
        <v>0</v>
      </c>
      <c r="BK105" s="38">
        <f>+'QTR Raw'!AG61</f>
        <v>0</v>
      </c>
      <c r="BL105" s="38">
        <f>+'QTR Raw'!AH61</f>
        <v>0</v>
      </c>
      <c r="BM105" s="38">
        <f>+'QTR Raw'!AI61</f>
        <v>0</v>
      </c>
      <c r="BN105" s="38">
        <f>+'QTR Raw'!AJ61</f>
        <v>0</v>
      </c>
      <c r="BO105" s="38">
        <f>+'QTR Raw'!AK61</f>
        <v>0</v>
      </c>
      <c r="BP105" s="38">
        <f>+'QTR Raw'!AL61</f>
        <v>0</v>
      </c>
      <c r="BQ105" s="38">
        <f>+'QTR Raw'!AM61</f>
        <v>0</v>
      </c>
      <c r="BR105" s="38">
        <f>+'QTR Raw'!AN61</f>
        <v>0</v>
      </c>
      <c r="BS105" s="38">
        <f>+'QTR Raw'!AO61</f>
        <v>0</v>
      </c>
      <c r="BT105" s="38">
        <f>+'QTR Raw'!AP61</f>
        <v>0</v>
      </c>
      <c r="BU105" s="38">
        <f>+'QTR Raw'!AQ61</f>
        <v>0</v>
      </c>
      <c r="BV105" s="38">
        <f>+'QTR Raw'!AR61</f>
        <v>0</v>
      </c>
      <c r="BW105" s="38">
        <f>+'QTR Raw'!AS61</f>
        <v>0</v>
      </c>
      <c r="BY105" s="38">
        <f>+'QTR Raw'!AU61</f>
        <v>0</v>
      </c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T105" s="38">
        <v>6314.8</v>
      </c>
    </row>
    <row r="106" spans="1:98" s="38" customFormat="1" x14ac:dyDescent="0.2">
      <c r="A106" s="38" t="s">
        <v>484</v>
      </c>
      <c r="B106" s="38">
        <f>+SUM('Annual Raw'!C95:C98)</f>
        <v>0</v>
      </c>
      <c r="C106" s="38">
        <f>+SUM('Annual Raw'!D95:D98)</f>
        <v>0</v>
      </c>
      <c r="D106" s="38">
        <f>+SUM('Annual Raw'!E95:E98)</f>
        <v>0</v>
      </c>
      <c r="E106" s="38">
        <f>+SUM('Annual Raw'!F95:F98)</f>
        <v>0</v>
      </c>
      <c r="F106" s="38">
        <f>+SUM('Annual Raw'!G95:G98)</f>
        <v>0</v>
      </c>
      <c r="G106" s="38">
        <f>+SUM('Annual Raw'!H95:H98)</f>
        <v>0</v>
      </c>
      <c r="H106" s="38">
        <f>+SUM('Annual Raw'!I95:I98)</f>
        <v>0</v>
      </c>
      <c r="I106" s="38">
        <f>+SUM('Annual Raw'!J95:J98)</f>
        <v>0</v>
      </c>
      <c r="J106" s="38">
        <f>+SUM('Annual Raw'!K95:K98)</f>
        <v>0</v>
      </c>
      <c r="K106" s="38">
        <f>+SUM('Annual Raw'!L95:L98)</f>
        <v>0</v>
      </c>
      <c r="L106" s="38">
        <f>+SUM('Annual Raw'!M95:M98)</f>
        <v>333.56999990000003</v>
      </c>
      <c r="M106" s="38">
        <f>+SUM('Annual Raw'!N95:N98)</f>
        <v>1199.52</v>
      </c>
      <c r="N106" s="38">
        <f>+SUM('Annual Raw'!O95:O98)</f>
        <v>1948.14</v>
      </c>
      <c r="O106" s="38">
        <f>+SUM('Annual Raw'!P95:P98)</f>
        <v>2824.29</v>
      </c>
      <c r="P106" s="38">
        <f>+SUM('Annual Raw'!Q95:Q98)</f>
        <v>4427.63</v>
      </c>
      <c r="Q106" s="38">
        <f>+SUM('Annual Raw'!R95:R98)</f>
        <v>5231.32</v>
      </c>
      <c r="R106" s="38">
        <f>+SUM('Annual Raw'!S95:S98)</f>
        <v>4746.83</v>
      </c>
      <c r="S106" s="38">
        <f>+SUM('Annual Raw'!T95:T98)</f>
        <v>0</v>
      </c>
      <c r="T106" s="38">
        <f>+SUM('Annual Raw'!U95:U98)</f>
        <v>0</v>
      </c>
      <c r="U106" s="38">
        <f>+SUM('Annual Raw'!V95:V98)</f>
        <v>0</v>
      </c>
      <c r="V106" s="38">
        <f>+SUM('Annual Raw'!W95:W98)</f>
        <v>0</v>
      </c>
      <c r="W106" s="38">
        <f>+SUM('Annual Raw'!X95:X98)</f>
        <v>0</v>
      </c>
      <c r="X106" s="38">
        <f>+SUM('Annual Raw'!Y95:Y98)</f>
        <v>0</v>
      </c>
      <c r="Y106" s="38">
        <f>+SUM('Annual Raw'!Z95:Z98)</f>
        <v>0</v>
      </c>
      <c r="Z106" s="38">
        <f>+SUM('Annual Raw'!AA95:AA98)</f>
        <v>0</v>
      </c>
      <c r="AA106" s="38">
        <f>+SUM('Annual Raw'!AB95:AB98)</f>
        <v>0</v>
      </c>
      <c r="AB106" s="39"/>
      <c r="AC106" s="39"/>
      <c r="AD106" s="39"/>
      <c r="AE106" s="39"/>
      <c r="AG106" s="60"/>
      <c r="AH106" s="38">
        <f>+'QTR Raw'!D89</f>
        <v>0</v>
      </c>
      <c r="AI106" s="38">
        <f>+'QTR Raw'!E89</f>
        <v>0</v>
      </c>
      <c r="AJ106" s="38">
        <f>+'QTR Raw'!F89</f>
        <v>0</v>
      </c>
      <c r="AK106" s="38">
        <f>+'QTR Raw'!G89</f>
        <v>0</v>
      </c>
      <c r="AL106" s="38">
        <f>+'QTR Raw'!H89</f>
        <v>0</v>
      </c>
      <c r="AM106" s="38">
        <f>+'QTR Raw'!I89</f>
        <v>0</v>
      </c>
      <c r="AN106" s="38">
        <f>+'QTR Raw'!J89</f>
        <v>0</v>
      </c>
      <c r="AO106" s="38">
        <f>+'QTR Raw'!K89</f>
        <v>0</v>
      </c>
      <c r="AP106" s="38">
        <f>+'QTR Raw'!L89</f>
        <v>0</v>
      </c>
      <c r="AQ106" s="38">
        <f>+'QTR Raw'!M89</f>
        <v>0</v>
      </c>
      <c r="AR106" s="38">
        <f>+'QTR Raw'!N89</f>
        <v>0</v>
      </c>
      <c r="AS106" s="38">
        <f>+'QTR Raw'!O89</f>
        <v>0</v>
      </c>
      <c r="AT106" s="38">
        <f>+'QTR Raw'!P89</f>
        <v>0</v>
      </c>
      <c r="AU106" s="38">
        <f>+'QTR Raw'!Q89</f>
        <v>0</v>
      </c>
      <c r="AV106" s="38">
        <f>+'QTR Raw'!R89</f>
        <v>0</v>
      </c>
      <c r="AW106" s="38">
        <f>+'QTR Raw'!S89</f>
        <v>0</v>
      </c>
      <c r="AX106" s="38">
        <f>+'QTR Raw'!T89</f>
        <v>0</v>
      </c>
      <c r="AY106" s="38">
        <f>+'QTR Raw'!U89</f>
        <v>0</v>
      </c>
      <c r="AZ106" s="38">
        <f>+'QTR Raw'!V89</f>
        <v>0</v>
      </c>
      <c r="BA106" s="38">
        <f>+'QTR Raw'!W89</f>
        <v>0</v>
      </c>
      <c r="BB106" s="38">
        <f>+'QTR Raw'!X89</f>
        <v>0</v>
      </c>
      <c r="BC106" s="38">
        <f>+'QTR Raw'!Y89</f>
        <v>0</v>
      </c>
      <c r="BD106" s="38">
        <f>+'QTR Raw'!Z89</f>
        <v>0</v>
      </c>
      <c r="BE106" s="38">
        <f>+'QTR Raw'!AA89</f>
        <v>0</v>
      </c>
      <c r="BF106" s="38">
        <f>+'QTR Raw'!AB89</f>
        <v>0</v>
      </c>
      <c r="BG106" s="38">
        <f>+'QTR Raw'!AC89</f>
        <v>0</v>
      </c>
      <c r="BH106" s="38">
        <f>+'QTR Raw'!AD89</f>
        <v>0</v>
      </c>
      <c r="BI106" s="38">
        <f>+'QTR Raw'!AE89</f>
        <v>0</v>
      </c>
      <c r="BJ106" s="38">
        <f>+'QTR Raw'!AF89</f>
        <v>0</v>
      </c>
      <c r="BK106" s="38">
        <f>+'QTR Raw'!AG89</f>
        <v>0</v>
      </c>
      <c r="BL106" s="38">
        <f>+'QTR Raw'!AH89</f>
        <v>0</v>
      </c>
      <c r="BM106" s="38">
        <f>+'QTR Raw'!AI89</f>
        <v>0</v>
      </c>
      <c r="BN106" s="38">
        <f>+'QTR Raw'!AJ89</f>
        <v>0</v>
      </c>
      <c r="BO106" s="38">
        <f>+'QTR Raw'!AK89</f>
        <v>0</v>
      </c>
      <c r="BP106" s="38">
        <f>+'QTR Raw'!AL89</f>
        <v>0</v>
      </c>
      <c r="BQ106" s="38">
        <f>+'QTR Raw'!AM89</f>
        <v>0</v>
      </c>
      <c r="BR106" s="38">
        <f>+'QTR Raw'!AN89</f>
        <v>0</v>
      </c>
      <c r="BS106" s="38">
        <f>+'QTR Raw'!AO89</f>
        <v>0</v>
      </c>
      <c r="BT106" s="38">
        <f>+'QTR Raw'!AP89</f>
        <v>0</v>
      </c>
      <c r="BU106" s="38">
        <f>+'QTR Raw'!AQ89</f>
        <v>0</v>
      </c>
      <c r="BV106" s="38">
        <f>+'QTR Raw'!AR89</f>
        <v>0</v>
      </c>
      <c r="BW106" s="38">
        <f>+'QTR Raw'!AS89</f>
        <v>0</v>
      </c>
      <c r="BY106" s="38">
        <f>+'QTR Raw'!AU89</f>
        <v>0</v>
      </c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T106" s="38">
        <v>0</v>
      </c>
    </row>
    <row r="107" spans="1:98" s="38" customFormat="1" x14ac:dyDescent="0.2">
      <c r="A107" s="38" t="s">
        <v>229</v>
      </c>
      <c r="B107" s="38">
        <f>+'Annual Raw'!C99</f>
        <v>0</v>
      </c>
      <c r="C107" s="38">
        <f>+'Annual Raw'!D99</f>
        <v>0</v>
      </c>
      <c r="D107" s="38">
        <f>+'Annual Raw'!E99</f>
        <v>0</v>
      </c>
      <c r="E107" s="38">
        <f>+'Annual Raw'!F99</f>
        <v>0</v>
      </c>
      <c r="F107" s="38">
        <f>+'Annual Raw'!G99</f>
        <v>0</v>
      </c>
      <c r="G107" s="38">
        <f>+'Annual Raw'!H99</f>
        <v>0</v>
      </c>
      <c r="H107" s="38">
        <f>+'Annual Raw'!I99</f>
        <v>0</v>
      </c>
      <c r="I107" s="38">
        <f>+'Annual Raw'!J99</f>
        <v>0</v>
      </c>
      <c r="J107" s="38">
        <f>+'Annual Raw'!K99</f>
        <v>0</v>
      </c>
      <c r="K107" s="38">
        <f>+'Annual Raw'!L99</f>
        <v>0</v>
      </c>
      <c r="L107" s="38">
        <f>+'Annual Raw'!M99</f>
        <v>0.71758509999999998</v>
      </c>
      <c r="M107" s="38">
        <f>+'Annual Raw'!N99</f>
        <v>50</v>
      </c>
      <c r="N107" s="38">
        <f>+'Annual Raw'!O99</f>
        <v>150</v>
      </c>
      <c r="O107" s="38">
        <f>+'Annual Raw'!P99</f>
        <v>405</v>
      </c>
      <c r="P107" s="38">
        <f>+'Annual Raw'!Q99</f>
        <v>350.28</v>
      </c>
      <c r="Q107" s="38">
        <f>+'Annual Raw'!R99</f>
        <v>910.38</v>
      </c>
      <c r="R107" s="38">
        <f>+'Annual Raw'!S99</f>
        <v>2080</v>
      </c>
      <c r="S107" s="38">
        <f>+'Annual Raw'!T99</f>
        <v>13584.26</v>
      </c>
      <c r="T107" s="38">
        <f>+'Annual Raw'!U99</f>
        <v>15970.1</v>
      </c>
      <c r="U107" s="38">
        <f>+'Annual Raw'!V99</f>
        <v>17890.22</v>
      </c>
      <c r="V107" s="38">
        <f>+'Annual Raw'!W99</f>
        <v>15483.71</v>
      </c>
      <c r="W107" s="38">
        <f>+'Annual Raw'!X99</f>
        <v>17355.099999999999</v>
      </c>
      <c r="X107" s="38">
        <f>+'Annual Raw'!Y99</f>
        <v>19513.560000000001</v>
      </c>
      <c r="Y107" s="38">
        <f>+'Annual Raw'!Z99</f>
        <v>25567.439999999999</v>
      </c>
      <c r="Z107" s="38">
        <f>+'Annual Raw'!AA99</f>
        <v>38721.43</v>
      </c>
      <c r="AA107" s="38">
        <f>+'Annual Raw'!AB99</f>
        <v>34232.769999999997</v>
      </c>
      <c r="AB107" s="39">
        <f>+CC107</f>
        <v>66471.367585612956</v>
      </c>
      <c r="AC107" s="39">
        <f>+CG107</f>
        <v>73769.562647786093</v>
      </c>
      <c r="AD107" s="39">
        <f>+CK107</f>
        <v>81869.059881107212</v>
      </c>
      <c r="AE107" s="39">
        <f>+CO107</f>
        <v>90857.837910978458</v>
      </c>
      <c r="AG107" s="60"/>
      <c r="AH107" s="38">
        <f>+'QTR Raw'!D86</f>
        <v>0</v>
      </c>
      <c r="AI107" s="38">
        <f>+'QTR Raw'!E86</f>
        <v>0</v>
      </c>
      <c r="AJ107" s="38">
        <f>+'QTR Raw'!F86</f>
        <v>0</v>
      </c>
      <c r="AK107" s="38">
        <f>+'QTR Raw'!G86</f>
        <v>0</v>
      </c>
      <c r="AL107" s="38">
        <f>+'QTR Raw'!H86</f>
        <v>0</v>
      </c>
      <c r="AM107" s="38">
        <f>+'QTR Raw'!I86</f>
        <v>0</v>
      </c>
      <c r="AN107" s="38">
        <f>+'QTR Raw'!J86</f>
        <v>0</v>
      </c>
      <c r="AO107" s="38">
        <f>+'QTR Raw'!K86</f>
        <v>0</v>
      </c>
      <c r="AP107" s="38">
        <f>+'QTR Raw'!L86</f>
        <v>0</v>
      </c>
      <c r="AQ107" s="38">
        <f>+'QTR Raw'!M86</f>
        <v>0</v>
      </c>
      <c r="AR107" s="38">
        <f>+'QTR Raw'!N86</f>
        <v>0</v>
      </c>
      <c r="AS107" s="38">
        <f>+'QTR Raw'!O86</f>
        <v>0</v>
      </c>
      <c r="AT107" s="38">
        <f>+'QTR Raw'!P86</f>
        <v>0</v>
      </c>
      <c r="AU107" s="38">
        <f>+'QTR Raw'!Q86</f>
        <v>0</v>
      </c>
      <c r="AV107" s="38">
        <f>+'QTR Raw'!R86</f>
        <v>0</v>
      </c>
      <c r="AW107" s="38">
        <f>+'QTR Raw'!S86</f>
        <v>0</v>
      </c>
      <c r="AX107" s="38">
        <f>+'QTR Raw'!T86</f>
        <v>0</v>
      </c>
      <c r="AY107" s="38">
        <f>+'QTR Raw'!U86</f>
        <v>0</v>
      </c>
      <c r="AZ107" s="38">
        <f>+'QTR Raw'!V86</f>
        <v>0</v>
      </c>
      <c r="BA107" s="38">
        <f>+'QTR Raw'!W86</f>
        <v>0</v>
      </c>
      <c r="BB107" s="38">
        <f>+'QTR Raw'!X86</f>
        <v>0</v>
      </c>
      <c r="BC107" s="38">
        <f>+'QTR Raw'!Y86</f>
        <v>0</v>
      </c>
      <c r="BD107" s="38">
        <f>+'QTR Raw'!Z86</f>
        <v>0</v>
      </c>
      <c r="BE107" s="38">
        <f>+'QTR Raw'!AA86</f>
        <v>0</v>
      </c>
      <c r="BF107" s="38">
        <f>+'QTR Raw'!AB86</f>
        <v>0</v>
      </c>
      <c r="BG107" s="38">
        <f>+'QTR Raw'!AC86</f>
        <v>0</v>
      </c>
      <c r="BH107" s="38">
        <f>+'QTR Raw'!AD86</f>
        <v>0</v>
      </c>
      <c r="BI107" s="38">
        <f>+'QTR Raw'!AE86</f>
        <v>0</v>
      </c>
      <c r="BJ107" s="38">
        <f>+'QTR Raw'!AF86</f>
        <v>0</v>
      </c>
      <c r="BK107" s="38">
        <f>+'QTR Raw'!AG86</f>
        <v>0</v>
      </c>
      <c r="BL107" s="38">
        <f>+'QTR Raw'!AH86</f>
        <v>0</v>
      </c>
      <c r="BM107" s="38">
        <f>+'QTR Raw'!AI86</f>
        <v>0</v>
      </c>
      <c r="BN107" s="38">
        <f>+'QTR Raw'!AJ86</f>
        <v>0</v>
      </c>
      <c r="BO107" s="38">
        <f>+'QTR Raw'!AK86</f>
        <v>0</v>
      </c>
      <c r="BP107" s="38">
        <f>+'QTR Raw'!AL86</f>
        <v>0</v>
      </c>
      <c r="BQ107" s="38">
        <f>+'QTR Raw'!AM86</f>
        <v>0</v>
      </c>
      <c r="BR107" s="38">
        <f>+'QTR Raw'!AN86</f>
        <v>0</v>
      </c>
      <c r="BS107" s="38">
        <f>+'QTR Raw'!AO86</f>
        <v>0</v>
      </c>
      <c r="BT107" s="38">
        <f>BU107</f>
        <v>42077.2</v>
      </c>
      <c r="BU107" s="38">
        <f>+'QTR Raw'!AQ86</f>
        <v>42077.2</v>
      </c>
      <c r="BV107" s="38">
        <f>BU107</f>
        <v>42077.2</v>
      </c>
      <c r="BW107" s="38">
        <f>+'QTR Raw'!AS86</f>
        <v>48219.9</v>
      </c>
      <c r="BX107" s="38">
        <f>BW107</f>
        <v>48219.9</v>
      </c>
      <c r="BY107" s="38">
        <f>+'QTR Raw'!AU86</f>
        <v>59895.199999999997</v>
      </c>
      <c r="BZ107" s="39">
        <f>+BZ113*BZ156</f>
        <v>59895.199999999997</v>
      </c>
      <c r="CA107" s="39">
        <f t="shared" ref="CA107:CO107" si="1080">+CA113*CA156</f>
        <v>62454.842755484162</v>
      </c>
      <c r="CB107" s="39">
        <f t="shared" si="1080"/>
        <v>62454.842755484162</v>
      </c>
      <c r="CC107" s="39">
        <f t="shared" si="1080"/>
        <v>66471.367585612956</v>
      </c>
      <c r="CD107" s="39">
        <f t="shared" si="1080"/>
        <v>66471.367585612956</v>
      </c>
      <c r="CE107" s="39">
        <f t="shared" si="1080"/>
        <v>69312.045210658704</v>
      </c>
      <c r="CF107" s="39">
        <f t="shared" si="1080"/>
        <v>69312.045210658704</v>
      </c>
      <c r="CG107" s="39">
        <f t="shared" si="1080"/>
        <v>73769.562647786093</v>
      </c>
      <c r="CH107" s="39">
        <f t="shared" si="1080"/>
        <v>73769.562647786093</v>
      </c>
      <c r="CI107" s="39">
        <f t="shared" si="1080"/>
        <v>76922.131244378819</v>
      </c>
      <c r="CJ107" s="39">
        <f t="shared" si="1080"/>
        <v>76922.131244378819</v>
      </c>
      <c r="CK107" s="39">
        <f t="shared" si="1080"/>
        <v>81869.059881107212</v>
      </c>
      <c r="CL107" s="39">
        <f t="shared" si="1080"/>
        <v>81869.059881107212</v>
      </c>
      <c r="CM107" s="39">
        <f t="shared" si="1080"/>
        <v>85367.763383607846</v>
      </c>
      <c r="CN107" s="39">
        <f t="shared" si="1080"/>
        <v>85367.763383607846</v>
      </c>
      <c r="CO107" s="39">
        <f t="shared" si="1080"/>
        <v>90857.837910978458</v>
      </c>
      <c r="CT107" s="38">
        <v>59895.199999999997</v>
      </c>
    </row>
    <row r="108" spans="1:98" s="43" customFormat="1" x14ac:dyDescent="0.2">
      <c r="A108" s="43" t="s">
        <v>21</v>
      </c>
      <c r="B108" s="43">
        <f t="shared" ref="B108:AB108" si="1081">SUM(B104:B107)</f>
        <v>0</v>
      </c>
      <c r="C108" s="43">
        <f t="shared" si="1081"/>
        <v>0</v>
      </c>
      <c r="D108" s="43">
        <f t="shared" si="1081"/>
        <v>0</v>
      </c>
      <c r="E108" s="43">
        <f t="shared" si="1081"/>
        <v>0</v>
      </c>
      <c r="F108" s="43">
        <f t="shared" si="1081"/>
        <v>0</v>
      </c>
      <c r="G108" s="43">
        <f t="shared" si="1081"/>
        <v>0</v>
      </c>
      <c r="H108" s="43">
        <f t="shared" si="1081"/>
        <v>0</v>
      </c>
      <c r="I108" s="43">
        <f t="shared" si="1081"/>
        <v>0</v>
      </c>
      <c r="J108" s="43">
        <f t="shared" si="1081"/>
        <v>90</v>
      </c>
      <c r="K108" s="43">
        <f t="shared" si="1081"/>
        <v>450.10510859999999</v>
      </c>
      <c r="L108" s="43">
        <f t="shared" si="1081"/>
        <v>668.46222969999997</v>
      </c>
      <c r="M108" s="43">
        <f t="shared" si="1081"/>
        <v>3034.27</v>
      </c>
      <c r="N108" s="43">
        <f t="shared" si="1081"/>
        <v>7153.51</v>
      </c>
      <c r="O108" s="43">
        <f t="shared" si="1081"/>
        <v>11075</v>
      </c>
      <c r="P108" s="43">
        <f t="shared" si="1081"/>
        <v>15277.97</v>
      </c>
      <c r="Q108" s="43">
        <f t="shared" si="1081"/>
        <v>19612.150000000001</v>
      </c>
      <c r="R108" s="43">
        <f t="shared" si="1081"/>
        <v>25587.050000000003</v>
      </c>
      <c r="S108" s="43">
        <f t="shared" si="1081"/>
        <v>35753.449999999997</v>
      </c>
      <c r="T108" s="43">
        <f t="shared" si="1081"/>
        <v>45105.1</v>
      </c>
      <c r="U108" s="43">
        <f t="shared" si="1081"/>
        <v>49804.09</v>
      </c>
      <c r="V108" s="43">
        <f t="shared" si="1081"/>
        <v>50358.75</v>
      </c>
      <c r="W108" s="43">
        <f t="shared" si="1081"/>
        <v>48973.08</v>
      </c>
      <c r="X108" s="43">
        <f t="shared" si="1081"/>
        <v>54865.31</v>
      </c>
      <c r="Y108" s="43">
        <f t="shared" si="1081"/>
        <v>74330.67</v>
      </c>
      <c r="Z108" s="43">
        <f t="shared" si="1081"/>
        <v>89682.37</v>
      </c>
      <c r="AA108" s="43">
        <f t="shared" ref="AA108" si="1082">SUM(AA104:AA107)</f>
        <v>99230.05</v>
      </c>
      <c r="AB108" s="44">
        <f t="shared" si="1081"/>
        <v>66471.367585612956</v>
      </c>
      <c r="AC108" s="44">
        <f>SUM(AC107:AC107)</f>
        <v>73769.562647786093</v>
      </c>
      <c r="AD108" s="44">
        <f>SUM(AD107:AD107)</f>
        <v>81869.059881107212</v>
      </c>
      <c r="AE108" s="44">
        <f>SUM(AE107:AE107)</f>
        <v>90857.837910978458</v>
      </c>
      <c r="AG108" s="62"/>
      <c r="AH108" s="43">
        <f t="shared" ref="AH108" si="1083">SUM(AH104:AH107)</f>
        <v>0</v>
      </c>
      <c r="AI108" s="43">
        <f t="shared" ref="AI108:AT108" si="1084">SUM(AI104:AI107)</f>
        <v>0</v>
      </c>
      <c r="AJ108" s="43">
        <f t="shared" si="1084"/>
        <v>0</v>
      </c>
      <c r="AK108" s="43">
        <f t="shared" si="1084"/>
        <v>0</v>
      </c>
      <c r="AL108" s="43">
        <f t="shared" si="1084"/>
        <v>0</v>
      </c>
      <c r="AM108" s="43">
        <f t="shared" si="1084"/>
        <v>0</v>
      </c>
      <c r="AN108" s="43">
        <f t="shared" si="1084"/>
        <v>0</v>
      </c>
      <c r="AO108" s="43">
        <f t="shared" si="1084"/>
        <v>0</v>
      </c>
      <c r="AP108" s="43">
        <f t="shared" si="1084"/>
        <v>0</v>
      </c>
      <c r="AQ108" s="43">
        <f t="shared" si="1084"/>
        <v>0</v>
      </c>
      <c r="AR108" s="43">
        <f t="shared" si="1084"/>
        <v>0</v>
      </c>
      <c r="AS108" s="43">
        <f t="shared" si="1084"/>
        <v>0</v>
      </c>
      <c r="AT108" s="43">
        <f t="shared" si="1084"/>
        <v>0</v>
      </c>
      <c r="AU108" s="43">
        <f t="shared" ref="AU108" si="1085">SUM(AU104:AU107)</f>
        <v>0</v>
      </c>
      <c r="AV108" s="43">
        <f t="shared" ref="AV108:CO108" si="1086">SUM(AV104:AV107)</f>
        <v>0</v>
      </c>
      <c r="AW108" s="43">
        <f t="shared" si="1086"/>
        <v>0</v>
      </c>
      <c r="AX108" s="43">
        <f t="shared" si="1086"/>
        <v>0</v>
      </c>
      <c r="AY108" s="43">
        <f t="shared" si="1086"/>
        <v>0</v>
      </c>
      <c r="AZ108" s="43">
        <f t="shared" si="1086"/>
        <v>0</v>
      </c>
      <c r="BA108" s="43">
        <f t="shared" si="1086"/>
        <v>0</v>
      </c>
      <c r="BB108" s="43">
        <f t="shared" si="1086"/>
        <v>0</v>
      </c>
      <c r="BC108" s="43">
        <f t="shared" si="1086"/>
        <v>0</v>
      </c>
      <c r="BD108" s="43">
        <f t="shared" si="1086"/>
        <v>0</v>
      </c>
      <c r="BE108" s="43">
        <f t="shared" si="1086"/>
        <v>0</v>
      </c>
      <c r="BF108" s="43">
        <f t="shared" si="1086"/>
        <v>0</v>
      </c>
      <c r="BG108" s="43">
        <f t="shared" si="1086"/>
        <v>0</v>
      </c>
      <c r="BH108" s="43">
        <f t="shared" si="1086"/>
        <v>0</v>
      </c>
      <c r="BI108" s="43">
        <f t="shared" si="1086"/>
        <v>0</v>
      </c>
      <c r="BJ108" s="43">
        <f t="shared" si="1086"/>
        <v>0</v>
      </c>
      <c r="BK108" s="43">
        <f t="shared" si="1086"/>
        <v>0</v>
      </c>
      <c r="BL108" s="43">
        <f t="shared" si="1086"/>
        <v>0</v>
      </c>
      <c r="BM108" s="43">
        <f t="shared" si="1086"/>
        <v>0</v>
      </c>
      <c r="BN108" s="43">
        <f t="shared" si="1086"/>
        <v>0</v>
      </c>
      <c r="BO108" s="43">
        <f t="shared" si="1086"/>
        <v>0</v>
      </c>
      <c r="BP108" s="43">
        <f t="shared" si="1086"/>
        <v>0</v>
      </c>
      <c r="BQ108" s="43">
        <f t="shared" si="1086"/>
        <v>0</v>
      </c>
      <c r="BR108" s="43">
        <f t="shared" si="1086"/>
        <v>0</v>
      </c>
      <c r="BS108" s="43">
        <f t="shared" si="1086"/>
        <v>0</v>
      </c>
      <c r="BT108" s="43">
        <f t="shared" si="1086"/>
        <v>42077.2</v>
      </c>
      <c r="BU108" s="43">
        <f t="shared" si="1086"/>
        <v>42077.2</v>
      </c>
      <c r="BV108" s="43">
        <f t="shared" ref="BV108" si="1087">SUM(BV104:BV107)</f>
        <v>42077.2</v>
      </c>
      <c r="BW108" s="43">
        <f t="shared" ref="BW108:BY108" si="1088">SUM(BW104:BW107)</f>
        <v>48219.9</v>
      </c>
      <c r="BX108" s="43">
        <f t="shared" si="1086"/>
        <v>48219.9</v>
      </c>
      <c r="BY108" s="43">
        <f t="shared" si="1088"/>
        <v>59895.199999999997</v>
      </c>
      <c r="BZ108" s="44">
        <f t="shared" si="1086"/>
        <v>59895.199999999997</v>
      </c>
      <c r="CA108" s="44">
        <f t="shared" si="1086"/>
        <v>62454.842755484162</v>
      </c>
      <c r="CB108" s="44">
        <f t="shared" si="1086"/>
        <v>62454.842755484162</v>
      </c>
      <c r="CC108" s="44">
        <f t="shared" si="1086"/>
        <v>66471.367585612956</v>
      </c>
      <c r="CD108" s="44">
        <f t="shared" si="1086"/>
        <v>66471.367585612956</v>
      </c>
      <c r="CE108" s="44">
        <f t="shared" si="1086"/>
        <v>69312.045210658704</v>
      </c>
      <c r="CF108" s="44">
        <f t="shared" si="1086"/>
        <v>69312.045210658704</v>
      </c>
      <c r="CG108" s="44">
        <f t="shared" si="1086"/>
        <v>73769.562647786093</v>
      </c>
      <c r="CH108" s="44">
        <f t="shared" si="1086"/>
        <v>73769.562647786093</v>
      </c>
      <c r="CI108" s="44">
        <f t="shared" si="1086"/>
        <v>76922.131244378819</v>
      </c>
      <c r="CJ108" s="44">
        <f t="shared" si="1086"/>
        <v>76922.131244378819</v>
      </c>
      <c r="CK108" s="44">
        <f t="shared" si="1086"/>
        <v>81869.059881107212</v>
      </c>
      <c r="CL108" s="44">
        <f t="shared" si="1086"/>
        <v>81869.059881107212</v>
      </c>
      <c r="CM108" s="44">
        <f t="shared" si="1086"/>
        <v>85367.763383607846</v>
      </c>
      <c r="CN108" s="44">
        <f t="shared" si="1086"/>
        <v>85367.763383607846</v>
      </c>
      <c r="CO108" s="44">
        <f t="shared" si="1086"/>
        <v>90857.837910978458</v>
      </c>
      <c r="CT108" s="43">
        <v>59895.199999999997</v>
      </c>
    </row>
    <row r="109" spans="1:98" s="40" customFormat="1" x14ac:dyDescent="0.2">
      <c r="A109" s="40" t="s">
        <v>52</v>
      </c>
      <c r="B109" s="40">
        <f t="shared" ref="B109:AE109" si="1089">B108+B102+B100</f>
        <v>0</v>
      </c>
      <c r="C109" s="40">
        <f t="shared" si="1089"/>
        <v>0</v>
      </c>
      <c r="D109" s="40">
        <f t="shared" si="1089"/>
        <v>0</v>
      </c>
      <c r="E109" s="40">
        <f t="shared" si="1089"/>
        <v>0</v>
      </c>
      <c r="F109" s="40">
        <f t="shared" si="1089"/>
        <v>0</v>
      </c>
      <c r="G109" s="40">
        <f t="shared" si="1089"/>
        <v>0</v>
      </c>
      <c r="H109" s="40">
        <f t="shared" si="1089"/>
        <v>0</v>
      </c>
      <c r="I109" s="40">
        <f t="shared" si="1089"/>
        <v>101.34528639999999</v>
      </c>
      <c r="J109" s="40">
        <f t="shared" si="1089"/>
        <v>182.1275503</v>
      </c>
      <c r="K109" s="40">
        <f t="shared" si="1089"/>
        <v>552.15107399999999</v>
      </c>
      <c r="L109" s="40">
        <f t="shared" si="1089"/>
        <v>1387.7313508</v>
      </c>
      <c r="M109" s="40">
        <f t="shared" si="1089"/>
        <v>3805.06</v>
      </c>
      <c r="N109" s="40">
        <f t="shared" si="1089"/>
        <v>8027.04</v>
      </c>
      <c r="O109" s="40">
        <f t="shared" si="1089"/>
        <v>12703.5</v>
      </c>
      <c r="P109" s="40">
        <f t="shared" si="1089"/>
        <v>18403.099999999999</v>
      </c>
      <c r="Q109" s="40">
        <f t="shared" si="1089"/>
        <v>23173.95</v>
      </c>
      <c r="R109" s="40">
        <f t="shared" si="1089"/>
        <v>30949.940000000002</v>
      </c>
      <c r="S109" s="40">
        <f t="shared" si="1089"/>
        <v>41793.799999999996</v>
      </c>
      <c r="T109" s="40">
        <f t="shared" si="1089"/>
        <v>52283.57</v>
      </c>
      <c r="U109" s="40">
        <f t="shared" si="1089"/>
        <v>57821.89</v>
      </c>
      <c r="V109" s="40">
        <f t="shared" si="1089"/>
        <v>58804.99</v>
      </c>
      <c r="W109" s="40">
        <f t="shared" si="1089"/>
        <v>58512.81</v>
      </c>
      <c r="X109" s="40">
        <f t="shared" si="1089"/>
        <v>66302.28</v>
      </c>
      <c r="Y109" s="40">
        <f t="shared" si="1089"/>
        <v>88073.38</v>
      </c>
      <c r="Z109" s="40">
        <f t="shared" si="1089"/>
        <v>105502.12</v>
      </c>
      <c r="AA109" s="40">
        <f t="shared" ref="AA109" si="1090">AA108+AA102+AA100</f>
        <v>119894.1</v>
      </c>
      <c r="AB109" s="41">
        <f t="shared" si="1089"/>
        <v>91117.904371597862</v>
      </c>
      <c r="AC109" s="41">
        <f t="shared" si="1089"/>
        <v>102952.23381084044</v>
      </c>
      <c r="AD109" s="41">
        <f t="shared" si="1089"/>
        <v>116170.02760839305</v>
      </c>
      <c r="AE109" s="41">
        <f t="shared" si="1089"/>
        <v>130932.33677959198</v>
      </c>
      <c r="AG109" s="61"/>
      <c r="AH109" s="40">
        <f t="shared" ref="AH109" si="1091">AH108+AH102+AH100</f>
        <v>0</v>
      </c>
      <c r="AI109" s="40">
        <f t="shared" ref="AI109" si="1092">AI108+AI102+AI100</f>
        <v>0</v>
      </c>
      <c r="AJ109" s="40">
        <f t="shared" ref="AJ109" si="1093">AJ108+AJ102+AJ100</f>
        <v>0</v>
      </c>
      <c r="AK109" s="40">
        <f t="shared" ref="AK109" si="1094">AK108+AK102+AK100</f>
        <v>0</v>
      </c>
      <c r="AL109" s="40">
        <f t="shared" ref="AL109" si="1095">AL108+AL102+AL100</f>
        <v>0</v>
      </c>
      <c r="AM109" s="40">
        <f t="shared" ref="AM109" si="1096">AM108+AM102+AM100</f>
        <v>0</v>
      </c>
      <c r="AN109" s="40">
        <f t="shared" ref="AN109" si="1097">AN108+AN102+AN100</f>
        <v>0</v>
      </c>
      <c r="AO109" s="40">
        <f t="shared" ref="AO109" si="1098">AO108+AO102+AO100</f>
        <v>0</v>
      </c>
      <c r="AP109" s="40">
        <f t="shared" ref="AP109" si="1099">AP108+AP102+AP100</f>
        <v>0</v>
      </c>
      <c r="AQ109" s="40">
        <f t="shared" ref="AQ109" si="1100">AQ108+AQ102+AQ100</f>
        <v>0</v>
      </c>
      <c r="AR109" s="40">
        <f t="shared" ref="AR109" si="1101">AR108+AR102+AR100</f>
        <v>0</v>
      </c>
      <c r="AS109" s="40">
        <f t="shared" ref="AS109" si="1102">AS108+AS102+AS100</f>
        <v>0</v>
      </c>
      <c r="AT109" s="40">
        <f t="shared" ref="AT109" si="1103">AT108+AT102+AT100</f>
        <v>0</v>
      </c>
      <c r="AU109" s="40">
        <f t="shared" ref="AU109" si="1104">AU108+AU102+AU100</f>
        <v>0</v>
      </c>
      <c r="AV109" s="40">
        <f t="shared" ref="AV109:BM109" si="1105">AV108+AV102+AV100</f>
        <v>0</v>
      </c>
      <c r="AW109" s="40">
        <f t="shared" si="1105"/>
        <v>0</v>
      </c>
      <c r="AX109" s="40">
        <f t="shared" si="1105"/>
        <v>0</v>
      </c>
      <c r="AY109" s="40">
        <f t="shared" si="1105"/>
        <v>0</v>
      </c>
      <c r="AZ109" s="40">
        <f t="shared" si="1105"/>
        <v>0</v>
      </c>
      <c r="BA109" s="40">
        <f t="shared" si="1105"/>
        <v>0</v>
      </c>
      <c r="BB109" s="40">
        <f t="shared" si="1105"/>
        <v>0</v>
      </c>
      <c r="BC109" s="40">
        <f t="shared" si="1105"/>
        <v>0</v>
      </c>
      <c r="BD109" s="40">
        <f t="shared" si="1105"/>
        <v>0</v>
      </c>
      <c r="BE109" s="40">
        <f t="shared" si="1105"/>
        <v>0</v>
      </c>
      <c r="BF109" s="40">
        <f t="shared" si="1105"/>
        <v>0</v>
      </c>
      <c r="BG109" s="40">
        <f t="shared" si="1105"/>
        <v>0</v>
      </c>
      <c r="BH109" s="40">
        <f t="shared" si="1105"/>
        <v>0</v>
      </c>
      <c r="BI109" s="40">
        <f t="shared" si="1105"/>
        <v>0</v>
      </c>
      <c r="BJ109" s="40">
        <f t="shared" si="1105"/>
        <v>0</v>
      </c>
      <c r="BK109" s="40">
        <f t="shared" si="1105"/>
        <v>0</v>
      </c>
      <c r="BL109" s="40">
        <f t="shared" si="1105"/>
        <v>0</v>
      </c>
      <c r="BM109" s="40">
        <f t="shared" si="1105"/>
        <v>0</v>
      </c>
      <c r="BN109" s="40">
        <f t="shared" ref="BN109:CO109" si="1106">BN108+BN102+BN100</f>
        <v>0</v>
      </c>
      <c r="BO109" s="40">
        <f t="shared" si="1106"/>
        <v>0</v>
      </c>
      <c r="BP109" s="40">
        <f t="shared" si="1106"/>
        <v>0</v>
      </c>
      <c r="BQ109" s="40">
        <f t="shared" si="1106"/>
        <v>0</v>
      </c>
      <c r="BR109" s="40">
        <f t="shared" si="1106"/>
        <v>0</v>
      </c>
      <c r="BS109" s="40">
        <f t="shared" si="1106"/>
        <v>0</v>
      </c>
      <c r="BT109" s="40">
        <f t="shared" si="1106"/>
        <v>57424.599999999991</v>
      </c>
      <c r="BU109" s="40">
        <f t="shared" si="1106"/>
        <v>57896.899999999994</v>
      </c>
      <c r="BV109" s="40">
        <f t="shared" si="1106"/>
        <v>58464.599999999991</v>
      </c>
      <c r="BW109" s="40">
        <f t="shared" ref="BW109:BY109" si="1107">BW108+BW102+BW100</f>
        <v>67558.100000000006</v>
      </c>
      <c r="BX109" s="40">
        <f t="shared" si="1106"/>
        <v>68202</v>
      </c>
      <c r="BY109" s="40">
        <f t="shared" si="1107"/>
        <v>80559.199999999997</v>
      </c>
      <c r="BZ109" s="41">
        <f t="shared" si="1106"/>
        <v>81489.786751477848</v>
      </c>
      <c r="CA109" s="41">
        <f t="shared" si="1106"/>
        <v>85061.05558986956</v>
      </c>
      <c r="CB109" s="41">
        <f t="shared" si="1106"/>
        <v>86071.333129817242</v>
      </c>
      <c r="CC109" s="41">
        <f t="shared" si="1106"/>
        <v>91117.904371597862</v>
      </c>
      <c r="CD109" s="41">
        <f t="shared" si="1106"/>
        <v>92206.872928976038</v>
      </c>
      <c r="CE109" s="41">
        <f t="shared" si="1106"/>
        <v>96169.19551052124</v>
      </c>
      <c r="CF109" s="41">
        <f t="shared" si="1106"/>
        <v>97315.889002721859</v>
      </c>
      <c r="CG109" s="41">
        <f t="shared" si="1106"/>
        <v>102952.23381084044</v>
      </c>
      <c r="CH109" s="41">
        <f t="shared" si="1106"/>
        <v>104176.07233207882</v>
      </c>
      <c r="CI109" s="41">
        <f t="shared" si="1106"/>
        <v>108592.60032995194</v>
      </c>
      <c r="CJ109" s="41">
        <f t="shared" si="1106"/>
        <v>109890.12535824016</v>
      </c>
      <c r="CK109" s="41">
        <f t="shared" si="1106"/>
        <v>116170.02760839305</v>
      </c>
      <c r="CL109" s="41">
        <f t="shared" si="1106"/>
        <v>117549.70887096191</v>
      </c>
      <c r="CM109" s="41">
        <f t="shared" si="1106"/>
        <v>122474.38319640362</v>
      </c>
      <c r="CN109" s="41">
        <f t="shared" si="1106"/>
        <v>123938.75203947033</v>
      </c>
      <c r="CO109" s="41">
        <f t="shared" si="1106"/>
        <v>130932.33677959198</v>
      </c>
      <c r="CT109" s="40">
        <v>80559.199999999997</v>
      </c>
    </row>
    <row r="110" spans="1:98" s="38" customFormat="1" x14ac:dyDescent="0.2">
      <c r="AB110" s="39"/>
      <c r="AC110" s="39"/>
      <c r="AD110" s="39"/>
      <c r="AE110" s="39"/>
      <c r="AG110" s="60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B111" s="39"/>
      <c r="AC111" s="39"/>
      <c r="AD111" s="39"/>
      <c r="AE111" s="39"/>
      <c r="AG111" s="60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spans="1:98" s="38" customFormat="1" x14ac:dyDescent="0.2">
      <c r="A112" s="38" t="s">
        <v>219</v>
      </c>
      <c r="B112" s="38">
        <f>+'Annual Raw'!C116</f>
        <v>0</v>
      </c>
      <c r="C112" s="38">
        <f>+'Annual Raw'!D116</f>
        <v>0</v>
      </c>
      <c r="D112" s="38">
        <f>+'Annual Raw'!E116</f>
        <v>0</v>
      </c>
      <c r="E112" s="38">
        <f>+'Annual Raw'!F116</f>
        <v>0</v>
      </c>
      <c r="F112" s="38">
        <f>+'Annual Raw'!G116</f>
        <v>0</v>
      </c>
      <c r="G112" s="38">
        <f>+'Annual Raw'!H116</f>
        <v>0</v>
      </c>
      <c r="H112" s="38">
        <f>+'Annual Raw'!I116</f>
        <v>0</v>
      </c>
      <c r="I112" s="38">
        <f>+'Annual Raw'!J116</f>
        <v>0</v>
      </c>
      <c r="J112" s="38">
        <f>+'Annual Raw'!K116</f>
        <v>0.1445709</v>
      </c>
      <c r="K112" s="38">
        <f>+'Annual Raw'!L116</f>
        <v>0.65302329999999997</v>
      </c>
      <c r="L112" s="38">
        <f>+'Annual Raw'!M116</f>
        <v>2.3641201000000001</v>
      </c>
      <c r="M112" s="38">
        <f>+'Annual Raw'!N116</f>
        <v>3.67</v>
      </c>
      <c r="N112" s="38">
        <f>+'Annual Raw'!O116</f>
        <v>4.83</v>
      </c>
      <c r="O112" s="38">
        <f>+'Annual Raw'!P116</f>
        <v>6.16</v>
      </c>
      <c r="P112" s="38">
        <f>+'Annual Raw'!Q116</f>
        <v>8.64</v>
      </c>
      <c r="Q112" s="38">
        <f>+'Annual Raw'!R116</f>
        <v>376.21</v>
      </c>
      <c r="R112" s="38">
        <f>+'Annual Raw'!S116</f>
        <v>439.56</v>
      </c>
      <c r="S112" s="38">
        <f>+'Annual Raw'!T116</f>
        <v>25.85</v>
      </c>
      <c r="T112" s="38">
        <f>+'Annual Raw'!U116</f>
        <v>25.96</v>
      </c>
      <c r="U112" s="38">
        <f>+'Annual Raw'!V116</f>
        <v>32.31</v>
      </c>
      <c r="V112" s="38">
        <f>+'Annual Raw'!W116</f>
        <v>28.62</v>
      </c>
      <c r="W112" s="38">
        <f>+'Annual Raw'!X116</f>
        <v>251.53</v>
      </c>
      <c r="X112" s="38">
        <f>+'Annual Raw'!Y116</f>
        <v>72.930000000000007</v>
      </c>
      <c r="Y112" s="38">
        <f>+'Annual Raw'!Z116</f>
        <v>66.510000000000005</v>
      </c>
      <c r="Z112" s="38">
        <f>+'Annual Raw'!AA116</f>
        <v>71.12</v>
      </c>
      <c r="AA112" s="38">
        <f>+'Annual Raw'!AB116</f>
        <v>41.27</v>
      </c>
      <c r="AB112" s="39"/>
      <c r="AC112" s="39"/>
      <c r="AD112" s="39"/>
      <c r="AE112" s="39"/>
      <c r="AG112" s="60"/>
      <c r="AH112" s="38">
        <f>+'QTR Raw'!D76</f>
        <v>0</v>
      </c>
      <c r="AI112" s="38">
        <f>+'QTR Raw'!E76</f>
        <v>0</v>
      </c>
      <c r="AJ112" s="38">
        <f>+'QTR Raw'!F76</f>
        <v>0</v>
      </c>
      <c r="AK112" s="38">
        <f>+'QTR Raw'!G76</f>
        <v>0</v>
      </c>
      <c r="AL112" s="38">
        <f>+'QTR Raw'!H76</f>
        <v>0</v>
      </c>
      <c r="AM112" s="38">
        <f>+'QTR Raw'!I76</f>
        <v>0</v>
      </c>
      <c r="AN112" s="38">
        <f>+'QTR Raw'!J76</f>
        <v>0</v>
      </c>
      <c r="AO112" s="38">
        <f>+'QTR Raw'!K76</f>
        <v>0</v>
      </c>
      <c r="AP112" s="38">
        <f>+'QTR Raw'!L76</f>
        <v>0</v>
      </c>
      <c r="AQ112" s="38">
        <f>+'QTR Raw'!M76</f>
        <v>0</v>
      </c>
      <c r="AR112" s="38">
        <f>+'QTR Raw'!N76</f>
        <v>0</v>
      </c>
      <c r="AS112" s="38">
        <f>+'QTR Raw'!O76</f>
        <v>0</v>
      </c>
      <c r="AT112" s="38">
        <f>+'QTR Raw'!P76</f>
        <v>0</v>
      </c>
      <c r="AU112" s="38">
        <f>+'QTR Raw'!Q76</f>
        <v>0</v>
      </c>
      <c r="AV112" s="38">
        <f>+'QTR Raw'!R76</f>
        <v>0</v>
      </c>
      <c r="AW112" s="38">
        <f>+'QTR Raw'!S76</f>
        <v>0</v>
      </c>
      <c r="AX112" s="38">
        <f>+'QTR Raw'!T76</f>
        <v>0</v>
      </c>
      <c r="AY112" s="38">
        <f>+'QTR Raw'!U76</f>
        <v>0</v>
      </c>
      <c r="AZ112" s="38">
        <f>+'QTR Raw'!V76</f>
        <v>0</v>
      </c>
      <c r="BA112" s="38">
        <f>+'QTR Raw'!W76</f>
        <v>0</v>
      </c>
      <c r="BB112" s="38">
        <f>+'QTR Raw'!X76</f>
        <v>0</v>
      </c>
      <c r="BC112" s="38">
        <f>+'QTR Raw'!Y76</f>
        <v>0</v>
      </c>
      <c r="BD112" s="38">
        <f>+'QTR Raw'!Z76</f>
        <v>0</v>
      </c>
      <c r="BE112" s="38">
        <f>+'QTR Raw'!AA76</f>
        <v>0</v>
      </c>
      <c r="BF112" s="38">
        <f>+'QTR Raw'!AB76</f>
        <v>0</v>
      </c>
      <c r="BG112" s="38">
        <f>+'QTR Raw'!AC76</f>
        <v>0</v>
      </c>
      <c r="BH112" s="38">
        <f>+'QTR Raw'!AD76</f>
        <v>0</v>
      </c>
      <c r="BI112" s="38">
        <f>+'QTR Raw'!AE76</f>
        <v>0</v>
      </c>
      <c r="BJ112" s="38">
        <f>+'QTR Raw'!AF76</f>
        <v>0</v>
      </c>
      <c r="BK112" s="38">
        <f>+'QTR Raw'!AG76</f>
        <v>0</v>
      </c>
      <c r="BL112" s="38">
        <f>+'QTR Raw'!AH76</f>
        <v>0</v>
      </c>
      <c r="BM112" s="38">
        <f>+'QTR Raw'!AI76</f>
        <v>0</v>
      </c>
      <c r="BN112" s="38">
        <f>+'QTR Raw'!AJ76</f>
        <v>0</v>
      </c>
      <c r="BO112" s="38">
        <f>+'QTR Raw'!AK76</f>
        <v>0</v>
      </c>
      <c r="BP112" s="38">
        <f>+'QTR Raw'!AL76</f>
        <v>0</v>
      </c>
      <c r="BQ112" s="38">
        <f>+'QTR Raw'!AM76</f>
        <v>0</v>
      </c>
      <c r="BR112" s="38">
        <f>+'QTR Raw'!AN76</f>
        <v>0</v>
      </c>
      <c r="BS112" s="38">
        <f>+'QTR Raw'!AO76</f>
        <v>0</v>
      </c>
      <c r="BT112" s="38">
        <f>+'QTR Raw'!AP76</f>
        <v>0</v>
      </c>
      <c r="BU112" s="38">
        <f>+'QTR Raw'!AQ76</f>
        <v>0</v>
      </c>
      <c r="BV112" s="38">
        <f>+'QTR Raw'!AR76</f>
        <v>0</v>
      </c>
      <c r="BW112" s="38">
        <f>+'QTR Raw'!AS76</f>
        <v>0</v>
      </c>
      <c r="BY112" s="38">
        <f>+'QTR Raw'!AU76</f>
        <v>0</v>
      </c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T112" s="38">
        <v>41.27</v>
      </c>
    </row>
    <row r="113" spans="1:98" s="38" customFormat="1" x14ac:dyDescent="0.2">
      <c r="A113" s="38" t="s">
        <v>243</v>
      </c>
      <c r="B113" s="38">
        <f>+'Annual Raw'!C124+'Annual Raw'!C105</f>
        <v>0</v>
      </c>
      <c r="C113" s="38">
        <f>+'Annual Raw'!D124+'Annual Raw'!D105</f>
        <v>0</v>
      </c>
      <c r="D113" s="38">
        <f>+'Annual Raw'!E124+'Annual Raw'!E105</f>
        <v>0</v>
      </c>
      <c r="E113" s="38">
        <f>+'Annual Raw'!F124+'Annual Raw'!F105</f>
        <v>0</v>
      </c>
      <c r="F113" s="38">
        <f>+'Annual Raw'!G124+'Annual Raw'!G105</f>
        <v>0</v>
      </c>
      <c r="G113" s="38">
        <f>+'Annual Raw'!H124+'Annual Raw'!H105</f>
        <v>0</v>
      </c>
      <c r="H113" s="38">
        <f>+'Annual Raw'!I124+'Annual Raw'!I105</f>
        <v>0</v>
      </c>
      <c r="I113" s="38">
        <f>+'Annual Raw'!J124+'Annual Raw'!J105</f>
        <v>2.7176117</v>
      </c>
      <c r="J113" s="38">
        <f>+'Annual Raw'!K124+'Annual Raw'!K105</f>
        <v>147.3802207</v>
      </c>
      <c r="K113" s="38">
        <f>+'Annual Raw'!L124+'Annual Raw'!L105</f>
        <v>545.16127449999999</v>
      </c>
      <c r="L113" s="38">
        <f>+'Annual Raw'!M124+'Annual Raw'!M105</f>
        <v>1273.5407359000001</v>
      </c>
      <c r="M113" s="38">
        <f>+'Annual Raw'!N124+'Annual Raw'!N105</f>
        <v>4011.56</v>
      </c>
      <c r="N113" s="38">
        <f>+'Annual Raw'!O124+'Annual Raw'!O105</f>
        <v>8320</v>
      </c>
      <c r="O113" s="38">
        <f>+'Annual Raw'!P124+'Annual Raw'!P105</f>
        <v>13637</v>
      </c>
      <c r="P113" s="38">
        <f>+'Annual Raw'!Q124+'Annual Raw'!Q105</f>
        <v>19424.71</v>
      </c>
      <c r="Q113" s="38">
        <f>+'Annual Raw'!R124+'Annual Raw'!R105</f>
        <v>24669.200000000001</v>
      </c>
      <c r="R113" s="38">
        <f>+'Annual Raw'!S124+'Annual Raw'!S105</f>
        <v>32590.940000000002</v>
      </c>
      <c r="S113" s="38">
        <f>+'Annual Raw'!T124+'Annual Raw'!T105</f>
        <v>44322.54</v>
      </c>
      <c r="T113" s="38">
        <f>+'Annual Raw'!U124+'Annual Raw'!U105</f>
        <v>55060.44</v>
      </c>
      <c r="U113" s="38">
        <f>+'Annual Raw'!V124+'Annual Raw'!V105</f>
        <v>57996.25</v>
      </c>
      <c r="V113" s="38">
        <f>+'Annual Raw'!W124+'Annual Raw'!W105</f>
        <v>59467.07</v>
      </c>
      <c r="W113" s="38">
        <f>+'Annual Raw'!X124+'Annual Raw'!X105</f>
        <v>58338.180000000008</v>
      </c>
      <c r="X113" s="38">
        <f>+'Annual Raw'!Y124+'Annual Raw'!Y105</f>
        <v>67484.48000000001</v>
      </c>
      <c r="Y113" s="38">
        <f>+'Annual Raw'!Z124+'Annual Raw'!Z105</f>
        <v>88153.89</v>
      </c>
      <c r="Z113" s="38">
        <f>+'Annual Raw'!AA124+'Annual Raw'!AA105</f>
        <v>104874.25</v>
      </c>
      <c r="AA113" s="38">
        <f>+'Annual Raw'!AB124+'Annual Raw'!AB105</f>
        <v>116481.86</v>
      </c>
      <c r="AB113" s="39">
        <f>+CC113</f>
        <v>127281.78406132976</v>
      </c>
      <c r="AC113" s="39">
        <f>+CG113</f>
        <v>141256.63250633213</v>
      </c>
      <c r="AD113" s="39">
        <f>+CK113</f>
        <v>156765.84339369845</v>
      </c>
      <c r="AE113" s="39">
        <f>+CO113</f>
        <v>173977.88138433741</v>
      </c>
      <c r="AG113" s="60"/>
      <c r="AH113" s="38">
        <f>+'QTR Raw'!D83</f>
        <v>0</v>
      </c>
      <c r="AI113" s="38">
        <f>+'QTR Raw'!E83</f>
        <v>0</v>
      </c>
      <c r="AJ113" s="38">
        <f>+'QTR Raw'!F83</f>
        <v>0</v>
      </c>
      <c r="AK113" s="38">
        <f>+'QTR Raw'!G83</f>
        <v>0</v>
      </c>
      <c r="AL113" s="38">
        <f>+'QTR Raw'!H83</f>
        <v>0</v>
      </c>
      <c r="AM113" s="38">
        <f>+'QTR Raw'!I83</f>
        <v>0</v>
      </c>
      <c r="AN113" s="38">
        <f>+'QTR Raw'!J83</f>
        <v>0</v>
      </c>
      <c r="AO113" s="38">
        <f>+'QTR Raw'!K83</f>
        <v>0</v>
      </c>
      <c r="AP113" s="38">
        <f>+'QTR Raw'!L83</f>
        <v>0</v>
      </c>
      <c r="AQ113" s="38">
        <f>+'QTR Raw'!M83</f>
        <v>0</v>
      </c>
      <c r="AR113" s="38">
        <f>+'QTR Raw'!N83</f>
        <v>0</v>
      </c>
      <c r="AS113" s="38">
        <f>+'QTR Raw'!O83</f>
        <v>0</v>
      </c>
      <c r="AT113" s="38">
        <f>+'QTR Raw'!P83</f>
        <v>0</v>
      </c>
      <c r="AU113" s="38">
        <f>+'QTR Raw'!Q83</f>
        <v>0</v>
      </c>
      <c r="AV113" s="38">
        <f>+'QTR Raw'!R83</f>
        <v>0</v>
      </c>
      <c r="AW113" s="38">
        <f>+'QTR Raw'!S83</f>
        <v>0</v>
      </c>
      <c r="AX113" s="38">
        <f>+'QTR Raw'!T83</f>
        <v>0</v>
      </c>
      <c r="AY113" s="38">
        <f>+'QTR Raw'!U83</f>
        <v>0</v>
      </c>
      <c r="AZ113" s="38">
        <f>+'QTR Raw'!V83</f>
        <v>0</v>
      </c>
      <c r="BA113" s="38">
        <f>+'QTR Raw'!W83</f>
        <v>0</v>
      </c>
      <c r="BB113" s="38">
        <f>+'QTR Raw'!X83</f>
        <v>0</v>
      </c>
      <c r="BC113" s="38">
        <f>+'QTR Raw'!Y83</f>
        <v>0</v>
      </c>
      <c r="BD113" s="38">
        <f>+'QTR Raw'!Z83</f>
        <v>0</v>
      </c>
      <c r="BE113" s="38">
        <f>+'QTR Raw'!AA83</f>
        <v>0</v>
      </c>
      <c r="BF113" s="38">
        <f>+'QTR Raw'!AB83</f>
        <v>0</v>
      </c>
      <c r="BG113" s="38">
        <f>+'QTR Raw'!AC83</f>
        <v>0</v>
      </c>
      <c r="BH113" s="38">
        <f>+'QTR Raw'!AD83</f>
        <v>0</v>
      </c>
      <c r="BI113" s="38">
        <f>+'QTR Raw'!AE83</f>
        <v>0</v>
      </c>
      <c r="BJ113" s="38">
        <f>+'QTR Raw'!AF83</f>
        <v>0</v>
      </c>
      <c r="BK113" s="38">
        <f>+'QTR Raw'!AG83</f>
        <v>0</v>
      </c>
      <c r="BL113" s="38">
        <f>+'QTR Raw'!AH83</f>
        <v>0</v>
      </c>
      <c r="BM113" s="38">
        <f>+'QTR Raw'!AI83</f>
        <v>0</v>
      </c>
      <c r="BN113" s="38">
        <f>+'QTR Raw'!AJ83</f>
        <v>0</v>
      </c>
      <c r="BO113" s="38">
        <f>+'QTR Raw'!AK83</f>
        <v>0</v>
      </c>
      <c r="BP113" s="38">
        <f>+'QTR Raw'!AL83</f>
        <v>0</v>
      </c>
      <c r="BQ113" s="38">
        <f>+'QTR Raw'!AM83</f>
        <v>0</v>
      </c>
      <c r="BR113" s="38">
        <f>+'QTR Raw'!AN83</f>
        <v>0</v>
      </c>
      <c r="BS113" s="38">
        <f>+'QTR Raw'!AO83</f>
        <v>0</v>
      </c>
      <c r="BT113" s="38">
        <f>BU113</f>
        <v>103343</v>
      </c>
      <c r="BU113" s="38">
        <f>+'QTR Raw'!AQ83</f>
        <v>103343</v>
      </c>
      <c r="BV113" s="38">
        <f>BU113</f>
        <v>103343</v>
      </c>
      <c r="BW113" s="38">
        <f>+'QTR Raw'!AS83</f>
        <v>107759.4</v>
      </c>
      <c r="BX113" s="38">
        <f>BW113</f>
        <v>107759.4</v>
      </c>
      <c r="BY113" s="38">
        <f>+'QTR Raw'!AU83</f>
        <v>114689.5</v>
      </c>
      <c r="BZ113" s="39">
        <f>+BV113*(1+BZ154)</f>
        <v>114689.50000000001</v>
      </c>
      <c r="CA113" s="39">
        <f t="shared" ref="CA113:CO113" si="1108">+BW113*(1+CA154)</f>
        <v>119590.79672837058</v>
      </c>
      <c r="CB113" s="39">
        <f t="shared" si="1108"/>
        <v>119590.79672837058</v>
      </c>
      <c r="CC113" s="39">
        <f t="shared" si="1108"/>
        <v>127281.78406132976</v>
      </c>
      <c r="CD113" s="39">
        <f t="shared" si="1108"/>
        <v>127281.78406132977</v>
      </c>
      <c r="CE113" s="39">
        <f t="shared" si="1108"/>
        <v>132721.21654469543</v>
      </c>
      <c r="CF113" s="39">
        <f t="shared" si="1108"/>
        <v>132721.21654469543</v>
      </c>
      <c r="CG113" s="39">
        <f t="shared" si="1108"/>
        <v>141256.63250633213</v>
      </c>
      <c r="CH113" s="39">
        <f t="shared" si="1108"/>
        <v>141256.63250633213</v>
      </c>
      <c r="CI113" s="39">
        <f t="shared" si="1108"/>
        <v>147293.28512722533</v>
      </c>
      <c r="CJ113" s="39">
        <f t="shared" si="1108"/>
        <v>147293.28512722533</v>
      </c>
      <c r="CK113" s="39">
        <f t="shared" si="1108"/>
        <v>156765.84339369845</v>
      </c>
      <c r="CL113" s="39">
        <f t="shared" si="1108"/>
        <v>156765.84339369845</v>
      </c>
      <c r="CM113" s="39">
        <f t="shared" si="1108"/>
        <v>163465.28767888402</v>
      </c>
      <c r="CN113" s="39">
        <f t="shared" si="1108"/>
        <v>163465.28767888402</v>
      </c>
      <c r="CO113" s="39">
        <f t="shared" si="1108"/>
        <v>173977.88138433741</v>
      </c>
      <c r="CT113" s="38">
        <v>114689.5</v>
      </c>
    </row>
    <row r="114" spans="1:98" s="43" customFormat="1" x14ac:dyDescent="0.2">
      <c r="A114" s="43" t="s">
        <v>286</v>
      </c>
      <c r="B114" s="43">
        <f>+B112+B113</f>
        <v>0</v>
      </c>
      <c r="C114" s="43">
        <f t="shared" ref="C114:Z114" si="1109">+C112+C113</f>
        <v>0</v>
      </c>
      <c r="D114" s="43">
        <f t="shared" si="1109"/>
        <v>0</v>
      </c>
      <c r="E114" s="43">
        <f t="shared" si="1109"/>
        <v>0</v>
      </c>
      <c r="F114" s="43">
        <f t="shared" si="1109"/>
        <v>0</v>
      </c>
      <c r="G114" s="43">
        <f t="shared" si="1109"/>
        <v>0</v>
      </c>
      <c r="H114" s="43">
        <f t="shared" si="1109"/>
        <v>0</v>
      </c>
      <c r="I114" s="43">
        <f t="shared" si="1109"/>
        <v>2.7176117</v>
      </c>
      <c r="J114" s="43">
        <f t="shared" si="1109"/>
        <v>147.52479159999999</v>
      </c>
      <c r="K114" s="43">
        <f t="shared" si="1109"/>
        <v>545.81429779999996</v>
      </c>
      <c r="L114" s="43">
        <f t="shared" si="1109"/>
        <v>1275.9048560000001</v>
      </c>
      <c r="M114" s="43">
        <f t="shared" si="1109"/>
        <v>4015.23</v>
      </c>
      <c r="N114" s="43">
        <f t="shared" si="1109"/>
        <v>8324.83</v>
      </c>
      <c r="O114" s="43">
        <f t="shared" si="1109"/>
        <v>13643.16</v>
      </c>
      <c r="P114" s="43">
        <f t="shared" si="1109"/>
        <v>19433.349999999999</v>
      </c>
      <c r="Q114" s="43">
        <f t="shared" si="1109"/>
        <v>25045.41</v>
      </c>
      <c r="R114" s="43">
        <f t="shared" si="1109"/>
        <v>33030.5</v>
      </c>
      <c r="S114" s="43">
        <f t="shared" si="1109"/>
        <v>44348.39</v>
      </c>
      <c r="T114" s="43">
        <f t="shared" si="1109"/>
        <v>55086.400000000001</v>
      </c>
      <c r="U114" s="43">
        <f t="shared" si="1109"/>
        <v>58028.56</v>
      </c>
      <c r="V114" s="43">
        <f t="shared" si="1109"/>
        <v>59495.69</v>
      </c>
      <c r="W114" s="43">
        <f t="shared" si="1109"/>
        <v>58589.710000000006</v>
      </c>
      <c r="X114" s="43">
        <f t="shared" si="1109"/>
        <v>67557.41</v>
      </c>
      <c r="Y114" s="43">
        <f t="shared" si="1109"/>
        <v>88220.4</v>
      </c>
      <c r="Z114" s="43">
        <f t="shared" si="1109"/>
        <v>104945.37</v>
      </c>
      <c r="AA114" s="43">
        <f t="shared" ref="AA114" si="1110">+AA112+AA113</f>
        <v>116523.13</v>
      </c>
      <c r="AB114" s="44">
        <f t="shared" ref="AB114" si="1111">+AB112+AB113</f>
        <v>127281.78406132976</v>
      </c>
      <c r="AC114" s="44">
        <f t="shared" ref="AC114" si="1112">+AC112+AC113</f>
        <v>141256.63250633213</v>
      </c>
      <c r="AD114" s="44">
        <f t="shared" ref="AD114" si="1113">+AD112+AD113</f>
        <v>156765.84339369845</v>
      </c>
      <c r="AE114" s="44">
        <f t="shared" ref="AE114" si="1114">+AE112+AE113</f>
        <v>173977.88138433741</v>
      </c>
      <c r="AG114" s="62"/>
      <c r="AH114" s="43">
        <f t="shared" ref="AH114" si="1115">+AH112+AH113</f>
        <v>0</v>
      </c>
      <c r="AI114" s="43">
        <f t="shared" ref="AI114" si="1116">+AI112+AI113</f>
        <v>0</v>
      </c>
      <c r="AJ114" s="43">
        <f t="shared" ref="AJ114" si="1117">+AJ112+AJ113</f>
        <v>0</v>
      </c>
      <c r="AK114" s="43">
        <f t="shared" ref="AK114" si="1118">+AK112+AK113</f>
        <v>0</v>
      </c>
      <c r="AL114" s="43">
        <f t="shared" ref="AL114" si="1119">+AL112+AL113</f>
        <v>0</v>
      </c>
      <c r="AM114" s="43">
        <f t="shared" ref="AM114" si="1120">+AM112+AM113</f>
        <v>0</v>
      </c>
      <c r="AN114" s="43">
        <f t="shared" ref="AN114" si="1121">+AN112+AN113</f>
        <v>0</v>
      </c>
      <c r="AO114" s="43">
        <f t="shared" ref="AO114" si="1122">+AO112+AO113</f>
        <v>0</v>
      </c>
      <c r="AP114" s="43">
        <f t="shared" ref="AP114" si="1123">+AP112+AP113</f>
        <v>0</v>
      </c>
      <c r="AQ114" s="43">
        <f t="shared" ref="AQ114" si="1124">+AQ112+AQ113</f>
        <v>0</v>
      </c>
      <c r="AR114" s="43">
        <f t="shared" ref="AR114" si="1125">+AR112+AR113</f>
        <v>0</v>
      </c>
      <c r="AS114" s="43">
        <f t="shared" ref="AS114" si="1126">+AS112+AS113</f>
        <v>0</v>
      </c>
      <c r="AT114" s="43">
        <f t="shared" ref="AT114" si="1127">+AT112+AT113</f>
        <v>0</v>
      </c>
      <c r="AU114" s="43">
        <f t="shared" ref="AU114:AV114" si="1128">+AU112+AU113</f>
        <v>0</v>
      </c>
      <c r="AV114" s="43">
        <f t="shared" si="1128"/>
        <v>0</v>
      </c>
      <c r="AW114" s="43">
        <f t="shared" ref="AW114" si="1129">+AW112+AW113</f>
        <v>0</v>
      </c>
      <c r="AX114" s="43">
        <f t="shared" ref="AX114" si="1130">+AX112+AX113</f>
        <v>0</v>
      </c>
      <c r="AY114" s="43">
        <f t="shared" ref="AY114" si="1131">+AY112+AY113</f>
        <v>0</v>
      </c>
      <c r="AZ114" s="43">
        <f t="shared" ref="AZ114" si="1132">+AZ112+AZ113</f>
        <v>0</v>
      </c>
      <c r="BA114" s="43">
        <f t="shared" ref="BA114" si="1133">+BA112+BA113</f>
        <v>0</v>
      </c>
      <c r="BB114" s="43">
        <f t="shared" ref="BB114" si="1134">+BB112+BB113</f>
        <v>0</v>
      </c>
      <c r="BC114" s="43">
        <f t="shared" ref="BC114" si="1135">+BC112+BC113</f>
        <v>0</v>
      </c>
      <c r="BD114" s="43">
        <f t="shared" ref="BD114" si="1136">+BD112+BD113</f>
        <v>0</v>
      </c>
      <c r="BE114" s="43">
        <f t="shared" ref="BE114" si="1137">+BE112+BE113</f>
        <v>0</v>
      </c>
      <c r="BF114" s="43">
        <f t="shared" ref="BF114" si="1138">+BF112+BF113</f>
        <v>0</v>
      </c>
      <c r="BG114" s="43">
        <f t="shared" ref="BG114" si="1139">+BG112+BG113</f>
        <v>0</v>
      </c>
      <c r="BH114" s="43">
        <f t="shared" ref="BH114" si="1140">+BH112+BH113</f>
        <v>0</v>
      </c>
      <c r="BI114" s="43">
        <f t="shared" ref="BI114" si="1141">+BI112+BI113</f>
        <v>0</v>
      </c>
      <c r="BJ114" s="43">
        <f t="shared" ref="BJ114" si="1142">+BJ112+BJ113</f>
        <v>0</v>
      </c>
      <c r="BK114" s="43">
        <f t="shared" ref="BK114" si="1143">+BK112+BK113</f>
        <v>0</v>
      </c>
      <c r="BL114" s="43">
        <f t="shared" ref="BL114" si="1144">+BL112+BL113</f>
        <v>0</v>
      </c>
      <c r="BM114" s="43">
        <f t="shared" ref="BM114" si="1145">+BM112+BM113</f>
        <v>0</v>
      </c>
      <c r="BN114" s="43">
        <f t="shared" ref="BN114" si="1146">+BN112+BN113</f>
        <v>0</v>
      </c>
      <c r="BO114" s="43">
        <f t="shared" ref="BO114" si="1147">+BO112+BO113</f>
        <v>0</v>
      </c>
      <c r="BP114" s="43">
        <f t="shared" ref="BP114" si="1148">+BP112+BP113</f>
        <v>0</v>
      </c>
      <c r="BQ114" s="43">
        <f t="shared" ref="BQ114" si="1149">+BQ112+BQ113</f>
        <v>0</v>
      </c>
      <c r="BR114" s="43">
        <f t="shared" ref="BR114" si="1150">+BR112+BR113</f>
        <v>0</v>
      </c>
      <c r="BS114" s="43">
        <f t="shared" ref="BS114" si="1151">+BS112+BS113</f>
        <v>0</v>
      </c>
      <c r="BT114" s="43">
        <f t="shared" ref="BT114" si="1152">+BT112+BT113</f>
        <v>103343</v>
      </c>
      <c r="BU114" s="43">
        <f t="shared" ref="BU114:BV114" si="1153">+BU112+BU113</f>
        <v>103343</v>
      </c>
      <c r="BV114" s="43">
        <f t="shared" si="1153"/>
        <v>103343</v>
      </c>
      <c r="BW114" s="43">
        <f t="shared" ref="BW114" si="1154">+BW112+BW113</f>
        <v>107759.4</v>
      </c>
      <c r="BX114" s="43">
        <f t="shared" ref="BX114:BY114" si="1155">+BX112+BX113</f>
        <v>107759.4</v>
      </c>
      <c r="BY114" s="43">
        <f t="shared" si="1155"/>
        <v>114689.5</v>
      </c>
      <c r="BZ114" s="44">
        <f t="shared" ref="BZ114" si="1156">+BZ112+BZ113</f>
        <v>114689.50000000001</v>
      </c>
      <c r="CA114" s="44">
        <f t="shared" ref="CA114" si="1157">+CA112+CA113</f>
        <v>119590.79672837058</v>
      </c>
      <c r="CB114" s="44">
        <f t="shared" ref="CB114" si="1158">+CB112+CB113</f>
        <v>119590.79672837058</v>
      </c>
      <c r="CC114" s="44">
        <f t="shared" ref="CC114" si="1159">+CC112+CC113</f>
        <v>127281.78406132976</v>
      </c>
      <c r="CD114" s="44">
        <f t="shared" ref="CD114" si="1160">+CD112+CD113</f>
        <v>127281.78406132977</v>
      </c>
      <c r="CE114" s="44">
        <f t="shared" ref="CE114" si="1161">+CE112+CE113</f>
        <v>132721.21654469543</v>
      </c>
      <c r="CF114" s="44">
        <f t="shared" ref="CF114" si="1162">+CF112+CF113</f>
        <v>132721.21654469543</v>
      </c>
      <c r="CG114" s="44">
        <f t="shared" ref="CG114" si="1163">+CG112+CG113</f>
        <v>141256.63250633213</v>
      </c>
      <c r="CH114" s="44">
        <f t="shared" ref="CH114" si="1164">+CH112+CH113</f>
        <v>141256.63250633213</v>
      </c>
      <c r="CI114" s="44">
        <f t="shared" ref="CI114" si="1165">+CI112+CI113</f>
        <v>147293.28512722533</v>
      </c>
      <c r="CJ114" s="44">
        <f t="shared" ref="CJ114" si="1166">+CJ112+CJ113</f>
        <v>147293.28512722533</v>
      </c>
      <c r="CK114" s="44">
        <f t="shared" ref="CK114" si="1167">+CK112+CK113</f>
        <v>156765.84339369845</v>
      </c>
      <c r="CL114" s="44">
        <f t="shared" ref="CL114" si="1168">+CL112+CL113</f>
        <v>156765.84339369845</v>
      </c>
      <c r="CM114" s="44">
        <f t="shared" ref="CM114" si="1169">+CM112+CM113</f>
        <v>163465.28767888402</v>
      </c>
      <c r="CN114" s="44">
        <f t="shared" ref="CN114" si="1170">+CN112+CN113</f>
        <v>163465.28767888402</v>
      </c>
      <c r="CO114" s="44">
        <f t="shared" ref="CO114" si="1171">+CO112+CO113</f>
        <v>173977.88138433741</v>
      </c>
      <c r="CT114" s="43">
        <v>114689.5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238</v>
      </c>
      <c r="B116" s="38">
        <f>+'Annual Raw'!C106</f>
        <v>0</v>
      </c>
      <c r="C116" s="38">
        <f>+'Annual Raw'!D106</f>
        <v>0</v>
      </c>
      <c r="D116" s="38">
        <f>+'Annual Raw'!E106</f>
        <v>0</v>
      </c>
      <c r="E116" s="38">
        <f>+'Annual Raw'!F106</f>
        <v>0</v>
      </c>
      <c r="F116" s="38">
        <f>+'Annual Raw'!G106</f>
        <v>0</v>
      </c>
      <c r="G116" s="38">
        <f>+'Annual Raw'!H106</f>
        <v>0</v>
      </c>
      <c r="H116" s="38">
        <f>+'Annual Raw'!I106</f>
        <v>0</v>
      </c>
      <c r="I116" s="38">
        <f>+'Annual Raw'!J106</f>
        <v>2.8768859999999998</v>
      </c>
      <c r="J116" s="38">
        <f>+'Annual Raw'!K106</f>
        <v>9.9550842999999993</v>
      </c>
      <c r="K116" s="38">
        <f>+'Annual Raw'!L106</f>
        <v>12.3257397</v>
      </c>
      <c r="L116" s="38">
        <f>+'Annual Raw'!M106</f>
        <v>16.525175900000001</v>
      </c>
      <c r="M116" s="38">
        <f>+'Annual Raw'!N106</f>
        <v>21.68</v>
      </c>
      <c r="N116" s="38">
        <f>+'Annual Raw'!O106</f>
        <v>34.32</v>
      </c>
      <c r="O116" s="38">
        <f>+'Annual Raw'!P106</f>
        <v>61.15</v>
      </c>
      <c r="P116" s="38">
        <f>+'Annual Raw'!Q106</f>
        <v>87.53</v>
      </c>
      <c r="Q116" s="38">
        <f>+'Annual Raw'!R106</f>
        <v>137.78</v>
      </c>
      <c r="R116" s="38">
        <f>+'Annual Raw'!S106</f>
        <v>248.12</v>
      </c>
      <c r="S116" s="38">
        <f>+'Annual Raw'!T106</f>
        <v>297.18</v>
      </c>
      <c r="T116" s="38">
        <f>+'Annual Raw'!U106</f>
        <v>341.22</v>
      </c>
      <c r="U116" s="38">
        <f>+'Annual Raw'!V106</f>
        <v>625.49</v>
      </c>
      <c r="V116" s="38">
        <f>+'Annual Raw'!W106</f>
        <v>594.44000000000005</v>
      </c>
      <c r="W116" s="38">
        <f>+'Annual Raw'!X106</f>
        <v>611.05999999999995</v>
      </c>
      <c r="X116" s="38">
        <f>+'Annual Raw'!Y106</f>
        <v>736.41</v>
      </c>
      <c r="Y116" s="38">
        <f>+'Annual Raw'!Z106</f>
        <v>640.58000000000004</v>
      </c>
      <c r="Z116" s="38">
        <f>+'Annual Raw'!AA106</f>
        <v>1263.94</v>
      </c>
      <c r="AA116" s="38">
        <f>+'Annual Raw'!AB106</f>
        <v>1388.34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T116" s="38">
        <v>1388.34</v>
      </c>
    </row>
    <row r="117" spans="1:98" s="38" customFormat="1" x14ac:dyDescent="0.2">
      <c r="A117" s="38" t="s">
        <v>100</v>
      </c>
      <c r="B117" s="38">
        <f>+'Annual Raw'!C107</f>
        <v>0</v>
      </c>
      <c r="C117" s="38">
        <f>+'Annual Raw'!D107</f>
        <v>0</v>
      </c>
      <c r="D117" s="38">
        <f>+'Annual Raw'!E107</f>
        <v>0</v>
      </c>
      <c r="E117" s="38">
        <f>+'Annual Raw'!F107</f>
        <v>0</v>
      </c>
      <c r="F117" s="38">
        <f>+'Annual Raw'!G107</f>
        <v>0</v>
      </c>
      <c r="G117" s="38">
        <f>+'Annual Raw'!H107</f>
        <v>0</v>
      </c>
      <c r="H117" s="38">
        <f>+'Annual Raw'!I107</f>
        <v>0</v>
      </c>
      <c r="I117" s="38">
        <f>+'Annual Raw'!J107</f>
        <v>2.71798E-2</v>
      </c>
      <c r="J117" s="38">
        <f>+'Annual Raw'!K107</f>
        <v>1.4268651999999999</v>
      </c>
      <c r="K117" s="38">
        <f>+'Annual Raw'!L107</f>
        <v>3.1358060000000001</v>
      </c>
      <c r="L117" s="38">
        <f>+'Annual Raw'!M107</f>
        <v>6.3346162000000001</v>
      </c>
      <c r="M117" s="38">
        <f>+'Annual Raw'!N107</f>
        <v>9.94</v>
      </c>
      <c r="N117" s="38">
        <f>+'Annual Raw'!O107</f>
        <v>14.18</v>
      </c>
      <c r="O117" s="38">
        <f>+'Annual Raw'!P107</f>
        <v>21.73</v>
      </c>
      <c r="P117" s="38">
        <f>+'Annual Raw'!Q107</f>
        <v>35.130000000000003</v>
      </c>
      <c r="Q117" s="38">
        <f>+'Annual Raw'!R107</f>
        <v>54.95</v>
      </c>
      <c r="R117" s="38">
        <f>+'Annual Raw'!S107</f>
        <v>117.15</v>
      </c>
      <c r="S117" s="38">
        <f>+'Annual Raw'!T107</f>
        <v>160.16</v>
      </c>
      <c r="T117" s="38">
        <f>+'Annual Raw'!U107</f>
        <v>218.19</v>
      </c>
      <c r="U117" s="38">
        <f>+'Annual Raw'!V107</f>
        <v>277.14999999999998</v>
      </c>
      <c r="V117" s="38">
        <f>+'Annual Raw'!W107</f>
        <v>324.93</v>
      </c>
      <c r="W117" s="38">
        <f>+'Annual Raw'!X107</f>
        <v>367.42</v>
      </c>
      <c r="X117" s="38">
        <f>+'Annual Raw'!Y107</f>
        <v>403.39</v>
      </c>
      <c r="Y117" s="38">
        <f>+'Annual Raw'!Z107</f>
        <v>455.9</v>
      </c>
      <c r="Z117" s="38">
        <f>+'Annual Raw'!AA107</f>
        <v>528.85</v>
      </c>
      <c r="AA117" s="38">
        <f>+'Annual Raw'!AB107</f>
        <v>614.85</v>
      </c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T117" s="38">
        <v>614.85</v>
      </c>
    </row>
    <row r="118" spans="1:98" s="38" customFormat="1" x14ac:dyDescent="0.2">
      <c r="A118" s="38" t="s">
        <v>101</v>
      </c>
      <c r="B118" s="38">
        <f>+'Annual Raw'!C108</f>
        <v>0</v>
      </c>
      <c r="C118" s="38">
        <f>+'Annual Raw'!D108</f>
        <v>0</v>
      </c>
      <c r="D118" s="38">
        <f>+'Annual Raw'!E108</f>
        <v>0</v>
      </c>
      <c r="E118" s="38">
        <f>+'Annual Raw'!F108</f>
        <v>0</v>
      </c>
      <c r="F118" s="38">
        <f>+'Annual Raw'!G108</f>
        <v>0</v>
      </c>
      <c r="G118" s="38">
        <f>+'Annual Raw'!H108</f>
        <v>0</v>
      </c>
      <c r="H118" s="38">
        <f>+'Annual Raw'!I108</f>
        <v>0</v>
      </c>
      <c r="I118" s="38">
        <f>+'Annual Raw'!J108</f>
        <v>0</v>
      </c>
      <c r="J118" s="38">
        <f>+'Annual Raw'!K108</f>
        <v>0</v>
      </c>
      <c r="K118" s="38">
        <f>+'Annual Raw'!L108</f>
        <v>0</v>
      </c>
      <c r="L118" s="38">
        <f>+'Annual Raw'!M108</f>
        <v>0</v>
      </c>
      <c r="M118" s="38">
        <f>+'Annual Raw'!N108</f>
        <v>0</v>
      </c>
      <c r="N118" s="38">
        <f>+'Annual Raw'!O108</f>
        <v>0</v>
      </c>
      <c r="O118" s="38">
        <f>+'Annual Raw'!P108</f>
        <v>0</v>
      </c>
      <c r="P118" s="38">
        <f>+'Annual Raw'!Q108</f>
        <v>0</v>
      </c>
      <c r="Q118" s="38">
        <f>+'Annual Raw'!R108</f>
        <v>0</v>
      </c>
      <c r="R118" s="38">
        <f>+'Annual Raw'!S108</f>
        <v>0</v>
      </c>
      <c r="S118" s="38">
        <f>+'Annual Raw'!T108</f>
        <v>0</v>
      </c>
      <c r="T118" s="38">
        <f>+'Annual Raw'!U108</f>
        <v>0</v>
      </c>
      <c r="U118" s="38">
        <f>+'Annual Raw'!V108</f>
        <v>0</v>
      </c>
      <c r="V118" s="38">
        <f>+'Annual Raw'!W108</f>
        <v>0</v>
      </c>
      <c r="W118" s="38">
        <f>+'Annual Raw'!X108</f>
        <v>0</v>
      </c>
      <c r="X118" s="38">
        <f>+'Annual Raw'!Y108</f>
        <v>0</v>
      </c>
      <c r="Y118" s="38">
        <f>+'Annual Raw'!Z108</f>
        <v>0</v>
      </c>
      <c r="Z118" s="38">
        <f>+'Annual Raw'!AA108</f>
        <v>0</v>
      </c>
      <c r="AA118" s="38">
        <f>+'Annual Raw'!AB108</f>
        <v>0</v>
      </c>
      <c r="AB118" s="39"/>
      <c r="AC118" s="39"/>
      <c r="AD118" s="39"/>
      <c r="AE118" s="39"/>
      <c r="AG118" s="60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T118" s="38">
        <v>0</v>
      </c>
    </row>
    <row r="119" spans="1:98" s="43" customFormat="1" x14ac:dyDescent="0.2">
      <c r="A119" s="43" t="s">
        <v>20</v>
      </c>
      <c r="B119" s="43">
        <f>+B116-B117-B118</f>
        <v>0</v>
      </c>
      <c r="C119" s="43">
        <f t="shared" ref="C119:Z119" si="1172">+C116-C117-C118</f>
        <v>0</v>
      </c>
      <c r="D119" s="43">
        <f t="shared" si="1172"/>
        <v>0</v>
      </c>
      <c r="E119" s="43">
        <f t="shared" si="1172"/>
        <v>0</v>
      </c>
      <c r="F119" s="43">
        <f t="shared" si="1172"/>
        <v>0</v>
      </c>
      <c r="G119" s="43">
        <f t="shared" si="1172"/>
        <v>0</v>
      </c>
      <c r="H119" s="43">
        <f t="shared" si="1172"/>
        <v>0</v>
      </c>
      <c r="I119" s="43">
        <f t="shared" si="1172"/>
        <v>2.8497062</v>
      </c>
      <c r="J119" s="43">
        <f t="shared" si="1172"/>
        <v>8.5282190999999994</v>
      </c>
      <c r="K119" s="43">
        <f t="shared" si="1172"/>
        <v>9.1899336999999992</v>
      </c>
      <c r="L119" s="43">
        <f t="shared" si="1172"/>
        <v>10.190559700000001</v>
      </c>
      <c r="M119" s="43">
        <f t="shared" si="1172"/>
        <v>11.74</v>
      </c>
      <c r="N119" s="43">
        <f t="shared" si="1172"/>
        <v>20.14</v>
      </c>
      <c r="O119" s="43">
        <f t="shared" si="1172"/>
        <v>39.42</v>
      </c>
      <c r="P119" s="43">
        <f t="shared" si="1172"/>
        <v>52.4</v>
      </c>
      <c r="Q119" s="43">
        <f t="shared" si="1172"/>
        <v>82.83</v>
      </c>
      <c r="R119" s="43">
        <f t="shared" si="1172"/>
        <v>130.97</v>
      </c>
      <c r="S119" s="43">
        <f t="shared" si="1172"/>
        <v>137.02000000000001</v>
      </c>
      <c r="T119" s="43">
        <f t="shared" si="1172"/>
        <v>123.03000000000003</v>
      </c>
      <c r="U119" s="43">
        <f t="shared" si="1172"/>
        <v>348.34000000000003</v>
      </c>
      <c r="V119" s="43">
        <f t="shared" si="1172"/>
        <v>269.51000000000005</v>
      </c>
      <c r="W119" s="43">
        <f t="shared" si="1172"/>
        <v>243.63999999999993</v>
      </c>
      <c r="X119" s="43">
        <f t="shared" si="1172"/>
        <v>333.02</v>
      </c>
      <c r="Y119" s="43">
        <f t="shared" si="1172"/>
        <v>184.68000000000006</v>
      </c>
      <c r="Z119" s="43">
        <f t="shared" si="1172"/>
        <v>735.09</v>
      </c>
      <c r="AA119" s="43">
        <f t="shared" ref="AA119" si="1173">+AA116-AA117-AA118</f>
        <v>773.4899999999999</v>
      </c>
      <c r="AB119" s="44">
        <f>+CC119</f>
        <v>295.39999999999998</v>
      </c>
      <c r="AC119" s="44">
        <f>+CG119</f>
        <v>295.39999999999998</v>
      </c>
      <c r="AD119" s="44">
        <f>+CK119</f>
        <v>295.39999999999998</v>
      </c>
      <c r="AE119" s="44">
        <f>+CO119</f>
        <v>295.39999999999998</v>
      </c>
      <c r="AG119" s="62"/>
      <c r="AH119" s="43">
        <f>+'QTR Raw'!D69</f>
        <v>0</v>
      </c>
      <c r="AI119" s="43">
        <f>+'QTR Raw'!E69</f>
        <v>0</v>
      </c>
      <c r="AJ119" s="43">
        <f>+'QTR Raw'!F69</f>
        <v>0</v>
      </c>
      <c r="AK119" s="43">
        <f>+'QTR Raw'!G69</f>
        <v>0</v>
      </c>
      <c r="AL119" s="43">
        <f>+'QTR Raw'!H69</f>
        <v>0</v>
      </c>
      <c r="AM119" s="43">
        <f>+'QTR Raw'!I69</f>
        <v>0</v>
      </c>
      <c r="AN119" s="43">
        <f>+'QTR Raw'!J69</f>
        <v>0</v>
      </c>
      <c r="AO119" s="43">
        <f>+'QTR Raw'!K69</f>
        <v>0</v>
      </c>
      <c r="AP119" s="43">
        <f>+'QTR Raw'!L69</f>
        <v>0</v>
      </c>
      <c r="AQ119" s="43">
        <f>+'QTR Raw'!M69</f>
        <v>0</v>
      </c>
      <c r="AR119" s="43">
        <f>+'QTR Raw'!N69</f>
        <v>0</v>
      </c>
      <c r="AS119" s="43">
        <f>+'QTR Raw'!O69</f>
        <v>0</v>
      </c>
      <c r="AT119" s="43">
        <f>+'QTR Raw'!P69</f>
        <v>0</v>
      </c>
      <c r="AU119" s="43">
        <f>+'QTR Raw'!Q69</f>
        <v>0</v>
      </c>
      <c r="AV119" s="43">
        <f>+'QTR Raw'!R69</f>
        <v>0</v>
      </c>
      <c r="AW119" s="43">
        <f>+'QTR Raw'!S69</f>
        <v>0</v>
      </c>
      <c r="AX119" s="43">
        <f>+'QTR Raw'!T69</f>
        <v>0</v>
      </c>
      <c r="AY119" s="43">
        <f>+'QTR Raw'!U69</f>
        <v>0</v>
      </c>
      <c r="AZ119" s="43">
        <f>+'QTR Raw'!V69</f>
        <v>0</v>
      </c>
      <c r="BA119" s="43">
        <f>+'QTR Raw'!W69</f>
        <v>0</v>
      </c>
      <c r="BB119" s="43">
        <f>+'QTR Raw'!X69</f>
        <v>0</v>
      </c>
      <c r="BC119" s="43">
        <f>+'QTR Raw'!Y69</f>
        <v>0</v>
      </c>
      <c r="BD119" s="43">
        <f>+'QTR Raw'!Z69</f>
        <v>0</v>
      </c>
      <c r="BE119" s="43">
        <f>+'QTR Raw'!AA69</f>
        <v>0</v>
      </c>
      <c r="BF119" s="43">
        <f>+'QTR Raw'!AB69</f>
        <v>0</v>
      </c>
      <c r="BG119" s="43">
        <f>+'QTR Raw'!AC69</f>
        <v>0</v>
      </c>
      <c r="BH119" s="43">
        <f>+'QTR Raw'!AD69</f>
        <v>0</v>
      </c>
      <c r="BI119" s="43">
        <f>+'QTR Raw'!AE69</f>
        <v>0</v>
      </c>
      <c r="BJ119" s="43">
        <f>+'QTR Raw'!AF69</f>
        <v>0</v>
      </c>
      <c r="BK119" s="43">
        <f>+'QTR Raw'!AG69</f>
        <v>0</v>
      </c>
      <c r="BL119" s="43">
        <f>+'QTR Raw'!AH69</f>
        <v>0</v>
      </c>
      <c r="BM119" s="43">
        <f>+'QTR Raw'!AI69</f>
        <v>0</v>
      </c>
      <c r="BN119" s="43">
        <f>+'QTR Raw'!AJ69</f>
        <v>0</v>
      </c>
      <c r="BO119" s="43">
        <f>+'QTR Raw'!AK69</f>
        <v>0</v>
      </c>
      <c r="BP119" s="43">
        <f>+'QTR Raw'!AL69</f>
        <v>0</v>
      </c>
      <c r="BQ119" s="43">
        <f>+'QTR Raw'!AM69</f>
        <v>0</v>
      </c>
      <c r="BR119" s="43">
        <f>+'QTR Raw'!AN69</f>
        <v>0</v>
      </c>
      <c r="BS119" s="43">
        <f>+'QTR Raw'!AO69</f>
        <v>0</v>
      </c>
      <c r="BT119" s="43">
        <f>+'QTR Raw'!AP69</f>
        <v>0</v>
      </c>
      <c r="BU119" s="43">
        <f>+'QTR Raw'!AQ69</f>
        <v>275.39999999999998</v>
      </c>
      <c r="BV119" s="43">
        <f>BU119</f>
        <v>275.39999999999998</v>
      </c>
      <c r="BW119" s="43">
        <f>+'QTR Raw'!AS69</f>
        <v>255.8</v>
      </c>
      <c r="BX119" s="43">
        <f>BW119</f>
        <v>255.8</v>
      </c>
      <c r="BY119" s="43">
        <f>+'QTR Raw'!AU69</f>
        <v>295.39999999999998</v>
      </c>
      <c r="BZ119" s="44">
        <f t="shared" ref="BZ119:CO119" si="1174">+BY119</f>
        <v>295.39999999999998</v>
      </c>
      <c r="CA119" s="44">
        <f t="shared" si="1174"/>
        <v>295.39999999999998</v>
      </c>
      <c r="CB119" s="44">
        <f t="shared" si="1174"/>
        <v>295.39999999999998</v>
      </c>
      <c r="CC119" s="44">
        <f t="shared" si="1174"/>
        <v>295.39999999999998</v>
      </c>
      <c r="CD119" s="44">
        <f t="shared" si="1174"/>
        <v>295.39999999999998</v>
      </c>
      <c r="CE119" s="44">
        <f t="shared" si="1174"/>
        <v>295.39999999999998</v>
      </c>
      <c r="CF119" s="44">
        <f t="shared" si="1174"/>
        <v>295.39999999999998</v>
      </c>
      <c r="CG119" s="44">
        <f t="shared" si="1174"/>
        <v>295.39999999999998</v>
      </c>
      <c r="CH119" s="44">
        <f t="shared" si="1174"/>
        <v>295.39999999999998</v>
      </c>
      <c r="CI119" s="44">
        <f t="shared" si="1174"/>
        <v>295.39999999999998</v>
      </c>
      <c r="CJ119" s="44">
        <f t="shared" si="1174"/>
        <v>295.39999999999998</v>
      </c>
      <c r="CK119" s="44">
        <f t="shared" si="1174"/>
        <v>295.39999999999998</v>
      </c>
      <c r="CL119" s="44">
        <f t="shared" si="1174"/>
        <v>295.39999999999998</v>
      </c>
      <c r="CM119" s="44">
        <f t="shared" si="1174"/>
        <v>295.39999999999998</v>
      </c>
      <c r="CN119" s="44">
        <f t="shared" si="1174"/>
        <v>295.39999999999998</v>
      </c>
      <c r="CO119" s="44">
        <f t="shared" si="1174"/>
        <v>295.39999999999998</v>
      </c>
      <c r="CT119" s="43">
        <v>295.39999999999998</v>
      </c>
    </row>
    <row r="120" spans="1:98" s="38" customFormat="1" x14ac:dyDescent="0.2">
      <c r="A120" s="38" t="s">
        <v>239</v>
      </c>
      <c r="AB120" s="39"/>
      <c r="AC120" s="39"/>
      <c r="AD120" s="39"/>
      <c r="AE120" s="39"/>
      <c r="AG120" s="60"/>
      <c r="AH120" s="38">
        <f>+'QTR Raw'!D70</f>
        <v>0</v>
      </c>
      <c r="AI120" s="38">
        <f>+'QTR Raw'!E70</f>
        <v>0</v>
      </c>
      <c r="AJ120" s="38">
        <f>+'QTR Raw'!F70</f>
        <v>0</v>
      </c>
      <c r="AK120" s="38">
        <f>+'QTR Raw'!G70</f>
        <v>0</v>
      </c>
      <c r="AL120" s="38">
        <f>+'QTR Raw'!H70</f>
        <v>0</v>
      </c>
      <c r="AM120" s="38">
        <f>+'QTR Raw'!I70</f>
        <v>0</v>
      </c>
      <c r="AN120" s="38">
        <f>+'QTR Raw'!J70</f>
        <v>0</v>
      </c>
      <c r="AO120" s="38">
        <f>+'QTR Raw'!K70</f>
        <v>0</v>
      </c>
      <c r="AP120" s="38">
        <f>+'QTR Raw'!L70</f>
        <v>0</v>
      </c>
      <c r="AQ120" s="38">
        <f>+'QTR Raw'!M70</f>
        <v>0</v>
      </c>
      <c r="AR120" s="38">
        <f>+'QTR Raw'!N70</f>
        <v>0</v>
      </c>
      <c r="AS120" s="38">
        <f>+'QTR Raw'!O70</f>
        <v>0</v>
      </c>
      <c r="AT120" s="38">
        <f>+'QTR Raw'!P70</f>
        <v>0</v>
      </c>
      <c r="AU120" s="38">
        <f>+'QTR Raw'!Q70</f>
        <v>0</v>
      </c>
      <c r="AV120" s="38">
        <f>+'QTR Raw'!R70</f>
        <v>0</v>
      </c>
      <c r="AW120" s="38">
        <f>+'QTR Raw'!S70</f>
        <v>0</v>
      </c>
      <c r="AX120" s="38">
        <f>+'QTR Raw'!T70</f>
        <v>0</v>
      </c>
      <c r="AY120" s="38">
        <f>+'QTR Raw'!U70</f>
        <v>0</v>
      </c>
      <c r="AZ120" s="38">
        <f>+'QTR Raw'!V70</f>
        <v>0</v>
      </c>
      <c r="BA120" s="38">
        <f>+'QTR Raw'!W70</f>
        <v>0</v>
      </c>
      <c r="BB120" s="38">
        <f>+'QTR Raw'!X70</f>
        <v>0</v>
      </c>
      <c r="BC120" s="38">
        <f>+'QTR Raw'!Y70</f>
        <v>0</v>
      </c>
      <c r="BD120" s="38">
        <f>+'QTR Raw'!Z70</f>
        <v>0</v>
      </c>
      <c r="BE120" s="38">
        <f>+'QTR Raw'!AA70</f>
        <v>0</v>
      </c>
      <c r="BF120" s="38">
        <f>+'QTR Raw'!AB70</f>
        <v>0</v>
      </c>
      <c r="BG120" s="38">
        <f>+'QTR Raw'!AC70</f>
        <v>0</v>
      </c>
      <c r="BH120" s="38">
        <f>+'QTR Raw'!AD70</f>
        <v>0</v>
      </c>
      <c r="BI120" s="38">
        <f>+'QTR Raw'!AE70</f>
        <v>0</v>
      </c>
      <c r="BJ120" s="38">
        <f>+'QTR Raw'!AF70</f>
        <v>0</v>
      </c>
      <c r="BK120" s="38">
        <f>+'QTR Raw'!AG70</f>
        <v>0</v>
      </c>
      <c r="BL120" s="38">
        <f>+'QTR Raw'!AH70</f>
        <v>0</v>
      </c>
      <c r="BM120" s="38">
        <f>+'QTR Raw'!AI70</f>
        <v>0</v>
      </c>
      <c r="BN120" s="38">
        <f>+'QTR Raw'!AJ70</f>
        <v>0</v>
      </c>
      <c r="BO120" s="38">
        <f>+'QTR Raw'!AK70</f>
        <v>0</v>
      </c>
      <c r="BP120" s="38">
        <f>+'QTR Raw'!AL70</f>
        <v>0</v>
      </c>
      <c r="BQ120" s="38">
        <f>+'QTR Raw'!AM70</f>
        <v>0</v>
      </c>
      <c r="BR120" s="38">
        <f>+'QTR Raw'!AN70</f>
        <v>0</v>
      </c>
      <c r="BS120" s="38">
        <f>+'QTR Raw'!AO70</f>
        <v>0</v>
      </c>
      <c r="BT120" s="38">
        <f>+'QTR Raw'!AP70</f>
        <v>0</v>
      </c>
      <c r="BU120" s="38">
        <f>+'QTR Raw'!AQ70</f>
        <v>0</v>
      </c>
      <c r="BW120" s="38">
        <f>+'QTR Raw'!AS70</f>
        <v>0</v>
      </c>
      <c r="BY120" s="38">
        <f>+'QTR Raw'!AU70</f>
        <v>0</v>
      </c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</row>
    <row r="121" spans="1:98" s="38" customFormat="1" x14ac:dyDescent="0.2">
      <c r="A121" s="38" t="s">
        <v>240</v>
      </c>
      <c r="B121" s="38">
        <f>+'Annual Raw'!C112</f>
        <v>0</v>
      </c>
      <c r="C121" s="38">
        <f>+'Annual Raw'!D112</f>
        <v>0</v>
      </c>
      <c r="D121" s="38">
        <f>+'Annual Raw'!E112</f>
        <v>0</v>
      </c>
      <c r="E121" s="38">
        <f>+'Annual Raw'!F112</f>
        <v>0</v>
      </c>
      <c r="F121" s="38">
        <f>+'Annual Raw'!G112</f>
        <v>0</v>
      </c>
      <c r="G121" s="38">
        <f>+'Annual Raw'!H112</f>
        <v>0</v>
      </c>
      <c r="H121" s="38">
        <f>+'Annual Raw'!I112</f>
        <v>0</v>
      </c>
      <c r="I121" s="38">
        <f>+'Annual Raw'!J112</f>
        <v>0</v>
      </c>
      <c r="J121" s="38">
        <f>+'Annual Raw'!K112</f>
        <v>0</v>
      </c>
      <c r="K121" s="38">
        <f>+'Annual Raw'!L112</f>
        <v>0</v>
      </c>
      <c r="L121" s="38">
        <f>+'Annual Raw'!M112</f>
        <v>0</v>
      </c>
      <c r="M121" s="38">
        <f>+'Annual Raw'!N112</f>
        <v>0</v>
      </c>
      <c r="N121" s="38">
        <f>+'Annual Raw'!O112</f>
        <v>0</v>
      </c>
      <c r="O121" s="38">
        <f>+'Annual Raw'!P112</f>
        <v>0</v>
      </c>
      <c r="P121" s="38">
        <f>+'Annual Raw'!Q112</f>
        <v>0</v>
      </c>
      <c r="Q121" s="38">
        <f>+'Annual Raw'!R112</f>
        <v>0</v>
      </c>
      <c r="R121" s="38">
        <f>+'Annual Raw'!S112</f>
        <v>0</v>
      </c>
      <c r="S121" s="38">
        <f>+'Annual Raw'!T112</f>
        <v>0</v>
      </c>
      <c r="T121" s="38">
        <f>+'Annual Raw'!U112</f>
        <v>0</v>
      </c>
      <c r="U121" s="38">
        <f>+'Annual Raw'!V112</f>
        <v>0</v>
      </c>
      <c r="V121" s="38">
        <f>+'Annual Raw'!W112</f>
        <v>0</v>
      </c>
      <c r="W121" s="38">
        <f>+'Annual Raw'!X112</f>
        <v>0</v>
      </c>
      <c r="X121" s="38">
        <f>+'Annual Raw'!Y112</f>
        <v>0</v>
      </c>
      <c r="Y121" s="38">
        <f>+'Annual Raw'!Z112</f>
        <v>0</v>
      </c>
      <c r="Z121" s="38">
        <f>+'Annual Raw'!AA112</f>
        <v>0</v>
      </c>
      <c r="AA121" s="38">
        <f>+'Annual Raw'!AB112</f>
        <v>0</v>
      </c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T121" s="38">
        <v>0</v>
      </c>
    </row>
    <row r="122" spans="1:98" s="38" customFormat="1" x14ac:dyDescent="0.2">
      <c r="A122" s="38" t="s">
        <v>102</v>
      </c>
      <c r="B122" s="38">
        <f>+'Annual Raw'!C111</f>
        <v>0</v>
      </c>
      <c r="C122" s="38">
        <f>+'Annual Raw'!D111</f>
        <v>0</v>
      </c>
      <c r="D122" s="38">
        <f>+'Annual Raw'!E111</f>
        <v>0</v>
      </c>
      <c r="E122" s="38">
        <f>+'Annual Raw'!F111</f>
        <v>0</v>
      </c>
      <c r="F122" s="38">
        <f>+'Annual Raw'!G111</f>
        <v>0</v>
      </c>
      <c r="G122" s="38">
        <f>+'Annual Raw'!H111</f>
        <v>0</v>
      </c>
      <c r="H122" s="38">
        <f>+'Annual Raw'!I111</f>
        <v>0</v>
      </c>
      <c r="I122" s="38">
        <f>+'Annual Raw'!J111</f>
        <v>0</v>
      </c>
      <c r="J122" s="38">
        <f>+'Annual Raw'!K111</f>
        <v>0.1445709</v>
      </c>
      <c r="K122" s="38">
        <f>+'Annual Raw'!L111</f>
        <v>0.65302329999999997</v>
      </c>
      <c r="L122" s="38">
        <f>+'Annual Raw'!M111</f>
        <v>0</v>
      </c>
      <c r="M122" s="38">
        <f>+'Annual Raw'!N111</f>
        <v>0.11</v>
      </c>
      <c r="N122" s="38">
        <f>+'Annual Raw'!O111</f>
        <v>0</v>
      </c>
      <c r="O122" s="38">
        <f>+'Annual Raw'!P111</f>
        <v>0</v>
      </c>
      <c r="P122" s="38">
        <f>+'Annual Raw'!Q111</f>
        <v>0</v>
      </c>
      <c r="Q122" s="38">
        <f>+'Annual Raw'!R111</f>
        <v>0</v>
      </c>
      <c r="R122" s="38">
        <f>+'Annual Raw'!S111</f>
        <v>0.24</v>
      </c>
      <c r="S122" s="38">
        <f>+'Annual Raw'!T111</f>
        <v>0</v>
      </c>
      <c r="T122" s="38">
        <f>+'Annual Raw'!U111</f>
        <v>0</v>
      </c>
      <c r="U122" s="38">
        <f>+'Annual Raw'!V111</f>
        <v>0.06</v>
      </c>
      <c r="V122" s="38">
        <f>+'Annual Raw'!W111</f>
        <v>0</v>
      </c>
      <c r="W122" s="38">
        <f>+'Annual Raw'!X111</f>
        <v>0</v>
      </c>
      <c r="X122" s="38">
        <f>+'Annual Raw'!Y111</f>
        <v>0</v>
      </c>
      <c r="Y122" s="38">
        <f>+'Annual Raw'!Z111</f>
        <v>0</v>
      </c>
      <c r="Z122" s="38">
        <f>+'Annual Raw'!AA111</f>
        <v>0</v>
      </c>
      <c r="AA122" s="38">
        <f>+'Annual Raw'!AB111</f>
        <v>0</v>
      </c>
      <c r="AB122" s="39">
        <f>+CC122</f>
        <v>0</v>
      </c>
      <c r="AC122" s="39">
        <f>+CG122</f>
        <v>0</v>
      </c>
      <c r="AD122" s="39">
        <f>+CK122</f>
        <v>0</v>
      </c>
      <c r="AE122" s="39">
        <f>+CO122</f>
        <v>0</v>
      </c>
      <c r="AG122" s="60"/>
      <c r="AH122" s="38">
        <f>+'QTR Raw'!D72+'QTR Raw'!D73</f>
        <v>0</v>
      </c>
      <c r="AI122" s="38">
        <f>+'QTR Raw'!E72+'QTR Raw'!E73</f>
        <v>0</v>
      </c>
      <c r="AJ122" s="38">
        <f>+'QTR Raw'!F72+'QTR Raw'!F73</f>
        <v>0</v>
      </c>
      <c r="AK122" s="38">
        <f>+'QTR Raw'!G72+'QTR Raw'!G73</f>
        <v>0</v>
      </c>
      <c r="AL122" s="38">
        <f>+'QTR Raw'!H72+'QTR Raw'!H73</f>
        <v>0</v>
      </c>
      <c r="AM122" s="38">
        <f>+'QTR Raw'!I72+'QTR Raw'!I73</f>
        <v>0</v>
      </c>
      <c r="AN122" s="38">
        <f>+'QTR Raw'!J72+'QTR Raw'!J73</f>
        <v>0</v>
      </c>
      <c r="AO122" s="38">
        <f>+'QTR Raw'!K72+'QTR Raw'!K73</f>
        <v>0</v>
      </c>
      <c r="AP122" s="38">
        <f>+'QTR Raw'!L72+'QTR Raw'!L73</f>
        <v>0</v>
      </c>
      <c r="AQ122" s="38">
        <f>+'QTR Raw'!M72+'QTR Raw'!M73</f>
        <v>0</v>
      </c>
      <c r="AR122" s="38">
        <f>+'QTR Raw'!N72+'QTR Raw'!N73</f>
        <v>0</v>
      </c>
      <c r="AS122" s="38">
        <f>+'QTR Raw'!O72+'QTR Raw'!O73</f>
        <v>0</v>
      </c>
      <c r="AT122" s="38">
        <f>+'QTR Raw'!P72+'QTR Raw'!P73</f>
        <v>0</v>
      </c>
      <c r="AU122" s="38">
        <f>+'QTR Raw'!Q72+'QTR Raw'!Q73</f>
        <v>0</v>
      </c>
      <c r="AV122" s="38">
        <f>+'QTR Raw'!R72+'QTR Raw'!R73</f>
        <v>0</v>
      </c>
      <c r="AW122" s="38">
        <f>+'QTR Raw'!S72+'QTR Raw'!S73</f>
        <v>0</v>
      </c>
      <c r="AX122" s="38">
        <f>+'QTR Raw'!T72+'QTR Raw'!T73</f>
        <v>0</v>
      </c>
      <c r="AY122" s="38">
        <f>+'QTR Raw'!U72+'QTR Raw'!U73</f>
        <v>0</v>
      </c>
      <c r="AZ122" s="38">
        <f>+'QTR Raw'!V72+'QTR Raw'!V73</f>
        <v>0</v>
      </c>
      <c r="BA122" s="38">
        <f>+'QTR Raw'!W72+'QTR Raw'!W73</f>
        <v>0</v>
      </c>
      <c r="BB122" s="38">
        <f>+'QTR Raw'!X72+'QTR Raw'!X73</f>
        <v>0</v>
      </c>
      <c r="BC122" s="38">
        <f>+'QTR Raw'!Y72+'QTR Raw'!Y73</f>
        <v>0</v>
      </c>
      <c r="BD122" s="38">
        <f>+'QTR Raw'!Z72+'QTR Raw'!Z73</f>
        <v>0</v>
      </c>
      <c r="BE122" s="38">
        <f>+'QTR Raw'!AA72+'QTR Raw'!AA73</f>
        <v>0</v>
      </c>
      <c r="BF122" s="38">
        <f>+'QTR Raw'!AB72+'QTR Raw'!AB73</f>
        <v>0</v>
      </c>
      <c r="BG122" s="38">
        <f>+'QTR Raw'!AC72+'QTR Raw'!AC73</f>
        <v>0</v>
      </c>
      <c r="BH122" s="38">
        <f>+'QTR Raw'!AD72+'QTR Raw'!AD73</f>
        <v>0</v>
      </c>
      <c r="BI122" s="38">
        <f>+'QTR Raw'!AE72+'QTR Raw'!AE73</f>
        <v>0</v>
      </c>
      <c r="BJ122" s="38">
        <f>+'QTR Raw'!AF72+'QTR Raw'!AF73</f>
        <v>0</v>
      </c>
      <c r="BK122" s="38">
        <f>+'QTR Raw'!AG72+'QTR Raw'!AG73</f>
        <v>0</v>
      </c>
      <c r="BL122" s="38">
        <f>+'QTR Raw'!AH72+'QTR Raw'!AH73</f>
        <v>0</v>
      </c>
      <c r="BM122" s="38">
        <f>+'QTR Raw'!AI72+'QTR Raw'!AI73</f>
        <v>0</v>
      </c>
      <c r="BN122" s="38">
        <f>+'QTR Raw'!AJ72+'QTR Raw'!AJ73</f>
        <v>0</v>
      </c>
      <c r="BO122" s="38">
        <f>+'QTR Raw'!AK72+'QTR Raw'!AK73</f>
        <v>0</v>
      </c>
      <c r="BP122" s="38">
        <f>+'QTR Raw'!AL72+'QTR Raw'!AL73</f>
        <v>0</v>
      </c>
      <c r="BQ122" s="38">
        <f>+'QTR Raw'!AM72+'QTR Raw'!AM73</f>
        <v>0</v>
      </c>
      <c r="BR122" s="38">
        <f>+'QTR Raw'!AN72+'QTR Raw'!AN73</f>
        <v>0</v>
      </c>
      <c r="BS122" s="38">
        <f>+'QTR Raw'!AO72+'QTR Raw'!AO73</f>
        <v>0</v>
      </c>
      <c r="BT122" s="38">
        <f>+'QTR Raw'!AP72+'QTR Raw'!AP73</f>
        <v>0</v>
      </c>
      <c r="BU122" s="38">
        <f>+'QTR Raw'!AQ72+'QTR Raw'!AQ73</f>
        <v>0</v>
      </c>
      <c r="BV122" s="38">
        <f t="shared" ref="BV122:CO122" si="1175">+BU122</f>
        <v>0</v>
      </c>
      <c r="BW122" s="38">
        <f>+'QTR Raw'!AS72+'QTR Raw'!AS73</f>
        <v>0</v>
      </c>
      <c r="BX122" s="38">
        <f t="shared" si="1175"/>
        <v>0</v>
      </c>
      <c r="BY122" s="38">
        <f>+'QTR Raw'!AU72+'QTR Raw'!AU73</f>
        <v>0</v>
      </c>
      <c r="BZ122" s="39">
        <f t="shared" si="1175"/>
        <v>0</v>
      </c>
      <c r="CA122" s="39">
        <f t="shared" si="1175"/>
        <v>0</v>
      </c>
      <c r="CB122" s="39">
        <f t="shared" si="1175"/>
        <v>0</v>
      </c>
      <c r="CC122" s="39">
        <f t="shared" si="1175"/>
        <v>0</v>
      </c>
      <c r="CD122" s="39">
        <f t="shared" si="1175"/>
        <v>0</v>
      </c>
      <c r="CE122" s="39">
        <f t="shared" si="1175"/>
        <v>0</v>
      </c>
      <c r="CF122" s="39">
        <f t="shared" si="1175"/>
        <v>0</v>
      </c>
      <c r="CG122" s="39">
        <f t="shared" si="1175"/>
        <v>0</v>
      </c>
      <c r="CH122" s="39">
        <f t="shared" si="1175"/>
        <v>0</v>
      </c>
      <c r="CI122" s="39">
        <f t="shared" si="1175"/>
        <v>0</v>
      </c>
      <c r="CJ122" s="39">
        <f t="shared" si="1175"/>
        <v>0</v>
      </c>
      <c r="CK122" s="39">
        <f t="shared" si="1175"/>
        <v>0</v>
      </c>
      <c r="CL122" s="39">
        <f t="shared" si="1175"/>
        <v>0</v>
      </c>
      <c r="CM122" s="39">
        <f t="shared" si="1175"/>
        <v>0</v>
      </c>
      <c r="CN122" s="39">
        <f t="shared" si="1175"/>
        <v>0</v>
      </c>
      <c r="CO122" s="39">
        <f t="shared" si="1175"/>
        <v>0</v>
      </c>
      <c r="CT122" s="38">
        <v>0</v>
      </c>
    </row>
    <row r="123" spans="1:98" s="43" customFormat="1" x14ac:dyDescent="0.2">
      <c r="A123" s="43" t="s">
        <v>241</v>
      </c>
      <c r="B123" s="43">
        <f>+B119+B121+B122</f>
        <v>0</v>
      </c>
      <c r="C123" s="43">
        <f t="shared" ref="C123:AE123" si="1176">+C119+C121+C122</f>
        <v>0</v>
      </c>
      <c r="D123" s="43">
        <f t="shared" si="1176"/>
        <v>0</v>
      </c>
      <c r="E123" s="43">
        <f t="shared" si="1176"/>
        <v>0</v>
      </c>
      <c r="F123" s="43">
        <f t="shared" si="1176"/>
        <v>0</v>
      </c>
      <c r="G123" s="43">
        <f t="shared" si="1176"/>
        <v>0</v>
      </c>
      <c r="H123" s="43">
        <f t="shared" si="1176"/>
        <v>0</v>
      </c>
      <c r="I123" s="43">
        <f t="shared" si="1176"/>
        <v>2.8497062</v>
      </c>
      <c r="J123" s="43">
        <f t="shared" si="1176"/>
        <v>8.6727899999999991</v>
      </c>
      <c r="K123" s="43">
        <f t="shared" si="1176"/>
        <v>9.8429569999999984</v>
      </c>
      <c r="L123" s="43">
        <f t="shared" si="1176"/>
        <v>10.190559700000001</v>
      </c>
      <c r="M123" s="43">
        <f t="shared" si="1176"/>
        <v>11.85</v>
      </c>
      <c r="N123" s="43">
        <f t="shared" si="1176"/>
        <v>20.14</v>
      </c>
      <c r="O123" s="43">
        <f t="shared" si="1176"/>
        <v>39.42</v>
      </c>
      <c r="P123" s="43">
        <f t="shared" si="1176"/>
        <v>52.4</v>
      </c>
      <c r="Q123" s="43">
        <f t="shared" si="1176"/>
        <v>82.83</v>
      </c>
      <c r="R123" s="43">
        <f t="shared" si="1176"/>
        <v>131.21</v>
      </c>
      <c r="S123" s="43">
        <f t="shared" si="1176"/>
        <v>137.02000000000001</v>
      </c>
      <c r="T123" s="43">
        <f t="shared" si="1176"/>
        <v>123.03000000000003</v>
      </c>
      <c r="U123" s="43">
        <f t="shared" si="1176"/>
        <v>348.40000000000003</v>
      </c>
      <c r="V123" s="43">
        <f t="shared" si="1176"/>
        <v>269.51000000000005</v>
      </c>
      <c r="W123" s="43">
        <f t="shared" si="1176"/>
        <v>243.63999999999993</v>
      </c>
      <c r="X123" s="43">
        <f t="shared" si="1176"/>
        <v>333.02</v>
      </c>
      <c r="Y123" s="43">
        <f t="shared" si="1176"/>
        <v>184.68000000000006</v>
      </c>
      <c r="Z123" s="43">
        <f t="shared" si="1176"/>
        <v>735.09</v>
      </c>
      <c r="AA123" s="43">
        <f t="shared" ref="AA123" si="1177">+AA119+AA121+AA122</f>
        <v>773.4899999999999</v>
      </c>
      <c r="AB123" s="44">
        <f t="shared" si="1176"/>
        <v>295.39999999999998</v>
      </c>
      <c r="AC123" s="44">
        <f t="shared" si="1176"/>
        <v>295.39999999999998</v>
      </c>
      <c r="AD123" s="44">
        <f t="shared" si="1176"/>
        <v>295.39999999999998</v>
      </c>
      <c r="AE123" s="44">
        <f t="shared" si="1176"/>
        <v>295.39999999999998</v>
      </c>
      <c r="AG123" s="62"/>
      <c r="AH123" s="43">
        <f t="shared" ref="AH123" si="1178">+AH119+AH121+AH122+AH120</f>
        <v>0</v>
      </c>
      <c r="AI123" s="43">
        <f t="shared" ref="AI123:AT123" si="1179">+AI119+AI121+AI122+AI120</f>
        <v>0</v>
      </c>
      <c r="AJ123" s="43">
        <f t="shared" si="1179"/>
        <v>0</v>
      </c>
      <c r="AK123" s="43">
        <f t="shared" si="1179"/>
        <v>0</v>
      </c>
      <c r="AL123" s="43">
        <f t="shared" si="1179"/>
        <v>0</v>
      </c>
      <c r="AM123" s="43">
        <f t="shared" si="1179"/>
        <v>0</v>
      </c>
      <c r="AN123" s="43">
        <f t="shared" si="1179"/>
        <v>0</v>
      </c>
      <c r="AO123" s="43">
        <f t="shared" si="1179"/>
        <v>0</v>
      </c>
      <c r="AP123" s="43">
        <f t="shared" si="1179"/>
        <v>0</v>
      </c>
      <c r="AQ123" s="43">
        <f t="shared" si="1179"/>
        <v>0</v>
      </c>
      <c r="AR123" s="43">
        <f t="shared" si="1179"/>
        <v>0</v>
      </c>
      <c r="AS123" s="43">
        <f t="shared" si="1179"/>
        <v>0</v>
      </c>
      <c r="AT123" s="43">
        <f t="shared" si="1179"/>
        <v>0</v>
      </c>
      <c r="AU123" s="43">
        <f t="shared" ref="AU123" si="1180">+AU119+AU121+AU122+AU120</f>
        <v>0</v>
      </c>
      <c r="AV123" s="43">
        <f t="shared" ref="AV123" si="1181">+AV119+AV121+AV122+AV120</f>
        <v>0</v>
      </c>
      <c r="AW123" s="43">
        <f>+AW119+AW121+AW122+AW120</f>
        <v>0</v>
      </c>
      <c r="AX123" s="43">
        <f t="shared" ref="AX123:BU123" si="1182">+AX119+AX121+AX122+AX120</f>
        <v>0</v>
      </c>
      <c r="AY123" s="43">
        <f t="shared" si="1182"/>
        <v>0</v>
      </c>
      <c r="AZ123" s="43">
        <f t="shared" si="1182"/>
        <v>0</v>
      </c>
      <c r="BA123" s="43">
        <f t="shared" si="1182"/>
        <v>0</v>
      </c>
      <c r="BB123" s="43">
        <f t="shared" si="1182"/>
        <v>0</v>
      </c>
      <c r="BC123" s="43">
        <f t="shared" si="1182"/>
        <v>0</v>
      </c>
      <c r="BD123" s="43">
        <f t="shared" si="1182"/>
        <v>0</v>
      </c>
      <c r="BE123" s="43">
        <f t="shared" si="1182"/>
        <v>0</v>
      </c>
      <c r="BF123" s="43">
        <f t="shared" si="1182"/>
        <v>0</v>
      </c>
      <c r="BG123" s="43">
        <f t="shared" si="1182"/>
        <v>0</v>
      </c>
      <c r="BH123" s="43">
        <f t="shared" si="1182"/>
        <v>0</v>
      </c>
      <c r="BI123" s="43">
        <f t="shared" si="1182"/>
        <v>0</v>
      </c>
      <c r="BJ123" s="43">
        <f t="shared" si="1182"/>
        <v>0</v>
      </c>
      <c r="BK123" s="43">
        <f t="shared" si="1182"/>
        <v>0</v>
      </c>
      <c r="BL123" s="43">
        <f t="shared" si="1182"/>
        <v>0</v>
      </c>
      <c r="BM123" s="43">
        <f t="shared" si="1182"/>
        <v>0</v>
      </c>
      <c r="BN123" s="43">
        <f t="shared" si="1182"/>
        <v>0</v>
      </c>
      <c r="BO123" s="43">
        <f t="shared" si="1182"/>
        <v>0</v>
      </c>
      <c r="BP123" s="43">
        <f t="shared" si="1182"/>
        <v>0</v>
      </c>
      <c r="BQ123" s="43">
        <f t="shared" si="1182"/>
        <v>0</v>
      </c>
      <c r="BR123" s="43">
        <f t="shared" si="1182"/>
        <v>0</v>
      </c>
      <c r="BS123" s="43">
        <f t="shared" si="1182"/>
        <v>0</v>
      </c>
      <c r="BT123" s="43">
        <f t="shared" si="1182"/>
        <v>0</v>
      </c>
      <c r="BU123" s="43">
        <f t="shared" si="1182"/>
        <v>275.39999999999998</v>
      </c>
      <c r="BV123" s="43">
        <f t="shared" ref="BV123:BX123" si="1183">+BV119+BV121+BV122+BV120</f>
        <v>275.39999999999998</v>
      </c>
      <c r="BW123" s="43">
        <f t="shared" ref="BW123:BY123" si="1184">+BW119+BW121+BW122+BW120</f>
        <v>255.8</v>
      </c>
      <c r="BX123" s="43">
        <f t="shared" si="1183"/>
        <v>255.8</v>
      </c>
      <c r="BY123" s="43">
        <f t="shared" si="1184"/>
        <v>295.39999999999998</v>
      </c>
      <c r="BZ123" s="44">
        <f t="shared" ref="BZ123" si="1185">+BZ119+BZ121+BZ122+BZ120</f>
        <v>295.39999999999998</v>
      </c>
      <c r="CA123" s="44">
        <f t="shared" ref="CA123" si="1186">+CA119+CA121+CA122+CA120</f>
        <v>295.39999999999998</v>
      </c>
      <c r="CB123" s="44">
        <f t="shared" ref="CB123" si="1187">+CB119+CB121+CB122+CB120</f>
        <v>295.39999999999998</v>
      </c>
      <c r="CC123" s="44">
        <f t="shared" ref="CC123" si="1188">+CC119+CC121+CC122+CC120</f>
        <v>295.39999999999998</v>
      </c>
      <c r="CD123" s="44">
        <f t="shared" ref="CD123" si="1189">+CD119+CD121+CD122+CD120</f>
        <v>295.39999999999998</v>
      </c>
      <c r="CE123" s="44">
        <f t="shared" ref="CE123" si="1190">+CE119+CE121+CE122+CE120</f>
        <v>295.39999999999998</v>
      </c>
      <c r="CF123" s="44">
        <f t="shared" ref="CF123" si="1191">+CF119+CF121+CF122+CF120</f>
        <v>295.39999999999998</v>
      </c>
      <c r="CG123" s="44">
        <f t="shared" ref="CG123" si="1192">+CG119+CG121+CG122+CG120</f>
        <v>295.39999999999998</v>
      </c>
      <c r="CH123" s="44">
        <f t="shared" ref="CH123" si="1193">+CH119+CH121+CH122+CH120</f>
        <v>295.39999999999998</v>
      </c>
      <c r="CI123" s="44">
        <f t="shared" ref="CI123" si="1194">+CI119+CI121+CI122+CI120</f>
        <v>295.39999999999998</v>
      </c>
      <c r="CJ123" s="44">
        <f t="shared" ref="CJ123" si="1195">+CJ119+CJ121+CJ122+CJ120</f>
        <v>295.39999999999998</v>
      </c>
      <c r="CK123" s="44">
        <f t="shared" ref="CK123" si="1196">+CK119+CK121+CK122+CK120</f>
        <v>295.39999999999998</v>
      </c>
      <c r="CL123" s="44">
        <f t="shared" ref="CL123" si="1197">+CL119+CL121+CL122+CL120</f>
        <v>295.39999999999998</v>
      </c>
      <c r="CM123" s="44">
        <f t="shared" ref="CM123" si="1198">+CM119+CM121+CM122+CM120</f>
        <v>295.39999999999998</v>
      </c>
      <c r="CN123" s="44">
        <f t="shared" ref="CN123" si="1199">+CN119+CN121+CN122+CN120</f>
        <v>295.39999999999998</v>
      </c>
      <c r="CO123" s="44">
        <f t="shared" ref="CO123" si="1200">+CO119+CO121+CO122+CO120</f>
        <v>295.39999999999998</v>
      </c>
      <c r="CT123" s="43">
        <v>295.39999999999998</v>
      </c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242</v>
      </c>
      <c r="B125" s="38">
        <f>+'Annual Raw'!C115</f>
        <v>0</v>
      </c>
      <c r="C125" s="38">
        <f>+'Annual Raw'!D115</f>
        <v>0</v>
      </c>
      <c r="D125" s="38">
        <f>+'Annual Raw'!E115</f>
        <v>0</v>
      </c>
      <c r="E125" s="38">
        <f>+'Annual Raw'!F115</f>
        <v>0</v>
      </c>
      <c r="F125" s="38">
        <f>+'Annual Raw'!G115</f>
        <v>0</v>
      </c>
      <c r="G125" s="38">
        <f>+'Annual Raw'!H115</f>
        <v>0</v>
      </c>
      <c r="H125" s="38">
        <f>+'Annual Raw'!I115</f>
        <v>0</v>
      </c>
      <c r="I125" s="38">
        <f>+'Annual Raw'!J115</f>
        <v>0</v>
      </c>
      <c r="J125" s="38">
        <f>+'Annual Raw'!K115</f>
        <v>0</v>
      </c>
      <c r="K125" s="38">
        <f>+'Annual Raw'!L115</f>
        <v>3.4999996000000002</v>
      </c>
      <c r="L125" s="38">
        <f>+'Annual Raw'!M115</f>
        <v>3.4999996000000002</v>
      </c>
      <c r="M125" s="38">
        <f>+'Annual Raw'!N115</f>
        <v>3.5</v>
      </c>
      <c r="N125" s="38">
        <f>+'Annual Raw'!O115</f>
        <v>2.56</v>
      </c>
      <c r="O125" s="38">
        <f>+'Annual Raw'!P115</f>
        <v>2.34</v>
      </c>
      <c r="P125" s="38">
        <f>+'Annual Raw'!Q115</f>
        <v>8.43</v>
      </c>
      <c r="Q125" s="38">
        <f>+'Annual Raw'!R115</f>
        <v>49.42</v>
      </c>
      <c r="R125" s="38">
        <f>+'Annual Raw'!S115</f>
        <v>65.06</v>
      </c>
      <c r="S125" s="38">
        <f>+'Annual Raw'!T115</f>
        <v>0.95</v>
      </c>
      <c r="T125" s="38">
        <f>+'Annual Raw'!U115</f>
        <v>0.95</v>
      </c>
      <c r="U125" s="38">
        <f>+'Annual Raw'!V115</f>
        <v>0.95</v>
      </c>
      <c r="V125" s="38">
        <f>+'Annual Raw'!W115</f>
        <v>137.87</v>
      </c>
      <c r="W125" s="38">
        <f>+'Annual Raw'!X115</f>
        <v>89.49</v>
      </c>
      <c r="X125" s="38">
        <f>+'Annual Raw'!Y115</f>
        <v>57.94</v>
      </c>
      <c r="Y125" s="38">
        <f>+'Annual Raw'!Z115</f>
        <v>39.630000000000003</v>
      </c>
      <c r="Z125" s="38">
        <f>+'Annual Raw'!AA115</f>
        <v>16.04</v>
      </c>
      <c r="AA125" s="38">
        <f>+'Annual Raw'!AB115</f>
        <v>5.45</v>
      </c>
      <c r="AB125" s="39"/>
      <c r="AC125" s="39"/>
      <c r="AD125" s="39"/>
      <c r="AE125" s="39"/>
      <c r="AG125" s="60"/>
      <c r="AH125" s="38">
        <f>+'QTR Raw'!D75</f>
        <v>0</v>
      </c>
      <c r="AI125" s="38">
        <f>+'QTR Raw'!E75</f>
        <v>0</v>
      </c>
      <c r="AJ125" s="38">
        <f>+'QTR Raw'!F75</f>
        <v>0</v>
      </c>
      <c r="AK125" s="38">
        <f>+'QTR Raw'!G75</f>
        <v>0</v>
      </c>
      <c r="AL125" s="38">
        <f>+'QTR Raw'!H75</f>
        <v>0</v>
      </c>
      <c r="AM125" s="38">
        <f>+'QTR Raw'!I75</f>
        <v>0</v>
      </c>
      <c r="AN125" s="38">
        <f>+'QTR Raw'!J75</f>
        <v>0</v>
      </c>
      <c r="AO125" s="38">
        <f>+'QTR Raw'!K75</f>
        <v>0</v>
      </c>
      <c r="AP125" s="38">
        <f>+'QTR Raw'!L75</f>
        <v>0</v>
      </c>
      <c r="AQ125" s="38">
        <f>+'QTR Raw'!M75</f>
        <v>0</v>
      </c>
      <c r="AR125" s="38">
        <f>+'QTR Raw'!N75</f>
        <v>0</v>
      </c>
      <c r="AS125" s="38">
        <f>+'QTR Raw'!O75</f>
        <v>0</v>
      </c>
      <c r="AT125" s="38">
        <f>+'QTR Raw'!P75</f>
        <v>0</v>
      </c>
      <c r="AU125" s="38">
        <f>+'QTR Raw'!Q75</f>
        <v>0</v>
      </c>
      <c r="AV125" s="38">
        <f>+'QTR Raw'!R75</f>
        <v>0</v>
      </c>
      <c r="AW125" s="38">
        <f>+'QTR Raw'!S75</f>
        <v>0</v>
      </c>
      <c r="AX125" s="38">
        <f>+'QTR Raw'!T75</f>
        <v>0</v>
      </c>
      <c r="AY125" s="38">
        <f>+'QTR Raw'!U75</f>
        <v>0</v>
      </c>
      <c r="AZ125" s="38">
        <f>+'QTR Raw'!V75</f>
        <v>0</v>
      </c>
      <c r="BA125" s="38">
        <f>+'QTR Raw'!W75</f>
        <v>0</v>
      </c>
      <c r="BB125" s="38">
        <f>+'QTR Raw'!X75</f>
        <v>0</v>
      </c>
      <c r="BC125" s="38">
        <f>+'QTR Raw'!Y75</f>
        <v>0</v>
      </c>
      <c r="BD125" s="38">
        <f>+'QTR Raw'!Z75</f>
        <v>0</v>
      </c>
      <c r="BE125" s="38">
        <f>+'QTR Raw'!AA75</f>
        <v>0</v>
      </c>
      <c r="BF125" s="38">
        <f>+'QTR Raw'!AB75</f>
        <v>0</v>
      </c>
      <c r="BG125" s="38">
        <f>+'QTR Raw'!AC75</f>
        <v>0</v>
      </c>
      <c r="BH125" s="38">
        <f>+'QTR Raw'!AD75</f>
        <v>0</v>
      </c>
      <c r="BI125" s="38">
        <f>+'QTR Raw'!AE75</f>
        <v>0</v>
      </c>
      <c r="BJ125" s="38">
        <f>+'QTR Raw'!AF75</f>
        <v>0</v>
      </c>
      <c r="BK125" s="38">
        <f>+'QTR Raw'!AG75</f>
        <v>0</v>
      </c>
      <c r="BL125" s="38">
        <f>+'QTR Raw'!AH75</f>
        <v>0</v>
      </c>
      <c r="BM125" s="38">
        <f>+'QTR Raw'!AI75</f>
        <v>0</v>
      </c>
      <c r="BN125" s="38">
        <f>+'QTR Raw'!AJ75</f>
        <v>0</v>
      </c>
      <c r="BO125" s="38">
        <f>+'QTR Raw'!AK75</f>
        <v>0</v>
      </c>
      <c r="BP125" s="38">
        <f>+'QTR Raw'!AL75</f>
        <v>0</v>
      </c>
      <c r="BQ125" s="38">
        <f>+'QTR Raw'!AM75</f>
        <v>0</v>
      </c>
      <c r="BR125" s="38">
        <f>+'QTR Raw'!AN75</f>
        <v>0</v>
      </c>
      <c r="BS125" s="38">
        <f>+'QTR Raw'!AO75</f>
        <v>0</v>
      </c>
      <c r="BT125" s="38">
        <f>+'QTR Raw'!AP75</f>
        <v>0</v>
      </c>
      <c r="BU125" s="38">
        <f>+'QTR Raw'!AQ75</f>
        <v>0</v>
      </c>
      <c r="BV125" s="38">
        <f>BU125</f>
        <v>0</v>
      </c>
      <c r="BW125" s="38">
        <f>+'QTR Raw'!AS75</f>
        <v>0</v>
      </c>
      <c r="BX125" s="38">
        <f>BW125</f>
        <v>0</v>
      </c>
      <c r="BY125" s="38">
        <f>+'QTR Raw'!AU75</f>
        <v>0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T125" s="38">
        <v>5.45</v>
      </c>
    </row>
    <row r="126" spans="1:98" s="38" customFormat="1" x14ac:dyDescent="0.2"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220</v>
      </c>
      <c r="B127" s="38">
        <f>+'Annual Raw'!C117+'Annual Raw'!C114+'Annual Raw'!C110</f>
        <v>0</v>
      </c>
      <c r="C127" s="38">
        <f>+'Annual Raw'!D117+'Annual Raw'!D114+'Annual Raw'!D110</f>
        <v>0</v>
      </c>
      <c r="D127" s="38">
        <f>+'Annual Raw'!E117+'Annual Raw'!E114+'Annual Raw'!E110</f>
        <v>0</v>
      </c>
      <c r="E127" s="38">
        <f>+'Annual Raw'!F117+'Annual Raw'!F114+'Annual Raw'!F110</f>
        <v>0</v>
      </c>
      <c r="F127" s="38">
        <f>+'Annual Raw'!G117+'Annual Raw'!G114+'Annual Raw'!G110</f>
        <v>0</v>
      </c>
      <c r="G127" s="38">
        <f>+'Annual Raw'!H117+'Annual Raw'!H114+'Annual Raw'!H110</f>
        <v>0</v>
      </c>
      <c r="H127" s="38">
        <f>+'Annual Raw'!I117+'Annual Raw'!I114+'Annual Raw'!I110</f>
        <v>0</v>
      </c>
      <c r="I127" s="38">
        <f>+'Annual Raw'!J117+'Annual Raw'!J114+'Annual Raw'!J110</f>
        <v>0</v>
      </c>
      <c r="J127" s="38">
        <f>+'Annual Raw'!K117+'Annual Raw'!K114+'Annual Raw'!K110</f>
        <v>0</v>
      </c>
      <c r="K127" s="38">
        <f>+'Annual Raw'!L117+'Annual Raw'!L114+'Annual Raw'!L110</f>
        <v>0</v>
      </c>
      <c r="L127" s="38">
        <f>+'Annual Raw'!M117+'Annual Raw'!M114+'Annual Raw'!M110</f>
        <v>0</v>
      </c>
      <c r="M127" s="38">
        <f>+'Annual Raw'!N117+'Annual Raw'!N114+'Annual Raw'!N110</f>
        <v>0</v>
      </c>
      <c r="N127" s="38">
        <f>+'Annual Raw'!O117+'Annual Raw'!O114+'Annual Raw'!O110</f>
        <v>0</v>
      </c>
      <c r="O127" s="38">
        <f>+'Annual Raw'!P117+'Annual Raw'!P114+'Annual Raw'!P110</f>
        <v>0</v>
      </c>
      <c r="P127" s="38">
        <f>+'Annual Raw'!Q117+'Annual Raw'!Q114+'Annual Raw'!Q110</f>
        <v>0</v>
      </c>
      <c r="Q127" s="38">
        <f>+'Annual Raw'!R117+'Annual Raw'!R114+'Annual Raw'!R110</f>
        <v>0</v>
      </c>
      <c r="R127" s="38">
        <f>+'Annual Raw'!S117+'Annual Raw'!S114+'Annual Raw'!S110</f>
        <v>0</v>
      </c>
      <c r="S127" s="38">
        <f>+'Annual Raw'!T117+'Annual Raw'!T114+'Annual Raw'!T110</f>
        <v>0</v>
      </c>
      <c r="T127" s="38">
        <f>+'Annual Raw'!U117+'Annual Raw'!U114+'Annual Raw'!U110</f>
        <v>43.29</v>
      </c>
      <c r="U127" s="38">
        <f>+'Annual Raw'!V117+'Annual Raw'!V114+'Annual Raw'!V110</f>
        <v>15.87</v>
      </c>
      <c r="V127" s="38">
        <f>+'Annual Raw'!W117+'Annual Raw'!W114+'Annual Raw'!W110</f>
        <v>13.34</v>
      </c>
      <c r="W127" s="38">
        <f>+'Annual Raw'!X117+'Annual Raw'!X114+'Annual Raw'!X110</f>
        <v>167.1</v>
      </c>
      <c r="X127" s="38">
        <f>+'Annual Raw'!Y117+'Annual Raw'!Y114+'Annual Raw'!Y110</f>
        <v>3.19</v>
      </c>
      <c r="Y127" s="38">
        <f>+'Annual Raw'!Z117+'Annual Raw'!Z114+'Annual Raw'!Z110</f>
        <v>279.69</v>
      </c>
      <c r="Z127" s="38">
        <f>+'Annual Raw'!AA117+'Annual Raw'!AA114+'Annual Raw'!AA110</f>
        <v>155.16999999999999</v>
      </c>
      <c r="AA127" s="38">
        <f>+'Annual Raw'!AB117+'Annual Raw'!AB114+'Annual Raw'!AB110</f>
        <v>1400.85</v>
      </c>
      <c r="AB127" s="39"/>
      <c r="AC127" s="39"/>
      <c r="AD127" s="39"/>
      <c r="AE127" s="39"/>
      <c r="AG127" s="60"/>
      <c r="AH127" s="38">
        <f>+'QTR Raw'!D77</f>
        <v>0</v>
      </c>
      <c r="AI127" s="38">
        <f>+'QTR Raw'!E77</f>
        <v>0</v>
      </c>
      <c r="AJ127" s="38">
        <f>+'QTR Raw'!F77</f>
        <v>0</v>
      </c>
      <c r="AK127" s="38">
        <f>+'QTR Raw'!G77</f>
        <v>0</v>
      </c>
      <c r="AL127" s="38">
        <f>+'QTR Raw'!H77</f>
        <v>0</v>
      </c>
      <c r="AM127" s="38">
        <f>+'QTR Raw'!I77</f>
        <v>0</v>
      </c>
      <c r="AN127" s="38">
        <f>+'QTR Raw'!J77</f>
        <v>0</v>
      </c>
      <c r="AO127" s="38">
        <f>+'QTR Raw'!K77</f>
        <v>0</v>
      </c>
      <c r="AP127" s="38">
        <f>+'QTR Raw'!L77</f>
        <v>0</v>
      </c>
      <c r="AQ127" s="38">
        <f>+'QTR Raw'!M77</f>
        <v>0</v>
      </c>
      <c r="AR127" s="38">
        <f>+'QTR Raw'!N77</f>
        <v>0</v>
      </c>
      <c r="AS127" s="38">
        <f>+'QTR Raw'!O77</f>
        <v>0</v>
      </c>
      <c r="AT127" s="38">
        <f>+'QTR Raw'!P77</f>
        <v>0</v>
      </c>
      <c r="AU127" s="38">
        <f>+'QTR Raw'!Q77</f>
        <v>0</v>
      </c>
      <c r="AV127" s="38">
        <f>+'QTR Raw'!R77</f>
        <v>0</v>
      </c>
      <c r="AW127" s="38">
        <f>+'QTR Raw'!S77</f>
        <v>0</v>
      </c>
      <c r="AX127" s="38">
        <f>+'QTR Raw'!T77</f>
        <v>0</v>
      </c>
      <c r="AY127" s="38">
        <f>+'QTR Raw'!U77</f>
        <v>0</v>
      </c>
      <c r="AZ127" s="38">
        <f>+'QTR Raw'!V77</f>
        <v>0</v>
      </c>
      <c r="BA127" s="38">
        <f>+'QTR Raw'!W77</f>
        <v>0</v>
      </c>
      <c r="BB127" s="38">
        <f>+'QTR Raw'!X77</f>
        <v>0</v>
      </c>
      <c r="BC127" s="38">
        <f>+'QTR Raw'!Y77</f>
        <v>0</v>
      </c>
      <c r="BD127" s="38">
        <f>+'QTR Raw'!Z77</f>
        <v>0</v>
      </c>
      <c r="BE127" s="38">
        <f>+'QTR Raw'!AA77</f>
        <v>0</v>
      </c>
      <c r="BF127" s="38">
        <f>+'QTR Raw'!AB77</f>
        <v>0</v>
      </c>
      <c r="BG127" s="38">
        <f>+'QTR Raw'!AC77</f>
        <v>0</v>
      </c>
      <c r="BH127" s="38">
        <f>+'QTR Raw'!AD77</f>
        <v>0</v>
      </c>
      <c r="BI127" s="38">
        <f>+'QTR Raw'!AE77</f>
        <v>0</v>
      </c>
      <c r="BJ127" s="38">
        <f>+'QTR Raw'!AF77</f>
        <v>0</v>
      </c>
      <c r="BK127" s="38">
        <f>+'QTR Raw'!AG77</f>
        <v>0</v>
      </c>
      <c r="BL127" s="38">
        <f>+'QTR Raw'!AH77</f>
        <v>0</v>
      </c>
      <c r="BM127" s="38">
        <f>+'QTR Raw'!AI77</f>
        <v>0</v>
      </c>
      <c r="BN127" s="38">
        <f>+'QTR Raw'!AJ77</f>
        <v>0</v>
      </c>
      <c r="BO127" s="38">
        <f>+'QTR Raw'!AK77</f>
        <v>0</v>
      </c>
      <c r="BP127" s="38">
        <f>+'QTR Raw'!AL77</f>
        <v>0</v>
      </c>
      <c r="BQ127" s="38">
        <f>+'QTR Raw'!AM77</f>
        <v>0</v>
      </c>
      <c r="BR127" s="38">
        <f>+'QTR Raw'!AN77</f>
        <v>0</v>
      </c>
      <c r="BS127" s="38">
        <f>+'QTR Raw'!AO77</f>
        <v>0</v>
      </c>
      <c r="BT127" s="38">
        <f>+'QTR Raw'!AP77</f>
        <v>0</v>
      </c>
      <c r="BU127" s="38">
        <f>+'QTR Raw'!AQ77</f>
        <v>736.4</v>
      </c>
      <c r="BV127" s="38">
        <f t="shared" ref="BV127:BX130" si="1201">BU127</f>
        <v>736.4</v>
      </c>
      <c r="BW127" s="38">
        <f>+'QTR Raw'!AS77</f>
        <v>632.6</v>
      </c>
      <c r="BX127" s="38">
        <f t="shared" si="1201"/>
        <v>632.6</v>
      </c>
      <c r="BY127" s="38">
        <f>+'QTR Raw'!AU77</f>
        <v>613.6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1400.85</v>
      </c>
    </row>
    <row r="128" spans="1:98" s="38" customFormat="1" x14ac:dyDescent="0.2">
      <c r="A128" s="38" t="s">
        <v>222</v>
      </c>
      <c r="B128" s="38">
        <f>+'Annual Raw'!C120</f>
        <v>0</v>
      </c>
      <c r="C128" s="38">
        <f>+'Annual Raw'!D120</f>
        <v>0</v>
      </c>
      <c r="D128" s="38">
        <f>+'Annual Raw'!E120</f>
        <v>0</v>
      </c>
      <c r="E128" s="38">
        <f>+'Annual Raw'!F120</f>
        <v>0</v>
      </c>
      <c r="F128" s="38">
        <f>+'Annual Raw'!G120</f>
        <v>0</v>
      </c>
      <c r="G128" s="38">
        <f>+'Annual Raw'!H120</f>
        <v>0</v>
      </c>
      <c r="H128" s="38">
        <f>+'Annual Raw'!I120</f>
        <v>0</v>
      </c>
      <c r="I128" s="38">
        <f>+'Annual Raw'!J120</f>
        <v>0</v>
      </c>
      <c r="J128" s="38">
        <f>+'Annual Raw'!K120</f>
        <v>0</v>
      </c>
      <c r="K128" s="38">
        <f>+'Annual Raw'!L120</f>
        <v>0</v>
      </c>
      <c r="L128" s="38">
        <f>+'Annual Raw'!M120</f>
        <v>0</v>
      </c>
      <c r="M128" s="38">
        <f>+'Annual Raw'!N120</f>
        <v>0</v>
      </c>
      <c r="N128" s="38">
        <f>+'Annual Raw'!O120</f>
        <v>0</v>
      </c>
      <c r="O128" s="38">
        <f>+'Annual Raw'!P120</f>
        <v>0</v>
      </c>
      <c r="P128" s="38">
        <f>+'Annual Raw'!Q120</f>
        <v>0</v>
      </c>
      <c r="Q128" s="38">
        <f>+'Annual Raw'!R120</f>
        <v>0</v>
      </c>
      <c r="R128" s="38">
        <f>+'Annual Raw'!S120</f>
        <v>0</v>
      </c>
      <c r="S128" s="38">
        <f>+'Annual Raw'!T120</f>
        <v>0</v>
      </c>
      <c r="T128" s="38">
        <f>+'Annual Raw'!U120</f>
        <v>0</v>
      </c>
      <c r="U128" s="38">
        <f>+'Annual Raw'!V120</f>
        <v>0</v>
      </c>
      <c r="V128" s="38">
        <f>+'Annual Raw'!W120</f>
        <v>0</v>
      </c>
      <c r="W128" s="38">
        <f>+'Annual Raw'!X120</f>
        <v>0</v>
      </c>
      <c r="X128" s="38">
        <f>+'Annual Raw'!Y120</f>
        <v>0</v>
      </c>
      <c r="Y128" s="38">
        <f>+'Annual Raw'!Z120</f>
        <v>0</v>
      </c>
      <c r="Z128" s="38">
        <f>+'Annual Raw'!AA120</f>
        <v>0</v>
      </c>
      <c r="AA128" s="38">
        <f>+'Annual Raw'!AB120</f>
        <v>0</v>
      </c>
      <c r="AB128" s="39"/>
      <c r="AC128" s="39"/>
      <c r="AD128" s="39"/>
      <c r="AE128" s="39"/>
      <c r="AG128" s="60"/>
      <c r="AH128" s="38">
        <f>+'QTR Raw'!D79</f>
        <v>0</v>
      </c>
      <c r="AI128" s="38">
        <f>+'QTR Raw'!E79</f>
        <v>0</v>
      </c>
      <c r="AJ128" s="38">
        <f>+'QTR Raw'!F79</f>
        <v>0</v>
      </c>
      <c r="AK128" s="38">
        <f>+'QTR Raw'!G79</f>
        <v>0</v>
      </c>
      <c r="AL128" s="38">
        <f>+'QTR Raw'!H79</f>
        <v>0</v>
      </c>
      <c r="AM128" s="38">
        <f>+'QTR Raw'!I79</f>
        <v>0</v>
      </c>
      <c r="AN128" s="38">
        <f>+'QTR Raw'!J79</f>
        <v>0</v>
      </c>
      <c r="AO128" s="38">
        <f>+'QTR Raw'!K79</f>
        <v>0</v>
      </c>
      <c r="AP128" s="38">
        <f>+'QTR Raw'!L79</f>
        <v>0</v>
      </c>
      <c r="AQ128" s="38">
        <f>+'QTR Raw'!M79</f>
        <v>0</v>
      </c>
      <c r="AR128" s="38">
        <f>+'QTR Raw'!N79</f>
        <v>0</v>
      </c>
      <c r="AS128" s="38">
        <f>+'QTR Raw'!O79</f>
        <v>0</v>
      </c>
      <c r="AT128" s="38">
        <f>+'QTR Raw'!P79</f>
        <v>0</v>
      </c>
      <c r="AU128" s="38">
        <f>+'QTR Raw'!Q79</f>
        <v>0</v>
      </c>
      <c r="AV128" s="38">
        <f>+'QTR Raw'!R79</f>
        <v>0</v>
      </c>
      <c r="AW128" s="38">
        <f>+'QTR Raw'!S79</f>
        <v>0</v>
      </c>
      <c r="AX128" s="38">
        <f>+'QTR Raw'!T79</f>
        <v>0</v>
      </c>
      <c r="AY128" s="38">
        <f>+'QTR Raw'!U79</f>
        <v>0</v>
      </c>
      <c r="AZ128" s="38">
        <f>+'QTR Raw'!V79</f>
        <v>0</v>
      </c>
      <c r="BA128" s="38">
        <f>+'QTR Raw'!W79</f>
        <v>0</v>
      </c>
      <c r="BB128" s="38">
        <f>+'QTR Raw'!X79</f>
        <v>0</v>
      </c>
      <c r="BC128" s="38">
        <f>+'QTR Raw'!Y79</f>
        <v>0</v>
      </c>
      <c r="BD128" s="38">
        <f>+'QTR Raw'!Z79</f>
        <v>0</v>
      </c>
      <c r="BE128" s="38">
        <f>+'QTR Raw'!AA79</f>
        <v>0</v>
      </c>
      <c r="BF128" s="38">
        <f>+'QTR Raw'!AB79</f>
        <v>0</v>
      </c>
      <c r="BG128" s="38">
        <f>+'QTR Raw'!AC79</f>
        <v>0</v>
      </c>
      <c r="BH128" s="38">
        <f>+'QTR Raw'!AD79</f>
        <v>0</v>
      </c>
      <c r="BI128" s="38">
        <f>+'QTR Raw'!AE79</f>
        <v>0</v>
      </c>
      <c r="BJ128" s="38">
        <f>+'QTR Raw'!AF79</f>
        <v>0</v>
      </c>
      <c r="BK128" s="38">
        <f>+'QTR Raw'!AG79</f>
        <v>0</v>
      </c>
      <c r="BL128" s="38">
        <f>+'QTR Raw'!AH79</f>
        <v>0</v>
      </c>
      <c r="BM128" s="38">
        <f>+'QTR Raw'!AI79</f>
        <v>0</v>
      </c>
      <c r="BN128" s="38">
        <f>+'QTR Raw'!AJ79</f>
        <v>0</v>
      </c>
      <c r="BO128" s="38">
        <f>+'QTR Raw'!AK79</f>
        <v>0</v>
      </c>
      <c r="BP128" s="38">
        <f>+'QTR Raw'!AL79</f>
        <v>0</v>
      </c>
      <c r="BQ128" s="38">
        <f>+'QTR Raw'!AM79</f>
        <v>0</v>
      </c>
      <c r="BR128" s="38">
        <f>+'QTR Raw'!AN79</f>
        <v>0</v>
      </c>
      <c r="BS128" s="38">
        <f>+'QTR Raw'!AO79</f>
        <v>0</v>
      </c>
      <c r="BT128" s="38">
        <f>+'QTR Raw'!AP79</f>
        <v>0</v>
      </c>
      <c r="BU128" s="38">
        <f>+'QTR Raw'!AQ79</f>
        <v>0</v>
      </c>
      <c r="BV128" s="38">
        <f t="shared" si="1201"/>
        <v>0</v>
      </c>
      <c r="BW128" s="38">
        <f>+'QTR Raw'!AS79</f>
        <v>0</v>
      </c>
      <c r="BX128" s="38">
        <f t="shared" si="1201"/>
        <v>0</v>
      </c>
      <c r="BY128" s="38">
        <f>+'QTR Raw'!AU79</f>
        <v>0</v>
      </c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T128" s="38">
        <v>0</v>
      </c>
    </row>
    <row r="129" spans="1:98" s="38" customFormat="1" x14ac:dyDescent="0.2">
      <c r="A129" s="38" t="s">
        <v>223</v>
      </c>
      <c r="B129" s="38">
        <f>+'Annual Raw'!C121</f>
        <v>0</v>
      </c>
      <c r="C129" s="38">
        <f>+'Annual Raw'!D121</f>
        <v>0</v>
      </c>
      <c r="D129" s="38">
        <f>+'Annual Raw'!E121</f>
        <v>0</v>
      </c>
      <c r="E129" s="38">
        <f>+'Annual Raw'!F121</f>
        <v>0</v>
      </c>
      <c r="F129" s="38">
        <f>+'Annual Raw'!G121</f>
        <v>0</v>
      </c>
      <c r="G129" s="38">
        <f>+'Annual Raw'!H121</f>
        <v>0</v>
      </c>
      <c r="H129" s="38">
        <f>+'Annual Raw'!I121</f>
        <v>0</v>
      </c>
      <c r="I129" s="38">
        <f>+'Annual Raw'!J121</f>
        <v>0</v>
      </c>
      <c r="J129" s="38">
        <f>+'Annual Raw'!K121</f>
        <v>4.804818</v>
      </c>
      <c r="K129" s="38">
        <f>+'Annual Raw'!L121</f>
        <v>3.6663309000000002</v>
      </c>
      <c r="L129" s="38">
        <f>+'Annual Raw'!M121</f>
        <v>7.3593394999999999</v>
      </c>
      <c r="M129" s="38">
        <f>+'Annual Raw'!N121</f>
        <v>4.84</v>
      </c>
      <c r="N129" s="38">
        <f>+'Annual Raw'!O121</f>
        <v>11.95</v>
      </c>
      <c r="O129" s="38">
        <f>+'Annual Raw'!P121</f>
        <v>19.510000000000002</v>
      </c>
      <c r="P129" s="38">
        <f>+'Annual Raw'!Q121</f>
        <v>14.46</v>
      </c>
      <c r="Q129" s="38">
        <f>+'Annual Raw'!R121</f>
        <v>23.5</v>
      </c>
      <c r="R129" s="38">
        <f>+'Annual Raw'!S121</f>
        <v>115.42</v>
      </c>
      <c r="S129" s="38">
        <f>+'Annual Raw'!T121</f>
        <v>126.44</v>
      </c>
      <c r="T129" s="38">
        <f>+'Annual Raw'!U121</f>
        <v>114.42</v>
      </c>
      <c r="U129" s="38">
        <f>+'Annual Raw'!V121</f>
        <v>181.18</v>
      </c>
      <c r="V129" s="38">
        <f>+'Annual Raw'!W121</f>
        <v>117.32</v>
      </c>
      <c r="W129" s="38">
        <f>+'Annual Raw'!X121</f>
        <v>141.82</v>
      </c>
      <c r="X129" s="38">
        <f>+'Annual Raw'!Y121</f>
        <v>65.760000000000005</v>
      </c>
      <c r="Y129" s="38">
        <f>+'Annual Raw'!Z121</f>
        <v>124.61</v>
      </c>
      <c r="Z129" s="38">
        <f>+'Annual Raw'!AA121</f>
        <v>225.17</v>
      </c>
      <c r="AA129" s="38">
        <f>+'Annual Raw'!AB121</f>
        <v>295.95</v>
      </c>
      <c r="AB129" s="39"/>
      <c r="AC129" s="39"/>
      <c r="AD129" s="39"/>
      <c r="AE129" s="39"/>
      <c r="AG129" s="60"/>
      <c r="AH129" s="38">
        <f>+'QTR Raw'!D80</f>
        <v>0</v>
      </c>
      <c r="AI129" s="38">
        <f>+'QTR Raw'!E80</f>
        <v>0</v>
      </c>
      <c r="AJ129" s="38">
        <f>+'QTR Raw'!F80</f>
        <v>0</v>
      </c>
      <c r="AK129" s="38">
        <f>+'QTR Raw'!G80</f>
        <v>0</v>
      </c>
      <c r="AL129" s="38">
        <f>+'QTR Raw'!H80</f>
        <v>0</v>
      </c>
      <c r="AM129" s="38">
        <f>+'QTR Raw'!I80</f>
        <v>0</v>
      </c>
      <c r="AN129" s="38">
        <f>+'QTR Raw'!J80</f>
        <v>0</v>
      </c>
      <c r="AO129" s="38">
        <f>+'QTR Raw'!K80</f>
        <v>0</v>
      </c>
      <c r="AP129" s="38">
        <f>+'QTR Raw'!L80</f>
        <v>0</v>
      </c>
      <c r="AQ129" s="38">
        <f>+'QTR Raw'!M80</f>
        <v>0</v>
      </c>
      <c r="AR129" s="38">
        <f>+'QTR Raw'!N80</f>
        <v>0</v>
      </c>
      <c r="AS129" s="38">
        <f>+'QTR Raw'!O80</f>
        <v>0</v>
      </c>
      <c r="AT129" s="38">
        <f>+'QTR Raw'!P80</f>
        <v>0</v>
      </c>
      <c r="AU129" s="38">
        <f>+'QTR Raw'!Q80</f>
        <v>0</v>
      </c>
      <c r="AV129" s="38">
        <f>+'QTR Raw'!R80</f>
        <v>0</v>
      </c>
      <c r="AW129" s="38">
        <f>+'QTR Raw'!S80</f>
        <v>0</v>
      </c>
      <c r="AX129" s="38">
        <f>+'QTR Raw'!T80</f>
        <v>0</v>
      </c>
      <c r="AY129" s="38">
        <f>+'QTR Raw'!U80</f>
        <v>0</v>
      </c>
      <c r="AZ129" s="38">
        <f>+'QTR Raw'!V80</f>
        <v>0</v>
      </c>
      <c r="BA129" s="38">
        <f>+'QTR Raw'!W80</f>
        <v>0</v>
      </c>
      <c r="BB129" s="38">
        <f>+'QTR Raw'!X80</f>
        <v>0</v>
      </c>
      <c r="BC129" s="38">
        <f>+'QTR Raw'!Y80</f>
        <v>0</v>
      </c>
      <c r="BD129" s="38">
        <f>+'QTR Raw'!Z80</f>
        <v>0</v>
      </c>
      <c r="BE129" s="38">
        <f>+'QTR Raw'!AA80</f>
        <v>0</v>
      </c>
      <c r="BF129" s="38">
        <f>+'QTR Raw'!AB80</f>
        <v>0</v>
      </c>
      <c r="BG129" s="38">
        <f>+'QTR Raw'!AC80</f>
        <v>0</v>
      </c>
      <c r="BH129" s="38">
        <f>+'QTR Raw'!AD80</f>
        <v>0</v>
      </c>
      <c r="BI129" s="38">
        <f>+'QTR Raw'!AE80</f>
        <v>0</v>
      </c>
      <c r="BJ129" s="38">
        <f>+'QTR Raw'!AF80</f>
        <v>0</v>
      </c>
      <c r="BK129" s="38">
        <f>+'QTR Raw'!AG80</f>
        <v>0</v>
      </c>
      <c r="BL129" s="38">
        <f>+'QTR Raw'!AH80</f>
        <v>0</v>
      </c>
      <c r="BM129" s="38">
        <f>+'QTR Raw'!AI80</f>
        <v>0</v>
      </c>
      <c r="BN129" s="38">
        <f>+'QTR Raw'!AJ80</f>
        <v>0</v>
      </c>
      <c r="BO129" s="38">
        <f>+'QTR Raw'!AK80</f>
        <v>0</v>
      </c>
      <c r="BP129" s="38">
        <f>+'QTR Raw'!AL80</f>
        <v>0</v>
      </c>
      <c r="BQ129" s="38">
        <f>+'QTR Raw'!AM80</f>
        <v>0</v>
      </c>
      <c r="BR129" s="38">
        <f>+'QTR Raw'!AN80</f>
        <v>0</v>
      </c>
      <c r="BS129" s="38">
        <f>+'QTR Raw'!AO80</f>
        <v>0</v>
      </c>
      <c r="BT129" s="38">
        <f>+'QTR Raw'!AP80</f>
        <v>0</v>
      </c>
      <c r="BU129" s="38">
        <f>+'QTR Raw'!AQ80</f>
        <v>225.2</v>
      </c>
      <c r="BV129" s="38">
        <f t="shared" si="1201"/>
        <v>225.2</v>
      </c>
      <c r="BW129" s="38">
        <f>+'QTR Raw'!AS80</f>
        <v>252.1</v>
      </c>
      <c r="BX129" s="38">
        <f t="shared" si="1201"/>
        <v>252.1</v>
      </c>
      <c r="BY129" s="38">
        <f>+'QTR Raw'!AU80</f>
        <v>296</v>
      </c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T129" s="38">
        <v>295.95</v>
      </c>
    </row>
    <row r="130" spans="1:98" s="38" customFormat="1" x14ac:dyDescent="0.2">
      <c r="A130" s="38" t="s">
        <v>225</v>
      </c>
      <c r="B130" s="38">
        <f>+'Annual Raw'!C123+'Annual Raw'!C125</f>
        <v>0</v>
      </c>
      <c r="C130" s="38">
        <f>+'Annual Raw'!D123+'Annual Raw'!D125</f>
        <v>0</v>
      </c>
      <c r="D130" s="38">
        <f>+'Annual Raw'!E123+'Annual Raw'!E125</f>
        <v>0</v>
      </c>
      <c r="E130" s="38">
        <f>+'Annual Raw'!F123+'Annual Raw'!F125</f>
        <v>0</v>
      </c>
      <c r="F130" s="38">
        <f>+'Annual Raw'!G123+'Annual Raw'!G125</f>
        <v>0</v>
      </c>
      <c r="G130" s="38">
        <f>+'Annual Raw'!H123+'Annual Raw'!H125</f>
        <v>0</v>
      </c>
      <c r="H130" s="38">
        <f>+'Annual Raw'!I123+'Annual Raw'!I125</f>
        <v>0</v>
      </c>
      <c r="I130" s="38">
        <f>+'Annual Raw'!J123+'Annual Raw'!J125</f>
        <v>0.25334329999999999</v>
      </c>
      <c r="J130" s="38">
        <f>+'Annual Raw'!K123+'Annual Raw'!K125</f>
        <v>1.2602800000000001E-2</v>
      </c>
      <c r="K130" s="38">
        <f>+'Annual Raw'!L123+'Annual Raw'!L125</f>
        <v>0</v>
      </c>
      <c r="L130" s="38">
        <f>+'Annual Raw'!M123+'Annual Raw'!M125</f>
        <v>2.73972E-2</v>
      </c>
      <c r="M130" s="38">
        <f>+'Annual Raw'!N123+'Annual Raw'!N125</f>
        <v>0.86</v>
      </c>
      <c r="N130" s="38">
        <f>+'Annual Raw'!O123+'Annual Raw'!O125</f>
        <v>8.42</v>
      </c>
      <c r="O130" s="38">
        <f>+'Annual Raw'!P123+'Annual Raw'!P125</f>
        <v>21.19</v>
      </c>
      <c r="P130" s="38">
        <f>+'Annual Raw'!Q123+'Annual Raw'!Q125</f>
        <v>7.55</v>
      </c>
      <c r="Q130" s="38">
        <f>+'Annual Raw'!R123+'Annual Raw'!R125</f>
        <v>35.520000000000003</v>
      </c>
      <c r="R130" s="38">
        <f>+'Annual Raw'!S123+'Annual Raw'!S125</f>
        <v>61.03</v>
      </c>
      <c r="S130" s="38">
        <f>+'Annual Raw'!T123+'Annual Raw'!T125</f>
        <v>0</v>
      </c>
      <c r="T130" s="38">
        <f>+'Annual Raw'!U123+'Annual Raw'!U125</f>
        <v>0</v>
      </c>
      <c r="U130" s="38">
        <f>+'Annual Raw'!V123+'Annual Raw'!V125</f>
        <v>124.67</v>
      </c>
      <c r="V130" s="38">
        <f>+'Annual Raw'!W123+'Annual Raw'!W125</f>
        <v>47.39</v>
      </c>
      <c r="W130" s="38">
        <f>+'Annual Raw'!X123+'Annual Raw'!X125</f>
        <v>49</v>
      </c>
      <c r="X130" s="38">
        <f>+'Annual Raw'!Y123+'Annual Raw'!Y125</f>
        <v>219.37</v>
      </c>
      <c r="Y130" s="38">
        <f>+'Annual Raw'!Z123+'Annual Raw'!Z125</f>
        <v>66.39</v>
      </c>
      <c r="Z130" s="38">
        <f>+'Annual Raw'!AA123+'Annual Raw'!AA125</f>
        <v>0</v>
      </c>
      <c r="AA130" s="38">
        <f>+'Annual Raw'!AB123+'Annual Raw'!AB125</f>
        <v>289.45999999999998</v>
      </c>
      <c r="AB130" s="39">
        <f>+CC130</f>
        <v>2302.3000000000002</v>
      </c>
      <c r="AC130" s="39">
        <f>+CG130</f>
        <v>2302.3000000000002</v>
      </c>
      <c r="AD130" s="39">
        <f>+CK130</f>
        <v>2302.3000000000002</v>
      </c>
      <c r="AE130" s="39">
        <f>+CO130</f>
        <v>2302.3000000000002</v>
      </c>
      <c r="AG130" s="60"/>
      <c r="AH130" s="38">
        <f>+'QTR Raw'!D82</f>
        <v>0</v>
      </c>
      <c r="AI130" s="38">
        <f>+'QTR Raw'!E82</f>
        <v>0</v>
      </c>
      <c r="AJ130" s="38">
        <f>+'QTR Raw'!F82</f>
        <v>0</v>
      </c>
      <c r="AK130" s="38">
        <f>+'QTR Raw'!G82</f>
        <v>0</v>
      </c>
      <c r="AL130" s="38">
        <f>+'QTR Raw'!H82</f>
        <v>0</v>
      </c>
      <c r="AM130" s="38">
        <f>+'QTR Raw'!I82</f>
        <v>0</v>
      </c>
      <c r="AN130" s="38">
        <f>+'QTR Raw'!J82</f>
        <v>0</v>
      </c>
      <c r="AO130" s="38">
        <f>+'QTR Raw'!K82</f>
        <v>0</v>
      </c>
      <c r="AP130" s="38">
        <f>+'QTR Raw'!L82</f>
        <v>0</v>
      </c>
      <c r="AQ130" s="38">
        <f>+'QTR Raw'!M82</f>
        <v>0</v>
      </c>
      <c r="AR130" s="38">
        <f>+'QTR Raw'!N82</f>
        <v>0</v>
      </c>
      <c r="AS130" s="38">
        <f>+'QTR Raw'!O82</f>
        <v>0</v>
      </c>
      <c r="AT130" s="38">
        <f>+'QTR Raw'!P82</f>
        <v>0</v>
      </c>
      <c r="AU130" s="38">
        <f>+'QTR Raw'!Q82</f>
        <v>0</v>
      </c>
      <c r="AV130" s="38">
        <f>+'QTR Raw'!R82</f>
        <v>0</v>
      </c>
      <c r="AW130" s="38">
        <f>+'QTR Raw'!S82</f>
        <v>0</v>
      </c>
      <c r="AX130" s="38">
        <f>+'QTR Raw'!T82</f>
        <v>0</v>
      </c>
      <c r="AY130" s="38">
        <f>+'QTR Raw'!U82</f>
        <v>0</v>
      </c>
      <c r="AZ130" s="38">
        <f>+'QTR Raw'!V82</f>
        <v>0</v>
      </c>
      <c r="BA130" s="38">
        <f>+'QTR Raw'!W82</f>
        <v>0</v>
      </c>
      <c r="BB130" s="38">
        <f>+'QTR Raw'!X82</f>
        <v>0</v>
      </c>
      <c r="BC130" s="38">
        <f>+'QTR Raw'!Y82</f>
        <v>0</v>
      </c>
      <c r="BD130" s="38">
        <f>+'QTR Raw'!Z82</f>
        <v>0</v>
      </c>
      <c r="BE130" s="38">
        <f>+'QTR Raw'!AA82</f>
        <v>0</v>
      </c>
      <c r="BF130" s="38">
        <f>+'QTR Raw'!AB82</f>
        <v>0</v>
      </c>
      <c r="BG130" s="38">
        <f>+'QTR Raw'!AC82</f>
        <v>0</v>
      </c>
      <c r="BH130" s="38">
        <f>+'QTR Raw'!AD82</f>
        <v>0</v>
      </c>
      <c r="BI130" s="38">
        <f>+'QTR Raw'!AE82</f>
        <v>0</v>
      </c>
      <c r="BJ130" s="38">
        <f>+'QTR Raw'!AF82</f>
        <v>0</v>
      </c>
      <c r="BK130" s="38">
        <f>+'QTR Raw'!AG82</f>
        <v>0</v>
      </c>
      <c r="BL130" s="38">
        <f>+'QTR Raw'!AH82</f>
        <v>0</v>
      </c>
      <c r="BM130" s="38">
        <f>+'QTR Raw'!AI82</f>
        <v>0</v>
      </c>
      <c r="BN130" s="38">
        <f>+'QTR Raw'!AJ82</f>
        <v>0</v>
      </c>
      <c r="BO130" s="38">
        <f>+'QTR Raw'!AK82</f>
        <v>0</v>
      </c>
      <c r="BP130" s="38">
        <f>+'QTR Raw'!AL82</f>
        <v>0</v>
      </c>
      <c r="BQ130" s="38">
        <f>+'QTR Raw'!AM82</f>
        <v>0</v>
      </c>
      <c r="BR130" s="38">
        <f>+'QTR Raw'!AN82</f>
        <v>0</v>
      </c>
      <c r="BS130" s="38">
        <f>+'QTR Raw'!AO82</f>
        <v>0</v>
      </c>
      <c r="BT130" s="38">
        <f>+'QTR Raw'!AP82</f>
        <v>0</v>
      </c>
      <c r="BU130" s="38">
        <f>+'QTR Raw'!AQ82</f>
        <v>155.69999999999999</v>
      </c>
      <c r="BV130" s="38">
        <f t="shared" si="1201"/>
        <v>155.69999999999999</v>
      </c>
      <c r="BW130" s="38">
        <f>+'QTR Raw'!AS82</f>
        <v>523.5</v>
      </c>
      <c r="BX130" s="38">
        <f t="shared" si="1201"/>
        <v>523.5</v>
      </c>
      <c r="BY130" s="38">
        <f>+'QTR Raw'!AU82</f>
        <v>1392.7</v>
      </c>
      <c r="BZ130" s="39">
        <f t="shared" ref="BZ130:CO130" si="1202">+BY131</f>
        <v>2302.3000000000002</v>
      </c>
      <c r="CA130" s="39">
        <f t="shared" si="1202"/>
        <v>2302.3000000000002</v>
      </c>
      <c r="CB130" s="39">
        <f t="shared" si="1202"/>
        <v>2302.3000000000002</v>
      </c>
      <c r="CC130" s="39">
        <f t="shared" si="1202"/>
        <v>2302.3000000000002</v>
      </c>
      <c r="CD130" s="39">
        <f t="shared" si="1202"/>
        <v>2302.3000000000002</v>
      </c>
      <c r="CE130" s="39">
        <f t="shared" si="1202"/>
        <v>2302.3000000000002</v>
      </c>
      <c r="CF130" s="39">
        <f t="shared" si="1202"/>
        <v>2302.3000000000002</v>
      </c>
      <c r="CG130" s="39">
        <f t="shared" si="1202"/>
        <v>2302.3000000000002</v>
      </c>
      <c r="CH130" s="39">
        <f t="shared" si="1202"/>
        <v>2302.3000000000002</v>
      </c>
      <c r="CI130" s="39">
        <f t="shared" si="1202"/>
        <v>2302.3000000000002</v>
      </c>
      <c r="CJ130" s="39">
        <f t="shared" si="1202"/>
        <v>2302.3000000000002</v>
      </c>
      <c r="CK130" s="39">
        <f t="shared" si="1202"/>
        <v>2302.3000000000002</v>
      </c>
      <c r="CL130" s="39">
        <f t="shared" si="1202"/>
        <v>2302.3000000000002</v>
      </c>
      <c r="CM130" s="39">
        <f t="shared" si="1202"/>
        <v>2302.3000000000002</v>
      </c>
      <c r="CN130" s="39">
        <f t="shared" si="1202"/>
        <v>2302.3000000000002</v>
      </c>
      <c r="CO130" s="39">
        <f t="shared" si="1202"/>
        <v>2302.3000000000002</v>
      </c>
      <c r="CT130" s="38">
        <v>1392.7</v>
      </c>
    </row>
    <row r="131" spans="1:98" s="43" customFormat="1" x14ac:dyDescent="0.2">
      <c r="A131" s="43" t="s">
        <v>244</v>
      </c>
      <c r="B131" s="43">
        <f>+SUM(B127:B130)</f>
        <v>0</v>
      </c>
      <c r="C131" s="43">
        <f t="shared" ref="C131:Z131" si="1203">+SUM(C127:C130)</f>
        <v>0</v>
      </c>
      <c r="D131" s="43">
        <f t="shared" si="1203"/>
        <v>0</v>
      </c>
      <c r="E131" s="43">
        <f t="shared" si="1203"/>
        <v>0</v>
      </c>
      <c r="F131" s="43">
        <f t="shared" si="1203"/>
        <v>0</v>
      </c>
      <c r="G131" s="43">
        <f t="shared" si="1203"/>
        <v>0</v>
      </c>
      <c r="H131" s="43">
        <f t="shared" si="1203"/>
        <v>0</v>
      </c>
      <c r="I131" s="43">
        <f t="shared" si="1203"/>
        <v>0.25334329999999999</v>
      </c>
      <c r="J131" s="43">
        <f t="shared" si="1203"/>
        <v>4.8174207999999998</v>
      </c>
      <c r="K131" s="43">
        <f t="shared" si="1203"/>
        <v>3.6663309000000002</v>
      </c>
      <c r="L131" s="43">
        <f t="shared" si="1203"/>
        <v>7.3867367000000002</v>
      </c>
      <c r="M131" s="43">
        <f t="shared" si="1203"/>
        <v>5.7</v>
      </c>
      <c r="N131" s="43">
        <f t="shared" si="1203"/>
        <v>20.369999999999997</v>
      </c>
      <c r="O131" s="43">
        <f t="shared" si="1203"/>
        <v>40.700000000000003</v>
      </c>
      <c r="P131" s="43">
        <f t="shared" si="1203"/>
        <v>22.01</v>
      </c>
      <c r="Q131" s="43">
        <f t="shared" si="1203"/>
        <v>59.02</v>
      </c>
      <c r="R131" s="43">
        <f t="shared" si="1203"/>
        <v>176.45</v>
      </c>
      <c r="S131" s="43">
        <f t="shared" si="1203"/>
        <v>126.44</v>
      </c>
      <c r="T131" s="43">
        <f t="shared" si="1203"/>
        <v>157.71</v>
      </c>
      <c r="U131" s="43">
        <f t="shared" si="1203"/>
        <v>321.72000000000003</v>
      </c>
      <c r="V131" s="43">
        <f t="shared" si="1203"/>
        <v>178.05</v>
      </c>
      <c r="W131" s="43">
        <f t="shared" si="1203"/>
        <v>357.91999999999996</v>
      </c>
      <c r="X131" s="43">
        <f t="shared" si="1203"/>
        <v>288.32</v>
      </c>
      <c r="Y131" s="43">
        <f t="shared" si="1203"/>
        <v>470.69</v>
      </c>
      <c r="Z131" s="43">
        <f t="shared" si="1203"/>
        <v>380.34</v>
      </c>
      <c r="AA131" s="43">
        <f t="shared" ref="AA131" si="1204">+SUM(AA127:AA130)</f>
        <v>1986.26</v>
      </c>
      <c r="AB131" s="44">
        <f t="shared" ref="AB131" si="1205">+SUM(AB127:AB130)</f>
        <v>2302.3000000000002</v>
      </c>
      <c r="AC131" s="44">
        <f t="shared" ref="AC131" si="1206">+SUM(AC127:AC130)</f>
        <v>2302.3000000000002</v>
      </c>
      <c r="AD131" s="44">
        <f t="shared" ref="AD131" si="1207">+SUM(AD127:AD130)</f>
        <v>2302.3000000000002</v>
      </c>
      <c r="AE131" s="44">
        <f t="shared" ref="AE131" si="1208">+SUM(AE127:AE130)</f>
        <v>2302.3000000000002</v>
      </c>
      <c r="AG131" s="62"/>
      <c r="AH131" s="43">
        <f t="shared" ref="AH131" si="1209">+SUM(AH127:AH130)</f>
        <v>0</v>
      </c>
      <c r="AI131" s="43">
        <f t="shared" ref="AI131" si="1210">+SUM(AI127:AI130)</f>
        <v>0</v>
      </c>
      <c r="AJ131" s="43">
        <f t="shared" ref="AJ131" si="1211">+SUM(AJ127:AJ130)</f>
        <v>0</v>
      </c>
      <c r="AK131" s="43">
        <f t="shared" ref="AK131" si="1212">+SUM(AK127:AK130)</f>
        <v>0</v>
      </c>
      <c r="AL131" s="43">
        <f t="shared" ref="AL131" si="1213">+SUM(AL127:AL130)</f>
        <v>0</v>
      </c>
      <c r="AM131" s="43">
        <f t="shared" ref="AM131" si="1214">+SUM(AM127:AM130)</f>
        <v>0</v>
      </c>
      <c r="AN131" s="43">
        <f t="shared" ref="AN131" si="1215">+SUM(AN127:AN130)</f>
        <v>0</v>
      </c>
      <c r="AO131" s="43">
        <f t="shared" ref="AO131" si="1216">+SUM(AO127:AO130)</f>
        <v>0</v>
      </c>
      <c r="AP131" s="43">
        <f t="shared" ref="AP131" si="1217">+SUM(AP127:AP130)</f>
        <v>0</v>
      </c>
      <c r="AQ131" s="43">
        <f t="shared" ref="AQ131" si="1218">+SUM(AQ127:AQ130)</f>
        <v>0</v>
      </c>
      <c r="AR131" s="43">
        <f t="shared" ref="AR131" si="1219">+SUM(AR127:AR130)</f>
        <v>0</v>
      </c>
      <c r="AS131" s="43">
        <f t="shared" ref="AS131" si="1220">+SUM(AS127:AS130)</f>
        <v>0</v>
      </c>
      <c r="AT131" s="43">
        <f t="shared" ref="AT131" si="1221">+SUM(AT127:AT130)</f>
        <v>0</v>
      </c>
      <c r="AU131" s="43">
        <f t="shared" ref="AU131" si="1222">+SUM(AU127:AU130)</f>
        <v>0</v>
      </c>
      <c r="AV131" s="43">
        <f t="shared" ref="AV131:BU131" si="1223">+SUM(AV127:AV130)</f>
        <v>0</v>
      </c>
      <c r="AW131" s="43">
        <f t="shared" si="1223"/>
        <v>0</v>
      </c>
      <c r="AX131" s="43">
        <f t="shared" si="1223"/>
        <v>0</v>
      </c>
      <c r="AY131" s="43">
        <f t="shared" si="1223"/>
        <v>0</v>
      </c>
      <c r="AZ131" s="43">
        <f t="shared" si="1223"/>
        <v>0</v>
      </c>
      <c r="BA131" s="43">
        <f t="shared" si="1223"/>
        <v>0</v>
      </c>
      <c r="BB131" s="43">
        <f t="shared" si="1223"/>
        <v>0</v>
      </c>
      <c r="BC131" s="43">
        <f t="shared" si="1223"/>
        <v>0</v>
      </c>
      <c r="BD131" s="43">
        <f t="shared" si="1223"/>
        <v>0</v>
      </c>
      <c r="BE131" s="43">
        <f t="shared" si="1223"/>
        <v>0</v>
      </c>
      <c r="BF131" s="43">
        <f t="shared" si="1223"/>
        <v>0</v>
      </c>
      <c r="BG131" s="43">
        <f t="shared" si="1223"/>
        <v>0</v>
      </c>
      <c r="BH131" s="43">
        <f t="shared" si="1223"/>
        <v>0</v>
      </c>
      <c r="BI131" s="43">
        <f t="shared" si="1223"/>
        <v>0</v>
      </c>
      <c r="BJ131" s="43">
        <f t="shared" si="1223"/>
        <v>0</v>
      </c>
      <c r="BK131" s="43">
        <f t="shared" si="1223"/>
        <v>0</v>
      </c>
      <c r="BL131" s="43">
        <f t="shared" si="1223"/>
        <v>0</v>
      </c>
      <c r="BM131" s="43">
        <f t="shared" si="1223"/>
        <v>0</v>
      </c>
      <c r="BN131" s="43">
        <f t="shared" si="1223"/>
        <v>0</v>
      </c>
      <c r="BO131" s="43">
        <f t="shared" si="1223"/>
        <v>0</v>
      </c>
      <c r="BP131" s="43">
        <f t="shared" si="1223"/>
        <v>0</v>
      </c>
      <c r="BQ131" s="43">
        <f t="shared" si="1223"/>
        <v>0</v>
      </c>
      <c r="BR131" s="43">
        <f t="shared" si="1223"/>
        <v>0</v>
      </c>
      <c r="BS131" s="43">
        <f t="shared" si="1223"/>
        <v>0</v>
      </c>
      <c r="BT131" s="43">
        <f t="shared" si="1223"/>
        <v>0</v>
      </c>
      <c r="BU131" s="43">
        <f t="shared" si="1223"/>
        <v>1117.3</v>
      </c>
      <c r="BV131" s="43">
        <f t="shared" ref="BV131:BX131" si="1224">+SUM(BV127:BV130)</f>
        <v>1117.3</v>
      </c>
      <c r="BW131" s="43">
        <f t="shared" ref="BW131:BY131" si="1225">+SUM(BW127:BW130)</f>
        <v>1408.2</v>
      </c>
      <c r="BX131" s="43">
        <f t="shared" si="1224"/>
        <v>1408.2</v>
      </c>
      <c r="BY131" s="43">
        <f t="shared" si="1225"/>
        <v>2302.3000000000002</v>
      </c>
      <c r="BZ131" s="44">
        <f t="shared" ref="BZ131" si="1226">+SUM(BZ127:BZ130)</f>
        <v>2302.3000000000002</v>
      </c>
      <c r="CA131" s="44">
        <f t="shared" ref="CA131" si="1227">+SUM(CA127:CA130)</f>
        <v>2302.3000000000002</v>
      </c>
      <c r="CB131" s="44">
        <f t="shared" ref="CB131" si="1228">+SUM(CB127:CB130)</f>
        <v>2302.3000000000002</v>
      </c>
      <c r="CC131" s="44">
        <f t="shared" ref="CC131" si="1229">+SUM(CC127:CC130)</f>
        <v>2302.3000000000002</v>
      </c>
      <c r="CD131" s="44">
        <f t="shared" ref="CD131" si="1230">+SUM(CD127:CD130)</f>
        <v>2302.3000000000002</v>
      </c>
      <c r="CE131" s="44">
        <f t="shared" ref="CE131" si="1231">+SUM(CE127:CE130)</f>
        <v>2302.3000000000002</v>
      </c>
      <c r="CF131" s="44">
        <f t="shared" ref="CF131" si="1232">+SUM(CF127:CF130)</f>
        <v>2302.3000000000002</v>
      </c>
      <c r="CG131" s="44">
        <f t="shared" ref="CG131" si="1233">+SUM(CG127:CG130)</f>
        <v>2302.3000000000002</v>
      </c>
      <c r="CH131" s="44">
        <f t="shared" ref="CH131" si="1234">+SUM(CH127:CH130)</f>
        <v>2302.3000000000002</v>
      </c>
      <c r="CI131" s="44">
        <f t="shared" ref="CI131" si="1235">+SUM(CI127:CI130)</f>
        <v>2302.3000000000002</v>
      </c>
      <c r="CJ131" s="44">
        <f t="shared" ref="CJ131" si="1236">+SUM(CJ127:CJ130)</f>
        <v>2302.3000000000002</v>
      </c>
      <c r="CK131" s="44">
        <f t="shared" ref="CK131" si="1237">+SUM(CK127:CK130)</f>
        <v>2302.3000000000002</v>
      </c>
      <c r="CL131" s="44">
        <f t="shared" ref="CL131" si="1238">+SUM(CL127:CL130)</f>
        <v>2302.3000000000002</v>
      </c>
      <c r="CM131" s="44">
        <f t="shared" ref="CM131" si="1239">+SUM(CM127:CM130)</f>
        <v>2302.3000000000002</v>
      </c>
      <c r="CN131" s="44">
        <f t="shared" ref="CN131" si="1240">+SUM(CN127:CN130)</f>
        <v>2302.3000000000002</v>
      </c>
      <c r="CO131" s="44">
        <f t="shared" ref="CO131" si="1241">+SUM(CO127:CO130)</f>
        <v>2302.3000000000002</v>
      </c>
      <c r="CT131" s="43">
        <v>1392.7</v>
      </c>
    </row>
    <row r="132" spans="1:98" s="38" customFormat="1" x14ac:dyDescent="0.2">
      <c r="A132" s="38" t="s">
        <v>209</v>
      </c>
      <c r="B132" s="38">
        <f>+'Annual Raw'!C89</f>
        <v>0</v>
      </c>
      <c r="C132" s="38">
        <f>+'Annual Raw'!D89</f>
        <v>0</v>
      </c>
      <c r="D132" s="38">
        <f>+'Annual Raw'!E89</f>
        <v>0</v>
      </c>
      <c r="E132" s="38">
        <f>+'Annual Raw'!F89</f>
        <v>0</v>
      </c>
      <c r="F132" s="38">
        <f>+'Annual Raw'!G89</f>
        <v>0</v>
      </c>
      <c r="G132" s="38">
        <f>+'Annual Raw'!H89</f>
        <v>0</v>
      </c>
      <c r="H132" s="38">
        <f>+'Annual Raw'!I89</f>
        <v>0</v>
      </c>
      <c r="I132" s="38">
        <f>+'Annual Raw'!J89</f>
        <v>0</v>
      </c>
      <c r="J132" s="38">
        <f>+'Annual Raw'!K89</f>
        <v>0</v>
      </c>
      <c r="K132" s="38">
        <f>+'Annual Raw'!L89</f>
        <v>0</v>
      </c>
      <c r="L132" s="38">
        <f>+'Annual Raw'!M89</f>
        <v>10.8233836</v>
      </c>
      <c r="M132" s="38">
        <f>+'Annual Raw'!N89</f>
        <v>13.06</v>
      </c>
      <c r="N132" s="38">
        <f>+'Annual Raw'!O89</f>
        <v>42.24</v>
      </c>
      <c r="O132" s="38">
        <f>+'Annual Raw'!P89</f>
        <v>65.7</v>
      </c>
      <c r="P132" s="38">
        <f>+'Annual Raw'!Q89</f>
        <v>104.56</v>
      </c>
      <c r="Q132" s="38">
        <f>+'Annual Raw'!R89</f>
        <v>113.35</v>
      </c>
      <c r="R132" s="38">
        <f>+'Annual Raw'!S89</f>
        <v>159.74</v>
      </c>
      <c r="S132" s="38">
        <f>+'Annual Raw'!T89</f>
        <v>145.72</v>
      </c>
      <c r="T132" s="38">
        <f>+'Annual Raw'!U89</f>
        <v>335.85</v>
      </c>
      <c r="U132" s="38">
        <f>+'Annual Raw'!V89</f>
        <v>283.54000000000002</v>
      </c>
      <c r="V132" s="38">
        <f>+'Annual Raw'!W89</f>
        <v>553.08000000000004</v>
      </c>
      <c r="W132" s="38">
        <f>+'Annual Raw'!X89</f>
        <v>364.25</v>
      </c>
      <c r="X132" s="38">
        <f>+'Annual Raw'!Y89</f>
        <v>467.57</v>
      </c>
      <c r="Y132" s="38">
        <f>+'Annual Raw'!Z89</f>
        <v>553.46</v>
      </c>
      <c r="Z132" s="38">
        <f>+'Annual Raw'!AA89</f>
        <v>583.13</v>
      </c>
      <c r="AA132" s="38">
        <f>+'Annual Raw'!AB89</f>
        <v>1465.11</v>
      </c>
      <c r="AB132" s="39"/>
      <c r="AC132" s="39"/>
      <c r="AD132" s="39"/>
      <c r="AE132" s="39"/>
      <c r="AG132" s="60"/>
      <c r="AH132" s="38">
        <f>+'QTR Raw'!D62</f>
        <v>0</v>
      </c>
      <c r="AI132" s="38">
        <f>+'QTR Raw'!E62</f>
        <v>0</v>
      </c>
      <c r="AJ132" s="38">
        <f>+'QTR Raw'!F62</f>
        <v>0</v>
      </c>
      <c r="AK132" s="38">
        <f>+'QTR Raw'!G62</f>
        <v>0</v>
      </c>
      <c r="AL132" s="38">
        <f>+'QTR Raw'!H62</f>
        <v>0</v>
      </c>
      <c r="AM132" s="38">
        <f>+'QTR Raw'!I62</f>
        <v>0</v>
      </c>
      <c r="AN132" s="38">
        <f>+'QTR Raw'!J62</f>
        <v>0</v>
      </c>
      <c r="AO132" s="38">
        <f>+'QTR Raw'!K62</f>
        <v>0</v>
      </c>
      <c r="AP132" s="38">
        <f>+'QTR Raw'!L62</f>
        <v>0</v>
      </c>
      <c r="AQ132" s="38">
        <f>+'QTR Raw'!M62</f>
        <v>0</v>
      </c>
      <c r="AR132" s="38">
        <f>+'QTR Raw'!N62</f>
        <v>0</v>
      </c>
      <c r="AS132" s="38">
        <f>+'QTR Raw'!O62</f>
        <v>0</v>
      </c>
      <c r="AT132" s="38">
        <f>+'QTR Raw'!P62</f>
        <v>0</v>
      </c>
      <c r="AU132" s="38">
        <f>+'QTR Raw'!Q62</f>
        <v>0</v>
      </c>
      <c r="AV132" s="38">
        <f>+'QTR Raw'!R62</f>
        <v>0</v>
      </c>
      <c r="AW132" s="38">
        <f>+'QTR Raw'!S62</f>
        <v>0</v>
      </c>
      <c r="AX132" s="38">
        <f>+'QTR Raw'!T62</f>
        <v>0</v>
      </c>
      <c r="AY132" s="38">
        <f>+'QTR Raw'!U62</f>
        <v>0</v>
      </c>
      <c r="AZ132" s="38">
        <f>+'QTR Raw'!V62</f>
        <v>0</v>
      </c>
      <c r="BA132" s="38">
        <f>+'QTR Raw'!W62</f>
        <v>0</v>
      </c>
      <c r="BB132" s="38">
        <f>+'QTR Raw'!X62</f>
        <v>0</v>
      </c>
      <c r="BC132" s="38">
        <f>+'QTR Raw'!Y62</f>
        <v>0</v>
      </c>
      <c r="BD132" s="38">
        <f>+'QTR Raw'!Z62</f>
        <v>0</v>
      </c>
      <c r="BE132" s="38">
        <f>+'QTR Raw'!AA62</f>
        <v>0</v>
      </c>
      <c r="BF132" s="38">
        <f>+'QTR Raw'!AB62</f>
        <v>0</v>
      </c>
      <c r="BG132" s="38">
        <f>+'QTR Raw'!AC62</f>
        <v>0</v>
      </c>
      <c r="BH132" s="38">
        <f>+'QTR Raw'!AD62</f>
        <v>0</v>
      </c>
      <c r="BI132" s="38">
        <f>+'QTR Raw'!AE62</f>
        <v>0</v>
      </c>
      <c r="BJ132" s="38">
        <f>+'QTR Raw'!AF62</f>
        <v>0</v>
      </c>
      <c r="BK132" s="38">
        <f>+'QTR Raw'!AG62</f>
        <v>0</v>
      </c>
      <c r="BL132" s="38">
        <f>+'QTR Raw'!AH62</f>
        <v>0</v>
      </c>
      <c r="BM132" s="38">
        <f>+'QTR Raw'!AI62</f>
        <v>0</v>
      </c>
      <c r="BN132" s="38">
        <f>+'QTR Raw'!AJ62</f>
        <v>0</v>
      </c>
      <c r="BO132" s="38">
        <f>+'QTR Raw'!AK62</f>
        <v>0</v>
      </c>
      <c r="BP132" s="38">
        <f>+'QTR Raw'!AL62</f>
        <v>0</v>
      </c>
      <c r="BQ132" s="38">
        <f>+'QTR Raw'!AM62</f>
        <v>0</v>
      </c>
      <c r="BR132" s="38">
        <f>+'QTR Raw'!AN62</f>
        <v>0</v>
      </c>
      <c r="BS132" s="38">
        <f>+'QTR Raw'!AO62</f>
        <v>0</v>
      </c>
      <c r="BT132" s="38">
        <f>+'QTR Raw'!AP62</f>
        <v>0</v>
      </c>
      <c r="BU132" s="38">
        <f>+'QTR Raw'!AQ62</f>
        <v>146.5</v>
      </c>
      <c r="BV132" s="38">
        <f>BU132</f>
        <v>146.5</v>
      </c>
      <c r="BW132" s="38">
        <f>+'QTR Raw'!AS62</f>
        <v>562.9</v>
      </c>
      <c r="BX132" s="38">
        <f>BW132</f>
        <v>562.9</v>
      </c>
      <c r="BY132" s="38">
        <f>+'QTR Raw'!AU62</f>
        <v>175.5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T132" s="38">
        <v>1465.11</v>
      </c>
    </row>
    <row r="133" spans="1:98" s="38" customFormat="1" x14ac:dyDescent="0.2">
      <c r="A133" s="38" t="s">
        <v>245</v>
      </c>
      <c r="B133" s="38">
        <f>+'Annual Raw'!C90</f>
        <v>0</v>
      </c>
      <c r="C133" s="38">
        <f>+'Annual Raw'!D90</f>
        <v>0</v>
      </c>
      <c r="D133" s="38">
        <f>+'Annual Raw'!E90</f>
        <v>0</v>
      </c>
      <c r="E133" s="38">
        <f>+'Annual Raw'!F90</f>
        <v>0</v>
      </c>
      <c r="F133" s="38">
        <f>+'Annual Raw'!G90</f>
        <v>0</v>
      </c>
      <c r="G133" s="38">
        <f>+'Annual Raw'!H90</f>
        <v>0</v>
      </c>
      <c r="H133" s="38">
        <f>+'Annual Raw'!I90</f>
        <v>0</v>
      </c>
      <c r="I133" s="38">
        <f>+'Annual Raw'!J90</f>
        <v>0</v>
      </c>
      <c r="J133" s="38">
        <f>+'Annual Raw'!K90</f>
        <v>0</v>
      </c>
      <c r="K133" s="38">
        <f>+'Annual Raw'!L90</f>
        <v>0</v>
      </c>
      <c r="L133" s="38">
        <f>+'Annual Raw'!M90</f>
        <v>0</v>
      </c>
      <c r="M133" s="38">
        <f>+'Annual Raw'!N90</f>
        <v>0</v>
      </c>
      <c r="N133" s="38">
        <f>+'Annual Raw'!O90</f>
        <v>0</v>
      </c>
      <c r="O133" s="38">
        <f>+'Annual Raw'!P90</f>
        <v>0</v>
      </c>
      <c r="P133" s="38">
        <f>+'Annual Raw'!Q90</f>
        <v>0</v>
      </c>
      <c r="Q133" s="38">
        <f>+'Annual Raw'!R90</f>
        <v>0</v>
      </c>
      <c r="R133" s="38">
        <f>+'Annual Raw'!S90</f>
        <v>0</v>
      </c>
      <c r="S133" s="38">
        <f>+'Annual Raw'!T90</f>
        <v>0</v>
      </c>
      <c r="T133" s="38">
        <f>+'Annual Raw'!U90</f>
        <v>0</v>
      </c>
      <c r="U133" s="38">
        <f>+'Annual Raw'!V90</f>
        <v>0</v>
      </c>
      <c r="V133" s="38">
        <f>+'Annual Raw'!W90</f>
        <v>0</v>
      </c>
      <c r="W133" s="38">
        <f>+'Annual Raw'!X90</f>
        <v>0</v>
      </c>
      <c r="X133" s="38">
        <f>+'Annual Raw'!Y90</f>
        <v>0</v>
      </c>
      <c r="Y133" s="38">
        <f>+'Annual Raw'!Z90</f>
        <v>105.73</v>
      </c>
      <c r="Z133" s="38">
        <f>+'Annual Raw'!AA90</f>
        <v>13.84</v>
      </c>
      <c r="AA133" s="38">
        <f>+'Annual Raw'!AB90</f>
        <v>0</v>
      </c>
      <c r="AB133" s="39"/>
      <c r="AC133" s="39"/>
      <c r="AD133" s="39"/>
      <c r="AE133" s="39"/>
      <c r="AG133" s="60"/>
      <c r="AH133" s="38">
        <f>+'QTR Raw'!D63</f>
        <v>0</v>
      </c>
      <c r="AI133" s="38">
        <f>+'QTR Raw'!E63</f>
        <v>0</v>
      </c>
      <c r="AJ133" s="38">
        <f>+'QTR Raw'!F63</f>
        <v>0</v>
      </c>
      <c r="AK133" s="38">
        <f>+'QTR Raw'!G63</f>
        <v>0</v>
      </c>
      <c r="AL133" s="38">
        <f>+'QTR Raw'!H63</f>
        <v>0</v>
      </c>
      <c r="AM133" s="38">
        <f>+'QTR Raw'!I63</f>
        <v>0</v>
      </c>
      <c r="AN133" s="38">
        <f>+'QTR Raw'!J63</f>
        <v>0</v>
      </c>
      <c r="AO133" s="38">
        <f>+'QTR Raw'!K63</f>
        <v>0</v>
      </c>
      <c r="AP133" s="38">
        <f>+'QTR Raw'!L63</f>
        <v>0</v>
      </c>
      <c r="AQ133" s="38">
        <f>+'QTR Raw'!M63</f>
        <v>0</v>
      </c>
      <c r="AR133" s="38">
        <f>+'QTR Raw'!N63</f>
        <v>0</v>
      </c>
      <c r="AS133" s="38">
        <f>+'QTR Raw'!O63</f>
        <v>0</v>
      </c>
      <c r="AT133" s="38">
        <f>+'QTR Raw'!P63</f>
        <v>0</v>
      </c>
      <c r="AU133" s="38">
        <f>+'QTR Raw'!Q63</f>
        <v>0</v>
      </c>
      <c r="AV133" s="38">
        <f>+'QTR Raw'!R63</f>
        <v>0</v>
      </c>
      <c r="AW133" s="38">
        <f>+'QTR Raw'!S63</f>
        <v>0</v>
      </c>
      <c r="AX133" s="38">
        <f>+'QTR Raw'!T63</f>
        <v>0</v>
      </c>
      <c r="AY133" s="38">
        <f>+'QTR Raw'!U63</f>
        <v>0</v>
      </c>
      <c r="AZ133" s="38">
        <f>+'QTR Raw'!V63</f>
        <v>0</v>
      </c>
      <c r="BA133" s="38">
        <f>+'QTR Raw'!W63</f>
        <v>0</v>
      </c>
      <c r="BB133" s="38">
        <f>+'QTR Raw'!X63</f>
        <v>0</v>
      </c>
      <c r="BC133" s="38">
        <f>+'QTR Raw'!Y63</f>
        <v>0</v>
      </c>
      <c r="BD133" s="38">
        <f>+'QTR Raw'!Z63</f>
        <v>0</v>
      </c>
      <c r="BE133" s="38">
        <f>+'QTR Raw'!AA63</f>
        <v>0</v>
      </c>
      <c r="BF133" s="38">
        <f>+'QTR Raw'!AB63</f>
        <v>0</v>
      </c>
      <c r="BG133" s="38">
        <f>+'QTR Raw'!AC63</f>
        <v>0</v>
      </c>
      <c r="BH133" s="38">
        <f>+'QTR Raw'!AD63</f>
        <v>0</v>
      </c>
      <c r="BI133" s="38">
        <f>+'QTR Raw'!AE63</f>
        <v>0</v>
      </c>
      <c r="BJ133" s="38">
        <f>+'QTR Raw'!AF63</f>
        <v>0</v>
      </c>
      <c r="BK133" s="38">
        <f>+'QTR Raw'!AG63</f>
        <v>0</v>
      </c>
      <c r="BL133" s="38">
        <f>+'QTR Raw'!AH63</f>
        <v>0</v>
      </c>
      <c r="BM133" s="38">
        <f>+'QTR Raw'!AI63</f>
        <v>0</v>
      </c>
      <c r="BN133" s="38">
        <f>+'QTR Raw'!AJ63</f>
        <v>0</v>
      </c>
      <c r="BO133" s="38">
        <f>+'QTR Raw'!AK63</f>
        <v>0</v>
      </c>
      <c r="BP133" s="38">
        <f>+'QTR Raw'!AL63</f>
        <v>0</v>
      </c>
      <c r="BQ133" s="38">
        <f>+'QTR Raw'!AM63</f>
        <v>0</v>
      </c>
      <c r="BR133" s="38">
        <f>+'QTR Raw'!AN63</f>
        <v>0</v>
      </c>
      <c r="BS133" s="38">
        <f>+'QTR Raw'!AO63</f>
        <v>0</v>
      </c>
      <c r="BT133" s="38">
        <f>+'QTR Raw'!AP63</f>
        <v>0</v>
      </c>
      <c r="BU133" s="38">
        <f>+'QTR Raw'!AQ63</f>
        <v>0</v>
      </c>
      <c r="BW133" s="38">
        <f>+'QTR Raw'!AS63</f>
        <v>0</v>
      </c>
      <c r="BY133" s="38">
        <f>+'QTR Raw'!AU63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T133" s="38">
        <v>0</v>
      </c>
    </row>
    <row r="134" spans="1:98" s="38" customFormat="1" x14ac:dyDescent="0.2">
      <c r="A134" s="38" t="s">
        <v>246</v>
      </c>
      <c r="B134" s="38">
        <f>+'Annual Raw'!C91</f>
        <v>0</v>
      </c>
      <c r="C134" s="38">
        <f>+'Annual Raw'!D91</f>
        <v>0</v>
      </c>
      <c r="D134" s="38">
        <f>+'Annual Raw'!E91</f>
        <v>0</v>
      </c>
      <c r="E134" s="38">
        <f>+'Annual Raw'!F91</f>
        <v>0</v>
      </c>
      <c r="F134" s="38">
        <f>+'Annual Raw'!G91</f>
        <v>0</v>
      </c>
      <c r="G134" s="38">
        <f>+'Annual Raw'!H91</f>
        <v>0</v>
      </c>
      <c r="H134" s="38">
        <f>+'Annual Raw'!I91</f>
        <v>0</v>
      </c>
      <c r="I134" s="38">
        <f>+'Annual Raw'!J91</f>
        <v>0</v>
      </c>
      <c r="J134" s="38">
        <f>+'Annual Raw'!K91</f>
        <v>0</v>
      </c>
      <c r="K134" s="38">
        <f>+'Annual Raw'!L91</f>
        <v>0</v>
      </c>
      <c r="L134" s="38">
        <f>+'Annual Raw'!M91</f>
        <v>5.8421586000000003</v>
      </c>
      <c r="M134" s="38">
        <f>+'Annual Raw'!N91</f>
        <v>32.35</v>
      </c>
      <c r="N134" s="38">
        <f>+'Annual Raw'!O91</f>
        <v>59.94</v>
      </c>
      <c r="O134" s="38">
        <f>+'Annual Raw'!P91</f>
        <v>91.68</v>
      </c>
      <c r="P134" s="38">
        <f>+'Annual Raw'!Q91</f>
        <v>128.30000000000001</v>
      </c>
      <c r="Q134" s="38">
        <f>+'Annual Raw'!R91</f>
        <v>487.28</v>
      </c>
      <c r="R134" s="38">
        <f>+'Annual Raw'!S91</f>
        <v>601.77</v>
      </c>
      <c r="S134" s="38">
        <f>+'Annual Raw'!T91</f>
        <v>726.9</v>
      </c>
      <c r="T134" s="38">
        <f>+'Annual Raw'!U91</f>
        <v>30.14</v>
      </c>
      <c r="U134" s="38">
        <f>+'Annual Raw'!V91</f>
        <v>127.37</v>
      </c>
      <c r="V134" s="38">
        <f>+'Annual Raw'!W91</f>
        <v>37.61</v>
      </c>
      <c r="W134" s="38">
        <f>+'Annual Raw'!X91</f>
        <v>50.14</v>
      </c>
      <c r="X134" s="38">
        <f>+'Annual Raw'!Y91</f>
        <v>54.62</v>
      </c>
      <c r="Y134" s="38">
        <f>+'Annual Raw'!Z91</f>
        <v>74.42</v>
      </c>
      <c r="Z134" s="38">
        <f>+'Annual Raw'!AA91</f>
        <v>46.53</v>
      </c>
      <c r="AA134" s="38">
        <f>+'Annual Raw'!AB91</f>
        <v>84.39</v>
      </c>
      <c r="AB134" s="39"/>
      <c r="AC134" s="39"/>
      <c r="AD134" s="39"/>
      <c r="AE134" s="39"/>
      <c r="AG134" s="60"/>
      <c r="AH134" s="38">
        <f>+'QTR Raw'!D64</f>
        <v>0</v>
      </c>
      <c r="AI134" s="38">
        <f>+'QTR Raw'!E64</f>
        <v>0</v>
      </c>
      <c r="AJ134" s="38">
        <f>+'QTR Raw'!F64</f>
        <v>0</v>
      </c>
      <c r="AK134" s="38">
        <f>+'QTR Raw'!G64</f>
        <v>0</v>
      </c>
      <c r="AL134" s="38">
        <f>+'QTR Raw'!H64</f>
        <v>0</v>
      </c>
      <c r="AM134" s="38">
        <f>+'QTR Raw'!I64</f>
        <v>0</v>
      </c>
      <c r="AN134" s="38">
        <f>+'QTR Raw'!J64</f>
        <v>0</v>
      </c>
      <c r="AO134" s="38">
        <f>+'QTR Raw'!K64</f>
        <v>0</v>
      </c>
      <c r="AP134" s="38">
        <f>+'QTR Raw'!L64</f>
        <v>0</v>
      </c>
      <c r="AQ134" s="38">
        <f>+'QTR Raw'!M64</f>
        <v>0</v>
      </c>
      <c r="AR134" s="38">
        <f>+'QTR Raw'!N64</f>
        <v>0</v>
      </c>
      <c r="AS134" s="38">
        <f>+'QTR Raw'!O64</f>
        <v>0</v>
      </c>
      <c r="AT134" s="38">
        <f>+'QTR Raw'!P64</f>
        <v>0</v>
      </c>
      <c r="AU134" s="38">
        <f>+'QTR Raw'!Q64</f>
        <v>0</v>
      </c>
      <c r="AV134" s="38">
        <f>+'QTR Raw'!R64</f>
        <v>0</v>
      </c>
      <c r="AW134" s="38">
        <f>+'QTR Raw'!S64</f>
        <v>0</v>
      </c>
      <c r="AX134" s="38">
        <f>+'QTR Raw'!T64</f>
        <v>0</v>
      </c>
      <c r="AY134" s="38">
        <f>+'QTR Raw'!U64</f>
        <v>0</v>
      </c>
      <c r="AZ134" s="38">
        <f>+'QTR Raw'!V64</f>
        <v>0</v>
      </c>
      <c r="BA134" s="38">
        <f>+'QTR Raw'!W64</f>
        <v>0</v>
      </c>
      <c r="BB134" s="38">
        <f>+'QTR Raw'!X64</f>
        <v>0</v>
      </c>
      <c r="BC134" s="38">
        <f>+'QTR Raw'!Y64</f>
        <v>0</v>
      </c>
      <c r="BD134" s="38">
        <f>+'QTR Raw'!Z64</f>
        <v>0</v>
      </c>
      <c r="BE134" s="38">
        <f>+'QTR Raw'!AA64</f>
        <v>0</v>
      </c>
      <c r="BF134" s="38">
        <f>+'QTR Raw'!AB64</f>
        <v>0</v>
      </c>
      <c r="BG134" s="38">
        <f>+'QTR Raw'!AC64</f>
        <v>0</v>
      </c>
      <c r="BH134" s="38">
        <f>+'QTR Raw'!AD64</f>
        <v>0</v>
      </c>
      <c r="BI134" s="38">
        <f>+'QTR Raw'!AE64</f>
        <v>0</v>
      </c>
      <c r="BJ134" s="38">
        <f>+'QTR Raw'!AF64</f>
        <v>0</v>
      </c>
      <c r="BK134" s="38">
        <f>+'QTR Raw'!AG64</f>
        <v>0</v>
      </c>
      <c r="BL134" s="38">
        <f>+'QTR Raw'!AH64</f>
        <v>0</v>
      </c>
      <c r="BM134" s="38">
        <f>+'QTR Raw'!AI64</f>
        <v>0</v>
      </c>
      <c r="BN134" s="38">
        <f>+'QTR Raw'!AJ64</f>
        <v>0</v>
      </c>
      <c r="BO134" s="38">
        <f>+'QTR Raw'!AK64</f>
        <v>0</v>
      </c>
      <c r="BP134" s="38">
        <f>+'QTR Raw'!AL64</f>
        <v>0</v>
      </c>
      <c r="BQ134" s="38">
        <f>+'QTR Raw'!AM64</f>
        <v>0</v>
      </c>
      <c r="BR134" s="38">
        <f>+'QTR Raw'!AN64</f>
        <v>0</v>
      </c>
      <c r="BS134" s="38">
        <f>+'QTR Raw'!AO64</f>
        <v>0</v>
      </c>
      <c r="BT134" s="38">
        <f>+'QTR Raw'!AP64</f>
        <v>0</v>
      </c>
      <c r="BU134" s="38">
        <f>+'QTR Raw'!AQ64</f>
        <v>564.5</v>
      </c>
      <c r="BV134" s="38">
        <f>BU134</f>
        <v>564.5</v>
      </c>
      <c r="BW134" s="38">
        <f>+'QTR Raw'!AS64</f>
        <v>480.3</v>
      </c>
      <c r="BX134" s="38">
        <f>BW134</f>
        <v>480.3</v>
      </c>
      <c r="BY134" s="38">
        <f>+'QTR Raw'!AU64</f>
        <v>715.2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T134" s="38">
        <v>84.39</v>
      </c>
    </row>
    <row r="135" spans="1:98" s="38" customFormat="1" x14ac:dyDescent="0.2">
      <c r="A135" s="38" t="s">
        <v>228</v>
      </c>
      <c r="AB135" s="39"/>
      <c r="AC135" s="39"/>
      <c r="AD135" s="39"/>
      <c r="AE135" s="39"/>
      <c r="AG135" s="60"/>
      <c r="AH135" s="38">
        <f>+'QTR Raw'!D85</f>
        <v>0</v>
      </c>
      <c r="AI135" s="38">
        <f>+'QTR Raw'!E85</f>
        <v>0</v>
      </c>
      <c r="AJ135" s="38">
        <f>+'QTR Raw'!F85</f>
        <v>0</v>
      </c>
      <c r="AK135" s="38">
        <f>+'QTR Raw'!G85</f>
        <v>0</v>
      </c>
      <c r="AL135" s="38">
        <f>+'QTR Raw'!H85</f>
        <v>0</v>
      </c>
      <c r="AM135" s="38">
        <f>+'QTR Raw'!I85</f>
        <v>0</v>
      </c>
      <c r="AN135" s="38">
        <f>+'QTR Raw'!J85</f>
        <v>0</v>
      </c>
      <c r="AO135" s="38">
        <f>+'QTR Raw'!K85</f>
        <v>0</v>
      </c>
      <c r="AP135" s="38">
        <f>+'QTR Raw'!L85</f>
        <v>0</v>
      </c>
      <c r="AQ135" s="38">
        <f>+'QTR Raw'!M85</f>
        <v>0</v>
      </c>
      <c r="AR135" s="38">
        <f>+'QTR Raw'!N85</f>
        <v>0</v>
      </c>
      <c r="AS135" s="38">
        <f>+'QTR Raw'!O85</f>
        <v>0</v>
      </c>
      <c r="AT135" s="38">
        <f>+'QTR Raw'!P85</f>
        <v>0</v>
      </c>
      <c r="AU135" s="38">
        <f>+'QTR Raw'!Q85</f>
        <v>0</v>
      </c>
      <c r="AV135" s="38">
        <f>+'QTR Raw'!R85</f>
        <v>0</v>
      </c>
      <c r="AW135" s="38">
        <f>+'QTR Raw'!S85</f>
        <v>0</v>
      </c>
      <c r="AX135" s="38">
        <f>+'QTR Raw'!T85</f>
        <v>0</v>
      </c>
      <c r="AY135" s="38">
        <f>+'QTR Raw'!U85</f>
        <v>0</v>
      </c>
      <c r="AZ135" s="38">
        <f>+'QTR Raw'!V85</f>
        <v>0</v>
      </c>
      <c r="BA135" s="38">
        <f>+'QTR Raw'!W85</f>
        <v>0</v>
      </c>
      <c r="BB135" s="38">
        <f>+'QTR Raw'!X85</f>
        <v>0</v>
      </c>
      <c r="BC135" s="38">
        <f>+'QTR Raw'!Y85</f>
        <v>0</v>
      </c>
      <c r="BD135" s="38">
        <f>+'QTR Raw'!Z85</f>
        <v>0</v>
      </c>
      <c r="BE135" s="38">
        <f>+'QTR Raw'!AA85</f>
        <v>0</v>
      </c>
      <c r="BF135" s="38">
        <f>+'QTR Raw'!AB85</f>
        <v>0</v>
      </c>
      <c r="BG135" s="38">
        <f>+'QTR Raw'!AC85</f>
        <v>0</v>
      </c>
      <c r="BH135" s="38">
        <f>+'QTR Raw'!AD85</f>
        <v>0</v>
      </c>
      <c r="BI135" s="38">
        <f>+'QTR Raw'!AE85</f>
        <v>0</v>
      </c>
      <c r="BJ135" s="38">
        <f>+'QTR Raw'!AF85</f>
        <v>0</v>
      </c>
      <c r="BK135" s="38">
        <f>+'QTR Raw'!AG85</f>
        <v>0</v>
      </c>
      <c r="BL135" s="38">
        <f>+'QTR Raw'!AH85</f>
        <v>0</v>
      </c>
      <c r="BM135" s="38">
        <f>+'QTR Raw'!AI85</f>
        <v>0</v>
      </c>
      <c r="BN135" s="38">
        <f>+'QTR Raw'!AJ85</f>
        <v>0</v>
      </c>
      <c r="BO135" s="38">
        <f>+'QTR Raw'!AK85</f>
        <v>0</v>
      </c>
      <c r="BP135" s="38">
        <f>+'QTR Raw'!AL85</f>
        <v>0</v>
      </c>
      <c r="BQ135" s="38">
        <f>+'QTR Raw'!AM85</f>
        <v>0</v>
      </c>
      <c r="BR135" s="38">
        <f>+'QTR Raw'!AN85</f>
        <v>0</v>
      </c>
      <c r="BS135" s="38">
        <f>+'QTR Raw'!AO85</f>
        <v>0</v>
      </c>
      <c r="BT135" s="38">
        <f>+'QTR Raw'!AP85</f>
        <v>0</v>
      </c>
      <c r="BU135" s="38">
        <f>+'QTR Raw'!AQ85</f>
        <v>0</v>
      </c>
      <c r="BW135" s="38">
        <f>+'QTR Raw'!AS85</f>
        <v>0</v>
      </c>
      <c r="BY135" s="38">
        <f>+'QTR Raw'!AU85</f>
        <v>0</v>
      </c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38" t="s">
        <v>230</v>
      </c>
      <c r="B136" s="38">
        <f>+'Annual Raw'!C93</f>
        <v>0</v>
      </c>
      <c r="C136" s="38">
        <f>+'Annual Raw'!D93</f>
        <v>0</v>
      </c>
      <c r="D136" s="38">
        <f>+'Annual Raw'!E93</f>
        <v>0</v>
      </c>
      <c r="E136" s="38">
        <f>+'Annual Raw'!F93</f>
        <v>0</v>
      </c>
      <c r="F136" s="38">
        <f>+'Annual Raw'!G93</f>
        <v>0</v>
      </c>
      <c r="G136" s="38">
        <f>+'Annual Raw'!H93</f>
        <v>0</v>
      </c>
      <c r="H136" s="38">
        <f>+'Annual Raw'!I93</f>
        <v>0</v>
      </c>
      <c r="I136" s="38">
        <f>+'Annual Raw'!J93</f>
        <v>2.0558025</v>
      </c>
      <c r="J136" s="38">
        <f>+'Annual Raw'!K93</f>
        <v>4.9697630999999998</v>
      </c>
      <c r="K136" s="38">
        <f>+'Annual Raw'!L93</f>
        <v>8.5266605999999996</v>
      </c>
      <c r="L136" s="38">
        <f>+'Annual Raw'!M93</f>
        <v>63.123159200000003</v>
      </c>
      <c r="M136" s="38">
        <f>+'Annual Raw'!N93</f>
        <v>11.17</v>
      </c>
      <c r="N136" s="38">
        <f>+'Annual Raw'!O93</f>
        <v>17.809999999999999</v>
      </c>
      <c r="O136" s="38">
        <f>+'Annual Raw'!P93</f>
        <v>22.98</v>
      </c>
      <c r="P136" s="38">
        <f>+'Annual Raw'!Q93</f>
        <v>51.96</v>
      </c>
      <c r="Q136" s="38">
        <f>+'Annual Raw'!R93</f>
        <v>204.59</v>
      </c>
      <c r="R136" s="38">
        <f>+'Annual Raw'!S93</f>
        <v>283.27</v>
      </c>
      <c r="S136" s="38">
        <f>+'Annual Raw'!T93</f>
        <v>279.5</v>
      </c>
      <c r="T136" s="38">
        <f>+'Annual Raw'!U93</f>
        <v>394.91</v>
      </c>
      <c r="U136" s="38">
        <f>+'Annual Raw'!V93</f>
        <v>149.99</v>
      </c>
      <c r="V136" s="38">
        <f>+'Annual Raw'!W93</f>
        <v>334.26</v>
      </c>
      <c r="W136" s="38">
        <f>+'Annual Raw'!X93</f>
        <v>246.91</v>
      </c>
      <c r="X136" s="38">
        <f>+'Annual Raw'!Y93</f>
        <v>291.83999999999997</v>
      </c>
      <c r="Y136" s="38">
        <f>+'Annual Raw'!Z93</f>
        <v>403.27</v>
      </c>
      <c r="Z136" s="38">
        <f>+'Annual Raw'!AA93</f>
        <v>425.46</v>
      </c>
      <c r="AA136" s="38">
        <f>+'Annual Raw'!AB93</f>
        <v>179.88</v>
      </c>
      <c r="AB136" s="39"/>
      <c r="AC136" s="39"/>
      <c r="AD136" s="39"/>
      <c r="AE136" s="39"/>
      <c r="AG136" s="60"/>
      <c r="AH136" s="38">
        <f>+'QTR Raw'!D87</f>
        <v>0</v>
      </c>
      <c r="AI136" s="38">
        <f>+'QTR Raw'!E87</f>
        <v>0</v>
      </c>
      <c r="AJ136" s="38">
        <f>+'QTR Raw'!F87</f>
        <v>0</v>
      </c>
      <c r="AK136" s="38">
        <f>+'QTR Raw'!G87</f>
        <v>0</v>
      </c>
      <c r="AL136" s="38">
        <f>+'QTR Raw'!H87</f>
        <v>0</v>
      </c>
      <c r="AM136" s="38">
        <f>+'QTR Raw'!I87</f>
        <v>0</v>
      </c>
      <c r="AN136" s="38">
        <f>+'QTR Raw'!J87</f>
        <v>0</v>
      </c>
      <c r="AO136" s="38">
        <f>+'QTR Raw'!K87</f>
        <v>0</v>
      </c>
      <c r="AP136" s="38">
        <f>+'QTR Raw'!L87</f>
        <v>0</v>
      </c>
      <c r="AQ136" s="38">
        <f>+'QTR Raw'!M87</f>
        <v>0</v>
      </c>
      <c r="AR136" s="38">
        <f>+'QTR Raw'!N87</f>
        <v>0</v>
      </c>
      <c r="AS136" s="38">
        <f>+'QTR Raw'!O87</f>
        <v>0</v>
      </c>
      <c r="AT136" s="38">
        <f>+'QTR Raw'!P87</f>
        <v>0</v>
      </c>
      <c r="AU136" s="38">
        <f>+'QTR Raw'!Q87</f>
        <v>0</v>
      </c>
      <c r="AV136" s="38">
        <f>+'QTR Raw'!R87</f>
        <v>0</v>
      </c>
      <c r="AW136" s="38">
        <f>+'QTR Raw'!S87</f>
        <v>0</v>
      </c>
      <c r="AX136" s="38">
        <f>+'QTR Raw'!T87</f>
        <v>0</v>
      </c>
      <c r="AY136" s="38">
        <f>+'QTR Raw'!U87</f>
        <v>0</v>
      </c>
      <c r="AZ136" s="38">
        <f>+'QTR Raw'!V87</f>
        <v>0</v>
      </c>
      <c r="BA136" s="38">
        <f>+'QTR Raw'!W87</f>
        <v>0</v>
      </c>
      <c r="BB136" s="38">
        <f>+'QTR Raw'!X87</f>
        <v>0</v>
      </c>
      <c r="BC136" s="38">
        <f>+'QTR Raw'!Y87</f>
        <v>0</v>
      </c>
      <c r="BD136" s="38">
        <f>+'QTR Raw'!Z87</f>
        <v>0</v>
      </c>
      <c r="BE136" s="38">
        <f>+'QTR Raw'!AA87</f>
        <v>0</v>
      </c>
      <c r="BF136" s="38">
        <f>+'QTR Raw'!AB87</f>
        <v>0</v>
      </c>
      <c r="BG136" s="38">
        <f>+'QTR Raw'!AC87</f>
        <v>0</v>
      </c>
      <c r="BH136" s="38">
        <f>+'QTR Raw'!AD87</f>
        <v>0</v>
      </c>
      <c r="BI136" s="38">
        <f>+'QTR Raw'!AE87</f>
        <v>0</v>
      </c>
      <c r="BJ136" s="38">
        <f>+'QTR Raw'!AF87</f>
        <v>0</v>
      </c>
      <c r="BK136" s="38">
        <f>+'QTR Raw'!AG87</f>
        <v>0</v>
      </c>
      <c r="BL136" s="38">
        <f>+'QTR Raw'!AH87</f>
        <v>0</v>
      </c>
      <c r="BM136" s="38">
        <f>+'QTR Raw'!AI87</f>
        <v>0</v>
      </c>
      <c r="BN136" s="38">
        <f>+'QTR Raw'!AJ87</f>
        <v>0</v>
      </c>
      <c r="BO136" s="38">
        <f>+'QTR Raw'!AK87</f>
        <v>0</v>
      </c>
      <c r="BP136" s="38">
        <f>+'QTR Raw'!AL87</f>
        <v>0</v>
      </c>
      <c r="BQ136" s="38">
        <f>+'QTR Raw'!AM87</f>
        <v>0</v>
      </c>
      <c r="BR136" s="38">
        <f>+'QTR Raw'!AN87</f>
        <v>0</v>
      </c>
      <c r="BS136" s="38">
        <f>+'QTR Raw'!AO87</f>
        <v>0</v>
      </c>
      <c r="BT136" s="38">
        <f>+'QTR Raw'!AP87</f>
        <v>0</v>
      </c>
      <c r="BU136" s="38">
        <f>+'QTR Raw'!AQ87</f>
        <v>439.3</v>
      </c>
      <c r="BV136" s="38">
        <f>BU136</f>
        <v>439.3</v>
      </c>
      <c r="BW136" s="38">
        <f>+'QTR Raw'!AS87</f>
        <v>220.1</v>
      </c>
      <c r="BX136" s="38">
        <f>BW136</f>
        <v>220.1</v>
      </c>
      <c r="BY136" s="38">
        <f>+'QTR Raw'!AU87</f>
        <v>179.9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T136" s="38">
        <v>179.88</v>
      </c>
    </row>
    <row r="137" spans="1:98" s="38" customFormat="1" x14ac:dyDescent="0.2">
      <c r="A137" s="38" t="s">
        <v>231</v>
      </c>
      <c r="B137" s="38">
        <f>+'Annual Raw'!C94+'Annual Raw'!C101-B106</f>
        <v>0</v>
      </c>
      <c r="C137" s="38">
        <f>+'Annual Raw'!D94+'Annual Raw'!D101-C106</f>
        <v>0</v>
      </c>
      <c r="D137" s="38">
        <f>+'Annual Raw'!E94+'Annual Raw'!E101-D106</f>
        <v>0</v>
      </c>
      <c r="E137" s="38">
        <f>+'Annual Raw'!F94+'Annual Raw'!F101-E106</f>
        <v>0</v>
      </c>
      <c r="F137" s="38">
        <f>+'Annual Raw'!G94+'Annual Raw'!G101-F106</f>
        <v>0</v>
      </c>
      <c r="G137" s="38">
        <f>+'Annual Raw'!H94+'Annual Raw'!H101-G106</f>
        <v>0</v>
      </c>
      <c r="H137" s="38">
        <f>+'Annual Raw'!I94+'Annual Raw'!I101-H106</f>
        <v>0</v>
      </c>
      <c r="I137" s="38">
        <f>+'Annual Raw'!J94+'Annual Raw'!J101-I106</f>
        <v>0.36741109999999999</v>
      </c>
      <c r="J137" s="38">
        <f>+'Annual Raw'!K94+'Annual Raw'!K101-J106</f>
        <v>8.3413568999999992</v>
      </c>
      <c r="K137" s="38">
        <f>+'Annual Raw'!L94+'Annual Raw'!L101-K106</f>
        <v>8.0825741999999998</v>
      </c>
      <c r="L137" s="38">
        <f>+'Annual Raw'!M94+'Annual Raw'!M101-L106</f>
        <v>1.3469795999999974</v>
      </c>
      <c r="M137" s="38">
        <f>+'Annual Raw'!N94+'Annual Raw'!N101-M106</f>
        <v>127.92000000000007</v>
      </c>
      <c r="N137" s="38">
        <f>+'Annual Raw'!O94+'Annual Raw'!O101-N106</f>
        <v>78.8599999999999</v>
      </c>
      <c r="O137" s="38">
        <f>+'Annual Raw'!P94+'Annual Raw'!P101-O106</f>
        <v>634.61999999999989</v>
      </c>
      <c r="P137" s="38">
        <f>+'Annual Raw'!Q94+'Annual Raw'!Q101-P106</f>
        <v>821.64999999999964</v>
      </c>
      <c r="Q137" s="38">
        <f>+'Annual Raw'!R94+'Annual Raw'!R101-Q106</f>
        <v>1178.9400000000005</v>
      </c>
      <c r="R137" s="38">
        <f>+'Annual Raw'!S94+'Annual Raw'!S101-R106</f>
        <v>1345.46</v>
      </c>
      <c r="S137" s="38">
        <f>+'Annual Raw'!T94+'Annual Raw'!T101-S106</f>
        <v>2145.59</v>
      </c>
      <c r="T137" s="38">
        <f>+'Annual Raw'!U94+'Annual Raw'!U101-T106</f>
        <v>2303.29</v>
      </c>
      <c r="U137" s="38">
        <f>+'Annual Raw'!V94+'Annual Raw'!V101-U106</f>
        <v>1986.95</v>
      </c>
      <c r="V137" s="38">
        <f>+'Annual Raw'!W94+'Annual Raw'!W101-V106</f>
        <v>2334.5700000000002</v>
      </c>
      <c r="W137" s="38">
        <f>+'Annual Raw'!X94+'Annual Raw'!X101-W106</f>
        <v>2344.4699999999998</v>
      </c>
      <c r="X137" s="38">
        <f>+'Annual Raw'!Y94+'Annual Raw'!Y101-X106</f>
        <v>2310.86</v>
      </c>
      <c r="Y137" s="38">
        <f>+'Annual Raw'!Z94+'Annual Raw'!Z101-Y106</f>
        <v>2859.08</v>
      </c>
      <c r="Z137" s="38">
        <f>+'Annual Raw'!AA94+'Annual Raw'!AA101-Z106</f>
        <v>1508.57</v>
      </c>
      <c r="AA137" s="38">
        <f>+'Annual Raw'!AB94+'Annual Raw'!AB101-AA106</f>
        <v>1304.75</v>
      </c>
      <c r="AB137" s="39">
        <f>+CC137</f>
        <v>43092.299999999996</v>
      </c>
      <c r="AC137" s="39">
        <f>+CG137</f>
        <v>43092.299999999996</v>
      </c>
      <c r="AD137" s="39">
        <f>+CK137</f>
        <v>43092.299999999996</v>
      </c>
      <c r="AE137" s="39">
        <f>+CO137</f>
        <v>43092.299999999996</v>
      </c>
      <c r="AG137" s="60"/>
      <c r="AH137" s="38">
        <f>+'QTR Raw'!D88</f>
        <v>0</v>
      </c>
      <c r="AI137" s="38">
        <f>+'QTR Raw'!E88</f>
        <v>0</v>
      </c>
      <c r="AJ137" s="38">
        <f>+'QTR Raw'!F88</f>
        <v>0</v>
      </c>
      <c r="AK137" s="38">
        <f>+'QTR Raw'!G88</f>
        <v>0</v>
      </c>
      <c r="AL137" s="38">
        <f>+'QTR Raw'!H88</f>
        <v>0</v>
      </c>
      <c r="AM137" s="38">
        <f>+'QTR Raw'!I88</f>
        <v>0</v>
      </c>
      <c r="AN137" s="38">
        <f>+'QTR Raw'!J88</f>
        <v>0</v>
      </c>
      <c r="AO137" s="38">
        <f>+'QTR Raw'!K88</f>
        <v>0</v>
      </c>
      <c r="AP137" s="38">
        <f>+'QTR Raw'!L88</f>
        <v>0</v>
      </c>
      <c r="AQ137" s="38">
        <f>+'QTR Raw'!M88</f>
        <v>0</v>
      </c>
      <c r="AR137" s="38">
        <f>+'QTR Raw'!N88</f>
        <v>0</v>
      </c>
      <c r="AS137" s="38">
        <f>+'QTR Raw'!O88</f>
        <v>0</v>
      </c>
      <c r="AT137" s="38">
        <f>+'QTR Raw'!P88</f>
        <v>0</v>
      </c>
      <c r="AU137" s="38">
        <f>+'QTR Raw'!Q88</f>
        <v>0</v>
      </c>
      <c r="AV137" s="38">
        <f>+'QTR Raw'!R88</f>
        <v>0</v>
      </c>
      <c r="AW137" s="38">
        <f>+'QTR Raw'!S88</f>
        <v>0</v>
      </c>
      <c r="AX137" s="38">
        <f>+'QTR Raw'!T88</f>
        <v>0</v>
      </c>
      <c r="AY137" s="38">
        <f>+'QTR Raw'!U88</f>
        <v>0</v>
      </c>
      <c r="AZ137" s="38">
        <f>+'QTR Raw'!V88</f>
        <v>0</v>
      </c>
      <c r="BA137" s="38">
        <f>+'QTR Raw'!W88</f>
        <v>0</v>
      </c>
      <c r="BB137" s="38">
        <f>+'QTR Raw'!X88</f>
        <v>0</v>
      </c>
      <c r="BC137" s="38">
        <f>+'QTR Raw'!Y88</f>
        <v>0</v>
      </c>
      <c r="BD137" s="38">
        <f>+'QTR Raw'!Z88</f>
        <v>0</v>
      </c>
      <c r="BE137" s="38">
        <f>+'QTR Raw'!AA88</f>
        <v>0</v>
      </c>
      <c r="BF137" s="38">
        <f>+'QTR Raw'!AB88</f>
        <v>0</v>
      </c>
      <c r="BG137" s="38">
        <f>+'QTR Raw'!AC88</f>
        <v>0</v>
      </c>
      <c r="BH137" s="38">
        <f>+'QTR Raw'!AD88</f>
        <v>0</v>
      </c>
      <c r="BI137" s="38">
        <f>+'QTR Raw'!AE88</f>
        <v>0</v>
      </c>
      <c r="BJ137" s="38">
        <f>+'QTR Raw'!AF88</f>
        <v>0</v>
      </c>
      <c r="BK137" s="38">
        <f>+'QTR Raw'!AG88</f>
        <v>0</v>
      </c>
      <c r="BL137" s="38">
        <f>+'QTR Raw'!AH88</f>
        <v>0</v>
      </c>
      <c r="BM137" s="38">
        <f>+'QTR Raw'!AI88</f>
        <v>0</v>
      </c>
      <c r="BN137" s="38">
        <f>+'QTR Raw'!AJ88</f>
        <v>0</v>
      </c>
      <c r="BO137" s="38">
        <f>+'QTR Raw'!AK88</f>
        <v>0</v>
      </c>
      <c r="BP137" s="38">
        <f>+'QTR Raw'!AL88</f>
        <v>0</v>
      </c>
      <c r="BQ137" s="38">
        <f>+'QTR Raw'!AM88</f>
        <v>0</v>
      </c>
      <c r="BR137" s="38">
        <f>+'QTR Raw'!AN88</f>
        <v>0</v>
      </c>
      <c r="BS137" s="38">
        <f>+'QTR Raw'!AO88</f>
        <v>0</v>
      </c>
      <c r="BT137" s="38">
        <f>+'QTR Raw'!AP88</f>
        <v>0</v>
      </c>
      <c r="BU137" s="38">
        <f>+'QTR Raw'!AQ88</f>
        <v>49616.1</v>
      </c>
      <c r="BV137" s="38">
        <f>BU137</f>
        <v>49616.1</v>
      </c>
      <c r="BW137" s="38">
        <f>+'QTR Raw'!AS88</f>
        <v>45952.6</v>
      </c>
      <c r="BX137" s="38">
        <f>BW137</f>
        <v>45952.6</v>
      </c>
      <c r="BY137" s="38">
        <f>+'QTR Raw'!AU88</f>
        <v>42021.7</v>
      </c>
      <c r="BZ137" s="39">
        <f t="shared" ref="BZ137:CO137" si="1242">+BY139</f>
        <v>43092.299999999996</v>
      </c>
      <c r="CA137" s="39">
        <f t="shared" si="1242"/>
        <v>43092.299999999996</v>
      </c>
      <c r="CB137" s="39">
        <f t="shared" si="1242"/>
        <v>43092.299999999996</v>
      </c>
      <c r="CC137" s="39">
        <f t="shared" si="1242"/>
        <v>43092.299999999996</v>
      </c>
      <c r="CD137" s="39">
        <f t="shared" si="1242"/>
        <v>43092.299999999996</v>
      </c>
      <c r="CE137" s="39">
        <f t="shared" si="1242"/>
        <v>43092.299999999996</v>
      </c>
      <c r="CF137" s="39">
        <f t="shared" si="1242"/>
        <v>43092.299999999996</v>
      </c>
      <c r="CG137" s="39">
        <f t="shared" si="1242"/>
        <v>43092.299999999996</v>
      </c>
      <c r="CH137" s="39">
        <f t="shared" si="1242"/>
        <v>43092.299999999996</v>
      </c>
      <c r="CI137" s="39">
        <f t="shared" si="1242"/>
        <v>43092.299999999996</v>
      </c>
      <c r="CJ137" s="39">
        <f t="shared" si="1242"/>
        <v>43092.299999999996</v>
      </c>
      <c r="CK137" s="39">
        <f t="shared" si="1242"/>
        <v>43092.299999999996</v>
      </c>
      <c r="CL137" s="39">
        <f t="shared" si="1242"/>
        <v>43092.299999999996</v>
      </c>
      <c r="CM137" s="39">
        <f t="shared" si="1242"/>
        <v>43092.299999999996</v>
      </c>
      <c r="CN137" s="39">
        <f t="shared" si="1242"/>
        <v>43092.299999999996</v>
      </c>
      <c r="CO137" s="39">
        <f t="shared" si="1242"/>
        <v>43092.299999999996</v>
      </c>
      <c r="CT137" s="38">
        <v>42021.7</v>
      </c>
    </row>
    <row r="138" spans="1:98" s="38" customFormat="1" x14ac:dyDescent="0.2">
      <c r="A138" s="38" t="s">
        <v>247</v>
      </c>
      <c r="B138" s="38">
        <f>+'Annual Raw'!C100</f>
        <v>0</v>
      </c>
      <c r="C138" s="38">
        <f>+'Annual Raw'!D100</f>
        <v>0</v>
      </c>
      <c r="D138" s="38">
        <f>+'Annual Raw'!E100</f>
        <v>0</v>
      </c>
      <c r="E138" s="38">
        <f>+'Annual Raw'!F100</f>
        <v>0</v>
      </c>
      <c r="F138" s="38">
        <f>+'Annual Raw'!G100</f>
        <v>0</v>
      </c>
      <c r="G138" s="38">
        <f>+'Annual Raw'!H100</f>
        <v>0</v>
      </c>
      <c r="H138" s="38">
        <f>+'Annual Raw'!I100</f>
        <v>0</v>
      </c>
      <c r="I138" s="38">
        <f>+'Annual Raw'!J100</f>
        <v>4.1015000000000003E-2</v>
      </c>
      <c r="J138" s="38">
        <f>+'Annual Raw'!K100</f>
        <v>0.43732749999999998</v>
      </c>
      <c r="K138" s="38">
        <f>+'Annual Raw'!L100</f>
        <v>6.3218261</v>
      </c>
      <c r="L138" s="38">
        <f>+'Annual Raw'!M100</f>
        <v>26.450984800000001</v>
      </c>
      <c r="M138" s="38">
        <f>+'Annual Raw'!N100</f>
        <v>78.53</v>
      </c>
      <c r="N138" s="38">
        <f>+'Annual Raw'!O100</f>
        <v>186.44</v>
      </c>
      <c r="O138" s="38">
        <f>+'Annual Raw'!P100</f>
        <v>405.92</v>
      </c>
      <c r="P138" s="38">
        <f>+'Annual Raw'!Q100</f>
        <v>636.13</v>
      </c>
      <c r="Q138" s="38">
        <f>+'Annual Raw'!R100</f>
        <v>624.09</v>
      </c>
      <c r="R138" s="38">
        <f>+'Annual Raw'!S100</f>
        <v>790.19</v>
      </c>
      <c r="S138" s="38">
        <f>+'Annual Raw'!T100</f>
        <v>355.01</v>
      </c>
      <c r="T138" s="38">
        <f>+'Annual Raw'!U100</f>
        <v>1461.21</v>
      </c>
      <c r="U138" s="38">
        <f>+'Annual Raw'!V100</f>
        <v>1053.5</v>
      </c>
      <c r="V138" s="38">
        <f>+'Annual Raw'!W100</f>
        <v>1175.6400000000001</v>
      </c>
      <c r="W138" s="38">
        <f>+'Annual Raw'!X100</f>
        <v>1610.76</v>
      </c>
      <c r="X138" s="38">
        <f>+'Annual Raw'!Y100</f>
        <v>1649.52</v>
      </c>
      <c r="Y138" s="38">
        <f>+'Annual Raw'!Z100</f>
        <v>1822.84</v>
      </c>
      <c r="Z138" s="38">
        <f>+'Annual Raw'!AA100</f>
        <v>1877.83</v>
      </c>
      <c r="AA138" s="38">
        <f>+'Annual Raw'!AB100</f>
        <v>2388.35</v>
      </c>
      <c r="AB138" s="39"/>
      <c r="AC138" s="39"/>
      <c r="AD138" s="39"/>
      <c r="AE138" s="39"/>
      <c r="AG138" s="60"/>
      <c r="AH138" s="38">
        <f>+'QTR Raw'!D90</f>
        <v>0</v>
      </c>
      <c r="AI138" s="38">
        <f>+'QTR Raw'!E90</f>
        <v>0</v>
      </c>
      <c r="AJ138" s="38">
        <f>+'QTR Raw'!F90</f>
        <v>0</v>
      </c>
      <c r="AK138" s="38">
        <f>+'QTR Raw'!G90</f>
        <v>0</v>
      </c>
      <c r="AL138" s="38">
        <f>+'QTR Raw'!H90</f>
        <v>0</v>
      </c>
      <c r="AM138" s="38">
        <f>+'QTR Raw'!I90</f>
        <v>0</v>
      </c>
      <c r="AN138" s="38">
        <f>+'QTR Raw'!J90</f>
        <v>0</v>
      </c>
      <c r="AO138" s="38">
        <f>+'QTR Raw'!K90</f>
        <v>0</v>
      </c>
      <c r="AP138" s="38">
        <f>+'QTR Raw'!L90</f>
        <v>0</v>
      </c>
      <c r="AQ138" s="38">
        <f>+'QTR Raw'!M90</f>
        <v>0</v>
      </c>
      <c r="AR138" s="38">
        <f>+'QTR Raw'!N90</f>
        <v>0</v>
      </c>
      <c r="AS138" s="38">
        <f>+'QTR Raw'!O90</f>
        <v>0</v>
      </c>
      <c r="AT138" s="38">
        <f>+'QTR Raw'!P90</f>
        <v>0</v>
      </c>
      <c r="AU138" s="38">
        <f>+'QTR Raw'!Q90</f>
        <v>0</v>
      </c>
      <c r="AV138" s="38">
        <f>+'QTR Raw'!R90</f>
        <v>0</v>
      </c>
      <c r="AW138" s="38">
        <f>+'QTR Raw'!S90</f>
        <v>0</v>
      </c>
      <c r="AX138" s="38">
        <f>+'QTR Raw'!T90</f>
        <v>0</v>
      </c>
      <c r="AY138" s="38">
        <f>+'QTR Raw'!U90</f>
        <v>0</v>
      </c>
      <c r="AZ138" s="38">
        <f>+'QTR Raw'!V90</f>
        <v>0</v>
      </c>
      <c r="BA138" s="38">
        <f>+'QTR Raw'!W90</f>
        <v>0</v>
      </c>
      <c r="BB138" s="38">
        <f>+'QTR Raw'!X90</f>
        <v>0</v>
      </c>
      <c r="BC138" s="38">
        <f>+'QTR Raw'!Y90</f>
        <v>0</v>
      </c>
      <c r="BD138" s="38">
        <f>+'QTR Raw'!Z90</f>
        <v>0</v>
      </c>
      <c r="BE138" s="38">
        <f>+'QTR Raw'!AA90</f>
        <v>0</v>
      </c>
      <c r="BF138" s="38">
        <f>+'QTR Raw'!AB90</f>
        <v>0</v>
      </c>
      <c r="BG138" s="38">
        <f>+'QTR Raw'!AC90</f>
        <v>0</v>
      </c>
      <c r="BH138" s="38">
        <f>+'QTR Raw'!AD90</f>
        <v>0</v>
      </c>
      <c r="BI138" s="38">
        <f>+'QTR Raw'!AE90</f>
        <v>0</v>
      </c>
      <c r="BJ138" s="38">
        <f>+'QTR Raw'!AF90</f>
        <v>0</v>
      </c>
      <c r="BK138" s="38">
        <f>+'QTR Raw'!AG90</f>
        <v>0</v>
      </c>
      <c r="BL138" s="38">
        <f>+'QTR Raw'!AH90</f>
        <v>0</v>
      </c>
      <c r="BM138" s="38">
        <f>+'QTR Raw'!AI90</f>
        <v>0</v>
      </c>
      <c r="BN138" s="38">
        <f>+'QTR Raw'!AJ90</f>
        <v>0</v>
      </c>
      <c r="BO138" s="38">
        <f>+'QTR Raw'!AK90</f>
        <v>0</v>
      </c>
      <c r="BP138" s="38">
        <f>+'QTR Raw'!AL90</f>
        <v>0</v>
      </c>
      <c r="BQ138" s="38">
        <f>+'QTR Raw'!AM90</f>
        <v>0</v>
      </c>
      <c r="BR138" s="38">
        <f>+'QTR Raw'!AN90</f>
        <v>0</v>
      </c>
      <c r="BS138" s="38">
        <f>+'QTR Raw'!AO90</f>
        <v>0</v>
      </c>
      <c r="BT138" s="38">
        <f>+'QTR Raw'!AP90</f>
        <v>0</v>
      </c>
      <c r="BU138" s="38">
        <f>+'QTR Raw'!AQ90</f>
        <v>0</v>
      </c>
      <c r="BW138" s="38">
        <f>+'QTR Raw'!AS90</f>
        <v>0</v>
      </c>
      <c r="BY138" s="38">
        <f>+'QTR Raw'!AU90</f>
        <v>0</v>
      </c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T138" s="38">
        <v>2388.35</v>
      </c>
    </row>
    <row r="139" spans="1:98" s="43" customFormat="1" x14ac:dyDescent="0.2">
      <c r="A139" s="43" t="s">
        <v>248</v>
      </c>
      <c r="B139" s="43">
        <f>+SUM(B132:B138)</f>
        <v>0</v>
      </c>
      <c r="C139" s="43">
        <f t="shared" ref="C139:Z139" si="1243">+SUM(C132:C138)</f>
        <v>0</v>
      </c>
      <c r="D139" s="43">
        <f t="shared" si="1243"/>
        <v>0</v>
      </c>
      <c r="E139" s="43">
        <f t="shared" si="1243"/>
        <v>0</v>
      </c>
      <c r="F139" s="43">
        <f t="shared" si="1243"/>
        <v>0</v>
      </c>
      <c r="G139" s="43">
        <f t="shared" si="1243"/>
        <v>0</v>
      </c>
      <c r="H139" s="43">
        <f t="shared" si="1243"/>
        <v>0</v>
      </c>
      <c r="I139" s="43">
        <f t="shared" si="1243"/>
        <v>2.4642285999999998</v>
      </c>
      <c r="J139" s="43">
        <f t="shared" si="1243"/>
        <v>13.748447499999999</v>
      </c>
      <c r="K139" s="43">
        <f t="shared" si="1243"/>
        <v>22.931060899999999</v>
      </c>
      <c r="L139" s="43">
        <f t="shared" si="1243"/>
        <v>107.58666580000001</v>
      </c>
      <c r="M139" s="43">
        <f t="shared" si="1243"/>
        <v>263.03000000000009</v>
      </c>
      <c r="N139" s="43">
        <f t="shared" si="1243"/>
        <v>385.28999999999991</v>
      </c>
      <c r="O139" s="43">
        <f t="shared" si="1243"/>
        <v>1220.8999999999999</v>
      </c>
      <c r="P139" s="43">
        <f t="shared" si="1243"/>
        <v>1742.5999999999995</v>
      </c>
      <c r="Q139" s="43">
        <f t="shared" si="1243"/>
        <v>2608.2500000000005</v>
      </c>
      <c r="R139" s="43">
        <f t="shared" si="1243"/>
        <v>3180.43</v>
      </c>
      <c r="S139" s="43">
        <f t="shared" si="1243"/>
        <v>3652.7200000000003</v>
      </c>
      <c r="T139" s="43">
        <f t="shared" si="1243"/>
        <v>4525.3999999999996</v>
      </c>
      <c r="U139" s="43">
        <f t="shared" si="1243"/>
        <v>3601.3500000000004</v>
      </c>
      <c r="V139" s="43">
        <f t="shared" si="1243"/>
        <v>4435.1600000000008</v>
      </c>
      <c r="W139" s="43">
        <f t="shared" si="1243"/>
        <v>4616.53</v>
      </c>
      <c r="X139" s="43">
        <f t="shared" si="1243"/>
        <v>4774.41</v>
      </c>
      <c r="Y139" s="43">
        <f t="shared" si="1243"/>
        <v>5818.8</v>
      </c>
      <c r="Z139" s="43">
        <f t="shared" si="1243"/>
        <v>4455.3599999999997</v>
      </c>
      <c r="AA139" s="43">
        <f t="shared" ref="AA139" si="1244">+SUM(AA132:AA138)</f>
        <v>5422.48</v>
      </c>
      <c r="AB139" s="44">
        <f t="shared" ref="AB139:AE139" si="1245">+SUM(AB132:AB138)</f>
        <v>43092.299999999996</v>
      </c>
      <c r="AC139" s="44">
        <f t="shared" si="1245"/>
        <v>43092.299999999996</v>
      </c>
      <c r="AD139" s="44">
        <f t="shared" si="1245"/>
        <v>43092.299999999996</v>
      </c>
      <c r="AE139" s="44">
        <f t="shared" si="1245"/>
        <v>43092.299999999996</v>
      </c>
      <c r="AG139" s="62"/>
      <c r="AH139" s="43">
        <f t="shared" ref="AH139" si="1246">+SUM(AH132:AH138)</f>
        <v>0</v>
      </c>
      <c r="AI139" s="43">
        <f t="shared" ref="AI139:AT139" si="1247">+SUM(AI132:AI138)</f>
        <v>0</v>
      </c>
      <c r="AJ139" s="43">
        <f t="shared" si="1247"/>
        <v>0</v>
      </c>
      <c r="AK139" s="43">
        <f t="shared" si="1247"/>
        <v>0</v>
      </c>
      <c r="AL139" s="43">
        <f t="shared" si="1247"/>
        <v>0</v>
      </c>
      <c r="AM139" s="43">
        <f t="shared" si="1247"/>
        <v>0</v>
      </c>
      <c r="AN139" s="43">
        <f t="shared" si="1247"/>
        <v>0</v>
      </c>
      <c r="AO139" s="43">
        <f t="shared" si="1247"/>
        <v>0</v>
      </c>
      <c r="AP139" s="43">
        <f t="shared" si="1247"/>
        <v>0</v>
      </c>
      <c r="AQ139" s="43">
        <f t="shared" si="1247"/>
        <v>0</v>
      </c>
      <c r="AR139" s="43">
        <f t="shared" si="1247"/>
        <v>0</v>
      </c>
      <c r="AS139" s="43">
        <f t="shared" si="1247"/>
        <v>0</v>
      </c>
      <c r="AT139" s="43">
        <f t="shared" si="1247"/>
        <v>0</v>
      </c>
      <c r="AU139" s="43">
        <f t="shared" ref="AU139" si="1248">+SUM(AU132:AU138)</f>
        <v>0</v>
      </c>
      <c r="AV139" s="43">
        <f t="shared" ref="AV139:BU139" si="1249">+SUM(AV132:AV138)</f>
        <v>0</v>
      </c>
      <c r="AW139" s="43">
        <f t="shared" si="1249"/>
        <v>0</v>
      </c>
      <c r="AX139" s="43">
        <f t="shared" si="1249"/>
        <v>0</v>
      </c>
      <c r="AY139" s="43">
        <f t="shared" si="1249"/>
        <v>0</v>
      </c>
      <c r="AZ139" s="43">
        <f t="shared" si="1249"/>
        <v>0</v>
      </c>
      <c r="BA139" s="43">
        <f t="shared" si="1249"/>
        <v>0</v>
      </c>
      <c r="BB139" s="43">
        <f t="shared" si="1249"/>
        <v>0</v>
      </c>
      <c r="BC139" s="43">
        <f t="shared" si="1249"/>
        <v>0</v>
      </c>
      <c r="BD139" s="43">
        <f t="shared" si="1249"/>
        <v>0</v>
      </c>
      <c r="BE139" s="43">
        <f t="shared" si="1249"/>
        <v>0</v>
      </c>
      <c r="BF139" s="43">
        <f t="shared" si="1249"/>
        <v>0</v>
      </c>
      <c r="BG139" s="43">
        <f t="shared" si="1249"/>
        <v>0</v>
      </c>
      <c r="BH139" s="43">
        <f t="shared" si="1249"/>
        <v>0</v>
      </c>
      <c r="BI139" s="43">
        <f t="shared" si="1249"/>
        <v>0</v>
      </c>
      <c r="BJ139" s="43">
        <f t="shared" si="1249"/>
        <v>0</v>
      </c>
      <c r="BK139" s="43">
        <f t="shared" si="1249"/>
        <v>0</v>
      </c>
      <c r="BL139" s="43">
        <f t="shared" si="1249"/>
        <v>0</v>
      </c>
      <c r="BM139" s="43">
        <f t="shared" si="1249"/>
        <v>0</v>
      </c>
      <c r="BN139" s="43">
        <f t="shared" si="1249"/>
        <v>0</v>
      </c>
      <c r="BO139" s="43">
        <f t="shared" si="1249"/>
        <v>0</v>
      </c>
      <c r="BP139" s="43">
        <f t="shared" si="1249"/>
        <v>0</v>
      </c>
      <c r="BQ139" s="43">
        <f t="shared" si="1249"/>
        <v>0</v>
      </c>
      <c r="BR139" s="43">
        <f t="shared" si="1249"/>
        <v>0</v>
      </c>
      <c r="BS139" s="43">
        <f t="shared" si="1249"/>
        <v>0</v>
      </c>
      <c r="BT139" s="43">
        <f t="shared" si="1249"/>
        <v>0</v>
      </c>
      <c r="BU139" s="43">
        <f t="shared" si="1249"/>
        <v>50766.400000000001</v>
      </c>
      <c r="BV139" s="43">
        <f t="shared" ref="BV139:BX139" si="1250">+SUM(BV132:BV138)</f>
        <v>50766.400000000001</v>
      </c>
      <c r="BW139" s="43">
        <f t="shared" ref="BW139:BY139" si="1251">+SUM(BW132:BW138)</f>
        <v>47215.9</v>
      </c>
      <c r="BX139" s="43">
        <f t="shared" si="1250"/>
        <v>47215.9</v>
      </c>
      <c r="BY139" s="43">
        <f t="shared" si="1251"/>
        <v>43092.299999999996</v>
      </c>
      <c r="BZ139" s="44">
        <f t="shared" ref="BZ139" si="1252">+SUM(BZ132:BZ138)</f>
        <v>43092.299999999996</v>
      </c>
      <c r="CA139" s="44">
        <f t="shared" ref="CA139" si="1253">+SUM(CA132:CA138)</f>
        <v>43092.299999999996</v>
      </c>
      <c r="CB139" s="44">
        <f t="shared" ref="CB139" si="1254">+SUM(CB132:CB138)</f>
        <v>43092.299999999996</v>
      </c>
      <c r="CC139" s="44">
        <f t="shared" ref="CC139" si="1255">+SUM(CC132:CC138)</f>
        <v>43092.299999999996</v>
      </c>
      <c r="CD139" s="44">
        <f t="shared" ref="CD139" si="1256">+SUM(CD132:CD138)</f>
        <v>43092.299999999996</v>
      </c>
      <c r="CE139" s="44">
        <f t="shared" ref="CE139" si="1257">+SUM(CE132:CE138)</f>
        <v>43092.299999999996</v>
      </c>
      <c r="CF139" s="44">
        <f t="shared" ref="CF139" si="1258">+SUM(CF132:CF138)</f>
        <v>43092.299999999996</v>
      </c>
      <c r="CG139" s="44">
        <f t="shared" ref="CG139" si="1259">+SUM(CG132:CG138)</f>
        <v>43092.299999999996</v>
      </c>
      <c r="CH139" s="44">
        <f t="shared" ref="CH139" si="1260">+SUM(CH132:CH138)</f>
        <v>43092.299999999996</v>
      </c>
      <c r="CI139" s="44">
        <f t="shared" ref="CI139" si="1261">+SUM(CI132:CI138)</f>
        <v>43092.299999999996</v>
      </c>
      <c r="CJ139" s="44">
        <f t="shared" ref="CJ139" si="1262">+SUM(CJ132:CJ138)</f>
        <v>43092.299999999996</v>
      </c>
      <c r="CK139" s="44">
        <f t="shared" ref="CK139" si="1263">+SUM(CK132:CK138)</f>
        <v>43092.299999999996</v>
      </c>
      <c r="CL139" s="44">
        <f t="shared" ref="CL139" si="1264">+SUM(CL132:CL138)</f>
        <v>43092.299999999996</v>
      </c>
      <c r="CM139" s="44">
        <f t="shared" ref="CM139" si="1265">+SUM(CM132:CM138)</f>
        <v>43092.299999999996</v>
      </c>
      <c r="CN139" s="44">
        <f t="shared" ref="CN139" si="1266">+SUM(CN132:CN138)</f>
        <v>43092.299999999996</v>
      </c>
      <c r="CO139" s="44">
        <f t="shared" ref="CO139" si="1267">+SUM(CO132:CO138)</f>
        <v>43092.299999999996</v>
      </c>
      <c r="CT139" s="43">
        <v>42021.7</v>
      </c>
    </row>
    <row r="140" spans="1:98" s="43" customFormat="1" x14ac:dyDescent="0.2">
      <c r="A140" s="43" t="s">
        <v>22</v>
      </c>
      <c r="B140" s="43">
        <f>+B131-B139</f>
        <v>0</v>
      </c>
      <c r="C140" s="43">
        <f t="shared" ref="C140:Z140" si="1268">+C131-C139</f>
        <v>0</v>
      </c>
      <c r="D140" s="43">
        <f t="shared" si="1268"/>
        <v>0</v>
      </c>
      <c r="E140" s="43">
        <f t="shared" si="1268"/>
        <v>0</v>
      </c>
      <c r="F140" s="43">
        <f t="shared" si="1268"/>
        <v>0</v>
      </c>
      <c r="G140" s="43">
        <f t="shared" si="1268"/>
        <v>0</v>
      </c>
      <c r="H140" s="43">
        <f t="shared" si="1268"/>
        <v>0</v>
      </c>
      <c r="I140" s="43">
        <f t="shared" si="1268"/>
        <v>-2.2108852999999997</v>
      </c>
      <c r="J140" s="43">
        <f t="shared" si="1268"/>
        <v>-8.9310267000000003</v>
      </c>
      <c r="K140" s="43">
        <f t="shared" si="1268"/>
        <v>-19.26473</v>
      </c>
      <c r="L140" s="43">
        <f t="shared" si="1268"/>
        <v>-100.19992910000001</v>
      </c>
      <c r="M140" s="43">
        <f t="shared" si="1268"/>
        <v>-257.3300000000001</v>
      </c>
      <c r="N140" s="43">
        <f t="shared" si="1268"/>
        <v>-364.9199999999999</v>
      </c>
      <c r="O140" s="43">
        <f t="shared" si="1268"/>
        <v>-1180.1999999999998</v>
      </c>
      <c r="P140" s="43">
        <f t="shared" si="1268"/>
        <v>-1720.5899999999995</v>
      </c>
      <c r="Q140" s="43">
        <f t="shared" si="1268"/>
        <v>-2549.2300000000005</v>
      </c>
      <c r="R140" s="43">
        <f t="shared" si="1268"/>
        <v>-3003.98</v>
      </c>
      <c r="S140" s="43">
        <f t="shared" si="1268"/>
        <v>-3526.28</v>
      </c>
      <c r="T140" s="43">
        <f t="shared" si="1268"/>
        <v>-4367.6899999999996</v>
      </c>
      <c r="U140" s="43">
        <f t="shared" si="1268"/>
        <v>-3279.63</v>
      </c>
      <c r="V140" s="43">
        <f t="shared" si="1268"/>
        <v>-4257.1100000000006</v>
      </c>
      <c r="W140" s="43">
        <f t="shared" si="1268"/>
        <v>-4258.6099999999997</v>
      </c>
      <c r="X140" s="43">
        <f t="shared" si="1268"/>
        <v>-4486.09</v>
      </c>
      <c r="Y140" s="43">
        <f t="shared" si="1268"/>
        <v>-5348.1100000000006</v>
      </c>
      <c r="Z140" s="43">
        <f t="shared" si="1268"/>
        <v>-4075.0199999999995</v>
      </c>
      <c r="AA140" s="43">
        <f t="shared" ref="AA140" si="1269">+AA131-AA139</f>
        <v>-3436.2199999999993</v>
      </c>
      <c r="AB140" s="44">
        <f t="shared" ref="AB140:AE140" si="1270">+AB131-AB139</f>
        <v>-40789.999999999993</v>
      </c>
      <c r="AC140" s="44">
        <f t="shared" si="1270"/>
        <v>-40789.999999999993</v>
      </c>
      <c r="AD140" s="44">
        <f t="shared" si="1270"/>
        <v>-40789.999999999993</v>
      </c>
      <c r="AE140" s="44">
        <f t="shared" si="1270"/>
        <v>-40789.999999999993</v>
      </c>
      <c r="AG140" s="62"/>
      <c r="AH140" s="43">
        <f t="shared" ref="AH140" si="1271">+AH131-AH139</f>
        <v>0</v>
      </c>
      <c r="AI140" s="43">
        <f t="shared" ref="AI140:AT140" si="1272">+AI131-AI139</f>
        <v>0</v>
      </c>
      <c r="AJ140" s="43">
        <f t="shared" si="1272"/>
        <v>0</v>
      </c>
      <c r="AK140" s="43">
        <f t="shared" si="1272"/>
        <v>0</v>
      </c>
      <c r="AL140" s="43">
        <f t="shared" si="1272"/>
        <v>0</v>
      </c>
      <c r="AM140" s="43">
        <f t="shared" si="1272"/>
        <v>0</v>
      </c>
      <c r="AN140" s="43">
        <f t="shared" si="1272"/>
        <v>0</v>
      </c>
      <c r="AO140" s="43">
        <f t="shared" si="1272"/>
        <v>0</v>
      </c>
      <c r="AP140" s="43">
        <f t="shared" si="1272"/>
        <v>0</v>
      </c>
      <c r="AQ140" s="43">
        <f t="shared" si="1272"/>
        <v>0</v>
      </c>
      <c r="AR140" s="43">
        <f t="shared" si="1272"/>
        <v>0</v>
      </c>
      <c r="AS140" s="43">
        <f t="shared" si="1272"/>
        <v>0</v>
      </c>
      <c r="AT140" s="43">
        <f t="shared" si="1272"/>
        <v>0</v>
      </c>
      <c r="AU140" s="43">
        <f t="shared" ref="AU140" si="1273">+AU131-AU139</f>
        <v>0</v>
      </c>
      <c r="AV140" s="43">
        <f t="shared" ref="AV140:BU140" si="1274">+AV131-AV139</f>
        <v>0</v>
      </c>
      <c r="AW140" s="43">
        <f t="shared" si="1274"/>
        <v>0</v>
      </c>
      <c r="AX140" s="43">
        <f t="shared" si="1274"/>
        <v>0</v>
      </c>
      <c r="AY140" s="43">
        <f t="shared" si="1274"/>
        <v>0</v>
      </c>
      <c r="AZ140" s="43">
        <f t="shared" si="1274"/>
        <v>0</v>
      </c>
      <c r="BA140" s="43">
        <f t="shared" si="1274"/>
        <v>0</v>
      </c>
      <c r="BB140" s="43">
        <f t="shared" si="1274"/>
        <v>0</v>
      </c>
      <c r="BC140" s="43">
        <f t="shared" si="1274"/>
        <v>0</v>
      </c>
      <c r="BD140" s="43">
        <f t="shared" si="1274"/>
        <v>0</v>
      </c>
      <c r="BE140" s="43">
        <f t="shared" si="1274"/>
        <v>0</v>
      </c>
      <c r="BF140" s="43">
        <f t="shared" si="1274"/>
        <v>0</v>
      </c>
      <c r="BG140" s="43">
        <f t="shared" si="1274"/>
        <v>0</v>
      </c>
      <c r="BH140" s="43">
        <f t="shared" si="1274"/>
        <v>0</v>
      </c>
      <c r="BI140" s="43">
        <f t="shared" si="1274"/>
        <v>0</v>
      </c>
      <c r="BJ140" s="43">
        <f t="shared" si="1274"/>
        <v>0</v>
      </c>
      <c r="BK140" s="43">
        <f t="shared" si="1274"/>
        <v>0</v>
      </c>
      <c r="BL140" s="43">
        <f t="shared" si="1274"/>
        <v>0</v>
      </c>
      <c r="BM140" s="43">
        <f t="shared" si="1274"/>
        <v>0</v>
      </c>
      <c r="BN140" s="43">
        <f t="shared" si="1274"/>
        <v>0</v>
      </c>
      <c r="BO140" s="43">
        <f t="shared" si="1274"/>
        <v>0</v>
      </c>
      <c r="BP140" s="43">
        <f t="shared" si="1274"/>
        <v>0</v>
      </c>
      <c r="BQ140" s="43">
        <f t="shared" si="1274"/>
        <v>0</v>
      </c>
      <c r="BR140" s="43">
        <f t="shared" si="1274"/>
        <v>0</v>
      </c>
      <c r="BS140" s="43">
        <f t="shared" si="1274"/>
        <v>0</v>
      </c>
      <c r="BT140" s="43">
        <f t="shared" si="1274"/>
        <v>0</v>
      </c>
      <c r="BU140" s="43">
        <f t="shared" si="1274"/>
        <v>-49649.1</v>
      </c>
      <c r="BV140" s="43">
        <f t="shared" ref="BV140:BX140" si="1275">+BV131-BV139</f>
        <v>-49649.1</v>
      </c>
      <c r="BW140" s="43">
        <f t="shared" ref="BW140:BY140" si="1276">+BW131-BW139</f>
        <v>-45807.700000000004</v>
      </c>
      <c r="BX140" s="43">
        <f t="shared" si="1275"/>
        <v>-45807.700000000004</v>
      </c>
      <c r="BY140" s="43">
        <f t="shared" si="1276"/>
        <v>-40789.999999999993</v>
      </c>
      <c r="BZ140" s="44">
        <f t="shared" ref="BZ140" si="1277">+BZ131-BZ139</f>
        <v>-40789.999999999993</v>
      </c>
      <c r="CA140" s="44">
        <f t="shared" ref="CA140" si="1278">+CA131-CA139</f>
        <v>-40789.999999999993</v>
      </c>
      <c r="CB140" s="44">
        <f t="shared" ref="CB140" si="1279">+CB131-CB139</f>
        <v>-40789.999999999993</v>
      </c>
      <c r="CC140" s="44">
        <f t="shared" ref="CC140" si="1280">+CC131-CC139</f>
        <v>-40789.999999999993</v>
      </c>
      <c r="CD140" s="44">
        <f t="shared" ref="CD140" si="1281">+CD131-CD139</f>
        <v>-40789.999999999993</v>
      </c>
      <c r="CE140" s="44">
        <f t="shared" ref="CE140" si="1282">+CE131-CE139</f>
        <v>-40789.999999999993</v>
      </c>
      <c r="CF140" s="44">
        <f t="shared" ref="CF140" si="1283">+CF131-CF139</f>
        <v>-40789.999999999993</v>
      </c>
      <c r="CG140" s="44">
        <f t="shared" ref="CG140" si="1284">+CG131-CG139</f>
        <v>-40789.999999999993</v>
      </c>
      <c r="CH140" s="44">
        <f t="shared" ref="CH140" si="1285">+CH131-CH139</f>
        <v>-40789.999999999993</v>
      </c>
      <c r="CI140" s="44">
        <f t="shared" ref="CI140" si="1286">+CI131-CI139</f>
        <v>-40789.999999999993</v>
      </c>
      <c r="CJ140" s="44">
        <f t="shared" ref="CJ140" si="1287">+CJ131-CJ139</f>
        <v>-40789.999999999993</v>
      </c>
      <c r="CK140" s="44">
        <f t="shared" ref="CK140" si="1288">+CK131-CK139</f>
        <v>-40789.999999999993</v>
      </c>
      <c r="CL140" s="44">
        <f t="shared" ref="CL140" si="1289">+CL131-CL139</f>
        <v>-40789.999999999993</v>
      </c>
      <c r="CM140" s="44">
        <f t="shared" ref="CM140" si="1290">+CM131-CM139</f>
        <v>-40789.999999999993</v>
      </c>
      <c r="CN140" s="44">
        <f t="shared" ref="CN140" si="1291">+CN131-CN139</f>
        <v>-40789.999999999993</v>
      </c>
      <c r="CO140" s="44">
        <f t="shared" ref="CO140" si="1292">+CO131-CO139</f>
        <v>-40789.999999999993</v>
      </c>
      <c r="CT140" s="43">
        <v>-40629</v>
      </c>
    </row>
    <row r="141" spans="1:98" s="38" customFormat="1" x14ac:dyDescent="0.2">
      <c r="AB141" s="39"/>
      <c r="AC141" s="39"/>
      <c r="AD141" s="39"/>
      <c r="AE141" s="39"/>
      <c r="AG141" s="60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38" customFormat="1" x14ac:dyDescent="0.2">
      <c r="A142" s="38" t="s">
        <v>249</v>
      </c>
      <c r="B142" s="38">
        <f>+'Annual Raw'!C119</f>
        <v>0</v>
      </c>
      <c r="C142" s="38">
        <f>+'Annual Raw'!D119</f>
        <v>0</v>
      </c>
      <c r="D142" s="38">
        <f>+'Annual Raw'!E119</f>
        <v>0</v>
      </c>
      <c r="E142" s="38">
        <f>+'Annual Raw'!F119</f>
        <v>0</v>
      </c>
      <c r="F142" s="38">
        <f>+'Annual Raw'!G119</f>
        <v>0</v>
      </c>
      <c r="G142" s="38">
        <f>+'Annual Raw'!H119</f>
        <v>0</v>
      </c>
      <c r="H142" s="38">
        <f>+'Annual Raw'!I119</f>
        <v>0</v>
      </c>
      <c r="I142" s="38">
        <f>+'Annual Raw'!J119</f>
        <v>0</v>
      </c>
      <c r="J142" s="38">
        <f>+'Annual Raw'!K119</f>
        <v>0</v>
      </c>
      <c r="K142" s="38">
        <f>+'Annual Raw'!L119</f>
        <v>0</v>
      </c>
      <c r="L142" s="38">
        <f>+'Annual Raw'!M119</f>
        <v>30</v>
      </c>
      <c r="M142" s="38">
        <f>+'Annual Raw'!N119</f>
        <v>0</v>
      </c>
      <c r="N142" s="38">
        <f>+'Annual Raw'!O119</f>
        <v>0</v>
      </c>
      <c r="O142" s="38">
        <f>+'Annual Raw'!P119</f>
        <v>0</v>
      </c>
      <c r="P142" s="38">
        <f>+'Annual Raw'!Q119</f>
        <v>425</v>
      </c>
      <c r="Q142" s="38">
        <f>+'Annual Raw'!R119</f>
        <v>300</v>
      </c>
      <c r="R142" s="38">
        <f>+'Annual Raw'!S119</f>
        <v>400</v>
      </c>
      <c r="S142" s="38">
        <f>+'Annual Raw'!T119</f>
        <v>400.55</v>
      </c>
      <c r="T142" s="38">
        <f>+'Annual Raw'!U119</f>
        <v>567.41</v>
      </c>
      <c r="U142" s="38">
        <f>+'Annual Raw'!V119</f>
        <v>1744.81</v>
      </c>
      <c r="V142" s="38">
        <f>+'Annual Raw'!W119</f>
        <v>1455.03</v>
      </c>
      <c r="W142" s="38">
        <f>+'Annual Raw'!X119</f>
        <v>2144.02</v>
      </c>
      <c r="X142" s="38">
        <f>+'Annual Raw'!Y119</f>
        <v>1185.31</v>
      </c>
      <c r="Y142" s="38">
        <f>+'Annual Raw'!Z119</f>
        <v>3340.7</v>
      </c>
      <c r="Z142" s="38">
        <f>+'Annual Raw'!AA119</f>
        <v>2044.09</v>
      </c>
      <c r="AA142" s="38">
        <f>+'Annual Raw'!AB119</f>
        <v>3742.21</v>
      </c>
      <c r="AB142" s="39">
        <f>+CC142</f>
        <v>4330.7203102681087</v>
      </c>
      <c r="AC142" s="39">
        <f>+CG142</f>
        <v>2190.2013045083149</v>
      </c>
      <c r="AD142" s="39">
        <f>+CK142</f>
        <v>-101.21578530539409</v>
      </c>
      <c r="AE142" s="39">
        <f>+CO142</f>
        <v>-2550.9446047454257</v>
      </c>
      <c r="AG142" s="60"/>
      <c r="AH142" s="38">
        <f>+'QTR Raw'!D78</f>
        <v>0</v>
      </c>
      <c r="AI142" s="38">
        <f>+'QTR Raw'!E78</f>
        <v>0</v>
      </c>
      <c r="AJ142" s="38">
        <f>+'QTR Raw'!F78</f>
        <v>0</v>
      </c>
      <c r="AK142" s="38">
        <f>+'QTR Raw'!G78</f>
        <v>0</v>
      </c>
      <c r="AL142" s="38">
        <f>+'QTR Raw'!H78</f>
        <v>0</v>
      </c>
      <c r="AM142" s="38">
        <f>+'QTR Raw'!I78</f>
        <v>0</v>
      </c>
      <c r="AN142" s="38">
        <f>+'QTR Raw'!J78</f>
        <v>0</v>
      </c>
      <c r="AO142" s="38">
        <f>+'QTR Raw'!K78</f>
        <v>0</v>
      </c>
      <c r="AP142" s="38">
        <f>+'QTR Raw'!L78</f>
        <v>0</v>
      </c>
      <c r="AQ142" s="38">
        <f>+'QTR Raw'!M78</f>
        <v>0</v>
      </c>
      <c r="AR142" s="38">
        <f>+'QTR Raw'!N78</f>
        <v>0</v>
      </c>
      <c r="AS142" s="38">
        <f>+'QTR Raw'!O78</f>
        <v>0</v>
      </c>
      <c r="AT142" s="38">
        <f>+'QTR Raw'!P78</f>
        <v>0</v>
      </c>
      <c r="AU142" s="38">
        <f>+'QTR Raw'!Q78</f>
        <v>0</v>
      </c>
      <c r="AV142" s="38">
        <f>+'QTR Raw'!R78</f>
        <v>0</v>
      </c>
      <c r="AW142" s="38">
        <f>+'QTR Raw'!S78</f>
        <v>0</v>
      </c>
      <c r="AX142" s="38">
        <f>+'QTR Raw'!T78</f>
        <v>0</v>
      </c>
      <c r="AY142" s="38">
        <f>+'QTR Raw'!U78</f>
        <v>0</v>
      </c>
      <c r="AZ142" s="38">
        <f>+'QTR Raw'!V78</f>
        <v>0</v>
      </c>
      <c r="BA142" s="38">
        <f>+'QTR Raw'!W78</f>
        <v>0</v>
      </c>
      <c r="BB142" s="38">
        <f>+'QTR Raw'!X78</f>
        <v>0</v>
      </c>
      <c r="BC142" s="38">
        <f>+'QTR Raw'!Y78</f>
        <v>0</v>
      </c>
      <c r="BD142" s="38">
        <f>+'QTR Raw'!Z78</f>
        <v>0</v>
      </c>
      <c r="BE142" s="38">
        <f>+'QTR Raw'!AA78</f>
        <v>0</v>
      </c>
      <c r="BF142" s="38">
        <f>+'QTR Raw'!AB78</f>
        <v>0</v>
      </c>
      <c r="BG142" s="38">
        <f>+'QTR Raw'!AC78</f>
        <v>0</v>
      </c>
      <c r="BH142" s="38">
        <f>+'QTR Raw'!AD78</f>
        <v>0</v>
      </c>
      <c r="BI142" s="38">
        <f>+'QTR Raw'!AE78</f>
        <v>0</v>
      </c>
      <c r="BJ142" s="38">
        <f>+'QTR Raw'!AF78</f>
        <v>0</v>
      </c>
      <c r="BK142" s="38">
        <f>+'QTR Raw'!AG78</f>
        <v>0</v>
      </c>
      <c r="BL142" s="38">
        <f>+'QTR Raw'!AH78</f>
        <v>0</v>
      </c>
      <c r="BM142" s="38">
        <f>+'QTR Raw'!AI78</f>
        <v>0</v>
      </c>
      <c r="BN142" s="38">
        <f>+'QTR Raw'!AJ78</f>
        <v>0</v>
      </c>
      <c r="BO142" s="38">
        <f>+'QTR Raw'!AK78</f>
        <v>0</v>
      </c>
      <c r="BP142" s="38">
        <f>+'QTR Raw'!AL78</f>
        <v>0</v>
      </c>
      <c r="BQ142" s="38">
        <f>+'QTR Raw'!AM78</f>
        <v>0</v>
      </c>
      <c r="BR142" s="38">
        <f>+'QTR Raw'!AN78</f>
        <v>0</v>
      </c>
      <c r="BS142" s="38">
        <f>+'QTR Raw'!AO78</f>
        <v>0</v>
      </c>
      <c r="BT142" s="38">
        <f>+'QTR Raw'!AP78</f>
        <v>0</v>
      </c>
      <c r="BU142" s="38">
        <f>+'QTR Raw'!AQ78</f>
        <v>2060.1</v>
      </c>
      <c r="BV142" s="38">
        <f>BU142</f>
        <v>2060.1</v>
      </c>
      <c r="BW142" s="38">
        <f>+'QTR Raw'!AS78</f>
        <v>3076.5</v>
      </c>
      <c r="BX142" s="38">
        <f>BW142</f>
        <v>3076.5</v>
      </c>
      <c r="BY142" s="38">
        <f>+'QTR Raw'!AU78</f>
        <v>3747.6</v>
      </c>
      <c r="BZ142" s="39">
        <f t="shared" ref="BZ142:CO142" si="1293">+BZ109-BZ140-BZ123-BZ114</f>
        <v>7294.8867514778249</v>
      </c>
      <c r="CA142" s="39">
        <f t="shared" si="1293"/>
        <v>5964.8588614989858</v>
      </c>
      <c r="CB142" s="39">
        <f t="shared" si="1293"/>
        <v>6975.1364014466672</v>
      </c>
      <c r="CC142" s="39">
        <f t="shared" si="1293"/>
        <v>4330.7203102681087</v>
      </c>
      <c r="CD142" s="39">
        <f t="shared" si="1293"/>
        <v>5419.6888676462549</v>
      </c>
      <c r="CE142" s="39">
        <f t="shared" si="1293"/>
        <v>3942.5789658258145</v>
      </c>
      <c r="CF142" s="39">
        <f t="shared" si="1293"/>
        <v>5089.2724580264185</v>
      </c>
      <c r="CG142" s="39">
        <f t="shared" si="1293"/>
        <v>2190.2013045083149</v>
      </c>
      <c r="CH142" s="39">
        <f t="shared" si="1293"/>
        <v>3414.0398257467023</v>
      </c>
      <c r="CI142" s="39">
        <f t="shared" si="1293"/>
        <v>1793.91520272661</v>
      </c>
      <c r="CJ142" s="39">
        <f t="shared" si="1293"/>
        <v>3091.4402310148289</v>
      </c>
      <c r="CK142" s="39">
        <f t="shared" si="1293"/>
        <v>-101.21578530539409</v>
      </c>
      <c r="CL142" s="39">
        <f t="shared" si="1293"/>
        <v>1278.4654772634676</v>
      </c>
      <c r="CM142" s="39">
        <f t="shared" si="1293"/>
        <v>-496.30448248039465</v>
      </c>
      <c r="CN142" s="39">
        <f t="shared" si="1293"/>
        <v>968.06436058631516</v>
      </c>
      <c r="CO142" s="39">
        <f t="shared" si="1293"/>
        <v>-2550.9446047454257</v>
      </c>
      <c r="CT142" s="38">
        <v>3747.6</v>
      </c>
    </row>
    <row r="143" spans="1:98" s="38" customFormat="1" x14ac:dyDescent="0.2">
      <c r="A143" s="38" t="s">
        <v>224</v>
      </c>
      <c r="B143" s="38">
        <f>+'Annual Raw'!C122</f>
        <v>0</v>
      </c>
      <c r="C143" s="38">
        <f>+'Annual Raw'!D122</f>
        <v>0</v>
      </c>
      <c r="D143" s="38">
        <f>+'Annual Raw'!E122</f>
        <v>0</v>
      </c>
      <c r="E143" s="38">
        <f>+'Annual Raw'!F122</f>
        <v>0</v>
      </c>
      <c r="F143" s="38">
        <f>+'Annual Raw'!G122</f>
        <v>0</v>
      </c>
      <c r="G143" s="38">
        <f>+'Annual Raw'!H122</f>
        <v>0</v>
      </c>
      <c r="H143" s="38">
        <f>+'Annual Raw'!I122</f>
        <v>0</v>
      </c>
      <c r="I143" s="38">
        <f>+'Annual Raw'!J122</f>
        <v>97.988853800000001</v>
      </c>
      <c r="J143" s="38">
        <f>+'Annual Raw'!K122</f>
        <v>35.005566299999998</v>
      </c>
      <c r="K143" s="38">
        <f>+'Annual Raw'!L122</f>
        <v>12.911572899999999</v>
      </c>
      <c r="L143" s="38">
        <f>+'Annual Raw'!M122</f>
        <v>168.33586460000001</v>
      </c>
      <c r="M143" s="38">
        <f>+'Annual Raw'!N122</f>
        <v>17.649999999999999</v>
      </c>
      <c r="N143" s="38">
        <f>+'Annual Raw'!O122</f>
        <v>11.56</v>
      </c>
      <c r="O143" s="38">
        <f>+'Annual Raw'!P122</f>
        <v>139.82</v>
      </c>
      <c r="P143" s="38">
        <f>+'Annual Raw'!Q122</f>
        <v>123.27</v>
      </c>
      <c r="Q143" s="38">
        <f>+'Annual Raw'!R122</f>
        <v>135.04</v>
      </c>
      <c r="R143" s="38">
        <f>+'Annual Raw'!S122</f>
        <v>188.7</v>
      </c>
      <c r="S143" s="38">
        <f>+'Annual Raw'!T122</f>
        <v>137.4</v>
      </c>
      <c r="T143" s="38">
        <f>+'Annual Raw'!U122</f>
        <v>488.51</v>
      </c>
      <c r="U143" s="38">
        <f>+'Annual Raw'!V122</f>
        <v>563.17999999999995</v>
      </c>
      <c r="V143" s="38">
        <f>+'Annual Raw'!W122</f>
        <v>974.01</v>
      </c>
      <c r="W143" s="38">
        <f>+'Annual Raw'!X122</f>
        <v>653.39</v>
      </c>
      <c r="X143" s="38">
        <f>+'Annual Raw'!Y122</f>
        <v>653.82000000000005</v>
      </c>
      <c r="Y143" s="38">
        <f>+'Annual Raw'!Z122</f>
        <v>696.13</v>
      </c>
      <c r="Z143" s="38">
        <f>+'Annual Raw'!AA122</f>
        <v>953.3</v>
      </c>
      <c r="AA143" s="38">
        <f>+'Annual Raw'!AB122</f>
        <v>1342.96</v>
      </c>
      <c r="AB143" s="39"/>
      <c r="AC143" s="39"/>
      <c r="AD143" s="39"/>
      <c r="AE143" s="39"/>
      <c r="AG143" s="60"/>
      <c r="AH143" s="38">
        <f>+'QTR Raw'!D81</f>
        <v>0</v>
      </c>
      <c r="AI143" s="38">
        <f>+'QTR Raw'!E81</f>
        <v>0</v>
      </c>
      <c r="AJ143" s="38">
        <f>+'QTR Raw'!F81</f>
        <v>0</v>
      </c>
      <c r="AK143" s="38">
        <f>+'QTR Raw'!G81</f>
        <v>0</v>
      </c>
      <c r="AL143" s="38">
        <f>+'QTR Raw'!H81</f>
        <v>0</v>
      </c>
      <c r="AM143" s="38">
        <f>+'QTR Raw'!I81</f>
        <v>0</v>
      </c>
      <c r="AN143" s="38">
        <f>+'QTR Raw'!J81</f>
        <v>0</v>
      </c>
      <c r="AO143" s="38">
        <f>+'QTR Raw'!K81</f>
        <v>0</v>
      </c>
      <c r="AP143" s="38">
        <f>+'QTR Raw'!L81</f>
        <v>0</v>
      </c>
      <c r="AQ143" s="38">
        <f>+'QTR Raw'!M81</f>
        <v>0</v>
      </c>
      <c r="AR143" s="38">
        <f>+'QTR Raw'!N81</f>
        <v>0</v>
      </c>
      <c r="AS143" s="38">
        <f>+'QTR Raw'!O81</f>
        <v>0</v>
      </c>
      <c r="AT143" s="38">
        <f>+'QTR Raw'!P81</f>
        <v>0</v>
      </c>
      <c r="AU143" s="38">
        <f>+'QTR Raw'!Q81</f>
        <v>0</v>
      </c>
      <c r="AV143" s="38">
        <f>+'QTR Raw'!R81</f>
        <v>0</v>
      </c>
      <c r="AW143" s="38">
        <f>+'QTR Raw'!S81</f>
        <v>0</v>
      </c>
      <c r="AX143" s="38">
        <f>+'QTR Raw'!T81</f>
        <v>0</v>
      </c>
      <c r="AY143" s="38">
        <f>+'QTR Raw'!U81</f>
        <v>0</v>
      </c>
      <c r="AZ143" s="38">
        <f>+'QTR Raw'!V81</f>
        <v>0</v>
      </c>
      <c r="BA143" s="38">
        <f>+'QTR Raw'!W81</f>
        <v>0</v>
      </c>
      <c r="BB143" s="38">
        <f>+'QTR Raw'!X81</f>
        <v>0</v>
      </c>
      <c r="BC143" s="38">
        <f>+'QTR Raw'!Y81</f>
        <v>0</v>
      </c>
      <c r="BD143" s="38">
        <f>+'QTR Raw'!Z81</f>
        <v>0</v>
      </c>
      <c r="BE143" s="38">
        <f>+'QTR Raw'!AA81</f>
        <v>0</v>
      </c>
      <c r="BF143" s="38">
        <f>+'QTR Raw'!AB81</f>
        <v>0</v>
      </c>
      <c r="BG143" s="38">
        <f>+'QTR Raw'!AC81</f>
        <v>0</v>
      </c>
      <c r="BH143" s="38">
        <f>+'QTR Raw'!AD81</f>
        <v>0</v>
      </c>
      <c r="BI143" s="38">
        <f>+'QTR Raw'!AE81</f>
        <v>0</v>
      </c>
      <c r="BJ143" s="38">
        <f>+'QTR Raw'!AF81</f>
        <v>0</v>
      </c>
      <c r="BK143" s="38">
        <f>+'QTR Raw'!AG81</f>
        <v>0</v>
      </c>
      <c r="BL143" s="38">
        <f>+'QTR Raw'!AH81</f>
        <v>0</v>
      </c>
      <c r="BM143" s="38">
        <f>+'QTR Raw'!AI81</f>
        <v>0</v>
      </c>
      <c r="BN143" s="38">
        <f>+'QTR Raw'!AJ81</f>
        <v>0</v>
      </c>
      <c r="BO143" s="38">
        <f>+'QTR Raw'!AK81</f>
        <v>0</v>
      </c>
      <c r="BP143" s="38">
        <f>+'QTR Raw'!AL81</f>
        <v>0</v>
      </c>
      <c r="BQ143" s="38">
        <f>+'QTR Raw'!AM81</f>
        <v>0</v>
      </c>
      <c r="BR143" s="38">
        <f>+'QTR Raw'!AN81</f>
        <v>0</v>
      </c>
      <c r="BS143" s="38">
        <f>+'QTR Raw'!AO81</f>
        <v>0</v>
      </c>
      <c r="BT143" s="38">
        <f>+'QTR Raw'!AP81</f>
        <v>0</v>
      </c>
      <c r="BU143" s="38">
        <f>+'QTR Raw'!AQ81</f>
        <v>984.3</v>
      </c>
      <c r="BV143" s="38">
        <f>BU143+BV50</f>
        <v>1551.9999999999998</v>
      </c>
      <c r="BW143" s="38">
        <f>+'QTR Raw'!AS81</f>
        <v>1344</v>
      </c>
      <c r="BX143" s="38">
        <f>BW143+BX50</f>
        <v>1987.9</v>
      </c>
      <c r="BY143" s="38">
        <f>+'QTR Raw'!AU81</f>
        <v>1673.6</v>
      </c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T143" s="38">
        <v>1342.96</v>
      </c>
    </row>
    <row r="144" spans="1:98" s="43" customFormat="1" x14ac:dyDescent="0.2">
      <c r="A144" s="43" t="s">
        <v>250</v>
      </c>
      <c r="B144" s="43">
        <f t="shared" ref="B144:O144" si="1294">+B142+B143</f>
        <v>0</v>
      </c>
      <c r="C144" s="43">
        <f t="shared" si="1294"/>
        <v>0</v>
      </c>
      <c r="D144" s="43">
        <f t="shared" si="1294"/>
        <v>0</v>
      </c>
      <c r="E144" s="43">
        <f t="shared" si="1294"/>
        <v>0</v>
      </c>
      <c r="F144" s="43">
        <f t="shared" si="1294"/>
        <v>0</v>
      </c>
      <c r="G144" s="43">
        <f t="shared" si="1294"/>
        <v>0</v>
      </c>
      <c r="H144" s="43">
        <f t="shared" si="1294"/>
        <v>0</v>
      </c>
      <c r="I144" s="43">
        <f t="shared" si="1294"/>
        <v>97.988853800000001</v>
      </c>
      <c r="J144" s="43">
        <f t="shared" si="1294"/>
        <v>35.005566299999998</v>
      </c>
      <c r="K144" s="43">
        <f t="shared" si="1294"/>
        <v>12.911572899999999</v>
      </c>
      <c r="L144" s="43">
        <f t="shared" si="1294"/>
        <v>198.33586460000001</v>
      </c>
      <c r="M144" s="43">
        <f t="shared" si="1294"/>
        <v>17.649999999999999</v>
      </c>
      <c r="N144" s="43">
        <f t="shared" si="1294"/>
        <v>11.56</v>
      </c>
      <c r="O144" s="43">
        <f t="shared" si="1294"/>
        <v>139.82</v>
      </c>
      <c r="P144" s="43">
        <f>+P142+P143</f>
        <v>548.27</v>
      </c>
      <c r="Q144" s="43">
        <f t="shared" ref="Q144:AE144" si="1295">+Q142+Q143</f>
        <v>435.03999999999996</v>
      </c>
      <c r="R144" s="43">
        <f t="shared" si="1295"/>
        <v>588.70000000000005</v>
      </c>
      <c r="S144" s="43">
        <f t="shared" si="1295"/>
        <v>537.95000000000005</v>
      </c>
      <c r="T144" s="43">
        <f t="shared" si="1295"/>
        <v>1055.92</v>
      </c>
      <c r="U144" s="43">
        <f t="shared" si="1295"/>
        <v>2307.9899999999998</v>
      </c>
      <c r="V144" s="43">
        <f t="shared" si="1295"/>
        <v>2429.04</v>
      </c>
      <c r="W144" s="43">
        <f t="shared" si="1295"/>
        <v>2797.41</v>
      </c>
      <c r="X144" s="43">
        <f t="shared" si="1295"/>
        <v>1839.13</v>
      </c>
      <c r="Y144" s="43">
        <f t="shared" si="1295"/>
        <v>4036.83</v>
      </c>
      <c r="Z144" s="43">
        <f t="shared" si="1295"/>
        <v>2997.39</v>
      </c>
      <c r="AA144" s="43">
        <f t="shared" ref="AA144" si="1296">+AA142+AA143</f>
        <v>5085.17</v>
      </c>
      <c r="AB144" s="44">
        <f t="shared" si="1295"/>
        <v>4330.7203102681087</v>
      </c>
      <c r="AC144" s="44">
        <f t="shared" si="1295"/>
        <v>2190.2013045083149</v>
      </c>
      <c r="AD144" s="44">
        <f t="shared" si="1295"/>
        <v>-101.21578530539409</v>
      </c>
      <c r="AE144" s="44">
        <f t="shared" si="1295"/>
        <v>-2550.9446047454257</v>
      </c>
      <c r="AG144" s="62"/>
      <c r="AH144" s="43">
        <f t="shared" ref="AH144" si="1297">+AH142+AH143</f>
        <v>0</v>
      </c>
      <c r="AI144" s="43">
        <f t="shared" ref="AI144:AT144" si="1298">+AI142+AI143</f>
        <v>0</v>
      </c>
      <c r="AJ144" s="43">
        <f t="shared" si="1298"/>
        <v>0</v>
      </c>
      <c r="AK144" s="43">
        <f t="shared" si="1298"/>
        <v>0</v>
      </c>
      <c r="AL144" s="43">
        <f t="shared" si="1298"/>
        <v>0</v>
      </c>
      <c r="AM144" s="43">
        <f t="shared" si="1298"/>
        <v>0</v>
      </c>
      <c r="AN144" s="43">
        <f t="shared" si="1298"/>
        <v>0</v>
      </c>
      <c r="AO144" s="43">
        <f t="shared" si="1298"/>
        <v>0</v>
      </c>
      <c r="AP144" s="43">
        <f t="shared" si="1298"/>
        <v>0</v>
      </c>
      <c r="AQ144" s="43">
        <f t="shared" si="1298"/>
        <v>0</v>
      </c>
      <c r="AR144" s="43">
        <f t="shared" si="1298"/>
        <v>0</v>
      </c>
      <c r="AS144" s="43">
        <f t="shared" si="1298"/>
        <v>0</v>
      </c>
      <c r="AT144" s="43">
        <f t="shared" si="1298"/>
        <v>0</v>
      </c>
      <c r="AU144" s="43">
        <f t="shared" ref="AU144" si="1299">+AU142+AU143</f>
        <v>0</v>
      </c>
      <c r="AV144" s="43">
        <f t="shared" ref="AV144:BU144" si="1300">+AV142+AV143</f>
        <v>0</v>
      </c>
      <c r="AW144" s="43">
        <f t="shared" si="1300"/>
        <v>0</v>
      </c>
      <c r="AX144" s="43">
        <f t="shared" si="1300"/>
        <v>0</v>
      </c>
      <c r="AY144" s="43">
        <f t="shared" si="1300"/>
        <v>0</v>
      </c>
      <c r="AZ144" s="43">
        <f t="shared" si="1300"/>
        <v>0</v>
      </c>
      <c r="BA144" s="43">
        <f t="shared" si="1300"/>
        <v>0</v>
      </c>
      <c r="BB144" s="43">
        <f t="shared" si="1300"/>
        <v>0</v>
      </c>
      <c r="BC144" s="43">
        <f t="shared" si="1300"/>
        <v>0</v>
      </c>
      <c r="BD144" s="43">
        <f t="shared" si="1300"/>
        <v>0</v>
      </c>
      <c r="BE144" s="43">
        <f t="shared" si="1300"/>
        <v>0</v>
      </c>
      <c r="BF144" s="43">
        <f t="shared" si="1300"/>
        <v>0</v>
      </c>
      <c r="BG144" s="43">
        <f t="shared" si="1300"/>
        <v>0</v>
      </c>
      <c r="BH144" s="43">
        <f t="shared" si="1300"/>
        <v>0</v>
      </c>
      <c r="BI144" s="43">
        <f t="shared" si="1300"/>
        <v>0</v>
      </c>
      <c r="BJ144" s="43">
        <f t="shared" si="1300"/>
        <v>0</v>
      </c>
      <c r="BK144" s="43">
        <f t="shared" si="1300"/>
        <v>0</v>
      </c>
      <c r="BL144" s="43">
        <f t="shared" si="1300"/>
        <v>0</v>
      </c>
      <c r="BM144" s="43">
        <f t="shared" si="1300"/>
        <v>0</v>
      </c>
      <c r="BN144" s="43">
        <f t="shared" si="1300"/>
        <v>0</v>
      </c>
      <c r="BO144" s="43">
        <f t="shared" si="1300"/>
        <v>0</v>
      </c>
      <c r="BP144" s="43">
        <f t="shared" si="1300"/>
        <v>0</v>
      </c>
      <c r="BQ144" s="43">
        <f t="shared" si="1300"/>
        <v>0</v>
      </c>
      <c r="BR144" s="43">
        <f t="shared" si="1300"/>
        <v>0</v>
      </c>
      <c r="BS144" s="43">
        <f t="shared" si="1300"/>
        <v>0</v>
      </c>
      <c r="BT144" s="43">
        <f t="shared" si="1300"/>
        <v>0</v>
      </c>
      <c r="BU144" s="43">
        <f t="shared" si="1300"/>
        <v>3044.3999999999996</v>
      </c>
      <c r="BV144" s="43">
        <f t="shared" ref="BV144:BX144" si="1301">+BV142+BV143</f>
        <v>3612.0999999999995</v>
      </c>
      <c r="BW144" s="43">
        <f t="shared" ref="BW144:BY144" si="1302">+BW142+BW143</f>
        <v>4420.5</v>
      </c>
      <c r="BX144" s="43">
        <f t="shared" si="1301"/>
        <v>5064.3999999999996</v>
      </c>
      <c r="BY144" s="43">
        <f t="shared" si="1302"/>
        <v>5421.2</v>
      </c>
      <c r="BZ144" s="44">
        <f t="shared" ref="BZ144" si="1303">+BZ142+BZ143</f>
        <v>7294.8867514778249</v>
      </c>
      <c r="CA144" s="44">
        <f t="shared" ref="CA144" si="1304">+CA142+CA143</f>
        <v>5964.8588614989858</v>
      </c>
      <c r="CB144" s="44">
        <f t="shared" ref="CB144" si="1305">+CB142+CB143</f>
        <v>6975.1364014466672</v>
      </c>
      <c r="CC144" s="44">
        <f t="shared" ref="CC144" si="1306">+CC142+CC143</f>
        <v>4330.7203102681087</v>
      </c>
      <c r="CD144" s="44">
        <f t="shared" ref="CD144" si="1307">+CD142+CD143</f>
        <v>5419.6888676462549</v>
      </c>
      <c r="CE144" s="44">
        <f t="shared" ref="CE144" si="1308">+CE142+CE143</f>
        <v>3942.5789658258145</v>
      </c>
      <c r="CF144" s="44">
        <f t="shared" ref="CF144" si="1309">+CF142+CF143</f>
        <v>5089.2724580264185</v>
      </c>
      <c r="CG144" s="44">
        <f t="shared" ref="CG144" si="1310">+CG142+CG143</f>
        <v>2190.2013045083149</v>
      </c>
      <c r="CH144" s="44">
        <f t="shared" ref="CH144" si="1311">+CH142+CH143</f>
        <v>3414.0398257467023</v>
      </c>
      <c r="CI144" s="44">
        <f t="shared" ref="CI144" si="1312">+CI142+CI143</f>
        <v>1793.91520272661</v>
      </c>
      <c r="CJ144" s="44">
        <f t="shared" ref="CJ144" si="1313">+CJ142+CJ143</f>
        <v>3091.4402310148289</v>
      </c>
      <c r="CK144" s="44">
        <f t="shared" ref="CK144" si="1314">+CK142+CK143</f>
        <v>-101.21578530539409</v>
      </c>
      <c r="CL144" s="44">
        <f t="shared" ref="CL144" si="1315">+CL142+CL143</f>
        <v>1278.4654772634676</v>
      </c>
      <c r="CM144" s="44">
        <f t="shared" ref="CM144" si="1316">+CM142+CM143</f>
        <v>-496.30448248039465</v>
      </c>
      <c r="CN144" s="44">
        <f t="shared" ref="CN144" si="1317">+CN142+CN143</f>
        <v>968.06436058631516</v>
      </c>
      <c r="CO144" s="44">
        <f t="shared" ref="CO144" si="1318">+CO142+CO143</f>
        <v>-2550.9446047454257</v>
      </c>
      <c r="CT144" s="43">
        <v>3747.6</v>
      </c>
    </row>
    <row r="145" spans="1:98" s="38" customFormat="1" x14ac:dyDescent="0.2">
      <c r="AB145" s="39"/>
      <c r="AC145" s="39"/>
      <c r="AD145" s="39"/>
      <c r="AE145" s="39"/>
      <c r="AG145" s="60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38" customFormat="1" x14ac:dyDescent="0.2">
      <c r="A146" s="38" t="s">
        <v>236</v>
      </c>
      <c r="B146" s="38">
        <f>-'Annual Raw'!C88</f>
        <v>0</v>
      </c>
      <c r="C146" s="38">
        <f>-'Annual Raw'!D88</f>
        <v>0</v>
      </c>
      <c r="D146" s="38">
        <f>-'Annual Raw'!E88</f>
        <v>0</v>
      </c>
      <c r="E146" s="38">
        <f>-'Annual Raw'!F88</f>
        <v>0</v>
      </c>
      <c r="F146" s="38">
        <f>-'Annual Raw'!G88</f>
        <v>0</v>
      </c>
      <c r="G146" s="38">
        <f>-'Annual Raw'!H88</f>
        <v>0</v>
      </c>
      <c r="H146" s="38">
        <f>-'Annual Raw'!I88</f>
        <v>0</v>
      </c>
      <c r="I146" s="38">
        <f>-'Annual Raw'!J88</f>
        <v>0</v>
      </c>
      <c r="J146" s="38">
        <f>-'Annual Raw'!K88</f>
        <v>0</v>
      </c>
      <c r="K146" s="38">
        <f>-'Annual Raw'!L88</f>
        <v>0</v>
      </c>
      <c r="L146" s="38">
        <f>-'Annual Raw'!M88</f>
        <v>0</v>
      </c>
      <c r="M146" s="38">
        <f>-'Annual Raw'!N88</f>
        <v>14.16</v>
      </c>
      <c r="N146" s="38">
        <f>-'Annual Raw'!O88</f>
        <v>32.869999999999997</v>
      </c>
      <c r="O146" s="38">
        <f>-'Annual Raw'!P88</f>
        <v>58.96</v>
      </c>
      <c r="P146" s="38">
        <f>-'Annual Raw'!Q88</f>
        <v>81.239999999999995</v>
      </c>
      <c r="Q146" s="38">
        <f>-'Annual Raw'!R88</f>
        <v>110.48</v>
      </c>
      <c r="R146" s="38">
        <f>-'Annual Raw'!S88</f>
        <v>138.44999999999999</v>
      </c>
      <c r="S146" s="38">
        <f>-'Annual Raw'!T88</f>
        <v>295.77</v>
      </c>
      <c r="T146" s="38">
        <f>-'Annual Raw'!U88</f>
        <v>384.96</v>
      </c>
      <c r="U146" s="38">
        <f>-'Annual Raw'!V88</f>
        <v>415.62</v>
      </c>
      <c r="V146" s="38">
        <f>-'Annual Raw'!W88</f>
        <v>729.99</v>
      </c>
      <c r="W146" s="38">
        <f>-'Annual Raw'!X88</f>
        <v>1051.17</v>
      </c>
      <c r="X146" s="38">
        <f>-'Annual Raw'!Y88</f>
        <v>1000.87</v>
      </c>
      <c r="Y146" s="38">
        <f>-'Annual Raw'!Z88</f>
        <v>939.95</v>
      </c>
      <c r="Z146" s="38">
        <f>-'Annual Raw'!AA88</f>
        <v>883.25</v>
      </c>
      <c r="AA146" s="38">
        <f>-'Annual Raw'!AB88</f>
        <v>943.08</v>
      </c>
      <c r="AB146" s="39"/>
      <c r="AC146" s="39"/>
      <c r="AD146" s="39"/>
      <c r="AE146" s="39"/>
      <c r="AG146" s="60"/>
      <c r="AH146" s="38">
        <f>+'QTR Raw'!D94</f>
        <v>0</v>
      </c>
      <c r="AI146" s="38">
        <f>+'QTR Raw'!E94</f>
        <v>0</v>
      </c>
      <c r="AJ146" s="38">
        <f>+'QTR Raw'!F94</f>
        <v>0</v>
      </c>
      <c r="AK146" s="38">
        <f>+'QTR Raw'!G94</f>
        <v>0</v>
      </c>
      <c r="AL146" s="38">
        <f>+'QTR Raw'!H94</f>
        <v>0</v>
      </c>
      <c r="AM146" s="38">
        <f>+'QTR Raw'!I94</f>
        <v>0</v>
      </c>
      <c r="AN146" s="38">
        <f>+'QTR Raw'!J94</f>
        <v>0</v>
      </c>
      <c r="AO146" s="38">
        <f>+'QTR Raw'!K94</f>
        <v>0</v>
      </c>
      <c r="AP146" s="38">
        <f>+'QTR Raw'!L94</f>
        <v>0</v>
      </c>
      <c r="AQ146" s="38">
        <f>+'QTR Raw'!M94</f>
        <v>0</v>
      </c>
      <c r="AR146" s="38">
        <f>+'QTR Raw'!N94</f>
        <v>0</v>
      </c>
      <c r="AS146" s="38">
        <f>+'QTR Raw'!O94</f>
        <v>0</v>
      </c>
      <c r="AT146" s="38">
        <f>+'QTR Raw'!P94</f>
        <v>0</v>
      </c>
      <c r="AU146" s="38">
        <f>+'QTR Raw'!Q94</f>
        <v>0</v>
      </c>
      <c r="AV146" s="38">
        <f>+'QTR Raw'!R94</f>
        <v>0</v>
      </c>
      <c r="AW146" s="38">
        <f>+'QTR Raw'!S94</f>
        <v>0</v>
      </c>
      <c r="AX146" s="38">
        <f>+'QTR Raw'!T94</f>
        <v>0</v>
      </c>
      <c r="AY146" s="38">
        <f>+'QTR Raw'!U94</f>
        <v>0</v>
      </c>
      <c r="AZ146" s="38">
        <f>+'QTR Raw'!V94</f>
        <v>0</v>
      </c>
      <c r="BA146" s="38">
        <f>+'QTR Raw'!W94</f>
        <v>0</v>
      </c>
      <c r="BB146" s="38">
        <f>+'QTR Raw'!X94</f>
        <v>0</v>
      </c>
      <c r="BC146" s="38">
        <f>+'QTR Raw'!Y94</f>
        <v>0</v>
      </c>
      <c r="BD146" s="38">
        <f>+'QTR Raw'!Z94</f>
        <v>0</v>
      </c>
      <c r="BE146" s="38">
        <f>+'QTR Raw'!AA94</f>
        <v>0</v>
      </c>
      <c r="BF146" s="38">
        <f>+'QTR Raw'!AB94</f>
        <v>0</v>
      </c>
      <c r="BG146" s="38">
        <f>+'QTR Raw'!AC94</f>
        <v>0</v>
      </c>
      <c r="BH146" s="38">
        <f>+'QTR Raw'!AD94</f>
        <v>0</v>
      </c>
      <c r="BI146" s="38">
        <f>+'QTR Raw'!AE94</f>
        <v>0</v>
      </c>
      <c r="BJ146" s="38">
        <f>+'QTR Raw'!AF94</f>
        <v>0</v>
      </c>
      <c r="BK146" s="38">
        <f>+'QTR Raw'!AG94</f>
        <v>0</v>
      </c>
      <c r="BL146" s="38">
        <f>+'QTR Raw'!AH94</f>
        <v>0</v>
      </c>
      <c r="BM146" s="38">
        <f>+'QTR Raw'!AI94</f>
        <v>0</v>
      </c>
      <c r="BN146" s="38">
        <f>+'QTR Raw'!AJ94</f>
        <v>0</v>
      </c>
      <c r="BO146" s="38">
        <f>+'QTR Raw'!AK94</f>
        <v>0</v>
      </c>
      <c r="BP146" s="38">
        <f>+'QTR Raw'!AL94</f>
        <v>0</v>
      </c>
      <c r="BQ146" s="38">
        <f>+'QTR Raw'!AM94</f>
        <v>0</v>
      </c>
      <c r="BR146" s="38">
        <f>+'QTR Raw'!AN94</f>
        <v>0</v>
      </c>
      <c r="BS146" s="38">
        <f>+'QTR Raw'!AO94</f>
        <v>0</v>
      </c>
      <c r="BT146" s="38">
        <f>+'QTR Raw'!AP94</f>
        <v>0</v>
      </c>
      <c r="BU146" s="38">
        <f>+'QTR Raw'!AQ94</f>
        <v>883.2</v>
      </c>
      <c r="BV146" s="38">
        <f>BU146</f>
        <v>883.2</v>
      </c>
      <c r="BW146" s="38">
        <f>+'QTR Raw'!AS94</f>
        <v>930.1</v>
      </c>
      <c r="BX146" s="38">
        <f>BW146</f>
        <v>930.1</v>
      </c>
      <c r="BY146" s="38">
        <f>+'QTR Raw'!AU94</f>
        <v>943.1</v>
      </c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T146" s="38">
        <v>943.08</v>
      </c>
    </row>
    <row r="147" spans="1:98" s="38" customFormat="1" x14ac:dyDescent="0.2">
      <c r="A147" s="38" t="s">
        <v>235</v>
      </c>
      <c r="B147" s="38">
        <f>+'Annual Raw'!C129</f>
        <v>0</v>
      </c>
      <c r="C147" s="38">
        <f>+'Annual Raw'!D129</f>
        <v>0</v>
      </c>
      <c r="D147" s="38">
        <f>+'Annual Raw'!E129</f>
        <v>0</v>
      </c>
      <c r="E147" s="38">
        <f>+'Annual Raw'!F129</f>
        <v>0</v>
      </c>
      <c r="F147" s="38">
        <f>+'Annual Raw'!G129</f>
        <v>0</v>
      </c>
      <c r="G147" s="38">
        <f>+'Annual Raw'!H129</f>
        <v>0</v>
      </c>
      <c r="H147" s="38">
        <f>+'Annual Raw'!I129</f>
        <v>0</v>
      </c>
      <c r="I147" s="38">
        <f>+'Annual Raw'!J129</f>
        <v>0</v>
      </c>
      <c r="J147" s="38">
        <f>+'Annual Raw'!K129</f>
        <v>0</v>
      </c>
      <c r="K147" s="38">
        <f>+'Annual Raw'!L129</f>
        <v>0</v>
      </c>
      <c r="L147" s="38">
        <f>+'Annual Raw'!M129</f>
        <v>0</v>
      </c>
      <c r="M147" s="38">
        <f>+'Annual Raw'!N129</f>
        <v>0</v>
      </c>
      <c r="N147" s="38">
        <f>+'Annual Raw'!O129</f>
        <v>0</v>
      </c>
      <c r="O147" s="38">
        <f>+'Annual Raw'!P129</f>
        <v>0</v>
      </c>
      <c r="P147" s="38">
        <f>+'Annual Raw'!Q129</f>
        <v>0</v>
      </c>
      <c r="Q147" s="38">
        <f>+'Annual Raw'!R129</f>
        <v>0</v>
      </c>
      <c r="R147" s="38">
        <f>+'Annual Raw'!S129</f>
        <v>0</v>
      </c>
      <c r="S147" s="38">
        <f>+'Annual Raw'!T129</f>
        <v>0</v>
      </c>
      <c r="T147" s="38">
        <f>+'Annual Raw'!U129</f>
        <v>0</v>
      </c>
      <c r="U147" s="38">
        <f>+'Annual Raw'!V129</f>
        <v>0</v>
      </c>
      <c r="V147" s="38">
        <f>+'Annual Raw'!W129</f>
        <v>0</v>
      </c>
      <c r="W147" s="38">
        <f>+'Annual Raw'!X129</f>
        <v>0</v>
      </c>
      <c r="X147" s="38">
        <f>+'Annual Raw'!Y129</f>
        <v>0</v>
      </c>
      <c r="Y147" s="38">
        <f>+'Annual Raw'!Z129</f>
        <v>0</v>
      </c>
      <c r="Z147" s="38">
        <f>+'Annual Raw'!AA129</f>
        <v>0</v>
      </c>
      <c r="AA147" s="38">
        <f>+'Annual Raw'!AB129</f>
        <v>0</v>
      </c>
      <c r="AB147" s="39"/>
      <c r="AC147" s="39"/>
      <c r="AD147" s="39"/>
      <c r="AE147" s="39"/>
      <c r="AG147" s="60"/>
      <c r="AH147" s="38">
        <f>+'QTR Raw'!D93</f>
        <v>0</v>
      </c>
      <c r="AI147" s="38">
        <f>+'QTR Raw'!E93</f>
        <v>0</v>
      </c>
      <c r="AJ147" s="38">
        <f>+'QTR Raw'!F93</f>
        <v>0</v>
      </c>
      <c r="AK147" s="38">
        <f>+'QTR Raw'!G93</f>
        <v>0</v>
      </c>
      <c r="AL147" s="38">
        <f>+'QTR Raw'!H93</f>
        <v>0</v>
      </c>
      <c r="AM147" s="38">
        <f>+'QTR Raw'!I93</f>
        <v>0</v>
      </c>
      <c r="AN147" s="38">
        <f>+'QTR Raw'!J93</f>
        <v>0</v>
      </c>
      <c r="AO147" s="38">
        <f>+'QTR Raw'!K93</f>
        <v>0</v>
      </c>
      <c r="AP147" s="38">
        <f>+'QTR Raw'!L93</f>
        <v>0</v>
      </c>
      <c r="AQ147" s="38">
        <f>+'QTR Raw'!M93</f>
        <v>0</v>
      </c>
      <c r="AR147" s="38">
        <f>+'QTR Raw'!N93</f>
        <v>0</v>
      </c>
      <c r="AS147" s="38">
        <f>+'QTR Raw'!O93</f>
        <v>0</v>
      </c>
      <c r="AT147" s="38">
        <f>+'QTR Raw'!P93</f>
        <v>0</v>
      </c>
      <c r="AU147" s="38">
        <f>+'QTR Raw'!Q93</f>
        <v>0</v>
      </c>
      <c r="AV147" s="38">
        <f>+'QTR Raw'!R93</f>
        <v>0</v>
      </c>
      <c r="AW147" s="38">
        <f>+'QTR Raw'!S93</f>
        <v>0</v>
      </c>
      <c r="AX147" s="38">
        <f>+'QTR Raw'!T93</f>
        <v>0</v>
      </c>
      <c r="AY147" s="38">
        <f>+'QTR Raw'!U93</f>
        <v>0</v>
      </c>
      <c r="AZ147" s="38">
        <f>+'QTR Raw'!V93</f>
        <v>0</v>
      </c>
      <c r="BA147" s="38">
        <f>+'QTR Raw'!W93</f>
        <v>0</v>
      </c>
      <c r="BB147" s="38">
        <f>+'QTR Raw'!X93</f>
        <v>0</v>
      </c>
      <c r="BC147" s="38">
        <f>+'QTR Raw'!Y93</f>
        <v>0</v>
      </c>
      <c r="BD147" s="38">
        <f>+'QTR Raw'!Z93</f>
        <v>0</v>
      </c>
      <c r="BE147" s="38">
        <f>+'QTR Raw'!AA93</f>
        <v>0</v>
      </c>
      <c r="BF147" s="38">
        <f>+'QTR Raw'!AB93</f>
        <v>0</v>
      </c>
      <c r="BG147" s="38">
        <f>+'QTR Raw'!AC93</f>
        <v>0</v>
      </c>
      <c r="BH147" s="38">
        <f>+'QTR Raw'!AD93</f>
        <v>0</v>
      </c>
      <c r="BI147" s="38">
        <f>+'QTR Raw'!AE93</f>
        <v>0</v>
      </c>
      <c r="BJ147" s="38">
        <f>+'QTR Raw'!AF93</f>
        <v>0</v>
      </c>
      <c r="BK147" s="38">
        <f>+'QTR Raw'!AG93</f>
        <v>0</v>
      </c>
      <c r="BL147" s="38">
        <f>+'QTR Raw'!AH93</f>
        <v>0</v>
      </c>
      <c r="BM147" s="38">
        <f>+'QTR Raw'!AI93</f>
        <v>0</v>
      </c>
      <c r="BN147" s="38">
        <f>+'QTR Raw'!AJ93</f>
        <v>0</v>
      </c>
      <c r="BO147" s="38">
        <f>+'QTR Raw'!AK93</f>
        <v>0</v>
      </c>
      <c r="BP147" s="38">
        <f>+'QTR Raw'!AL93</f>
        <v>0</v>
      </c>
      <c r="BQ147" s="38">
        <f>+'QTR Raw'!AM93</f>
        <v>0</v>
      </c>
      <c r="BR147" s="38">
        <f>+'QTR Raw'!AN93</f>
        <v>0</v>
      </c>
      <c r="BS147" s="38">
        <f>+'QTR Raw'!AO93</f>
        <v>0</v>
      </c>
      <c r="BT147" s="38">
        <f>+'QTR Raw'!AP93</f>
        <v>0</v>
      </c>
      <c r="BU147" s="38">
        <f>+'QTR Raw'!AQ93</f>
        <v>0</v>
      </c>
      <c r="BW147" s="38">
        <f>+'QTR Raw'!AS93</f>
        <v>0</v>
      </c>
      <c r="BY147" s="38">
        <f>+'QTR Raw'!AU93</f>
        <v>0</v>
      </c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T147" s="38">
        <v>0</v>
      </c>
    </row>
    <row r="148" spans="1:98" s="40" customFormat="1" x14ac:dyDescent="0.2">
      <c r="A148" s="40" t="s">
        <v>51</v>
      </c>
      <c r="B148" s="40">
        <f t="shared" ref="B148:Y148" si="1319">B140+B125+B146+B144+B123+B147+B114</f>
        <v>0</v>
      </c>
      <c r="C148" s="40">
        <f t="shared" si="1319"/>
        <v>0</v>
      </c>
      <c r="D148" s="40">
        <f t="shared" si="1319"/>
        <v>0</v>
      </c>
      <c r="E148" s="40">
        <f t="shared" si="1319"/>
        <v>0</v>
      </c>
      <c r="F148" s="40">
        <f t="shared" si="1319"/>
        <v>0</v>
      </c>
      <c r="G148" s="40">
        <f t="shared" si="1319"/>
        <v>0</v>
      </c>
      <c r="H148" s="40">
        <f t="shared" si="1319"/>
        <v>0</v>
      </c>
      <c r="I148" s="40">
        <f t="shared" si="1319"/>
        <v>101.34528640000001</v>
      </c>
      <c r="J148" s="40">
        <f t="shared" si="1319"/>
        <v>182.27212119999999</v>
      </c>
      <c r="K148" s="40">
        <f t="shared" si="1319"/>
        <v>552.80409729999997</v>
      </c>
      <c r="L148" s="40">
        <f t="shared" si="1319"/>
        <v>1387.7313508000002</v>
      </c>
      <c r="M148" s="40">
        <f t="shared" si="1319"/>
        <v>3805.06</v>
      </c>
      <c r="N148" s="40">
        <f t="shared" si="1319"/>
        <v>8027.04</v>
      </c>
      <c r="O148" s="40">
        <f t="shared" si="1319"/>
        <v>12703.5</v>
      </c>
      <c r="P148" s="40">
        <f t="shared" si="1319"/>
        <v>18403.099999999999</v>
      </c>
      <c r="Q148" s="40">
        <f t="shared" si="1319"/>
        <v>23173.95</v>
      </c>
      <c r="R148" s="40">
        <f t="shared" si="1319"/>
        <v>30949.94</v>
      </c>
      <c r="S148" s="40">
        <f t="shared" si="1319"/>
        <v>41793.799999999996</v>
      </c>
      <c r="T148" s="40">
        <f t="shared" si="1319"/>
        <v>52283.57</v>
      </c>
      <c r="U148" s="40">
        <f t="shared" si="1319"/>
        <v>57821.89</v>
      </c>
      <c r="V148" s="40">
        <f t="shared" si="1319"/>
        <v>58804.99</v>
      </c>
      <c r="W148" s="40">
        <f t="shared" si="1319"/>
        <v>58512.810000000005</v>
      </c>
      <c r="X148" s="40">
        <f t="shared" si="1319"/>
        <v>66302.28</v>
      </c>
      <c r="Y148" s="40">
        <f t="shared" si="1319"/>
        <v>88073.37999999999</v>
      </c>
      <c r="Z148" s="40">
        <f>Z140+Z125+Z146+Z144+Z123+Z147+Z114</f>
        <v>105502.12</v>
      </c>
      <c r="AA148" s="40">
        <f>AA140+AA125+AA146+AA144+AA123+AA147+AA114</f>
        <v>119894.1</v>
      </c>
      <c r="AB148" s="41">
        <f t="shared" ref="AB148:AE148" si="1320">AB140+AB125+AB146+AB144+AB123+AB147+AB114</f>
        <v>91117.904371597877</v>
      </c>
      <c r="AC148" s="41">
        <f t="shared" si="1320"/>
        <v>102952.23381084045</v>
      </c>
      <c r="AD148" s="41">
        <f t="shared" si="1320"/>
        <v>116170.02760839307</v>
      </c>
      <c r="AE148" s="41">
        <f t="shared" si="1320"/>
        <v>130932.33677959199</v>
      </c>
      <c r="AG148" s="61"/>
      <c r="AH148" s="40">
        <f t="shared" ref="AH148" si="1321">AH140+AH125+AH146+AH144+AH123+AH114</f>
        <v>0</v>
      </c>
      <c r="AI148" s="40">
        <f t="shared" ref="AI148" si="1322">AI140+AI125+AI146+AI144+AI123+AI114</f>
        <v>0</v>
      </c>
      <c r="AJ148" s="40">
        <f t="shared" ref="AJ148" si="1323">AJ140+AJ125+AJ146+AJ144+AJ123+AJ114</f>
        <v>0</v>
      </c>
      <c r="AK148" s="40">
        <f t="shared" ref="AK148" si="1324">AK140+AK125+AK146+AK144+AK123+AK114</f>
        <v>0</v>
      </c>
      <c r="AL148" s="40">
        <f t="shared" ref="AL148" si="1325">AL140+AL125+AL146+AL144+AL123+AL114</f>
        <v>0</v>
      </c>
      <c r="AM148" s="40">
        <f t="shared" ref="AM148" si="1326">AM140+AM125+AM146+AM144+AM123+AM114</f>
        <v>0</v>
      </c>
      <c r="AN148" s="40">
        <f t="shared" ref="AN148" si="1327">AN140+AN125+AN146+AN144+AN123+AN114</f>
        <v>0</v>
      </c>
      <c r="AO148" s="40">
        <f t="shared" ref="AO148" si="1328">AO140+AO125+AO146+AO144+AO123+AO114</f>
        <v>0</v>
      </c>
      <c r="AP148" s="40">
        <f t="shared" ref="AP148" si="1329">AP140+AP125+AP146+AP144+AP123+AP114</f>
        <v>0</v>
      </c>
      <c r="AQ148" s="40">
        <f t="shared" ref="AQ148" si="1330">AQ140+AQ125+AQ146+AQ144+AQ123+AQ114</f>
        <v>0</v>
      </c>
      <c r="AR148" s="40">
        <f t="shared" ref="AR148" si="1331">AR140+AR125+AR146+AR144+AR123+AR114</f>
        <v>0</v>
      </c>
      <c r="AS148" s="40">
        <f t="shared" ref="AS148" si="1332">AS140+AS125+AS146+AS144+AS123+AS114</f>
        <v>0</v>
      </c>
      <c r="AT148" s="40">
        <f t="shared" ref="AT148" si="1333">AT140+AT125+AT146+AT144+AT123+AT114</f>
        <v>0</v>
      </c>
      <c r="AU148" s="40">
        <f t="shared" ref="AU148" si="1334">AU140+AU125+AU146+AU144+AU123+AU114</f>
        <v>0</v>
      </c>
      <c r="AV148" s="40">
        <f t="shared" ref="AV148:BV148" si="1335">AV140+AV125+AV146+AV144+AV123+AV114</f>
        <v>0</v>
      </c>
      <c r="AW148" s="40">
        <f t="shared" si="1335"/>
        <v>0</v>
      </c>
      <c r="AX148" s="40">
        <f t="shared" si="1335"/>
        <v>0</v>
      </c>
      <c r="AY148" s="40">
        <f t="shared" si="1335"/>
        <v>0</v>
      </c>
      <c r="AZ148" s="40">
        <f t="shared" si="1335"/>
        <v>0</v>
      </c>
      <c r="BA148" s="40">
        <f t="shared" si="1335"/>
        <v>0</v>
      </c>
      <c r="BB148" s="40">
        <f t="shared" si="1335"/>
        <v>0</v>
      </c>
      <c r="BC148" s="40">
        <f t="shared" si="1335"/>
        <v>0</v>
      </c>
      <c r="BD148" s="40">
        <f t="shared" si="1335"/>
        <v>0</v>
      </c>
      <c r="BE148" s="40">
        <f t="shared" si="1335"/>
        <v>0</v>
      </c>
      <c r="BF148" s="40">
        <f t="shared" si="1335"/>
        <v>0</v>
      </c>
      <c r="BG148" s="40">
        <f t="shared" si="1335"/>
        <v>0</v>
      </c>
      <c r="BH148" s="40">
        <f t="shared" si="1335"/>
        <v>0</v>
      </c>
      <c r="BI148" s="40">
        <f t="shared" si="1335"/>
        <v>0</v>
      </c>
      <c r="BJ148" s="40">
        <f t="shared" si="1335"/>
        <v>0</v>
      </c>
      <c r="BK148" s="40">
        <f t="shared" si="1335"/>
        <v>0</v>
      </c>
      <c r="BL148" s="40">
        <f t="shared" si="1335"/>
        <v>0</v>
      </c>
      <c r="BM148" s="40">
        <f t="shared" si="1335"/>
        <v>0</v>
      </c>
      <c r="BN148" s="40">
        <f t="shared" si="1335"/>
        <v>0</v>
      </c>
      <c r="BO148" s="40">
        <f t="shared" si="1335"/>
        <v>0</v>
      </c>
      <c r="BP148" s="40">
        <f t="shared" si="1335"/>
        <v>0</v>
      </c>
      <c r="BQ148" s="40">
        <f t="shared" si="1335"/>
        <v>0</v>
      </c>
      <c r="BR148" s="40">
        <f t="shared" si="1335"/>
        <v>0</v>
      </c>
      <c r="BS148" s="40">
        <f t="shared" si="1335"/>
        <v>0</v>
      </c>
      <c r="BT148" s="40">
        <f t="shared" si="1335"/>
        <v>103343</v>
      </c>
      <c r="BU148" s="40">
        <f t="shared" si="1335"/>
        <v>57896.9</v>
      </c>
      <c r="BV148" s="40">
        <f t="shared" si="1335"/>
        <v>58464.6</v>
      </c>
      <c r="BW148" s="40">
        <f>BW140+BW125+BW146+BW144+BW123+BW114</f>
        <v>67558.099999999991</v>
      </c>
      <c r="BX148" s="40">
        <f t="shared" ref="BX148:CO148" si="1336">BX140+BX125+BX146+BX144+BX123+BX114</f>
        <v>68202</v>
      </c>
      <c r="BY148" s="40">
        <f>BY140+BY125+BY146+BY144+BY123+BY114</f>
        <v>80559.200000000012</v>
      </c>
      <c r="BZ148" s="41">
        <f t="shared" si="1336"/>
        <v>81489.786751477848</v>
      </c>
      <c r="CA148" s="41">
        <f t="shared" si="1336"/>
        <v>85061.055589869575</v>
      </c>
      <c r="CB148" s="41">
        <f t="shared" si="1336"/>
        <v>86071.333129817256</v>
      </c>
      <c r="CC148" s="41">
        <f t="shared" si="1336"/>
        <v>91117.904371597877</v>
      </c>
      <c r="CD148" s="41">
        <f t="shared" si="1336"/>
        <v>92206.872928976038</v>
      </c>
      <c r="CE148" s="41">
        <f t="shared" si="1336"/>
        <v>96169.195510521255</v>
      </c>
      <c r="CF148" s="41">
        <f t="shared" si="1336"/>
        <v>97315.889002721859</v>
      </c>
      <c r="CG148" s="41">
        <f t="shared" si="1336"/>
        <v>102952.23381084045</v>
      </c>
      <c r="CH148" s="41">
        <f t="shared" si="1336"/>
        <v>104176.07233207884</v>
      </c>
      <c r="CI148" s="41">
        <f t="shared" si="1336"/>
        <v>108592.60032995195</v>
      </c>
      <c r="CJ148" s="41">
        <f t="shared" si="1336"/>
        <v>109890.12535824017</v>
      </c>
      <c r="CK148" s="41">
        <f t="shared" si="1336"/>
        <v>116170.02760839307</v>
      </c>
      <c r="CL148" s="41">
        <f t="shared" si="1336"/>
        <v>117549.70887096193</v>
      </c>
      <c r="CM148" s="41">
        <f t="shared" si="1336"/>
        <v>122474.38319640364</v>
      </c>
      <c r="CN148" s="41">
        <f t="shared" si="1336"/>
        <v>123938.75203947035</v>
      </c>
      <c r="CO148" s="41">
        <f t="shared" si="1336"/>
        <v>130932.33677959199</v>
      </c>
      <c r="CT148" s="40">
        <v>78103.5</v>
      </c>
    </row>
    <row r="149" spans="1:98" s="38" customFormat="1" x14ac:dyDescent="0.2">
      <c r="A149" s="38" t="s">
        <v>289</v>
      </c>
      <c r="B149" s="38">
        <f t="shared" ref="B149:AB149" si="1337">B148-B109</f>
        <v>0</v>
      </c>
      <c r="C149" s="38">
        <f t="shared" si="1337"/>
        <v>0</v>
      </c>
      <c r="D149" s="38">
        <f t="shared" si="1337"/>
        <v>0</v>
      </c>
      <c r="E149" s="38">
        <f t="shared" si="1337"/>
        <v>0</v>
      </c>
      <c r="F149" s="38">
        <f t="shared" si="1337"/>
        <v>0</v>
      </c>
      <c r="G149" s="38">
        <f t="shared" si="1337"/>
        <v>0</v>
      </c>
      <c r="H149" s="38">
        <f t="shared" si="1337"/>
        <v>0</v>
      </c>
      <c r="I149" s="38">
        <f t="shared" si="1337"/>
        <v>0</v>
      </c>
      <c r="J149" s="38">
        <f t="shared" si="1337"/>
        <v>0.14457089999999084</v>
      </c>
      <c r="K149" s="38">
        <f t="shared" si="1337"/>
        <v>0.65302329999997255</v>
      </c>
      <c r="L149" s="38">
        <f t="shared" si="1337"/>
        <v>0</v>
      </c>
      <c r="M149" s="38">
        <f t="shared" si="1337"/>
        <v>0</v>
      </c>
      <c r="N149" s="38">
        <f t="shared" si="1337"/>
        <v>0</v>
      </c>
      <c r="O149" s="38">
        <f t="shared" si="1337"/>
        <v>0</v>
      </c>
      <c r="P149" s="38">
        <f t="shared" si="1337"/>
        <v>0</v>
      </c>
      <c r="Q149" s="38">
        <f t="shared" si="1337"/>
        <v>0</v>
      </c>
      <c r="R149" s="38">
        <f t="shared" si="1337"/>
        <v>0</v>
      </c>
      <c r="S149" s="38">
        <f t="shared" si="1337"/>
        <v>0</v>
      </c>
      <c r="T149" s="38">
        <f t="shared" si="1337"/>
        <v>0</v>
      </c>
      <c r="U149" s="38">
        <f t="shared" si="1337"/>
        <v>0</v>
      </c>
      <c r="V149" s="38">
        <f t="shared" si="1337"/>
        <v>0</v>
      </c>
      <c r="W149" s="38">
        <f t="shared" si="1337"/>
        <v>0</v>
      </c>
      <c r="X149" s="38">
        <f t="shared" si="1337"/>
        <v>0</v>
      </c>
      <c r="Y149" s="38">
        <f t="shared" si="1337"/>
        <v>0</v>
      </c>
      <c r="Z149" s="38">
        <f t="shared" si="1337"/>
        <v>0</v>
      </c>
      <c r="AA149" s="38">
        <f t="shared" ref="AA149" si="1338">AA148-AA109</f>
        <v>0</v>
      </c>
      <c r="AB149" s="39">
        <f t="shared" si="1337"/>
        <v>0</v>
      </c>
      <c r="AC149" s="39">
        <f t="shared" ref="AC149:AE149" si="1339">AC148-AC109</f>
        <v>0</v>
      </c>
      <c r="AD149" s="39">
        <f t="shared" si="1339"/>
        <v>0</v>
      </c>
      <c r="AE149" s="39">
        <f t="shared" si="1339"/>
        <v>0</v>
      </c>
      <c r="AG149" s="60"/>
      <c r="AH149" s="38">
        <f t="shared" ref="AH149" si="1340">AH148-AH109</f>
        <v>0</v>
      </c>
      <c r="AI149" s="38">
        <f t="shared" ref="AI149" si="1341">AI148-AI109</f>
        <v>0</v>
      </c>
      <c r="AJ149" s="38">
        <f t="shared" ref="AJ149" si="1342">AJ148-AJ109</f>
        <v>0</v>
      </c>
      <c r="AK149" s="38">
        <f t="shared" ref="AK149" si="1343">AK148-AK109</f>
        <v>0</v>
      </c>
      <c r="AL149" s="38">
        <f t="shared" ref="AL149" si="1344">AL148-AL109</f>
        <v>0</v>
      </c>
      <c r="AM149" s="38">
        <f t="shared" ref="AM149" si="1345">AM148-AM109</f>
        <v>0</v>
      </c>
      <c r="AN149" s="38">
        <f t="shared" ref="AN149" si="1346">AN148-AN109</f>
        <v>0</v>
      </c>
      <c r="AO149" s="38">
        <f t="shared" ref="AO149" si="1347">AO148-AO109</f>
        <v>0</v>
      </c>
      <c r="AP149" s="38">
        <f t="shared" ref="AP149" si="1348">AP148-AP109</f>
        <v>0</v>
      </c>
      <c r="AQ149" s="38">
        <f t="shared" ref="AQ149" si="1349">AQ148-AQ109</f>
        <v>0</v>
      </c>
      <c r="AR149" s="38">
        <f t="shared" ref="AR149" si="1350">AR148-AR109</f>
        <v>0</v>
      </c>
      <c r="AS149" s="38">
        <f t="shared" ref="AS149" si="1351">AS148-AS109</f>
        <v>0</v>
      </c>
      <c r="AT149" s="38">
        <f t="shared" ref="AT149" si="1352">AT148-AT109</f>
        <v>0</v>
      </c>
      <c r="AU149" s="38">
        <f t="shared" ref="AU149" si="1353">AU148-AU109</f>
        <v>0</v>
      </c>
      <c r="AV149" s="38">
        <f t="shared" ref="AV149:BM149" si="1354">AV148-AV109</f>
        <v>0</v>
      </c>
      <c r="AW149" s="38">
        <f t="shared" si="1354"/>
        <v>0</v>
      </c>
      <c r="AX149" s="38">
        <f t="shared" si="1354"/>
        <v>0</v>
      </c>
      <c r="AY149" s="38">
        <f t="shared" si="1354"/>
        <v>0</v>
      </c>
      <c r="AZ149" s="38">
        <f t="shared" si="1354"/>
        <v>0</v>
      </c>
      <c r="BA149" s="38">
        <f t="shared" si="1354"/>
        <v>0</v>
      </c>
      <c r="BB149" s="38">
        <f t="shared" si="1354"/>
        <v>0</v>
      </c>
      <c r="BC149" s="38">
        <f t="shared" si="1354"/>
        <v>0</v>
      </c>
      <c r="BD149" s="38">
        <f t="shared" si="1354"/>
        <v>0</v>
      </c>
      <c r="BE149" s="38">
        <f t="shared" si="1354"/>
        <v>0</v>
      </c>
      <c r="BF149" s="38">
        <f t="shared" si="1354"/>
        <v>0</v>
      </c>
      <c r="BG149" s="38">
        <f t="shared" si="1354"/>
        <v>0</v>
      </c>
      <c r="BH149" s="38">
        <f t="shared" si="1354"/>
        <v>0</v>
      </c>
      <c r="BI149" s="38">
        <f t="shared" si="1354"/>
        <v>0</v>
      </c>
      <c r="BJ149" s="38">
        <f t="shared" si="1354"/>
        <v>0</v>
      </c>
      <c r="BK149" s="38">
        <f t="shared" si="1354"/>
        <v>0</v>
      </c>
      <c r="BL149" s="38">
        <f t="shared" si="1354"/>
        <v>0</v>
      </c>
      <c r="BM149" s="38">
        <f t="shared" si="1354"/>
        <v>0</v>
      </c>
      <c r="BN149" s="38">
        <f t="shared" ref="BN149:CO149" si="1355">BN148-BN109</f>
        <v>0</v>
      </c>
      <c r="BO149" s="38">
        <f t="shared" si="1355"/>
        <v>0</v>
      </c>
      <c r="BP149" s="38">
        <f t="shared" si="1355"/>
        <v>0</v>
      </c>
      <c r="BQ149" s="38">
        <f t="shared" si="1355"/>
        <v>0</v>
      </c>
      <c r="BR149" s="38">
        <f t="shared" si="1355"/>
        <v>0</v>
      </c>
      <c r="BS149" s="38">
        <f t="shared" si="1355"/>
        <v>0</v>
      </c>
      <c r="BT149" s="38">
        <f t="shared" si="1355"/>
        <v>45918.400000000009</v>
      </c>
      <c r="BU149" s="38">
        <f t="shared" si="1355"/>
        <v>0</v>
      </c>
      <c r="BV149" s="38">
        <f t="shared" si="1355"/>
        <v>0</v>
      </c>
      <c r="BW149" s="38">
        <f t="shared" si="1355"/>
        <v>0</v>
      </c>
      <c r="BX149" s="38">
        <f t="shared" ref="BX149:BY149" si="1356">BX148-BX109</f>
        <v>0</v>
      </c>
      <c r="BY149" s="38">
        <f t="shared" si="1356"/>
        <v>0</v>
      </c>
      <c r="BZ149" s="39">
        <f t="shared" si="1355"/>
        <v>0</v>
      </c>
      <c r="CA149" s="39">
        <f t="shared" si="1355"/>
        <v>0</v>
      </c>
      <c r="CB149" s="39">
        <f t="shared" si="1355"/>
        <v>0</v>
      </c>
      <c r="CC149" s="39">
        <f t="shared" si="1355"/>
        <v>0</v>
      </c>
      <c r="CD149" s="39">
        <f t="shared" si="1355"/>
        <v>0</v>
      </c>
      <c r="CE149" s="39">
        <f t="shared" si="1355"/>
        <v>0</v>
      </c>
      <c r="CF149" s="39">
        <f t="shared" si="1355"/>
        <v>0</v>
      </c>
      <c r="CG149" s="39">
        <f t="shared" si="1355"/>
        <v>0</v>
      </c>
      <c r="CH149" s="39">
        <f t="shared" si="1355"/>
        <v>0</v>
      </c>
      <c r="CI149" s="39">
        <f t="shared" si="1355"/>
        <v>0</v>
      </c>
      <c r="CJ149" s="39">
        <f t="shared" si="1355"/>
        <v>0</v>
      </c>
      <c r="CK149" s="39">
        <f t="shared" si="1355"/>
        <v>0</v>
      </c>
      <c r="CL149" s="39">
        <f t="shared" si="1355"/>
        <v>0</v>
      </c>
      <c r="CM149" s="39">
        <f t="shared" si="1355"/>
        <v>0</v>
      </c>
      <c r="CN149" s="39">
        <f t="shared" si="1355"/>
        <v>0</v>
      </c>
      <c r="CO149" s="39">
        <f t="shared" si="1355"/>
        <v>0</v>
      </c>
      <c r="CT149" s="38">
        <v>-2455.6999999999971</v>
      </c>
    </row>
    <row r="150" spans="1:98" s="38" customFormat="1" x14ac:dyDescent="0.2">
      <c r="A150" s="118" t="s">
        <v>174</v>
      </c>
      <c r="AB150" s="39"/>
      <c r="AC150" s="39"/>
      <c r="AD150" s="39"/>
      <c r="AE150" s="39"/>
      <c r="AG150" s="60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</row>
    <row r="151" spans="1:98" s="38" customFormat="1" x14ac:dyDescent="0.2">
      <c r="A151" s="47"/>
      <c r="AB151" s="39"/>
      <c r="AC151" s="39"/>
      <c r="AD151" s="39"/>
      <c r="AE151" s="39"/>
      <c r="AG151" s="60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</row>
    <row r="152" spans="1:98" s="38" customFormat="1" x14ac:dyDescent="0.2">
      <c r="A152" s="38" t="s">
        <v>49</v>
      </c>
      <c r="B152" s="38" t="e">
        <f t="shared" ref="B152:AB152" si="1357">+B108/B100</f>
        <v>#DIV/0!</v>
      </c>
      <c r="C152" s="38" t="e">
        <f t="shared" si="1357"/>
        <v>#DIV/0!</v>
      </c>
      <c r="D152" s="38" t="e">
        <f t="shared" si="1357"/>
        <v>#DIV/0!</v>
      </c>
      <c r="E152" s="38" t="e">
        <f t="shared" si="1357"/>
        <v>#DIV/0!</v>
      </c>
      <c r="F152" s="38" t="e">
        <f t="shared" si="1357"/>
        <v>#DIV/0!</v>
      </c>
      <c r="G152" s="38" t="e">
        <f t="shared" si="1357"/>
        <v>#DIV/0!</v>
      </c>
      <c r="H152" s="38" t="e">
        <f t="shared" si="1357"/>
        <v>#DIV/0!</v>
      </c>
      <c r="I152" s="38">
        <f t="shared" si="1357"/>
        <v>0</v>
      </c>
      <c r="J152" s="38">
        <f t="shared" si="1357"/>
        <v>0.97690647050668389</v>
      </c>
      <c r="K152" s="38">
        <f t="shared" si="1357"/>
        <v>4.410807490876067</v>
      </c>
      <c r="L152" s="38">
        <f t="shared" si="1357"/>
        <v>0.92936316893140147</v>
      </c>
      <c r="M152" s="38">
        <f t="shared" si="1357"/>
        <v>3.936571569428768</v>
      </c>
      <c r="N152" s="38">
        <f t="shared" si="1357"/>
        <v>8.1891978523920184</v>
      </c>
      <c r="O152" s="38">
        <f t="shared" si="1357"/>
        <v>6.8007368744243166</v>
      </c>
      <c r="P152" s="38">
        <f t="shared" si="1357"/>
        <v>4.88874702812363</v>
      </c>
      <c r="Q152" s="38">
        <f t="shared" si="1357"/>
        <v>5.5062468414846428</v>
      </c>
      <c r="R152" s="38">
        <f t="shared" si="1357"/>
        <v>4.7711308641422825</v>
      </c>
      <c r="S152" s="38">
        <f t="shared" si="1357"/>
        <v>5.919102369895783</v>
      </c>
      <c r="T152" s="38">
        <f t="shared" si="1357"/>
        <v>6.2833862926222439</v>
      </c>
      <c r="U152" s="38">
        <f t="shared" si="1357"/>
        <v>6.2116902392177398</v>
      </c>
      <c r="V152" s="38">
        <f t="shared" si="1357"/>
        <v>5.9622684176627709</v>
      </c>
      <c r="W152" s="38">
        <f t="shared" si="1357"/>
        <v>5.133591831215349</v>
      </c>
      <c r="X152" s="38">
        <f t="shared" si="1357"/>
        <v>4.7971892905201292</v>
      </c>
      <c r="Y152" s="38">
        <f t="shared" si="1357"/>
        <v>5.408734521793737</v>
      </c>
      <c r="Z152" s="38">
        <f t="shared" si="1357"/>
        <v>5.669013100712716</v>
      </c>
      <c r="AA152" s="38">
        <f t="shared" ref="AA152" si="1358">+AA108/AA100</f>
        <v>4.8020620352738215</v>
      </c>
      <c r="AB152" s="39">
        <f t="shared" si="1357"/>
        <v>2.6969861186911852</v>
      </c>
      <c r="AC152" s="39">
        <f t="shared" ref="AC152:AE152" si="1359">+AC108/AC100</f>
        <v>2.5278550491697063</v>
      </c>
      <c r="AD152" s="39">
        <f t="shared" si="1359"/>
        <v>2.3867857178846235</v>
      </c>
      <c r="AE152" s="39">
        <f t="shared" si="1359"/>
        <v>2.2672233084900442</v>
      </c>
      <c r="AG152" s="60"/>
      <c r="AH152" s="38" t="e">
        <f t="shared" ref="AH152:BM152" si="1360">+AH108/AH100</f>
        <v>#DIV/0!</v>
      </c>
      <c r="AI152" s="38" t="e">
        <f t="shared" si="1360"/>
        <v>#DIV/0!</v>
      </c>
      <c r="AJ152" s="38" t="e">
        <f t="shared" si="1360"/>
        <v>#DIV/0!</v>
      </c>
      <c r="AK152" s="38" t="e">
        <f t="shared" si="1360"/>
        <v>#DIV/0!</v>
      </c>
      <c r="AL152" s="38" t="e">
        <f t="shared" si="1360"/>
        <v>#DIV/0!</v>
      </c>
      <c r="AM152" s="38" t="e">
        <f t="shared" si="1360"/>
        <v>#DIV/0!</v>
      </c>
      <c r="AN152" s="38" t="e">
        <f t="shared" si="1360"/>
        <v>#DIV/0!</v>
      </c>
      <c r="AO152" s="38" t="e">
        <f t="shared" si="1360"/>
        <v>#DIV/0!</v>
      </c>
      <c r="AP152" s="38" t="e">
        <f t="shared" si="1360"/>
        <v>#DIV/0!</v>
      </c>
      <c r="AQ152" s="38" t="e">
        <f t="shared" si="1360"/>
        <v>#DIV/0!</v>
      </c>
      <c r="AR152" s="38" t="e">
        <f t="shared" si="1360"/>
        <v>#DIV/0!</v>
      </c>
      <c r="AS152" s="38" t="e">
        <f t="shared" si="1360"/>
        <v>#DIV/0!</v>
      </c>
      <c r="AT152" s="38" t="e">
        <f t="shared" si="1360"/>
        <v>#DIV/0!</v>
      </c>
      <c r="AU152" s="38" t="e">
        <f t="shared" si="1360"/>
        <v>#DIV/0!</v>
      </c>
      <c r="AV152" s="38" t="e">
        <f t="shared" si="1360"/>
        <v>#DIV/0!</v>
      </c>
      <c r="AW152" s="38" t="e">
        <f t="shared" si="1360"/>
        <v>#DIV/0!</v>
      </c>
      <c r="AX152" s="38" t="e">
        <f t="shared" si="1360"/>
        <v>#DIV/0!</v>
      </c>
      <c r="AY152" s="38" t="e">
        <f t="shared" si="1360"/>
        <v>#DIV/0!</v>
      </c>
      <c r="AZ152" s="38" t="e">
        <f t="shared" si="1360"/>
        <v>#DIV/0!</v>
      </c>
      <c r="BA152" s="38" t="e">
        <f t="shared" si="1360"/>
        <v>#DIV/0!</v>
      </c>
      <c r="BB152" s="38" t="e">
        <f t="shared" si="1360"/>
        <v>#DIV/0!</v>
      </c>
      <c r="BC152" s="38" t="e">
        <f t="shared" si="1360"/>
        <v>#DIV/0!</v>
      </c>
      <c r="BD152" s="38" t="e">
        <f t="shared" si="1360"/>
        <v>#DIV/0!</v>
      </c>
      <c r="BE152" s="38" t="e">
        <f t="shared" si="1360"/>
        <v>#DIV/0!</v>
      </c>
      <c r="BF152" s="38" t="e">
        <f t="shared" si="1360"/>
        <v>#DIV/0!</v>
      </c>
      <c r="BG152" s="38" t="e">
        <f t="shared" si="1360"/>
        <v>#DIV/0!</v>
      </c>
      <c r="BH152" s="38" t="e">
        <f t="shared" si="1360"/>
        <v>#DIV/0!</v>
      </c>
      <c r="BI152" s="38" t="e">
        <f t="shared" si="1360"/>
        <v>#DIV/0!</v>
      </c>
      <c r="BJ152" s="38" t="e">
        <f t="shared" si="1360"/>
        <v>#DIV/0!</v>
      </c>
      <c r="BK152" s="38" t="e">
        <f t="shared" si="1360"/>
        <v>#DIV/0!</v>
      </c>
      <c r="BL152" s="38" t="e">
        <f t="shared" si="1360"/>
        <v>#DIV/0!</v>
      </c>
      <c r="BM152" s="38" t="e">
        <f t="shared" si="1360"/>
        <v>#DIV/0!</v>
      </c>
      <c r="BN152" s="38" t="e">
        <f t="shared" ref="BN152:CO152" si="1361">+BN108/BN100</f>
        <v>#DIV/0!</v>
      </c>
      <c r="BO152" s="38" t="e">
        <f t="shared" si="1361"/>
        <v>#DIV/0!</v>
      </c>
      <c r="BP152" s="38" t="e">
        <f t="shared" si="1361"/>
        <v>#DIV/0!</v>
      </c>
      <c r="BQ152" s="38" t="e">
        <f t="shared" si="1361"/>
        <v>#DIV/0!</v>
      </c>
      <c r="BR152" s="38" t="e">
        <f t="shared" si="1361"/>
        <v>#DIV/0!</v>
      </c>
      <c r="BS152" s="38" t="e">
        <f t="shared" si="1361"/>
        <v>#DIV/0!</v>
      </c>
      <c r="BT152" s="38">
        <f t="shared" si="1361"/>
        <v>2.741650051474517</v>
      </c>
      <c r="BU152" s="38">
        <f t="shared" si="1361"/>
        <v>2.6597975941389533</v>
      </c>
      <c r="BV152" s="38">
        <f t="shared" si="1361"/>
        <v>2.5676556378681186</v>
      </c>
      <c r="BW152" s="38">
        <f t="shared" ref="BW152:BX152" si="1362">+BW108/BW100</f>
        <v>2.493505083203194</v>
      </c>
      <c r="BX152" s="38">
        <f t="shared" si="1362"/>
        <v>2.4131547735223027</v>
      </c>
      <c r="BY152" s="38">
        <f t="shared" ref="BY152" si="1363">+BY108/BY100</f>
        <v>2.8985288424312814</v>
      </c>
      <c r="BZ152" s="39">
        <f t="shared" si="1361"/>
        <v>2.7736210324053081</v>
      </c>
      <c r="CA152" s="39">
        <f t="shared" si="1361"/>
        <v>2.7627291317228795</v>
      </c>
      <c r="CB152" s="39">
        <f t="shared" si="1361"/>
        <v>2.6445437812962025</v>
      </c>
      <c r="CC152" s="39">
        <f t="shared" si="1361"/>
        <v>2.6969861186911852</v>
      </c>
      <c r="CD152" s="39">
        <f t="shared" si="1361"/>
        <v>2.5828662269791112</v>
      </c>
      <c r="CE152" s="39">
        <f t="shared" si="1361"/>
        <v>2.5807669256337102</v>
      </c>
      <c r="CF152" s="39">
        <f t="shared" si="1361"/>
        <v>2.4750904099209095</v>
      </c>
      <c r="CG152" s="39">
        <f t="shared" si="1361"/>
        <v>2.5278550491697063</v>
      </c>
      <c r="CH152" s="39">
        <f t="shared" si="1361"/>
        <v>2.4261108365848938</v>
      </c>
      <c r="CI152" s="39">
        <f t="shared" si="1361"/>
        <v>2.4288282891085831</v>
      </c>
      <c r="CJ152" s="39">
        <f t="shared" si="1361"/>
        <v>2.333236622729105</v>
      </c>
      <c r="CK152" s="39">
        <f t="shared" si="1361"/>
        <v>2.3867857178846235</v>
      </c>
      <c r="CL152" s="39">
        <f t="shared" si="1361"/>
        <v>2.2944946966739739</v>
      </c>
      <c r="CM152" s="39">
        <f t="shared" si="1361"/>
        <v>2.3006073798769946</v>
      </c>
      <c r="CN152" s="39">
        <f t="shared" si="1361"/>
        <v>2.2132635526995399</v>
      </c>
      <c r="CO152" s="39">
        <f t="shared" si="1361"/>
        <v>2.2672233084900442</v>
      </c>
      <c r="CT152" s="38">
        <v>2.8985288424312814</v>
      </c>
    </row>
    <row r="153" spans="1:98" x14ac:dyDescent="0.2">
      <c r="AA153" s="47"/>
    </row>
    <row r="154" spans="1:98" s="94" customFormat="1" x14ac:dyDescent="0.2">
      <c r="A154" s="94" t="s">
        <v>48</v>
      </c>
      <c r="C154" s="94" t="e">
        <f t="shared" ref="C154:AB154" si="1364">+C113/B113-1</f>
        <v>#DIV/0!</v>
      </c>
      <c r="D154" s="94" t="e">
        <f t="shared" si="1364"/>
        <v>#DIV/0!</v>
      </c>
      <c r="E154" s="94" t="e">
        <f t="shared" si="1364"/>
        <v>#DIV/0!</v>
      </c>
      <c r="F154" s="127" t="e">
        <f t="shared" si="1364"/>
        <v>#DIV/0!</v>
      </c>
      <c r="G154" s="94" t="e">
        <f t="shared" si="1364"/>
        <v>#DIV/0!</v>
      </c>
      <c r="H154" s="94" t="e">
        <f t="shared" si="1364"/>
        <v>#DIV/0!</v>
      </c>
      <c r="I154" s="94" t="e">
        <f t="shared" si="1364"/>
        <v>#DIV/0!</v>
      </c>
      <c r="J154" s="94">
        <f t="shared" si="1364"/>
        <v>53.23152273740947</v>
      </c>
      <c r="K154" s="94">
        <f t="shared" si="1364"/>
        <v>2.6990124720311264</v>
      </c>
      <c r="L154" s="94">
        <f t="shared" si="1364"/>
        <v>1.3360807076182004</v>
      </c>
      <c r="M154" s="94">
        <f t="shared" si="1364"/>
        <v>2.1499267254808818</v>
      </c>
      <c r="N154" s="94">
        <f t="shared" si="1364"/>
        <v>1.074006122306534</v>
      </c>
      <c r="O154" s="94">
        <f t="shared" si="1364"/>
        <v>0.63906250000000009</v>
      </c>
      <c r="P154" s="94">
        <f t="shared" si="1364"/>
        <v>0.42441226076116445</v>
      </c>
      <c r="Q154" s="94">
        <f t="shared" si="1364"/>
        <v>0.26999064593499722</v>
      </c>
      <c r="R154" s="94">
        <f t="shared" si="1364"/>
        <v>0.32111864186921357</v>
      </c>
      <c r="S154" s="94">
        <f t="shared" si="1364"/>
        <v>0.35996507004707445</v>
      </c>
      <c r="T154" s="94">
        <f t="shared" si="1364"/>
        <v>0.24226725273416183</v>
      </c>
      <c r="U154" s="94">
        <f t="shared" si="1364"/>
        <v>5.331977005632349E-2</v>
      </c>
      <c r="V154" s="94">
        <f t="shared" si="1364"/>
        <v>2.5360605211543819E-2</v>
      </c>
      <c r="W154" s="94">
        <f t="shared" si="1364"/>
        <v>-1.8983447477738391E-2</v>
      </c>
      <c r="X154" s="94">
        <f t="shared" si="1364"/>
        <v>0.15678068805026135</v>
      </c>
      <c r="Y154" s="94">
        <f t="shared" si="1364"/>
        <v>0.30628390409172579</v>
      </c>
      <c r="Z154" s="94">
        <f t="shared" si="1364"/>
        <v>0.18967240129732232</v>
      </c>
      <c r="AA154" s="94">
        <f t="shared" si="1364"/>
        <v>0.11068122060467656</v>
      </c>
      <c r="AB154" s="85">
        <f t="shared" si="1364"/>
        <v>9.2717647720681695E-2</v>
      </c>
      <c r="AC154" s="85">
        <f t="shared" ref="AC154:AE154" si="1365">+AC113/AB113-1</f>
        <v>0.10979456760496609</v>
      </c>
      <c r="AD154" s="85">
        <f t="shared" si="1365"/>
        <v>0.10979456760496609</v>
      </c>
      <c r="AE154" s="85">
        <f t="shared" si="1365"/>
        <v>0.10979456760496609</v>
      </c>
      <c r="AG154" s="59"/>
      <c r="AK154" s="94" t="e">
        <f t="shared" ref="AK154:BY154" si="1366">+AK113/AG113-1</f>
        <v>#DIV/0!</v>
      </c>
      <c r="AL154" s="94" t="e">
        <f t="shared" si="1366"/>
        <v>#DIV/0!</v>
      </c>
      <c r="AM154" s="94" t="e">
        <f t="shared" si="1366"/>
        <v>#DIV/0!</v>
      </c>
      <c r="AN154" s="94" t="e">
        <f t="shared" si="1366"/>
        <v>#DIV/0!</v>
      </c>
      <c r="AO154" s="94" t="e">
        <f t="shared" si="1366"/>
        <v>#DIV/0!</v>
      </c>
      <c r="AP154" s="94" t="e">
        <f t="shared" si="1366"/>
        <v>#DIV/0!</v>
      </c>
      <c r="AQ154" s="94" t="e">
        <f t="shared" si="1366"/>
        <v>#DIV/0!</v>
      </c>
      <c r="AR154" s="94" t="e">
        <f t="shared" si="1366"/>
        <v>#DIV/0!</v>
      </c>
      <c r="AS154" s="94" t="e">
        <f t="shared" si="1366"/>
        <v>#DIV/0!</v>
      </c>
      <c r="AT154" s="94" t="e">
        <f t="shared" si="1366"/>
        <v>#DIV/0!</v>
      </c>
      <c r="AU154" s="94" t="e">
        <f t="shared" si="1366"/>
        <v>#DIV/0!</v>
      </c>
      <c r="AV154" s="94" t="e">
        <f t="shared" si="1366"/>
        <v>#DIV/0!</v>
      </c>
      <c r="AW154" s="94" t="e">
        <f t="shared" si="1366"/>
        <v>#DIV/0!</v>
      </c>
      <c r="AX154" s="94" t="e">
        <f t="shared" si="1366"/>
        <v>#DIV/0!</v>
      </c>
      <c r="AY154" s="94" t="e">
        <f t="shared" si="1366"/>
        <v>#DIV/0!</v>
      </c>
      <c r="AZ154" s="94" t="e">
        <f t="shared" si="1366"/>
        <v>#DIV/0!</v>
      </c>
      <c r="BA154" s="94" t="e">
        <f t="shared" si="1366"/>
        <v>#DIV/0!</v>
      </c>
      <c r="BB154" s="94" t="e">
        <f t="shared" si="1366"/>
        <v>#DIV/0!</v>
      </c>
      <c r="BC154" s="94" t="e">
        <f t="shared" si="1366"/>
        <v>#DIV/0!</v>
      </c>
      <c r="BD154" s="94" t="e">
        <f t="shared" si="1366"/>
        <v>#DIV/0!</v>
      </c>
      <c r="BE154" s="94" t="e">
        <f t="shared" si="1366"/>
        <v>#DIV/0!</v>
      </c>
      <c r="BF154" s="94" t="e">
        <f t="shared" si="1366"/>
        <v>#DIV/0!</v>
      </c>
      <c r="BG154" s="94" t="e">
        <f t="shared" si="1366"/>
        <v>#DIV/0!</v>
      </c>
      <c r="BH154" s="94" t="e">
        <f t="shared" si="1366"/>
        <v>#DIV/0!</v>
      </c>
      <c r="BI154" s="94" t="e">
        <f t="shared" si="1366"/>
        <v>#DIV/0!</v>
      </c>
      <c r="BJ154" s="94" t="e">
        <f t="shared" si="1366"/>
        <v>#DIV/0!</v>
      </c>
      <c r="BK154" s="94" t="e">
        <f t="shared" si="1366"/>
        <v>#DIV/0!</v>
      </c>
      <c r="BL154" s="94" t="e">
        <f t="shared" si="1366"/>
        <v>#DIV/0!</v>
      </c>
      <c r="BM154" s="94" t="e">
        <f t="shared" si="1366"/>
        <v>#DIV/0!</v>
      </c>
      <c r="BN154" s="94" t="e">
        <f t="shared" si="1366"/>
        <v>#DIV/0!</v>
      </c>
      <c r="BO154" s="94" t="e">
        <f t="shared" si="1366"/>
        <v>#DIV/0!</v>
      </c>
      <c r="BP154" s="94" t="e">
        <f t="shared" si="1366"/>
        <v>#DIV/0!</v>
      </c>
      <c r="BQ154" s="94" t="e">
        <f t="shared" si="1366"/>
        <v>#DIV/0!</v>
      </c>
      <c r="BR154" s="94" t="e">
        <f t="shared" si="1366"/>
        <v>#DIV/0!</v>
      </c>
      <c r="BS154" s="94" t="e">
        <f t="shared" si="1366"/>
        <v>#DIV/0!</v>
      </c>
      <c r="BT154" s="94" t="e">
        <f t="shared" si="1366"/>
        <v>#DIV/0!</v>
      </c>
      <c r="BU154" s="94" t="e">
        <f t="shared" si="1366"/>
        <v>#DIV/0!</v>
      </c>
      <c r="BV154" s="94" t="e">
        <f t="shared" si="1366"/>
        <v>#DIV/0!</v>
      </c>
      <c r="BW154" s="94" t="e">
        <f t="shared" si="1366"/>
        <v>#DIV/0!</v>
      </c>
      <c r="BX154" s="94">
        <f t="shared" si="1366"/>
        <v>4.2735357014988873E-2</v>
      </c>
      <c r="BY154" s="94">
        <f t="shared" si="1366"/>
        <v>0.10979456760496609</v>
      </c>
      <c r="BZ154" s="85">
        <f>BY154</f>
        <v>0.10979456760496609</v>
      </c>
      <c r="CA154" s="85">
        <f t="shared" ref="CA154:CO154" si="1367">BZ154</f>
        <v>0.10979456760496609</v>
      </c>
      <c r="CB154" s="85">
        <f t="shared" si="1367"/>
        <v>0.10979456760496609</v>
      </c>
      <c r="CC154" s="85">
        <f t="shared" si="1367"/>
        <v>0.10979456760496609</v>
      </c>
      <c r="CD154" s="85">
        <f t="shared" si="1367"/>
        <v>0.10979456760496609</v>
      </c>
      <c r="CE154" s="85">
        <f t="shared" si="1367"/>
        <v>0.10979456760496609</v>
      </c>
      <c r="CF154" s="85">
        <f t="shared" si="1367"/>
        <v>0.10979456760496609</v>
      </c>
      <c r="CG154" s="85">
        <f t="shared" si="1367"/>
        <v>0.10979456760496609</v>
      </c>
      <c r="CH154" s="85">
        <f t="shared" si="1367"/>
        <v>0.10979456760496609</v>
      </c>
      <c r="CI154" s="85">
        <f t="shared" si="1367"/>
        <v>0.10979456760496609</v>
      </c>
      <c r="CJ154" s="85">
        <f t="shared" si="1367"/>
        <v>0.10979456760496609</v>
      </c>
      <c r="CK154" s="85">
        <f t="shared" si="1367"/>
        <v>0.10979456760496609</v>
      </c>
      <c r="CL154" s="85">
        <f t="shared" si="1367"/>
        <v>0.10979456760496609</v>
      </c>
      <c r="CM154" s="85">
        <f t="shared" si="1367"/>
        <v>0.10979456760496609</v>
      </c>
      <c r="CN154" s="85">
        <f t="shared" si="1367"/>
        <v>0.10979456760496609</v>
      </c>
      <c r="CO154" s="85">
        <f t="shared" si="1367"/>
        <v>0.10979456760496609</v>
      </c>
      <c r="CT154" s="94">
        <v>9.3590657382532028E-2</v>
      </c>
    </row>
    <row r="155" spans="1:98" s="130" customFormat="1" x14ac:dyDescent="0.2">
      <c r="A155" s="130" t="s">
        <v>21</v>
      </c>
      <c r="C155" s="130" t="e">
        <f t="shared" ref="C155:AB155" si="1368">+C108/B108-1</f>
        <v>#DIV/0!</v>
      </c>
      <c r="D155" s="130" t="e">
        <f t="shared" si="1368"/>
        <v>#DIV/0!</v>
      </c>
      <c r="E155" s="130" t="e">
        <f t="shared" si="1368"/>
        <v>#DIV/0!</v>
      </c>
      <c r="F155" s="130" t="e">
        <f t="shared" si="1368"/>
        <v>#DIV/0!</v>
      </c>
      <c r="G155" s="130" t="e">
        <f t="shared" si="1368"/>
        <v>#DIV/0!</v>
      </c>
      <c r="H155" s="130" t="e">
        <f t="shared" si="1368"/>
        <v>#DIV/0!</v>
      </c>
      <c r="I155" s="130" t="e">
        <f t="shared" si="1368"/>
        <v>#DIV/0!</v>
      </c>
      <c r="J155" s="130" t="e">
        <f t="shared" si="1368"/>
        <v>#DIV/0!</v>
      </c>
      <c r="K155" s="130">
        <f t="shared" si="1368"/>
        <v>4.0011678733333333</v>
      </c>
      <c r="L155" s="130">
        <f t="shared" si="1368"/>
        <v>0.48512473404084355</v>
      </c>
      <c r="M155" s="130">
        <f t="shared" si="1368"/>
        <v>3.5391794258319633</v>
      </c>
      <c r="N155" s="130">
        <f t="shared" si="1368"/>
        <v>1.3575720024915383</v>
      </c>
      <c r="O155" s="130">
        <f t="shared" si="1368"/>
        <v>0.5481910279009885</v>
      </c>
      <c r="P155" s="130">
        <f t="shared" si="1368"/>
        <v>0.37950067720090286</v>
      </c>
      <c r="Q155" s="130">
        <f t="shared" si="1368"/>
        <v>0.2836882125046718</v>
      </c>
      <c r="R155" s="130">
        <f t="shared" si="1368"/>
        <v>0.30465298297229015</v>
      </c>
      <c r="S155" s="130">
        <f t="shared" si="1368"/>
        <v>0.39732599107751754</v>
      </c>
      <c r="T155" s="130">
        <f t="shared" si="1368"/>
        <v>0.26155937399048201</v>
      </c>
      <c r="U155" s="130">
        <f t="shared" si="1368"/>
        <v>0.10417868489372584</v>
      </c>
      <c r="V155" s="130">
        <f t="shared" si="1368"/>
        <v>1.1136836352195312E-2</v>
      </c>
      <c r="W155" s="130">
        <f t="shared" si="1368"/>
        <v>-2.7515972894482044E-2</v>
      </c>
      <c r="X155" s="130">
        <f t="shared" si="1368"/>
        <v>0.1203156918045587</v>
      </c>
      <c r="Y155" s="130">
        <f t="shared" si="1368"/>
        <v>0.35478447128066892</v>
      </c>
      <c r="Z155" s="130">
        <f t="shared" si="1368"/>
        <v>0.20653251208417722</v>
      </c>
      <c r="AA155" s="130">
        <f t="shared" si="1368"/>
        <v>0.10646105806525852</v>
      </c>
      <c r="AB155" s="131">
        <f t="shared" si="1368"/>
        <v>-0.33012864968209776</v>
      </c>
      <c r="AC155" s="131">
        <f t="shared" ref="AC155:AE155" si="1369">+AC108/AB108-1</f>
        <v>0.10979456760496609</v>
      </c>
      <c r="AD155" s="131">
        <f t="shared" si="1369"/>
        <v>0.10979456760496586</v>
      </c>
      <c r="AE155" s="131">
        <f t="shared" si="1369"/>
        <v>0.10979456760496609</v>
      </c>
      <c r="AG155" s="132"/>
      <c r="AK155" s="130" t="e">
        <f t="shared" ref="AK155:BY155" si="1370">+AK108/AG108-1</f>
        <v>#DIV/0!</v>
      </c>
      <c r="AL155" s="130" t="e">
        <f t="shared" si="1370"/>
        <v>#DIV/0!</v>
      </c>
      <c r="AM155" s="130" t="e">
        <f t="shared" si="1370"/>
        <v>#DIV/0!</v>
      </c>
      <c r="AN155" s="130" t="e">
        <f t="shared" si="1370"/>
        <v>#DIV/0!</v>
      </c>
      <c r="AO155" s="130" t="e">
        <f t="shared" si="1370"/>
        <v>#DIV/0!</v>
      </c>
      <c r="AP155" s="130" t="e">
        <f t="shared" si="1370"/>
        <v>#DIV/0!</v>
      </c>
      <c r="AQ155" s="130" t="e">
        <f t="shared" si="1370"/>
        <v>#DIV/0!</v>
      </c>
      <c r="AR155" s="130" t="e">
        <f t="shared" si="1370"/>
        <v>#DIV/0!</v>
      </c>
      <c r="AS155" s="130" t="e">
        <f t="shared" si="1370"/>
        <v>#DIV/0!</v>
      </c>
      <c r="AT155" s="130" t="e">
        <f t="shared" si="1370"/>
        <v>#DIV/0!</v>
      </c>
      <c r="AU155" s="130" t="e">
        <f t="shared" si="1370"/>
        <v>#DIV/0!</v>
      </c>
      <c r="AV155" s="130" t="e">
        <f t="shared" si="1370"/>
        <v>#DIV/0!</v>
      </c>
      <c r="AW155" s="130" t="e">
        <f t="shared" si="1370"/>
        <v>#DIV/0!</v>
      </c>
      <c r="AX155" s="130" t="e">
        <f t="shared" si="1370"/>
        <v>#DIV/0!</v>
      </c>
      <c r="AY155" s="130" t="e">
        <f t="shared" si="1370"/>
        <v>#DIV/0!</v>
      </c>
      <c r="AZ155" s="130" t="e">
        <f t="shared" si="1370"/>
        <v>#DIV/0!</v>
      </c>
      <c r="BA155" s="130" t="e">
        <f t="shared" si="1370"/>
        <v>#DIV/0!</v>
      </c>
      <c r="BB155" s="130" t="e">
        <f t="shared" si="1370"/>
        <v>#DIV/0!</v>
      </c>
      <c r="BC155" s="130" t="e">
        <f t="shared" si="1370"/>
        <v>#DIV/0!</v>
      </c>
      <c r="BD155" s="130" t="e">
        <f t="shared" si="1370"/>
        <v>#DIV/0!</v>
      </c>
      <c r="BE155" s="130" t="e">
        <f t="shared" si="1370"/>
        <v>#DIV/0!</v>
      </c>
      <c r="BF155" s="130" t="e">
        <f t="shared" si="1370"/>
        <v>#DIV/0!</v>
      </c>
      <c r="BG155" s="130" t="e">
        <f t="shared" si="1370"/>
        <v>#DIV/0!</v>
      </c>
      <c r="BH155" s="130" t="e">
        <f t="shared" si="1370"/>
        <v>#DIV/0!</v>
      </c>
      <c r="BI155" s="130" t="e">
        <f t="shared" si="1370"/>
        <v>#DIV/0!</v>
      </c>
      <c r="BJ155" s="130" t="e">
        <f t="shared" si="1370"/>
        <v>#DIV/0!</v>
      </c>
      <c r="BK155" s="130" t="e">
        <f t="shared" si="1370"/>
        <v>#DIV/0!</v>
      </c>
      <c r="BL155" s="130" t="e">
        <f t="shared" si="1370"/>
        <v>#DIV/0!</v>
      </c>
      <c r="BM155" s="130" t="e">
        <f t="shared" si="1370"/>
        <v>#DIV/0!</v>
      </c>
      <c r="BN155" s="130" t="e">
        <f t="shared" si="1370"/>
        <v>#DIV/0!</v>
      </c>
      <c r="BO155" s="130" t="e">
        <f t="shared" si="1370"/>
        <v>#DIV/0!</v>
      </c>
      <c r="BP155" s="130" t="e">
        <f t="shared" si="1370"/>
        <v>#DIV/0!</v>
      </c>
      <c r="BQ155" s="130" t="e">
        <f t="shared" si="1370"/>
        <v>#DIV/0!</v>
      </c>
      <c r="BR155" s="130" t="e">
        <f t="shared" si="1370"/>
        <v>#DIV/0!</v>
      </c>
      <c r="BS155" s="130" t="e">
        <f t="shared" si="1370"/>
        <v>#DIV/0!</v>
      </c>
      <c r="BT155" s="130" t="e">
        <f t="shared" si="1370"/>
        <v>#DIV/0!</v>
      </c>
      <c r="BU155" s="130" t="e">
        <f t="shared" si="1370"/>
        <v>#DIV/0!</v>
      </c>
      <c r="BV155" s="130" t="e">
        <f t="shared" si="1370"/>
        <v>#DIV/0!</v>
      </c>
      <c r="BW155" s="130" t="e">
        <f t="shared" si="1370"/>
        <v>#DIV/0!</v>
      </c>
      <c r="BX155" s="130">
        <f t="shared" si="1370"/>
        <v>0.14598642495223069</v>
      </c>
      <c r="BY155" s="130">
        <f t="shared" si="1370"/>
        <v>0.42345973591398667</v>
      </c>
      <c r="BZ155" s="85">
        <f>BY155</f>
        <v>0.42345973591398667</v>
      </c>
      <c r="CA155" s="85">
        <f t="shared" ref="CA155:CO155" si="1371">BZ155</f>
        <v>0.42345973591398667</v>
      </c>
      <c r="CB155" s="85">
        <f t="shared" si="1371"/>
        <v>0.42345973591398667</v>
      </c>
      <c r="CC155" s="85">
        <f t="shared" si="1371"/>
        <v>0.42345973591398667</v>
      </c>
      <c r="CD155" s="85">
        <f t="shared" si="1371"/>
        <v>0.42345973591398667</v>
      </c>
      <c r="CE155" s="85">
        <f t="shared" si="1371"/>
        <v>0.42345973591398667</v>
      </c>
      <c r="CF155" s="85">
        <f t="shared" si="1371"/>
        <v>0.42345973591398667</v>
      </c>
      <c r="CG155" s="85">
        <f t="shared" si="1371"/>
        <v>0.42345973591398667</v>
      </c>
      <c r="CH155" s="85">
        <f t="shared" si="1371"/>
        <v>0.42345973591398667</v>
      </c>
      <c r="CI155" s="85">
        <f t="shared" si="1371"/>
        <v>0.42345973591398667</v>
      </c>
      <c r="CJ155" s="85">
        <f t="shared" si="1371"/>
        <v>0.42345973591398667</v>
      </c>
      <c r="CK155" s="85">
        <f t="shared" si="1371"/>
        <v>0.42345973591398667</v>
      </c>
      <c r="CL155" s="85">
        <f t="shared" si="1371"/>
        <v>0.42345973591398667</v>
      </c>
      <c r="CM155" s="85">
        <f t="shared" si="1371"/>
        <v>0.42345973591398667</v>
      </c>
      <c r="CN155" s="85">
        <f t="shared" si="1371"/>
        <v>0.42345973591398667</v>
      </c>
      <c r="CO155" s="85">
        <f t="shared" si="1371"/>
        <v>0.42345973591398667</v>
      </c>
      <c r="CT155" s="130">
        <v>-0.3146827430493937</v>
      </c>
    </row>
    <row r="156" spans="1:98" s="133" customFormat="1" x14ac:dyDescent="0.2">
      <c r="A156" s="138" t="s">
        <v>467</v>
      </c>
      <c r="AB156" s="134"/>
      <c r="AC156" s="134"/>
      <c r="AD156" s="134"/>
      <c r="AE156" s="134"/>
      <c r="AG156" s="135"/>
      <c r="AJ156" s="136"/>
      <c r="AK156" s="136" t="e">
        <f t="shared" ref="AK156" si="1372">+AK107/AK113</f>
        <v>#DIV/0!</v>
      </c>
      <c r="AL156" s="136" t="e">
        <f t="shared" ref="AL156:BV156" si="1373">+AL107/AL113</f>
        <v>#DIV/0!</v>
      </c>
      <c r="AM156" s="136" t="e">
        <f t="shared" si="1373"/>
        <v>#DIV/0!</v>
      </c>
      <c r="AN156" s="136" t="e">
        <f t="shared" si="1373"/>
        <v>#DIV/0!</v>
      </c>
      <c r="AO156" s="136" t="e">
        <f t="shared" si="1373"/>
        <v>#DIV/0!</v>
      </c>
      <c r="AP156" s="136" t="e">
        <f t="shared" si="1373"/>
        <v>#DIV/0!</v>
      </c>
      <c r="AQ156" s="136" t="e">
        <f t="shared" si="1373"/>
        <v>#DIV/0!</v>
      </c>
      <c r="AR156" s="136" t="e">
        <f t="shared" si="1373"/>
        <v>#DIV/0!</v>
      </c>
      <c r="AS156" s="136" t="e">
        <f t="shared" si="1373"/>
        <v>#DIV/0!</v>
      </c>
      <c r="AT156" s="136" t="e">
        <f t="shared" si="1373"/>
        <v>#DIV/0!</v>
      </c>
      <c r="AU156" s="136" t="e">
        <f t="shared" si="1373"/>
        <v>#DIV/0!</v>
      </c>
      <c r="AV156" s="136" t="e">
        <f t="shared" si="1373"/>
        <v>#DIV/0!</v>
      </c>
      <c r="AW156" s="136" t="e">
        <f t="shared" si="1373"/>
        <v>#DIV/0!</v>
      </c>
      <c r="AX156" s="136" t="e">
        <f t="shared" si="1373"/>
        <v>#DIV/0!</v>
      </c>
      <c r="AY156" s="136" t="e">
        <f t="shared" si="1373"/>
        <v>#DIV/0!</v>
      </c>
      <c r="AZ156" s="136" t="e">
        <f t="shared" si="1373"/>
        <v>#DIV/0!</v>
      </c>
      <c r="BA156" s="136" t="e">
        <f t="shared" si="1373"/>
        <v>#DIV/0!</v>
      </c>
      <c r="BB156" s="136" t="e">
        <f t="shared" si="1373"/>
        <v>#DIV/0!</v>
      </c>
      <c r="BC156" s="136" t="e">
        <f t="shared" si="1373"/>
        <v>#DIV/0!</v>
      </c>
      <c r="BD156" s="136" t="e">
        <f t="shared" si="1373"/>
        <v>#DIV/0!</v>
      </c>
      <c r="BE156" s="136" t="e">
        <f t="shared" si="1373"/>
        <v>#DIV/0!</v>
      </c>
      <c r="BF156" s="136" t="e">
        <f t="shared" si="1373"/>
        <v>#DIV/0!</v>
      </c>
      <c r="BG156" s="136" t="e">
        <f t="shared" si="1373"/>
        <v>#DIV/0!</v>
      </c>
      <c r="BH156" s="136" t="e">
        <f t="shared" si="1373"/>
        <v>#DIV/0!</v>
      </c>
      <c r="BI156" s="136" t="e">
        <f t="shared" si="1373"/>
        <v>#DIV/0!</v>
      </c>
      <c r="BJ156" s="136" t="e">
        <f t="shared" si="1373"/>
        <v>#DIV/0!</v>
      </c>
      <c r="BK156" s="136" t="e">
        <f t="shared" si="1373"/>
        <v>#DIV/0!</v>
      </c>
      <c r="BL156" s="136" t="e">
        <f t="shared" si="1373"/>
        <v>#DIV/0!</v>
      </c>
      <c r="BM156" s="136" t="e">
        <f t="shared" si="1373"/>
        <v>#DIV/0!</v>
      </c>
      <c r="BN156" s="136" t="e">
        <f t="shared" si="1373"/>
        <v>#DIV/0!</v>
      </c>
      <c r="BO156" s="136" t="e">
        <f t="shared" si="1373"/>
        <v>#DIV/0!</v>
      </c>
      <c r="BP156" s="136" t="e">
        <f t="shared" si="1373"/>
        <v>#DIV/0!</v>
      </c>
      <c r="BQ156" s="136" t="e">
        <f t="shared" si="1373"/>
        <v>#DIV/0!</v>
      </c>
      <c r="BR156" s="136" t="e">
        <f t="shared" si="1373"/>
        <v>#DIV/0!</v>
      </c>
      <c r="BS156" s="136" t="e">
        <f t="shared" si="1373"/>
        <v>#DIV/0!</v>
      </c>
      <c r="BT156" s="136">
        <f t="shared" si="1373"/>
        <v>0.40716062045808615</v>
      </c>
      <c r="BU156" s="136">
        <f t="shared" si="1373"/>
        <v>0.40716062045808615</v>
      </c>
      <c r="BV156" s="136">
        <f t="shared" si="1373"/>
        <v>0.40716062045808615</v>
      </c>
      <c r="BW156" s="136">
        <f t="shared" ref="BW156:BX156" si="1374">+BW107/BW113</f>
        <v>0.447477435843184</v>
      </c>
      <c r="BX156" s="136">
        <f t="shared" si="1374"/>
        <v>0.447477435843184</v>
      </c>
      <c r="BY156" s="136">
        <f t="shared" ref="BY156" si="1375">+BY107/BY113</f>
        <v>0.52223786833145136</v>
      </c>
      <c r="BZ156" s="137">
        <f t="shared" ref="BZ156:CO156" si="1376">+BY156</f>
        <v>0.52223786833145136</v>
      </c>
      <c r="CA156" s="137">
        <f t="shared" si="1376"/>
        <v>0.52223786833145136</v>
      </c>
      <c r="CB156" s="137">
        <f t="shared" si="1376"/>
        <v>0.52223786833145136</v>
      </c>
      <c r="CC156" s="137">
        <f t="shared" si="1376"/>
        <v>0.52223786833145136</v>
      </c>
      <c r="CD156" s="137">
        <f t="shared" si="1376"/>
        <v>0.52223786833145136</v>
      </c>
      <c r="CE156" s="137">
        <f t="shared" si="1376"/>
        <v>0.52223786833145136</v>
      </c>
      <c r="CF156" s="137">
        <f t="shared" si="1376"/>
        <v>0.52223786833145136</v>
      </c>
      <c r="CG156" s="137">
        <f t="shared" si="1376"/>
        <v>0.52223786833145136</v>
      </c>
      <c r="CH156" s="137">
        <f t="shared" si="1376"/>
        <v>0.52223786833145136</v>
      </c>
      <c r="CI156" s="137">
        <f t="shared" si="1376"/>
        <v>0.52223786833145136</v>
      </c>
      <c r="CJ156" s="137">
        <f t="shared" si="1376"/>
        <v>0.52223786833145136</v>
      </c>
      <c r="CK156" s="137">
        <f t="shared" si="1376"/>
        <v>0.52223786833145136</v>
      </c>
      <c r="CL156" s="137">
        <f t="shared" si="1376"/>
        <v>0.52223786833145136</v>
      </c>
      <c r="CM156" s="137">
        <f t="shared" si="1376"/>
        <v>0.52223786833145136</v>
      </c>
      <c r="CN156" s="137">
        <f t="shared" si="1376"/>
        <v>0.52223786833145136</v>
      </c>
      <c r="CO156" s="137">
        <f t="shared" si="1376"/>
        <v>0.52223786833145136</v>
      </c>
    </row>
  </sheetData>
  <sortState xmlns:xlrd2="http://schemas.microsoft.com/office/spreadsheetml/2017/richdata2" ref="A35:CO38">
    <sortCondition descending="1" ref="Z35:Z3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218756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500</v>
      </c>
      <c r="C3" s="151" t="s">
        <v>499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499</v>
      </c>
      <c r="N3" s="152" t="s">
        <v>500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45840</v>
      </c>
      <c r="B4" s="107">
        <v>850.45</v>
      </c>
      <c r="C4" s="107">
        <v>840.9</v>
      </c>
      <c r="D4" s="107">
        <v>827.5</v>
      </c>
      <c r="E4" s="107">
        <v>835</v>
      </c>
      <c r="F4" s="107">
        <v>840.9</v>
      </c>
      <c r="G4">
        <v>7844637</v>
      </c>
      <c r="H4" s="107"/>
      <c r="I4" s="107"/>
      <c r="L4" s="149">
        <v>45840</v>
      </c>
      <c r="M4" s="107">
        <v>840.95</v>
      </c>
      <c r="N4" s="107">
        <v>851.4</v>
      </c>
      <c r="O4" s="107">
        <v>827.15</v>
      </c>
      <c r="P4" s="107">
        <v>835</v>
      </c>
      <c r="Q4" s="107">
        <v>840.95</v>
      </c>
      <c r="R4">
        <v>80966441</v>
      </c>
    </row>
    <row r="5" spans="1:18" x14ac:dyDescent="0.25">
      <c r="A5" s="149">
        <v>45841</v>
      </c>
      <c r="B5" s="107">
        <v>891.65</v>
      </c>
      <c r="C5" s="107">
        <v>865.1</v>
      </c>
      <c r="D5" s="107">
        <v>840.65</v>
      </c>
      <c r="E5" s="107">
        <v>840.7</v>
      </c>
      <c r="F5" s="107">
        <v>865.1</v>
      </c>
      <c r="G5">
        <v>3215439</v>
      </c>
      <c r="H5" s="107"/>
      <c r="I5" s="107"/>
      <c r="L5" s="149">
        <v>45841</v>
      </c>
      <c r="M5" s="107">
        <v>864</v>
      </c>
      <c r="N5" s="107">
        <v>891.9</v>
      </c>
      <c r="O5" s="107">
        <v>842</v>
      </c>
      <c r="P5" s="107">
        <v>842</v>
      </c>
      <c r="Q5" s="107">
        <v>864</v>
      </c>
      <c r="R5">
        <v>30604163</v>
      </c>
    </row>
    <row r="6" spans="1:18" x14ac:dyDescent="0.25">
      <c r="A6" s="149">
        <v>45842</v>
      </c>
      <c r="B6" s="107">
        <v>878</v>
      </c>
      <c r="C6" s="107">
        <v>844.85</v>
      </c>
      <c r="D6" s="107">
        <v>836</v>
      </c>
      <c r="E6" s="107">
        <v>869</v>
      </c>
      <c r="F6" s="107">
        <v>844.85</v>
      </c>
      <c r="G6">
        <v>1627933</v>
      </c>
      <c r="H6" s="107"/>
      <c r="I6" s="107"/>
      <c r="L6" s="149">
        <v>45842</v>
      </c>
      <c r="M6" s="107">
        <v>845.45</v>
      </c>
      <c r="N6" s="107">
        <v>878.9</v>
      </c>
      <c r="O6" s="107">
        <v>836.25</v>
      </c>
      <c r="P6" s="107">
        <v>869.7</v>
      </c>
      <c r="Q6" s="107">
        <v>845.45</v>
      </c>
      <c r="R6">
        <v>10956631</v>
      </c>
    </row>
    <row r="7" spans="1:18" x14ac:dyDescent="0.25">
      <c r="A7" s="149">
        <v>45845</v>
      </c>
      <c r="B7" s="107">
        <v>858.95</v>
      </c>
      <c r="C7" s="107">
        <v>844.15</v>
      </c>
      <c r="D7" s="107">
        <v>833.05</v>
      </c>
      <c r="E7" s="107">
        <v>844.7</v>
      </c>
      <c r="F7" s="107">
        <v>844.15</v>
      </c>
      <c r="G7">
        <v>631545</v>
      </c>
      <c r="H7" s="107"/>
      <c r="I7" s="107"/>
      <c r="L7" s="149">
        <v>45845</v>
      </c>
      <c r="M7" s="107">
        <v>843.95</v>
      </c>
      <c r="N7" s="107">
        <v>858.8</v>
      </c>
      <c r="O7" s="107">
        <v>833.25</v>
      </c>
      <c r="P7" s="107">
        <v>845.45</v>
      </c>
      <c r="Q7" s="107">
        <v>843.95</v>
      </c>
      <c r="R7">
        <v>6359412</v>
      </c>
    </row>
    <row r="8" spans="1:18" x14ac:dyDescent="0.25">
      <c r="A8" s="149">
        <v>45846</v>
      </c>
      <c r="B8" s="107">
        <v>852.3</v>
      </c>
      <c r="C8" s="107">
        <v>849.45</v>
      </c>
      <c r="D8" s="107">
        <v>840</v>
      </c>
      <c r="E8" s="107">
        <v>841.7</v>
      </c>
      <c r="F8" s="107">
        <v>849.45</v>
      </c>
      <c r="G8">
        <v>481956</v>
      </c>
      <c r="H8" s="107"/>
      <c r="I8" s="107"/>
      <c r="L8" s="149">
        <v>45846</v>
      </c>
      <c r="M8" s="107">
        <v>849.45</v>
      </c>
      <c r="N8" s="107">
        <v>852.45</v>
      </c>
      <c r="O8" s="107">
        <v>839.05</v>
      </c>
      <c r="P8" s="107">
        <v>843.9</v>
      </c>
      <c r="Q8" s="107">
        <v>849.45</v>
      </c>
      <c r="R8">
        <v>4382939</v>
      </c>
    </row>
    <row r="9" spans="1:18" x14ac:dyDescent="0.25">
      <c r="A9" s="149">
        <v>45847</v>
      </c>
      <c r="B9" s="107">
        <v>864</v>
      </c>
      <c r="C9" s="107">
        <v>840.65</v>
      </c>
      <c r="D9" s="107">
        <v>837.05</v>
      </c>
      <c r="E9" s="107">
        <v>849.6</v>
      </c>
      <c r="F9" s="107">
        <v>840.65</v>
      </c>
      <c r="G9">
        <v>508035</v>
      </c>
      <c r="H9" s="107"/>
      <c r="I9" s="107"/>
      <c r="L9" s="149">
        <v>45847</v>
      </c>
      <c r="M9" s="107">
        <v>840.6</v>
      </c>
      <c r="N9" s="107">
        <v>863.8</v>
      </c>
      <c r="O9" s="107">
        <v>837.95</v>
      </c>
      <c r="P9" s="107">
        <v>850.5</v>
      </c>
      <c r="Q9" s="107">
        <v>840.6</v>
      </c>
      <c r="R9">
        <v>4697728</v>
      </c>
    </row>
    <row r="10" spans="1:18" x14ac:dyDescent="0.25">
      <c r="A10" s="149">
        <v>45848</v>
      </c>
      <c r="B10" s="107">
        <v>848.45</v>
      </c>
      <c r="C10" s="107">
        <v>846.15</v>
      </c>
      <c r="D10" s="107">
        <v>838.8</v>
      </c>
      <c r="E10" s="107">
        <v>841.65</v>
      </c>
      <c r="F10" s="107">
        <v>846.15</v>
      </c>
      <c r="G10">
        <v>468402</v>
      </c>
      <c r="H10" s="107"/>
      <c r="I10" s="107"/>
      <c r="L10" s="149">
        <v>45848</v>
      </c>
      <c r="M10" s="107">
        <v>846.2</v>
      </c>
      <c r="N10" s="107">
        <v>848.9</v>
      </c>
      <c r="O10" s="107">
        <v>839</v>
      </c>
      <c r="P10" s="107">
        <v>842.5</v>
      </c>
      <c r="Q10" s="107">
        <v>846.2</v>
      </c>
      <c r="R10">
        <v>2667081</v>
      </c>
    </row>
    <row r="11" spans="1:18" x14ac:dyDescent="0.25">
      <c r="A11" s="149">
        <v>45849</v>
      </c>
      <c r="B11" s="107">
        <v>852.75</v>
      </c>
      <c r="C11" s="107">
        <v>845.65</v>
      </c>
      <c r="D11" s="107">
        <v>838.1</v>
      </c>
      <c r="E11" s="107">
        <v>844</v>
      </c>
      <c r="F11" s="107">
        <v>845.65</v>
      </c>
      <c r="G11">
        <v>146337</v>
      </c>
      <c r="H11" s="107"/>
      <c r="I11" s="107"/>
      <c r="L11" s="149">
        <v>45849</v>
      </c>
      <c r="M11" s="107">
        <v>845.65</v>
      </c>
      <c r="N11" s="107">
        <v>852.5</v>
      </c>
      <c r="O11" s="107">
        <v>838.15</v>
      </c>
      <c r="P11" s="107">
        <v>843.05</v>
      </c>
      <c r="Q11" s="107">
        <v>845.65</v>
      </c>
      <c r="R11">
        <v>3018242</v>
      </c>
    </row>
    <row r="12" spans="1:18" x14ac:dyDescent="0.25">
      <c r="A12" s="149">
        <v>45852</v>
      </c>
      <c r="B12" s="107">
        <v>848</v>
      </c>
      <c r="C12" s="107">
        <v>844.45</v>
      </c>
      <c r="D12" s="107">
        <v>831</v>
      </c>
      <c r="E12" s="107">
        <v>845.1</v>
      </c>
      <c r="F12" s="107">
        <v>844.45</v>
      </c>
      <c r="G12">
        <v>345011</v>
      </c>
      <c r="H12" s="107"/>
      <c r="I12" s="107"/>
      <c r="L12" s="149">
        <v>45852</v>
      </c>
      <c r="M12" s="107">
        <v>843.65</v>
      </c>
      <c r="N12" s="107">
        <v>848</v>
      </c>
      <c r="O12" s="107">
        <v>831</v>
      </c>
      <c r="P12" s="107">
        <v>846.85</v>
      </c>
      <c r="Q12" s="107">
        <v>843.65</v>
      </c>
      <c r="R12">
        <v>3147513</v>
      </c>
    </row>
    <row r="13" spans="1:18" x14ac:dyDescent="0.25">
      <c r="A13" s="149">
        <v>45853</v>
      </c>
      <c r="B13" s="107">
        <v>847.1</v>
      </c>
      <c r="C13" s="107">
        <v>841.1</v>
      </c>
      <c r="D13" s="107">
        <v>839.35</v>
      </c>
      <c r="E13" s="107">
        <v>841.65</v>
      </c>
      <c r="F13" s="107">
        <v>841.1</v>
      </c>
      <c r="G13">
        <v>179250</v>
      </c>
      <c r="H13" s="107"/>
      <c r="I13" s="107"/>
      <c r="L13" s="149">
        <v>45853</v>
      </c>
      <c r="M13" s="107">
        <v>841.25</v>
      </c>
      <c r="N13" s="107">
        <v>847.5</v>
      </c>
      <c r="O13" s="107">
        <v>839.35</v>
      </c>
      <c r="P13" s="107">
        <v>843.45</v>
      </c>
      <c r="Q13" s="107">
        <v>841.25</v>
      </c>
      <c r="R13">
        <v>1676069</v>
      </c>
    </row>
    <row r="14" spans="1:18" x14ac:dyDescent="0.25">
      <c r="A14" s="149">
        <v>45854</v>
      </c>
      <c r="B14" s="107">
        <v>830.6</v>
      </c>
      <c r="C14" s="107">
        <v>814.75</v>
      </c>
      <c r="D14" s="107">
        <v>810</v>
      </c>
      <c r="E14" s="107">
        <v>822.05</v>
      </c>
      <c r="F14" s="107">
        <v>814.75</v>
      </c>
      <c r="G14">
        <v>524814</v>
      </c>
      <c r="H14" s="107"/>
      <c r="I14" s="107"/>
      <c r="L14" s="149">
        <v>45854</v>
      </c>
      <c r="M14" s="107">
        <v>814.85</v>
      </c>
      <c r="N14" s="107">
        <v>831</v>
      </c>
      <c r="O14" s="107">
        <v>809.05</v>
      </c>
      <c r="P14" s="107">
        <v>820</v>
      </c>
      <c r="Q14" s="107">
        <v>814.85</v>
      </c>
      <c r="R14">
        <v>8464656</v>
      </c>
    </row>
    <row r="15" spans="1:18" x14ac:dyDescent="0.25">
      <c r="A15" s="149">
        <v>45855</v>
      </c>
      <c r="B15" s="107">
        <v>822.55</v>
      </c>
      <c r="C15" s="107">
        <v>804.6</v>
      </c>
      <c r="D15" s="107">
        <v>802.5</v>
      </c>
      <c r="E15" s="107">
        <v>815.2</v>
      </c>
      <c r="F15" s="107">
        <v>804.6</v>
      </c>
      <c r="G15">
        <v>1304633</v>
      </c>
      <c r="H15" s="107"/>
      <c r="I15" s="107"/>
      <c r="L15" s="149">
        <v>45855</v>
      </c>
      <c r="M15" s="107">
        <v>804.8</v>
      </c>
      <c r="N15" s="107">
        <v>822.5</v>
      </c>
      <c r="O15" s="107">
        <v>803</v>
      </c>
      <c r="P15" s="107">
        <v>818.65</v>
      </c>
      <c r="Q15" s="107">
        <v>804.8</v>
      </c>
      <c r="R15">
        <v>2409799</v>
      </c>
    </row>
    <row r="16" spans="1:18" x14ac:dyDescent="0.25">
      <c r="A16" s="149">
        <v>45856</v>
      </c>
      <c r="B16" s="107">
        <v>806.95</v>
      </c>
      <c r="C16" s="107">
        <v>798.85</v>
      </c>
      <c r="D16" s="107">
        <v>794</v>
      </c>
      <c r="E16" s="107">
        <v>804.6</v>
      </c>
      <c r="F16" s="107">
        <v>798.85</v>
      </c>
      <c r="G16">
        <v>206841</v>
      </c>
      <c r="H16" s="107"/>
      <c r="I16" s="107"/>
      <c r="L16" s="149">
        <v>45856</v>
      </c>
      <c r="M16" s="107">
        <v>798.8</v>
      </c>
      <c r="N16" s="107">
        <v>807.4</v>
      </c>
      <c r="O16" s="107">
        <v>794</v>
      </c>
      <c r="P16" s="107">
        <v>804</v>
      </c>
      <c r="Q16" s="107">
        <v>798.8</v>
      </c>
      <c r="R16">
        <v>2075210</v>
      </c>
    </row>
    <row r="17" spans="1:18" x14ac:dyDescent="0.25">
      <c r="A17" s="149">
        <v>45859</v>
      </c>
      <c r="B17" s="107">
        <v>802</v>
      </c>
      <c r="C17" s="107">
        <v>796.3</v>
      </c>
      <c r="D17" s="107">
        <v>791.05</v>
      </c>
      <c r="E17" s="107">
        <v>794.2</v>
      </c>
      <c r="F17" s="107">
        <v>796.3</v>
      </c>
      <c r="G17">
        <v>193879</v>
      </c>
      <c r="H17" s="107"/>
      <c r="I17" s="107"/>
      <c r="L17" s="149">
        <v>45859</v>
      </c>
      <c r="M17" s="107">
        <v>796.45</v>
      </c>
      <c r="N17" s="107">
        <v>800.25</v>
      </c>
      <c r="O17" s="107">
        <v>791.55</v>
      </c>
      <c r="P17" s="107">
        <v>795</v>
      </c>
      <c r="Q17" s="107">
        <v>796.45</v>
      </c>
      <c r="R17">
        <v>1368863</v>
      </c>
    </row>
    <row r="18" spans="1:18" x14ac:dyDescent="0.25">
      <c r="A18" s="149">
        <v>45860</v>
      </c>
      <c r="B18" s="107">
        <v>809.5</v>
      </c>
      <c r="C18" s="107">
        <v>800.35</v>
      </c>
      <c r="D18" s="107">
        <v>795.6</v>
      </c>
      <c r="E18" s="107">
        <v>795.6</v>
      </c>
      <c r="F18" s="107">
        <v>800.35</v>
      </c>
      <c r="G18">
        <v>157881</v>
      </c>
      <c r="H18" s="107"/>
      <c r="I18" s="107"/>
      <c r="L18" s="149">
        <v>45860</v>
      </c>
      <c r="M18" s="107">
        <v>800.15</v>
      </c>
      <c r="N18" s="107">
        <v>809.7</v>
      </c>
      <c r="O18" s="107">
        <v>796.85</v>
      </c>
      <c r="P18" s="107">
        <v>797</v>
      </c>
      <c r="Q18" s="107">
        <v>800.15</v>
      </c>
      <c r="R18">
        <v>2001387</v>
      </c>
    </row>
    <row r="19" spans="1:18" x14ac:dyDescent="0.25">
      <c r="A19" s="149">
        <v>45861</v>
      </c>
      <c r="B19" s="107">
        <v>807.2</v>
      </c>
      <c r="C19" s="107">
        <v>800.05</v>
      </c>
      <c r="D19" s="107">
        <v>797</v>
      </c>
      <c r="E19" s="107">
        <v>800.5</v>
      </c>
      <c r="F19" s="107">
        <v>800.05</v>
      </c>
      <c r="G19">
        <v>138558</v>
      </c>
      <c r="H19" s="107"/>
      <c r="I19" s="107"/>
      <c r="L19" s="149">
        <v>45861</v>
      </c>
      <c r="M19" s="107">
        <v>800.3</v>
      </c>
      <c r="N19" s="107">
        <v>806.4</v>
      </c>
      <c r="O19" s="107">
        <v>797</v>
      </c>
      <c r="P19" s="107">
        <v>801.4</v>
      </c>
      <c r="Q19" s="107">
        <v>800.3</v>
      </c>
      <c r="R19">
        <v>1167072</v>
      </c>
    </row>
    <row r="20" spans="1:18" x14ac:dyDescent="0.25">
      <c r="A20" s="149">
        <v>45862</v>
      </c>
      <c r="B20" s="107">
        <v>802.75</v>
      </c>
      <c r="C20" s="107">
        <v>784.05</v>
      </c>
      <c r="D20" s="107">
        <v>778.45</v>
      </c>
      <c r="E20" s="107">
        <v>800.15</v>
      </c>
      <c r="F20" s="107">
        <v>784.05</v>
      </c>
      <c r="G20">
        <v>135108</v>
      </c>
      <c r="H20" s="107"/>
      <c r="I20" s="107"/>
      <c r="L20" s="149">
        <v>45862</v>
      </c>
      <c r="M20" s="107">
        <v>784.2</v>
      </c>
      <c r="N20" s="107">
        <v>802.5</v>
      </c>
      <c r="O20" s="107">
        <v>778.65</v>
      </c>
      <c r="P20" s="107">
        <v>801</v>
      </c>
      <c r="Q20" s="107">
        <v>784.2</v>
      </c>
      <c r="R20">
        <v>1900860</v>
      </c>
    </row>
    <row r="21" spans="1:18" x14ac:dyDescent="0.25">
      <c r="A21" s="149">
        <v>45863</v>
      </c>
      <c r="B21" s="107">
        <v>784.15</v>
      </c>
      <c r="C21" s="107">
        <v>760.9</v>
      </c>
      <c r="D21" s="107">
        <v>750</v>
      </c>
      <c r="E21" s="107">
        <v>784.1</v>
      </c>
      <c r="F21" s="107">
        <v>760.9</v>
      </c>
      <c r="G21">
        <v>302964</v>
      </c>
      <c r="H21" s="107"/>
      <c r="I21" s="107"/>
      <c r="L21" s="149">
        <v>45863</v>
      </c>
      <c r="M21" s="107">
        <v>760.75</v>
      </c>
      <c r="N21" s="107">
        <v>784.1</v>
      </c>
      <c r="O21" s="107">
        <v>750</v>
      </c>
      <c r="P21" s="107">
        <v>784</v>
      </c>
      <c r="Q21" s="107">
        <v>760.75</v>
      </c>
      <c r="R21">
        <v>3214030</v>
      </c>
    </row>
    <row r="22" spans="1:18" x14ac:dyDescent="0.25">
      <c r="A22" s="149">
        <v>45866</v>
      </c>
      <c r="B22" s="107">
        <v>763.55</v>
      </c>
      <c r="C22" s="107">
        <v>750.75</v>
      </c>
      <c r="D22" s="107">
        <v>746</v>
      </c>
      <c r="E22" s="107">
        <v>759.5</v>
      </c>
      <c r="F22" s="107">
        <v>750.75</v>
      </c>
      <c r="G22">
        <v>288646</v>
      </c>
      <c r="H22" s="107"/>
      <c r="I22" s="107"/>
      <c r="L22" s="149">
        <v>45866</v>
      </c>
      <c r="M22" s="107">
        <v>750.6</v>
      </c>
      <c r="N22" s="107">
        <v>762.3</v>
      </c>
      <c r="O22" s="107">
        <v>746.1</v>
      </c>
      <c r="P22" s="107">
        <v>760</v>
      </c>
      <c r="Q22" s="107">
        <v>750.6</v>
      </c>
      <c r="R22">
        <v>2401070</v>
      </c>
    </row>
    <row r="23" spans="1:18" x14ac:dyDescent="0.25">
      <c r="A23" s="149">
        <v>45867</v>
      </c>
      <c r="B23" s="107">
        <v>748.65</v>
      </c>
      <c r="C23" s="107">
        <v>745.05</v>
      </c>
      <c r="D23" s="107">
        <v>741</v>
      </c>
      <c r="E23" s="107">
        <v>748.6</v>
      </c>
      <c r="F23" s="107">
        <v>745.05</v>
      </c>
      <c r="G23">
        <v>229139</v>
      </c>
      <c r="H23" s="107"/>
      <c r="I23" s="107"/>
      <c r="L23" s="149">
        <v>45867</v>
      </c>
      <c r="M23" s="107">
        <v>745</v>
      </c>
      <c r="N23" s="107">
        <v>748.65</v>
      </c>
      <c r="O23" s="107">
        <v>741.1</v>
      </c>
      <c r="P23" s="107">
        <v>748</v>
      </c>
      <c r="Q23" s="107">
        <v>745</v>
      </c>
      <c r="R23">
        <v>1690328</v>
      </c>
    </row>
    <row r="24" spans="1:18" x14ac:dyDescent="0.25">
      <c r="A24" s="149">
        <v>45868</v>
      </c>
      <c r="B24" s="107">
        <v>797.75</v>
      </c>
      <c r="C24" s="107">
        <v>768.05</v>
      </c>
      <c r="D24" s="107">
        <v>741.9</v>
      </c>
      <c r="E24" s="107">
        <v>745.25</v>
      </c>
      <c r="F24" s="107">
        <v>768.05</v>
      </c>
      <c r="G24">
        <v>746136</v>
      </c>
      <c r="H24" s="107"/>
      <c r="I24" s="107"/>
      <c r="L24" s="149">
        <v>45868</v>
      </c>
      <c r="M24" s="107">
        <v>768.35</v>
      </c>
      <c r="N24" s="107">
        <v>797.9</v>
      </c>
      <c r="O24" s="107">
        <v>741.65</v>
      </c>
      <c r="P24" s="107">
        <v>746.5</v>
      </c>
      <c r="Q24" s="107">
        <v>768.35</v>
      </c>
      <c r="R24">
        <v>6623128</v>
      </c>
    </row>
    <row r="25" spans="1:18" x14ac:dyDescent="0.25">
      <c r="A25" s="149">
        <v>45869</v>
      </c>
      <c r="B25" s="107">
        <v>766.15</v>
      </c>
      <c r="C25" s="107">
        <v>758.65</v>
      </c>
      <c r="D25" s="107">
        <v>754.05</v>
      </c>
      <c r="E25" s="107">
        <v>757.35</v>
      </c>
      <c r="F25" s="107">
        <v>758.65</v>
      </c>
      <c r="G25">
        <v>87687</v>
      </c>
      <c r="H25" s="107"/>
      <c r="I25" s="107"/>
      <c r="L25" s="149">
        <v>45869</v>
      </c>
      <c r="M25" s="107">
        <v>758.55</v>
      </c>
      <c r="N25" s="107">
        <v>766.5</v>
      </c>
      <c r="O25" s="107">
        <v>754</v>
      </c>
      <c r="P25" s="107">
        <v>758.25</v>
      </c>
      <c r="Q25" s="107">
        <v>758.55</v>
      </c>
      <c r="R25">
        <v>3012795</v>
      </c>
    </row>
    <row r="26" spans="1:18" x14ac:dyDescent="0.25">
      <c r="A26" s="149">
        <v>45870</v>
      </c>
      <c r="B26" s="107">
        <v>763.5</v>
      </c>
      <c r="C26" s="107">
        <v>748.6</v>
      </c>
      <c r="D26" s="107">
        <v>747.1</v>
      </c>
      <c r="E26" s="107">
        <v>758</v>
      </c>
      <c r="F26" s="107">
        <v>748.6</v>
      </c>
      <c r="G26">
        <v>119912</v>
      </c>
      <c r="H26" s="107"/>
      <c r="I26" s="107"/>
      <c r="L26" s="149">
        <v>45870</v>
      </c>
      <c r="M26" s="107">
        <v>748.35</v>
      </c>
      <c r="N26" s="107">
        <v>761</v>
      </c>
      <c r="O26" s="107">
        <v>745.3</v>
      </c>
      <c r="P26" s="107">
        <v>758.55</v>
      </c>
      <c r="Q26" s="107">
        <v>748.35</v>
      </c>
      <c r="R26">
        <v>923642</v>
      </c>
    </row>
    <row r="27" spans="1:18" x14ac:dyDescent="0.25">
      <c r="A27" s="149">
        <v>45873</v>
      </c>
      <c r="B27" s="107">
        <v>753.85</v>
      </c>
      <c r="C27" s="107">
        <v>741.8</v>
      </c>
      <c r="D27" s="107">
        <v>738.2</v>
      </c>
      <c r="E27" s="107">
        <v>747.2</v>
      </c>
      <c r="F27" s="107">
        <v>741.8</v>
      </c>
      <c r="G27">
        <v>141770</v>
      </c>
      <c r="H27" s="107"/>
      <c r="I27" s="107"/>
      <c r="L27" s="149">
        <v>45873</v>
      </c>
      <c r="M27" s="107">
        <v>741.7</v>
      </c>
      <c r="N27" s="107">
        <v>753.6</v>
      </c>
      <c r="O27" s="107">
        <v>738.25</v>
      </c>
      <c r="P27" s="107">
        <v>748.35</v>
      </c>
      <c r="Q27" s="107">
        <v>741.7</v>
      </c>
      <c r="R27">
        <v>2261444</v>
      </c>
    </row>
    <row r="28" spans="1:18" x14ac:dyDescent="0.25">
      <c r="A28" s="149">
        <v>45874</v>
      </c>
      <c r="B28" s="107">
        <v>749.5</v>
      </c>
      <c r="C28" s="107">
        <v>739.1</v>
      </c>
      <c r="D28" s="107">
        <v>736.1</v>
      </c>
      <c r="E28" s="107">
        <v>741.1</v>
      </c>
      <c r="F28" s="107">
        <v>739.1</v>
      </c>
      <c r="G28">
        <v>154701</v>
      </c>
      <c r="H28" s="107"/>
      <c r="I28" s="107"/>
      <c r="L28" s="149">
        <v>45874</v>
      </c>
      <c r="M28" s="107">
        <v>739.1</v>
      </c>
      <c r="N28" s="107">
        <v>749.6</v>
      </c>
      <c r="O28" s="107">
        <v>736.2</v>
      </c>
      <c r="P28" s="107">
        <v>742</v>
      </c>
      <c r="Q28" s="107">
        <v>739.1</v>
      </c>
      <c r="R28">
        <v>1805249</v>
      </c>
    </row>
    <row r="29" spans="1:18" x14ac:dyDescent="0.25">
      <c r="A29" s="149">
        <v>45875</v>
      </c>
      <c r="B29" s="107">
        <v>743.15</v>
      </c>
      <c r="C29" s="107">
        <v>738</v>
      </c>
      <c r="D29" s="107">
        <v>733.5</v>
      </c>
      <c r="E29" s="107">
        <v>740.85</v>
      </c>
      <c r="F29" s="107">
        <v>738</v>
      </c>
      <c r="G29">
        <v>170778</v>
      </c>
      <c r="H29" s="107"/>
      <c r="I29" s="107"/>
      <c r="L29" s="149">
        <v>45875</v>
      </c>
      <c r="M29" s="107">
        <v>737.95</v>
      </c>
      <c r="N29" s="107">
        <v>742.85</v>
      </c>
      <c r="O29" s="107">
        <v>733.45</v>
      </c>
      <c r="P29" s="107">
        <v>739.5</v>
      </c>
      <c r="Q29" s="107">
        <v>737.95</v>
      </c>
      <c r="R29">
        <v>1299370</v>
      </c>
    </row>
    <row r="30" spans="1:18" x14ac:dyDescent="0.25">
      <c r="A30" s="149">
        <v>45876</v>
      </c>
      <c r="B30" s="107">
        <v>754.8</v>
      </c>
      <c r="C30" s="107">
        <v>751.5</v>
      </c>
      <c r="D30" s="107">
        <v>732.3</v>
      </c>
      <c r="E30" s="107">
        <v>732.3</v>
      </c>
      <c r="F30" s="107">
        <v>751.5</v>
      </c>
      <c r="G30">
        <v>190243</v>
      </c>
      <c r="H30" s="107"/>
      <c r="I30" s="107"/>
      <c r="L30" s="149">
        <v>45876</v>
      </c>
      <c r="M30" s="107">
        <v>751.65</v>
      </c>
      <c r="N30" s="107">
        <v>754.8</v>
      </c>
      <c r="O30" s="107">
        <v>732.7</v>
      </c>
      <c r="P30" s="107">
        <v>733.7</v>
      </c>
      <c r="Q30" s="107">
        <v>751.65</v>
      </c>
      <c r="R30">
        <v>1170816</v>
      </c>
    </row>
    <row r="31" spans="1:18" x14ac:dyDescent="0.25">
      <c r="A31" s="149">
        <v>45877</v>
      </c>
      <c r="B31" s="107">
        <v>764.95</v>
      </c>
      <c r="C31" s="107">
        <v>751.15</v>
      </c>
      <c r="D31" s="107">
        <v>747.1</v>
      </c>
      <c r="E31" s="107">
        <v>753.6</v>
      </c>
      <c r="F31" s="107">
        <v>751.15</v>
      </c>
      <c r="G31">
        <v>94839</v>
      </c>
      <c r="H31" s="107"/>
      <c r="I31" s="107"/>
      <c r="L31" s="149">
        <v>45877</v>
      </c>
      <c r="M31" s="107">
        <v>751.35</v>
      </c>
      <c r="N31" s="107">
        <v>765</v>
      </c>
      <c r="O31" s="107">
        <v>747.5</v>
      </c>
      <c r="P31" s="107">
        <v>750</v>
      </c>
      <c r="Q31" s="107">
        <v>751.35</v>
      </c>
      <c r="R31">
        <v>1314363</v>
      </c>
    </row>
    <row r="32" spans="1:18" x14ac:dyDescent="0.25">
      <c r="A32" s="149">
        <v>45880</v>
      </c>
      <c r="B32" s="107">
        <v>751.95</v>
      </c>
      <c r="C32" s="107">
        <v>744.5</v>
      </c>
      <c r="D32" s="107">
        <v>741.65</v>
      </c>
      <c r="E32" s="107">
        <v>751.95</v>
      </c>
      <c r="F32" s="107">
        <v>744.5</v>
      </c>
      <c r="G32">
        <v>41843</v>
      </c>
      <c r="H32" s="107"/>
      <c r="I32" s="107"/>
      <c r="L32" s="149">
        <v>45880</v>
      </c>
      <c r="M32" s="107">
        <v>744.65</v>
      </c>
      <c r="N32" s="107">
        <v>752.3</v>
      </c>
      <c r="O32" s="107">
        <v>741</v>
      </c>
      <c r="P32" s="107">
        <v>751.25</v>
      </c>
      <c r="Q32" s="107">
        <v>744.65</v>
      </c>
      <c r="R32">
        <v>862810</v>
      </c>
    </row>
    <row r="33" spans="1:18" x14ac:dyDescent="0.25">
      <c r="A33" s="149">
        <v>45881</v>
      </c>
      <c r="B33" s="107">
        <v>746.5</v>
      </c>
      <c r="C33" s="107">
        <v>743.3</v>
      </c>
      <c r="D33" s="107">
        <v>739.3</v>
      </c>
      <c r="E33" s="107">
        <v>746.45</v>
      </c>
      <c r="F33" s="107">
        <v>743.3</v>
      </c>
      <c r="G33">
        <v>47747</v>
      </c>
      <c r="H33" s="107"/>
      <c r="I33" s="107"/>
      <c r="L33" s="149">
        <v>45881</v>
      </c>
      <c r="M33" s="107">
        <v>743</v>
      </c>
      <c r="N33" s="107">
        <v>746.6</v>
      </c>
      <c r="O33" s="107">
        <v>739.1</v>
      </c>
      <c r="P33" s="107">
        <v>745</v>
      </c>
      <c r="Q33" s="107">
        <v>743</v>
      </c>
      <c r="R33">
        <v>1399626</v>
      </c>
    </row>
    <row r="34" spans="1:18" x14ac:dyDescent="0.25">
      <c r="A34" s="149">
        <v>45882</v>
      </c>
      <c r="B34" s="107">
        <v>752.25</v>
      </c>
      <c r="C34" s="107">
        <v>748.8</v>
      </c>
      <c r="D34" s="107">
        <v>740.1</v>
      </c>
      <c r="E34" s="107">
        <v>742.2</v>
      </c>
      <c r="F34" s="107">
        <v>748.8</v>
      </c>
      <c r="G34">
        <v>90972</v>
      </c>
      <c r="H34" s="107"/>
      <c r="I34" s="107"/>
      <c r="L34" s="149">
        <v>45882</v>
      </c>
      <c r="M34" s="107">
        <v>749.1</v>
      </c>
      <c r="N34" s="107">
        <v>752.7</v>
      </c>
      <c r="O34" s="107">
        <v>740</v>
      </c>
      <c r="P34" s="107">
        <v>743</v>
      </c>
      <c r="Q34" s="107">
        <v>749.1</v>
      </c>
      <c r="R34">
        <v>2825545</v>
      </c>
    </row>
    <row r="35" spans="1:18" x14ac:dyDescent="0.25">
      <c r="A35" s="149">
        <v>45883</v>
      </c>
      <c r="B35" s="107">
        <v>769.75</v>
      </c>
      <c r="C35" s="107">
        <v>757.8</v>
      </c>
      <c r="D35" s="107">
        <v>748</v>
      </c>
      <c r="E35" s="107">
        <v>749.95</v>
      </c>
      <c r="F35" s="107">
        <v>757.8</v>
      </c>
      <c r="G35">
        <v>172020</v>
      </c>
      <c r="H35" s="107"/>
      <c r="I35" s="107"/>
      <c r="L35" s="149">
        <v>45883</v>
      </c>
      <c r="M35" s="107">
        <v>760.1</v>
      </c>
      <c r="N35" s="107">
        <v>769.25</v>
      </c>
      <c r="O35" s="107">
        <v>748.15</v>
      </c>
      <c r="P35" s="107">
        <v>749.15</v>
      </c>
      <c r="Q35" s="107">
        <v>760.1</v>
      </c>
      <c r="R35">
        <v>2421869</v>
      </c>
    </row>
    <row r="36" spans="1:18" x14ac:dyDescent="0.25">
      <c r="A36" s="149">
        <v>45887</v>
      </c>
      <c r="B36" s="107">
        <v>786.8</v>
      </c>
      <c r="C36" s="107">
        <v>779.65</v>
      </c>
      <c r="D36" s="107">
        <v>759.05</v>
      </c>
      <c r="E36" s="107">
        <v>761.15</v>
      </c>
      <c r="F36" s="107">
        <v>779.65</v>
      </c>
      <c r="G36">
        <v>136590</v>
      </c>
      <c r="H36" s="107"/>
      <c r="I36" s="107"/>
      <c r="L36" s="149">
        <v>45887</v>
      </c>
      <c r="M36" s="107">
        <v>779.65</v>
      </c>
      <c r="N36" s="107">
        <v>786.7</v>
      </c>
      <c r="O36" s="107">
        <v>758.45</v>
      </c>
      <c r="P36" s="107">
        <v>767.65</v>
      </c>
      <c r="Q36" s="107">
        <v>779.65</v>
      </c>
      <c r="R36">
        <v>2513108</v>
      </c>
    </row>
    <row r="37" spans="1:18" x14ac:dyDescent="0.25">
      <c r="A37" s="149">
        <v>45888</v>
      </c>
      <c r="B37" s="107">
        <v>795</v>
      </c>
      <c r="C37" s="107">
        <v>792.6</v>
      </c>
      <c r="D37" s="107">
        <v>777.1</v>
      </c>
      <c r="E37" s="107">
        <v>778.15</v>
      </c>
      <c r="F37" s="107">
        <v>792.6</v>
      </c>
      <c r="G37">
        <v>140722</v>
      </c>
      <c r="H37" s="107"/>
      <c r="I37" s="107"/>
      <c r="L37" s="149">
        <v>45888</v>
      </c>
      <c r="M37" s="107">
        <v>792.95</v>
      </c>
      <c r="N37" s="107">
        <v>795.25</v>
      </c>
      <c r="O37" s="107">
        <v>777.2</v>
      </c>
      <c r="P37" s="107">
        <v>779.65</v>
      </c>
      <c r="Q37" s="107">
        <v>792.95</v>
      </c>
      <c r="R37">
        <v>2109272</v>
      </c>
    </row>
    <row r="38" spans="1:18" x14ac:dyDescent="0.25">
      <c r="A38" s="149">
        <v>45889</v>
      </c>
      <c r="B38" s="107">
        <v>793</v>
      </c>
      <c r="C38" s="107">
        <v>788.1</v>
      </c>
      <c r="D38" s="107">
        <v>780.95</v>
      </c>
      <c r="E38" s="107">
        <v>790.8</v>
      </c>
      <c r="F38" s="107">
        <v>788.1</v>
      </c>
      <c r="G38">
        <v>47241</v>
      </c>
      <c r="H38" s="107"/>
      <c r="I38" s="107"/>
      <c r="L38" s="149">
        <v>45889</v>
      </c>
      <c r="M38" s="107">
        <v>788.25</v>
      </c>
      <c r="N38" s="107">
        <v>793.75</v>
      </c>
      <c r="O38" s="107">
        <v>780.85</v>
      </c>
      <c r="P38" s="107">
        <v>790</v>
      </c>
      <c r="Q38" s="107">
        <v>788.25</v>
      </c>
      <c r="R38">
        <v>1199751</v>
      </c>
    </row>
    <row r="39" spans="1:18" x14ac:dyDescent="0.25">
      <c r="A39" s="149">
        <v>45890</v>
      </c>
      <c r="B39" s="107">
        <v>811</v>
      </c>
      <c r="C39" s="107">
        <v>796.55</v>
      </c>
      <c r="D39" s="107">
        <v>786.7</v>
      </c>
      <c r="E39" s="107">
        <v>788.3</v>
      </c>
      <c r="F39" s="107">
        <v>796.55</v>
      </c>
      <c r="G39">
        <v>86295</v>
      </c>
      <c r="H39" s="107"/>
      <c r="I39" s="107"/>
      <c r="L39" s="149">
        <v>45890</v>
      </c>
      <c r="M39" s="107">
        <v>796.55</v>
      </c>
      <c r="N39" s="107">
        <v>811.8</v>
      </c>
      <c r="O39" s="107">
        <v>787</v>
      </c>
      <c r="P39" s="107">
        <v>791</v>
      </c>
      <c r="Q39" s="107">
        <v>796.55</v>
      </c>
      <c r="R39">
        <v>1674710</v>
      </c>
    </row>
    <row r="40" spans="1:18" x14ac:dyDescent="0.25">
      <c r="A40" s="149">
        <v>45891</v>
      </c>
      <c r="B40" s="107">
        <v>808.6</v>
      </c>
      <c r="C40" s="107">
        <v>795.3</v>
      </c>
      <c r="D40" s="107">
        <v>793.1</v>
      </c>
      <c r="E40" s="107">
        <v>798.3</v>
      </c>
      <c r="F40" s="107">
        <v>795.3</v>
      </c>
      <c r="G40">
        <v>96908</v>
      </c>
      <c r="H40" s="107"/>
      <c r="I40" s="107"/>
      <c r="L40" s="149">
        <v>45891</v>
      </c>
      <c r="M40" s="107">
        <v>795.3</v>
      </c>
      <c r="N40" s="107">
        <v>808.85</v>
      </c>
      <c r="O40" s="107">
        <v>793.15</v>
      </c>
      <c r="P40" s="107">
        <v>799.8</v>
      </c>
      <c r="Q40" s="107">
        <v>795.3</v>
      </c>
      <c r="R40">
        <v>1069712</v>
      </c>
    </row>
    <row r="41" spans="1:18" x14ac:dyDescent="0.25">
      <c r="A41" s="149">
        <v>45894</v>
      </c>
      <c r="B41" s="107">
        <v>802.45</v>
      </c>
      <c r="C41" s="107">
        <v>800.1</v>
      </c>
      <c r="D41" s="107">
        <v>795</v>
      </c>
      <c r="E41" s="107">
        <v>796.5</v>
      </c>
      <c r="F41" s="107">
        <v>800.1</v>
      </c>
      <c r="G41">
        <v>109329</v>
      </c>
      <c r="H41" s="107"/>
      <c r="I41" s="107"/>
      <c r="L41" s="149">
        <v>45894</v>
      </c>
      <c r="M41" s="107">
        <v>800.05</v>
      </c>
      <c r="N41" s="107">
        <v>802.8</v>
      </c>
      <c r="O41" s="107">
        <v>794.85</v>
      </c>
      <c r="P41" s="107">
        <v>797</v>
      </c>
      <c r="Q41" s="107">
        <v>800.05</v>
      </c>
      <c r="R41">
        <v>1460806</v>
      </c>
    </row>
    <row r="42" spans="1:18" x14ac:dyDescent="0.25">
      <c r="A42" s="149">
        <v>45895</v>
      </c>
      <c r="B42" s="107">
        <v>800.9</v>
      </c>
      <c r="C42" s="107">
        <v>790.35</v>
      </c>
      <c r="D42" s="107">
        <v>783.8</v>
      </c>
      <c r="E42" s="107">
        <v>797.95</v>
      </c>
      <c r="F42" s="107">
        <v>790.35</v>
      </c>
      <c r="G42">
        <v>118989</v>
      </c>
      <c r="H42" s="107"/>
      <c r="I42" s="107"/>
      <c r="L42" s="149">
        <v>45895</v>
      </c>
      <c r="M42" s="107">
        <v>790.05</v>
      </c>
      <c r="N42" s="107">
        <v>801.5</v>
      </c>
      <c r="O42" s="107">
        <v>784.2</v>
      </c>
      <c r="P42" s="107">
        <v>796</v>
      </c>
      <c r="Q42" s="107">
        <v>790.05</v>
      </c>
      <c r="R42">
        <v>2927236</v>
      </c>
    </row>
    <row r="43" spans="1:18" x14ac:dyDescent="0.25">
      <c r="A43" s="149">
        <v>45897</v>
      </c>
      <c r="B43" s="107">
        <v>792</v>
      </c>
      <c r="C43" s="107">
        <v>781.5</v>
      </c>
      <c r="D43" s="107">
        <v>776.05</v>
      </c>
      <c r="E43" s="107">
        <v>776.05</v>
      </c>
      <c r="F43" s="107">
        <v>781.5</v>
      </c>
      <c r="G43">
        <v>64732</v>
      </c>
      <c r="H43" s="107"/>
      <c r="I43" s="107"/>
      <c r="L43" s="149">
        <v>45897</v>
      </c>
      <c r="M43" s="107">
        <v>781.95</v>
      </c>
      <c r="N43" s="107">
        <v>792</v>
      </c>
      <c r="O43" s="107">
        <v>778.35</v>
      </c>
      <c r="P43" s="107">
        <v>788.1</v>
      </c>
      <c r="Q43" s="107">
        <v>781.95</v>
      </c>
      <c r="R43">
        <v>736746</v>
      </c>
    </row>
    <row r="44" spans="1:18" x14ac:dyDescent="0.25">
      <c r="A44" s="149">
        <v>45898</v>
      </c>
      <c r="B44" s="107">
        <v>788.5</v>
      </c>
      <c r="C44" s="107">
        <v>778.1</v>
      </c>
      <c r="D44" s="107">
        <v>776.55</v>
      </c>
      <c r="E44" s="107">
        <v>781.1</v>
      </c>
      <c r="F44" s="107">
        <v>778.1</v>
      </c>
      <c r="G44">
        <v>79602</v>
      </c>
      <c r="H44" s="107"/>
      <c r="I44" s="107"/>
      <c r="L44" s="149">
        <v>45898</v>
      </c>
      <c r="M44" s="107">
        <v>778.2</v>
      </c>
      <c r="N44" s="107">
        <v>788.4</v>
      </c>
      <c r="O44" s="107">
        <v>776.25</v>
      </c>
      <c r="P44" s="107">
        <v>781.95</v>
      </c>
      <c r="Q44" s="107">
        <v>778.2</v>
      </c>
      <c r="R44">
        <v>627824</v>
      </c>
    </row>
    <row r="45" spans="1:18" x14ac:dyDescent="0.25">
      <c r="A45" s="149">
        <v>45901</v>
      </c>
      <c r="B45" s="107">
        <v>789.05</v>
      </c>
      <c r="C45" s="107">
        <v>779.95</v>
      </c>
      <c r="D45" s="107">
        <v>773.85</v>
      </c>
      <c r="E45" s="107">
        <v>775.9</v>
      </c>
      <c r="F45" s="107">
        <v>779.95</v>
      </c>
      <c r="G45">
        <v>35297</v>
      </c>
      <c r="H45" s="107"/>
      <c r="I45" s="107"/>
      <c r="L45" s="149">
        <v>45901</v>
      </c>
      <c r="M45" s="107">
        <v>779.7</v>
      </c>
      <c r="N45" s="107">
        <v>789.25</v>
      </c>
      <c r="O45" s="107">
        <v>773.95</v>
      </c>
      <c r="P45" s="107">
        <v>778.2</v>
      </c>
      <c r="Q45" s="107">
        <v>779.7</v>
      </c>
      <c r="R45">
        <v>960517</v>
      </c>
    </row>
    <row r="46" spans="1:18" x14ac:dyDescent="0.25">
      <c r="A46" s="149">
        <v>45902</v>
      </c>
      <c r="B46" s="107">
        <v>787.95</v>
      </c>
      <c r="C46" s="107">
        <v>777.35</v>
      </c>
      <c r="D46" s="107">
        <v>770.5</v>
      </c>
      <c r="E46" s="107">
        <v>780</v>
      </c>
      <c r="F46" s="107">
        <v>777.35</v>
      </c>
      <c r="G46">
        <v>125280</v>
      </c>
      <c r="H46" s="107"/>
      <c r="I46" s="107"/>
      <c r="L46" s="149">
        <v>45902</v>
      </c>
      <c r="M46" s="107">
        <v>777.55</v>
      </c>
      <c r="N46" s="107">
        <v>787.9</v>
      </c>
      <c r="O46" s="107">
        <v>770.55</v>
      </c>
      <c r="P46" s="107">
        <v>780.5</v>
      </c>
      <c r="Q46" s="107">
        <v>777.55</v>
      </c>
      <c r="R46">
        <v>975477</v>
      </c>
    </row>
    <row r="47" spans="1:18" x14ac:dyDescent="0.25">
      <c r="A47" s="149">
        <v>45903</v>
      </c>
      <c r="B47" s="107">
        <v>782</v>
      </c>
      <c r="C47" s="107">
        <v>777.35</v>
      </c>
      <c r="D47" s="107">
        <v>773</v>
      </c>
      <c r="E47" s="107">
        <v>775.95</v>
      </c>
      <c r="F47" s="107">
        <v>777.35</v>
      </c>
      <c r="G47">
        <v>23643</v>
      </c>
      <c r="H47" s="107"/>
      <c r="I47" s="107"/>
      <c r="L47" s="149">
        <v>45903</v>
      </c>
      <c r="M47" s="107">
        <v>777.8</v>
      </c>
      <c r="N47" s="107">
        <v>782.5</v>
      </c>
      <c r="O47" s="107">
        <v>773</v>
      </c>
      <c r="P47" s="107">
        <v>780</v>
      </c>
      <c r="Q47" s="107">
        <v>777.8</v>
      </c>
      <c r="R47">
        <v>944146</v>
      </c>
    </row>
    <row r="48" spans="1:18" x14ac:dyDescent="0.25">
      <c r="A48" s="149">
        <v>45904</v>
      </c>
      <c r="B48" s="107">
        <v>793.8</v>
      </c>
      <c r="C48" s="107">
        <v>773.15</v>
      </c>
      <c r="D48" s="107">
        <v>772.25</v>
      </c>
      <c r="E48" s="107">
        <v>793.8</v>
      </c>
      <c r="F48" s="107">
        <v>773.15</v>
      </c>
      <c r="G48">
        <v>231686</v>
      </c>
      <c r="H48" s="107"/>
      <c r="I48" s="107"/>
      <c r="L48" s="149">
        <v>45904</v>
      </c>
      <c r="M48" s="107">
        <v>773.3</v>
      </c>
      <c r="N48" s="107">
        <v>785.85</v>
      </c>
      <c r="O48" s="107">
        <v>772</v>
      </c>
      <c r="P48" s="107">
        <v>783</v>
      </c>
      <c r="Q48" s="107">
        <v>773.3</v>
      </c>
      <c r="R48">
        <v>1210560</v>
      </c>
    </row>
    <row r="49" spans="1:18" x14ac:dyDescent="0.25">
      <c r="A49" s="149">
        <v>45905</v>
      </c>
      <c r="B49" s="107">
        <v>778.05</v>
      </c>
      <c r="C49" s="107">
        <v>768.95</v>
      </c>
      <c r="D49" s="107">
        <v>765.1</v>
      </c>
      <c r="E49" s="107">
        <v>773.3</v>
      </c>
      <c r="F49" s="107">
        <v>768.95</v>
      </c>
      <c r="G49">
        <v>20644</v>
      </c>
      <c r="H49" s="107"/>
      <c r="I49" s="107"/>
      <c r="L49" s="149">
        <v>45905</v>
      </c>
      <c r="M49" s="107">
        <v>769.05</v>
      </c>
      <c r="N49" s="107">
        <v>778.9</v>
      </c>
      <c r="O49" s="107">
        <v>765.05</v>
      </c>
      <c r="P49" s="107">
        <v>776</v>
      </c>
      <c r="Q49" s="107">
        <v>769.05</v>
      </c>
      <c r="R49">
        <v>262904</v>
      </c>
    </row>
    <row r="50" spans="1:18" x14ac:dyDescent="0.25">
      <c r="A50" s="149">
        <v>45908</v>
      </c>
      <c r="B50" s="107">
        <v>773.6</v>
      </c>
      <c r="C50" s="107">
        <v>766.3</v>
      </c>
      <c r="D50" s="107">
        <v>764.7</v>
      </c>
      <c r="E50" s="107">
        <v>771.15</v>
      </c>
      <c r="F50" s="107">
        <v>766.3</v>
      </c>
      <c r="G50">
        <v>56815</v>
      </c>
      <c r="H50" s="107"/>
      <c r="I50" s="107"/>
      <c r="L50" s="149">
        <v>45908</v>
      </c>
      <c r="M50" s="107">
        <v>766.3</v>
      </c>
      <c r="N50" s="107">
        <v>774.95</v>
      </c>
      <c r="O50" s="107">
        <v>764.05</v>
      </c>
      <c r="P50" s="107">
        <v>774.95</v>
      </c>
      <c r="Q50" s="107">
        <v>766.3</v>
      </c>
      <c r="R50">
        <v>1443713</v>
      </c>
    </row>
    <row r="51" spans="1:18" x14ac:dyDescent="0.25">
      <c r="A51" s="149">
        <v>45909</v>
      </c>
      <c r="B51" s="107">
        <v>784</v>
      </c>
      <c r="C51" s="107">
        <v>781</v>
      </c>
      <c r="D51" s="107">
        <v>764.25</v>
      </c>
      <c r="E51" s="107">
        <v>764.25</v>
      </c>
      <c r="F51" s="107">
        <v>781</v>
      </c>
      <c r="G51">
        <v>85606</v>
      </c>
      <c r="H51" s="107"/>
      <c r="I51" s="107"/>
      <c r="L51" s="149">
        <v>45909</v>
      </c>
      <c r="M51" s="107">
        <v>781</v>
      </c>
      <c r="N51" s="107">
        <v>787.15</v>
      </c>
      <c r="O51" s="107">
        <v>766.95</v>
      </c>
      <c r="P51" s="107">
        <v>766.95</v>
      </c>
      <c r="Q51" s="107">
        <v>781</v>
      </c>
      <c r="R51">
        <v>506520</v>
      </c>
    </row>
    <row r="52" spans="1:18" x14ac:dyDescent="0.25">
      <c r="A52" s="149">
        <v>45910</v>
      </c>
      <c r="B52" s="107">
        <v>789.5</v>
      </c>
      <c r="C52" s="107">
        <v>784.4</v>
      </c>
      <c r="D52" s="107">
        <v>776.1</v>
      </c>
      <c r="E52" s="107">
        <v>781.3</v>
      </c>
      <c r="F52" s="107">
        <v>784.4</v>
      </c>
      <c r="G52">
        <v>85191</v>
      </c>
      <c r="H52" s="107"/>
      <c r="I52" s="107"/>
      <c r="L52" s="149">
        <v>45910</v>
      </c>
      <c r="M52" s="107">
        <v>784.7</v>
      </c>
      <c r="N52" s="107">
        <v>789.5</v>
      </c>
      <c r="O52" s="107">
        <v>776.1</v>
      </c>
      <c r="P52" s="107">
        <v>785</v>
      </c>
      <c r="Q52" s="107">
        <v>784.7</v>
      </c>
      <c r="R52">
        <v>611378</v>
      </c>
    </row>
    <row r="53" spans="1:18" x14ac:dyDescent="0.25">
      <c r="A53" s="149">
        <v>45911</v>
      </c>
      <c r="B53" s="107">
        <v>792.9</v>
      </c>
      <c r="C53" s="107">
        <v>782.2</v>
      </c>
      <c r="D53" s="107">
        <v>780</v>
      </c>
      <c r="E53" s="107">
        <v>781</v>
      </c>
      <c r="F53" s="107">
        <v>782.2</v>
      </c>
      <c r="G53">
        <v>25367</v>
      </c>
      <c r="H53" s="107"/>
      <c r="I53" s="107"/>
      <c r="L53" s="149">
        <v>45911</v>
      </c>
      <c r="M53" s="107">
        <v>782.3</v>
      </c>
      <c r="N53" s="107">
        <v>793.05</v>
      </c>
      <c r="O53" s="107">
        <v>780.4</v>
      </c>
      <c r="P53" s="107">
        <v>780.5</v>
      </c>
      <c r="Q53" s="107">
        <v>782.3</v>
      </c>
      <c r="R53">
        <v>316379</v>
      </c>
    </row>
    <row r="54" spans="1:18" x14ac:dyDescent="0.25">
      <c r="A54" s="149">
        <v>45912</v>
      </c>
      <c r="B54" s="107">
        <v>787</v>
      </c>
      <c r="C54" s="107">
        <v>775.3</v>
      </c>
      <c r="D54" s="107">
        <v>773</v>
      </c>
      <c r="E54" s="107">
        <v>782.35</v>
      </c>
      <c r="F54" s="107">
        <v>775.3</v>
      </c>
      <c r="G54">
        <v>20052</v>
      </c>
      <c r="H54" s="107"/>
      <c r="I54" s="107"/>
      <c r="L54" s="149">
        <v>45912</v>
      </c>
      <c r="M54" s="107">
        <v>775.4</v>
      </c>
      <c r="N54" s="107">
        <v>787.25</v>
      </c>
      <c r="O54" s="107">
        <v>773</v>
      </c>
      <c r="P54" s="107">
        <v>786.15</v>
      </c>
      <c r="Q54" s="107">
        <v>775.4</v>
      </c>
      <c r="R54">
        <v>366653</v>
      </c>
    </row>
    <row r="55" spans="1:18" x14ac:dyDescent="0.25">
      <c r="A55" s="149">
        <v>45915</v>
      </c>
      <c r="B55" s="107">
        <v>792</v>
      </c>
      <c r="C55" s="107">
        <v>787.1</v>
      </c>
      <c r="D55" s="107">
        <v>773.2</v>
      </c>
      <c r="E55" s="107">
        <v>775</v>
      </c>
      <c r="F55" s="107">
        <v>787.1</v>
      </c>
      <c r="G55">
        <v>41708</v>
      </c>
      <c r="H55" s="107"/>
      <c r="I55" s="107"/>
      <c r="L55" s="149">
        <v>45915</v>
      </c>
      <c r="M55" s="107">
        <v>787.1</v>
      </c>
      <c r="N55" s="107">
        <v>791.95</v>
      </c>
      <c r="O55" s="107">
        <v>773.3</v>
      </c>
      <c r="P55" s="107">
        <v>775.6</v>
      </c>
      <c r="Q55" s="107">
        <v>787.1</v>
      </c>
      <c r="R55">
        <v>943668</v>
      </c>
    </row>
    <row r="56" spans="1:18" x14ac:dyDescent="0.25">
      <c r="A56" s="149">
        <v>45916</v>
      </c>
      <c r="B56" s="107">
        <v>797</v>
      </c>
      <c r="C56" s="107">
        <v>793</v>
      </c>
      <c r="D56" s="107">
        <v>787.25</v>
      </c>
      <c r="E56" s="107">
        <v>791.8</v>
      </c>
      <c r="F56" s="107">
        <v>793</v>
      </c>
      <c r="G56">
        <v>414469</v>
      </c>
      <c r="H56" s="107"/>
      <c r="I56" s="107"/>
      <c r="L56" s="149">
        <v>45916</v>
      </c>
      <c r="M56" s="107">
        <v>793.05</v>
      </c>
      <c r="N56" s="107">
        <v>796.8</v>
      </c>
      <c r="O56" s="107">
        <v>787.5</v>
      </c>
      <c r="P56" s="107">
        <v>788</v>
      </c>
      <c r="Q56" s="107">
        <v>793.05</v>
      </c>
      <c r="R56">
        <v>409792</v>
      </c>
    </row>
    <row r="57" spans="1:18" x14ac:dyDescent="0.25">
      <c r="A57" s="149">
        <v>45917</v>
      </c>
      <c r="B57" s="107">
        <v>801.2</v>
      </c>
      <c r="C57" s="107">
        <v>787.95</v>
      </c>
      <c r="D57" s="107">
        <v>785.45</v>
      </c>
      <c r="E57" s="107">
        <v>793</v>
      </c>
      <c r="F57" s="107">
        <v>787.95</v>
      </c>
      <c r="G57">
        <v>43228</v>
      </c>
      <c r="H57" s="107"/>
      <c r="I57" s="107"/>
      <c r="L57" s="149">
        <v>45917</v>
      </c>
      <c r="M57" s="107">
        <v>787.7</v>
      </c>
      <c r="N57" s="107">
        <v>801.1</v>
      </c>
      <c r="O57" s="107">
        <v>785.2</v>
      </c>
      <c r="P57" s="107">
        <v>793.5</v>
      </c>
      <c r="Q57" s="107">
        <v>787.7</v>
      </c>
      <c r="R57">
        <v>920385</v>
      </c>
    </row>
    <row r="58" spans="1:18" x14ac:dyDescent="0.25">
      <c r="A58" s="149">
        <v>45918</v>
      </c>
      <c r="B58" s="107">
        <v>799.8</v>
      </c>
      <c r="C58" s="107">
        <v>791.4</v>
      </c>
      <c r="D58" s="107">
        <v>787.5</v>
      </c>
      <c r="E58" s="107">
        <v>788.2</v>
      </c>
      <c r="F58" s="107">
        <v>791.4</v>
      </c>
      <c r="G58">
        <v>150580</v>
      </c>
      <c r="H58" s="107"/>
      <c r="I58" s="107"/>
      <c r="L58" s="149">
        <v>45918</v>
      </c>
      <c r="M58" s="107">
        <v>791.1</v>
      </c>
      <c r="N58" s="107">
        <v>799.95</v>
      </c>
      <c r="O58" s="107">
        <v>788.1</v>
      </c>
      <c r="P58" s="107">
        <v>791</v>
      </c>
      <c r="Q58" s="107">
        <v>791.1</v>
      </c>
      <c r="R58">
        <v>1008780</v>
      </c>
    </row>
    <row r="59" spans="1:18" x14ac:dyDescent="0.25">
      <c r="A59" s="149">
        <v>45919</v>
      </c>
      <c r="B59" s="107">
        <v>793.5</v>
      </c>
      <c r="C59" s="107">
        <v>783</v>
      </c>
      <c r="D59" s="107">
        <v>780.25</v>
      </c>
      <c r="E59" s="107">
        <v>790.15</v>
      </c>
      <c r="F59" s="107">
        <v>783</v>
      </c>
      <c r="G59">
        <v>75333</v>
      </c>
      <c r="H59" s="107"/>
      <c r="I59" s="107"/>
      <c r="L59" s="149">
        <v>45919</v>
      </c>
      <c r="M59" s="107">
        <v>784.3</v>
      </c>
      <c r="N59" s="107">
        <v>793.8</v>
      </c>
      <c r="O59" s="107">
        <v>780.3</v>
      </c>
      <c r="P59" s="107">
        <v>791</v>
      </c>
      <c r="Q59" s="107">
        <v>784.3</v>
      </c>
      <c r="R59">
        <v>487668</v>
      </c>
    </row>
    <row r="60" spans="1:18" x14ac:dyDescent="0.25">
      <c r="A60" s="149">
        <v>45922</v>
      </c>
      <c r="B60" s="107">
        <v>788.6</v>
      </c>
      <c r="C60" s="107">
        <v>781.05</v>
      </c>
      <c r="D60" s="107">
        <v>776.35</v>
      </c>
      <c r="E60" s="107">
        <v>780.55</v>
      </c>
      <c r="F60" s="107">
        <v>781.05</v>
      </c>
      <c r="G60">
        <v>60875</v>
      </c>
      <c r="H60" s="107"/>
      <c r="I60" s="107"/>
      <c r="L60" s="149">
        <v>45922</v>
      </c>
      <c r="M60" s="107">
        <v>780.2</v>
      </c>
      <c r="N60" s="107">
        <v>788</v>
      </c>
      <c r="O60" s="107">
        <v>776.25</v>
      </c>
      <c r="P60" s="107">
        <v>783</v>
      </c>
      <c r="Q60" s="107">
        <v>780.2</v>
      </c>
      <c r="R60">
        <v>563024</v>
      </c>
    </row>
    <row r="61" spans="1:18" x14ac:dyDescent="0.25">
      <c r="A61" s="149">
        <v>45923</v>
      </c>
      <c r="B61" s="107">
        <v>781.6</v>
      </c>
      <c r="C61" s="107">
        <v>774.4</v>
      </c>
      <c r="D61" s="107">
        <v>773</v>
      </c>
      <c r="E61" s="107">
        <v>781</v>
      </c>
      <c r="F61" s="107">
        <v>774.4</v>
      </c>
      <c r="G61">
        <v>115357</v>
      </c>
      <c r="H61" s="107"/>
      <c r="I61" s="107"/>
      <c r="L61" s="149">
        <v>45923</v>
      </c>
      <c r="M61" s="107">
        <v>774.6</v>
      </c>
      <c r="N61" s="107">
        <v>782.4</v>
      </c>
      <c r="O61" s="107">
        <v>773.3</v>
      </c>
      <c r="P61" s="107">
        <v>780.05</v>
      </c>
      <c r="Q61" s="107">
        <v>774.6</v>
      </c>
      <c r="R61">
        <v>465488</v>
      </c>
    </row>
    <row r="62" spans="1:18" x14ac:dyDescent="0.25">
      <c r="A62" s="149">
        <v>45924</v>
      </c>
      <c r="B62" s="107">
        <v>780.9</v>
      </c>
      <c r="C62" s="107">
        <v>772.7</v>
      </c>
      <c r="D62" s="107">
        <v>771.15</v>
      </c>
      <c r="E62" s="107">
        <v>771.2</v>
      </c>
      <c r="F62" s="107">
        <v>772.7</v>
      </c>
      <c r="G62">
        <v>76440</v>
      </c>
      <c r="H62" s="107"/>
      <c r="I62" s="107"/>
      <c r="L62" s="149">
        <v>45924</v>
      </c>
      <c r="M62" s="107">
        <v>772.9</v>
      </c>
      <c r="N62" s="107">
        <v>781</v>
      </c>
      <c r="O62" s="107">
        <v>771.05</v>
      </c>
      <c r="P62" s="107">
        <v>776</v>
      </c>
      <c r="Q62" s="107">
        <v>772.9</v>
      </c>
      <c r="R62">
        <v>507487</v>
      </c>
    </row>
    <row r="63" spans="1:18" x14ac:dyDescent="0.25">
      <c r="A63" s="149">
        <v>45925</v>
      </c>
      <c r="B63" s="107">
        <v>774.95</v>
      </c>
      <c r="C63" s="107">
        <v>767</v>
      </c>
      <c r="D63" s="107">
        <v>765.05</v>
      </c>
      <c r="E63" s="107">
        <v>770.7</v>
      </c>
      <c r="F63" s="107">
        <v>767</v>
      </c>
      <c r="G63">
        <v>15615</v>
      </c>
      <c r="H63" s="107"/>
      <c r="I63" s="107"/>
      <c r="L63" s="149">
        <v>45925</v>
      </c>
      <c r="M63" s="107">
        <v>767.1</v>
      </c>
      <c r="N63" s="107">
        <v>775</v>
      </c>
      <c r="O63" s="107">
        <v>765.5</v>
      </c>
      <c r="P63" s="107">
        <v>772</v>
      </c>
      <c r="Q63" s="107">
        <v>767.1</v>
      </c>
      <c r="R63">
        <v>338321</v>
      </c>
    </row>
    <row r="64" spans="1:18" x14ac:dyDescent="0.25">
      <c r="A64" s="149">
        <v>45926</v>
      </c>
      <c r="B64" s="107">
        <v>775.1</v>
      </c>
      <c r="C64" s="107">
        <v>755.85</v>
      </c>
      <c r="D64" s="107">
        <v>754.45</v>
      </c>
      <c r="E64" s="107">
        <v>765.7</v>
      </c>
      <c r="F64" s="107">
        <v>755.85</v>
      </c>
      <c r="G64">
        <v>47838</v>
      </c>
      <c r="H64" s="107"/>
      <c r="I64" s="107"/>
      <c r="L64" s="149">
        <v>45926</v>
      </c>
      <c r="M64" s="107">
        <v>755.85</v>
      </c>
      <c r="N64" s="107">
        <v>778.4</v>
      </c>
      <c r="O64" s="107">
        <v>754.35</v>
      </c>
      <c r="P64" s="107">
        <v>765</v>
      </c>
      <c r="Q64" s="107">
        <v>755.85</v>
      </c>
      <c r="R64">
        <v>593459</v>
      </c>
    </row>
    <row r="65" spans="1:18" x14ac:dyDescent="0.25">
      <c r="A65" s="149">
        <v>45929</v>
      </c>
      <c r="B65" s="107">
        <v>757.6</v>
      </c>
      <c r="C65" s="107">
        <v>748.25</v>
      </c>
      <c r="D65" s="107">
        <v>739</v>
      </c>
      <c r="E65" s="107">
        <v>756</v>
      </c>
      <c r="F65" s="107">
        <v>748.25</v>
      </c>
      <c r="G65">
        <v>99758</v>
      </c>
      <c r="H65" s="107"/>
      <c r="I65" s="107"/>
      <c r="L65" s="149">
        <v>45929</v>
      </c>
      <c r="M65" s="107">
        <v>748.15</v>
      </c>
      <c r="N65" s="107">
        <v>757.05</v>
      </c>
      <c r="O65" s="107">
        <v>739.1</v>
      </c>
      <c r="P65" s="107">
        <v>756</v>
      </c>
      <c r="Q65" s="107">
        <v>748.15</v>
      </c>
      <c r="R65">
        <v>2426543</v>
      </c>
    </row>
    <row r="66" spans="1:18" x14ac:dyDescent="0.25">
      <c r="A66" s="149">
        <v>45930</v>
      </c>
      <c r="B66" s="107">
        <v>757.7</v>
      </c>
      <c r="C66" s="107">
        <v>750.1</v>
      </c>
      <c r="D66" s="107">
        <v>744</v>
      </c>
      <c r="E66" s="107">
        <v>748</v>
      </c>
      <c r="F66" s="107">
        <v>750.1</v>
      </c>
      <c r="G66">
        <v>48932</v>
      </c>
      <c r="H66" s="107"/>
      <c r="I66" s="107"/>
      <c r="L66" s="149">
        <v>45930</v>
      </c>
      <c r="M66" s="107">
        <v>750.3</v>
      </c>
      <c r="N66" s="107">
        <v>757.35</v>
      </c>
      <c r="O66" s="107">
        <v>744.3</v>
      </c>
      <c r="P66" s="107">
        <v>747</v>
      </c>
      <c r="Q66" s="107">
        <v>750.3</v>
      </c>
      <c r="R66">
        <v>1862031</v>
      </c>
    </row>
    <row r="67" spans="1:18" x14ac:dyDescent="0.25">
      <c r="A67" s="149">
        <v>45931</v>
      </c>
      <c r="B67" s="107">
        <v>779.4</v>
      </c>
      <c r="C67" s="107">
        <v>769.6</v>
      </c>
      <c r="D67" s="107">
        <v>751.05</v>
      </c>
      <c r="E67" s="107">
        <v>751.05</v>
      </c>
      <c r="F67" s="107">
        <v>769.6</v>
      </c>
      <c r="G67">
        <v>57596</v>
      </c>
      <c r="H67" s="107"/>
      <c r="I67" s="107"/>
      <c r="L67" s="149">
        <v>45931</v>
      </c>
      <c r="M67" s="107">
        <v>769.55</v>
      </c>
      <c r="N67" s="107">
        <v>779.9</v>
      </c>
      <c r="O67" s="107">
        <v>752</v>
      </c>
      <c r="P67" s="107">
        <v>752</v>
      </c>
      <c r="Q67" s="107">
        <v>769.55</v>
      </c>
      <c r="R67">
        <v>1831846</v>
      </c>
    </row>
    <row r="68" spans="1:18" x14ac:dyDescent="0.25">
      <c r="A68" s="149">
        <v>45933</v>
      </c>
      <c r="B68" s="107">
        <v>771.35</v>
      </c>
      <c r="C68" s="107">
        <v>757.2</v>
      </c>
      <c r="D68" s="107">
        <v>755.3</v>
      </c>
      <c r="E68" s="107">
        <v>766.3</v>
      </c>
      <c r="F68" s="107">
        <v>757.2</v>
      </c>
      <c r="G68">
        <v>53712</v>
      </c>
      <c r="H68" s="107"/>
      <c r="I68" s="107"/>
      <c r="L68" s="149">
        <v>45933</v>
      </c>
      <c r="M68" s="107">
        <v>757.1</v>
      </c>
      <c r="N68" s="107">
        <v>771.35</v>
      </c>
      <c r="O68" s="107">
        <v>756</v>
      </c>
      <c r="P68" s="107">
        <v>769.05</v>
      </c>
      <c r="Q68" s="107">
        <v>757.1</v>
      </c>
      <c r="R68">
        <v>629594</v>
      </c>
    </row>
    <row r="69" spans="1:18" x14ac:dyDescent="0.25">
      <c r="A69" s="149">
        <v>45936</v>
      </c>
      <c r="B69" s="107">
        <v>758</v>
      </c>
      <c r="C69" s="107">
        <v>746.35</v>
      </c>
      <c r="D69" s="107">
        <v>741.4</v>
      </c>
      <c r="E69" s="107">
        <v>757.15</v>
      </c>
      <c r="F69" s="107">
        <v>746.35</v>
      </c>
      <c r="G69">
        <v>82166</v>
      </c>
      <c r="H69" s="107"/>
      <c r="I69" s="107"/>
      <c r="L69" s="149">
        <v>45936</v>
      </c>
      <c r="M69" s="107">
        <v>746.35</v>
      </c>
      <c r="N69" s="107">
        <v>758.3</v>
      </c>
      <c r="O69" s="107">
        <v>741.4</v>
      </c>
      <c r="P69" s="107">
        <v>758</v>
      </c>
      <c r="Q69" s="107">
        <v>746.35</v>
      </c>
      <c r="R69">
        <v>1790757</v>
      </c>
    </row>
    <row r="70" spans="1:18" x14ac:dyDescent="0.25">
      <c r="A70" s="149">
        <v>45937</v>
      </c>
      <c r="B70" s="107">
        <v>748.6</v>
      </c>
      <c r="C70" s="107">
        <v>741.35</v>
      </c>
      <c r="D70" s="107">
        <v>739.05</v>
      </c>
      <c r="E70" s="107">
        <v>746.6</v>
      </c>
      <c r="F70" s="107">
        <v>741.35</v>
      </c>
      <c r="G70">
        <v>665107</v>
      </c>
      <c r="H70" s="107"/>
      <c r="I70" s="107"/>
      <c r="L70" s="149">
        <v>45937</v>
      </c>
      <c r="M70" s="107">
        <v>741.4</v>
      </c>
      <c r="N70" s="107">
        <v>748.5</v>
      </c>
      <c r="O70" s="107">
        <v>739.2</v>
      </c>
      <c r="P70" s="107">
        <v>747.95</v>
      </c>
      <c r="Q70" s="107">
        <v>741.4</v>
      </c>
      <c r="R70">
        <v>1636591</v>
      </c>
    </row>
    <row r="71" spans="1:18" x14ac:dyDescent="0.25">
      <c r="A71" s="149">
        <v>45938</v>
      </c>
      <c r="B71" s="107">
        <v>746.95</v>
      </c>
      <c r="C71" s="107">
        <v>736.85</v>
      </c>
      <c r="D71" s="107">
        <v>736.25</v>
      </c>
      <c r="E71" s="107">
        <v>745</v>
      </c>
      <c r="F71" s="107">
        <v>736.85</v>
      </c>
      <c r="G71">
        <v>30064</v>
      </c>
      <c r="H71" s="107"/>
      <c r="I71" s="107"/>
      <c r="L71" s="149">
        <v>45938</v>
      </c>
      <c r="M71" s="107">
        <v>736.95</v>
      </c>
      <c r="N71" s="107">
        <v>747.35</v>
      </c>
      <c r="O71" s="107">
        <v>736.1</v>
      </c>
      <c r="P71" s="107">
        <v>747.35</v>
      </c>
      <c r="Q71" s="107">
        <v>736.95</v>
      </c>
      <c r="R71">
        <v>745661</v>
      </c>
    </row>
    <row r="72" spans="1:18" x14ac:dyDescent="0.25">
      <c r="A72" s="149">
        <v>45939</v>
      </c>
      <c r="B72" s="107">
        <v>740.35</v>
      </c>
      <c r="C72" s="107">
        <v>733</v>
      </c>
      <c r="D72" s="107">
        <v>728.6</v>
      </c>
      <c r="E72" s="107">
        <v>738.05</v>
      </c>
      <c r="F72" s="107">
        <v>733</v>
      </c>
      <c r="G72">
        <v>37084</v>
      </c>
      <c r="H72" s="107"/>
      <c r="I72" s="107"/>
      <c r="L72" s="149">
        <v>45939</v>
      </c>
      <c r="M72" s="107">
        <v>732.85</v>
      </c>
      <c r="N72" s="107">
        <v>740.6</v>
      </c>
      <c r="O72" s="107">
        <v>728.3</v>
      </c>
      <c r="P72" s="107">
        <v>739</v>
      </c>
      <c r="Q72" s="107">
        <v>732.85</v>
      </c>
      <c r="R72">
        <v>1050206</v>
      </c>
    </row>
    <row r="73" spans="1:18" x14ac:dyDescent="0.25">
      <c r="A73" s="149">
        <v>45940</v>
      </c>
      <c r="B73" s="107">
        <v>739</v>
      </c>
      <c r="C73" s="107">
        <v>736.6</v>
      </c>
      <c r="D73" s="107">
        <v>731</v>
      </c>
      <c r="E73" s="107">
        <v>736</v>
      </c>
      <c r="F73" s="107">
        <v>736.6</v>
      </c>
      <c r="G73">
        <v>44292</v>
      </c>
      <c r="H73" s="107"/>
      <c r="I73" s="107"/>
      <c r="L73" s="149">
        <v>45940</v>
      </c>
      <c r="M73" s="107">
        <v>736.8</v>
      </c>
      <c r="N73" s="107">
        <v>738.95</v>
      </c>
      <c r="O73" s="107">
        <v>731.05</v>
      </c>
      <c r="P73" s="107">
        <v>735</v>
      </c>
      <c r="Q73" s="107">
        <v>736.8</v>
      </c>
      <c r="R73">
        <v>949638</v>
      </c>
    </row>
    <row r="74" spans="1:18" x14ac:dyDescent="0.25">
      <c r="A74" s="149">
        <v>45943</v>
      </c>
      <c r="B74" s="107">
        <v>742</v>
      </c>
      <c r="C74" s="107">
        <v>739.75</v>
      </c>
      <c r="D74" s="107">
        <v>729</v>
      </c>
      <c r="E74" s="107">
        <v>735.75</v>
      </c>
      <c r="F74" s="107">
        <v>739.75</v>
      </c>
      <c r="G74">
        <v>159749</v>
      </c>
      <c r="H74" s="107"/>
      <c r="I74" s="107"/>
      <c r="L74" s="149">
        <v>45943</v>
      </c>
      <c r="M74" s="107">
        <v>739.85</v>
      </c>
      <c r="N74" s="107">
        <v>742.2</v>
      </c>
      <c r="O74" s="107">
        <v>728.6</v>
      </c>
      <c r="P74" s="107">
        <v>735</v>
      </c>
      <c r="Q74" s="107">
        <v>739.85</v>
      </c>
      <c r="R74">
        <v>1173454</v>
      </c>
    </row>
    <row r="75" spans="1:18" x14ac:dyDescent="0.25">
      <c r="A75" s="149">
        <v>45944</v>
      </c>
      <c r="B75" s="107">
        <v>743.8</v>
      </c>
      <c r="C75" s="107">
        <v>739.95</v>
      </c>
      <c r="D75" s="107">
        <v>739</v>
      </c>
      <c r="E75" s="107">
        <v>740.05</v>
      </c>
      <c r="F75" s="107">
        <v>739.95</v>
      </c>
      <c r="G75">
        <v>29008</v>
      </c>
      <c r="H75" s="107"/>
      <c r="I75" s="107"/>
      <c r="L75" s="149">
        <v>45944</v>
      </c>
      <c r="M75" s="107">
        <v>740.1</v>
      </c>
      <c r="N75" s="107">
        <v>743.8</v>
      </c>
      <c r="O75" s="107">
        <v>738.7</v>
      </c>
      <c r="P75" s="107">
        <v>742.95</v>
      </c>
      <c r="Q75" s="107">
        <v>740.1</v>
      </c>
      <c r="R75">
        <v>1093280</v>
      </c>
    </row>
    <row r="76" spans="1:18" x14ac:dyDescent="0.25">
      <c r="A76" s="149">
        <v>45945</v>
      </c>
      <c r="B76" s="107">
        <v>745</v>
      </c>
      <c r="C76" s="107">
        <v>743.35</v>
      </c>
      <c r="D76" s="107">
        <v>736.95</v>
      </c>
      <c r="E76" s="107">
        <v>740</v>
      </c>
      <c r="F76" s="107">
        <v>743.35</v>
      </c>
      <c r="G76">
        <v>180978</v>
      </c>
      <c r="H76" s="107"/>
      <c r="I76" s="107"/>
      <c r="L76" s="149">
        <v>45945</v>
      </c>
      <c r="M76" s="107">
        <v>743.35</v>
      </c>
      <c r="N76" s="107">
        <v>745</v>
      </c>
      <c r="O76" s="107">
        <v>736.55</v>
      </c>
      <c r="P76" s="107">
        <v>740</v>
      </c>
      <c r="Q76" s="107">
        <v>743.35</v>
      </c>
      <c r="R76">
        <v>921269</v>
      </c>
    </row>
    <row r="77" spans="1:18" x14ac:dyDescent="0.25">
      <c r="A77" s="149">
        <v>45946</v>
      </c>
      <c r="B77" s="107">
        <v>742</v>
      </c>
      <c r="C77" s="107">
        <v>737.45</v>
      </c>
      <c r="D77" s="107">
        <v>733.15</v>
      </c>
      <c r="E77" s="107">
        <v>736.95</v>
      </c>
      <c r="F77" s="107">
        <v>737.45</v>
      </c>
      <c r="G77">
        <v>83970</v>
      </c>
      <c r="H77" s="107"/>
      <c r="I77" s="107"/>
      <c r="L77" s="149">
        <v>45946</v>
      </c>
      <c r="M77" s="107">
        <v>737.4</v>
      </c>
      <c r="N77" s="107">
        <v>742</v>
      </c>
      <c r="O77" s="107">
        <v>733.25</v>
      </c>
      <c r="P77" s="107">
        <v>738.25</v>
      </c>
      <c r="Q77" s="107">
        <v>737.4</v>
      </c>
      <c r="R77">
        <v>3812730</v>
      </c>
    </row>
    <row r="78" spans="1:18" x14ac:dyDescent="0.25">
      <c r="A78" s="149">
        <v>45947</v>
      </c>
      <c r="B78" s="107">
        <v>742.8</v>
      </c>
      <c r="C78" s="107">
        <v>730.3</v>
      </c>
      <c r="D78" s="107">
        <v>727.3</v>
      </c>
      <c r="E78" s="107">
        <v>737.25</v>
      </c>
      <c r="F78" s="107">
        <v>730.3</v>
      </c>
      <c r="G78">
        <v>104355</v>
      </c>
      <c r="H78" s="107"/>
      <c r="I78" s="107"/>
      <c r="L78" s="149">
        <v>45947</v>
      </c>
      <c r="M78" s="107">
        <v>730.15</v>
      </c>
      <c r="N78" s="107">
        <v>742.35</v>
      </c>
      <c r="O78" s="107">
        <v>727.3</v>
      </c>
      <c r="P78" s="107">
        <v>740</v>
      </c>
      <c r="Q78" s="107">
        <v>730.15</v>
      </c>
      <c r="R78">
        <v>2146187</v>
      </c>
    </row>
    <row r="79" spans="1:18" x14ac:dyDescent="0.25">
      <c r="A79" s="149">
        <v>45950</v>
      </c>
      <c r="B79" s="107">
        <v>740.9</v>
      </c>
      <c r="C79" s="107">
        <v>739.7</v>
      </c>
      <c r="D79" s="107">
        <v>731.25</v>
      </c>
      <c r="E79" s="107">
        <v>735.55</v>
      </c>
      <c r="F79" s="107">
        <v>739.7</v>
      </c>
      <c r="G79">
        <v>49420</v>
      </c>
      <c r="H79" s="107"/>
      <c r="I79" s="107"/>
      <c r="L79" s="149">
        <v>45950</v>
      </c>
      <c r="M79" s="107">
        <v>739.95</v>
      </c>
      <c r="N79" s="107">
        <v>742</v>
      </c>
      <c r="O79" s="107">
        <v>732.1</v>
      </c>
      <c r="P79" s="107">
        <v>734</v>
      </c>
      <c r="Q79" s="107">
        <v>739.95</v>
      </c>
      <c r="R79">
        <v>486057</v>
      </c>
    </row>
    <row r="80" spans="1:18" x14ac:dyDescent="0.25">
      <c r="A80" s="149">
        <v>45951</v>
      </c>
      <c r="B80" s="107">
        <v>744.95</v>
      </c>
      <c r="C80" s="107">
        <v>740.2</v>
      </c>
      <c r="D80" s="107">
        <v>739.45</v>
      </c>
      <c r="E80" s="107">
        <v>741</v>
      </c>
      <c r="F80" s="107">
        <v>740.2</v>
      </c>
      <c r="G80">
        <v>17106</v>
      </c>
      <c r="H80" s="107"/>
      <c r="I80" s="107"/>
      <c r="L80" s="149">
        <v>45951</v>
      </c>
      <c r="M80" s="107">
        <v>740.35</v>
      </c>
      <c r="N80" s="107">
        <v>745</v>
      </c>
      <c r="O80" s="107">
        <v>739.4</v>
      </c>
      <c r="P80" s="107">
        <v>744.85</v>
      </c>
      <c r="Q80" s="107">
        <v>740.35</v>
      </c>
      <c r="R80">
        <v>130540</v>
      </c>
    </row>
    <row r="81" spans="1:18" x14ac:dyDescent="0.25">
      <c r="A81" s="149">
        <v>45953</v>
      </c>
      <c r="B81" s="107">
        <v>746</v>
      </c>
      <c r="C81" s="107">
        <v>743.35</v>
      </c>
      <c r="D81" s="107">
        <v>737.45</v>
      </c>
      <c r="E81" s="107">
        <v>744.45</v>
      </c>
      <c r="F81" s="107">
        <v>743.35</v>
      </c>
      <c r="G81">
        <v>35336</v>
      </c>
      <c r="H81" s="107"/>
      <c r="I81" s="107"/>
      <c r="L81" s="149">
        <v>45953</v>
      </c>
      <c r="M81" s="107">
        <v>743.9</v>
      </c>
      <c r="N81" s="107">
        <v>746.3</v>
      </c>
      <c r="O81" s="107">
        <v>737.4</v>
      </c>
      <c r="P81" s="107">
        <v>742</v>
      </c>
      <c r="Q81" s="107">
        <v>743.9</v>
      </c>
      <c r="R81">
        <v>1605094</v>
      </c>
    </row>
    <row r="82" spans="1:18" x14ac:dyDescent="0.25">
      <c r="A82" s="149">
        <v>45954</v>
      </c>
      <c r="B82" s="107">
        <v>743</v>
      </c>
      <c r="C82" s="107">
        <v>734.2</v>
      </c>
      <c r="D82" s="107">
        <v>732</v>
      </c>
      <c r="E82" s="107">
        <v>743</v>
      </c>
      <c r="F82" s="107">
        <v>734.2</v>
      </c>
      <c r="G82">
        <v>21693</v>
      </c>
      <c r="H82" s="107"/>
      <c r="I82" s="107"/>
      <c r="L82" s="149">
        <v>45954</v>
      </c>
      <c r="M82" s="107">
        <v>734.05</v>
      </c>
      <c r="N82" s="107">
        <v>742.5</v>
      </c>
      <c r="O82" s="107">
        <v>732</v>
      </c>
      <c r="P82" s="107">
        <v>742.1</v>
      </c>
      <c r="Q82" s="107">
        <v>734.05</v>
      </c>
      <c r="R82">
        <v>587840</v>
      </c>
    </row>
    <row r="83" spans="1:18" x14ac:dyDescent="0.25">
      <c r="A83" s="149">
        <v>45957</v>
      </c>
      <c r="B83" s="107">
        <v>739.8</v>
      </c>
      <c r="C83" s="107">
        <v>733.25</v>
      </c>
      <c r="D83" s="107">
        <v>730</v>
      </c>
      <c r="E83" s="107">
        <v>734.4</v>
      </c>
      <c r="F83" s="107">
        <v>733.25</v>
      </c>
      <c r="G83">
        <v>46276</v>
      </c>
      <c r="H83" s="107"/>
      <c r="I83" s="107"/>
      <c r="L83" s="149">
        <v>45957</v>
      </c>
      <c r="M83" s="107">
        <v>733.05</v>
      </c>
      <c r="N83" s="107">
        <v>739.95</v>
      </c>
      <c r="O83" s="107">
        <v>730.05</v>
      </c>
      <c r="P83" s="107">
        <v>738.85</v>
      </c>
      <c r="Q83" s="107">
        <v>733.05</v>
      </c>
      <c r="R83">
        <v>690958</v>
      </c>
    </row>
    <row r="84" spans="1:18" x14ac:dyDescent="0.25">
      <c r="A84" s="149">
        <v>45958</v>
      </c>
      <c r="B84" s="107">
        <v>736.6</v>
      </c>
      <c r="C84" s="107">
        <v>732.6</v>
      </c>
      <c r="D84" s="107">
        <v>729.65</v>
      </c>
      <c r="E84" s="107">
        <v>733.55</v>
      </c>
      <c r="F84" s="107">
        <v>732.6</v>
      </c>
      <c r="G84">
        <v>62964</v>
      </c>
      <c r="H84" s="107"/>
      <c r="I84" s="107"/>
      <c r="L84" s="149">
        <v>45958</v>
      </c>
      <c r="M84" s="107">
        <v>732.65</v>
      </c>
      <c r="N84" s="107">
        <v>736.95</v>
      </c>
      <c r="O84" s="107">
        <v>729.8</v>
      </c>
      <c r="P84" s="107">
        <v>733.9</v>
      </c>
      <c r="Q84" s="107">
        <v>732.65</v>
      </c>
      <c r="R84">
        <v>749838</v>
      </c>
    </row>
    <row r="85" spans="1:18" x14ac:dyDescent="0.25">
      <c r="A85" s="149">
        <v>45959</v>
      </c>
      <c r="B85" s="107">
        <v>737.7</v>
      </c>
      <c r="C85" s="107">
        <v>734.4</v>
      </c>
      <c r="D85" s="107">
        <v>731</v>
      </c>
      <c r="E85" s="107">
        <v>731.45</v>
      </c>
      <c r="F85" s="107">
        <v>734.4</v>
      </c>
      <c r="G85">
        <v>35071</v>
      </c>
      <c r="H85" s="107"/>
      <c r="I85" s="107"/>
      <c r="L85" s="149">
        <v>45959</v>
      </c>
      <c r="M85" s="107">
        <v>734.85</v>
      </c>
      <c r="N85" s="107">
        <v>738</v>
      </c>
      <c r="O85" s="107">
        <v>731</v>
      </c>
      <c r="P85" s="107">
        <v>732.65</v>
      </c>
      <c r="Q85" s="107">
        <v>734.85</v>
      </c>
      <c r="R85">
        <v>919437</v>
      </c>
    </row>
    <row r="86" spans="1:18" x14ac:dyDescent="0.25">
      <c r="A86" s="149">
        <v>45960</v>
      </c>
      <c r="B86" s="107">
        <v>747.5</v>
      </c>
      <c r="C86" s="107">
        <v>734.65</v>
      </c>
      <c r="D86" s="107">
        <v>732.15</v>
      </c>
      <c r="E86" s="107">
        <v>732.15</v>
      </c>
      <c r="F86" s="107">
        <v>734.65</v>
      </c>
      <c r="G86">
        <v>39540</v>
      </c>
      <c r="H86" s="107"/>
      <c r="I86" s="107"/>
      <c r="L86" s="149">
        <v>45960</v>
      </c>
      <c r="M86" s="107">
        <v>734.25</v>
      </c>
      <c r="N86" s="107">
        <v>747.85</v>
      </c>
      <c r="O86" s="107">
        <v>732.95</v>
      </c>
      <c r="P86" s="107">
        <v>735.25</v>
      </c>
      <c r="Q86" s="107">
        <v>734.25</v>
      </c>
      <c r="R86">
        <v>1124848</v>
      </c>
    </row>
    <row r="87" spans="1:18" x14ac:dyDescent="0.25">
      <c r="A87" s="149">
        <v>45961</v>
      </c>
      <c r="B87" s="107">
        <v>737.35</v>
      </c>
      <c r="C87" s="107">
        <v>731.35</v>
      </c>
      <c r="D87" s="107">
        <v>730.1</v>
      </c>
      <c r="E87" s="107">
        <v>734.7</v>
      </c>
      <c r="F87" s="107">
        <v>731.35</v>
      </c>
      <c r="G87">
        <v>169698</v>
      </c>
      <c r="H87" s="107"/>
      <c r="I87" s="107"/>
      <c r="L87" s="149">
        <v>45961</v>
      </c>
      <c r="M87" s="107">
        <v>731.3</v>
      </c>
      <c r="N87" s="107">
        <v>737.1</v>
      </c>
      <c r="O87" s="107">
        <v>730.05</v>
      </c>
      <c r="P87" s="107">
        <v>735.8</v>
      </c>
      <c r="Q87" s="107">
        <v>731.3</v>
      </c>
      <c r="R87">
        <v>437804</v>
      </c>
    </row>
    <row r="88" spans="1:18" x14ac:dyDescent="0.25">
      <c r="A88" s="149">
        <v>45964</v>
      </c>
      <c r="B88" s="107">
        <v>731.3</v>
      </c>
      <c r="C88" s="107">
        <v>724</v>
      </c>
      <c r="D88" s="107">
        <v>722.25</v>
      </c>
      <c r="E88" s="107">
        <v>730.15</v>
      </c>
      <c r="F88" s="107">
        <v>724</v>
      </c>
      <c r="G88">
        <v>90486</v>
      </c>
      <c r="H88" s="107"/>
      <c r="I88" s="107"/>
      <c r="L88" s="149">
        <v>45964</v>
      </c>
      <c r="M88" s="107">
        <v>723.35</v>
      </c>
      <c r="N88" s="107">
        <v>731.65</v>
      </c>
      <c r="O88" s="107">
        <v>722.1</v>
      </c>
      <c r="P88" s="107">
        <v>730.95</v>
      </c>
      <c r="Q88" s="107">
        <v>723.35</v>
      </c>
      <c r="R88">
        <v>740325</v>
      </c>
    </row>
    <row r="89" spans="1:18" x14ac:dyDescent="0.25">
      <c r="A89" s="149">
        <v>45965</v>
      </c>
      <c r="B89" s="107">
        <v>735</v>
      </c>
      <c r="C89" s="107">
        <v>731.05</v>
      </c>
      <c r="D89" s="107">
        <v>722.75</v>
      </c>
      <c r="E89" s="107">
        <v>724</v>
      </c>
      <c r="F89" s="107">
        <v>731.05</v>
      </c>
      <c r="G89">
        <v>70453</v>
      </c>
      <c r="H89" s="107"/>
      <c r="I89" s="107"/>
      <c r="L89" s="149">
        <v>45965</v>
      </c>
      <c r="M89" s="107">
        <v>731.55</v>
      </c>
      <c r="N89" s="107">
        <v>735.1</v>
      </c>
      <c r="O89" s="107">
        <v>723.35</v>
      </c>
      <c r="P89" s="107">
        <v>723.6</v>
      </c>
      <c r="Q89" s="107">
        <v>731.55</v>
      </c>
      <c r="R89">
        <v>991537</v>
      </c>
    </row>
    <row r="90" spans="1:18" x14ac:dyDescent="0.25">
      <c r="A90" s="149">
        <v>45967</v>
      </c>
      <c r="B90" s="107">
        <v>731</v>
      </c>
      <c r="C90" s="107">
        <v>720.75</v>
      </c>
      <c r="D90" s="107">
        <v>719</v>
      </c>
      <c r="E90" s="107">
        <v>731</v>
      </c>
      <c r="F90" s="107">
        <v>720.75</v>
      </c>
      <c r="G90">
        <v>34633</v>
      </c>
      <c r="H90" s="107"/>
      <c r="I90" s="107"/>
      <c r="L90" s="149">
        <v>45967</v>
      </c>
      <c r="M90" s="107">
        <v>720.7</v>
      </c>
      <c r="N90" s="107">
        <v>730.45</v>
      </c>
      <c r="O90" s="107">
        <v>718.85</v>
      </c>
      <c r="P90" s="107">
        <v>730.05</v>
      </c>
      <c r="Q90" s="107">
        <v>720.7</v>
      </c>
      <c r="R90">
        <v>656396</v>
      </c>
    </row>
    <row r="91" spans="1:18" x14ac:dyDescent="0.25">
      <c r="A91" s="149">
        <v>45968</v>
      </c>
      <c r="B91" s="107">
        <v>721.6</v>
      </c>
      <c r="C91" s="107">
        <v>711.7</v>
      </c>
      <c r="D91" s="107">
        <v>705</v>
      </c>
      <c r="E91" s="107">
        <v>715.2</v>
      </c>
      <c r="F91" s="107">
        <v>711.7</v>
      </c>
      <c r="G91">
        <v>142647</v>
      </c>
      <c r="H91" s="107"/>
      <c r="I91" s="107"/>
      <c r="L91" s="149">
        <v>45968</v>
      </c>
      <c r="M91" s="107">
        <v>711.9</v>
      </c>
      <c r="N91" s="107">
        <v>723.55</v>
      </c>
      <c r="O91" s="107">
        <v>705.05</v>
      </c>
      <c r="P91" s="107">
        <v>720.7</v>
      </c>
      <c r="Q91" s="107">
        <v>711.9</v>
      </c>
      <c r="R91">
        <v>1544969</v>
      </c>
    </row>
    <row r="92" spans="1:18" x14ac:dyDescent="0.25">
      <c r="A92" s="149">
        <v>45971</v>
      </c>
      <c r="B92" s="107">
        <v>733.8</v>
      </c>
      <c r="C92" s="107">
        <v>730.75</v>
      </c>
      <c r="D92" s="107">
        <v>710.6</v>
      </c>
      <c r="E92" s="107">
        <v>710.75</v>
      </c>
      <c r="F92" s="107">
        <v>730.75</v>
      </c>
      <c r="G92">
        <v>50381</v>
      </c>
      <c r="H92" s="107"/>
      <c r="I92" s="107"/>
      <c r="L92" s="149">
        <v>45971</v>
      </c>
      <c r="M92" s="107">
        <v>731.8</v>
      </c>
      <c r="N92" s="107">
        <v>733.8</v>
      </c>
      <c r="O92" s="107">
        <v>710.2</v>
      </c>
      <c r="P92" s="107">
        <v>711.95</v>
      </c>
      <c r="Q92" s="107">
        <v>731.8</v>
      </c>
      <c r="R92">
        <v>1109379</v>
      </c>
    </row>
    <row r="93" spans="1:18" x14ac:dyDescent="0.25">
      <c r="A93" s="149">
        <v>45972</v>
      </c>
      <c r="B93" s="107">
        <v>734.1</v>
      </c>
      <c r="C93" s="107">
        <v>731.85</v>
      </c>
      <c r="D93" s="107">
        <v>722.2</v>
      </c>
      <c r="E93" s="107">
        <v>722.2</v>
      </c>
      <c r="F93" s="107">
        <v>731.85</v>
      </c>
      <c r="G93">
        <v>23742</v>
      </c>
      <c r="H93" s="107"/>
      <c r="I93" s="107"/>
      <c r="L93" s="149">
        <v>45972</v>
      </c>
      <c r="M93" s="107">
        <v>731.85</v>
      </c>
      <c r="N93" s="107">
        <v>734.6</v>
      </c>
      <c r="O93" s="107">
        <v>727</v>
      </c>
      <c r="P93" s="107">
        <v>731</v>
      </c>
      <c r="Q93" s="107">
        <v>731.85</v>
      </c>
      <c r="R93">
        <v>698081</v>
      </c>
    </row>
    <row r="94" spans="1:18" x14ac:dyDescent="0.25">
      <c r="A94" s="149">
        <v>45973</v>
      </c>
      <c r="B94" s="107">
        <v>743</v>
      </c>
      <c r="C94" s="107">
        <v>726.65</v>
      </c>
      <c r="D94" s="107">
        <v>722</v>
      </c>
      <c r="E94" s="107">
        <v>731.85</v>
      </c>
      <c r="F94" s="107">
        <v>726.65</v>
      </c>
      <c r="G94">
        <v>64116</v>
      </c>
      <c r="H94" s="107"/>
      <c r="I94" s="107"/>
      <c r="L94" s="149">
        <v>45973</v>
      </c>
      <c r="M94" s="107">
        <v>725.85</v>
      </c>
      <c r="N94" s="107">
        <v>743.7</v>
      </c>
      <c r="O94" s="107">
        <v>721.95</v>
      </c>
      <c r="P94" s="107">
        <v>731.85</v>
      </c>
      <c r="Q94" s="107">
        <v>725.85</v>
      </c>
      <c r="R94">
        <v>893356</v>
      </c>
    </row>
    <row r="95" spans="1:18" x14ac:dyDescent="0.25">
      <c r="A95" s="149">
        <v>45974</v>
      </c>
      <c r="B95" s="107">
        <v>732.5</v>
      </c>
      <c r="C95" s="107">
        <v>731.85</v>
      </c>
      <c r="D95" s="107">
        <v>726.65</v>
      </c>
      <c r="E95" s="107">
        <v>726.65</v>
      </c>
      <c r="F95" s="107">
        <v>731.85</v>
      </c>
      <c r="G95">
        <v>42855</v>
      </c>
      <c r="H95" s="107"/>
      <c r="I95" s="107"/>
      <c r="L95" s="149">
        <v>45974</v>
      </c>
      <c r="M95" s="107">
        <v>731.95</v>
      </c>
      <c r="N95" s="107">
        <v>732.5</v>
      </c>
      <c r="O95" s="107">
        <v>727.2</v>
      </c>
      <c r="P95" s="107">
        <v>727.2</v>
      </c>
      <c r="Q95" s="107">
        <v>731.95</v>
      </c>
      <c r="R95">
        <v>522943</v>
      </c>
    </row>
    <row r="96" spans="1:18" x14ac:dyDescent="0.25">
      <c r="A96" s="149">
        <v>45975</v>
      </c>
      <c r="B96" s="107">
        <v>738.65</v>
      </c>
      <c r="C96" s="107">
        <v>730.6</v>
      </c>
      <c r="D96" s="107">
        <v>728</v>
      </c>
      <c r="E96" s="107">
        <v>728</v>
      </c>
      <c r="F96" s="107">
        <v>730.6</v>
      </c>
      <c r="G96">
        <v>20104</v>
      </c>
      <c r="H96" s="107"/>
      <c r="I96" s="107"/>
      <c r="L96" s="149">
        <v>45975</v>
      </c>
      <c r="M96" s="107">
        <v>731.05</v>
      </c>
      <c r="N96" s="107">
        <v>739</v>
      </c>
      <c r="O96" s="107">
        <v>726.2</v>
      </c>
      <c r="P96" s="107">
        <v>726.2</v>
      </c>
      <c r="Q96" s="107">
        <v>731.05</v>
      </c>
      <c r="R96">
        <v>345697</v>
      </c>
    </row>
    <row r="97" spans="1:18" x14ac:dyDescent="0.25">
      <c r="A97" s="149">
        <v>45978</v>
      </c>
      <c r="B97" s="107">
        <v>741.1</v>
      </c>
      <c r="C97" s="107">
        <v>740.1</v>
      </c>
      <c r="D97" s="107">
        <v>728.95</v>
      </c>
      <c r="E97" s="107">
        <v>730.7</v>
      </c>
      <c r="F97" s="107">
        <v>740.1</v>
      </c>
      <c r="G97">
        <v>33375</v>
      </c>
      <c r="H97" s="107"/>
      <c r="I97" s="107"/>
      <c r="L97" s="149">
        <v>45978</v>
      </c>
      <c r="M97" s="107">
        <v>740.05</v>
      </c>
      <c r="N97" s="107">
        <v>741.25</v>
      </c>
      <c r="O97" s="107">
        <v>728.2</v>
      </c>
      <c r="P97" s="107">
        <v>732</v>
      </c>
      <c r="Q97" s="107">
        <v>740.05</v>
      </c>
      <c r="R97">
        <v>1602525</v>
      </c>
    </row>
    <row r="98" spans="1:18" x14ac:dyDescent="0.25">
      <c r="A98" s="149">
        <v>45979</v>
      </c>
      <c r="B98" s="107">
        <v>755.7</v>
      </c>
      <c r="C98" s="107">
        <v>743.9</v>
      </c>
      <c r="D98" s="107">
        <v>735.05</v>
      </c>
      <c r="E98" s="107">
        <v>736.15</v>
      </c>
      <c r="F98" s="107">
        <v>743.9</v>
      </c>
      <c r="G98">
        <v>213730</v>
      </c>
      <c r="H98" s="107"/>
      <c r="I98" s="107"/>
      <c r="L98" s="149">
        <v>45979</v>
      </c>
      <c r="M98" s="107">
        <v>744.05</v>
      </c>
      <c r="N98" s="107">
        <v>755</v>
      </c>
      <c r="O98" s="107">
        <v>735.6</v>
      </c>
      <c r="P98" s="107">
        <v>740</v>
      </c>
      <c r="Q98" s="107">
        <v>744.05</v>
      </c>
      <c r="R98">
        <v>1190104</v>
      </c>
    </row>
    <row r="99" spans="1:18" x14ac:dyDescent="0.25">
      <c r="A99" s="149">
        <v>45980</v>
      </c>
      <c r="B99" s="107">
        <v>750.1</v>
      </c>
      <c r="C99" s="107">
        <v>742</v>
      </c>
      <c r="D99" s="107">
        <v>736.1</v>
      </c>
      <c r="E99" s="107">
        <v>742.45</v>
      </c>
      <c r="F99" s="107">
        <v>742</v>
      </c>
      <c r="G99">
        <v>64916</v>
      </c>
      <c r="H99" s="107"/>
      <c r="I99" s="107"/>
      <c r="L99" s="149">
        <v>45980</v>
      </c>
      <c r="M99" s="107">
        <v>741.95</v>
      </c>
      <c r="N99" s="107">
        <v>750.4</v>
      </c>
      <c r="O99" s="107">
        <v>737.35</v>
      </c>
      <c r="P99" s="107">
        <v>744</v>
      </c>
      <c r="Q99" s="107">
        <v>741.95</v>
      </c>
      <c r="R99">
        <v>504284</v>
      </c>
    </row>
    <row r="100" spans="1:18" x14ac:dyDescent="0.25">
      <c r="A100" s="149">
        <v>45981</v>
      </c>
      <c r="B100" s="107">
        <v>752.5</v>
      </c>
      <c r="C100" s="107">
        <v>743.3</v>
      </c>
      <c r="D100" s="107">
        <v>737.1</v>
      </c>
      <c r="E100" s="107">
        <v>742.5</v>
      </c>
      <c r="F100" s="107">
        <v>743.3</v>
      </c>
      <c r="G100">
        <v>55613</v>
      </c>
      <c r="H100" s="107"/>
      <c r="I100" s="107"/>
      <c r="L100" s="149">
        <v>45981</v>
      </c>
      <c r="M100" s="107">
        <v>743.9</v>
      </c>
      <c r="N100" s="107">
        <v>752.9</v>
      </c>
      <c r="O100" s="107">
        <v>737.2</v>
      </c>
      <c r="P100" s="107">
        <v>744.9</v>
      </c>
      <c r="Q100" s="107">
        <v>743.9</v>
      </c>
      <c r="R100">
        <v>764504</v>
      </c>
    </row>
    <row r="101" spans="1:18" x14ac:dyDescent="0.25">
      <c r="A101" s="149">
        <v>45982</v>
      </c>
      <c r="B101" s="107">
        <v>743</v>
      </c>
      <c r="C101" s="107">
        <v>737.75</v>
      </c>
      <c r="D101" s="107">
        <v>736</v>
      </c>
      <c r="E101" s="107">
        <v>738.25</v>
      </c>
      <c r="F101" s="107">
        <v>737.75</v>
      </c>
      <c r="G101">
        <v>18786</v>
      </c>
      <c r="H101" s="107"/>
      <c r="I101" s="107"/>
      <c r="L101" s="149">
        <v>45982</v>
      </c>
      <c r="M101" s="107">
        <v>737.65</v>
      </c>
      <c r="N101" s="107">
        <v>743.45</v>
      </c>
      <c r="O101" s="107">
        <v>735.7</v>
      </c>
      <c r="P101" s="107">
        <v>740</v>
      </c>
      <c r="Q101" s="107">
        <v>737.65</v>
      </c>
      <c r="R101">
        <v>355575</v>
      </c>
    </row>
    <row r="102" spans="1:18" x14ac:dyDescent="0.25">
      <c r="A102" s="149">
        <v>45985</v>
      </c>
      <c r="B102" s="107">
        <v>742.8</v>
      </c>
      <c r="C102" s="107">
        <v>741.45</v>
      </c>
      <c r="D102" s="107">
        <v>735.05</v>
      </c>
      <c r="E102" s="107">
        <v>736.4</v>
      </c>
      <c r="F102" s="107">
        <v>741.45</v>
      </c>
      <c r="G102">
        <v>72829</v>
      </c>
      <c r="H102" s="107"/>
      <c r="I102" s="107"/>
      <c r="L102" s="149">
        <v>45985</v>
      </c>
      <c r="M102" s="107">
        <v>741.45</v>
      </c>
      <c r="N102" s="107">
        <v>743</v>
      </c>
      <c r="O102" s="107">
        <v>735.55</v>
      </c>
      <c r="P102" s="107">
        <v>737.15</v>
      </c>
      <c r="Q102" s="107">
        <v>741.45</v>
      </c>
      <c r="R102">
        <v>784001</v>
      </c>
    </row>
    <row r="103" spans="1:18" x14ac:dyDescent="0.25">
      <c r="A103" s="149">
        <v>45986</v>
      </c>
      <c r="B103" s="107">
        <v>763.5</v>
      </c>
      <c r="C103" s="107">
        <v>755.6</v>
      </c>
      <c r="D103" s="107">
        <v>736.35</v>
      </c>
      <c r="E103" s="107">
        <v>736.35</v>
      </c>
      <c r="F103" s="107">
        <v>755.6</v>
      </c>
      <c r="G103">
        <v>230259</v>
      </c>
      <c r="H103" s="107"/>
      <c r="I103" s="107"/>
      <c r="L103" s="149">
        <v>45986</v>
      </c>
      <c r="M103" s="107">
        <v>755.6</v>
      </c>
      <c r="N103" s="107">
        <v>763.5</v>
      </c>
      <c r="O103" s="107">
        <v>738.5</v>
      </c>
      <c r="P103" s="107">
        <v>738.5</v>
      </c>
      <c r="Q103" s="107">
        <v>755.6</v>
      </c>
      <c r="R103">
        <v>2082534</v>
      </c>
    </row>
    <row r="104" spans="1:18" x14ac:dyDescent="0.25">
      <c r="A104" s="149">
        <v>45987</v>
      </c>
      <c r="B104" s="107">
        <v>765.95</v>
      </c>
      <c r="C104" s="107">
        <v>754.7</v>
      </c>
      <c r="D104" s="107">
        <v>751.4</v>
      </c>
      <c r="E104" s="107">
        <v>751.4</v>
      </c>
      <c r="F104" s="107">
        <v>754.7</v>
      </c>
      <c r="G104">
        <v>59622</v>
      </c>
      <c r="H104" s="107"/>
      <c r="I104" s="107"/>
      <c r="L104" s="149">
        <v>45987</v>
      </c>
      <c r="M104" s="107">
        <v>754.85</v>
      </c>
      <c r="N104" s="107">
        <v>766</v>
      </c>
      <c r="O104" s="107">
        <v>753.85</v>
      </c>
      <c r="P104" s="107">
        <v>757</v>
      </c>
      <c r="Q104" s="107">
        <v>754.85</v>
      </c>
      <c r="R104">
        <v>888544</v>
      </c>
    </row>
    <row r="105" spans="1:18" x14ac:dyDescent="0.25">
      <c r="A105" s="149">
        <v>45988</v>
      </c>
      <c r="B105" s="107">
        <v>764.3</v>
      </c>
      <c r="C105" s="107">
        <v>760.95</v>
      </c>
      <c r="D105" s="107">
        <v>751.1</v>
      </c>
      <c r="E105" s="107">
        <v>756.15</v>
      </c>
      <c r="F105" s="107">
        <v>760.95</v>
      </c>
      <c r="G105">
        <v>41168</v>
      </c>
      <c r="H105" s="107"/>
      <c r="I105" s="107"/>
      <c r="L105" s="149">
        <v>45988</v>
      </c>
      <c r="M105" s="107">
        <v>760.6</v>
      </c>
      <c r="N105" s="107">
        <v>764.5</v>
      </c>
      <c r="O105" s="107">
        <v>753.95</v>
      </c>
      <c r="P105" s="107">
        <v>757</v>
      </c>
      <c r="Q105" s="107">
        <v>760.6</v>
      </c>
      <c r="R105">
        <v>717751</v>
      </c>
    </row>
    <row r="106" spans="1:18" x14ac:dyDescent="0.25">
      <c r="A106" s="149">
        <v>45989</v>
      </c>
      <c r="B106" s="107">
        <v>778.5</v>
      </c>
      <c r="C106" s="107">
        <v>767.55</v>
      </c>
      <c r="D106" s="107">
        <v>755.4</v>
      </c>
      <c r="E106" s="107">
        <v>755.4</v>
      </c>
      <c r="F106" s="107">
        <v>767.55</v>
      </c>
      <c r="G106">
        <v>109071</v>
      </c>
      <c r="H106" s="107"/>
      <c r="I106" s="107"/>
      <c r="L106" s="149">
        <v>45989</v>
      </c>
      <c r="M106" s="107">
        <v>767.2</v>
      </c>
      <c r="N106" s="107">
        <v>778.5</v>
      </c>
      <c r="O106" s="107">
        <v>760.4</v>
      </c>
      <c r="P106" s="107">
        <v>760.6</v>
      </c>
      <c r="Q106" s="107">
        <v>767.2</v>
      </c>
      <c r="R106">
        <v>1497781</v>
      </c>
    </row>
    <row r="107" spans="1:18" x14ac:dyDescent="0.25">
      <c r="A107" s="149">
        <v>45992</v>
      </c>
      <c r="B107" s="107">
        <v>771</v>
      </c>
      <c r="C107" s="107">
        <v>761.25</v>
      </c>
      <c r="D107" s="107">
        <v>757.65</v>
      </c>
      <c r="E107" s="107">
        <v>768.25</v>
      </c>
      <c r="F107" s="107">
        <v>761.25</v>
      </c>
      <c r="G107">
        <v>42732</v>
      </c>
      <c r="H107" s="107"/>
      <c r="I107" s="107"/>
      <c r="L107" s="149">
        <v>45992</v>
      </c>
      <c r="M107" s="107">
        <v>760.85</v>
      </c>
      <c r="N107" s="107">
        <v>771.9</v>
      </c>
      <c r="O107" s="107">
        <v>757.8</v>
      </c>
      <c r="P107" s="107">
        <v>769.9</v>
      </c>
      <c r="Q107" s="107">
        <v>760.85</v>
      </c>
      <c r="R107">
        <v>544196</v>
      </c>
    </row>
    <row r="108" spans="1:18" x14ac:dyDescent="0.25">
      <c r="A108" s="149">
        <v>45993</v>
      </c>
      <c r="B108" s="107">
        <v>759</v>
      </c>
      <c r="C108" s="107">
        <v>744.25</v>
      </c>
      <c r="D108" s="107">
        <v>740.5</v>
      </c>
      <c r="E108" s="107">
        <v>751.3</v>
      </c>
      <c r="F108" s="107">
        <v>744.25</v>
      </c>
      <c r="G108">
        <v>51511</v>
      </c>
      <c r="H108" s="107"/>
      <c r="I108" s="107"/>
      <c r="L108" s="149">
        <v>45993</v>
      </c>
      <c r="M108" s="107">
        <v>744.25</v>
      </c>
      <c r="N108" s="107">
        <v>760.35</v>
      </c>
      <c r="O108" s="107">
        <v>741</v>
      </c>
      <c r="P108" s="107">
        <v>755.3</v>
      </c>
      <c r="Q108" s="107">
        <v>744.25</v>
      </c>
      <c r="R108">
        <v>524029</v>
      </c>
    </row>
    <row r="109" spans="1:18" x14ac:dyDescent="0.25">
      <c r="A109" s="149">
        <v>45994</v>
      </c>
      <c r="B109" s="107">
        <v>746.75</v>
      </c>
      <c r="C109" s="107">
        <v>736.5</v>
      </c>
      <c r="D109" s="107">
        <v>730.8</v>
      </c>
      <c r="E109" s="107">
        <v>745</v>
      </c>
      <c r="F109" s="107">
        <v>736.5</v>
      </c>
      <c r="G109">
        <v>53146</v>
      </c>
      <c r="H109" s="107"/>
      <c r="I109" s="107"/>
      <c r="L109" s="149">
        <v>45994</v>
      </c>
      <c r="M109" s="107">
        <v>736.85</v>
      </c>
      <c r="N109" s="107">
        <v>746.8</v>
      </c>
      <c r="O109" s="107">
        <v>730.8</v>
      </c>
      <c r="P109" s="107">
        <v>744.25</v>
      </c>
      <c r="Q109" s="107">
        <v>736.85</v>
      </c>
      <c r="R109">
        <v>938015</v>
      </c>
    </row>
    <row r="110" spans="1:18" x14ac:dyDescent="0.25">
      <c r="A110" s="149">
        <v>45995</v>
      </c>
      <c r="B110" s="107">
        <v>747.85</v>
      </c>
      <c r="C110" s="107">
        <v>746.1</v>
      </c>
      <c r="D110" s="107">
        <v>735</v>
      </c>
      <c r="E110" s="107">
        <v>735.75</v>
      </c>
      <c r="F110" s="107">
        <v>746.1</v>
      </c>
      <c r="G110">
        <v>14092</v>
      </c>
      <c r="H110" s="107"/>
      <c r="I110" s="107"/>
      <c r="L110" s="149">
        <v>45995</v>
      </c>
      <c r="M110" s="107">
        <v>746.5</v>
      </c>
      <c r="N110" s="107">
        <v>747.25</v>
      </c>
      <c r="O110" s="107">
        <v>734.45</v>
      </c>
      <c r="P110" s="107">
        <v>736.85</v>
      </c>
      <c r="Q110" s="107">
        <v>746.5</v>
      </c>
      <c r="R110">
        <v>660444</v>
      </c>
    </row>
    <row r="111" spans="1:18" x14ac:dyDescent="0.25">
      <c r="A111" s="149">
        <v>45996</v>
      </c>
      <c r="B111" s="107">
        <v>751.45</v>
      </c>
      <c r="C111" s="107">
        <v>748.6</v>
      </c>
      <c r="D111" s="107">
        <v>740.3</v>
      </c>
      <c r="E111" s="107">
        <v>742.35</v>
      </c>
      <c r="F111" s="107">
        <v>748.6</v>
      </c>
      <c r="G111">
        <v>12794</v>
      </c>
      <c r="H111" s="107"/>
      <c r="I111" s="107"/>
      <c r="L111" s="149">
        <v>45996</v>
      </c>
      <c r="M111" s="107">
        <v>749</v>
      </c>
      <c r="N111" s="107">
        <v>751.95</v>
      </c>
      <c r="O111" s="107">
        <v>741</v>
      </c>
      <c r="P111" s="107">
        <v>743</v>
      </c>
      <c r="Q111" s="107">
        <v>749</v>
      </c>
      <c r="R111">
        <v>445283</v>
      </c>
    </row>
    <row r="112" spans="1:18" x14ac:dyDescent="0.25">
      <c r="A112" s="149">
        <v>45999</v>
      </c>
      <c r="B112" s="107">
        <v>748.6</v>
      </c>
      <c r="C112" s="107">
        <v>743.4</v>
      </c>
      <c r="D112" s="107">
        <v>738</v>
      </c>
      <c r="E112" s="107">
        <v>748.6</v>
      </c>
      <c r="F112" s="107">
        <v>743.4</v>
      </c>
      <c r="G112">
        <v>42663</v>
      </c>
      <c r="H112" s="107"/>
      <c r="I112" s="107"/>
      <c r="L112" s="149">
        <v>45999</v>
      </c>
      <c r="M112" s="107">
        <v>743.45</v>
      </c>
      <c r="N112" s="107">
        <v>747.25</v>
      </c>
      <c r="O112" s="107">
        <v>737.9</v>
      </c>
      <c r="P112" s="107">
        <v>745</v>
      </c>
      <c r="Q112" s="107">
        <v>743.45</v>
      </c>
      <c r="R112">
        <v>734983</v>
      </c>
    </row>
    <row r="113" spans="1:18" x14ac:dyDescent="0.25">
      <c r="A113" s="149">
        <v>46000</v>
      </c>
      <c r="B113" s="107">
        <v>744.4</v>
      </c>
      <c r="C113" s="107">
        <v>741.3</v>
      </c>
      <c r="D113" s="107">
        <v>726.3</v>
      </c>
      <c r="E113" s="107">
        <v>735.55</v>
      </c>
      <c r="F113" s="107">
        <v>741.3</v>
      </c>
      <c r="G113">
        <v>19092</v>
      </c>
      <c r="H113" s="107"/>
      <c r="I113" s="107"/>
      <c r="L113" s="149">
        <v>46000</v>
      </c>
      <c r="M113" s="107">
        <v>740.7</v>
      </c>
      <c r="N113" s="107">
        <v>743.9</v>
      </c>
      <c r="O113" s="107">
        <v>725.65</v>
      </c>
      <c r="P113" s="107">
        <v>738.4</v>
      </c>
      <c r="Q113" s="107">
        <v>740.7</v>
      </c>
      <c r="R113">
        <v>528179</v>
      </c>
    </row>
    <row r="114" spans="1:18" x14ac:dyDescent="0.25">
      <c r="A114" s="149">
        <v>46001</v>
      </c>
      <c r="B114" s="107">
        <v>756.1</v>
      </c>
      <c r="C114" s="107">
        <v>752.25</v>
      </c>
      <c r="D114" s="107">
        <v>735.6</v>
      </c>
      <c r="E114" s="107">
        <v>735.6</v>
      </c>
      <c r="F114" s="107">
        <v>752.25</v>
      </c>
      <c r="G114">
        <v>61169</v>
      </c>
      <c r="H114" s="107"/>
      <c r="I114" s="107"/>
      <c r="L114" s="149">
        <v>46001</v>
      </c>
      <c r="M114" s="107">
        <v>752.5</v>
      </c>
      <c r="N114" s="107">
        <v>756.3</v>
      </c>
      <c r="O114" s="107">
        <v>741.25</v>
      </c>
      <c r="P114" s="107">
        <v>741.25</v>
      </c>
      <c r="Q114" s="107">
        <v>752.5</v>
      </c>
      <c r="R114">
        <v>695831</v>
      </c>
    </row>
    <row r="115" spans="1:18" x14ac:dyDescent="0.25">
      <c r="A115" s="149">
        <v>46002</v>
      </c>
      <c r="B115" s="107">
        <v>767.6</v>
      </c>
      <c r="C115" s="107">
        <v>766.2</v>
      </c>
      <c r="D115" s="107">
        <v>745.95</v>
      </c>
      <c r="E115" s="107">
        <v>747.5</v>
      </c>
      <c r="F115" s="107">
        <v>766.2</v>
      </c>
      <c r="G115">
        <v>33712</v>
      </c>
      <c r="H115" s="107"/>
      <c r="I115" s="107"/>
      <c r="L115" s="149">
        <v>46002</v>
      </c>
      <c r="M115" s="107">
        <v>766.45</v>
      </c>
      <c r="N115" s="107">
        <v>768</v>
      </c>
      <c r="O115" s="107">
        <v>745.45</v>
      </c>
      <c r="P115" s="107">
        <v>748.3</v>
      </c>
      <c r="Q115" s="107">
        <v>766.45</v>
      </c>
      <c r="R115">
        <v>831874</v>
      </c>
    </row>
    <row r="116" spans="1:18" x14ac:dyDescent="0.25">
      <c r="A116" s="149">
        <v>46003</v>
      </c>
      <c r="B116" s="107">
        <v>767</v>
      </c>
      <c r="C116" s="107">
        <v>765.35</v>
      </c>
      <c r="D116" s="107">
        <v>759.4</v>
      </c>
      <c r="E116" s="107">
        <v>762.65</v>
      </c>
      <c r="F116" s="107">
        <v>765.35</v>
      </c>
      <c r="G116">
        <v>16907</v>
      </c>
      <c r="H116" s="107"/>
      <c r="I116" s="107"/>
      <c r="L116" s="149">
        <v>46003</v>
      </c>
      <c r="M116" s="107">
        <v>765.75</v>
      </c>
      <c r="N116" s="107">
        <v>767.45</v>
      </c>
      <c r="O116" s="107">
        <v>759.9</v>
      </c>
      <c r="P116" s="107">
        <v>764.1</v>
      </c>
      <c r="Q116" s="107">
        <v>765.75</v>
      </c>
      <c r="R116">
        <v>537682</v>
      </c>
    </row>
    <row r="117" spans="1:18" x14ac:dyDescent="0.25">
      <c r="A117" s="149">
        <v>46006</v>
      </c>
      <c r="B117" s="107">
        <v>762.8</v>
      </c>
      <c r="C117" s="107">
        <v>756</v>
      </c>
      <c r="D117" s="107">
        <v>750.9</v>
      </c>
      <c r="E117" s="107">
        <v>757.15</v>
      </c>
      <c r="F117" s="107">
        <v>756</v>
      </c>
      <c r="G117">
        <v>12929</v>
      </c>
      <c r="H117" s="107"/>
      <c r="I117" s="107"/>
      <c r="L117" s="149">
        <v>46006</v>
      </c>
      <c r="M117" s="107">
        <v>756.6</v>
      </c>
      <c r="N117" s="107">
        <v>764.1</v>
      </c>
      <c r="O117" s="107">
        <v>751.1</v>
      </c>
      <c r="P117" s="107">
        <v>762.3</v>
      </c>
      <c r="Q117" s="107">
        <v>756.6</v>
      </c>
      <c r="R117">
        <v>329263</v>
      </c>
    </row>
    <row r="118" spans="1:18" x14ac:dyDescent="0.25">
      <c r="A118" s="149">
        <v>46007</v>
      </c>
      <c r="B118" s="107">
        <v>764.15</v>
      </c>
      <c r="C118" s="107">
        <v>753.1</v>
      </c>
      <c r="D118" s="107">
        <v>750</v>
      </c>
      <c r="E118" s="107">
        <v>755.05</v>
      </c>
      <c r="F118" s="107">
        <v>753.1</v>
      </c>
      <c r="G118">
        <v>15563</v>
      </c>
      <c r="H118" s="107"/>
      <c r="I118" s="107"/>
      <c r="L118" s="149">
        <v>46007</v>
      </c>
      <c r="M118" s="107">
        <v>754.6</v>
      </c>
      <c r="N118" s="107">
        <v>764.9</v>
      </c>
      <c r="O118" s="107">
        <v>750.35</v>
      </c>
      <c r="P118" s="107">
        <v>759.95</v>
      </c>
      <c r="Q118" s="107">
        <v>754.6</v>
      </c>
      <c r="R118">
        <v>412019</v>
      </c>
    </row>
    <row r="119" spans="1:18" x14ac:dyDescent="0.25">
      <c r="A119" s="149">
        <v>46008</v>
      </c>
      <c r="B119" s="107">
        <v>767</v>
      </c>
      <c r="C119" s="107">
        <v>759.3</v>
      </c>
      <c r="D119" s="107">
        <v>754.6</v>
      </c>
      <c r="E119" s="107">
        <v>755</v>
      </c>
      <c r="F119" s="107">
        <v>759.3</v>
      </c>
      <c r="G119">
        <v>17886</v>
      </c>
      <c r="H119" s="107"/>
      <c r="I119" s="107"/>
      <c r="L119" s="149">
        <v>46008</v>
      </c>
      <c r="M119" s="107">
        <v>759.65</v>
      </c>
      <c r="N119" s="107">
        <v>767.5</v>
      </c>
      <c r="O119" s="107">
        <v>753.8</v>
      </c>
      <c r="P119" s="107">
        <v>756</v>
      </c>
      <c r="Q119" s="107">
        <v>759.65</v>
      </c>
      <c r="R119">
        <v>521534</v>
      </c>
    </row>
    <row r="120" spans="1:18" x14ac:dyDescent="0.25">
      <c r="A120" s="149">
        <v>46009</v>
      </c>
      <c r="B120" s="107">
        <v>760</v>
      </c>
      <c r="C120" s="107">
        <v>747.25</v>
      </c>
      <c r="D120" s="107">
        <v>745.85</v>
      </c>
      <c r="E120" s="107">
        <v>756.55</v>
      </c>
      <c r="F120" s="107">
        <v>747.25</v>
      </c>
      <c r="G120">
        <v>16572</v>
      </c>
      <c r="H120" s="107"/>
      <c r="I120" s="107"/>
      <c r="L120" s="149">
        <v>46009</v>
      </c>
      <c r="M120" s="107">
        <v>747.75</v>
      </c>
      <c r="N120" s="107">
        <v>760.95</v>
      </c>
      <c r="O120" s="107">
        <v>746</v>
      </c>
      <c r="P120" s="107">
        <v>760</v>
      </c>
      <c r="Q120" s="107">
        <v>747.75</v>
      </c>
      <c r="R120">
        <v>203334</v>
      </c>
    </row>
    <row r="121" spans="1:18" x14ac:dyDescent="0.25">
      <c r="A121" s="149">
        <v>46010</v>
      </c>
      <c r="B121" s="107">
        <v>797</v>
      </c>
      <c r="C121" s="107">
        <v>774.5</v>
      </c>
      <c r="D121" s="107">
        <v>744.9</v>
      </c>
      <c r="E121" s="107">
        <v>744.9</v>
      </c>
      <c r="F121" s="107">
        <v>774.5</v>
      </c>
      <c r="G121">
        <v>101781</v>
      </c>
      <c r="H121" s="107"/>
      <c r="I121" s="107"/>
      <c r="L121" s="149">
        <v>46010</v>
      </c>
      <c r="M121" s="107">
        <v>772.85</v>
      </c>
      <c r="N121" s="107">
        <v>796.7</v>
      </c>
      <c r="O121" s="107">
        <v>746.15</v>
      </c>
      <c r="P121" s="107">
        <v>750</v>
      </c>
      <c r="Q121" s="107">
        <v>772.85</v>
      </c>
      <c r="R121">
        <v>10391489</v>
      </c>
    </row>
    <row r="122" spans="1:18" x14ac:dyDescent="0.25">
      <c r="A122" s="149">
        <v>46013</v>
      </c>
      <c r="B122" s="107">
        <v>782.05</v>
      </c>
      <c r="C122" s="107">
        <v>764.3</v>
      </c>
      <c r="D122" s="107">
        <v>761.25</v>
      </c>
      <c r="E122" s="107">
        <v>777.8</v>
      </c>
      <c r="F122" s="107">
        <v>764.3</v>
      </c>
      <c r="G122">
        <v>60177</v>
      </c>
      <c r="H122" s="107"/>
      <c r="I122" s="107"/>
      <c r="L122" s="149">
        <v>46013</v>
      </c>
      <c r="M122" s="107">
        <v>765.35</v>
      </c>
      <c r="N122" s="107">
        <v>781.05</v>
      </c>
      <c r="O122" s="107">
        <v>762</v>
      </c>
      <c r="P122" s="107">
        <v>780.1</v>
      </c>
      <c r="Q122" s="107">
        <v>765.35</v>
      </c>
      <c r="R122">
        <v>620973</v>
      </c>
    </row>
    <row r="123" spans="1:18" x14ac:dyDescent="0.25">
      <c r="A123" s="149">
        <v>46014</v>
      </c>
      <c r="B123" s="107">
        <v>764.45</v>
      </c>
      <c r="C123" s="107">
        <v>757.95</v>
      </c>
      <c r="D123" s="107">
        <v>756.8</v>
      </c>
      <c r="E123" s="107">
        <v>761.65</v>
      </c>
      <c r="F123" s="107">
        <v>757.95</v>
      </c>
      <c r="G123">
        <v>20894</v>
      </c>
      <c r="H123" s="107"/>
      <c r="I123" s="107"/>
      <c r="L123" s="149">
        <v>46014</v>
      </c>
      <c r="M123" s="107">
        <v>758.85</v>
      </c>
      <c r="N123" s="107">
        <v>764.6</v>
      </c>
      <c r="O123" s="107">
        <v>756.9</v>
      </c>
      <c r="P123" s="107">
        <v>762.5</v>
      </c>
      <c r="Q123" s="107">
        <v>758.85</v>
      </c>
      <c r="R123">
        <v>410925</v>
      </c>
    </row>
    <row r="124" spans="1:18" x14ac:dyDescent="0.25">
      <c r="A124" s="149">
        <v>46015</v>
      </c>
      <c r="B124" s="107">
        <v>761.2</v>
      </c>
      <c r="C124" s="107">
        <v>752.75</v>
      </c>
      <c r="D124" s="107">
        <v>750.4</v>
      </c>
      <c r="E124" s="107">
        <v>754.85</v>
      </c>
      <c r="F124" s="107">
        <v>752.75</v>
      </c>
      <c r="G124">
        <v>18638</v>
      </c>
      <c r="H124" s="107"/>
      <c r="I124" s="107"/>
      <c r="L124" s="149">
        <v>46015</v>
      </c>
      <c r="M124" s="107">
        <v>753.55</v>
      </c>
      <c r="N124" s="107">
        <v>761</v>
      </c>
      <c r="O124" s="107">
        <v>750.25</v>
      </c>
      <c r="P124" s="107">
        <v>758.85</v>
      </c>
      <c r="Q124" s="107">
        <v>753.55</v>
      </c>
      <c r="R124">
        <v>301424</v>
      </c>
    </row>
    <row r="125" spans="1:18" x14ac:dyDescent="0.25">
      <c r="A125" s="149">
        <v>46017</v>
      </c>
      <c r="B125" s="107">
        <v>761.15</v>
      </c>
      <c r="C125" s="107">
        <v>757.25</v>
      </c>
      <c r="D125" s="107">
        <v>745</v>
      </c>
      <c r="E125" s="107">
        <v>751.6</v>
      </c>
      <c r="F125" s="107">
        <v>757.25</v>
      </c>
      <c r="G125">
        <v>20385</v>
      </c>
      <c r="H125" s="107"/>
      <c r="I125" s="107"/>
      <c r="L125" s="149">
        <v>46017</v>
      </c>
      <c r="M125" s="107">
        <v>758.4</v>
      </c>
      <c r="N125" s="107">
        <v>762.45</v>
      </c>
      <c r="O125" s="107">
        <v>745.15</v>
      </c>
      <c r="P125" s="107">
        <v>753</v>
      </c>
      <c r="Q125" s="107">
        <v>758.4</v>
      </c>
      <c r="R125">
        <v>458276</v>
      </c>
    </row>
    <row r="126" spans="1:18" x14ac:dyDescent="0.25">
      <c r="A126" s="149">
        <v>46020</v>
      </c>
      <c r="B126" s="107">
        <v>762</v>
      </c>
      <c r="C126" s="107">
        <v>760.15</v>
      </c>
      <c r="D126" s="107">
        <v>753.65</v>
      </c>
      <c r="E126" s="107">
        <v>758.35</v>
      </c>
      <c r="F126" s="107">
        <v>760.15</v>
      </c>
      <c r="G126">
        <v>21338</v>
      </c>
      <c r="H126" s="107"/>
      <c r="I126" s="107"/>
      <c r="L126" s="149">
        <v>46020</v>
      </c>
      <c r="M126" s="107">
        <v>760.2</v>
      </c>
      <c r="N126" s="107">
        <v>762.5</v>
      </c>
      <c r="O126" s="107">
        <v>753.1</v>
      </c>
      <c r="P126" s="107">
        <v>758.4</v>
      </c>
      <c r="Q126" s="107">
        <v>760.2</v>
      </c>
      <c r="R126">
        <v>581614</v>
      </c>
    </row>
    <row r="127" spans="1:18" x14ac:dyDescent="0.25">
      <c r="A127" s="149">
        <v>46021</v>
      </c>
      <c r="B127" s="107">
        <v>759.8</v>
      </c>
      <c r="C127" s="107">
        <v>758.9</v>
      </c>
      <c r="D127" s="107">
        <v>752.8</v>
      </c>
      <c r="E127" s="107">
        <v>752.8</v>
      </c>
      <c r="F127" s="107">
        <v>758.9</v>
      </c>
      <c r="G127">
        <v>14696</v>
      </c>
      <c r="H127" s="107"/>
      <c r="I127" s="107"/>
      <c r="L127" s="149">
        <v>46021</v>
      </c>
      <c r="M127" s="107">
        <v>759.15</v>
      </c>
      <c r="N127" s="107">
        <v>760</v>
      </c>
      <c r="O127" s="107">
        <v>753</v>
      </c>
      <c r="P127" s="107">
        <v>756.4</v>
      </c>
      <c r="Q127" s="107">
        <v>759.15</v>
      </c>
      <c r="R127">
        <v>227378</v>
      </c>
    </row>
    <row r="128" spans="1:18" x14ac:dyDescent="0.25">
      <c r="A128" s="149">
        <v>46022</v>
      </c>
      <c r="B128" s="107">
        <v>767</v>
      </c>
      <c r="C128" s="107">
        <v>765.15</v>
      </c>
      <c r="D128" s="107">
        <v>758.2</v>
      </c>
      <c r="E128" s="107">
        <v>759.9</v>
      </c>
      <c r="F128" s="107">
        <v>765.15</v>
      </c>
      <c r="G128">
        <v>13482</v>
      </c>
      <c r="H128" s="107"/>
      <c r="I128" s="107"/>
      <c r="L128" s="149">
        <v>46022</v>
      </c>
      <c r="M128" s="107">
        <v>765.55</v>
      </c>
      <c r="N128" s="107">
        <v>767.35</v>
      </c>
      <c r="O128" s="107">
        <v>758.05</v>
      </c>
      <c r="P128" s="107">
        <v>764</v>
      </c>
      <c r="Q128" s="107">
        <v>765.55</v>
      </c>
      <c r="R128">
        <v>393366</v>
      </c>
    </row>
    <row r="129" spans="1:18" x14ac:dyDescent="0.25">
      <c r="A129" s="149">
        <v>46023</v>
      </c>
      <c r="B129" s="107">
        <v>767</v>
      </c>
      <c r="C129" s="107">
        <v>763.8</v>
      </c>
      <c r="D129" s="107">
        <v>759.7</v>
      </c>
      <c r="E129" s="107">
        <v>766</v>
      </c>
      <c r="F129" s="107">
        <v>763.8</v>
      </c>
      <c r="G129">
        <v>10982</v>
      </c>
      <c r="H129" s="107"/>
      <c r="I129" s="107"/>
      <c r="L129" s="149">
        <v>46023</v>
      </c>
      <c r="M129" s="107">
        <v>764.05</v>
      </c>
      <c r="N129" s="107">
        <v>766.4</v>
      </c>
      <c r="O129" s="107">
        <v>760.15</v>
      </c>
      <c r="P129" s="107">
        <v>766</v>
      </c>
      <c r="Q129" s="107">
        <v>764.05</v>
      </c>
      <c r="R129">
        <v>210702</v>
      </c>
    </row>
    <row r="130" spans="1:18" x14ac:dyDescent="0.25">
      <c r="A130" s="149">
        <v>46024</v>
      </c>
      <c r="B130" s="107">
        <v>771.2</v>
      </c>
      <c r="C130" s="107">
        <v>770.15</v>
      </c>
      <c r="D130" s="107">
        <v>756.45</v>
      </c>
      <c r="E130" s="107">
        <v>760</v>
      </c>
      <c r="F130" s="107">
        <v>770.15</v>
      </c>
      <c r="G130">
        <v>32235</v>
      </c>
      <c r="H130" s="107"/>
      <c r="I130" s="107"/>
      <c r="L130" s="149">
        <v>46024</v>
      </c>
      <c r="M130" s="107">
        <v>770.15</v>
      </c>
      <c r="N130" s="107">
        <v>771.5</v>
      </c>
      <c r="O130" s="107">
        <v>757.2</v>
      </c>
      <c r="P130" s="107">
        <v>760.1</v>
      </c>
      <c r="Q130" s="107">
        <v>770.15</v>
      </c>
      <c r="R130">
        <v>574854</v>
      </c>
    </row>
    <row r="131" spans="1:18" x14ac:dyDescent="0.25">
      <c r="A131" s="149">
        <v>46027</v>
      </c>
      <c r="B131" s="107">
        <v>771.55</v>
      </c>
      <c r="C131" s="107">
        <v>762.65</v>
      </c>
      <c r="D131" s="107">
        <v>755</v>
      </c>
      <c r="E131" s="107">
        <v>765.1</v>
      </c>
      <c r="F131" s="107">
        <v>762.65</v>
      </c>
      <c r="G131">
        <v>58783</v>
      </c>
      <c r="H131" s="107"/>
      <c r="I131" s="107"/>
      <c r="L131" s="149">
        <v>46027</v>
      </c>
      <c r="M131" s="107">
        <v>762.9</v>
      </c>
      <c r="N131" s="107">
        <v>771.75</v>
      </c>
      <c r="O131" s="107">
        <v>755.05</v>
      </c>
      <c r="P131" s="107">
        <v>768</v>
      </c>
      <c r="Q131" s="107">
        <v>762.9</v>
      </c>
      <c r="R131">
        <v>568962</v>
      </c>
    </row>
    <row r="132" spans="1:18" x14ac:dyDescent="0.25">
      <c r="A132" s="149">
        <v>46028</v>
      </c>
      <c r="B132" s="107">
        <v>771.4</v>
      </c>
      <c r="C132" s="107">
        <v>769.35</v>
      </c>
      <c r="D132" s="107">
        <v>756</v>
      </c>
      <c r="E132" s="107">
        <v>756.15</v>
      </c>
      <c r="F132" s="107">
        <v>769.35</v>
      </c>
      <c r="G132">
        <v>322160</v>
      </c>
      <c r="H132" s="107"/>
      <c r="I132" s="107"/>
      <c r="L132" s="149">
        <v>46028</v>
      </c>
      <c r="M132" s="107">
        <v>769.45</v>
      </c>
      <c r="N132" s="107">
        <v>771.5</v>
      </c>
      <c r="O132" s="107">
        <v>755.6</v>
      </c>
      <c r="P132" s="107">
        <v>757.05</v>
      </c>
      <c r="Q132" s="107">
        <v>769.45</v>
      </c>
      <c r="R132">
        <v>628065</v>
      </c>
    </row>
    <row r="133" spans="1:18" x14ac:dyDescent="0.25">
      <c r="A133" s="149">
        <v>46029</v>
      </c>
      <c r="B133" s="107">
        <v>767</v>
      </c>
      <c r="C133" s="107">
        <v>765.65</v>
      </c>
      <c r="D133" s="107">
        <v>759</v>
      </c>
      <c r="E133" s="107">
        <v>766.55</v>
      </c>
      <c r="F133" s="107">
        <v>765.65</v>
      </c>
      <c r="G133">
        <v>20850</v>
      </c>
      <c r="H133" s="107"/>
      <c r="I133" s="107"/>
      <c r="L133" s="149">
        <v>46029</v>
      </c>
      <c r="M133" s="107">
        <v>765.1</v>
      </c>
      <c r="N133" s="107">
        <v>769.25</v>
      </c>
      <c r="O133" s="107">
        <v>758.7</v>
      </c>
      <c r="P133" s="107">
        <v>769.25</v>
      </c>
      <c r="Q133" s="107">
        <v>765.1</v>
      </c>
      <c r="R133">
        <v>931699</v>
      </c>
    </row>
    <row r="134" spans="1:18" x14ac:dyDescent="0.25">
      <c r="A134" s="149">
        <v>46030</v>
      </c>
      <c r="B134" s="107">
        <v>765.5</v>
      </c>
      <c r="C134" s="107">
        <v>752.9</v>
      </c>
      <c r="D134" s="107">
        <v>752</v>
      </c>
      <c r="E134" s="107">
        <v>763.25</v>
      </c>
      <c r="F134" s="107">
        <v>752.9</v>
      </c>
      <c r="G134">
        <v>39687</v>
      </c>
      <c r="H134" s="107"/>
      <c r="I134" s="107"/>
      <c r="L134" s="149">
        <v>46030</v>
      </c>
      <c r="M134" s="107">
        <v>753.4</v>
      </c>
      <c r="N134" s="107">
        <v>765.5</v>
      </c>
      <c r="O134" s="107">
        <v>752</v>
      </c>
      <c r="P134" s="107">
        <v>765</v>
      </c>
      <c r="Q134" s="107">
        <v>753.4</v>
      </c>
      <c r="R134">
        <v>672639</v>
      </c>
    </row>
    <row r="135" spans="1:18" x14ac:dyDescent="0.25">
      <c r="A135" s="149">
        <v>46031</v>
      </c>
      <c r="B135" s="107">
        <v>756.95</v>
      </c>
      <c r="C135" s="107">
        <v>748</v>
      </c>
      <c r="D135" s="107">
        <v>745</v>
      </c>
      <c r="E135" s="107">
        <v>751.2</v>
      </c>
      <c r="F135" s="107">
        <v>748</v>
      </c>
      <c r="G135">
        <v>228390</v>
      </c>
      <c r="H135" s="107"/>
      <c r="I135" s="107"/>
      <c r="L135" s="149">
        <v>46031</v>
      </c>
      <c r="M135" s="107">
        <v>748.1</v>
      </c>
      <c r="N135" s="107">
        <v>756.5</v>
      </c>
      <c r="O135" s="107">
        <v>745.4</v>
      </c>
      <c r="P135" s="107">
        <v>753</v>
      </c>
      <c r="Q135" s="107">
        <v>748.1</v>
      </c>
      <c r="R135">
        <v>556725</v>
      </c>
    </row>
    <row r="136" spans="1:18" x14ac:dyDescent="0.25">
      <c r="A136" s="149">
        <v>46034</v>
      </c>
      <c r="B136" s="107">
        <v>770.05</v>
      </c>
      <c r="C136" s="107">
        <v>768.65</v>
      </c>
      <c r="D136" s="107">
        <v>737.25</v>
      </c>
      <c r="E136" s="107">
        <v>747.15</v>
      </c>
      <c r="F136" s="107">
        <v>768.65</v>
      </c>
      <c r="G136">
        <v>40519</v>
      </c>
      <c r="H136" s="107"/>
      <c r="I136" s="107"/>
      <c r="L136" s="149">
        <v>46034</v>
      </c>
      <c r="M136" s="107">
        <v>768.95</v>
      </c>
      <c r="N136" s="107">
        <v>770.9</v>
      </c>
      <c r="O136" s="107">
        <v>737.25</v>
      </c>
      <c r="P136" s="107">
        <v>747.9</v>
      </c>
      <c r="Q136" s="107">
        <v>768.95</v>
      </c>
      <c r="R136">
        <v>963488</v>
      </c>
    </row>
    <row r="137" spans="1:18" x14ac:dyDescent="0.25">
      <c r="A137" s="149">
        <v>46035</v>
      </c>
      <c r="B137" s="107">
        <v>771.7</v>
      </c>
      <c r="C137" s="107">
        <v>767.6</v>
      </c>
      <c r="D137" s="107">
        <v>763</v>
      </c>
      <c r="E137" s="107">
        <v>763</v>
      </c>
      <c r="F137" s="107">
        <v>767.6</v>
      </c>
      <c r="G137">
        <v>29518</v>
      </c>
      <c r="H137" s="107"/>
      <c r="I137" s="107"/>
      <c r="L137" s="149">
        <v>46035</v>
      </c>
      <c r="M137" s="107">
        <v>768</v>
      </c>
      <c r="N137" s="107">
        <v>771.95</v>
      </c>
      <c r="O137" s="107">
        <v>765.1</v>
      </c>
      <c r="P137" s="107">
        <v>766.25</v>
      </c>
      <c r="Q137" s="107">
        <v>768</v>
      </c>
      <c r="R137">
        <v>376220</v>
      </c>
    </row>
    <row r="138" spans="1:18" x14ac:dyDescent="0.25">
      <c r="A138" s="149">
        <v>46036</v>
      </c>
      <c r="B138" s="107">
        <v>768.8</v>
      </c>
      <c r="C138" s="107">
        <v>764.75</v>
      </c>
      <c r="D138" s="107">
        <v>757.1</v>
      </c>
      <c r="E138" s="107">
        <v>757.1</v>
      </c>
      <c r="F138" s="107">
        <v>764.75</v>
      </c>
      <c r="G138">
        <v>46418</v>
      </c>
      <c r="H138" s="107"/>
      <c r="I138" s="107"/>
      <c r="L138" s="149">
        <v>46036</v>
      </c>
      <c r="M138" s="107">
        <v>764</v>
      </c>
      <c r="N138" s="107">
        <v>768.95</v>
      </c>
      <c r="O138" s="107">
        <v>758.5</v>
      </c>
      <c r="P138" s="107">
        <v>762</v>
      </c>
      <c r="Q138" s="107">
        <v>764</v>
      </c>
      <c r="R138">
        <v>410771</v>
      </c>
    </row>
    <row r="139" spans="1:18" x14ac:dyDescent="0.25">
      <c r="A139" s="149">
        <v>46038</v>
      </c>
      <c r="B139" s="107">
        <v>788.8</v>
      </c>
      <c r="C139" s="107">
        <v>765.2</v>
      </c>
      <c r="D139" s="107">
        <v>760.85</v>
      </c>
      <c r="E139" s="107">
        <v>775.45</v>
      </c>
      <c r="F139" s="107">
        <v>765.2</v>
      </c>
      <c r="G139">
        <v>93660</v>
      </c>
      <c r="H139" s="107"/>
      <c r="I139" s="107"/>
      <c r="L139" s="149">
        <v>46038</v>
      </c>
      <c r="M139" s="107">
        <v>765.8</v>
      </c>
      <c r="N139" s="107">
        <v>788.95</v>
      </c>
      <c r="O139" s="107">
        <v>761.15</v>
      </c>
      <c r="P139" s="107">
        <v>778</v>
      </c>
      <c r="Q139" s="107">
        <v>765.8</v>
      </c>
      <c r="R139">
        <v>2125367</v>
      </c>
    </row>
    <row r="140" spans="1:18" x14ac:dyDescent="0.25">
      <c r="A140" s="149">
        <v>46041</v>
      </c>
      <c r="B140" s="107">
        <v>764.2</v>
      </c>
      <c r="C140" s="107">
        <v>754.9</v>
      </c>
      <c r="D140" s="107">
        <v>746.15</v>
      </c>
      <c r="E140" s="107">
        <v>746.15</v>
      </c>
      <c r="F140" s="107">
        <v>754.9</v>
      </c>
      <c r="G140">
        <v>44370</v>
      </c>
      <c r="H140" s="107"/>
      <c r="I140" s="107"/>
      <c r="L140" s="149">
        <v>46041</v>
      </c>
      <c r="M140" s="107">
        <v>754.65</v>
      </c>
      <c r="N140" s="107">
        <v>763.55</v>
      </c>
      <c r="O140" s="107">
        <v>747</v>
      </c>
      <c r="P140" s="107">
        <v>762.5</v>
      </c>
      <c r="Q140" s="107">
        <v>754.65</v>
      </c>
      <c r="R140">
        <v>509744</v>
      </c>
    </row>
    <row r="141" spans="1:18" x14ac:dyDescent="0.25">
      <c r="A141" s="149">
        <v>46042</v>
      </c>
      <c r="B141" s="107">
        <v>751.15</v>
      </c>
      <c r="C141" s="107">
        <v>733.15</v>
      </c>
      <c r="D141" s="107">
        <v>725</v>
      </c>
      <c r="E141" s="107">
        <v>750.25</v>
      </c>
      <c r="F141" s="107">
        <v>733.15</v>
      </c>
      <c r="G141">
        <v>105383</v>
      </c>
      <c r="H141" s="107"/>
      <c r="I141" s="107"/>
      <c r="L141" s="149">
        <v>46042</v>
      </c>
      <c r="M141" s="107">
        <v>731.95</v>
      </c>
      <c r="N141" s="107">
        <v>754</v>
      </c>
      <c r="O141" s="107">
        <v>728.15</v>
      </c>
      <c r="P141" s="107">
        <v>751.65</v>
      </c>
      <c r="Q141" s="107">
        <v>731.95</v>
      </c>
      <c r="R141">
        <v>808420</v>
      </c>
    </row>
    <row r="142" spans="1:18" x14ac:dyDescent="0.25">
      <c r="A142" s="149">
        <v>46043</v>
      </c>
      <c r="B142" s="107">
        <v>728.95</v>
      </c>
      <c r="C142" s="107">
        <v>712.2</v>
      </c>
      <c r="D142" s="107">
        <v>707</v>
      </c>
      <c r="E142" s="107">
        <v>723.15</v>
      </c>
      <c r="F142" s="107">
        <v>712.2</v>
      </c>
      <c r="G142">
        <v>93615</v>
      </c>
      <c r="H142" s="107"/>
      <c r="I142" s="107"/>
      <c r="L142" s="149">
        <v>46043</v>
      </c>
      <c r="M142" s="107">
        <v>712.4</v>
      </c>
      <c r="N142" s="107">
        <v>728.8</v>
      </c>
      <c r="O142" s="107">
        <v>706.65</v>
      </c>
      <c r="P142" s="107">
        <v>725</v>
      </c>
      <c r="Q142" s="107">
        <v>712.4</v>
      </c>
      <c r="R142">
        <v>1169438</v>
      </c>
    </row>
    <row r="143" spans="1:18" x14ac:dyDescent="0.25">
      <c r="A143" s="149">
        <v>46044</v>
      </c>
      <c r="B143" s="107">
        <v>724.65</v>
      </c>
      <c r="C143" s="107">
        <v>713.55</v>
      </c>
      <c r="D143" s="107">
        <v>711.25</v>
      </c>
      <c r="E143" s="107">
        <v>721.4</v>
      </c>
      <c r="F143" s="107">
        <v>713.55</v>
      </c>
      <c r="G143">
        <v>39069</v>
      </c>
      <c r="H143" s="107"/>
      <c r="I143" s="107"/>
      <c r="L143" s="149">
        <v>46044</v>
      </c>
      <c r="M143" s="107">
        <v>714.1</v>
      </c>
      <c r="N143" s="107">
        <v>724</v>
      </c>
      <c r="O143" s="107">
        <v>711.1</v>
      </c>
      <c r="P143" s="107">
        <v>724</v>
      </c>
      <c r="Q143" s="107">
        <v>714.1</v>
      </c>
      <c r="R143">
        <v>836085</v>
      </c>
    </row>
    <row r="144" spans="1:18" x14ac:dyDescent="0.25">
      <c r="A144" s="149">
        <v>46045</v>
      </c>
      <c r="B144" s="107">
        <v>715.1</v>
      </c>
      <c r="C144" s="107">
        <v>695.25</v>
      </c>
      <c r="D144" s="107">
        <v>693.85</v>
      </c>
      <c r="E144" s="107">
        <v>715.1</v>
      </c>
      <c r="F144" s="107">
        <v>695.25</v>
      </c>
      <c r="G144">
        <v>61974</v>
      </c>
      <c r="H144" s="107"/>
      <c r="I144" s="107"/>
      <c r="L144" s="149">
        <v>46045</v>
      </c>
      <c r="M144" s="107">
        <v>695.4</v>
      </c>
      <c r="N144" s="107">
        <v>718</v>
      </c>
      <c r="O144" s="107">
        <v>694</v>
      </c>
      <c r="P144" s="107">
        <v>717.9</v>
      </c>
      <c r="Q144" s="107">
        <v>695.4</v>
      </c>
      <c r="R144">
        <v>1115707</v>
      </c>
    </row>
    <row r="145" spans="1:18" x14ac:dyDescent="0.25">
      <c r="A145" s="149">
        <v>46049</v>
      </c>
      <c r="B145" s="107">
        <v>702.55</v>
      </c>
      <c r="C145" s="107">
        <v>699.6</v>
      </c>
      <c r="D145" s="107">
        <v>687.75</v>
      </c>
      <c r="E145" s="107">
        <v>697.7</v>
      </c>
      <c r="F145" s="107">
        <v>699.6</v>
      </c>
      <c r="G145">
        <v>35624</v>
      </c>
      <c r="H145" s="107"/>
      <c r="I145" s="107"/>
      <c r="L145" s="149">
        <v>46049</v>
      </c>
      <c r="M145" s="107">
        <v>699.8</v>
      </c>
      <c r="N145" s="107">
        <v>702.55</v>
      </c>
      <c r="O145" s="107">
        <v>687.3</v>
      </c>
      <c r="P145" s="107">
        <v>695.45</v>
      </c>
      <c r="Q145" s="107">
        <v>699.8</v>
      </c>
      <c r="R145">
        <v>722336</v>
      </c>
    </row>
    <row r="146" spans="1:18" x14ac:dyDescent="0.25">
      <c r="A146" s="149">
        <v>46050</v>
      </c>
      <c r="B146" s="107">
        <v>713.95</v>
      </c>
      <c r="C146" s="107">
        <v>711</v>
      </c>
      <c r="D146" s="107">
        <v>699</v>
      </c>
      <c r="E146" s="107">
        <v>699.6</v>
      </c>
      <c r="F146" s="107">
        <v>711</v>
      </c>
      <c r="G146">
        <v>32074</v>
      </c>
      <c r="H146" s="107"/>
      <c r="I146" s="107"/>
      <c r="L146" s="149">
        <v>46050</v>
      </c>
      <c r="M146" s="107">
        <v>710.55</v>
      </c>
      <c r="N146" s="107">
        <v>714</v>
      </c>
      <c r="O146" s="107">
        <v>699</v>
      </c>
      <c r="P146" s="107">
        <v>700</v>
      </c>
      <c r="Q146" s="107">
        <v>710.55</v>
      </c>
      <c r="R146">
        <v>1484152</v>
      </c>
    </row>
    <row r="147" spans="1:18" x14ac:dyDescent="0.25">
      <c r="A147" s="149">
        <v>46051</v>
      </c>
      <c r="B147" s="107">
        <v>717.55</v>
      </c>
      <c r="C147" s="107">
        <v>715.85</v>
      </c>
      <c r="D147" s="107">
        <v>701.05</v>
      </c>
      <c r="E147" s="107">
        <v>701.05</v>
      </c>
      <c r="F147" s="107">
        <v>715.85</v>
      </c>
      <c r="G147">
        <v>52493</v>
      </c>
      <c r="H147" s="107"/>
      <c r="I147" s="107"/>
      <c r="L147" s="149">
        <v>46051</v>
      </c>
      <c r="M147" s="107">
        <v>715.75</v>
      </c>
      <c r="N147" s="107">
        <v>717.95</v>
      </c>
      <c r="O147" s="107">
        <v>703</v>
      </c>
      <c r="P147" s="107">
        <v>703</v>
      </c>
      <c r="Q147" s="107">
        <v>715.75</v>
      </c>
      <c r="R147">
        <v>281090</v>
      </c>
    </row>
    <row r="148" spans="1:18" x14ac:dyDescent="0.25">
      <c r="A148" s="149">
        <v>46052</v>
      </c>
      <c r="B148" s="107">
        <v>714.05</v>
      </c>
      <c r="C148" s="107">
        <v>707.2</v>
      </c>
      <c r="D148" s="107">
        <v>704.05</v>
      </c>
      <c r="E148" s="107">
        <v>708.05</v>
      </c>
      <c r="F148" s="107">
        <v>707.2</v>
      </c>
      <c r="G148">
        <v>46893</v>
      </c>
      <c r="H148" s="107"/>
      <c r="I148" s="107"/>
      <c r="L148" s="149">
        <v>46052</v>
      </c>
      <c r="M148" s="107">
        <v>707.4</v>
      </c>
      <c r="N148" s="107">
        <v>714.8</v>
      </c>
      <c r="O148" s="107">
        <v>703.85</v>
      </c>
      <c r="P148" s="107">
        <v>710</v>
      </c>
      <c r="Q148" s="107">
        <v>707.4</v>
      </c>
      <c r="R148">
        <v>1120828</v>
      </c>
    </row>
    <row r="149" spans="1:18" x14ac:dyDescent="0.25">
      <c r="A149" s="149">
        <v>46054</v>
      </c>
      <c r="B149" s="107">
        <v>714.05</v>
      </c>
      <c r="C149" s="107">
        <v>710.75</v>
      </c>
      <c r="D149" s="107">
        <v>702</v>
      </c>
      <c r="E149" s="107">
        <v>707.1</v>
      </c>
      <c r="F149" s="107">
        <v>710.75</v>
      </c>
      <c r="G149">
        <v>19969</v>
      </c>
      <c r="H149" s="107"/>
      <c r="I149" s="107"/>
      <c r="L149" s="149">
        <v>46054</v>
      </c>
      <c r="M149" s="107">
        <v>710.8</v>
      </c>
      <c r="N149" s="107">
        <v>715.7</v>
      </c>
      <c r="O149" s="107">
        <v>702</v>
      </c>
      <c r="P149" s="107">
        <v>707.4</v>
      </c>
      <c r="Q149" s="107">
        <v>710.8</v>
      </c>
      <c r="R149">
        <v>382791</v>
      </c>
    </row>
    <row r="150" spans="1:18" x14ac:dyDescent="0.25">
      <c r="A150" s="149">
        <v>46055</v>
      </c>
      <c r="B150" s="107">
        <v>710.35</v>
      </c>
      <c r="C150" s="107">
        <v>704.8</v>
      </c>
      <c r="D150" s="107">
        <v>701</v>
      </c>
      <c r="E150" s="107">
        <v>704.8</v>
      </c>
      <c r="F150" s="107">
        <v>704.8</v>
      </c>
      <c r="G150">
        <v>31154</v>
      </c>
      <c r="H150" s="107"/>
      <c r="I150" s="107"/>
      <c r="L150" s="149">
        <v>46055</v>
      </c>
      <c r="M150" s="107">
        <v>704.75</v>
      </c>
      <c r="N150" s="107">
        <v>710</v>
      </c>
      <c r="O150" s="107">
        <v>700.4</v>
      </c>
      <c r="P150" s="107">
        <v>704</v>
      </c>
      <c r="Q150" s="107">
        <v>704.75</v>
      </c>
      <c r="R150">
        <v>673891</v>
      </c>
    </row>
    <row r="151" spans="1:18" x14ac:dyDescent="0.25">
      <c r="A151" s="149">
        <v>46056</v>
      </c>
      <c r="B151" s="107">
        <v>725.95</v>
      </c>
      <c r="C151" s="107">
        <v>715.3</v>
      </c>
      <c r="D151" s="107">
        <v>713</v>
      </c>
      <c r="E151" s="107">
        <v>720.25</v>
      </c>
      <c r="F151" s="107">
        <v>715.3</v>
      </c>
      <c r="G151">
        <v>86619</v>
      </c>
      <c r="H151" s="107"/>
      <c r="I151" s="107"/>
      <c r="L151" s="149">
        <v>46056</v>
      </c>
      <c r="M151" s="107">
        <v>715.15</v>
      </c>
      <c r="N151" s="107">
        <v>725.95</v>
      </c>
      <c r="O151" s="107">
        <v>712.35</v>
      </c>
      <c r="P151" s="107">
        <v>721</v>
      </c>
      <c r="Q151" s="107">
        <v>715.15</v>
      </c>
      <c r="R151">
        <v>2520380</v>
      </c>
    </row>
    <row r="152" spans="1:18" x14ac:dyDescent="0.25">
      <c r="A152" s="149">
        <v>46057</v>
      </c>
      <c r="B152" s="107">
        <v>718.25</v>
      </c>
      <c r="C152" s="107">
        <v>711.45</v>
      </c>
      <c r="D152" s="107">
        <v>706.85</v>
      </c>
      <c r="E152" s="107">
        <v>715</v>
      </c>
      <c r="F152" s="107">
        <v>711.45</v>
      </c>
      <c r="G152">
        <v>30595</v>
      </c>
      <c r="H152" s="107"/>
      <c r="I152" s="107"/>
      <c r="L152" s="149">
        <v>46057</v>
      </c>
      <c r="M152" s="107">
        <v>711.9</v>
      </c>
      <c r="N152" s="107">
        <v>717.95</v>
      </c>
      <c r="O152" s="107">
        <v>706.5</v>
      </c>
      <c r="P152" s="107">
        <v>715.2</v>
      </c>
      <c r="Q152" s="107">
        <v>711.9</v>
      </c>
      <c r="R152">
        <v>579621</v>
      </c>
    </row>
    <row r="153" spans="1:18" x14ac:dyDescent="0.25">
      <c r="A153" s="149">
        <v>46058</v>
      </c>
      <c r="B153" s="107">
        <v>711.9</v>
      </c>
      <c r="C153" s="107">
        <v>700.3</v>
      </c>
      <c r="D153" s="107">
        <v>698.35</v>
      </c>
      <c r="E153" s="107">
        <v>711.25</v>
      </c>
      <c r="F153" s="107">
        <v>700.3</v>
      </c>
      <c r="G153">
        <v>43785</v>
      </c>
      <c r="H153" s="107"/>
      <c r="I153" s="107"/>
      <c r="L153" s="149">
        <v>46058</v>
      </c>
      <c r="M153" s="107">
        <v>700.45</v>
      </c>
      <c r="N153" s="107">
        <v>713</v>
      </c>
      <c r="O153" s="107">
        <v>698.1</v>
      </c>
      <c r="P153" s="107">
        <v>712</v>
      </c>
      <c r="Q153" s="107">
        <v>700.45</v>
      </c>
      <c r="R153">
        <v>2787947</v>
      </c>
    </row>
    <row r="154" spans="1:18" x14ac:dyDescent="0.25">
      <c r="A154" s="149">
        <v>46059</v>
      </c>
      <c r="B154" s="107">
        <v>726.95</v>
      </c>
      <c r="C154" s="107">
        <v>723.1</v>
      </c>
      <c r="D154" s="107">
        <v>700.65</v>
      </c>
      <c r="E154" s="107">
        <v>700.65</v>
      </c>
      <c r="F154" s="107">
        <v>723.1</v>
      </c>
      <c r="G154">
        <v>34508</v>
      </c>
      <c r="H154" s="107"/>
      <c r="I154" s="107"/>
      <c r="L154" s="149">
        <v>46059</v>
      </c>
      <c r="M154" s="107">
        <v>722.8</v>
      </c>
      <c r="N154" s="107">
        <v>727</v>
      </c>
      <c r="O154" s="107">
        <v>700.55</v>
      </c>
      <c r="P154" s="107">
        <v>703.2</v>
      </c>
      <c r="Q154" s="107">
        <v>722.8</v>
      </c>
      <c r="R154">
        <v>2734423</v>
      </c>
    </row>
    <row r="155" spans="1:18" x14ac:dyDescent="0.25">
      <c r="A155" s="149">
        <v>46062</v>
      </c>
      <c r="B155" s="107">
        <v>731</v>
      </c>
      <c r="C155" s="107">
        <v>727</v>
      </c>
      <c r="D155" s="107">
        <v>716.1</v>
      </c>
      <c r="E155" s="107">
        <v>716.1</v>
      </c>
      <c r="F155" s="107">
        <v>727</v>
      </c>
      <c r="G155">
        <v>46833</v>
      </c>
      <c r="H155" s="107"/>
      <c r="I155" s="107"/>
      <c r="L155" s="149">
        <v>46062</v>
      </c>
      <c r="M155" s="107">
        <v>726.2</v>
      </c>
      <c r="N155" s="107">
        <v>731.4</v>
      </c>
      <c r="O155" s="107">
        <v>718.8</v>
      </c>
      <c r="P155" s="107">
        <v>720.15</v>
      </c>
      <c r="Q155" s="107">
        <v>726.2</v>
      </c>
      <c r="R155">
        <v>331901</v>
      </c>
    </row>
    <row r="156" spans="1:18" x14ac:dyDescent="0.25">
      <c r="A156" s="149">
        <v>46063</v>
      </c>
      <c r="B156" s="107">
        <v>729.65</v>
      </c>
      <c r="C156" s="107">
        <v>723.2</v>
      </c>
      <c r="D156" s="107">
        <v>718</v>
      </c>
      <c r="E156" s="107">
        <v>725.45</v>
      </c>
      <c r="F156" s="107">
        <v>723.2</v>
      </c>
      <c r="G156">
        <v>59657</v>
      </c>
      <c r="H156" s="107"/>
      <c r="I156" s="107"/>
      <c r="L156" s="149">
        <v>46063</v>
      </c>
      <c r="M156" s="107">
        <v>723.2</v>
      </c>
      <c r="N156" s="107">
        <v>729.65</v>
      </c>
      <c r="O156" s="107">
        <v>717.5</v>
      </c>
      <c r="P156" s="107">
        <v>729.65</v>
      </c>
      <c r="Q156" s="107">
        <v>723.2</v>
      </c>
      <c r="R156">
        <v>828972</v>
      </c>
    </row>
    <row r="157" spans="1:18" x14ac:dyDescent="0.25">
      <c r="A157" s="149">
        <v>46064</v>
      </c>
      <c r="B157" s="107">
        <v>724.25</v>
      </c>
      <c r="C157" s="107">
        <v>720.85</v>
      </c>
      <c r="D157" s="107">
        <v>717.25</v>
      </c>
      <c r="E157" s="107">
        <v>720.25</v>
      </c>
      <c r="F157" s="107">
        <v>720.85</v>
      </c>
      <c r="G157">
        <v>33758</v>
      </c>
      <c r="H157" s="107"/>
      <c r="I157" s="107"/>
      <c r="L157" s="149">
        <v>46064</v>
      </c>
      <c r="M157" s="107">
        <v>720.3</v>
      </c>
      <c r="N157" s="107">
        <v>724</v>
      </c>
      <c r="O157" s="107">
        <v>717</v>
      </c>
      <c r="P157" s="107">
        <v>721.4</v>
      </c>
      <c r="Q157" s="107">
        <v>720.3</v>
      </c>
      <c r="R157">
        <v>675452</v>
      </c>
    </row>
    <row r="158" spans="1:18" x14ac:dyDescent="0.25">
      <c r="A158" s="149">
        <v>46065</v>
      </c>
      <c r="B158" s="107">
        <v>720.85</v>
      </c>
      <c r="C158" s="107">
        <v>714.95</v>
      </c>
      <c r="D158" s="107">
        <v>710.3</v>
      </c>
      <c r="E158" s="107">
        <v>717.7</v>
      </c>
      <c r="F158" s="107">
        <v>714.95</v>
      </c>
      <c r="G158">
        <v>35821</v>
      </c>
      <c r="H158" s="107"/>
      <c r="I158" s="107"/>
      <c r="L158" s="149">
        <v>46065</v>
      </c>
      <c r="M158" s="107">
        <v>715</v>
      </c>
      <c r="N158" s="107">
        <v>720.45</v>
      </c>
      <c r="O158" s="107">
        <v>710</v>
      </c>
      <c r="P158" s="107">
        <v>720.3</v>
      </c>
      <c r="Q158" s="107">
        <v>715</v>
      </c>
      <c r="R158">
        <v>304845</v>
      </c>
    </row>
    <row r="159" spans="1:18" x14ac:dyDescent="0.25">
      <c r="A159" s="149">
        <v>46066</v>
      </c>
      <c r="B159" s="107">
        <v>717.85</v>
      </c>
      <c r="C159" s="107">
        <v>708</v>
      </c>
      <c r="D159" s="107">
        <v>704.8</v>
      </c>
      <c r="E159" s="107">
        <v>711.15</v>
      </c>
      <c r="F159" s="107">
        <v>708</v>
      </c>
      <c r="G159">
        <v>32846</v>
      </c>
      <c r="H159" s="107"/>
      <c r="I159" s="107"/>
      <c r="L159" s="149">
        <v>46066</v>
      </c>
      <c r="M159" s="107">
        <v>709.4</v>
      </c>
      <c r="N159" s="107">
        <v>717.5</v>
      </c>
      <c r="O159" s="107">
        <v>704.45</v>
      </c>
      <c r="P159" s="107">
        <v>714</v>
      </c>
      <c r="Q159" s="107">
        <v>709.4</v>
      </c>
      <c r="R159">
        <v>1059434</v>
      </c>
    </row>
    <row r="160" spans="1:18" x14ac:dyDescent="0.25">
      <c r="A160" s="149">
        <v>46069</v>
      </c>
      <c r="B160" s="107">
        <v>715</v>
      </c>
      <c r="C160" s="107">
        <v>711.9</v>
      </c>
      <c r="D160" s="107">
        <v>701.25</v>
      </c>
      <c r="E160" s="107">
        <v>708.7</v>
      </c>
      <c r="F160" s="107">
        <v>711.9</v>
      </c>
      <c r="G160">
        <v>25609</v>
      </c>
      <c r="H160" s="107"/>
      <c r="I160" s="107"/>
      <c r="L160" s="149">
        <v>46069</v>
      </c>
      <c r="M160" s="107">
        <v>711.7</v>
      </c>
      <c r="N160" s="107">
        <v>715.3</v>
      </c>
      <c r="O160" s="107">
        <v>701.5</v>
      </c>
      <c r="P160" s="107">
        <v>705.25</v>
      </c>
      <c r="Q160" s="107">
        <v>711.7</v>
      </c>
      <c r="R160">
        <v>632070</v>
      </c>
    </row>
    <row r="161" spans="1:18" x14ac:dyDescent="0.25">
      <c r="A161" s="149">
        <v>46070</v>
      </c>
      <c r="B161" s="107">
        <v>719.75</v>
      </c>
      <c r="C161" s="107">
        <v>717.9</v>
      </c>
      <c r="D161" s="107">
        <v>706.5</v>
      </c>
      <c r="E161" s="107">
        <v>706.5</v>
      </c>
      <c r="F161" s="107">
        <v>717.9</v>
      </c>
      <c r="G161">
        <v>281914</v>
      </c>
      <c r="H161" s="107"/>
      <c r="I161" s="107"/>
      <c r="L161" s="149">
        <v>46070</v>
      </c>
      <c r="M161" s="107">
        <v>718.15</v>
      </c>
      <c r="N161" s="107">
        <v>720.15</v>
      </c>
      <c r="O161" s="107">
        <v>707.3</v>
      </c>
      <c r="P161" s="107">
        <v>710</v>
      </c>
      <c r="Q161" s="107">
        <v>718.15</v>
      </c>
      <c r="R161">
        <v>1181541</v>
      </c>
    </row>
    <row r="162" spans="1:18" x14ac:dyDescent="0.25">
      <c r="A162" s="149">
        <v>46071</v>
      </c>
      <c r="B162" s="107">
        <v>726.45</v>
      </c>
      <c r="C162" s="107">
        <v>723.8</v>
      </c>
      <c r="D162" s="107">
        <v>717.05</v>
      </c>
      <c r="E162" s="107">
        <v>717.05</v>
      </c>
      <c r="F162" s="107">
        <v>723.8</v>
      </c>
      <c r="G162">
        <v>26744</v>
      </c>
      <c r="H162" s="107"/>
      <c r="I162" s="107"/>
      <c r="L162" s="149">
        <v>46071</v>
      </c>
      <c r="M162" s="107">
        <v>723.95</v>
      </c>
      <c r="N162" s="107">
        <v>726.4</v>
      </c>
      <c r="O162" s="107">
        <v>718</v>
      </c>
      <c r="P162" s="107">
        <v>718.95</v>
      </c>
      <c r="Q162" s="107">
        <v>723.95</v>
      </c>
      <c r="R162">
        <v>243633</v>
      </c>
    </row>
    <row r="163" spans="1:18" x14ac:dyDescent="0.25">
      <c r="A163" s="149">
        <v>46072</v>
      </c>
      <c r="B163" s="107">
        <v>727.95</v>
      </c>
      <c r="C163" s="107">
        <v>724.4</v>
      </c>
      <c r="D163" s="107">
        <v>718.65</v>
      </c>
      <c r="E163" s="107">
        <v>718.65</v>
      </c>
      <c r="F163" s="107">
        <v>724.4</v>
      </c>
      <c r="G163">
        <v>14007</v>
      </c>
      <c r="H163" s="107"/>
      <c r="I163" s="107"/>
      <c r="L163" s="149">
        <v>46072</v>
      </c>
      <c r="M163" s="107">
        <v>724.95</v>
      </c>
      <c r="N163" s="107">
        <v>728</v>
      </c>
      <c r="O163" s="107">
        <v>720.15</v>
      </c>
      <c r="P163" s="107">
        <v>721.05</v>
      </c>
      <c r="Q163" s="107">
        <v>724.95</v>
      </c>
      <c r="R163">
        <v>559766</v>
      </c>
    </row>
    <row r="164" spans="1:18" x14ac:dyDescent="0.25">
      <c r="A164" s="149">
        <v>46073</v>
      </c>
      <c r="B164" s="107">
        <v>731</v>
      </c>
      <c r="C164" s="107">
        <v>719.15</v>
      </c>
      <c r="D164" s="107">
        <v>712.85</v>
      </c>
      <c r="E164" s="107">
        <v>712.85</v>
      </c>
      <c r="F164" s="107">
        <v>719.15</v>
      </c>
      <c r="G164">
        <v>16852</v>
      </c>
      <c r="H164" s="107"/>
      <c r="I164" s="107"/>
      <c r="L164" s="149">
        <v>46073</v>
      </c>
      <c r="M164" s="107">
        <v>719.35</v>
      </c>
      <c r="N164" s="107">
        <v>731.3</v>
      </c>
      <c r="O164" s="107">
        <v>716</v>
      </c>
      <c r="P164" s="107">
        <v>722.85</v>
      </c>
      <c r="Q164" s="107">
        <v>719.35</v>
      </c>
      <c r="R164">
        <v>218448</v>
      </c>
    </row>
    <row r="165" spans="1:18" x14ac:dyDescent="0.25">
      <c r="A165" s="149">
        <v>46076</v>
      </c>
      <c r="B165" s="107">
        <v>728</v>
      </c>
      <c r="C165" s="107">
        <v>719.4</v>
      </c>
      <c r="D165" s="107">
        <v>713.55</v>
      </c>
      <c r="E165" s="107">
        <v>713.55</v>
      </c>
      <c r="F165" s="107">
        <v>719.4</v>
      </c>
      <c r="G165">
        <v>16709</v>
      </c>
      <c r="H165" s="107"/>
      <c r="I165" s="107"/>
      <c r="L165" s="149">
        <v>46076</v>
      </c>
      <c r="M165" s="107">
        <v>719.3</v>
      </c>
      <c r="N165" s="107">
        <v>728</v>
      </c>
      <c r="O165" s="107">
        <v>717.25</v>
      </c>
      <c r="P165" s="107">
        <v>719.9</v>
      </c>
      <c r="Q165" s="107">
        <v>719.3</v>
      </c>
      <c r="R165">
        <v>322283</v>
      </c>
    </row>
    <row r="166" spans="1:18" x14ac:dyDescent="0.25">
      <c r="A166" s="149">
        <v>46077</v>
      </c>
      <c r="B166" s="107">
        <v>724</v>
      </c>
      <c r="C166" s="107">
        <v>716</v>
      </c>
      <c r="D166" s="107">
        <v>711.5</v>
      </c>
      <c r="E166" s="107">
        <v>711.5</v>
      </c>
      <c r="F166" s="107">
        <v>716</v>
      </c>
      <c r="G166">
        <v>30895</v>
      </c>
      <c r="H166" s="107"/>
      <c r="I166" s="107"/>
      <c r="L166" s="149">
        <v>46077</v>
      </c>
      <c r="M166" s="107">
        <v>717</v>
      </c>
      <c r="N166" s="107">
        <v>723.95</v>
      </c>
      <c r="O166" s="107">
        <v>712.75</v>
      </c>
      <c r="P166" s="107">
        <v>715</v>
      </c>
      <c r="Q166" s="107">
        <v>717</v>
      </c>
      <c r="R166">
        <v>198056</v>
      </c>
    </row>
    <row r="167" spans="1:18" x14ac:dyDescent="0.25">
      <c r="A167" s="149">
        <v>46078</v>
      </c>
      <c r="B167" s="107">
        <v>726.45</v>
      </c>
      <c r="C167" s="107">
        <v>725.35</v>
      </c>
      <c r="D167" s="107">
        <v>715.85</v>
      </c>
      <c r="E167" s="107">
        <v>715.85</v>
      </c>
      <c r="F167" s="107">
        <v>725.35</v>
      </c>
      <c r="G167">
        <v>14485</v>
      </c>
      <c r="H167" s="107"/>
      <c r="I167" s="107"/>
      <c r="L167" s="149">
        <v>46078</v>
      </c>
      <c r="M167" s="107">
        <v>725.45</v>
      </c>
      <c r="N167" s="107">
        <v>726.7</v>
      </c>
      <c r="O167" s="107">
        <v>716.8</v>
      </c>
      <c r="P167" s="107">
        <v>716.8</v>
      </c>
      <c r="Q167" s="107">
        <v>725.45</v>
      </c>
      <c r="R167">
        <v>302501</v>
      </c>
    </row>
    <row r="168" spans="1:18" x14ac:dyDescent="0.25">
      <c r="A168" s="149">
        <v>46079</v>
      </c>
      <c r="B168" s="107">
        <v>727.85</v>
      </c>
      <c r="C168" s="107">
        <v>713.2</v>
      </c>
      <c r="D168" s="107">
        <v>710</v>
      </c>
      <c r="E168" s="107">
        <v>727.85</v>
      </c>
      <c r="F168" s="107">
        <v>713.2</v>
      </c>
      <c r="G168">
        <v>12344</v>
      </c>
      <c r="H168" s="107"/>
      <c r="I168" s="107"/>
      <c r="L168" s="149">
        <v>46079</v>
      </c>
      <c r="M168" s="107">
        <v>713.6</v>
      </c>
      <c r="N168" s="107">
        <v>725.8</v>
      </c>
      <c r="O168" s="107">
        <v>712</v>
      </c>
      <c r="P168" s="107">
        <v>723</v>
      </c>
      <c r="Q168" s="107">
        <v>713.6</v>
      </c>
      <c r="R168">
        <v>180498</v>
      </c>
    </row>
    <row r="169" spans="1:18" x14ac:dyDescent="0.25">
      <c r="A169" s="149">
        <v>46080</v>
      </c>
      <c r="B169" s="107">
        <v>718.15</v>
      </c>
      <c r="C169" s="107">
        <v>705.7</v>
      </c>
      <c r="D169" s="107">
        <v>702.9</v>
      </c>
      <c r="E169" s="107">
        <v>709.95</v>
      </c>
      <c r="F169" s="107">
        <v>705.7</v>
      </c>
      <c r="G169">
        <v>22692</v>
      </c>
      <c r="H169" s="107"/>
      <c r="I169" s="107"/>
      <c r="L169" s="149">
        <v>46080</v>
      </c>
      <c r="M169" s="107">
        <v>705.25</v>
      </c>
      <c r="N169" s="107">
        <v>719.05</v>
      </c>
      <c r="O169" s="107">
        <v>702.35</v>
      </c>
      <c r="P169" s="107">
        <v>713.6</v>
      </c>
      <c r="Q169" s="107">
        <v>705.25</v>
      </c>
      <c r="R169">
        <v>826068</v>
      </c>
    </row>
    <row r="170" spans="1:18" x14ac:dyDescent="0.25">
      <c r="A170" s="149">
        <v>46083</v>
      </c>
      <c r="B170" s="107">
        <v>703.05</v>
      </c>
      <c r="C170" s="107">
        <v>700.35</v>
      </c>
      <c r="D170" s="107">
        <v>655.65</v>
      </c>
      <c r="E170" s="107">
        <v>655.65</v>
      </c>
      <c r="F170" s="107">
        <v>700.35</v>
      </c>
      <c r="G170">
        <v>72454</v>
      </c>
      <c r="H170" s="107"/>
      <c r="I170" s="107"/>
      <c r="L170" s="149">
        <v>46083</v>
      </c>
      <c r="M170" s="107">
        <v>700.15</v>
      </c>
      <c r="N170" s="107">
        <v>703.4</v>
      </c>
      <c r="O170" s="107">
        <v>685</v>
      </c>
      <c r="P170" s="107">
        <v>685.05</v>
      </c>
      <c r="Q170" s="107">
        <v>700.15</v>
      </c>
      <c r="R170">
        <v>574929</v>
      </c>
    </row>
    <row r="171" spans="1:18" x14ac:dyDescent="0.25">
      <c r="A171" s="149">
        <v>46085</v>
      </c>
      <c r="B171" s="107">
        <v>690.45</v>
      </c>
      <c r="C171" s="107">
        <v>679.2</v>
      </c>
      <c r="D171" s="107">
        <v>673.9</v>
      </c>
      <c r="E171" s="107">
        <v>687.1</v>
      </c>
      <c r="F171" s="107">
        <v>679.2</v>
      </c>
      <c r="G171">
        <v>77581</v>
      </c>
      <c r="H171" s="107"/>
      <c r="I171" s="107"/>
      <c r="L171" s="149">
        <v>46085</v>
      </c>
      <c r="M171" s="107">
        <v>678.95</v>
      </c>
      <c r="N171" s="107">
        <v>691</v>
      </c>
      <c r="O171" s="107">
        <v>673.5</v>
      </c>
      <c r="P171" s="107">
        <v>690.15</v>
      </c>
      <c r="Q171" s="107">
        <v>678.95</v>
      </c>
      <c r="R171">
        <v>1009955</v>
      </c>
    </row>
    <row r="172" spans="1:18" x14ac:dyDescent="0.25">
      <c r="A172" s="149">
        <v>46086</v>
      </c>
      <c r="B172" s="107">
        <v>692.8</v>
      </c>
      <c r="C172" s="107">
        <v>683.25</v>
      </c>
      <c r="D172" s="107">
        <v>674.15</v>
      </c>
      <c r="E172" s="107">
        <v>679.2</v>
      </c>
      <c r="F172" s="107">
        <v>683.25</v>
      </c>
      <c r="G172">
        <v>44885</v>
      </c>
      <c r="H172" s="107"/>
      <c r="I172" s="107"/>
      <c r="L172" s="149">
        <v>46086</v>
      </c>
      <c r="M172" s="107">
        <v>682.75</v>
      </c>
      <c r="N172" s="107">
        <v>692.55</v>
      </c>
      <c r="O172" s="107">
        <v>674</v>
      </c>
      <c r="P172" s="107">
        <v>682</v>
      </c>
      <c r="Q172" s="107">
        <v>682.75</v>
      </c>
      <c r="R172">
        <v>1407443</v>
      </c>
    </row>
    <row r="173" spans="1:18" x14ac:dyDescent="0.25">
      <c r="A173" s="149">
        <v>46087</v>
      </c>
      <c r="B173" s="107">
        <v>683.3</v>
      </c>
      <c r="C173" s="107">
        <v>670.95</v>
      </c>
      <c r="D173" s="107">
        <v>669.1</v>
      </c>
      <c r="E173" s="107">
        <v>683.3</v>
      </c>
      <c r="F173" s="107">
        <v>670.95</v>
      </c>
      <c r="G173">
        <v>1492841</v>
      </c>
      <c r="H173" s="107"/>
      <c r="I173" s="107"/>
      <c r="L173" s="149">
        <v>46087</v>
      </c>
      <c r="M173" s="107">
        <v>670.9</v>
      </c>
      <c r="N173" s="107">
        <v>683.85</v>
      </c>
      <c r="O173" s="107">
        <v>669.05</v>
      </c>
      <c r="P173" s="107">
        <v>682.8</v>
      </c>
      <c r="Q173" s="107">
        <v>670.9</v>
      </c>
      <c r="R173">
        <v>1454268</v>
      </c>
    </row>
    <row r="174" spans="1:18" x14ac:dyDescent="0.25">
      <c r="A174" s="149">
        <v>46090</v>
      </c>
      <c r="B174" s="107">
        <v>664.95</v>
      </c>
      <c r="C174" s="107">
        <v>651.54999999999995</v>
      </c>
      <c r="D174" s="107">
        <v>642.04999999999995</v>
      </c>
      <c r="E174" s="107">
        <v>661.1</v>
      </c>
      <c r="F174" s="107">
        <v>651.54999999999995</v>
      </c>
      <c r="G174">
        <v>77171</v>
      </c>
      <c r="H174" s="107"/>
      <c r="I174" s="107"/>
      <c r="L174" s="149">
        <v>46090</v>
      </c>
      <c r="M174" s="107">
        <v>651.5</v>
      </c>
      <c r="N174" s="107">
        <v>663.95</v>
      </c>
      <c r="O174" s="107">
        <v>642</v>
      </c>
      <c r="P174" s="107">
        <v>660</v>
      </c>
      <c r="Q174" s="107">
        <v>651.5</v>
      </c>
      <c r="R174">
        <v>958349</v>
      </c>
    </row>
    <row r="175" spans="1:18" x14ac:dyDescent="0.25">
      <c r="A175" s="149">
        <v>46091</v>
      </c>
      <c r="B175" s="107">
        <v>667.95</v>
      </c>
      <c r="C175" s="107">
        <v>663.85</v>
      </c>
      <c r="D175" s="107">
        <v>648.5</v>
      </c>
      <c r="E175" s="107">
        <v>656.15</v>
      </c>
      <c r="F175" s="107">
        <v>663.85</v>
      </c>
      <c r="G175">
        <v>58850</v>
      </c>
      <c r="H175" s="107"/>
      <c r="I175" s="107"/>
      <c r="L175" s="149">
        <v>46091</v>
      </c>
      <c r="M175" s="107">
        <v>662.65</v>
      </c>
      <c r="N175" s="107">
        <v>667.95</v>
      </c>
      <c r="O175" s="107">
        <v>648.1</v>
      </c>
      <c r="P175" s="107">
        <v>661</v>
      </c>
      <c r="Q175" s="107">
        <v>662.65</v>
      </c>
      <c r="R175">
        <v>1222487</v>
      </c>
    </row>
    <row r="176" spans="1:18" x14ac:dyDescent="0.25">
      <c r="A176" s="149">
        <v>46092</v>
      </c>
      <c r="B176" s="107">
        <v>666.85</v>
      </c>
      <c r="C176" s="107">
        <v>656</v>
      </c>
      <c r="D176" s="107">
        <v>653.20000000000005</v>
      </c>
      <c r="E176" s="107">
        <v>664.2</v>
      </c>
      <c r="F176" s="107">
        <v>656</v>
      </c>
      <c r="G176">
        <v>76302</v>
      </c>
      <c r="H176" s="107"/>
      <c r="I176" s="107"/>
      <c r="L176" s="149">
        <v>46092</v>
      </c>
      <c r="M176" s="107">
        <v>656.55</v>
      </c>
      <c r="N176" s="107">
        <v>666.9</v>
      </c>
      <c r="O176" s="107">
        <v>653.25</v>
      </c>
      <c r="P176" s="107">
        <v>665.9</v>
      </c>
      <c r="Q176" s="107">
        <v>656.55</v>
      </c>
      <c r="R176">
        <v>703244</v>
      </c>
    </row>
    <row r="177" spans="1:18" x14ac:dyDescent="0.25">
      <c r="A177" s="149">
        <v>46093</v>
      </c>
      <c r="B177" s="107">
        <v>653.6</v>
      </c>
      <c r="C177" s="107">
        <v>650.1</v>
      </c>
      <c r="D177" s="107">
        <v>640.4</v>
      </c>
      <c r="E177" s="107">
        <v>652.5</v>
      </c>
      <c r="F177" s="107">
        <v>650.1</v>
      </c>
      <c r="G177">
        <v>48401</v>
      </c>
      <c r="H177" s="107"/>
      <c r="I177" s="107"/>
      <c r="L177" s="149">
        <v>46093</v>
      </c>
      <c r="M177" s="107">
        <v>650.1</v>
      </c>
      <c r="N177" s="107">
        <v>653.45000000000005</v>
      </c>
      <c r="O177" s="107">
        <v>640.29999999999995</v>
      </c>
      <c r="P177" s="107">
        <v>653</v>
      </c>
      <c r="Q177" s="107">
        <v>650.1</v>
      </c>
      <c r="R177">
        <v>743456</v>
      </c>
    </row>
    <row r="178" spans="1:18" x14ac:dyDescent="0.25">
      <c r="A178" s="149">
        <v>46094</v>
      </c>
      <c r="B178" s="107">
        <v>652.85</v>
      </c>
      <c r="C178" s="107">
        <v>642.25</v>
      </c>
      <c r="D178" s="107">
        <v>640.70000000000005</v>
      </c>
      <c r="E178" s="107">
        <v>645</v>
      </c>
      <c r="F178" s="107">
        <v>642.25</v>
      </c>
      <c r="G178">
        <v>39783</v>
      </c>
      <c r="H178" s="107"/>
      <c r="I178" s="107"/>
      <c r="L178" s="149">
        <v>46094</v>
      </c>
      <c r="M178" s="107">
        <v>642.54999999999995</v>
      </c>
      <c r="N178" s="107">
        <v>652.79999999999995</v>
      </c>
      <c r="O178" s="107">
        <v>641</v>
      </c>
      <c r="P178" s="107">
        <v>645</v>
      </c>
      <c r="Q178" s="107">
        <v>642.54999999999995</v>
      </c>
      <c r="R178">
        <v>612371</v>
      </c>
    </row>
    <row r="179" spans="1:18" x14ac:dyDescent="0.25">
      <c r="A179" s="149">
        <v>46097</v>
      </c>
      <c r="B179" s="107">
        <v>643.25</v>
      </c>
      <c r="C179" s="107">
        <v>642.20000000000005</v>
      </c>
      <c r="D179" s="107">
        <v>633.15</v>
      </c>
      <c r="E179" s="107">
        <v>642.25</v>
      </c>
      <c r="F179" s="107">
        <v>642.20000000000005</v>
      </c>
      <c r="G179">
        <v>61415</v>
      </c>
      <c r="H179" s="107"/>
      <c r="I179" s="107"/>
      <c r="L179" s="149">
        <v>46097</v>
      </c>
      <c r="M179" s="107">
        <v>642.15</v>
      </c>
      <c r="N179" s="107">
        <v>643.79999999999995</v>
      </c>
      <c r="O179" s="107">
        <v>633</v>
      </c>
      <c r="P179" s="107">
        <v>641.04999999999995</v>
      </c>
      <c r="Q179" s="107">
        <v>642.15</v>
      </c>
      <c r="R179">
        <v>512795</v>
      </c>
    </row>
    <row r="180" spans="1:18" x14ac:dyDescent="0.25">
      <c r="A180" s="149">
        <v>46098</v>
      </c>
      <c r="B180" s="107">
        <v>645.25</v>
      </c>
      <c r="C180" s="107">
        <v>644.45000000000005</v>
      </c>
      <c r="D180" s="107">
        <v>640</v>
      </c>
      <c r="E180" s="107">
        <v>642.25</v>
      </c>
      <c r="F180" s="107">
        <v>644.45000000000005</v>
      </c>
      <c r="G180">
        <v>58084</v>
      </c>
      <c r="H180" s="107"/>
      <c r="I180" s="107"/>
      <c r="L180" s="149">
        <v>46098</v>
      </c>
      <c r="M180" s="107">
        <v>644.5</v>
      </c>
      <c r="N180" s="107">
        <v>645.4</v>
      </c>
      <c r="O180" s="107">
        <v>640.04999999999995</v>
      </c>
      <c r="P180" s="107">
        <v>643</v>
      </c>
      <c r="Q180" s="107">
        <v>644.5</v>
      </c>
      <c r="R180">
        <v>988109</v>
      </c>
    </row>
    <row r="181" spans="1:18" x14ac:dyDescent="0.25">
      <c r="A181" s="149">
        <v>46099</v>
      </c>
      <c r="B181" s="107">
        <v>658</v>
      </c>
      <c r="C181" s="107">
        <v>655.45</v>
      </c>
      <c r="D181" s="107">
        <v>648</v>
      </c>
      <c r="E181" s="107">
        <v>648</v>
      </c>
      <c r="F181" s="107">
        <v>655.45</v>
      </c>
      <c r="G181">
        <v>55588</v>
      </c>
      <c r="H181" s="107"/>
      <c r="I181" s="107"/>
      <c r="L181" s="149">
        <v>46099</v>
      </c>
      <c r="M181" s="107">
        <v>655.15</v>
      </c>
      <c r="N181" s="107">
        <v>658.4</v>
      </c>
      <c r="O181" s="107">
        <v>648.15</v>
      </c>
      <c r="P181" s="107">
        <v>648.15</v>
      </c>
      <c r="Q181" s="107">
        <v>655.15</v>
      </c>
      <c r="R181">
        <v>834339</v>
      </c>
    </row>
    <row r="182" spans="1:18" x14ac:dyDescent="0.25">
      <c r="A182" s="149">
        <v>46100</v>
      </c>
      <c r="B182" s="107">
        <v>650.85</v>
      </c>
      <c r="C182" s="107">
        <v>634.20000000000005</v>
      </c>
      <c r="D182" s="107">
        <v>630</v>
      </c>
      <c r="E182" s="107">
        <v>641.9</v>
      </c>
      <c r="F182" s="107">
        <v>634.20000000000005</v>
      </c>
      <c r="G182">
        <v>73883</v>
      </c>
      <c r="H182" s="107"/>
      <c r="I182" s="107"/>
      <c r="L182" s="149">
        <v>46100</v>
      </c>
      <c r="M182" s="107">
        <v>634.45000000000005</v>
      </c>
      <c r="N182" s="107">
        <v>650.95000000000005</v>
      </c>
      <c r="O182" s="107">
        <v>629.5</v>
      </c>
      <c r="P182" s="107">
        <v>640</v>
      </c>
      <c r="Q182" s="107">
        <v>634.45000000000005</v>
      </c>
      <c r="R182">
        <v>851446</v>
      </c>
    </row>
    <row r="183" spans="1:18" x14ac:dyDescent="0.25">
      <c r="A183" s="149">
        <v>46101</v>
      </c>
      <c r="B183" s="107">
        <v>641.85</v>
      </c>
      <c r="C183" s="107">
        <v>634.1</v>
      </c>
      <c r="D183" s="107">
        <v>630.70000000000005</v>
      </c>
      <c r="E183" s="107">
        <v>635</v>
      </c>
      <c r="F183" s="107">
        <v>634.1</v>
      </c>
      <c r="G183">
        <v>47933</v>
      </c>
      <c r="H183" s="107"/>
      <c r="I183" s="107"/>
      <c r="L183" s="149">
        <v>46101</v>
      </c>
      <c r="M183" s="107">
        <v>634.9</v>
      </c>
      <c r="N183" s="107">
        <v>641.95000000000005</v>
      </c>
      <c r="O183" s="107">
        <v>630.70000000000005</v>
      </c>
      <c r="P183" s="107">
        <v>635.20000000000005</v>
      </c>
      <c r="Q183" s="107">
        <v>634.9</v>
      </c>
      <c r="R183">
        <v>1428720</v>
      </c>
    </row>
    <row r="184" spans="1:18" x14ac:dyDescent="0.25">
      <c r="A184" s="149">
        <v>46104</v>
      </c>
      <c r="B184" s="107">
        <v>628.79999999999995</v>
      </c>
      <c r="C184" s="107">
        <v>606.1</v>
      </c>
      <c r="D184" s="107">
        <v>600.6</v>
      </c>
      <c r="E184" s="107">
        <v>628.79999999999995</v>
      </c>
      <c r="F184" s="107">
        <v>606.1</v>
      </c>
      <c r="G184">
        <v>96429</v>
      </c>
      <c r="H184" s="107"/>
      <c r="I184" s="107"/>
      <c r="L184" s="149">
        <v>46104</v>
      </c>
      <c r="M184" s="107">
        <v>606.5</v>
      </c>
      <c r="N184" s="107">
        <v>629</v>
      </c>
      <c r="O184" s="107">
        <v>600.54999999999995</v>
      </c>
      <c r="P184" s="107">
        <v>627</v>
      </c>
      <c r="Q184" s="107">
        <v>606.5</v>
      </c>
      <c r="R184">
        <v>1380857</v>
      </c>
    </row>
    <row r="185" spans="1:18" x14ac:dyDescent="0.25">
      <c r="A185" s="149">
        <v>46105</v>
      </c>
      <c r="B185" s="107">
        <v>619.1</v>
      </c>
      <c r="C185" s="107">
        <v>605.5</v>
      </c>
      <c r="D185" s="107">
        <v>590.29999999999995</v>
      </c>
      <c r="E185" s="107">
        <v>619.1</v>
      </c>
      <c r="F185" s="107">
        <v>605.5</v>
      </c>
      <c r="G185">
        <v>102710</v>
      </c>
      <c r="H185" s="107"/>
      <c r="I185" s="107"/>
      <c r="L185" s="149">
        <v>46105</v>
      </c>
      <c r="M185" s="107">
        <v>605.45000000000005</v>
      </c>
      <c r="N185" s="107">
        <v>614.85</v>
      </c>
      <c r="O185" s="107">
        <v>590.20000000000005</v>
      </c>
      <c r="P185" s="107">
        <v>614.85</v>
      </c>
      <c r="Q185" s="107">
        <v>605.45000000000005</v>
      </c>
      <c r="R185">
        <v>1861784</v>
      </c>
    </row>
    <row r="186" spans="1:18" x14ac:dyDescent="0.25">
      <c r="A186" s="149">
        <v>46106</v>
      </c>
      <c r="B186" s="107">
        <v>619.9</v>
      </c>
      <c r="C186" s="107">
        <v>611.65</v>
      </c>
      <c r="D186" s="107">
        <v>604.5</v>
      </c>
      <c r="E186" s="107">
        <v>606</v>
      </c>
      <c r="F186" s="107">
        <v>611.65</v>
      </c>
      <c r="G186">
        <v>1737356</v>
      </c>
      <c r="H186" s="107"/>
      <c r="I186" s="107"/>
      <c r="L186" s="149">
        <v>46106</v>
      </c>
      <c r="M186" s="107">
        <v>611.85</v>
      </c>
      <c r="N186" s="107">
        <v>619.9</v>
      </c>
      <c r="O186" s="107">
        <v>604.5</v>
      </c>
      <c r="P186" s="107">
        <v>606</v>
      </c>
      <c r="Q186" s="107">
        <v>611.85</v>
      </c>
      <c r="R186">
        <v>1359269</v>
      </c>
    </row>
    <row r="187" spans="1:18" x14ac:dyDescent="0.25">
      <c r="A187" s="149">
        <v>46108</v>
      </c>
      <c r="B187" s="107">
        <v>608.4</v>
      </c>
      <c r="C187" s="107">
        <v>590.6</v>
      </c>
      <c r="D187" s="107">
        <v>585</v>
      </c>
      <c r="E187" s="107">
        <v>608.4</v>
      </c>
      <c r="F187" s="107">
        <v>590.6</v>
      </c>
      <c r="G187">
        <v>219347</v>
      </c>
      <c r="H187" s="107"/>
      <c r="I187" s="107"/>
      <c r="L187" s="149">
        <v>46108</v>
      </c>
      <c r="M187" s="107">
        <v>590.1</v>
      </c>
      <c r="N187" s="107">
        <v>607.1</v>
      </c>
      <c r="O187" s="107">
        <v>585</v>
      </c>
      <c r="P187" s="107">
        <v>605</v>
      </c>
      <c r="Q187" s="107">
        <v>590.1</v>
      </c>
      <c r="R187">
        <v>3962226</v>
      </c>
    </row>
    <row r="188" spans="1:18" x14ac:dyDescent="0.25">
      <c r="A188" s="149">
        <v>46111</v>
      </c>
      <c r="B188" s="107">
        <v>585</v>
      </c>
      <c r="C188" s="107">
        <v>560.04999999999995</v>
      </c>
      <c r="D188" s="107">
        <v>557</v>
      </c>
      <c r="E188" s="107">
        <v>581.20000000000005</v>
      </c>
      <c r="F188" s="107">
        <v>560.04999999999995</v>
      </c>
      <c r="G188">
        <v>281091</v>
      </c>
      <c r="H188" s="107"/>
      <c r="I188" s="107"/>
      <c r="L188" s="149">
        <v>46111</v>
      </c>
      <c r="M188" s="107">
        <v>559.95000000000005</v>
      </c>
      <c r="N188" s="107">
        <v>584</v>
      </c>
      <c r="O188" s="107">
        <v>555.29999999999995</v>
      </c>
      <c r="P188" s="107">
        <v>584</v>
      </c>
      <c r="Q188" s="107">
        <v>559.95000000000005</v>
      </c>
      <c r="R188">
        <v>1810631</v>
      </c>
    </row>
    <row r="189" spans="1:18" x14ac:dyDescent="0.25">
      <c r="A189" s="149">
        <v>46113</v>
      </c>
      <c r="B189" s="107">
        <v>579.9</v>
      </c>
      <c r="C189" s="107">
        <v>576.75</v>
      </c>
      <c r="D189" s="107">
        <v>568.54999999999995</v>
      </c>
      <c r="E189" s="107">
        <v>568.54999999999995</v>
      </c>
      <c r="F189" s="107">
        <v>576.75</v>
      </c>
      <c r="G189">
        <v>77436</v>
      </c>
      <c r="H189" s="107"/>
      <c r="I189" s="107"/>
      <c r="L189" s="149">
        <v>46113</v>
      </c>
      <c r="M189" s="107">
        <v>576.65</v>
      </c>
      <c r="N189" s="107">
        <v>580</v>
      </c>
      <c r="O189" s="107">
        <v>570.1</v>
      </c>
      <c r="P189" s="107">
        <v>574</v>
      </c>
      <c r="Q189" s="107">
        <v>576.65</v>
      </c>
      <c r="R189">
        <v>887958</v>
      </c>
    </row>
    <row r="190" spans="1:18" x14ac:dyDescent="0.25">
      <c r="A190" s="149">
        <v>46114</v>
      </c>
      <c r="B190" s="107">
        <v>580.75</v>
      </c>
      <c r="C190" s="107">
        <v>578.6</v>
      </c>
      <c r="D190" s="107">
        <v>560</v>
      </c>
      <c r="E190" s="107">
        <v>573.85</v>
      </c>
      <c r="F190" s="107">
        <v>578.6</v>
      </c>
      <c r="G190">
        <v>32029</v>
      </c>
      <c r="H190" s="107"/>
      <c r="I190" s="107"/>
      <c r="L190" s="149">
        <v>46114</v>
      </c>
      <c r="M190" s="107">
        <v>578.54999999999995</v>
      </c>
      <c r="N190" s="107">
        <v>580.95000000000005</v>
      </c>
      <c r="O190" s="107">
        <v>560.04999999999995</v>
      </c>
      <c r="P190" s="107">
        <v>571.6</v>
      </c>
      <c r="Q190" s="107">
        <v>578.54999999999995</v>
      </c>
      <c r="R190">
        <v>245518</v>
      </c>
    </row>
    <row r="191" spans="1:18" x14ac:dyDescent="0.25">
      <c r="A191" s="149">
        <v>46118</v>
      </c>
      <c r="B191" s="107">
        <v>590.54999999999995</v>
      </c>
      <c r="C191" s="107">
        <v>587.95000000000005</v>
      </c>
      <c r="D191" s="107">
        <v>567</v>
      </c>
      <c r="E191" s="107">
        <v>577.95000000000005</v>
      </c>
      <c r="F191" s="107">
        <v>587.95000000000005</v>
      </c>
      <c r="G191">
        <v>43086</v>
      </c>
      <c r="H191" s="107"/>
      <c r="I191" s="107"/>
      <c r="L191" s="149">
        <v>46118</v>
      </c>
      <c r="M191" s="107">
        <v>588.45000000000005</v>
      </c>
      <c r="N191" s="107">
        <v>590.5</v>
      </c>
      <c r="O191" s="107">
        <v>566.85</v>
      </c>
      <c r="P191" s="107">
        <v>577.25</v>
      </c>
      <c r="Q191" s="107">
        <v>588.45000000000005</v>
      </c>
      <c r="R191">
        <v>533784</v>
      </c>
    </row>
    <row r="192" spans="1:18" x14ac:dyDescent="0.25">
      <c r="A192" s="149">
        <v>46119</v>
      </c>
      <c r="B192" s="107">
        <v>590.35</v>
      </c>
      <c r="C192" s="107">
        <v>582.9</v>
      </c>
      <c r="D192" s="107">
        <v>575.70000000000005</v>
      </c>
      <c r="E192" s="107">
        <v>585.35</v>
      </c>
      <c r="F192" s="107">
        <v>582.9</v>
      </c>
      <c r="G192">
        <v>17293</v>
      </c>
      <c r="H192" s="107"/>
      <c r="I192" s="107"/>
      <c r="L192" s="149">
        <v>46119</v>
      </c>
      <c r="M192" s="107">
        <v>582.25</v>
      </c>
      <c r="N192" s="107">
        <v>590.35</v>
      </c>
      <c r="O192" s="107">
        <v>575.75</v>
      </c>
      <c r="P192" s="107">
        <v>588.95000000000005</v>
      </c>
      <c r="Q192" s="107">
        <v>582.25</v>
      </c>
      <c r="R192">
        <v>859984</v>
      </c>
    </row>
    <row r="193" spans="1:18" x14ac:dyDescent="0.25">
      <c r="A193" s="149">
        <v>46120</v>
      </c>
      <c r="B193" s="107">
        <v>630</v>
      </c>
      <c r="C193" s="107">
        <v>625.79999999999995</v>
      </c>
      <c r="D193" s="107">
        <v>599.54999999999995</v>
      </c>
      <c r="E193" s="107">
        <v>607.75</v>
      </c>
      <c r="F193" s="107">
        <v>625.79999999999995</v>
      </c>
      <c r="G193">
        <v>54594</v>
      </c>
      <c r="H193" s="107"/>
      <c r="I193" s="107"/>
      <c r="L193" s="149">
        <v>46120</v>
      </c>
      <c r="M193" s="107">
        <v>625.9</v>
      </c>
      <c r="N193" s="107">
        <v>638.25</v>
      </c>
      <c r="O193" s="107">
        <v>600</v>
      </c>
      <c r="P193" s="107">
        <v>605.04999999999995</v>
      </c>
      <c r="Q193" s="107">
        <v>625.9</v>
      </c>
      <c r="R193">
        <v>1407755</v>
      </c>
    </row>
    <row r="194" spans="1:18" x14ac:dyDescent="0.25">
      <c r="A194" s="149">
        <v>46121</v>
      </c>
      <c r="B194" s="107">
        <v>632.70000000000005</v>
      </c>
      <c r="C194" s="107">
        <v>618.79999999999995</v>
      </c>
      <c r="D194" s="107">
        <v>613.1</v>
      </c>
      <c r="E194" s="107">
        <v>632.70000000000005</v>
      </c>
      <c r="F194" s="107">
        <v>618.79999999999995</v>
      </c>
      <c r="G194">
        <v>27609</v>
      </c>
      <c r="H194" s="107"/>
      <c r="I194" s="107"/>
      <c r="L194" s="149">
        <v>46121</v>
      </c>
      <c r="M194" s="107">
        <v>619.1</v>
      </c>
      <c r="N194" s="107">
        <v>628.29999999999995</v>
      </c>
      <c r="O194" s="107">
        <v>613</v>
      </c>
      <c r="P194" s="107">
        <v>625.9</v>
      </c>
      <c r="Q194" s="107">
        <v>619.1</v>
      </c>
      <c r="R194">
        <v>1086729</v>
      </c>
    </row>
    <row r="195" spans="1:18" x14ac:dyDescent="0.25">
      <c r="A195" s="149">
        <v>46122</v>
      </c>
      <c r="B195" s="107">
        <v>631.45000000000005</v>
      </c>
      <c r="C195" s="107">
        <v>625.25</v>
      </c>
      <c r="D195" s="107">
        <v>620.85</v>
      </c>
      <c r="E195" s="107">
        <v>626.95000000000005</v>
      </c>
      <c r="F195" s="107">
        <v>625.25</v>
      </c>
      <c r="G195">
        <v>14388</v>
      </c>
      <c r="H195" s="107"/>
      <c r="I195" s="107"/>
      <c r="L195" s="149">
        <v>46122</v>
      </c>
      <c r="M195" s="107">
        <v>625.25</v>
      </c>
      <c r="N195" s="107">
        <v>632.20000000000005</v>
      </c>
      <c r="O195" s="107">
        <v>621.70000000000005</v>
      </c>
      <c r="P195" s="107">
        <v>625</v>
      </c>
      <c r="Q195" s="107">
        <v>625.25</v>
      </c>
      <c r="R195">
        <v>309469</v>
      </c>
    </row>
    <row r="196" spans="1:18" x14ac:dyDescent="0.25">
      <c r="A196" s="149">
        <v>46125</v>
      </c>
      <c r="B196" s="107">
        <v>619.9</v>
      </c>
      <c r="C196" s="107">
        <v>615.20000000000005</v>
      </c>
      <c r="D196" s="107">
        <v>606</v>
      </c>
      <c r="E196" s="107">
        <v>619.9</v>
      </c>
      <c r="F196" s="107">
        <v>615.20000000000005</v>
      </c>
      <c r="G196">
        <v>32710</v>
      </c>
      <c r="H196" s="107"/>
      <c r="I196" s="107"/>
      <c r="L196" s="149">
        <v>46125</v>
      </c>
      <c r="M196" s="107">
        <v>614.79999999999995</v>
      </c>
      <c r="N196" s="107">
        <v>619</v>
      </c>
      <c r="O196" s="107">
        <v>606.04999999999995</v>
      </c>
      <c r="P196" s="107">
        <v>617.95000000000005</v>
      </c>
      <c r="Q196" s="107">
        <v>614.79999999999995</v>
      </c>
      <c r="R196">
        <v>475188</v>
      </c>
    </row>
    <row r="197" spans="1:18" x14ac:dyDescent="0.25">
      <c r="A197" s="149">
        <v>46127</v>
      </c>
      <c r="B197" s="107">
        <v>654</v>
      </c>
      <c r="C197" s="107">
        <v>644.20000000000005</v>
      </c>
      <c r="D197" s="107">
        <v>628</v>
      </c>
      <c r="E197" s="107">
        <v>628.1</v>
      </c>
      <c r="F197" s="107">
        <v>644.20000000000005</v>
      </c>
      <c r="G197">
        <v>51324</v>
      </c>
      <c r="H197" s="107"/>
      <c r="I197" s="107"/>
      <c r="L197" s="149">
        <v>46127</v>
      </c>
      <c r="M197" s="107">
        <v>644.29999999999995</v>
      </c>
      <c r="N197" s="107">
        <v>650</v>
      </c>
      <c r="O197" s="107">
        <v>627.15</v>
      </c>
      <c r="P197" s="107">
        <v>631</v>
      </c>
      <c r="Q197" s="107">
        <v>644.29999999999995</v>
      </c>
      <c r="R197">
        <v>568299</v>
      </c>
    </row>
    <row r="198" spans="1:18" x14ac:dyDescent="0.25">
      <c r="A198" s="149">
        <v>46128</v>
      </c>
      <c r="B198" s="107">
        <v>724</v>
      </c>
      <c r="C198" s="107">
        <v>686.3</v>
      </c>
      <c r="D198" s="107">
        <v>683.45</v>
      </c>
      <c r="E198" s="107">
        <v>723.6</v>
      </c>
      <c r="F198" s="107">
        <v>686.3</v>
      </c>
      <c r="G198">
        <v>695396</v>
      </c>
      <c r="H198" s="107"/>
      <c r="I198" s="107"/>
      <c r="L198" s="149">
        <v>46128</v>
      </c>
      <c r="M198" s="107">
        <v>686</v>
      </c>
      <c r="N198" s="107">
        <v>723.95</v>
      </c>
      <c r="O198" s="107">
        <v>683</v>
      </c>
      <c r="P198" s="107">
        <v>720</v>
      </c>
      <c r="Q198" s="107">
        <v>686</v>
      </c>
      <c r="R198">
        <v>12462293</v>
      </c>
    </row>
    <row r="199" spans="1:18" x14ac:dyDescent="0.25">
      <c r="A199" s="149">
        <v>46129</v>
      </c>
      <c r="B199" s="107">
        <v>690.75</v>
      </c>
      <c r="C199" s="107">
        <v>681.1</v>
      </c>
      <c r="D199" s="107">
        <v>678</v>
      </c>
      <c r="E199" s="107">
        <v>690.75</v>
      </c>
      <c r="F199" s="107">
        <v>681.1</v>
      </c>
      <c r="G199">
        <v>89298</v>
      </c>
      <c r="H199" s="107"/>
      <c r="I199" s="107"/>
      <c r="L199" s="149">
        <v>46129</v>
      </c>
      <c r="M199" s="107">
        <v>682</v>
      </c>
      <c r="N199" s="107">
        <v>690.8</v>
      </c>
      <c r="O199" s="107">
        <v>678</v>
      </c>
      <c r="P199" s="107">
        <v>690</v>
      </c>
      <c r="Q199" s="107">
        <v>682</v>
      </c>
      <c r="R199">
        <v>1755356</v>
      </c>
    </row>
    <row r="200" spans="1:18" x14ac:dyDescent="0.25">
      <c r="A200" s="149">
        <v>46132</v>
      </c>
      <c r="B200" s="107">
        <v>681.8</v>
      </c>
      <c r="C200" s="107">
        <v>669.6</v>
      </c>
      <c r="D200" s="107">
        <v>666</v>
      </c>
      <c r="E200" s="107">
        <v>681.8</v>
      </c>
      <c r="F200" s="107">
        <v>669.6</v>
      </c>
      <c r="G200">
        <v>49012</v>
      </c>
      <c r="H200" s="107"/>
      <c r="I200" s="107"/>
      <c r="L200" s="149">
        <v>46132</v>
      </c>
      <c r="M200" s="107">
        <v>669.95</v>
      </c>
      <c r="N200" s="107">
        <v>681.6</v>
      </c>
      <c r="O200" s="107">
        <v>666</v>
      </c>
      <c r="P200" s="107">
        <v>680.35</v>
      </c>
      <c r="Q200" s="107">
        <v>669.95</v>
      </c>
      <c r="R200">
        <v>1726465</v>
      </c>
    </row>
    <row r="201" spans="1:18" x14ac:dyDescent="0.25">
      <c r="A201" s="149">
        <v>46133</v>
      </c>
      <c r="B201" s="107">
        <v>690</v>
      </c>
      <c r="C201" s="107">
        <v>684.05</v>
      </c>
      <c r="D201" s="107">
        <v>669.5</v>
      </c>
      <c r="E201" s="107">
        <v>670.1</v>
      </c>
      <c r="F201" s="107">
        <v>684.05</v>
      </c>
      <c r="G201">
        <v>43282</v>
      </c>
      <c r="H201" s="107"/>
      <c r="I201" s="107"/>
      <c r="L201" s="149">
        <v>46133</v>
      </c>
      <c r="M201" s="107">
        <v>684.3</v>
      </c>
      <c r="N201" s="107">
        <v>690</v>
      </c>
      <c r="O201" s="107">
        <v>668.85</v>
      </c>
      <c r="P201" s="107">
        <v>670.15</v>
      </c>
      <c r="Q201" s="107">
        <v>684.3</v>
      </c>
      <c r="R201">
        <v>695185</v>
      </c>
    </row>
    <row r="202" spans="1:18" x14ac:dyDescent="0.25">
      <c r="A202" s="149">
        <v>46134</v>
      </c>
      <c r="B202" s="107">
        <v>685</v>
      </c>
      <c r="C202" s="107">
        <v>671.55</v>
      </c>
      <c r="D202" s="107">
        <v>670</v>
      </c>
      <c r="E202" s="107">
        <v>677.2</v>
      </c>
      <c r="F202" s="107">
        <v>671.55</v>
      </c>
      <c r="G202">
        <v>28537</v>
      </c>
      <c r="H202" s="107"/>
      <c r="I202" s="107"/>
      <c r="L202" s="149">
        <v>46134</v>
      </c>
      <c r="M202" s="107">
        <v>671.9</v>
      </c>
      <c r="N202" s="107">
        <v>686</v>
      </c>
      <c r="O202" s="107">
        <v>670.2</v>
      </c>
      <c r="P202" s="107">
        <v>676</v>
      </c>
      <c r="Q202" s="107">
        <v>671.9</v>
      </c>
      <c r="R202">
        <v>385532</v>
      </c>
    </row>
    <row r="203" spans="1:18" x14ac:dyDescent="0.25">
      <c r="A203" s="149">
        <v>46135</v>
      </c>
      <c r="B203" s="107">
        <v>676.85</v>
      </c>
      <c r="C203" s="107">
        <v>659.55</v>
      </c>
      <c r="D203" s="107">
        <v>658.3</v>
      </c>
      <c r="E203" s="107">
        <v>676.85</v>
      </c>
      <c r="F203" s="107">
        <v>659.55</v>
      </c>
      <c r="G203">
        <v>26322</v>
      </c>
      <c r="H203" s="107"/>
      <c r="I203" s="107"/>
      <c r="L203" s="149">
        <v>46135</v>
      </c>
      <c r="M203" s="107">
        <v>659.15</v>
      </c>
      <c r="N203" s="107">
        <v>676.05</v>
      </c>
      <c r="O203" s="107">
        <v>657.5</v>
      </c>
      <c r="P203" s="107">
        <v>673.9</v>
      </c>
      <c r="Q203" s="107">
        <v>659.15</v>
      </c>
      <c r="R203">
        <v>360878</v>
      </c>
    </row>
    <row r="204" spans="1:18" x14ac:dyDescent="0.25">
      <c r="A204" s="149">
        <v>46136</v>
      </c>
      <c r="B204" s="107">
        <v>677</v>
      </c>
      <c r="C204" s="107">
        <v>674.7</v>
      </c>
      <c r="D204" s="107">
        <v>651.35</v>
      </c>
      <c r="E204" s="107">
        <v>659.15</v>
      </c>
      <c r="F204" s="107">
        <v>674.7</v>
      </c>
      <c r="G204">
        <v>46324</v>
      </c>
      <c r="H204" s="107"/>
      <c r="I204" s="107"/>
      <c r="L204" s="149">
        <v>46136</v>
      </c>
      <c r="M204" s="107">
        <v>674.75</v>
      </c>
      <c r="N204" s="107">
        <v>677.45</v>
      </c>
      <c r="O204" s="107">
        <v>651.1</v>
      </c>
      <c r="P204" s="107">
        <v>659</v>
      </c>
      <c r="Q204" s="107">
        <v>674.75</v>
      </c>
      <c r="R204">
        <v>428578</v>
      </c>
    </row>
    <row r="205" spans="1:18" x14ac:dyDescent="0.25">
      <c r="A205" s="149">
        <v>46139</v>
      </c>
      <c r="B205" s="107">
        <v>676.9</v>
      </c>
      <c r="C205" s="107">
        <v>670.2</v>
      </c>
      <c r="D205" s="107">
        <v>668.3</v>
      </c>
      <c r="E205" s="107">
        <v>676.25</v>
      </c>
      <c r="F205" s="107">
        <v>670.2</v>
      </c>
      <c r="G205">
        <v>29652</v>
      </c>
      <c r="H205" s="107"/>
      <c r="I205" s="107"/>
      <c r="L205" s="149">
        <v>46139</v>
      </c>
      <c r="M205" s="107">
        <v>670.1</v>
      </c>
      <c r="N205" s="107">
        <v>678.6</v>
      </c>
      <c r="O205" s="107">
        <v>669</v>
      </c>
      <c r="P205" s="107">
        <v>675</v>
      </c>
      <c r="Q205" s="107">
        <v>670.1</v>
      </c>
      <c r="R205">
        <v>210255</v>
      </c>
    </row>
    <row r="206" spans="1:18" x14ac:dyDescent="0.25">
      <c r="A206" s="149">
        <v>46140</v>
      </c>
      <c r="B206" s="107">
        <v>680.35</v>
      </c>
      <c r="C206" s="107">
        <v>665</v>
      </c>
      <c r="D206" s="107">
        <v>662</v>
      </c>
      <c r="E206" s="107">
        <v>667.25</v>
      </c>
      <c r="F206" s="107">
        <v>665</v>
      </c>
      <c r="G206">
        <v>45853</v>
      </c>
      <c r="H206" s="107"/>
      <c r="I206" s="107"/>
      <c r="L206" s="149">
        <v>46140</v>
      </c>
      <c r="M206" s="107">
        <v>665.3</v>
      </c>
      <c r="N206" s="107">
        <v>680.7</v>
      </c>
      <c r="O206" s="107">
        <v>660.95</v>
      </c>
      <c r="P206" s="107">
        <v>670</v>
      </c>
      <c r="Q206" s="107">
        <v>665.3</v>
      </c>
      <c r="R206">
        <v>354725</v>
      </c>
    </row>
    <row r="207" spans="1:18" x14ac:dyDescent="0.25">
      <c r="A207" s="149">
        <v>46141</v>
      </c>
      <c r="B207" s="107">
        <v>674</v>
      </c>
      <c r="C207" s="107">
        <v>667.4</v>
      </c>
      <c r="D207" s="107">
        <v>666.5</v>
      </c>
      <c r="E207" s="107">
        <v>671.9</v>
      </c>
      <c r="F207" s="107">
        <v>667.4</v>
      </c>
      <c r="G207">
        <v>9166</v>
      </c>
      <c r="H207" s="107"/>
      <c r="I207" s="107"/>
      <c r="L207" s="149">
        <v>46141</v>
      </c>
      <c r="M207" s="107">
        <v>667.75</v>
      </c>
      <c r="N207" s="107">
        <v>673.9</v>
      </c>
      <c r="O207" s="107">
        <v>666.25</v>
      </c>
      <c r="P207" s="107">
        <v>668.05</v>
      </c>
      <c r="Q207" s="107">
        <v>667.75</v>
      </c>
      <c r="R207">
        <v>171031</v>
      </c>
    </row>
    <row r="208" spans="1:18" x14ac:dyDescent="0.25">
      <c r="A208" s="149">
        <v>46142</v>
      </c>
      <c r="B208" s="107">
        <v>667.45</v>
      </c>
      <c r="C208" s="107">
        <v>656.2</v>
      </c>
      <c r="D208" s="107">
        <v>653.9</v>
      </c>
      <c r="E208" s="107">
        <v>667.45</v>
      </c>
      <c r="F208" s="107">
        <v>656.2</v>
      </c>
      <c r="G208">
        <v>15352</v>
      </c>
      <c r="H208" s="107"/>
      <c r="I208" s="107"/>
      <c r="L208" s="149">
        <v>46142</v>
      </c>
      <c r="M208" s="107">
        <v>656.6</v>
      </c>
      <c r="N208" s="107">
        <v>667</v>
      </c>
      <c r="O208" s="107">
        <v>654.45000000000005</v>
      </c>
      <c r="P208" s="107">
        <v>666</v>
      </c>
      <c r="Q208" s="107">
        <v>656.6</v>
      </c>
      <c r="R208">
        <v>285553</v>
      </c>
    </row>
    <row r="209" spans="1:18" x14ac:dyDescent="0.25">
      <c r="A209" s="149">
        <v>46146</v>
      </c>
      <c r="B209" s="107">
        <v>672.15</v>
      </c>
      <c r="C209" s="107">
        <v>665.1</v>
      </c>
      <c r="D209" s="107">
        <v>657.25</v>
      </c>
      <c r="E209" s="107">
        <v>657.25</v>
      </c>
      <c r="F209" s="107">
        <v>665.1</v>
      </c>
      <c r="G209">
        <v>13492</v>
      </c>
      <c r="H209" s="107"/>
      <c r="I209" s="107"/>
      <c r="L209" s="149">
        <v>46146</v>
      </c>
      <c r="M209" s="107">
        <v>665.3</v>
      </c>
      <c r="N209" s="107">
        <v>672.2</v>
      </c>
      <c r="O209" s="107">
        <v>657.95</v>
      </c>
      <c r="P209" s="107">
        <v>657.95</v>
      </c>
      <c r="Q209" s="107">
        <v>665.3</v>
      </c>
      <c r="R209">
        <v>211474</v>
      </c>
    </row>
    <row r="210" spans="1:18" x14ac:dyDescent="0.25">
      <c r="A210" s="149">
        <v>46147</v>
      </c>
      <c r="B210" s="107">
        <v>669.7</v>
      </c>
      <c r="C210" s="107">
        <v>667.4</v>
      </c>
      <c r="D210" s="107">
        <v>663.15</v>
      </c>
      <c r="E210" s="107">
        <v>663.25</v>
      </c>
      <c r="F210" s="107">
        <v>667.4</v>
      </c>
      <c r="G210">
        <v>9404</v>
      </c>
      <c r="H210" s="107"/>
      <c r="I210" s="107"/>
      <c r="L210" s="149">
        <v>46147</v>
      </c>
      <c r="M210" s="107">
        <v>667.6</v>
      </c>
      <c r="N210" s="107">
        <v>669.8</v>
      </c>
      <c r="O210" s="107">
        <v>662.95</v>
      </c>
      <c r="P210" s="107">
        <v>665</v>
      </c>
      <c r="Q210" s="107">
        <v>667.6</v>
      </c>
      <c r="R210">
        <v>126995</v>
      </c>
    </row>
    <row r="211" spans="1:18" x14ac:dyDescent="0.25">
      <c r="A211" s="149">
        <v>46148</v>
      </c>
      <c r="B211" s="107">
        <v>691.55</v>
      </c>
      <c r="C211" s="107">
        <v>685.95</v>
      </c>
      <c r="D211" s="107">
        <v>667.9</v>
      </c>
      <c r="E211" s="107">
        <v>672.1</v>
      </c>
      <c r="F211" s="107">
        <v>685.95</v>
      </c>
      <c r="G211">
        <v>52896</v>
      </c>
      <c r="H211" s="107"/>
      <c r="I211" s="107"/>
      <c r="L211" s="149">
        <v>46148</v>
      </c>
      <c r="M211" s="107">
        <v>685.4</v>
      </c>
      <c r="N211" s="107">
        <v>691.45</v>
      </c>
      <c r="O211" s="107">
        <v>667.85</v>
      </c>
      <c r="P211" s="107">
        <v>672.8</v>
      </c>
      <c r="Q211" s="107">
        <v>685.4</v>
      </c>
      <c r="R211">
        <v>580649</v>
      </c>
    </row>
    <row r="212" spans="1:18" x14ac:dyDescent="0.25">
      <c r="A212" s="149">
        <v>46149</v>
      </c>
      <c r="B212" s="107">
        <v>704.45</v>
      </c>
      <c r="C212" s="107">
        <v>700.6</v>
      </c>
      <c r="D212" s="107">
        <v>683.25</v>
      </c>
      <c r="E212" s="107">
        <v>687</v>
      </c>
      <c r="F212" s="107">
        <v>700.6</v>
      </c>
      <c r="G212">
        <v>73648</v>
      </c>
      <c r="H212" s="107"/>
      <c r="I212" s="107"/>
      <c r="L212" s="149">
        <v>46149</v>
      </c>
      <c r="M212" s="107">
        <v>700.55</v>
      </c>
      <c r="N212" s="107">
        <v>704.7</v>
      </c>
      <c r="O212" s="107">
        <v>683.25</v>
      </c>
      <c r="P212" s="107">
        <v>688.7</v>
      </c>
      <c r="Q212" s="107">
        <v>700.55</v>
      </c>
      <c r="R212">
        <v>686572</v>
      </c>
    </row>
    <row r="213" spans="1:18" x14ac:dyDescent="0.25">
      <c r="A213" s="149">
        <v>46150</v>
      </c>
      <c r="B213" s="107">
        <v>705</v>
      </c>
      <c r="C213" s="107">
        <v>699.5</v>
      </c>
      <c r="D213" s="107">
        <v>693.35</v>
      </c>
      <c r="E213" s="107">
        <v>693.35</v>
      </c>
      <c r="F213" s="107">
        <v>699.5</v>
      </c>
      <c r="G213">
        <v>39663</v>
      </c>
      <c r="H213" s="107"/>
      <c r="I213" s="107"/>
      <c r="L213" s="149">
        <v>46150</v>
      </c>
      <c r="M213" s="107">
        <v>699.65</v>
      </c>
      <c r="N213" s="107">
        <v>705</v>
      </c>
      <c r="O213" s="107">
        <v>696</v>
      </c>
      <c r="P213" s="107">
        <v>700.5</v>
      </c>
      <c r="Q213" s="107">
        <v>699.65</v>
      </c>
      <c r="R213">
        <v>348150</v>
      </c>
    </row>
    <row r="214" spans="1:18" x14ac:dyDescent="0.25">
      <c r="A214" s="149">
        <v>46153</v>
      </c>
      <c r="B214" s="107">
        <v>698.85</v>
      </c>
      <c r="C214" s="107">
        <v>688.2</v>
      </c>
      <c r="D214" s="107">
        <v>686.4</v>
      </c>
      <c r="E214" s="107">
        <v>698.85</v>
      </c>
      <c r="F214" s="107">
        <v>688.2</v>
      </c>
      <c r="G214">
        <v>14082</v>
      </c>
      <c r="H214" s="107"/>
      <c r="I214" s="107"/>
      <c r="L214" s="149">
        <v>46153</v>
      </c>
      <c r="M214" s="107">
        <v>688.6</v>
      </c>
      <c r="N214" s="107">
        <v>696.7</v>
      </c>
      <c r="O214" s="107">
        <v>686</v>
      </c>
      <c r="P214" s="107">
        <v>694</v>
      </c>
      <c r="Q214" s="107">
        <v>688.6</v>
      </c>
      <c r="R214">
        <v>369091</v>
      </c>
    </row>
    <row r="215" spans="1:18" x14ac:dyDescent="0.25">
      <c r="A215" s="149">
        <v>46154</v>
      </c>
      <c r="B215" s="107">
        <v>688.2</v>
      </c>
      <c r="C215" s="107">
        <v>673.6</v>
      </c>
      <c r="D215" s="107">
        <v>669.75</v>
      </c>
      <c r="E215" s="107">
        <v>683.15</v>
      </c>
      <c r="F215" s="107">
        <v>673.6</v>
      </c>
      <c r="G215">
        <v>16951</v>
      </c>
      <c r="H215" s="107"/>
      <c r="I215" s="107"/>
      <c r="L215" s="149">
        <v>46154</v>
      </c>
      <c r="M215" s="107">
        <v>674.15</v>
      </c>
      <c r="N215" s="107">
        <v>688.6</v>
      </c>
      <c r="O215" s="107">
        <v>669.5</v>
      </c>
      <c r="P215" s="107">
        <v>685.05</v>
      </c>
      <c r="Q215" s="107">
        <v>674.15</v>
      </c>
      <c r="R215">
        <v>439740</v>
      </c>
    </row>
    <row r="216" spans="1:18" x14ac:dyDescent="0.25">
      <c r="A216" s="149">
        <v>46155</v>
      </c>
      <c r="B216" s="107">
        <v>685</v>
      </c>
      <c r="C216" s="107">
        <v>674.65</v>
      </c>
      <c r="D216" s="107">
        <v>666</v>
      </c>
      <c r="E216" s="107">
        <v>676.95</v>
      </c>
      <c r="F216" s="107">
        <v>674.65</v>
      </c>
      <c r="G216">
        <v>42018</v>
      </c>
      <c r="H216" s="107"/>
      <c r="I216" s="107"/>
      <c r="L216" s="149">
        <v>46155</v>
      </c>
      <c r="M216" s="107">
        <v>675.25</v>
      </c>
      <c r="N216" s="107">
        <v>685.1</v>
      </c>
      <c r="O216" s="107">
        <v>666.15</v>
      </c>
      <c r="P216" s="107">
        <v>674.8</v>
      </c>
      <c r="Q216" s="107">
        <v>675.25</v>
      </c>
      <c r="R216">
        <v>729073</v>
      </c>
    </row>
    <row r="217" spans="1:18" x14ac:dyDescent="0.25">
      <c r="A217" s="149">
        <v>46156</v>
      </c>
      <c r="B217" s="107">
        <v>681.1</v>
      </c>
      <c r="C217" s="107">
        <v>676.55</v>
      </c>
      <c r="D217" s="107">
        <v>670.5</v>
      </c>
      <c r="E217" s="107">
        <v>677.85</v>
      </c>
      <c r="F217" s="107">
        <v>676.55</v>
      </c>
      <c r="G217">
        <v>10781</v>
      </c>
      <c r="H217" s="107"/>
      <c r="I217" s="107"/>
      <c r="L217" s="149">
        <v>46156</v>
      </c>
      <c r="M217" s="107">
        <v>676.6</v>
      </c>
      <c r="N217" s="107">
        <v>682.8</v>
      </c>
      <c r="O217" s="107">
        <v>670.5</v>
      </c>
      <c r="P217" s="107">
        <v>677</v>
      </c>
      <c r="Q217" s="107">
        <v>676.6</v>
      </c>
      <c r="R217">
        <v>317879</v>
      </c>
    </row>
    <row r="218" spans="1:18" x14ac:dyDescent="0.25">
      <c r="A218" s="149">
        <v>46157</v>
      </c>
      <c r="B218" s="107">
        <v>679.05</v>
      </c>
      <c r="C218" s="107">
        <v>675.55</v>
      </c>
      <c r="D218" s="107">
        <v>672.35</v>
      </c>
      <c r="E218" s="107">
        <v>676.6</v>
      </c>
      <c r="F218" s="107">
        <v>675.55</v>
      </c>
      <c r="G218">
        <v>10314</v>
      </c>
      <c r="H218" s="107"/>
      <c r="I218" s="107"/>
      <c r="L218" s="149">
        <v>46157</v>
      </c>
      <c r="M218" s="107">
        <v>674.95</v>
      </c>
      <c r="N218" s="107">
        <v>680</v>
      </c>
      <c r="O218" s="107">
        <v>671.3</v>
      </c>
      <c r="P218" s="107">
        <v>677.05</v>
      </c>
      <c r="Q218" s="107">
        <v>674.95</v>
      </c>
      <c r="R218">
        <v>240135</v>
      </c>
    </row>
    <row r="219" spans="1:18" x14ac:dyDescent="0.25">
      <c r="A219" s="149">
        <v>46160</v>
      </c>
      <c r="B219" s="107">
        <v>676.45</v>
      </c>
      <c r="C219" s="107">
        <v>675</v>
      </c>
      <c r="D219" s="107">
        <v>664.45</v>
      </c>
      <c r="E219" s="107">
        <v>670.45</v>
      </c>
      <c r="F219" s="107">
        <v>675</v>
      </c>
      <c r="G219">
        <v>938211</v>
      </c>
      <c r="H219" s="107"/>
      <c r="I219" s="107"/>
      <c r="L219" s="149">
        <v>46160</v>
      </c>
      <c r="M219" s="107">
        <v>675.1</v>
      </c>
      <c r="N219" s="107">
        <v>676.3</v>
      </c>
      <c r="O219" s="107">
        <v>665.2</v>
      </c>
      <c r="P219" s="107">
        <v>673.9</v>
      </c>
      <c r="Q219" s="107">
        <v>675.1</v>
      </c>
      <c r="R219">
        <v>557851</v>
      </c>
    </row>
    <row r="220" spans="1:18" x14ac:dyDescent="0.25">
      <c r="A220" s="149">
        <v>46161</v>
      </c>
      <c r="B220" s="107">
        <v>683.2</v>
      </c>
      <c r="C220" s="107">
        <v>674.5</v>
      </c>
      <c r="D220" s="107">
        <v>668.35</v>
      </c>
      <c r="E220" s="107">
        <v>675</v>
      </c>
      <c r="F220" s="107">
        <v>674.5</v>
      </c>
      <c r="G220">
        <v>17436</v>
      </c>
      <c r="H220" s="107"/>
      <c r="I220" s="107"/>
      <c r="L220" s="149">
        <v>46161</v>
      </c>
      <c r="M220" s="107">
        <v>675.3</v>
      </c>
      <c r="N220" s="107">
        <v>683.95</v>
      </c>
      <c r="O220" s="107">
        <v>668.3</v>
      </c>
      <c r="P220" s="107">
        <v>671.55</v>
      </c>
      <c r="Q220" s="107">
        <v>675.3</v>
      </c>
      <c r="R220">
        <v>568519</v>
      </c>
    </row>
    <row r="221" spans="1:18" x14ac:dyDescent="0.25">
      <c r="A221" s="149">
        <v>46162</v>
      </c>
      <c r="B221" s="107">
        <v>678.2</v>
      </c>
      <c r="C221" s="107">
        <v>672.95</v>
      </c>
      <c r="D221" s="107">
        <v>668</v>
      </c>
      <c r="E221" s="107">
        <v>671.65</v>
      </c>
      <c r="F221" s="107">
        <v>672.95</v>
      </c>
      <c r="G221">
        <v>6937</v>
      </c>
      <c r="H221" s="107"/>
      <c r="I221" s="107"/>
      <c r="L221" s="149">
        <v>46162</v>
      </c>
      <c r="M221" s="107">
        <v>673.4</v>
      </c>
      <c r="N221" s="107">
        <v>677.5</v>
      </c>
      <c r="O221" s="107">
        <v>668.5</v>
      </c>
      <c r="P221" s="107">
        <v>675.2</v>
      </c>
      <c r="Q221" s="107">
        <v>673.4</v>
      </c>
      <c r="R221">
        <v>266153</v>
      </c>
    </row>
    <row r="222" spans="1:18" x14ac:dyDescent="0.25">
      <c r="A222" s="149">
        <v>46163</v>
      </c>
      <c r="B222" s="107">
        <v>675.4</v>
      </c>
      <c r="C222" s="107">
        <v>663.3</v>
      </c>
      <c r="D222" s="107">
        <v>660.85</v>
      </c>
      <c r="E222" s="107">
        <v>675.1</v>
      </c>
      <c r="F222" s="107">
        <v>663.3</v>
      </c>
      <c r="G222">
        <v>40891</v>
      </c>
      <c r="H222" s="107"/>
      <c r="I222" s="107"/>
      <c r="L222" s="149">
        <v>46163</v>
      </c>
      <c r="M222" s="107">
        <v>664.4</v>
      </c>
      <c r="N222" s="107">
        <v>676.8</v>
      </c>
      <c r="O222" s="107">
        <v>662.5</v>
      </c>
      <c r="P222" s="107">
        <v>673.5</v>
      </c>
      <c r="Q222" s="107">
        <v>664.4</v>
      </c>
      <c r="R222">
        <v>141774</v>
      </c>
    </row>
    <row r="223" spans="1:18" x14ac:dyDescent="0.25">
      <c r="A223" s="149">
        <v>46164</v>
      </c>
      <c r="B223" s="107">
        <v>666.1</v>
      </c>
      <c r="C223" s="107">
        <v>654.29999999999995</v>
      </c>
      <c r="D223" s="107">
        <v>653.65</v>
      </c>
      <c r="E223" s="107">
        <v>663.3</v>
      </c>
      <c r="F223" s="107">
        <v>654.29999999999995</v>
      </c>
      <c r="G223">
        <v>9325</v>
      </c>
      <c r="H223" s="107"/>
      <c r="I223" s="107"/>
      <c r="L223" s="149">
        <v>46164</v>
      </c>
      <c r="M223" s="107">
        <v>654.29999999999995</v>
      </c>
      <c r="N223" s="107">
        <v>666.35</v>
      </c>
      <c r="O223" s="107">
        <v>654.04999999999995</v>
      </c>
      <c r="P223" s="107">
        <v>662.8</v>
      </c>
      <c r="Q223" s="107">
        <v>654.29999999999995</v>
      </c>
      <c r="R223">
        <v>191337</v>
      </c>
    </row>
    <row r="224" spans="1:18" x14ac:dyDescent="0.25">
      <c r="A224" s="149">
        <v>46167</v>
      </c>
      <c r="B224" s="107">
        <v>672.25</v>
      </c>
      <c r="C224" s="107">
        <v>670.55</v>
      </c>
      <c r="D224" s="107">
        <v>656.05</v>
      </c>
      <c r="E224" s="107">
        <v>656.05</v>
      </c>
      <c r="F224" s="107">
        <v>670.55</v>
      </c>
      <c r="G224">
        <v>35607</v>
      </c>
      <c r="H224" s="107"/>
      <c r="I224" s="107"/>
      <c r="L224" s="149">
        <v>46167</v>
      </c>
      <c r="M224" s="107">
        <v>669.6</v>
      </c>
      <c r="N224" s="107">
        <v>671.8</v>
      </c>
      <c r="O224" s="107">
        <v>657.95</v>
      </c>
      <c r="P224" s="107">
        <v>657.95</v>
      </c>
      <c r="Q224" s="107">
        <v>669.6</v>
      </c>
      <c r="R224">
        <v>364869</v>
      </c>
    </row>
    <row r="225" spans="1:18" x14ac:dyDescent="0.25">
      <c r="A225" s="149">
        <v>46168</v>
      </c>
      <c r="B225" s="107">
        <v>694</v>
      </c>
      <c r="C225" s="107">
        <v>679.7</v>
      </c>
      <c r="D225" s="107">
        <v>666.65</v>
      </c>
      <c r="E225" s="107">
        <v>670.4</v>
      </c>
      <c r="F225" s="107">
        <v>679.7</v>
      </c>
      <c r="G225">
        <v>41041</v>
      </c>
      <c r="H225" s="107"/>
      <c r="I225" s="107"/>
      <c r="L225" s="149">
        <v>46168</v>
      </c>
      <c r="M225" s="107">
        <v>679.7</v>
      </c>
      <c r="N225" s="107">
        <v>694.1</v>
      </c>
      <c r="O225" s="107">
        <v>666.3</v>
      </c>
      <c r="P225" s="107">
        <v>669.6</v>
      </c>
      <c r="Q225" s="107">
        <v>679.7</v>
      </c>
      <c r="R225">
        <v>431882</v>
      </c>
    </row>
    <row r="226" spans="1:18" x14ac:dyDescent="0.25">
      <c r="A226" s="149">
        <v>46169</v>
      </c>
      <c r="B226" s="107">
        <v>683.85</v>
      </c>
      <c r="C226" s="107">
        <v>674</v>
      </c>
      <c r="D226" s="107">
        <v>672</v>
      </c>
      <c r="E226" s="107">
        <v>676</v>
      </c>
      <c r="F226" s="107">
        <v>674</v>
      </c>
      <c r="G226">
        <v>9969</v>
      </c>
      <c r="H226" s="107"/>
      <c r="I226" s="107"/>
      <c r="L226" s="149">
        <v>46169</v>
      </c>
      <c r="M226" s="107">
        <v>674.2</v>
      </c>
      <c r="N226" s="107">
        <v>684.4</v>
      </c>
      <c r="O226" s="107">
        <v>672</v>
      </c>
      <c r="P226" s="107">
        <v>677.65</v>
      </c>
      <c r="Q226" s="107">
        <v>674.2</v>
      </c>
      <c r="R226">
        <v>113431</v>
      </c>
    </row>
    <row r="227" spans="1:18" x14ac:dyDescent="0.25">
      <c r="A227" s="149">
        <v>46171</v>
      </c>
      <c r="B227" s="107">
        <v>674</v>
      </c>
      <c r="C227" s="107">
        <v>666.45</v>
      </c>
      <c r="D227" s="107">
        <v>659.7</v>
      </c>
      <c r="E227" s="107">
        <v>674</v>
      </c>
      <c r="F227" s="107">
        <v>666.45</v>
      </c>
      <c r="G227">
        <v>9940</v>
      </c>
      <c r="H227" s="107"/>
      <c r="I227" s="107"/>
      <c r="L227" s="149">
        <v>46171</v>
      </c>
      <c r="M227" s="107">
        <v>665.85</v>
      </c>
      <c r="N227" s="107">
        <v>675</v>
      </c>
      <c r="O227" s="107">
        <v>659.55</v>
      </c>
      <c r="P227" s="107">
        <v>674</v>
      </c>
      <c r="Q227" s="107">
        <v>665.85</v>
      </c>
      <c r="R227">
        <v>276971</v>
      </c>
    </row>
    <row r="228" spans="1:18" x14ac:dyDescent="0.25">
      <c r="A228" s="149">
        <v>46174</v>
      </c>
      <c r="B228" s="107">
        <v>670.5</v>
      </c>
      <c r="C228" s="107">
        <v>660.2</v>
      </c>
      <c r="D228" s="107">
        <v>658.3</v>
      </c>
      <c r="E228" s="107">
        <v>661.95</v>
      </c>
      <c r="F228" s="107">
        <v>660.2</v>
      </c>
      <c r="G228">
        <v>22088</v>
      </c>
      <c r="H228" s="107"/>
      <c r="I228" s="107"/>
      <c r="L228" s="149">
        <v>46174</v>
      </c>
      <c r="M228" s="107">
        <v>660.05</v>
      </c>
      <c r="N228" s="107">
        <v>670</v>
      </c>
      <c r="O228" s="107">
        <v>658.5</v>
      </c>
      <c r="P228" s="107">
        <v>665.85</v>
      </c>
      <c r="Q228" s="107">
        <v>660.05</v>
      </c>
      <c r="R228">
        <v>145454</v>
      </c>
    </row>
    <row r="229" spans="1:18" x14ac:dyDescent="0.25">
      <c r="A229" s="149">
        <v>46175</v>
      </c>
      <c r="B229" s="107">
        <v>660</v>
      </c>
      <c r="C229" s="107">
        <v>648.29999999999995</v>
      </c>
      <c r="D229" s="107">
        <v>645.29999999999995</v>
      </c>
      <c r="E229" s="107">
        <v>656.6</v>
      </c>
      <c r="F229" s="107">
        <v>648.29999999999995</v>
      </c>
      <c r="G229">
        <v>37776</v>
      </c>
      <c r="H229" s="107"/>
      <c r="I229" s="107"/>
      <c r="L229" s="149">
        <v>46175</v>
      </c>
      <c r="M229" s="107">
        <v>648.70000000000005</v>
      </c>
      <c r="N229" s="107">
        <v>660.5</v>
      </c>
      <c r="O229" s="107">
        <v>645.25</v>
      </c>
      <c r="P229" s="107">
        <v>660.05</v>
      </c>
      <c r="Q229" s="107">
        <v>648.70000000000005</v>
      </c>
      <c r="R229">
        <v>316399</v>
      </c>
    </row>
    <row r="230" spans="1:18" x14ac:dyDescent="0.25">
      <c r="A230" s="149">
        <v>46176</v>
      </c>
      <c r="B230" s="107">
        <v>654.4</v>
      </c>
      <c r="C230" s="107">
        <v>648.6</v>
      </c>
      <c r="D230" s="107">
        <v>646.5</v>
      </c>
      <c r="E230" s="107">
        <v>650.25</v>
      </c>
      <c r="F230" s="107">
        <v>648.6</v>
      </c>
      <c r="G230">
        <v>15060</v>
      </c>
      <c r="H230" s="107"/>
      <c r="I230" s="107"/>
      <c r="L230" s="149">
        <v>46176</v>
      </c>
      <c r="M230" s="107">
        <v>648.45000000000005</v>
      </c>
      <c r="N230" s="107">
        <v>654.04999999999995</v>
      </c>
      <c r="O230" s="107">
        <v>645.6</v>
      </c>
      <c r="P230" s="107">
        <v>651.9</v>
      </c>
      <c r="Q230" s="107">
        <v>648.45000000000005</v>
      </c>
      <c r="R230">
        <v>294819</v>
      </c>
    </row>
    <row r="231" spans="1:18" x14ac:dyDescent="0.25">
      <c r="A231" s="149">
        <v>46177</v>
      </c>
      <c r="B231" s="107">
        <v>652</v>
      </c>
      <c r="C231" s="107">
        <v>644.35</v>
      </c>
      <c r="D231" s="107">
        <v>642.4</v>
      </c>
      <c r="E231" s="107">
        <v>648</v>
      </c>
      <c r="F231" s="107">
        <v>644.35</v>
      </c>
      <c r="G231">
        <v>23025</v>
      </c>
      <c r="H231" s="107"/>
      <c r="I231" s="107"/>
      <c r="L231" s="149">
        <v>46177</v>
      </c>
      <c r="M231" s="107">
        <v>644.45000000000005</v>
      </c>
      <c r="N231" s="107">
        <v>652.1</v>
      </c>
      <c r="O231" s="107">
        <v>642</v>
      </c>
      <c r="P231" s="107">
        <v>648.20000000000005</v>
      </c>
      <c r="Q231" s="107">
        <v>644.45000000000005</v>
      </c>
      <c r="R231">
        <v>423323</v>
      </c>
    </row>
    <row r="232" spans="1:18" x14ac:dyDescent="0.25">
      <c r="A232" s="149">
        <v>46178</v>
      </c>
      <c r="B232" s="107">
        <v>647.45000000000005</v>
      </c>
      <c r="C232" s="107">
        <v>641.9</v>
      </c>
      <c r="D232" s="107">
        <v>639.79999999999995</v>
      </c>
      <c r="E232" s="107">
        <v>645.04999999999995</v>
      </c>
      <c r="F232" s="107">
        <v>641.9</v>
      </c>
      <c r="G232">
        <v>18763</v>
      </c>
      <c r="H232" s="107"/>
      <c r="I232" s="107"/>
      <c r="L232" s="149">
        <v>46178</v>
      </c>
      <c r="M232" s="107">
        <v>641.95000000000005</v>
      </c>
      <c r="N232" s="107">
        <v>648.9</v>
      </c>
      <c r="O232" s="107">
        <v>639.70000000000005</v>
      </c>
      <c r="P232" s="107">
        <v>648.9</v>
      </c>
      <c r="Q232" s="107">
        <v>641.95000000000005</v>
      </c>
      <c r="R232">
        <v>261562</v>
      </c>
    </row>
    <row r="233" spans="1:18" x14ac:dyDescent="0.25">
      <c r="A233" s="149">
        <v>46181</v>
      </c>
      <c r="B233" s="107">
        <v>636.35</v>
      </c>
      <c r="C233" s="107">
        <v>627.1</v>
      </c>
      <c r="D233" s="107">
        <v>625.29999999999995</v>
      </c>
      <c r="E233" s="107">
        <v>636</v>
      </c>
      <c r="F233" s="107">
        <v>627.1</v>
      </c>
      <c r="G233">
        <v>11251</v>
      </c>
      <c r="H233" s="107"/>
      <c r="I233" s="107"/>
      <c r="L233" s="149">
        <v>46181</v>
      </c>
      <c r="M233" s="107">
        <v>627</v>
      </c>
      <c r="N233" s="107">
        <v>637.35</v>
      </c>
      <c r="O233" s="107">
        <v>625</v>
      </c>
      <c r="P233" s="107">
        <v>636.35</v>
      </c>
      <c r="Q233" s="107">
        <v>627</v>
      </c>
      <c r="R233">
        <v>278223</v>
      </c>
    </row>
    <row r="234" spans="1:18" x14ac:dyDescent="0.25">
      <c r="A234" s="149">
        <v>46182</v>
      </c>
      <c r="B234" s="107">
        <v>632</v>
      </c>
      <c r="C234" s="107">
        <v>627.35</v>
      </c>
      <c r="D234" s="107">
        <v>622.6</v>
      </c>
      <c r="E234" s="107">
        <v>627.20000000000005</v>
      </c>
      <c r="F234" s="107">
        <v>627.35</v>
      </c>
      <c r="G234">
        <v>289389</v>
      </c>
      <c r="H234" s="107"/>
      <c r="I234" s="107"/>
      <c r="L234" s="149">
        <v>46182</v>
      </c>
      <c r="M234" s="107">
        <v>627.29999999999995</v>
      </c>
      <c r="N234" s="107">
        <v>631.95000000000005</v>
      </c>
      <c r="O234" s="107">
        <v>622.79999999999995</v>
      </c>
      <c r="P234" s="107">
        <v>631.95000000000005</v>
      </c>
      <c r="Q234" s="107">
        <v>627.29999999999995</v>
      </c>
      <c r="R234">
        <v>198583</v>
      </c>
    </row>
    <row r="235" spans="1:18" x14ac:dyDescent="0.25">
      <c r="A235" s="149">
        <v>46183</v>
      </c>
      <c r="B235" s="107">
        <v>627.95000000000005</v>
      </c>
      <c r="C235" s="107">
        <v>620</v>
      </c>
      <c r="D235" s="107">
        <v>613.6</v>
      </c>
      <c r="E235" s="107">
        <v>624.70000000000005</v>
      </c>
      <c r="F235" s="107">
        <v>620</v>
      </c>
      <c r="G235">
        <v>35932</v>
      </c>
      <c r="H235" s="107"/>
      <c r="I235" s="107"/>
      <c r="L235" s="149">
        <v>46183</v>
      </c>
      <c r="M235" s="107">
        <v>620.1</v>
      </c>
      <c r="N235" s="107">
        <v>628.5</v>
      </c>
      <c r="O235" s="107">
        <v>613.20000000000005</v>
      </c>
      <c r="P235" s="107">
        <v>627.54999999999995</v>
      </c>
      <c r="Q235" s="107">
        <v>620.1</v>
      </c>
      <c r="R235">
        <v>463626</v>
      </c>
    </row>
    <row r="236" spans="1:18" x14ac:dyDescent="0.25">
      <c r="A236" s="149">
        <v>46184</v>
      </c>
      <c r="B236" s="107">
        <v>638</v>
      </c>
      <c r="C236" s="107">
        <v>622.9</v>
      </c>
      <c r="D236" s="107">
        <v>619.70000000000005</v>
      </c>
      <c r="E236" s="107">
        <v>619.70000000000005</v>
      </c>
      <c r="F236" s="107">
        <v>622.9</v>
      </c>
      <c r="G236">
        <v>73384</v>
      </c>
      <c r="H236" s="107"/>
      <c r="I236" s="107"/>
      <c r="L236" s="149">
        <v>46184</v>
      </c>
      <c r="M236" s="107">
        <v>623.20000000000005</v>
      </c>
      <c r="N236" s="107">
        <v>638.70000000000005</v>
      </c>
      <c r="O236" s="107">
        <v>619.1</v>
      </c>
      <c r="P236" s="107">
        <v>619.1</v>
      </c>
      <c r="Q236" s="107">
        <v>623.20000000000005</v>
      </c>
      <c r="R236">
        <v>433690</v>
      </c>
    </row>
    <row r="237" spans="1:18" x14ac:dyDescent="0.25">
      <c r="A237" s="149">
        <v>46185</v>
      </c>
      <c r="B237" s="107">
        <v>647</v>
      </c>
      <c r="C237" s="107">
        <v>640.75</v>
      </c>
      <c r="D237" s="107">
        <v>630.25</v>
      </c>
      <c r="E237" s="107">
        <v>634</v>
      </c>
      <c r="F237" s="107">
        <v>640.75</v>
      </c>
      <c r="G237">
        <v>27654</v>
      </c>
      <c r="H237" s="107"/>
      <c r="I237" s="107"/>
      <c r="L237" s="149">
        <v>46185</v>
      </c>
      <c r="M237" s="107">
        <v>641</v>
      </c>
      <c r="N237" s="107">
        <v>647.1</v>
      </c>
      <c r="O237" s="107">
        <v>627.1</v>
      </c>
      <c r="P237" s="107">
        <v>627.1</v>
      </c>
      <c r="Q237" s="107">
        <v>641</v>
      </c>
      <c r="R237">
        <v>478124</v>
      </c>
    </row>
    <row r="238" spans="1:18" x14ac:dyDescent="0.25">
      <c r="A238" s="149">
        <v>46188</v>
      </c>
      <c r="B238" s="107">
        <v>714</v>
      </c>
      <c r="C238" s="107">
        <v>695.1</v>
      </c>
      <c r="D238" s="107">
        <v>653.35</v>
      </c>
      <c r="E238" s="107">
        <v>656.05</v>
      </c>
      <c r="F238" s="107">
        <v>695.1</v>
      </c>
      <c r="G238">
        <v>270908</v>
      </c>
      <c r="H238" s="107"/>
      <c r="I238" s="107"/>
      <c r="L238" s="149">
        <v>46188</v>
      </c>
      <c r="M238" s="107">
        <v>695.1</v>
      </c>
      <c r="N238" s="107">
        <v>715</v>
      </c>
      <c r="O238" s="107">
        <v>654</v>
      </c>
      <c r="P238" s="107">
        <v>654</v>
      </c>
      <c r="Q238" s="107">
        <v>695.1</v>
      </c>
      <c r="R238">
        <v>5581841</v>
      </c>
    </row>
    <row r="239" spans="1:18" x14ac:dyDescent="0.25">
      <c r="A239" s="149">
        <v>46189</v>
      </c>
      <c r="B239" s="107">
        <v>721</v>
      </c>
      <c r="C239" s="107">
        <v>709.4</v>
      </c>
      <c r="D239" s="107">
        <v>688.35</v>
      </c>
      <c r="E239" s="107">
        <v>698.25</v>
      </c>
      <c r="F239" s="107">
        <v>709.4</v>
      </c>
      <c r="G239">
        <v>72970</v>
      </c>
      <c r="H239" s="107"/>
      <c r="I239" s="107"/>
      <c r="L239" s="149">
        <v>46189</v>
      </c>
      <c r="M239" s="107">
        <v>709.55</v>
      </c>
      <c r="N239" s="107">
        <v>721.2</v>
      </c>
      <c r="O239" s="107">
        <v>689.35</v>
      </c>
      <c r="P239" s="107">
        <v>697.5</v>
      </c>
      <c r="Q239" s="107">
        <v>709.55</v>
      </c>
      <c r="R239">
        <v>1573957</v>
      </c>
    </row>
    <row r="240" spans="1:18" x14ac:dyDescent="0.25">
      <c r="A240" s="149">
        <v>46190</v>
      </c>
      <c r="B240" s="107">
        <v>714.6</v>
      </c>
      <c r="C240" s="107">
        <v>702.45</v>
      </c>
      <c r="D240" s="107">
        <v>696.65</v>
      </c>
      <c r="E240" s="107">
        <v>706.45</v>
      </c>
      <c r="F240" s="107">
        <v>702.45</v>
      </c>
      <c r="G240">
        <v>25888</v>
      </c>
      <c r="H240" s="107"/>
      <c r="I240" s="107"/>
      <c r="L240" s="149">
        <v>46190</v>
      </c>
      <c r="M240" s="107">
        <v>702.35</v>
      </c>
      <c r="N240" s="107">
        <v>713.95</v>
      </c>
      <c r="O240" s="107">
        <v>696.5</v>
      </c>
      <c r="P240" s="107">
        <v>710</v>
      </c>
      <c r="Q240" s="107">
        <v>702.35</v>
      </c>
      <c r="R240">
        <v>593105</v>
      </c>
    </row>
    <row r="241" spans="1:12" x14ac:dyDescent="0.25">
      <c r="A241" s="149"/>
      <c r="B241" s="107"/>
      <c r="C241" s="107"/>
      <c r="D241" s="107"/>
      <c r="E241" s="107"/>
      <c r="F241" s="107"/>
      <c r="H241" s="107"/>
      <c r="I241" s="107"/>
      <c r="L241" s="149"/>
    </row>
    <row r="242" spans="1:12" x14ac:dyDescent="0.25">
      <c r="A242" s="149"/>
      <c r="B242" s="107"/>
      <c r="C242" s="107"/>
      <c r="D242" s="107"/>
      <c r="E242" s="107"/>
      <c r="F242" s="107"/>
      <c r="H242" s="107"/>
      <c r="I242" s="107"/>
      <c r="L242" s="149"/>
    </row>
    <row r="243" spans="1:12" x14ac:dyDescent="0.25">
      <c r="A243" s="149"/>
      <c r="B243" s="107"/>
      <c r="C243" s="107"/>
      <c r="D243" s="107"/>
      <c r="E243" s="107"/>
      <c r="F243" s="107"/>
      <c r="H243" s="107"/>
      <c r="I243" s="107"/>
      <c r="L243" s="149"/>
    </row>
    <row r="244" spans="1:12" x14ac:dyDescent="0.25">
      <c r="A244" s="149"/>
      <c r="B244" s="107"/>
      <c r="C244" s="107"/>
      <c r="D244" s="107"/>
      <c r="E244" s="107"/>
      <c r="F244" s="107"/>
      <c r="H244" s="107"/>
      <c r="I244" s="107"/>
      <c r="L244" s="149"/>
    </row>
    <row r="245" spans="1:12" x14ac:dyDescent="0.25">
      <c r="A245" s="149"/>
      <c r="B245" s="107"/>
      <c r="C245" s="107"/>
      <c r="D245" s="107"/>
      <c r="E245" s="107"/>
      <c r="F245" s="107"/>
      <c r="H245" s="107"/>
      <c r="I245" s="107"/>
      <c r="L245" s="149"/>
    </row>
    <row r="246" spans="1:12" x14ac:dyDescent="0.25">
      <c r="A246" s="149"/>
      <c r="B246" s="107"/>
      <c r="C246" s="107"/>
      <c r="D246" s="107"/>
      <c r="E246" s="107"/>
      <c r="F246" s="107"/>
      <c r="H246" s="107"/>
      <c r="I246" s="107"/>
      <c r="L246" s="149"/>
    </row>
    <row r="247" spans="1:12" x14ac:dyDescent="0.25">
      <c r="A247" s="149"/>
      <c r="B247" s="107"/>
      <c r="C247" s="107"/>
      <c r="D247" s="107"/>
      <c r="E247" s="107"/>
      <c r="F247" s="107"/>
      <c r="H247" s="107"/>
      <c r="I247" s="107"/>
      <c r="L247" s="149"/>
    </row>
    <row r="248" spans="1:12" x14ac:dyDescent="0.25">
      <c r="A248" s="149"/>
      <c r="B248" s="107"/>
      <c r="C248" s="107"/>
      <c r="D248" s="107"/>
      <c r="E248" s="107"/>
      <c r="F248" s="107"/>
      <c r="H248" s="107"/>
      <c r="I248" s="107"/>
      <c r="L248" s="149"/>
    </row>
    <row r="249" spans="1:12" x14ac:dyDescent="0.25">
      <c r="A249" s="149"/>
      <c r="B249" s="107"/>
      <c r="C249" s="107"/>
      <c r="D249" s="107"/>
      <c r="E249" s="107"/>
      <c r="F249" s="107"/>
      <c r="H249" s="107"/>
      <c r="I249" s="107"/>
      <c r="L249" s="149"/>
    </row>
    <row r="250" spans="1:12" x14ac:dyDescent="0.25">
      <c r="A250" s="149"/>
      <c r="B250" s="107"/>
      <c r="C250" s="107"/>
      <c r="D250" s="107"/>
      <c r="E250" s="107"/>
      <c r="F250" s="107"/>
      <c r="H250" s="107"/>
      <c r="I250" s="107"/>
      <c r="L250" s="149"/>
    </row>
    <row r="251" spans="1:12" x14ac:dyDescent="0.25">
      <c r="A251" s="149"/>
      <c r="B251" s="107"/>
      <c r="C251" s="107"/>
      <c r="D251" s="107"/>
      <c r="E251" s="107"/>
      <c r="F251" s="107"/>
      <c r="H251" s="107"/>
      <c r="I251" s="107"/>
      <c r="L251" s="149"/>
    </row>
    <row r="252" spans="1:12" x14ac:dyDescent="0.25">
      <c r="A252" s="149"/>
      <c r="B252" s="107"/>
      <c r="C252" s="107"/>
      <c r="D252" s="107"/>
      <c r="E252" s="107"/>
      <c r="F252" s="107"/>
      <c r="H252" s="107"/>
      <c r="I252" s="107"/>
      <c r="L252" s="149"/>
    </row>
    <row r="253" spans="1:12" x14ac:dyDescent="0.25">
      <c r="A253" s="149"/>
      <c r="B253" s="107"/>
      <c r="C253" s="107"/>
      <c r="D253" s="107"/>
      <c r="E253" s="107"/>
      <c r="F253" s="107"/>
      <c r="H253" s="107"/>
      <c r="I253" s="107"/>
      <c r="L253" s="149"/>
    </row>
    <row r="254" spans="1:12" x14ac:dyDescent="0.25">
      <c r="A254" s="149"/>
      <c r="B254" s="107"/>
      <c r="C254" s="107"/>
      <c r="D254" s="107"/>
      <c r="E254" s="107"/>
      <c r="F254" s="107"/>
      <c r="H254" s="107"/>
      <c r="I254" s="107"/>
      <c r="L254" s="149"/>
    </row>
    <row r="255" spans="1:12" x14ac:dyDescent="0.25">
      <c r="A255" s="149"/>
      <c r="B255" s="107"/>
      <c r="C255" s="107"/>
      <c r="D255" s="107"/>
      <c r="E255" s="107"/>
      <c r="F255" s="107"/>
      <c r="H255" s="107"/>
      <c r="I255" s="107"/>
      <c r="L255" s="149"/>
    </row>
    <row r="256" spans="1:12" x14ac:dyDescent="0.25">
      <c r="A256" s="149"/>
      <c r="B256" s="107"/>
      <c r="C256" s="107"/>
      <c r="D256" s="107"/>
      <c r="E256" s="107"/>
      <c r="F256" s="107"/>
      <c r="H256" s="107"/>
      <c r="I256" s="107"/>
      <c r="L256" s="149"/>
    </row>
    <row r="257" spans="1:12" x14ac:dyDescent="0.25">
      <c r="A257" s="149"/>
      <c r="B257" s="107"/>
      <c r="C257" s="107"/>
      <c r="D257" s="107"/>
      <c r="E257" s="107"/>
      <c r="F257" s="107"/>
      <c r="H257" s="107"/>
      <c r="I257" s="107"/>
      <c r="L257" s="149"/>
    </row>
    <row r="258" spans="1:12" x14ac:dyDescent="0.25">
      <c r="A258" s="149"/>
      <c r="B258" s="107"/>
      <c r="C258" s="107"/>
      <c r="D258" s="107"/>
      <c r="E258" s="107"/>
      <c r="F258" s="107"/>
      <c r="H258" s="107"/>
      <c r="I258" s="107"/>
      <c r="L258" s="149"/>
    </row>
    <row r="259" spans="1:12" x14ac:dyDescent="0.25">
      <c r="A259" s="149"/>
      <c r="B259" s="107"/>
      <c r="C259" s="107"/>
      <c r="D259" s="107"/>
      <c r="E259" s="107"/>
      <c r="F259" s="107"/>
      <c r="H259" s="107"/>
      <c r="I259" s="107"/>
      <c r="L259" s="149"/>
    </row>
    <row r="260" spans="1:12" x14ac:dyDescent="0.25">
      <c r="A260" s="149"/>
      <c r="B260" s="107"/>
      <c r="C260" s="107"/>
      <c r="D260" s="107"/>
      <c r="E260" s="107"/>
      <c r="F260" s="107"/>
      <c r="H260" s="107"/>
      <c r="I260" s="107"/>
      <c r="L260" s="149"/>
    </row>
    <row r="261" spans="1:12" x14ac:dyDescent="0.25">
      <c r="A261" s="149"/>
      <c r="B261" s="107"/>
      <c r="C261" s="107"/>
      <c r="D261" s="107"/>
      <c r="E261" s="107"/>
      <c r="F261" s="107"/>
      <c r="H261" s="107"/>
      <c r="I261" s="107"/>
      <c r="L261" s="149"/>
    </row>
    <row r="262" spans="1:12" x14ac:dyDescent="0.25">
      <c r="A262" s="149"/>
      <c r="B262" s="107"/>
      <c r="C262" s="107"/>
      <c r="D262" s="107"/>
      <c r="E262" s="107"/>
      <c r="F262" s="107"/>
      <c r="H262" s="107"/>
      <c r="I262" s="107"/>
      <c r="L262" s="149"/>
    </row>
    <row r="263" spans="1:12" x14ac:dyDescent="0.25">
      <c r="A263" s="149"/>
      <c r="B263" s="107"/>
      <c r="C263" s="107"/>
      <c r="D263" s="107"/>
      <c r="E263" s="107"/>
      <c r="F263" s="107"/>
      <c r="H263" s="107"/>
      <c r="I263" s="107"/>
      <c r="L263" s="149"/>
    </row>
    <row r="264" spans="1:12" x14ac:dyDescent="0.25">
      <c r="A264" s="149"/>
      <c r="B264" s="107"/>
      <c r="C264" s="107"/>
      <c r="D264" s="107"/>
      <c r="E264" s="107"/>
      <c r="F264" s="107"/>
      <c r="H264" s="107"/>
      <c r="I264" s="107"/>
      <c r="L264" s="149"/>
    </row>
    <row r="265" spans="1:12" x14ac:dyDescent="0.25">
      <c r="A265" s="149"/>
      <c r="B265" s="107"/>
      <c r="C265" s="107"/>
      <c r="D265" s="107"/>
      <c r="E265" s="107"/>
      <c r="F265" s="107"/>
      <c r="H265" s="107"/>
      <c r="I265" s="107"/>
      <c r="L265" s="149"/>
    </row>
    <row r="266" spans="1:12" x14ac:dyDescent="0.25">
      <c r="A266" s="149"/>
      <c r="B266" s="107"/>
      <c r="C266" s="107"/>
      <c r="D266" s="107"/>
      <c r="E266" s="107"/>
      <c r="F266" s="107"/>
      <c r="H266" s="107"/>
      <c r="I266" s="107"/>
      <c r="L266" s="149"/>
    </row>
    <row r="267" spans="1:12" x14ac:dyDescent="0.25">
      <c r="A267" s="149"/>
      <c r="B267" s="107"/>
      <c r="C267" s="107"/>
      <c r="D267" s="107"/>
      <c r="E267" s="107"/>
      <c r="F267" s="107"/>
      <c r="H267" s="107"/>
      <c r="I267" s="107"/>
      <c r="L267" s="149"/>
    </row>
    <row r="268" spans="1:12" x14ac:dyDescent="0.25">
      <c r="A268" s="149"/>
      <c r="B268" s="107"/>
      <c r="C268" s="107"/>
      <c r="D268" s="107"/>
      <c r="E268" s="107"/>
      <c r="F268" s="107"/>
      <c r="H268" s="107"/>
      <c r="I268" s="107"/>
      <c r="L268" s="149"/>
    </row>
    <row r="269" spans="1:12" x14ac:dyDescent="0.25">
      <c r="A269" s="149"/>
      <c r="B269" s="107"/>
      <c r="C269" s="107"/>
      <c r="D269" s="107"/>
      <c r="E269" s="107"/>
      <c r="F269" s="107"/>
      <c r="H269" s="107"/>
      <c r="I269" s="107"/>
      <c r="L269" s="149"/>
    </row>
    <row r="270" spans="1:12" x14ac:dyDescent="0.25">
      <c r="A270" s="149"/>
      <c r="B270" s="107"/>
      <c r="C270" s="107"/>
      <c r="D270" s="107"/>
      <c r="E270" s="107"/>
      <c r="F270" s="107"/>
      <c r="H270" s="107"/>
      <c r="I270" s="107"/>
      <c r="L270" s="149"/>
    </row>
    <row r="271" spans="1:12" x14ac:dyDescent="0.25">
      <c r="A271" s="149"/>
      <c r="B271" s="107"/>
      <c r="C271" s="107"/>
      <c r="D271" s="107"/>
      <c r="E271" s="107"/>
      <c r="F271" s="107"/>
      <c r="H271" s="107"/>
      <c r="I271" s="107"/>
      <c r="L271" s="149"/>
    </row>
    <row r="272" spans="1:12" x14ac:dyDescent="0.25">
      <c r="A272" s="149"/>
      <c r="B272" s="107"/>
      <c r="C272" s="107"/>
      <c r="D272" s="107"/>
      <c r="E272" s="107"/>
      <c r="F272" s="107"/>
      <c r="H272" s="107"/>
      <c r="I272" s="107"/>
      <c r="L272" s="149"/>
    </row>
    <row r="273" spans="1:12" x14ac:dyDescent="0.25">
      <c r="A273" s="149"/>
      <c r="B273" s="107"/>
      <c r="C273" s="107"/>
      <c r="D273" s="107"/>
      <c r="E273" s="107"/>
      <c r="F273" s="107"/>
      <c r="H273" s="107"/>
      <c r="I273" s="107"/>
      <c r="L273" s="149"/>
    </row>
    <row r="274" spans="1:12" x14ac:dyDescent="0.25">
      <c r="A274" s="149"/>
      <c r="B274" s="107"/>
      <c r="C274" s="107"/>
      <c r="D274" s="107"/>
      <c r="E274" s="107"/>
      <c r="F274" s="107"/>
      <c r="H274" s="107"/>
      <c r="I274" s="107"/>
      <c r="L274" s="149"/>
    </row>
    <row r="275" spans="1:12" x14ac:dyDescent="0.25">
      <c r="A275" s="149"/>
      <c r="B275" s="107"/>
      <c r="C275" s="107"/>
      <c r="D275" s="107"/>
      <c r="E275" s="107"/>
      <c r="F275" s="107"/>
      <c r="H275" s="107"/>
      <c r="I275" s="107"/>
      <c r="L275" s="149"/>
    </row>
    <row r="276" spans="1:12" x14ac:dyDescent="0.25">
      <c r="A276" s="149"/>
      <c r="B276" s="107"/>
      <c r="C276" s="107"/>
      <c r="D276" s="107"/>
      <c r="E276" s="107"/>
      <c r="F276" s="107"/>
      <c r="H276" s="107"/>
      <c r="I276" s="107"/>
      <c r="L276" s="149"/>
    </row>
    <row r="277" spans="1:12" x14ac:dyDescent="0.25">
      <c r="A277" s="149"/>
      <c r="B277" s="107"/>
      <c r="C277" s="107"/>
      <c r="D277" s="107"/>
      <c r="E277" s="107"/>
      <c r="F277" s="107"/>
      <c r="H277" s="107"/>
      <c r="I277" s="107"/>
      <c r="L277" s="149"/>
    </row>
    <row r="278" spans="1:12" x14ac:dyDescent="0.25">
      <c r="A278" s="149"/>
      <c r="B278" s="107"/>
      <c r="C278" s="107"/>
      <c r="D278" s="107"/>
      <c r="E278" s="107"/>
      <c r="F278" s="107"/>
      <c r="H278" s="107"/>
      <c r="I278" s="107"/>
      <c r="L278" s="149"/>
    </row>
    <row r="279" spans="1:12" x14ac:dyDescent="0.25">
      <c r="A279" s="149"/>
      <c r="B279" s="107"/>
      <c r="C279" s="107"/>
      <c r="D279" s="107"/>
      <c r="E279" s="107"/>
      <c r="F279" s="107"/>
      <c r="H279" s="107"/>
      <c r="I279" s="107"/>
      <c r="L279" s="149"/>
    </row>
    <row r="280" spans="1:12" x14ac:dyDescent="0.25">
      <c r="A280" s="149"/>
      <c r="B280" s="107"/>
      <c r="C280" s="107"/>
      <c r="D280" s="107"/>
      <c r="E280" s="107"/>
      <c r="F280" s="107"/>
      <c r="H280" s="107"/>
      <c r="I280" s="107"/>
      <c r="L280" s="149"/>
    </row>
    <row r="281" spans="1:12" x14ac:dyDescent="0.25">
      <c r="A281" s="149"/>
      <c r="B281" s="107"/>
      <c r="C281" s="107"/>
      <c r="D281" s="107"/>
      <c r="E281" s="107"/>
      <c r="F281" s="107"/>
      <c r="H281" s="107"/>
      <c r="I281" s="107"/>
      <c r="L281" s="149"/>
    </row>
    <row r="282" spans="1:12" x14ac:dyDescent="0.25">
      <c r="A282" s="149"/>
      <c r="B282" s="107"/>
      <c r="C282" s="107"/>
      <c r="D282" s="107"/>
      <c r="E282" s="107"/>
      <c r="F282" s="107"/>
      <c r="H282" s="107"/>
      <c r="I282" s="107"/>
      <c r="L282" s="149"/>
    </row>
    <row r="283" spans="1:12" x14ac:dyDescent="0.25">
      <c r="A283" s="149"/>
      <c r="B283" s="107"/>
      <c r="C283" s="107"/>
      <c r="D283" s="107"/>
      <c r="E283" s="107"/>
      <c r="F283" s="107"/>
      <c r="H283" s="107"/>
      <c r="I283" s="107"/>
      <c r="L283" s="149"/>
    </row>
    <row r="284" spans="1:12" x14ac:dyDescent="0.25">
      <c r="A284" s="149"/>
      <c r="B284" s="107"/>
      <c r="C284" s="107"/>
      <c r="D284" s="107"/>
      <c r="E284" s="107"/>
      <c r="F284" s="107"/>
      <c r="H284" s="107"/>
      <c r="I284" s="107"/>
      <c r="L284" s="149"/>
    </row>
    <row r="285" spans="1:12" x14ac:dyDescent="0.25">
      <c r="A285" s="149"/>
      <c r="B285" s="107"/>
      <c r="C285" s="107"/>
      <c r="D285" s="107"/>
      <c r="E285" s="107"/>
      <c r="F285" s="107"/>
      <c r="H285" s="107"/>
      <c r="I285" s="107"/>
      <c r="L285" s="149"/>
    </row>
    <row r="286" spans="1:12" x14ac:dyDescent="0.25">
      <c r="A286" s="149"/>
      <c r="B286" s="107"/>
      <c r="C286" s="107"/>
      <c r="D286" s="107"/>
      <c r="E286" s="107"/>
      <c r="F286" s="107"/>
      <c r="H286" s="107"/>
      <c r="I286" s="107"/>
      <c r="L286" s="149"/>
    </row>
    <row r="287" spans="1:12" x14ac:dyDescent="0.25">
      <c r="A287" s="149"/>
      <c r="B287" s="107"/>
      <c r="C287" s="107"/>
      <c r="D287" s="107"/>
      <c r="E287" s="107"/>
      <c r="F287" s="107"/>
      <c r="H287" s="107"/>
      <c r="I287" s="107"/>
      <c r="L287" s="149"/>
    </row>
    <row r="288" spans="1:12" x14ac:dyDescent="0.25">
      <c r="A288" s="149"/>
      <c r="B288" s="107"/>
      <c r="C288" s="107"/>
      <c r="D288" s="107"/>
      <c r="E288" s="107"/>
      <c r="F288" s="107"/>
      <c r="H288" s="107"/>
      <c r="I288" s="107"/>
      <c r="L288" s="149"/>
    </row>
    <row r="289" spans="1:12" x14ac:dyDescent="0.25">
      <c r="A289" s="149"/>
      <c r="B289" s="107"/>
      <c r="C289" s="107"/>
      <c r="D289" s="107"/>
      <c r="E289" s="107"/>
      <c r="F289" s="107"/>
      <c r="H289" s="107"/>
      <c r="I289" s="107"/>
      <c r="L289" s="149"/>
    </row>
    <row r="290" spans="1:12" x14ac:dyDescent="0.25">
      <c r="A290" s="149"/>
      <c r="B290" s="107"/>
      <c r="C290" s="107"/>
      <c r="D290" s="107"/>
      <c r="E290" s="107"/>
      <c r="F290" s="107"/>
      <c r="H290" s="107"/>
      <c r="I290" s="107"/>
      <c r="L290" s="149"/>
    </row>
    <row r="291" spans="1:12" x14ac:dyDescent="0.25">
      <c r="A291" s="149"/>
      <c r="B291" s="107"/>
      <c r="C291" s="107"/>
      <c r="D291" s="107"/>
      <c r="E291" s="107"/>
      <c r="F291" s="107"/>
      <c r="H291" s="107"/>
      <c r="I291" s="107"/>
      <c r="L291" s="149"/>
    </row>
    <row r="292" spans="1:12" x14ac:dyDescent="0.25">
      <c r="A292" s="149"/>
      <c r="B292" s="107"/>
      <c r="C292" s="107"/>
      <c r="D292" s="107"/>
      <c r="E292" s="107"/>
      <c r="F292" s="107"/>
      <c r="H292" s="107"/>
      <c r="I292" s="107"/>
      <c r="L292" s="149"/>
    </row>
    <row r="293" spans="1:12" x14ac:dyDescent="0.25">
      <c r="A293" s="149"/>
      <c r="B293" s="107"/>
      <c r="C293" s="107"/>
      <c r="D293" s="107"/>
      <c r="E293" s="107"/>
      <c r="F293" s="107"/>
      <c r="H293" s="107"/>
      <c r="I293" s="107"/>
      <c r="L293" s="149"/>
    </row>
    <row r="294" spans="1:12" x14ac:dyDescent="0.25">
      <c r="A294" s="149"/>
      <c r="B294" s="107"/>
      <c r="C294" s="107"/>
      <c r="D294" s="107"/>
      <c r="E294" s="107"/>
      <c r="F294" s="107"/>
      <c r="H294" s="107"/>
      <c r="I294" s="107"/>
      <c r="L294" s="149"/>
    </row>
    <row r="295" spans="1:12" x14ac:dyDescent="0.25">
      <c r="A295" s="149"/>
      <c r="B295" s="107"/>
      <c r="C295" s="107"/>
      <c r="D295" s="107"/>
      <c r="E295" s="107"/>
      <c r="F295" s="107"/>
      <c r="H295" s="107"/>
      <c r="I295" s="107"/>
      <c r="L295" s="149"/>
    </row>
    <row r="296" spans="1:12" x14ac:dyDescent="0.25">
      <c r="A296" s="149"/>
      <c r="B296" s="107"/>
      <c r="C296" s="107"/>
      <c r="D296" s="107"/>
      <c r="E296" s="107"/>
      <c r="F296" s="107"/>
      <c r="H296" s="107"/>
      <c r="I296" s="107"/>
      <c r="L296" s="149"/>
    </row>
    <row r="297" spans="1:12" x14ac:dyDescent="0.25">
      <c r="A297" s="149"/>
      <c r="B297" s="107"/>
      <c r="C297" s="107"/>
      <c r="D297" s="107"/>
      <c r="E297" s="107"/>
      <c r="F297" s="107"/>
      <c r="H297" s="107"/>
      <c r="I297" s="107"/>
      <c r="L297" s="149"/>
    </row>
    <row r="298" spans="1:12" x14ac:dyDescent="0.25">
      <c r="A298" s="149"/>
      <c r="B298" s="107"/>
      <c r="C298" s="107"/>
      <c r="D298" s="107"/>
      <c r="E298" s="107"/>
      <c r="F298" s="107"/>
      <c r="H298" s="107"/>
      <c r="I298" s="107"/>
      <c r="L298" s="149"/>
    </row>
    <row r="299" spans="1:12" x14ac:dyDescent="0.25">
      <c r="A299" s="149"/>
      <c r="B299" s="107"/>
      <c r="C299" s="107"/>
      <c r="D299" s="107"/>
      <c r="E299" s="107"/>
      <c r="F299" s="107"/>
      <c r="H299" s="107"/>
      <c r="I299" s="107"/>
      <c r="L299" s="149"/>
    </row>
    <row r="300" spans="1:12" x14ac:dyDescent="0.25">
      <c r="A300" s="149"/>
      <c r="B300" s="107"/>
      <c r="C300" s="107"/>
      <c r="D300" s="107"/>
      <c r="E300" s="107"/>
      <c r="F300" s="107"/>
      <c r="H300" s="107"/>
      <c r="I300" s="107"/>
      <c r="L300" s="149"/>
    </row>
    <row r="301" spans="1:12" x14ac:dyDescent="0.25">
      <c r="A301" s="149"/>
      <c r="B301" s="107"/>
      <c r="C301" s="107"/>
      <c r="D301" s="107"/>
      <c r="E301" s="107"/>
      <c r="F301" s="107"/>
      <c r="H301" s="107"/>
      <c r="I301" s="107"/>
      <c r="L301" s="149"/>
    </row>
    <row r="302" spans="1:12" x14ac:dyDescent="0.25">
      <c r="A302" s="149"/>
      <c r="B302" s="107"/>
      <c r="C302" s="107"/>
      <c r="D302" s="107"/>
      <c r="E302" s="107"/>
      <c r="F302" s="107"/>
      <c r="H302" s="107"/>
      <c r="I302" s="107"/>
      <c r="L302" s="149"/>
    </row>
    <row r="303" spans="1:12" x14ac:dyDescent="0.25">
      <c r="A303" s="149"/>
      <c r="B303" s="107"/>
      <c r="C303" s="107"/>
      <c r="D303" s="107"/>
      <c r="E303" s="107"/>
      <c r="F303" s="107"/>
      <c r="H303" s="107"/>
      <c r="I303" s="107"/>
      <c r="L303" s="149"/>
    </row>
    <row r="304" spans="1:12" x14ac:dyDescent="0.25">
      <c r="A304" s="149"/>
      <c r="B304" s="107"/>
      <c r="C304" s="107"/>
      <c r="D304" s="107"/>
      <c r="E304" s="107"/>
      <c r="F304" s="107"/>
      <c r="H304" s="107"/>
      <c r="I304" s="107"/>
      <c r="L304" s="149"/>
    </row>
    <row r="305" spans="1:12" x14ac:dyDescent="0.25">
      <c r="A305" s="149"/>
      <c r="B305" s="107"/>
      <c r="C305" s="107"/>
      <c r="D305" s="107"/>
      <c r="E305" s="107"/>
      <c r="F305" s="107"/>
      <c r="H305" s="107"/>
      <c r="I305" s="107"/>
      <c r="L305" s="149"/>
    </row>
    <row r="306" spans="1:12" x14ac:dyDescent="0.25">
      <c r="A306" s="149"/>
      <c r="B306" s="107"/>
      <c r="C306" s="107"/>
      <c r="D306" s="107"/>
      <c r="E306" s="107"/>
      <c r="F306" s="107"/>
      <c r="H306" s="107"/>
      <c r="I306" s="107"/>
      <c r="L306" s="149"/>
    </row>
    <row r="307" spans="1:12" x14ac:dyDescent="0.25">
      <c r="A307" s="149"/>
      <c r="B307" s="107"/>
      <c r="C307" s="107"/>
      <c r="D307" s="107"/>
      <c r="E307" s="107"/>
      <c r="F307" s="107"/>
      <c r="H307" s="107"/>
      <c r="I307" s="107"/>
      <c r="L307" s="149"/>
    </row>
    <row r="308" spans="1:12" x14ac:dyDescent="0.25">
      <c r="A308" s="149"/>
      <c r="B308" s="107"/>
      <c r="C308" s="107"/>
      <c r="D308" s="107"/>
      <c r="E308" s="107"/>
      <c r="F308" s="107"/>
      <c r="H308" s="107"/>
      <c r="I308" s="107"/>
      <c r="L308" s="149"/>
    </row>
    <row r="309" spans="1:12" x14ac:dyDescent="0.25">
      <c r="A309" s="149"/>
      <c r="B309" s="107"/>
      <c r="C309" s="107"/>
      <c r="D309" s="107"/>
      <c r="E309" s="107"/>
      <c r="F309" s="107"/>
      <c r="H309" s="107"/>
      <c r="I309" s="107"/>
      <c r="L309" s="149"/>
    </row>
    <row r="310" spans="1:12" x14ac:dyDescent="0.25">
      <c r="A310" s="149"/>
      <c r="B310" s="107"/>
      <c r="C310" s="107"/>
      <c r="D310" s="107"/>
      <c r="E310" s="107"/>
      <c r="F310" s="107"/>
      <c r="H310" s="107"/>
      <c r="I310" s="107"/>
      <c r="L310" s="149"/>
    </row>
    <row r="311" spans="1:12" x14ac:dyDescent="0.25">
      <c r="A311" s="149"/>
      <c r="B311" s="107"/>
      <c r="C311" s="107"/>
      <c r="D311" s="107"/>
      <c r="E311" s="107"/>
      <c r="F311" s="107"/>
      <c r="H311" s="107"/>
      <c r="I311" s="107"/>
      <c r="L311" s="149"/>
    </row>
    <row r="312" spans="1:12" x14ac:dyDescent="0.25">
      <c r="A312" s="149"/>
      <c r="B312" s="107"/>
      <c r="C312" s="107"/>
      <c r="D312" s="107"/>
      <c r="E312" s="107"/>
      <c r="F312" s="107"/>
      <c r="H312" s="107"/>
      <c r="I312" s="107"/>
      <c r="L312" s="149"/>
    </row>
    <row r="313" spans="1:12" x14ac:dyDescent="0.25">
      <c r="A313" s="149"/>
      <c r="B313" s="107"/>
      <c r="C313" s="107"/>
      <c r="D313" s="107"/>
      <c r="E313" s="107"/>
      <c r="F313" s="107"/>
      <c r="H313" s="107"/>
      <c r="I313" s="107"/>
      <c r="L313" s="149"/>
    </row>
    <row r="314" spans="1:12" x14ac:dyDescent="0.25">
      <c r="A314" s="149"/>
      <c r="B314" s="107"/>
      <c r="C314" s="107"/>
      <c r="D314" s="107"/>
      <c r="E314" s="107"/>
      <c r="F314" s="107"/>
      <c r="H314" s="107"/>
      <c r="I314" s="107"/>
      <c r="L314" s="149"/>
    </row>
    <row r="315" spans="1:12" x14ac:dyDescent="0.25">
      <c r="A315" s="149"/>
      <c r="B315" s="107"/>
      <c r="C315" s="107"/>
      <c r="D315" s="107"/>
      <c r="E315" s="107"/>
      <c r="F315" s="107"/>
      <c r="H315" s="107"/>
      <c r="I315" s="107"/>
      <c r="L315" s="149"/>
    </row>
    <row r="316" spans="1:12" x14ac:dyDescent="0.25">
      <c r="A316" s="149"/>
      <c r="B316" s="107"/>
      <c r="C316" s="107"/>
      <c r="D316" s="107"/>
      <c r="E316" s="107"/>
      <c r="F316" s="107"/>
      <c r="H316" s="107"/>
      <c r="I316" s="107"/>
      <c r="L316" s="149"/>
    </row>
    <row r="317" spans="1:12" x14ac:dyDescent="0.25">
      <c r="A317" s="149"/>
      <c r="B317" s="107"/>
      <c r="C317" s="107"/>
      <c r="D317" s="107"/>
      <c r="E317" s="107"/>
      <c r="F317" s="107"/>
      <c r="H317" s="107"/>
      <c r="I317" s="107"/>
      <c r="L317" s="149"/>
    </row>
    <row r="318" spans="1:12" x14ac:dyDescent="0.25">
      <c r="A318" s="149"/>
      <c r="B318" s="107"/>
      <c r="C318" s="107"/>
      <c r="D318" s="107"/>
      <c r="E318" s="107"/>
      <c r="F318" s="107"/>
      <c r="H318" s="107"/>
      <c r="I318" s="107"/>
      <c r="L318" s="149"/>
    </row>
    <row r="319" spans="1:12" x14ac:dyDescent="0.25">
      <c r="A319" s="149"/>
      <c r="B319" s="107"/>
      <c r="C319" s="107"/>
      <c r="D319" s="107"/>
      <c r="E319" s="107"/>
      <c r="F319" s="107"/>
      <c r="H319" s="107"/>
      <c r="I319" s="107"/>
      <c r="L319" s="149"/>
    </row>
    <row r="320" spans="1:12" x14ac:dyDescent="0.25">
      <c r="A320" s="149"/>
      <c r="B320" s="107"/>
      <c r="C320" s="107"/>
      <c r="D320" s="107"/>
      <c r="E320" s="107"/>
      <c r="F320" s="107"/>
      <c r="H320" s="107"/>
      <c r="I320" s="107"/>
      <c r="L320" s="149"/>
    </row>
    <row r="321" spans="1:12" x14ac:dyDescent="0.25">
      <c r="A321" s="149"/>
      <c r="B321" s="107"/>
      <c r="C321" s="107"/>
      <c r="D321" s="107"/>
      <c r="E321" s="107"/>
      <c r="F321" s="107"/>
      <c r="H321" s="107"/>
      <c r="I321" s="107"/>
      <c r="L321" s="149"/>
    </row>
    <row r="322" spans="1:12" x14ac:dyDescent="0.25">
      <c r="A322" s="149"/>
      <c r="B322" s="107"/>
      <c r="C322" s="107"/>
      <c r="D322" s="107"/>
      <c r="E322" s="107"/>
      <c r="F322" s="107"/>
      <c r="H322" s="107"/>
      <c r="I322" s="107"/>
      <c r="L322" s="149"/>
    </row>
    <row r="323" spans="1:12" x14ac:dyDescent="0.25">
      <c r="A323" s="149"/>
      <c r="B323" s="107"/>
      <c r="C323" s="107"/>
      <c r="D323" s="107"/>
      <c r="E323" s="107"/>
      <c r="F323" s="107"/>
      <c r="H323" s="107"/>
      <c r="I323" s="107"/>
      <c r="L323" s="149"/>
    </row>
    <row r="324" spans="1:12" x14ac:dyDescent="0.25">
      <c r="A324" s="149"/>
      <c r="B324" s="107"/>
      <c r="C324" s="107"/>
      <c r="D324" s="107"/>
      <c r="E324" s="107"/>
      <c r="F324" s="107"/>
      <c r="H324" s="107"/>
      <c r="I324" s="107"/>
      <c r="L324" s="149"/>
    </row>
    <row r="325" spans="1:12" x14ac:dyDescent="0.25">
      <c r="A325" s="149"/>
      <c r="B325" s="107"/>
      <c r="C325" s="107"/>
      <c r="D325" s="107"/>
      <c r="E325" s="107"/>
      <c r="F325" s="107"/>
      <c r="H325" s="107"/>
      <c r="I325" s="107"/>
      <c r="L325" s="149"/>
    </row>
    <row r="326" spans="1:12" x14ac:dyDescent="0.25">
      <c r="A326" s="149"/>
      <c r="B326" s="107"/>
      <c r="C326" s="107"/>
      <c r="D326" s="107"/>
      <c r="E326" s="107"/>
      <c r="F326" s="107"/>
      <c r="H326" s="107"/>
      <c r="I326" s="107"/>
      <c r="L326" s="149"/>
    </row>
    <row r="327" spans="1:12" x14ac:dyDescent="0.25">
      <c r="A327" s="149"/>
      <c r="B327" s="107"/>
      <c r="C327" s="107"/>
      <c r="D327" s="107"/>
      <c r="E327" s="107"/>
      <c r="F327" s="107"/>
      <c r="H327" s="107"/>
      <c r="I327" s="107"/>
      <c r="L327" s="149"/>
    </row>
    <row r="328" spans="1:12" x14ac:dyDescent="0.25">
      <c r="A328" s="149"/>
      <c r="B328" s="107"/>
      <c r="C328" s="107"/>
      <c r="D328" s="107"/>
      <c r="E328" s="107"/>
      <c r="F328" s="107"/>
      <c r="H328" s="107"/>
      <c r="I328" s="107"/>
      <c r="L328" s="149"/>
    </row>
    <row r="329" spans="1:12" x14ac:dyDescent="0.25">
      <c r="A329" s="149"/>
      <c r="B329" s="107"/>
      <c r="C329" s="107"/>
      <c r="D329" s="107"/>
      <c r="E329" s="107"/>
      <c r="F329" s="107"/>
      <c r="H329" s="107"/>
      <c r="I329" s="107"/>
      <c r="L329" s="149"/>
    </row>
    <row r="330" spans="1:12" x14ac:dyDescent="0.25">
      <c r="A330" s="149"/>
      <c r="B330" s="107"/>
      <c r="C330" s="107"/>
      <c r="D330" s="107"/>
      <c r="E330" s="107"/>
      <c r="F330" s="107"/>
      <c r="H330" s="107"/>
      <c r="I330" s="107"/>
      <c r="L330" s="149"/>
    </row>
    <row r="331" spans="1:12" x14ac:dyDescent="0.25">
      <c r="A331" s="149"/>
      <c r="B331" s="107"/>
      <c r="C331" s="107"/>
      <c r="D331" s="107"/>
      <c r="E331" s="107"/>
      <c r="F331" s="107"/>
      <c r="H331" s="107"/>
      <c r="I331" s="107"/>
      <c r="L331" s="149"/>
    </row>
    <row r="332" spans="1:12" x14ac:dyDescent="0.25">
      <c r="A332" s="149"/>
      <c r="B332" s="107"/>
      <c r="C332" s="107"/>
      <c r="D332" s="107"/>
      <c r="E332" s="107"/>
      <c r="F332" s="107"/>
      <c r="H332" s="107"/>
      <c r="I332" s="107"/>
      <c r="L332" s="149"/>
    </row>
    <row r="333" spans="1:12" x14ac:dyDescent="0.25">
      <c r="A333" s="149"/>
      <c r="B333" s="107"/>
      <c r="C333" s="107"/>
      <c r="D333" s="107"/>
      <c r="E333" s="107"/>
      <c r="F333" s="107"/>
      <c r="H333" s="107"/>
      <c r="I333" s="107"/>
      <c r="L333" s="149"/>
    </row>
    <row r="334" spans="1:12" x14ac:dyDescent="0.25">
      <c r="A334" s="149"/>
      <c r="B334" s="107"/>
      <c r="C334" s="107"/>
      <c r="D334" s="107"/>
      <c r="E334" s="107"/>
      <c r="F334" s="107"/>
      <c r="H334" s="107"/>
      <c r="I334" s="107"/>
      <c r="L334" s="149"/>
    </row>
    <row r="335" spans="1:12" x14ac:dyDescent="0.25">
      <c r="A335" s="149"/>
      <c r="B335" s="107"/>
      <c r="C335" s="107"/>
      <c r="D335" s="107"/>
      <c r="E335" s="107"/>
      <c r="F335" s="107"/>
      <c r="H335" s="107"/>
      <c r="I335" s="107"/>
      <c r="L335" s="149"/>
    </row>
    <row r="336" spans="1:12" x14ac:dyDescent="0.25">
      <c r="A336" s="149"/>
      <c r="B336" s="107"/>
      <c r="C336" s="107"/>
      <c r="D336" s="107"/>
      <c r="E336" s="107"/>
      <c r="F336" s="107"/>
      <c r="H336" s="107"/>
      <c r="I336" s="107"/>
      <c r="L336" s="149"/>
    </row>
    <row r="337" spans="1:12" x14ac:dyDescent="0.25">
      <c r="A337" s="149"/>
      <c r="B337" s="107"/>
      <c r="C337" s="107"/>
      <c r="D337" s="107"/>
      <c r="E337" s="107"/>
      <c r="F337" s="107"/>
      <c r="H337" s="107"/>
      <c r="I337" s="107"/>
      <c r="L337" s="149"/>
    </row>
    <row r="338" spans="1:12" x14ac:dyDescent="0.25">
      <c r="A338" s="149"/>
      <c r="B338" s="107"/>
      <c r="C338" s="107"/>
      <c r="D338" s="107"/>
      <c r="E338" s="107"/>
      <c r="F338" s="107"/>
      <c r="H338" s="107"/>
      <c r="I338" s="107"/>
      <c r="L338" s="149"/>
    </row>
    <row r="339" spans="1:12" x14ac:dyDescent="0.25">
      <c r="A339" s="149"/>
      <c r="B339" s="107"/>
      <c r="C339" s="107"/>
      <c r="D339" s="107"/>
      <c r="E339" s="107"/>
      <c r="F339" s="107"/>
      <c r="H339" s="107"/>
      <c r="I339" s="107"/>
      <c r="L339" s="149"/>
    </row>
    <row r="340" spans="1:12" x14ac:dyDescent="0.25">
      <c r="A340" s="149"/>
      <c r="B340" s="107"/>
      <c r="C340" s="107"/>
      <c r="D340" s="107"/>
      <c r="E340" s="107"/>
      <c r="F340" s="107"/>
      <c r="H340" s="107"/>
      <c r="I340" s="107"/>
      <c r="L340" s="149"/>
    </row>
    <row r="341" spans="1:12" x14ac:dyDescent="0.25">
      <c r="A341" s="149"/>
      <c r="B341" s="107"/>
      <c r="C341" s="107"/>
      <c r="D341" s="107"/>
      <c r="E341" s="107"/>
      <c r="F341" s="107"/>
      <c r="H341" s="107"/>
      <c r="I341" s="107"/>
      <c r="L341" s="149"/>
    </row>
    <row r="342" spans="1:12" x14ac:dyDescent="0.25">
      <c r="A342" s="149"/>
      <c r="B342" s="107"/>
      <c r="C342" s="107"/>
      <c r="D342" s="107"/>
      <c r="E342" s="107"/>
      <c r="F342" s="107"/>
      <c r="H342" s="107"/>
      <c r="I342" s="107"/>
      <c r="L342" s="149"/>
    </row>
    <row r="343" spans="1:12" x14ac:dyDescent="0.25">
      <c r="A343" s="149"/>
      <c r="B343" s="107"/>
      <c r="C343" s="107"/>
      <c r="D343" s="107"/>
      <c r="E343" s="107"/>
      <c r="F343" s="107"/>
      <c r="H343" s="107"/>
      <c r="I343" s="107"/>
      <c r="L343" s="149"/>
    </row>
    <row r="344" spans="1:12" x14ac:dyDescent="0.25">
      <c r="A344" s="149"/>
      <c r="B344" s="107"/>
      <c r="C344" s="107"/>
      <c r="D344" s="107"/>
      <c r="E344" s="107"/>
      <c r="F344" s="107"/>
      <c r="H344" s="107"/>
      <c r="I344" s="107"/>
      <c r="L344" s="149"/>
    </row>
    <row r="345" spans="1:12" x14ac:dyDescent="0.25">
      <c r="A345" s="149"/>
      <c r="B345" s="107"/>
      <c r="C345" s="107"/>
      <c r="D345" s="107"/>
      <c r="E345" s="107"/>
      <c r="F345" s="107"/>
      <c r="H345" s="107"/>
      <c r="I345" s="107"/>
      <c r="L345" s="149"/>
    </row>
    <row r="346" spans="1:12" x14ac:dyDescent="0.25">
      <c r="A346" s="149"/>
      <c r="B346" s="107"/>
      <c r="C346" s="107"/>
      <c r="D346" s="107"/>
      <c r="E346" s="107"/>
      <c r="F346" s="107"/>
      <c r="H346" s="107"/>
      <c r="I346" s="107"/>
      <c r="L346" s="149"/>
    </row>
    <row r="347" spans="1:12" x14ac:dyDescent="0.25">
      <c r="A347" s="149"/>
      <c r="B347" s="107"/>
      <c r="C347" s="107"/>
      <c r="D347" s="107"/>
      <c r="E347" s="107"/>
      <c r="F347" s="107"/>
      <c r="H347" s="107"/>
      <c r="I347" s="107"/>
      <c r="L347" s="149"/>
    </row>
    <row r="348" spans="1:12" x14ac:dyDescent="0.25">
      <c r="A348" s="149"/>
      <c r="B348" s="107"/>
      <c r="C348" s="107"/>
      <c r="D348" s="107"/>
      <c r="E348" s="107"/>
      <c r="F348" s="107"/>
      <c r="H348" s="107"/>
      <c r="I348" s="107"/>
      <c r="L348" s="149"/>
    </row>
    <row r="349" spans="1:12" x14ac:dyDescent="0.25">
      <c r="A349" s="149"/>
      <c r="B349" s="107"/>
      <c r="C349" s="107"/>
      <c r="D349" s="107"/>
      <c r="E349" s="107"/>
      <c r="F349" s="107"/>
      <c r="H349" s="107"/>
      <c r="I349" s="107"/>
      <c r="L349" s="149"/>
    </row>
    <row r="350" spans="1:12" x14ac:dyDescent="0.25">
      <c r="A350" s="149"/>
      <c r="B350" s="107"/>
      <c r="C350" s="107"/>
      <c r="D350" s="107"/>
      <c r="E350" s="107"/>
      <c r="F350" s="107"/>
      <c r="H350" s="107"/>
      <c r="I350" s="107"/>
      <c r="L350" s="149"/>
    </row>
    <row r="351" spans="1:12" x14ac:dyDescent="0.25">
      <c r="A351" s="149"/>
      <c r="B351" s="107"/>
      <c r="C351" s="107"/>
      <c r="D351" s="107"/>
      <c r="E351" s="107"/>
      <c r="F351" s="107"/>
      <c r="H351" s="107"/>
      <c r="I351" s="107"/>
      <c r="L351" s="149"/>
    </row>
    <row r="352" spans="1:12" x14ac:dyDescent="0.25">
      <c r="A352" s="149"/>
      <c r="B352" s="107"/>
      <c r="C352" s="107"/>
      <c r="D352" s="107"/>
      <c r="E352" s="107"/>
      <c r="F352" s="107"/>
      <c r="H352" s="107"/>
      <c r="I352" s="107"/>
      <c r="L352" s="149"/>
    </row>
    <row r="353" spans="1:12" x14ac:dyDescent="0.25">
      <c r="A353" s="149"/>
      <c r="B353" s="107"/>
      <c r="C353" s="107"/>
      <c r="D353" s="107"/>
      <c r="E353" s="107"/>
      <c r="F353" s="107"/>
      <c r="H353" s="107"/>
      <c r="I353" s="107"/>
      <c r="L353" s="149"/>
    </row>
    <row r="354" spans="1:12" x14ac:dyDescent="0.25">
      <c r="A354" s="149"/>
      <c r="B354" s="107"/>
      <c r="C354" s="107"/>
      <c r="D354" s="107"/>
      <c r="E354" s="107"/>
      <c r="F354" s="107"/>
      <c r="H354" s="107"/>
      <c r="I354" s="107"/>
      <c r="L354" s="149"/>
    </row>
    <row r="355" spans="1:12" x14ac:dyDescent="0.25">
      <c r="A355" s="149"/>
      <c r="B355" s="107"/>
      <c r="C355" s="107"/>
      <c r="D355" s="107"/>
      <c r="E355" s="107"/>
      <c r="F355" s="107"/>
      <c r="H355" s="107"/>
      <c r="I355" s="107"/>
      <c r="L355" s="149"/>
    </row>
    <row r="356" spans="1:12" x14ac:dyDescent="0.25">
      <c r="A356" s="149"/>
      <c r="B356" s="107"/>
      <c r="C356" s="107"/>
      <c r="D356" s="107"/>
      <c r="E356" s="107"/>
      <c r="F356" s="107"/>
      <c r="H356" s="107"/>
      <c r="I356" s="107"/>
      <c r="L356" s="149"/>
    </row>
    <row r="357" spans="1:12" x14ac:dyDescent="0.25">
      <c r="A357" s="149"/>
      <c r="B357" s="107"/>
      <c r="C357" s="107"/>
      <c r="D357" s="107"/>
      <c r="E357" s="107"/>
      <c r="F357" s="107"/>
      <c r="H357" s="107"/>
      <c r="I357" s="107"/>
      <c r="L357" s="149"/>
    </row>
    <row r="358" spans="1:12" x14ac:dyDescent="0.25">
      <c r="A358" s="149"/>
      <c r="B358" s="107"/>
      <c r="C358" s="107"/>
      <c r="D358" s="107"/>
      <c r="E358" s="107"/>
      <c r="F358" s="107"/>
      <c r="H358" s="107"/>
      <c r="I358" s="107"/>
      <c r="L358" s="149"/>
    </row>
    <row r="359" spans="1:12" x14ac:dyDescent="0.25">
      <c r="A359" s="149"/>
      <c r="B359" s="107"/>
      <c r="C359" s="107"/>
      <c r="D359" s="107"/>
      <c r="E359" s="107"/>
      <c r="F359" s="107"/>
      <c r="H359" s="107"/>
      <c r="I359" s="107"/>
      <c r="L359" s="149"/>
    </row>
    <row r="360" spans="1:12" x14ac:dyDescent="0.25">
      <c r="A360" s="149"/>
      <c r="B360" s="107"/>
      <c r="C360" s="107"/>
      <c r="D360" s="107"/>
      <c r="E360" s="107"/>
      <c r="F360" s="107"/>
      <c r="H360" s="107"/>
      <c r="I360" s="107"/>
      <c r="L360" s="149"/>
    </row>
    <row r="361" spans="1:12" x14ac:dyDescent="0.25">
      <c r="A361" s="149"/>
      <c r="B361" s="107"/>
      <c r="C361" s="107"/>
      <c r="D361" s="107"/>
      <c r="E361" s="107"/>
      <c r="F361" s="107"/>
      <c r="H361" s="107"/>
      <c r="I361" s="107"/>
      <c r="L361" s="149"/>
    </row>
    <row r="362" spans="1:12" x14ac:dyDescent="0.25">
      <c r="A362" s="149"/>
      <c r="B362" s="107"/>
      <c r="C362" s="107"/>
      <c r="D362" s="107"/>
      <c r="E362" s="107"/>
      <c r="F362" s="107"/>
      <c r="H362" s="107"/>
      <c r="I362" s="107"/>
      <c r="L362" s="149"/>
    </row>
    <row r="363" spans="1:12" x14ac:dyDescent="0.25">
      <c r="A363" s="149"/>
      <c r="B363" s="107"/>
      <c r="C363" s="107"/>
      <c r="D363" s="107"/>
      <c r="E363" s="107"/>
      <c r="F363" s="107"/>
      <c r="H363" s="107"/>
      <c r="I363" s="107"/>
      <c r="L363" s="149"/>
    </row>
    <row r="364" spans="1:12" x14ac:dyDescent="0.25">
      <c r="A364" s="149"/>
      <c r="B364" s="107"/>
      <c r="C364" s="107"/>
      <c r="D364" s="107"/>
      <c r="E364" s="107"/>
      <c r="F364" s="107"/>
      <c r="H364" s="107"/>
      <c r="I364" s="107"/>
      <c r="L364" s="149"/>
    </row>
    <row r="365" spans="1:12" x14ac:dyDescent="0.25">
      <c r="A365" s="149"/>
      <c r="B365" s="107"/>
      <c r="C365" s="107"/>
      <c r="D365" s="107"/>
      <c r="E365" s="107"/>
      <c r="F365" s="107"/>
      <c r="H365" s="107"/>
      <c r="I365" s="107"/>
      <c r="L365" s="149"/>
    </row>
    <row r="366" spans="1:12" x14ac:dyDescent="0.25">
      <c r="A366" s="149"/>
      <c r="B366" s="107"/>
      <c r="C366" s="107"/>
      <c r="D366" s="107"/>
      <c r="E366" s="107"/>
      <c r="F366" s="107"/>
      <c r="H366" s="107"/>
      <c r="I366" s="107"/>
      <c r="L366" s="149"/>
    </row>
    <row r="367" spans="1:12" x14ac:dyDescent="0.25">
      <c r="A367" s="149"/>
      <c r="B367" s="107"/>
      <c r="C367" s="107"/>
      <c r="D367" s="107"/>
      <c r="E367" s="107"/>
      <c r="F367" s="107"/>
      <c r="H367" s="107"/>
      <c r="I367" s="107"/>
      <c r="L367" s="149"/>
    </row>
    <row r="368" spans="1:12" x14ac:dyDescent="0.25">
      <c r="A368" s="149"/>
      <c r="B368" s="107"/>
      <c r="C368" s="107"/>
      <c r="D368" s="107"/>
      <c r="E368" s="107"/>
      <c r="F368" s="107"/>
      <c r="H368" s="107"/>
      <c r="I368" s="107"/>
      <c r="L368" s="149"/>
    </row>
    <row r="369" spans="1:12" x14ac:dyDescent="0.25">
      <c r="A369" s="149"/>
      <c r="B369" s="107"/>
      <c r="C369" s="107"/>
      <c r="D369" s="107"/>
      <c r="E369" s="107"/>
      <c r="F369" s="107"/>
      <c r="H369" s="107"/>
      <c r="I369" s="107"/>
      <c r="L369" s="149"/>
    </row>
    <row r="370" spans="1:12" x14ac:dyDescent="0.25">
      <c r="A370" s="149"/>
      <c r="B370" s="107"/>
      <c r="C370" s="107"/>
      <c r="D370" s="107"/>
      <c r="E370" s="107"/>
      <c r="F370" s="107"/>
      <c r="H370" s="107"/>
      <c r="I370" s="107"/>
      <c r="L370" s="149"/>
    </row>
    <row r="371" spans="1:12" x14ac:dyDescent="0.25">
      <c r="A371" s="149"/>
      <c r="B371" s="107"/>
      <c r="C371" s="107"/>
      <c r="D371" s="107"/>
      <c r="E371" s="107"/>
      <c r="F371" s="107"/>
      <c r="H371" s="107"/>
      <c r="I371" s="107"/>
      <c r="L371" s="149"/>
    </row>
    <row r="372" spans="1:12" x14ac:dyDescent="0.25">
      <c r="A372" s="149"/>
      <c r="B372" s="107"/>
      <c r="C372" s="107"/>
      <c r="D372" s="107"/>
      <c r="E372" s="107"/>
      <c r="F372" s="107"/>
      <c r="H372" s="107"/>
      <c r="I372" s="107"/>
      <c r="L372" s="149"/>
    </row>
    <row r="373" spans="1:12" x14ac:dyDescent="0.25">
      <c r="A373" s="149"/>
      <c r="B373" s="107"/>
      <c r="C373" s="107"/>
      <c r="D373" s="107"/>
      <c r="E373" s="107"/>
      <c r="F373" s="107"/>
      <c r="H373" s="107"/>
      <c r="I373" s="107"/>
      <c r="L373" s="149"/>
    </row>
    <row r="374" spans="1:12" x14ac:dyDescent="0.25">
      <c r="A374" s="149"/>
      <c r="B374" s="107"/>
      <c r="C374" s="107"/>
      <c r="D374" s="107"/>
      <c r="E374" s="107"/>
      <c r="F374" s="107"/>
      <c r="H374" s="107"/>
      <c r="I374" s="107"/>
      <c r="L374" s="149"/>
    </row>
    <row r="375" spans="1:12" x14ac:dyDescent="0.25">
      <c r="A375" s="149"/>
      <c r="B375" s="107"/>
      <c r="C375" s="107"/>
      <c r="D375" s="107"/>
      <c r="E375" s="107"/>
      <c r="F375" s="107"/>
      <c r="H375" s="107"/>
      <c r="I375" s="107"/>
      <c r="L375" s="149"/>
    </row>
    <row r="376" spans="1:12" x14ac:dyDescent="0.25">
      <c r="A376" s="149"/>
      <c r="B376" s="107"/>
      <c r="C376" s="107"/>
      <c r="D376" s="107"/>
      <c r="E376" s="107"/>
      <c r="F376" s="107"/>
      <c r="H376" s="107"/>
      <c r="I376" s="107"/>
      <c r="L376" s="149"/>
    </row>
    <row r="377" spans="1:12" x14ac:dyDescent="0.25">
      <c r="A377" s="149"/>
      <c r="B377" s="107"/>
      <c r="C377" s="107"/>
      <c r="D377" s="107"/>
      <c r="E377" s="107"/>
      <c r="F377" s="107"/>
      <c r="H377" s="107"/>
      <c r="I377" s="107"/>
      <c r="L377" s="149"/>
    </row>
    <row r="378" spans="1:12" x14ac:dyDescent="0.25">
      <c r="A378" s="149"/>
      <c r="B378" s="107"/>
      <c r="C378" s="107"/>
      <c r="D378" s="107"/>
      <c r="E378" s="107"/>
      <c r="F378" s="107"/>
      <c r="H378" s="107"/>
      <c r="I378" s="107"/>
      <c r="L378" s="149"/>
    </row>
    <row r="379" spans="1:12" x14ac:dyDescent="0.25">
      <c r="A379" s="149"/>
      <c r="B379" s="107"/>
      <c r="C379" s="107"/>
      <c r="D379" s="107"/>
      <c r="E379" s="107"/>
      <c r="F379" s="107"/>
      <c r="H379" s="107"/>
      <c r="I379" s="107"/>
      <c r="L379" s="149"/>
    </row>
    <row r="380" spans="1:12" x14ac:dyDescent="0.25">
      <c r="A380" s="149"/>
      <c r="B380" s="107"/>
      <c r="C380" s="107"/>
      <c r="D380" s="107"/>
      <c r="E380" s="107"/>
      <c r="F380" s="107"/>
      <c r="H380" s="107"/>
      <c r="I380" s="107"/>
      <c r="L380" s="149"/>
    </row>
    <row r="381" spans="1:12" x14ac:dyDescent="0.25">
      <c r="A381" s="149"/>
      <c r="B381" s="107"/>
      <c r="C381" s="107"/>
      <c r="D381" s="107"/>
      <c r="E381" s="107"/>
      <c r="F381" s="107"/>
      <c r="H381" s="107"/>
      <c r="I381" s="107"/>
      <c r="L381" s="149"/>
    </row>
    <row r="382" spans="1:12" x14ac:dyDescent="0.25">
      <c r="A382" s="149"/>
      <c r="B382" s="107"/>
      <c r="C382" s="107"/>
      <c r="D382" s="107"/>
      <c r="E382" s="107"/>
      <c r="F382" s="107"/>
      <c r="H382" s="107"/>
      <c r="I382" s="107"/>
      <c r="L382" s="149"/>
    </row>
    <row r="383" spans="1:12" x14ac:dyDescent="0.25">
      <c r="A383" s="149"/>
      <c r="B383" s="107"/>
      <c r="C383" s="107"/>
      <c r="D383" s="107"/>
      <c r="E383" s="107"/>
      <c r="F383" s="107"/>
      <c r="H383" s="107"/>
      <c r="I383" s="107"/>
      <c r="L383" s="149"/>
    </row>
    <row r="384" spans="1:12" x14ac:dyDescent="0.25">
      <c r="A384" s="149"/>
      <c r="B384" s="107"/>
      <c r="C384" s="107"/>
      <c r="D384" s="107"/>
      <c r="E384" s="107"/>
      <c r="F384" s="107"/>
      <c r="H384" s="107"/>
      <c r="I384" s="107"/>
      <c r="L384" s="149"/>
    </row>
    <row r="385" spans="1:18" x14ac:dyDescent="0.25">
      <c r="A385" s="149"/>
      <c r="B385" s="107"/>
      <c r="C385" s="107"/>
      <c r="D385" s="107"/>
      <c r="E385" s="107"/>
      <c r="F385" s="107"/>
      <c r="H385" s="107"/>
      <c r="I385" s="107"/>
      <c r="L385" s="149"/>
    </row>
    <row r="386" spans="1:18" x14ac:dyDescent="0.25">
      <c r="A386" s="149"/>
      <c r="B386" s="107"/>
      <c r="C386" s="107"/>
      <c r="D386" s="107"/>
      <c r="E386" s="107"/>
      <c r="F386" s="107"/>
      <c r="H386" s="107"/>
      <c r="I386" s="107"/>
      <c r="L386" s="149"/>
    </row>
    <row r="387" spans="1:18" x14ac:dyDescent="0.25">
      <c r="A387" s="149"/>
      <c r="B387" s="107"/>
      <c r="C387" s="107"/>
      <c r="D387" s="107"/>
      <c r="E387" s="107"/>
      <c r="F387" s="107"/>
      <c r="H387" s="107"/>
      <c r="I387" s="107"/>
      <c r="L387" s="149"/>
    </row>
    <row r="388" spans="1:18" x14ac:dyDescent="0.25">
      <c r="A388" s="149"/>
      <c r="B388" s="107"/>
      <c r="C388" s="107"/>
      <c r="D388" s="107"/>
      <c r="E388" s="107"/>
      <c r="F388" s="107"/>
      <c r="H388" s="107"/>
      <c r="I388" s="107"/>
      <c r="L388" s="149"/>
    </row>
    <row r="389" spans="1:18" x14ac:dyDescent="0.25">
      <c r="A389" s="149"/>
      <c r="B389" s="107"/>
      <c r="C389" s="107"/>
      <c r="D389" s="107"/>
      <c r="E389" s="107"/>
      <c r="F389" s="107"/>
      <c r="H389" s="107"/>
      <c r="I389" s="107"/>
      <c r="L389" s="149"/>
    </row>
    <row r="390" spans="1:18" x14ac:dyDescent="0.25">
      <c r="A390" s="149"/>
      <c r="B390" s="107"/>
      <c r="C390" s="107"/>
      <c r="D390" s="107"/>
      <c r="E390" s="107"/>
      <c r="F390" s="107"/>
      <c r="H390" s="107"/>
      <c r="I390" s="107"/>
      <c r="L390" s="149"/>
    </row>
    <row r="391" spans="1:18" x14ac:dyDescent="0.25">
      <c r="A391" s="149">
        <v>42577</v>
      </c>
      <c r="B391" s="107">
        <v>263.90999999999997</v>
      </c>
      <c r="C391" s="107">
        <v>259.88</v>
      </c>
      <c r="D391" s="107">
        <v>257.2</v>
      </c>
      <c r="E391" s="107">
        <v>259.64</v>
      </c>
      <c r="F391" s="107">
        <v>1299.4000000000001</v>
      </c>
      <c r="G391">
        <v>9180</v>
      </c>
      <c r="H391" s="107"/>
      <c r="I391" s="107"/>
      <c r="L391" s="149">
        <v>42577</v>
      </c>
      <c r="M391" s="107">
        <v>259.36</v>
      </c>
      <c r="N391" s="107">
        <v>264</v>
      </c>
      <c r="O391" s="107">
        <v>256.73</v>
      </c>
      <c r="P391" s="107">
        <v>259</v>
      </c>
      <c r="Q391" s="107">
        <v>1296.8</v>
      </c>
      <c r="R391">
        <v>87609</v>
      </c>
    </row>
    <row r="392" spans="1:18" x14ac:dyDescent="0.25">
      <c r="A392" s="149">
        <v>42578</v>
      </c>
      <c r="B392" s="107">
        <v>263.5</v>
      </c>
      <c r="C392" s="107">
        <v>260.85000000000002</v>
      </c>
      <c r="D392" s="107">
        <v>258.5</v>
      </c>
      <c r="E392" s="107">
        <v>260.39999999999998</v>
      </c>
      <c r="F392" s="107">
        <v>1304.25</v>
      </c>
      <c r="G392">
        <v>4807</v>
      </c>
      <c r="H392" s="107"/>
      <c r="I392" s="107"/>
      <c r="L392" s="149">
        <v>42578</v>
      </c>
      <c r="M392" s="107">
        <v>260.41999999999996</v>
      </c>
      <c r="N392" s="107">
        <v>263.60000000000002</v>
      </c>
      <c r="O392" s="107">
        <v>258.2</v>
      </c>
      <c r="P392" s="107">
        <v>260</v>
      </c>
      <c r="Q392" s="107">
        <v>1302.0999999999999</v>
      </c>
      <c r="R392">
        <v>28988</v>
      </c>
    </row>
    <row r="393" spans="1:18" x14ac:dyDescent="0.25">
      <c r="A393" s="149">
        <v>42579</v>
      </c>
      <c r="B393" s="107">
        <v>267</v>
      </c>
      <c r="C393" s="107">
        <v>264.95999999999998</v>
      </c>
      <c r="D393" s="107">
        <v>260.8</v>
      </c>
      <c r="E393" s="107">
        <v>261.8</v>
      </c>
      <c r="F393" s="107">
        <v>1324.8</v>
      </c>
      <c r="G393">
        <v>11131</v>
      </c>
      <c r="H393" s="107"/>
      <c r="I393" s="107"/>
      <c r="L393" s="149">
        <v>42579</v>
      </c>
      <c r="M393" s="107">
        <v>264.61</v>
      </c>
      <c r="N393" s="107">
        <v>266.52</v>
      </c>
      <c r="O393" s="107">
        <v>260.39999999999998</v>
      </c>
      <c r="P393" s="107">
        <v>261</v>
      </c>
      <c r="Q393" s="107">
        <v>1323.05</v>
      </c>
      <c r="R393">
        <v>106948</v>
      </c>
    </row>
    <row r="394" spans="1:18" x14ac:dyDescent="0.25">
      <c r="A394" s="149">
        <v>42580</v>
      </c>
      <c r="B394" s="107">
        <v>271</v>
      </c>
      <c r="C394" s="107">
        <v>268.3</v>
      </c>
      <c r="D394" s="107">
        <v>266</v>
      </c>
      <c r="E394" s="107">
        <v>266.12</v>
      </c>
      <c r="F394" s="107">
        <v>1341.5</v>
      </c>
      <c r="G394">
        <v>15496</v>
      </c>
      <c r="H394" s="107"/>
      <c r="I394" s="107"/>
      <c r="L394" s="149">
        <v>42580</v>
      </c>
      <c r="M394" s="107">
        <v>267.38</v>
      </c>
      <c r="N394" s="107">
        <v>271</v>
      </c>
      <c r="O394" s="107">
        <v>265.62</v>
      </c>
      <c r="P394" s="107">
        <v>265.8</v>
      </c>
      <c r="Q394" s="107">
        <v>1336.9</v>
      </c>
      <c r="R394">
        <v>53726</v>
      </c>
    </row>
    <row r="395" spans="1:18" x14ac:dyDescent="0.25">
      <c r="A395" s="149">
        <v>42583</v>
      </c>
      <c r="B395" s="107">
        <v>282.8</v>
      </c>
      <c r="C395" s="107">
        <v>276.18</v>
      </c>
      <c r="D395" s="107">
        <v>263.60000000000002</v>
      </c>
      <c r="E395" s="107">
        <v>268.99</v>
      </c>
      <c r="F395" s="107">
        <v>1380.9</v>
      </c>
      <c r="G395">
        <v>15202</v>
      </c>
      <c r="H395" s="107"/>
      <c r="I395" s="107"/>
      <c r="L395" s="149">
        <v>42583</v>
      </c>
      <c r="M395" s="107">
        <v>276.40999999999997</v>
      </c>
      <c r="N395" s="107">
        <v>282.91999999999996</v>
      </c>
      <c r="O395" s="107">
        <v>263.38</v>
      </c>
      <c r="P395" s="107">
        <v>269.98</v>
      </c>
      <c r="Q395" s="107">
        <v>1382.05</v>
      </c>
      <c r="R395">
        <v>84693</v>
      </c>
    </row>
    <row r="396" spans="1:18" x14ac:dyDescent="0.25">
      <c r="A396" s="149">
        <v>42584</v>
      </c>
      <c r="B396" s="107">
        <v>285.99</v>
      </c>
      <c r="C396" s="107">
        <v>281.82</v>
      </c>
      <c r="D396" s="107">
        <v>278.39999999999998</v>
      </c>
      <c r="E396" s="107">
        <v>285</v>
      </c>
      <c r="F396" s="107">
        <v>1409.1</v>
      </c>
      <c r="G396">
        <v>10425</v>
      </c>
      <c r="H396" s="107"/>
      <c r="I396" s="107"/>
      <c r="L396" s="149">
        <v>42584</v>
      </c>
      <c r="M396" s="107">
        <v>281</v>
      </c>
      <c r="N396" s="107">
        <v>286</v>
      </c>
      <c r="O396" s="107">
        <v>278.02</v>
      </c>
      <c r="P396" s="107">
        <v>284.60000000000002</v>
      </c>
      <c r="Q396" s="107">
        <v>1405</v>
      </c>
      <c r="R396">
        <v>197273</v>
      </c>
    </row>
    <row r="397" spans="1:18" x14ac:dyDescent="0.25">
      <c r="A397" s="149">
        <v>42585</v>
      </c>
      <c r="B397" s="107">
        <v>279</v>
      </c>
      <c r="C397" s="107">
        <v>277.04000000000002</v>
      </c>
      <c r="D397" s="107">
        <v>270.93</v>
      </c>
      <c r="E397" s="107">
        <v>279</v>
      </c>
      <c r="F397" s="107">
        <v>1385.2</v>
      </c>
      <c r="G397">
        <v>6438</v>
      </c>
      <c r="H397" s="107"/>
      <c r="I397" s="107"/>
      <c r="L397" s="149">
        <v>42585</v>
      </c>
      <c r="M397" s="107">
        <v>277.76</v>
      </c>
      <c r="N397" s="107">
        <v>281</v>
      </c>
      <c r="O397" s="107">
        <v>270.10000000000002</v>
      </c>
      <c r="P397" s="107">
        <v>280.99</v>
      </c>
      <c r="Q397" s="107">
        <v>1388.8</v>
      </c>
      <c r="R397">
        <v>45146</v>
      </c>
    </row>
    <row r="398" spans="1:18" x14ac:dyDescent="0.25">
      <c r="A398" s="149">
        <v>42586</v>
      </c>
      <c r="B398" s="107">
        <v>279.3</v>
      </c>
      <c r="C398" s="107">
        <v>275.2</v>
      </c>
      <c r="D398" s="107">
        <v>272</v>
      </c>
      <c r="E398" s="107">
        <v>279</v>
      </c>
      <c r="F398" s="107">
        <v>1376</v>
      </c>
      <c r="G398">
        <v>4950</v>
      </c>
      <c r="H398" s="107"/>
      <c r="I398" s="107"/>
      <c r="L398" s="149">
        <v>42586</v>
      </c>
      <c r="M398" s="107">
        <v>275.29000000000002</v>
      </c>
      <c r="N398" s="107">
        <v>278.60000000000002</v>
      </c>
      <c r="O398" s="107">
        <v>272.01</v>
      </c>
      <c r="P398" s="107">
        <v>278.60000000000002</v>
      </c>
      <c r="Q398" s="107">
        <v>1376.45</v>
      </c>
      <c r="R398">
        <v>22804</v>
      </c>
    </row>
    <row r="399" spans="1:18" x14ac:dyDescent="0.25">
      <c r="A399" s="149">
        <v>42587</v>
      </c>
      <c r="B399" s="107">
        <v>286.19</v>
      </c>
      <c r="C399" s="107">
        <v>284.18</v>
      </c>
      <c r="D399" s="107">
        <v>275</v>
      </c>
      <c r="E399" s="107">
        <v>276.75</v>
      </c>
      <c r="F399" s="107">
        <v>1420.9</v>
      </c>
      <c r="G399">
        <v>10962</v>
      </c>
      <c r="H399" s="107"/>
      <c r="I399" s="107"/>
      <c r="L399" s="149">
        <v>42587</v>
      </c>
      <c r="M399" s="107">
        <v>284.29000000000002</v>
      </c>
      <c r="N399" s="107">
        <v>286</v>
      </c>
      <c r="O399" s="107">
        <v>275.2</v>
      </c>
      <c r="P399" s="107">
        <v>275.2</v>
      </c>
      <c r="Q399" s="107">
        <v>1421.45</v>
      </c>
      <c r="R399">
        <v>35706</v>
      </c>
    </row>
    <row r="400" spans="1:18" x14ac:dyDescent="0.25">
      <c r="A400" s="149">
        <v>42590</v>
      </c>
      <c r="B400" s="107">
        <v>290</v>
      </c>
      <c r="C400" s="107">
        <v>287.57</v>
      </c>
      <c r="D400" s="107">
        <v>284.28000000000003</v>
      </c>
      <c r="E400" s="107">
        <v>286</v>
      </c>
      <c r="F400" s="107">
        <v>1437.85</v>
      </c>
      <c r="G400">
        <v>4853</v>
      </c>
      <c r="H400" s="107"/>
      <c r="I400" s="107"/>
      <c r="L400" s="149">
        <v>42590</v>
      </c>
      <c r="M400" s="107">
        <v>287.01</v>
      </c>
      <c r="N400" s="107">
        <v>288.58000000000004</v>
      </c>
      <c r="O400" s="107">
        <v>284</v>
      </c>
      <c r="P400" s="107">
        <v>284.39999999999998</v>
      </c>
      <c r="Q400" s="107">
        <v>1435.05</v>
      </c>
      <c r="R400">
        <v>34700</v>
      </c>
    </row>
    <row r="401" spans="1:18" x14ac:dyDescent="0.25">
      <c r="A401" s="149">
        <v>42591</v>
      </c>
      <c r="B401" s="107">
        <v>288.39</v>
      </c>
      <c r="C401" s="107">
        <v>286.7</v>
      </c>
      <c r="D401" s="107">
        <v>281</v>
      </c>
      <c r="E401" s="107">
        <v>287.2</v>
      </c>
      <c r="F401" s="107">
        <v>1433.5</v>
      </c>
      <c r="G401">
        <v>5028</v>
      </c>
      <c r="H401" s="107"/>
      <c r="I401" s="107"/>
      <c r="L401" s="149">
        <v>42591</v>
      </c>
      <c r="M401" s="107">
        <v>287.58000000000004</v>
      </c>
      <c r="N401" s="107">
        <v>288.46999999999997</v>
      </c>
      <c r="O401" s="107">
        <v>280.10000000000002</v>
      </c>
      <c r="P401" s="107">
        <v>287.57</v>
      </c>
      <c r="Q401" s="107">
        <v>1437.9</v>
      </c>
      <c r="R401">
        <v>28004</v>
      </c>
    </row>
    <row r="402" spans="1:18" x14ac:dyDescent="0.25">
      <c r="A402" s="149">
        <v>42592</v>
      </c>
      <c r="B402" s="107">
        <v>287.68</v>
      </c>
      <c r="C402" s="107">
        <v>279.81</v>
      </c>
      <c r="D402" s="107">
        <v>274.39999999999998</v>
      </c>
      <c r="E402" s="107">
        <v>287.68</v>
      </c>
      <c r="F402" s="107">
        <v>1399.05</v>
      </c>
      <c r="G402">
        <v>3976</v>
      </c>
      <c r="H402" s="107"/>
      <c r="I402" s="107"/>
      <c r="L402" s="149">
        <v>42592</v>
      </c>
      <c r="M402" s="107">
        <v>279.2</v>
      </c>
      <c r="N402" s="107">
        <v>288</v>
      </c>
      <c r="O402" s="107">
        <v>278</v>
      </c>
      <c r="P402" s="107">
        <v>287.99</v>
      </c>
      <c r="Q402" s="107">
        <v>1396</v>
      </c>
      <c r="R402">
        <v>22966</v>
      </c>
    </row>
    <row r="403" spans="1:18" x14ac:dyDescent="0.25">
      <c r="A403" s="149">
        <v>42593</v>
      </c>
      <c r="B403" s="107">
        <v>283.93</v>
      </c>
      <c r="C403" s="107">
        <v>279.94</v>
      </c>
      <c r="D403" s="107">
        <v>276.63</v>
      </c>
      <c r="E403" s="107">
        <v>279.31</v>
      </c>
      <c r="F403" s="107">
        <v>1399.7</v>
      </c>
      <c r="G403">
        <v>2580</v>
      </c>
      <c r="H403" s="107"/>
      <c r="I403" s="107"/>
      <c r="L403" s="149">
        <v>42593</v>
      </c>
      <c r="M403" s="107">
        <v>280.64</v>
      </c>
      <c r="N403" s="107">
        <v>285.12</v>
      </c>
      <c r="O403" s="107">
        <v>276.39999999999998</v>
      </c>
      <c r="P403" s="107">
        <v>279.18</v>
      </c>
      <c r="Q403" s="107">
        <v>1403.2</v>
      </c>
      <c r="R403">
        <v>16301</v>
      </c>
    </row>
    <row r="404" spans="1:18" x14ac:dyDescent="0.25">
      <c r="A404" s="149">
        <v>42594</v>
      </c>
      <c r="B404" s="107">
        <v>289.25</v>
      </c>
      <c r="C404" s="107">
        <v>284.39</v>
      </c>
      <c r="D404" s="107">
        <v>280.66999999999996</v>
      </c>
      <c r="E404" s="107">
        <v>282.29000000000002</v>
      </c>
      <c r="F404" s="107">
        <v>1421.95</v>
      </c>
      <c r="G404">
        <v>9160</v>
      </c>
      <c r="H404" s="107"/>
      <c r="I404" s="107"/>
      <c r="L404" s="149">
        <v>42594</v>
      </c>
      <c r="M404" s="107">
        <v>284.73</v>
      </c>
      <c r="N404" s="107">
        <v>289.8</v>
      </c>
      <c r="O404" s="107">
        <v>280.60000000000002</v>
      </c>
      <c r="P404" s="107">
        <v>280.60000000000002</v>
      </c>
      <c r="Q404" s="107">
        <v>1423.65</v>
      </c>
      <c r="R404">
        <v>48757</v>
      </c>
    </row>
    <row r="405" spans="1:18" x14ac:dyDescent="0.25">
      <c r="A405" s="149">
        <v>42598</v>
      </c>
      <c r="B405" s="107">
        <v>288.89999999999998</v>
      </c>
      <c r="C405" s="107">
        <v>287.75</v>
      </c>
      <c r="D405" s="107">
        <v>285.39999999999998</v>
      </c>
      <c r="E405" s="107">
        <v>288.89999999999998</v>
      </c>
      <c r="F405" s="107">
        <v>1438.75</v>
      </c>
      <c r="G405">
        <v>2277</v>
      </c>
      <c r="H405" s="107"/>
      <c r="I405" s="107"/>
      <c r="L405" s="149">
        <v>42598</v>
      </c>
      <c r="M405" s="107">
        <v>287.84000000000003</v>
      </c>
      <c r="N405" s="107">
        <v>288</v>
      </c>
      <c r="O405" s="107">
        <v>284.73</v>
      </c>
      <c r="P405" s="107">
        <v>284.73</v>
      </c>
      <c r="Q405" s="107">
        <v>1439.2</v>
      </c>
      <c r="R405">
        <v>21390</v>
      </c>
    </row>
    <row r="406" spans="1:18" x14ac:dyDescent="0.25">
      <c r="A406" s="149">
        <v>42599</v>
      </c>
      <c r="B406" s="107">
        <v>289</v>
      </c>
      <c r="C406" s="107">
        <v>285.73</v>
      </c>
      <c r="D406" s="107">
        <v>283.7</v>
      </c>
      <c r="E406" s="107">
        <v>289</v>
      </c>
      <c r="F406" s="107">
        <v>1428.65</v>
      </c>
      <c r="G406">
        <v>3430</v>
      </c>
      <c r="H406" s="107"/>
      <c r="I406" s="107"/>
      <c r="L406" s="149">
        <v>42599</v>
      </c>
      <c r="M406" s="107">
        <v>286.93</v>
      </c>
      <c r="N406" s="107">
        <v>288.32</v>
      </c>
      <c r="O406" s="107">
        <v>283.01</v>
      </c>
      <c r="P406" s="107">
        <v>287.99</v>
      </c>
      <c r="Q406" s="107">
        <v>1434.65</v>
      </c>
      <c r="R406">
        <v>37982</v>
      </c>
    </row>
    <row r="407" spans="1:18" x14ac:dyDescent="0.25">
      <c r="A407" s="149">
        <v>42600</v>
      </c>
      <c r="B407" s="107">
        <v>288.82</v>
      </c>
      <c r="C407" s="107">
        <v>287.49</v>
      </c>
      <c r="D407" s="107">
        <v>285.2</v>
      </c>
      <c r="E407" s="107">
        <v>287.99</v>
      </c>
      <c r="F407" s="107">
        <v>1437.45</v>
      </c>
      <c r="G407">
        <v>1503</v>
      </c>
      <c r="H407" s="107"/>
      <c r="I407" s="107"/>
      <c r="L407" s="149">
        <v>42600</v>
      </c>
      <c r="M407" s="107">
        <v>287.45</v>
      </c>
      <c r="N407" s="107">
        <v>289</v>
      </c>
      <c r="O407" s="107">
        <v>285</v>
      </c>
      <c r="P407" s="107">
        <v>286.81</v>
      </c>
      <c r="Q407" s="107">
        <v>1437.25</v>
      </c>
      <c r="R407">
        <v>19583</v>
      </c>
    </row>
    <row r="408" spans="1:18" x14ac:dyDescent="0.25">
      <c r="A408" s="149">
        <v>42601</v>
      </c>
      <c r="B408" s="107">
        <v>287.75</v>
      </c>
      <c r="C408" s="107">
        <v>284.96999999999997</v>
      </c>
      <c r="D408" s="107">
        <v>283.39999999999998</v>
      </c>
      <c r="E408" s="107">
        <v>287.60000000000002</v>
      </c>
      <c r="F408" s="107">
        <v>1424.85</v>
      </c>
      <c r="G408">
        <v>4830</v>
      </c>
      <c r="H408" s="107"/>
      <c r="I408" s="107"/>
      <c r="L408" s="149">
        <v>42601</v>
      </c>
      <c r="M408" s="107">
        <v>284.78000000000003</v>
      </c>
      <c r="N408" s="107">
        <v>287.79000000000002</v>
      </c>
      <c r="O408" s="107">
        <v>283.60000000000002</v>
      </c>
      <c r="P408" s="107">
        <v>286.94</v>
      </c>
      <c r="Q408" s="107">
        <v>1423.9</v>
      </c>
      <c r="R408">
        <v>19620</v>
      </c>
    </row>
    <row r="409" spans="1:18" x14ac:dyDescent="0.25">
      <c r="A409" s="149">
        <v>42604</v>
      </c>
      <c r="B409" s="107">
        <v>288.93</v>
      </c>
      <c r="C409" s="107">
        <v>286.21999999999997</v>
      </c>
      <c r="D409" s="107">
        <v>281.49</v>
      </c>
      <c r="E409" s="107">
        <v>286</v>
      </c>
      <c r="F409" s="107">
        <v>1431.1</v>
      </c>
      <c r="G409">
        <v>1416</v>
      </c>
      <c r="H409" s="107"/>
      <c r="I409" s="107"/>
      <c r="L409" s="149">
        <v>42604</v>
      </c>
      <c r="M409" s="107">
        <v>286.59000000000003</v>
      </c>
      <c r="N409" s="107">
        <v>289.12</v>
      </c>
      <c r="O409" s="107">
        <v>281.02</v>
      </c>
      <c r="P409" s="107">
        <v>284.60000000000002</v>
      </c>
      <c r="Q409" s="107">
        <v>1432.95</v>
      </c>
      <c r="R409">
        <v>18024</v>
      </c>
    </row>
    <row r="410" spans="1:18" x14ac:dyDescent="0.25">
      <c r="A410" s="149">
        <v>42605</v>
      </c>
      <c r="B410" s="107">
        <v>299.95</v>
      </c>
      <c r="C410" s="107">
        <v>288.12</v>
      </c>
      <c r="D410" s="107">
        <v>284.39999999999998</v>
      </c>
      <c r="E410" s="107">
        <v>286.7</v>
      </c>
      <c r="F410" s="107">
        <v>1440.6</v>
      </c>
      <c r="G410">
        <v>9960</v>
      </c>
      <c r="H410" s="107"/>
      <c r="I410" s="107"/>
      <c r="L410" s="149">
        <v>42605</v>
      </c>
      <c r="M410" s="107">
        <v>288.07</v>
      </c>
      <c r="N410" s="107">
        <v>299.91999999999996</v>
      </c>
      <c r="O410" s="107">
        <v>284.39999999999998</v>
      </c>
      <c r="P410" s="107">
        <v>287.79000000000002</v>
      </c>
      <c r="Q410" s="107">
        <v>1440.35</v>
      </c>
      <c r="R410">
        <v>76991</v>
      </c>
    </row>
    <row r="411" spans="1:18" x14ac:dyDescent="0.25">
      <c r="A411" s="149">
        <v>42606</v>
      </c>
      <c r="B411" s="107">
        <v>298</v>
      </c>
      <c r="C411" s="107">
        <v>291.86</v>
      </c>
      <c r="D411" s="107">
        <v>288.81</v>
      </c>
      <c r="E411" s="107">
        <v>290</v>
      </c>
      <c r="F411" s="107">
        <v>1459.3</v>
      </c>
      <c r="G411">
        <v>13142</v>
      </c>
      <c r="H411" s="107"/>
      <c r="I411" s="107"/>
      <c r="L411" s="149">
        <v>42606</v>
      </c>
      <c r="M411" s="107">
        <v>292.95</v>
      </c>
      <c r="N411" s="107">
        <v>298</v>
      </c>
      <c r="O411" s="107">
        <v>288.39999999999998</v>
      </c>
      <c r="P411" s="107">
        <v>288.39999999999998</v>
      </c>
      <c r="Q411" s="107">
        <v>1464.75</v>
      </c>
      <c r="R411">
        <v>74734</v>
      </c>
    </row>
    <row r="412" spans="1:18" x14ac:dyDescent="0.25">
      <c r="A412" s="149">
        <v>42607</v>
      </c>
      <c r="B412" s="107">
        <v>299.8</v>
      </c>
      <c r="C412" s="107">
        <v>297.15999999999997</v>
      </c>
      <c r="D412" s="107">
        <v>293.48</v>
      </c>
      <c r="E412" s="107">
        <v>295.79000000000002</v>
      </c>
      <c r="F412" s="107">
        <v>1485.8</v>
      </c>
      <c r="G412">
        <v>8218</v>
      </c>
      <c r="H412" s="107"/>
      <c r="I412" s="107"/>
      <c r="L412" s="149">
        <v>42607</v>
      </c>
      <c r="M412" s="107">
        <v>297.10000000000002</v>
      </c>
      <c r="N412" s="107">
        <v>299.8</v>
      </c>
      <c r="O412" s="107">
        <v>293.12</v>
      </c>
      <c r="P412" s="107">
        <v>294.99</v>
      </c>
      <c r="Q412" s="107">
        <v>1485.5</v>
      </c>
      <c r="R412">
        <v>37410</v>
      </c>
    </row>
    <row r="413" spans="1:18" x14ac:dyDescent="0.25">
      <c r="A413" s="149">
        <v>42608</v>
      </c>
      <c r="B413" s="107">
        <v>301.91999999999996</v>
      </c>
      <c r="C413" s="107">
        <v>296.39999999999998</v>
      </c>
      <c r="D413" s="107">
        <v>293.60000000000002</v>
      </c>
      <c r="E413" s="107">
        <v>299.36</v>
      </c>
      <c r="F413" s="107">
        <v>1482</v>
      </c>
      <c r="G413">
        <v>5360</v>
      </c>
      <c r="H413" s="107"/>
      <c r="I413" s="107"/>
      <c r="L413" s="149">
        <v>42608</v>
      </c>
      <c r="M413" s="107">
        <v>295.25</v>
      </c>
      <c r="N413" s="107">
        <v>301.8</v>
      </c>
      <c r="O413" s="107">
        <v>293.20999999999998</v>
      </c>
      <c r="P413" s="107">
        <v>295.39999999999998</v>
      </c>
      <c r="Q413" s="107">
        <v>1476.25</v>
      </c>
      <c r="R413">
        <v>54642</v>
      </c>
    </row>
    <row r="414" spans="1:18" x14ac:dyDescent="0.25">
      <c r="A414" s="149">
        <v>42611</v>
      </c>
      <c r="B414" s="107">
        <v>300</v>
      </c>
      <c r="C414" s="107">
        <v>299.14999999999998</v>
      </c>
      <c r="D414" s="107">
        <v>287</v>
      </c>
      <c r="E414" s="107">
        <v>296.8</v>
      </c>
      <c r="F414" s="107">
        <v>1495.75</v>
      </c>
      <c r="G414">
        <v>5477</v>
      </c>
      <c r="H414" s="107"/>
      <c r="I414" s="107"/>
      <c r="L414" s="149">
        <v>42611</v>
      </c>
      <c r="M414" s="107">
        <v>299.37</v>
      </c>
      <c r="N414" s="107">
        <v>299.89999999999998</v>
      </c>
      <c r="O414" s="107">
        <v>292.39999999999998</v>
      </c>
      <c r="P414" s="107">
        <v>296</v>
      </c>
      <c r="Q414" s="107">
        <v>1496.85</v>
      </c>
      <c r="R414">
        <v>25445</v>
      </c>
    </row>
    <row r="415" spans="1:18" x14ac:dyDescent="0.25">
      <c r="A415" s="149">
        <v>42612</v>
      </c>
      <c r="B415" s="107">
        <v>300.45</v>
      </c>
      <c r="C415" s="107">
        <v>299.28000000000003</v>
      </c>
      <c r="D415" s="107">
        <v>296.61</v>
      </c>
      <c r="E415" s="107">
        <v>300.34000000000003</v>
      </c>
      <c r="F415" s="107">
        <v>1496.4</v>
      </c>
      <c r="G415">
        <v>2601</v>
      </c>
      <c r="H415" s="107"/>
      <c r="I415" s="107"/>
      <c r="L415" s="149">
        <v>42612</v>
      </c>
      <c r="M415" s="107">
        <v>299.37</v>
      </c>
      <c r="N415" s="107">
        <v>301</v>
      </c>
      <c r="O415" s="107">
        <v>296</v>
      </c>
      <c r="P415" s="107">
        <v>301</v>
      </c>
      <c r="Q415" s="107">
        <v>1496.85</v>
      </c>
      <c r="R415">
        <v>32872</v>
      </c>
    </row>
    <row r="416" spans="1:18" x14ac:dyDescent="0.25">
      <c r="A416" s="149">
        <v>42613</v>
      </c>
      <c r="B416" s="107">
        <v>301</v>
      </c>
      <c r="C416" s="107">
        <v>298.2</v>
      </c>
      <c r="D416" s="107">
        <v>296.8</v>
      </c>
      <c r="E416" s="107">
        <v>300.8</v>
      </c>
      <c r="F416" s="107">
        <v>1491</v>
      </c>
      <c r="G416">
        <v>4696</v>
      </c>
      <c r="H416" s="107"/>
      <c r="I416" s="107"/>
      <c r="L416" s="149">
        <v>42613</v>
      </c>
      <c r="M416" s="107">
        <v>298.27</v>
      </c>
      <c r="N416" s="107">
        <v>300.2</v>
      </c>
      <c r="O416" s="107">
        <v>297.39999999999998</v>
      </c>
      <c r="P416" s="107">
        <v>299.93</v>
      </c>
      <c r="Q416" s="107">
        <v>1491.35</v>
      </c>
      <c r="R416">
        <v>26159</v>
      </c>
    </row>
    <row r="417" spans="1:18" x14ac:dyDescent="0.25">
      <c r="A417" s="149">
        <v>42614</v>
      </c>
      <c r="B417" s="107">
        <v>304</v>
      </c>
      <c r="C417" s="107">
        <v>301.60000000000002</v>
      </c>
      <c r="D417" s="107">
        <v>298.2</v>
      </c>
      <c r="E417" s="107">
        <v>298.2</v>
      </c>
      <c r="F417" s="107">
        <v>1508</v>
      </c>
      <c r="G417">
        <v>18628</v>
      </c>
      <c r="H417" s="107"/>
      <c r="I417" s="107"/>
      <c r="L417" s="149">
        <v>42614</v>
      </c>
      <c r="M417" s="107">
        <v>301.76</v>
      </c>
      <c r="N417" s="107">
        <v>303.2</v>
      </c>
      <c r="O417" s="107">
        <v>299.60000000000002</v>
      </c>
      <c r="P417" s="107">
        <v>300.99</v>
      </c>
      <c r="Q417" s="107">
        <v>1508.8</v>
      </c>
      <c r="R417">
        <v>40705</v>
      </c>
    </row>
    <row r="418" spans="1:18" x14ac:dyDescent="0.25">
      <c r="A418" s="149">
        <v>42615</v>
      </c>
      <c r="B418" s="107">
        <v>308.88</v>
      </c>
      <c r="C418" s="107">
        <v>307.64999999999998</v>
      </c>
      <c r="D418" s="107">
        <v>302.01</v>
      </c>
      <c r="E418" s="107">
        <v>302.99</v>
      </c>
      <c r="F418" s="107">
        <v>1538.25</v>
      </c>
      <c r="G418">
        <v>6655</v>
      </c>
      <c r="H418" s="107"/>
      <c r="I418" s="107"/>
      <c r="L418" s="149">
        <v>42615</v>
      </c>
      <c r="M418" s="107">
        <v>307.25</v>
      </c>
      <c r="N418" s="107">
        <v>309</v>
      </c>
      <c r="O418" s="107">
        <v>302</v>
      </c>
      <c r="P418" s="107">
        <v>303.95</v>
      </c>
      <c r="Q418" s="107">
        <v>1536.25</v>
      </c>
      <c r="R418">
        <v>49425</v>
      </c>
    </row>
    <row r="419" spans="1:18" x14ac:dyDescent="0.25">
      <c r="A419" s="149">
        <v>42619</v>
      </c>
      <c r="B419" s="107">
        <v>357.27</v>
      </c>
      <c r="C419" s="107">
        <v>332.99</v>
      </c>
      <c r="D419" s="107">
        <v>307.60000000000002</v>
      </c>
      <c r="E419" s="107">
        <v>307.60000000000002</v>
      </c>
      <c r="F419" s="107">
        <v>1664.95</v>
      </c>
      <c r="G419">
        <v>51024</v>
      </c>
      <c r="H419" s="107"/>
      <c r="I419" s="107"/>
      <c r="L419" s="149">
        <v>42619</v>
      </c>
      <c r="M419" s="107">
        <v>332.91999999999996</v>
      </c>
      <c r="N419" s="107">
        <v>357.6</v>
      </c>
      <c r="O419" s="107">
        <v>306.56</v>
      </c>
      <c r="P419" s="107">
        <v>308</v>
      </c>
      <c r="Q419" s="107">
        <v>1664.6</v>
      </c>
      <c r="R419">
        <v>262921</v>
      </c>
    </row>
    <row r="420" spans="1:18" x14ac:dyDescent="0.25">
      <c r="A420" s="149">
        <v>42620</v>
      </c>
      <c r="B420" s="107">
        <v>335.96</v>
      </c>
      <c r="C420" s="107">
        <v>329.66999999999996</v>
      </c>
      <c r="D420" s="107">
        <v>322</v>
      </c>
      <c r="E420" s="107">
        <v>335.96</v>
      </c>
      <c r="F420" s="107">
        <v>1648.35</v>
      </c>
      <c r="G420">
        <v>14191</v>
      </c>
      <c r="H420" s="107"/>
      <c r="I420" s="107"/>
      <c r="L420" s="149">
        <v>42620</v>
      </c>
      <c r="M420" s="107">
        <v>329.39</v>
      </c>
      <c r="N420" s="107">
        <v>336.46</v>
      </c>
      <c r="O420" s="107">
        <v>323.01</v>
      </c>
      <c r="P420" s="107">
        <v>335.6</v>
      </c>
      <c r="Q420" s="107">
        <v>1646.95</v>
      </c>
      <c r="R420">
        <v>95306</v>
      </c>
    </row>
    <row r="421" spans="1:18" x14ac:dyDescent="0.25">
      <c r="A421" s="149">
        <v>42621</v>
      </c>
      <c r="B421" s="107">
        <v>340</v>
      </c>
      <c r="C421" s="107">
        <v>333.27</v>
      </c>
      <c r="D421" s="107">
        <v>329.49</v>
      </c>
      <c r="E421" s="107">
        <v>330.23</v>
      </c>
      <c r="F421" s="107">
        <v>1666.35</v>
      </c>
      <c r="G421">
        <v>9552</v>
      </c>
      <c r="H421" s="107"/>
      <c r="I421" s="107"/>
      <c r="L421" s="149">
        <v>42621</v>
      </c>
      <c r="M421" s="107">
        <v>333.33000000000004</v>
      </c>
      <c r="N421" s="107">
        <v>340</v>
      </c>
      <c r="O421" s="107">
        <v>329.2</v>
      </c>
      <c r="P421" s="107">
        <v>331.6</v>
      </c>
      <c r="Q421" s="107">
        <v>1666.65</v>
      </c>
      <c r="R421">
        <v>79046</v>
      </c>
    </row>
    <row r="422" spans="1:18" x14ac:dyDescent="0.25">
      <c r="A422" s="149">
        <v>42622</v>
      </c>
      <c r="B422" s="107">
        <v>339.37</v>
      </c>
      <c r="C422" s="107">
        <v>330.76</v>
      </c>
      <c r="D422" s="107">
        <v>329</v>
      </c>
      <c r="E422" s="107">
        <v>333.77</v>
      </c>
      <c r="F422" s="107">
        <v>1653.8</v>
      </c>
      <c r="G422">
        <v>7020</v>
      </c>
      <c r="H422" s="107"/>
      <c r="I422" s="107"/>
      <c r="L422" s="149">
        <v>42622</v>
      </c>
      <c r="M422" s="107">
        <v>331.63</v>
      </c>
      <c r="N422" s="107">
        <v>339.4</v>
      </c>
      <c r="O422" s="107">
        <v>329</v>
      </c>
      <c r="P422" s="107">
        <v>334.6</v>
      </c>
      <c r="Q422" s="107">
        <v>1658.15</v>
      </c>
      <c r="R422">
        <v>36108</v>
      </c>
    </row>
    <row r="423" spans="1:18" x14ac:dyDescent="0.25">
      <c r="A423" s="149">
        <v>42625</v>
      </c>
      <c r="B423" s="107">
        <v>334.77</v>
      </c>
      <c r="C423" s="107">
        <v>331.13</v>
      </c>
      <c r="D423" s="107">
        <v>318.66999999999996</v>
      </c>
      <c r="E423" s="107">
        <v>326</v>
      </c>
      <c r="F423" s="107">
        <v>1655.65</v>
      </c>
      <c r="G423">
        <v>5128</v>
      </c>
      <c r="H423" s="107"/>
      <c r="I423" s="107"/>
      <c r="L423" s="149">
        <v>42625</v>
      </c>
      <c r="M423" s="107">
        <v>331.85</v>
      </c>
      <c r="N423" s="107">
        <v>335</v>
      </c>
      <c r="O423" s="107">
        <v>318.34000000000003</v>
      </c>
      <c r="P423" s="107">
        <v>322.45</v>
      </c>
      <c r="Q423" s="107">
        <v>1659.25</v>
      </c>
      <c r="R423">
        <v>34680</v>
      </c>
    </row>
    <row r="424" spans="1:18" x14ac:dyDescent="0.25">
      <c r="A424" s="149">
        <v>42627</v>
      </c>
      <c r="B424" s="107">
        <v>334.18</v>
      </c>
      <c r="C424" s="107">
        <v>331.85</v>
      </c>
      <c r="D424" s="107">
        <v>325</v>
      </c>
      <c r="E424" s="107">
        <v>332</v>
      </c>
      <c r="F424" s="107">
        <v>1659.25</v>
      </c>
      <c r="G424">
        <v>8478</v>
      </c>
      <c r="H424" s="107"/>
      <c r="I424" s="107"/>
      <c r="L424" s="149">
        <v>42627</v>
      </c>
      <c r="M424" s="107">
        <v>332.15</v>
      </c>
      <c r="N424" s="107">
        <v>333.98</v>
      </c>
      <c r="O424" s="107">
        <v>327</v>
      </c>
      <c r="P424" s="107">
        <v>332</v>
      </c>
      <c r="Q424" s="107">
        <v>1660.75</v>
      </c>
      <c r="R424">
        <v>29136</v>
      </c>
    </row>
    <row r="425" spans="1:18" x14ac:dyDescent="0.25">
      <c r="A425" s="149">
        <v>42628</v>
      </c>
      <c r="B425" s="107">
        <v>336.1</v>
      </c>
      <c r="C425" s="107">
        <v>332.53000000000003</v>
      </c>
      <c r="D425" s="107">
        <v>330.21</v>
      </c>
      <c r="E425" s="107">
        <v>334</v>
      </c>
      <c r="F425" s="107">
        <v>1662.65</v>
      </c>
      <c r="G425">
        <v>3602</v>
      </c>
      <c r="H425" s="107"/>
      <c r="I425" s="107"/>
      <c r="L425" s="149">
        <v>42628</v>
      </c>
      <c r="M425" s="107">
        <v>331.77</v>
      </c>
      <c r="N425" s="107">
        <v>337.8</v>
      </c>
      <c r="O425" s="107">
        <v>330.21</v>
      </c>
      <c r="P425" s="107">
        <v>337.8</v>
      </c>
      <c r="Q425" s="107">
        <v>1658.85</v>
      </c>
      <c r="R425">
        <v>31389</v>
      </c>
    </row>
    <row r="426" spans="1:18" x14ac:dyDescent="0.25">
      <c r="A426" s="149">
        <v>42629</v>
      </c>
      <c r="B426" s="107">
        <v>339.96</v>
      </c>
      <c r="C426" s="107">
        <v>334.26</v>
      </c>
      <c r="D426" s="107">
        <v>330.13</v>
      </c>
      <c r="E426" s="107">
        <v>337.6</v>
      </c>
      <c r="F426" s="107">
        <v>1671.3</v>
      </c>
      <c r="G426">
        <v>4997</v>
      </c>
      <c r="H426" s="107"/>
      <c r="I426" s="107"/>
      <c r="L426" s="149">
        <v>42629</v>
      </c>
      <c r="M426" s="107">
        <v>334.05</v>
      </c>
      <c r="N426" s="107">
        <v>340</v>
      </c>
      <c r="O426" s="107">
        <v>331.6</v>
      </c>
      <c r="P426" s="107">
        <v>331.6</v>
      </c>
      <c r="Q426" s="107">
        <v>1670.25</v>
      </c>
      <c r="R426">
        <v>53720</v>
      </c>
    </row>
    <row r="427" spans="1:18" x14ac:dyDescent="0.25">
      <c r="A427" s="149">
        <v>42632</v>
      </c>
      <c r="B427" s="107">
        <v>338.8</v>
      </c>
      <c r="C427" s="107">
        <v>329.87</v>
      </c>
      <c r="D427" s="107">
        <v>327.20999999999998</v>
      </c>
      <c r="E427" s="107">
        <v>330.2</v>
      </c>
      <c r="F427" s="107">
        <v>1649.35</v>
      </c>
      <c r="G427">
        <v>4912</v>
      </c>
      <c r="H427" s="107"/>
      <c r="I427" s="107"/>
      <c r="L427" s="149">
        <v>42632</v>
      </c>
      <c r="M427" s="107">
        <v>330.21999999999997</v>
      </c>
      <c r="N427" s="107">
        <v>340</v>
      </c>
      <c r="O427" s="107">
        <v>327.41999999999996</v>
      </c>
      <c r="P427" s="107">
        <v>336.96</v>
      </c>
      <c r="Q427" s="107">
        <v>1651.1</v>
      </c>
      <c r="R427">
        <v>41093</v>
      </c>
    </row>
    <row r="428" spans="1:18" x14ac:dyDescent="0.25">
      <c r="A428" s="149">
        <v>42633</v>
      </c>
      <c r="B428" s="107">
        <v>334</v>
      </c>
      <c r="C428" s="107">
        <v>326.03000000000003</v>
      </c>
      <c r="D428" s="107">
        <v>325</v>
      </c>
      <c r="E428" s="107">
        <v>331.96999999999997</v>
      </c>
      <c r="F428" s="107">
        <v>1630.15</v>
      </c>
      <c r="G428">
        <v>10425</v>
      </c>
      <c r="H428" s="107"/>
      <c r="I428" s="107"/>
      <c r="L428" s="149">
        <v>42633</v>
      </c>
      <c r="M428" s="107">
        <v>326.52</v>
      </c>
      <c r="N428" s="107">
        <v>334.8</v>
      </c>
      <c r="O428" s="107">
        <v>325</v>
      </c>
      <c r="P428" s="107">
        <v>330.62</v>
      </c>
      <c r="Q428" s="107">
        <v>1632.6</v>
      </c>
      <c r="R428">
        <v>41787</v>
      </c>
    </row>
    <row r="429" spans="1:18" x14ac:dyDescent="0.25">
      <c r="A429" s="149">
        <v>42634</v>
      </c>
      <c r="B429" s="107">
        <v>329.8</v>
      </c>
      <c r="C429" s="107">
        <v>327.49</v>
      </c>
      <c r="D429" s="107">
        <v>325.10000000000002</v>
      </c>
      <c r="E429" s="107">
        <v>327.19</v>
      </c>
      <c r="F429" s="107">
        <v>1637.45</v>
      </c>
      <c r="G429">
        <v>4799</v>
      </c>
      <c r="H429" s="107"/>
      <c r="I429" s="107"/>
      <c r="L429" s="149">
        <v>42634</v>
      </c>
      <c r="M429" s="107">
        <v>327.85</v>
      </c>
      <c r="N429" s="107">
        <v>330.4</v>
      </c>
      <c r="O429" s="107">
        <v>325.61</v>
      </c>
      <c r="P429" s="107">
        <v>326.77</v>
      </c>
      <c r="Q429" s="107">
        <v>1639.25</v>
      </c>
      <c r="R429">
        <v>27382</v>
      </c>
    </row>
    <row r="430" spans="1:18" x14ac:dyDescent="0.25">
      <c r="A430" s="149">
        <v>42635</v>
      </c>
      <c r="B430" s="107">
        <v>336</v>
      </c>
      <c r="C430" s="107">
        <v>331.27</v>
      </c>
      <c r="D430" s="107">
        <v>328.68</v>
      </c>
      <c r="E430" s="107">
        <v>329.96999999999997</v>
      </c>
      <c r="F430" s="107">
        <v>1656.35</v>
      </c>
      <c r="G430">
        <v>3697</v>
      </c>
      <c r="H430" s="107"/>
      <c r="I430" s="107"/>
      <c r="L430" s="149">
        <v>42635</v>
      </c>
      <c r="M430" s="107">
        <v>332.14</v>
      </c>
      <c r="N430" s="107">
        <v>336</v>
      </c>
      <c r="O430" s="107">
        <v>329.41999999999996</v>
      </c>
      <c r="P430" s="107">
        <v>330</v>
      </c>
      <c r="Q430" s="107">
        <v>1660.7</v>
      </c>
      <c r="R430">
        <v>42362</v>
      </c>
    </row>
    <row r="431" spans="1:18" x14ac:dyDescent="0.25">
      <c r="A431" s="149">
        <v>42636</v>
      </c>
      <c r="B431" s="107">
        <v>336.2</v>
      </c>
      <c r="C431" s="107">
        <v>333.51</v>
      </c>
      <c r="D431" s="107">
        <v>330.4</v>
      </c>
      <c r="E431" s="107">
        <v>330.4</v>
      </c>
      <c r="F431" s="107">
        <v>1667.55</v>
      </c>
      <c r="G431">
        <v>5807</v>
      </c>
      <c r="H431" s="107"/>
      <c r="I431" s="107"/>
      <c r="L431" s="149">
        <v>42636</v>
      </c>
      <c r="M431" s="107">
        <v>333.14</v>
      </c>
      <c r="N431" s="107">
        <v>335.4</v>
      </c>
      <c r="O431" s="107">
        <v>330.8</v>
      </c>
      <c r="P431" s="107">
        <v>332</v>
      </c>
      <c r="Q431" s="107">
        <v>1665.7</v>
      </c>
      <c r="R431">
        <v>32410</v>
      </c>
    </row>
    <row r="432" spans="1:18" x14ac:dyDescent="0.25">
      <c r="A432" s="149">
        <v>42639</v>
      </c>
      <c r="B432" s="107">
        <v>332.15</v>
      </c>
      <c r="C432" s="107">
        <v>328.65999999999997</v>
      </c>
      <c r="D432" s="107">
        <v>323.8</v>
      </c>
      <c r="E432" s="107">
        <v>331.21</v>
      </c>
      <c r="F432" s="107">
        <v>1643.3</v>
      </c>
      <c r="G432">
        <v>3389</v>
      </c>
      <c r="H432" s="107"/>
      <c r="I432" s="107"/>
      <c r="L432" s="149">
        <v>42639</v>
      </c>
      <c r="M432" s="107">
        <v>329.82</v>
      </c>
      <c r="N432" s="107">
        <v>333</v>
      </c>
      <c r="O432" s="107">
        <v>325.06</v>
      </c>
      <c r="P432" s="107">
        <v>333</v>
      </c>
      <c r="Q432" s="107">
        <v>1649.1</v>
      </c>
      <c r="R432">
        <v>21230</v>
      </c>
    </row>
    <row r="433" spans="1:18" x14ac:dyDescent="0.25">
      <c r="A433" s="149">
        <v>42640</v>
      </c>
      <c r="B433" s="107">
        <v>330.71</v>
      </c>
      <c r="C433" s="107">
        <v>327.52</v>
      </c>
      <c r="D433" s="107">
        <v>324.8</v>
      </c>
      <c r="E433" s="107">
        <v>330.71</v>
      </c>
      <c r="F433" s="107">
        <v>1637.6</v>
      </c>
      <c r="G433">
        <v>2604</v>
      </c>
      <c r="H433" s="107"/>
      <c r="I433" s="107"/>
      <c r="L433" s="149">
        <v>42640</v>
      </c>
      <c r="M433" s="107">
        <v>328.32</v>
      </c>
      <c r="N433" s="107">
        <v>330</v>
      </c>
      <c r="O433" s="107">
        <v>324.39999999999998</v>
      </c>
      <c r="P433" s="107">
        <v>329.8</v>
      </c>
      <c r="Q433" s="107">
        <v>1641.6</v>
      </c>
      <c r="R433">
        <v>23517</v>
      </c>
    </row>
    <row r="434" spans="1:18" x14ac:dyDescent="0.25">
      <c r="A434" s="149">
        <v>42641</v>
      </c>
      <c r="B434" s="107">
        <v>330</v>
      </c>
      <c r="C434" s="107">
        <v>329</v>
      </c>
      <c r="D434" s="107">
        <v>327.85</v>
      </c>
      <c r="E434" s="107">
        <v>328.99</v>
      </c>
      <c r="F434" s="107">
        <v>1645</v>
      </c>
      <c r="G434">
        <v>1718</v>
      </c>
      <c r="H434" s="107"/>
      <c r="I434" s="107"/>
      <c r="L434" s="149">
        <v>42641</v>
      </c>
      <c r="M434" s="107">
        <v>329.64</v>
      </c>
      <c r="N434" s="107">
        <v>330.2</v>
      </c>
      <c r="O434" s="107">
        <v>326.32</v>
      </c>
      <c r="P434" s="107">
        <v>327.8</v>
      </c>
      <c r="Q434" s="107">
        <v>1648.2</v>
      </c>
      <c r="R434">
        <v>20115</v>
      </c>
    </row>
    <row r="435" spans="1:18" x14ac:dyDescent="0.25">
      <c r="A435" s="149">
        <v>42642</v>
      </c>
      <c r="B435" s="107">
        <v>339.8</v>
      </c>
      <c r="C435" s="107">
        <v>325.34000000000003</v>
      </c>
      <c r="D435" s="107">
        <v>319.10000000000002</v>
      </c>
      <c r="E435" s="107">
        <v>331</v>
      </c>
      <c r="F435" s="107">
        <v>1626.7</v>
      </c>
      <c r="G435">
        <v>9128</v>
      </c>
      <c r="H435" s="107"/>
      <c r="I435" s="107"/>
      <c r="L435" s="149">
        <v>42642</v>
      </c>
      <c r="M435" s="107">
        <v>325.89999999999998</v>
      </c>
      <c r="N435" s="107">
        <v>339.58000000000004</v>
      </c>
      <c r="O435" s="107">
        <v>320</v>
      </c>
      <c r="P435" s="107">
        <v>330.11</v>
      </c>
      <c r="Q435" s="107">
        <v>1629.5</v>
      </c>
      <c r="R435">
        <v>53883</v>
      </c>
    </row>
    <row r="436" spans="1:18" x14ac:dyDescent="0.25">
      <c r="A436" s="149">
        <v>42643</v>
      </c>
      <c r="B436" s="107">
        <v>330</v>
      </c>
      <c r="C436" s="107">
        <v>326.87</v>
      </c>
      <c r="D436" s="107">
        <v>320.60000000000002</v>
      </c>
      <c r="E436" s="107">
        <v>327</v>
      </c>
      <c r="F436" s="107">
        <v>1634.35</v>
      </c>
      <c r="G436">
        <v>6240</v>
      </c>
      <c r="H436" s="107"/>
      <c r="I436" s="107"/>
      <c r="L436" s="149">
        <v>42643</v>
      </c>
      <c r="M436" s="107">
        <v>325.04000000000002</v>
      </c>
      <c r="N436" s="107">
        <v>331.08000000000004</v>
      </c>
      <c r="O436" s="107">
        <v>320</v>
      </c>
      <c r="P436" s="107">
        <v>322.43</v>
      </c>
      <c r="Q436" s="107">
        <v>1625.2</v>
      </c>
      <c r="R436">
        <v>51347</v>
      </c>
    </row>
    <row r="437" spans="1:18" x14ac:dyDescent="0.25">
      <c r="A437" s="149">
        <v>42646</v>
      </c>
      <c r="B437" s="107">
        <v>338.88</v>
      </c>
      <c r="C437" s="107">
        <v>336.26</v>
      </c>
      <c r="D437" s="107">
        <v>328</v>
      </c>
      <c r="E437" s="107">
        <v>330.96</v>
      </c>
      <c r="F437" s="107">
        <v>1681.3</v>
      </c>
      <c r="G437">
        <v>6776</v>
      </c>
      <c r="H437" s="107"/>
      <c r="I437" s="107"/>
      <c r="L437" s="149">
        <v>42646</v>
      </c>
      <c r="M437" s="107">
        <v>336.45</v>
      </c>
      <c r="N437" s="107">
        <v>339.2</v>
      </c>
      <c r="O437" s="107">
        <v>328.01</v>
      </c>
      <c r="P437" s="107">
        <v>330</v>
      </c>
      <c r="Q437" s="107">
        <v>1682.25</v>
      </c>
      <c r="R437">
        <v>43510</v>
      </c>
    </row>
    <row r="438" spans="1:18" x14ac:dyDescent="0.25">
      <c r="A438" s="149">
        <v>42647</v>
      </c>
      <c r="B438" s="107">
        <v>347.2</v>
      </c>
      <c r="C438" s="107">
        <v>345.24</v>
      </c>
      <c r="D438" s="107">
        <v>338.01</v>
      </c>
      <c r="E438" s="107">
        <v>339.8</v>
      </c>
      <c r="F438" s="107">
        <v>1726.2</v>
      </c>
      <c r="G438">
        <v>6579</v>
      </c>
      <c r="H438" s="107"/>
      <c r="I438" s="107"/>
      <c r="L438" s="149">
        <v>42647</v>
      </c>
      <c r="M438" s="107">
        <v>345.03000000000003</v>
      </c>
      <c r="N438" s="107">
        <v>346.99</v>
      </c>
      <c r="O438" s="107">
        <v>338.8</v>
      </c>
      <c r="P438" s="107">
        <v>340.6</v>
      </c>
      <c r="Q438" s="107">
        <v>1725.15</v>
      </c>
      <c r="R438">
        <v>74952</v>
      </c>
    </row>
    <row r="439" spans="1:18" x14ac:dyDescent="0.25">
      <c r="A439" s="149">
        <v>42648</v>
      </c>
      <c r="B439" s="107">
        <v>351.52</v>
      </c>
      <c r="C439" s="107">
        <v>346.45</v>
      </c>
      <c r="D439" s="107">
        <v>342</v>
      </c>
      <c r="E439" s="107">
        <v>349.59000000000003</v>
      </c>
      <c r="F439" s="107">
        <v>1732.25</v>
      </c>
      <c r="G439">
        <v>13502</v>
      </c>
      <c r="H439" s="107"/>
      <c r="I439" s="107"/>
      <c r="L439" s="149">
        <v>42648</v>
      </c>
      <c r="M439" s="107">
        <v>345.16999999999996</v>
      </c>
      <c r="N439" s="107">
        <v>351</v>
      </c>
      <c r="O439" s="107">
        <v>341.61</v>
      </c>
      <c r="P439" s="107">
        <v>347</v>
      </c>
      <c r="Q439" s="107">
        <v>1725.85</v>
      </c>
      <c r="R439">
        <v>36867</v>
      </c>
    </row>
    <row r="440" spans="1:18" x14ac:dyDescent="0.25">
      <c r="A440" s="149">
        <v>42649</v>
      </c>
      <c r="B440" s="107">
        <v>348.4</v>
      </c>
      <c r="C440" s="107">
        <v>345.41999999999996</v>
      </c>
      <c r="D440" s="107">
        <v>342</v>
      </c>
      <c r="E440" s="107">
        <v>347.36</v>
      </c>
      <c r="F440" s="107">
        <v>1727.1</v>
      </c>
      <c r="G440">
        <v>7934</v>
      </c>
      <c r="H440" s="107"/>
      <c r="I440" s="107"/>
      <c r="L440" s="149">
        <v>42649</v>
      </c>
      <c r="M440" s="107">
        <v>346.94</v>
      </c>
      <c r="N440" s="107">
        <v>349.99</v>
      </c>
      <c r="O440" s="107">
        <v>342</v>
      </c>
      <c r="P440" s="107">
        <v>345.01</v>
      </c>
      <c r="Q440" s="107">
        <v>1734.7</v>
      </c>
      <c r="R440">
        <v>22311</v>
      </c>
    </row>
    <row r="441" spans="1:18" x14ac:dyDescent="0.25">
      <c r="A441" s="149">
        <v>42650</v>
      </c>
      <c r="B441" s="107">
        <v>349</v>
      </c>
      <c r="C441" s="107">
        <v>348.18</v>
      </c>
      <c r="D441" s="107">
        <v>340.6</v>
      </c>
      <c r="E441" s="107">
        <v>347</v>
      </c>
      <c r="F441" s="107">
        <v>1740.9</v>
      </c>
      <c r="G441">
        <v>3362</v>
      </c>
      <c r="H441" s="107"/>
      <c r="I441" s="107"/>
      <c r="L441" s="149">
        <v>42650</v>
      </c>
      <c r="M441" s="107">
        <v>348.78000000000003</v>
      </c>
      <c r="N441" s="107">
        <v>350.77</v>
      </c>
      <c r="O441" s="107">
        <v>345</v>
      </c>
      <c r="P441" s="107">
        <v>350.77</v>
      </c>
      <c r="Q441" s="107">
        <v>1743.9</v>
      </c>
      <c r="R441">
        <v>17074</v>
      </c>
    </row>
    <row r="442" spans="1:18" x14ac:dyDescent="0.25">
      <c r="A442" s="149">
        <v>42653</v>
      </c>
      <c r="B442" s="107">
        <v>351.33000000000004</v>
      </c>
      <c r="C442" s="107">
        <v>349.94</v>
      </c>
      <c r="D442" s="107">
        <v>347</v>
      </c>
      <c r="E442" s="107">
        <v>349.45</v>
      </c>
      <c r="F442" s="107">
        <v>1749.7</v>
      </c>
      <c r="G442">
        <v>3424</v>
      </c>
      <c r="H442" s="107"/>
      <c r="I442" s="107"/>
      <c r="L442" s="149">
        <v>42653</v>
      </c>
      <c r="M442" s="107">
        <v>350.48</v>
      </c>
      <c r="N442" s="107">
        <v>352</v>
      </c>
      <c r="O442" s="107">
        <v>346</v>
      </c>
      <c r="P442" s="107">
        <v>350.1</v>
      </c>
      <c r="Q442" s="107">
        <v>1752.4</v>
      </c>
      <c r="R442">
        <v>19751</v>
      </c>
    </row>
    <row r="443" spans="1:18" x14ac:dyDescent="0.25">
      <c r="A443" s="149">
        <v>42656</v>
      </c>
      <c r="B443" s="107">
        <v>351.6</v>
      </c>
      <c r="C443" s="107">
        <v>347.78000000000003</v>
      </c>
      <c r="D443" s="107">
        <v>340.73</v>
      </c>
      <c r="E443" s="107">
        <v>350.48</v>
      </c>
      <c r="F443" s="107">
        <v>1738.9</v>
      </c>
      <c r="G443">
        <v>4169</v>
      </c>
      <c r="H443" s="107"/>
      <c r="I443" s="107"/>
      <c r="L443" s="149">
        <v>42656</v>
      </c>
      <c r="M443" s="107">
        <v>349.90999999999997</v>
      </c>
      <c r="N443" s="107">
        <v>354</v>
      </c>
      <c r="O443" s="107">
        <v>341</v>
      </c>
      <c r="P443" s="107">
        <v>349.78000000000003</v>
      </c>
      <c r="Q443" s="107">
        <v>1749.55</v>
      </c>
      <c r="R443">
        <v>21305</v>
      </c>
    </row>
    <row r="444" spans="1:18" x14ac:dyDescent="0.25">
      <c r="A444" s="149">
        <v>42657</v>
      </c>
      <c r="B444" s="107">
        <v>372.84000000000003</v>
      </c>
      <c r="C444" s="107">
        <v>365.29</v>
      </c>
      <c r="D444" s="107">
        <v>349.21999999999997</v>
      </c>
      <c r="E444" s="107">
        <v>350</v>
      </c>
      <c r="F444" s="107">
        <v>1826.45</v>
      </c>
      <c r="G444">
        <v>18532</v>
      </c>
      <c r="H444" s="107"/>
      <c r="I444" s="107"/>
      <c r="L444" s="149">
        <v>42657</v>
      </c>
      <c r="M444" s="107">
        <v>365.90999999999997</v>
      </c>
      <c r="N444" s="107">
        <v>372.74</v>
      </c>
      <c r="O444" s="107">
        <v>348.6</v>
      </c>
      <c r="P444" s="107">
        <v>352</v>
      </c>
      <c r="Q444" s="107">
        <v>1829.55</v>
      </c>
      <c r="R444">
        <v>100739</v>
      </c>
    </row>
    <row r="445" spans="1:18" x14ac:dyDescent="0.25">
      <c r="A445" s="149">
        <v>42660</v>
      </c>
      <c r="B445" s="107">
        <v>375.8</v>
      </c>
      <c r="C445" s="107">
        <v>369.39</v>
      </c>
      <c r="D445" s="107">
        <v>367.6</v>
      </c>
      <c r="E445" s="107">
        <v>368</v>
      </c>
      <c r="F445" s="107">
        <v>1846.95</v>
      </c>
      <c r="G445">
        <v>13695</v>
      </c>
      <c r="H445" s="107"/>
      <c r="I445" s="107"/>
      <c r="L445" s="149">
        <v>42660</v>
      </c>
      <c r="M445" s="107">
        <v>369.13</v>
      </c>
      <c r="N445" s="107">
        <v>375.6</v>
      </c>
      <c r="O445" s="107">
        <v>366</v>
      </c>
      <c r="P445" s="107">
        <v>367.98</v>
      </c>
      <c r="Q445" s="107">
        <v>1845.65</v>
      </c>
      <c r="R445">
        <v>84105</v>
      </c>
    </row>
    <row r="446" spans="1:18" x14ac:dyDescent="0.25">
      <c r="A446" s="149">
        <v>42661</v>
      </c>
      <c r="B446" s="107">
        <v>377.4</v>
      </c>
      <c r="C446" s="107">
        <v>365.12</v>
      </c>
      <c r="D446" s="107">
        <v>352.3</v>
      </c>
      <c r="E446" s="107">
        <v>373.4</v>
      </c>
      <c r="F446" s="107">
        <v>1825.6</v>
      </c>
      <c r="G446">
        <v>58790</v>
      </c>
      <c r="H446" s="107"/>
      <c r="I446" s="107"/>
      <c r="L446" s="149">
        <v>42661</v>
      </c>
      <c r="M446" s="107">
        <v>366.31</v>
      </c>
      <c r="N446" s="107">
        <v>377.96999999999997</v>
      </c>
      <c r="O446" s="107">
        <v>352.8</v>
      </c>
      <c r="P446" s="107">
        <v>370</v>
      </c>
      <c r="Q446" s="107">
        <v>1831.55</v>
      </c>
      <c r="R446">
        <v>440947</v>
      </c>
    </row>
    <row r="447" spans="1:18" x14ac:dyDescent="0.25">
      <c r="A447" s="149">
        <v>42662</v>
      </c>
      <c r="B447" s="107">
        <v>370.6</v>
      </c>
      <c r="C447" s="107">
        <v>365.27</v>
      </c>
      <c r="D447" s="107">
        <v>361.01</v>
      </c>
      <c r="E447" s="107">
        <v>369.96</v>
      </c>
      <c r="F447" s="107">
        <v>1826.35</v>
      </c>
      <c r="G447">
        <v>17902</v>
      </c>
      <c r="H447" s="107"/>
      <c r="I447" s="107"/>
      <c r="L447" s="149">
        <v>42662</v>
      </c>
      <c r="M447" s="107">
        <v>364.95</v>
      </c>
      <c r="N447" s="107">
        <v>370.14</v>
      </c>
      <c r="O447" s="107">
        <v>361.11</v>
      </c>
      <c r="P447" s="107">
        <v>369.78000000000003</v>
      </c>
      <c r="Q447" s="107">
        <v>1824.75</v>
      </c>
      <c r="R447">
        <v>104264</v>
      </c>
    </row>
    <row r="448" spans="1:18" x14ac:dyDescent="0.25">
      <c r="A448" s="149">
        <v>42663</v>
      </c>
      <c r="B448" s="107">
        <v>368.6</v>
      </c>
      <c r="C448" s="107">
        <v>366.88</v>
      </c>
      <c r="D448" s="107">
        <v>363</v>
      </c>
      <c r="E448" s="107">
        <v>367.23</v>
      </c>
      <c r="F448" s="107">
        <v>1834.4</v>
      </c>
      <c r="G448">
        <v>5729</v>
      </c>
      <c r="H448" s="107"/>
      <c r="I448" s="107"/>
      <c r="L448" s="149">
        <v>42663</v>
      </c>
      <c r="M448" s="107">
        <v>367.66999999999996</v>
      </c>
      <c r="N448" s="107">
        <v>368.78000000000003</v>
      </c>
      <c r="O448" s="107">
        <v>363</v>
      </c>
      <c r="P448" s="107">
        <v>367.59000000000003</v>
      </c>
      <c r="Q448" s="107">
        <v>1838.35</v>
      </c>
      <c r="R448">
        <v>52689</v>
      </c>
    </row>
    <row r="449" spans="1:18" x14ac:dyDescent="0.25">
      <c r="A449" s="149">
        <v>42664</v>
      </c>
      <c r="B449" s="107">
        <v>368</v>
      </c>
      <c r="C449" s="107">
        <v>366.06</v>
      </c>
      <c r="D449" s="107">
        <v>362.2</v>
      </c>
      <c r="E449" s="107">
        <v>367</v>
      </c>
      <c r="F449" s="107">
        <v>1830.3</v>
      </c>
      <c r="G449">
        <v>4455</v>
      </c>
      <c r="H449" s="107"/>
      <c r="I449" s="107"/>
      <c r="L449" s="149">
        <v>42664</v>
      </c>
      <c r="M449" s="107">
        <v>365.98</v>
      </c>
      <c r="N449" s="107">
        <v>367.58000000000004</v>
      </c>
      <c r="O449" s="107">
        <v>362.21</v>
      </c>
      <c r="P449" s="107">
        <v>367.58000000000004</v>
      </c>
      <c r="Q449" s="107">
        <v>1829.9</v>
      </c>
      <c r="R449">
        <v>25866</v>
      </c>
    </row>
    <row r="450" spans="1:18" x14ac:dyDescent="0.25">
      <c r="A450" s="149">
        <v>42667</v>
      </c>
      <c r="B450" s="107">
        <v>370.6</v>
      </c>
      <c r="C450" s="107">
        <v>369.21999999999997</v>
      </c>
      <c r="D450" s="107">
        <v>363</v>
      </c>
      <c r="E450" s="107">
        <v>366.2</v>
      </c>
      <c r="F450" s="107">
        <v>1846.1</v>
      </c>
      <c r="G450">
        <v>8434</v>
      </c>
      <c r="H450" s="107"/>
      <c r="I450" s="107"/>
      <c r="L450" s="149">
        <v>42667</v>
      </c>
      <c r="M450" s="107">
        <v>369.51</v>
      </c>
      <c r="N450" s="107">
        <v>370</v>
      </c>
      <c r="O450" s="107">
        <v>363</v>
      </c>
      <c r="P450" s="107">
        <v>366.2</v>
      </c>
      <c r="Q450" s="107">
        <v>1847.55</v>
      </c>
      <c r="R450">
        <v>41369</v>
      </c>
    </row>
    <row r="451" spans="1:18" x14ac:dyDescent="0.25">
      <c r="A451" s="149">
        <v>42668</v>
      </c>
      <c r="B451" s="107">
        <v>370</v>
      </c>
      <c r="C451" s="107">
        <v>367.8</v>
      </c>
      <c r="D451" s="107">
        <v>364</v>
      </c>
      <c r="E451" s="107">
        <v>369.28000000000003</v>
      </c>
      <c r="F451" s="107">
        <v>1839</v>
      </c>
      <c r="G451">
        <v>4996</v>
      </c>
      <c r="H451" s="107"/>
      <c r="I451" s="107"/>
      <c r="L451" s="149">
        <v>42668</v>
      </c>
      <c r="M451" s="107">
        <v>369.28000000000003</v>
      </c>
      <c r="N451" s="107">
        <v>370</v>
      </c>
      <c r="O451" s="107">
        <v>365.21999999999997</v>
      </c>
      <c r="P451" s="107">
        <v>369.57</v>
      </c>
      <c r="Q451" s="107">
        <v>1846.4</v>
      </c>
      <c r="R451">
        <v>32589</v>
      </c>
    </row>
    <row r="452" spans="1:18" x14ac:dyDescent="0.25">
      <c r="A452" s="149">
        <v>42669</v>
      </c>
      <c r="B452" s="107">
        <v>368.98</v>
      </c>
      <c r="C452" s="107">
        <v>363.75</v>
      </c>
      <c r="D452" s="107">
        <v>362</v>
      </c>
      <c r="E452" s="107">
        <v>368.98</v>
      </c>
      <c r="F452" s="107">
        <v>1818.75</v>
      </c>
      <c r="G452">
        <v>4134</v>
      </c>
      <c r="H452" s="107"/>
      <c r="I452" s="107"/>
      <c r="L452" s="149">
        <v>42669</v>
      </c>
      <c r="M452" s="107">
        <v>364.65</v>
      </c>
      <c r="N452" s="107">
        <v>368.6</v>
      </c>
      <c r="O452" s="107">
        <v>363</v>
      </c>
      <c r="P452" s="107">
        <v>368.6</v>
      </c>
      <c r="Q452" s="107">
        <v>1823.25</v>
      </c>
      <c r="R452">
        <v>37831</v>
      </c>
    </row>
    <row r="453" spans="1:18" x14ac:dyDescent="0.25">
      <c r="A453" s="149">
        <v>42670</v>
      </c>
      <c r="B453" s="107">
        <v>366.79</v>
      </c>
      <c r="C453" s="107">
        <v>358.79</v>
      </c>
      <c r="D453" s="107">
        <v>347.35</v>
      </c>
      <c r="E453" s="107">
        <v>363.04</v>
      </c>
      <c r="F453" s="107">
        <v>1793.95</v>
      </c>
      <c r="G453">
        <v>4010</v>
      </c>
      <c r="H453" s="107"/>
      <c r="I453" s="107"/>
      <c r="L453" s="149">
        <v>42670</v>
      </c>
      <c r="M453" s="107">
        <v>359.43</v>
      </c>
      <c r="N453" s="107">
        <v>367</v>
      </c>
      <c r="O453" s="107">
        <v>354.81</v>
      </c>
      <c r="P453" s="107">
        <v>364</v>
      </c>
      <c r="Q453" s="107">
        <v>1797.15</v>
      </c>
      <c r="R453">
        <v>44386</v>
      </c>
    </row>
    <row r="454" spans="1:18" x14ac:dyDescent="0.25">
      <c r="A454" s="149">
        <v>42671</v>
      </c>
      <c r="B454" s="107">
        <v>366.59000000000003</v>
      </c>
      <c r="C454" s="107">
        <v>364.68</v>
      </c>
      <c r="D454" s="107">
        <v>355.4</v>
      </c>
      <c r="E454" s="107">
        <v>355.4</v>
      </c>
      <c r="F454" s="107">
        <v>1823.4</v>
      </c>
      <c r="G454">
        <v>4257</v>
      </c>
      <c r="H454" s="107"/>
      <c r="I454" s="107"/>
      <c r="L454" s="149">
        <v>42671</v>
      </c>
      <c r="M454" s="107">
        <v>365.79</v>
      </c>
      <c r="N454" s="107">
        <v>367.4</v>
      </c>
      <c r="O454" s="107">
        <v>357.44</v>
      </c>
      <c r="P454" s="107">
        <v>360</v>
      </c>
      <c r="Q454" s="107">
        <v>1828.95</v>
      </c>
      <c r="R454">
        <v>41460</v>
      </c>
    </row>
    <row r="455" spans="1:18" x14ac:dyDescent="0.25">
      <c r="A455" s="149">
        <v>42673</v>
      </c>
      <c r="B455" s="107">
        <v>373.2</v>
      </c>
      <c r="C455" s="107">
        <v>372.4</v>
      </c>
      <c r="D455" s="107">
        <v>367</v>
      </c>
      <c r="E455" s="107">
        <v>368</v>
      </c>
      <c r="F455" s="107">
        <v>1862</v>
      </c>
      <c r="G455">
        <v>2389</v>
      </c>
      <c r="H455" s="107"/>
      <c r="I455" s="107"/>
      <c r="L455" s="149">
        <v>42673</v>
      </c>
      <c r="M455" s="107">
        <v>372.85</v>
      </c>
      <c r="N455" s="107">
        <v>374</v>
      </c>
      <c r="O455" s="107">
        <v>367</v>
      </c>
      <c r="P455" s="107">
        <v>368</v>
      </c>
      <c r="Q455" s="107">
        <v>1864.25</v>
      </c>
      <c r="R455">
        <v>21383</v>
      </c>
    </row>
    <row r="456" spans="1:18" x14ac:dyDescent="0.25">
      <c r="A456" s="149">
        <v>42675</v>
      </c>
      <c r="B456" s="107">
        <v>374.4</v>
      </c>
      <c r="C456" s="107">
        <v>371.85</v>
      </c>
      <c r="D456" s="107">
        <v>367</v>
      </c>
      <c r="E456" s="107">
        <v>371</v>
      </c>
      <c r="F456" s="107">
        <v>1859.25</v>
      </c>
      <c r="G456">
        <v>3102</v>
      </c>
      <c r="H456" s="107"/>
      <c r="I456" s="107"/>
      <c r="L456" s="149">
        <v>42675</v>
      </c>
      <c r="M456" s="107">
        <v>372.41999999999996</v>
      </c>
      <c r="N456" s="107">
        <v>374.2</v>
      </c>
      <c r="O456" s="107">
        <v>369.88</v>
      </c>
      <c r="P456" s="107">
        <v>374</v>
      </c>
      <c r="Q456" s="107">
        <v>1862.1</v>
      </c>
      <c r="R456">
        <v>43010</v>
      </c>
    </row>
    <row r="457" spans="1:18" x14ac:dyDescent="0.25">
      <c r="A457" s="149">
        <v>42676</v>
      </c>
      <c r="B457" s="107">
        <v>371.79</v>
      </c>
      <c r="C457" s="107">
        <v>367.52</v>
      </c>
      <c r="D457" s="107">
        <v>366</v>
      </c>
      <c r="E457" s="107">
        <v>371.79</v>
      </c>
      <c r="F457" s="107">
        <v>1837.6</v>
      </c>
      <c r="G457">
        <v>3530</v>
      </c>
      <c r="H457" s="107"/>
      <c r="I457" s="107"/>
      <c r="L457" s="149">
        <v>42676</v>
      </c>
      <c r="M457" s="107">
        <v>367.3</v>
      </c>
      <c r="N457" s="107">
        <v>370.58000000000004</v>
      </c>
      <c r="O457" s="107">
        <v>365.4</v>
      </c>
      <c r="P457" s="107">
        <v>368.98</v>
      </c>
      <c r="Q457" s="107">
        <v>1836.5</v>
      </c>
      <c r="R457">
        <v>23637</v>
      </c>
    </row>
    <row r="458" spans="1:18" x14ac:dyDescent="0.25">
      <c r="A458" s="149">
        <v>42677</v>
      </c>
      <c r="B458" s="107">
        <v>371</v>
      </c>
      <c r="C458" s="107">
        <v>361.03000000000003</v>
      </c>
      <c r="D458" s="107">
        <v>360</v>
      </c>
      <c r="E458" s="107">
        <v>366</v>
      </c>
      <c r="F458" s="107">
        <v>1805.15</v>
      </c>
      <c r="G458">
        <v>3351</v>
      </c>
      <c r="H458" s="107"/>
      <c r="I458" s="107"/>
      <c r="L458" s="149">
        <v>42677</v>
      </c>
      <c r="M458" s="107">
        <v>362.77</v>
      </c>
      <c r="N458" s="107">
        <v>372</v>
      </c>
      <c r="O458" s="107">
        <v>360</v>
      </c>
      <c r="P458" s="107">
        <v>366.98</v>
      </c>
      <c r="Q458" s="107">
        <v>1813.85</v>
      </c>
      <c r="R458">
        <v>36951</v>
      </c>
    </row>
    <row r="459" spans="1:18" x14ac:dyDescent="0.25">
      <c r="A459" s="149">
        <v>42678</v>
      </c>
      <c r="B459" s="107">
        <v>360.62</v>
      </c>
      <c r="C459" s="107">
        <v>347.62</v>
      </c>
      <c r="D459" s="107">
        <v>343.6</v>
      </c>
      <c r="E459" s="107">
        <v>360.02</v>
      </c>
      <c r="F459" s="107">
        <v>1738.1</v>
      </c>
      <c r="G459">
        <v>7019</v>
      </c>
      <c r="H459" s="107"/>
      <c r="I459" s="107"/>
      <c r="L459" s="149">
        <v>42678</v>
      </c>
      <c r="M459" s="107">
        <v>347.4</v>
      </c>
      <c r="N459" s="107">
        <v>364</v>
      </c>
      <c r="O459" s="107">
        <v>342.43</v>
      </c>
      <c r="P459" s="107">
        <v>363.98</v>
      </c>
      <c r="Q459" s="107">
        <v>1737</v>
      </c>
      <c r="R459">
        <v>44416</v>
      </c>
    </row>
    <row r="460" spans="1:18" x14ac:dyDescent="0.25">
      <c r="A460" s="149">
        <v>42681</v>
      </c>
      <c r="B460" s="107">
        <v>360.1</v>
      </c>
      <c r="C460" s="107">
        <v>345.55</v>
      </c>
      <c r="D460" s="107">
        <v>342</v>
      </c>
      <c r="E460" s="107">
        <v>348</v>
      </c>
      <c r="F460" s="107">
        <v>1727.75</v>
      </c>
      <c r="G460">
        <v>6511</v>
      </c>
      <c r="H460" s="107"/>
      <c r="I460" s="107"/>
      <c r="L460" s="149">
        <v>42681</v>
      </c>
      <c r="M460" s="107">
        <v>344.78000000000003</v>
      </c>
      <c r="N460" s="107">
        <v>356.59000000000003</v>
      </c>
      <c r="O460" s="107">
        <v>341.2</v>
      </c>
      <c r="P460" s="107">
        <v>356.59000000000003</v>
      </c>
      <c r="Q460" s="107">
        <v>1723.9</v>
      </c>
      <c r="R460">
        <v>46874</v>
      </c>
    </row>
    <row r="461" spans="1:18" x14ac:dyDescent="0.25">
      <c r="A461" s="149">
        <v>42682</v>
      </c>
      <c r="B461" s="107">
        <v>349</v>
      </c>
      <c r="C461" s="107">
        <v>343.11</v>
      </c>
      <c r="D461" s="107">
        <v>341</v>
      </c>
      <c r="E461" s="107">
        <v>346.58000000000004</v>
      </c>
      <c r="F461" s="107">
        <v>1715.55</v>
      </c>
      <c r="G461">
        <v>2752</v>
      </c>
      <c r="H461" s="107"/>
      <c r="I461" s="107"/>
      <c r="L461" s="149">
        <v>42682</v>
      </c>
      <c r="M461" s="107">
        <v>342.21999999999997</v>
      </c>
      <c r="N461" s="107">
        <v>348.4</v>
      </c>
      <c r="O461" s="107">
        <v>339.2</v>
      </c>
      <c r="P461" s="107">
        <v>346.01</v>
      </c>
      <c r="Q461" s="107">
        <v>1711.1</v>
      </c>
      <c r="R461">
        <v>35277</v>
      </c>
    </row>
    <row r="462" spans="1:18" x14ac:dyDescent="0.25">
      <c r="A462" s="149">
        <v>42683</v>
      </c>
      <c r="B462" s="107">
        <v>339</v>
      </c>
      <c r="C462" s="107">
        <v>334.43</v>
      </c>
      <c r="D462" s="107">
        <v>282.91999999999996</v>
      </c>
      <c r="E462" s="107">
        <v>334</v>
      </c>
      <c r="F462" s="107">
        <v>1672.15</v>
      </c>
      <c r="G462">
        <v>11798</v>
      </c>
      <c r="H462" s="107"/>
      <c r="I462" s="107"/>
      <c r="L462" s="149">
        <v>42683</v>
      </c>
      <c r="M462" s="107">
        <v>335.21999999999997</v>
      </c>
      <c r="N462" s="107">
        <v>339.98</v>
      </c>
      <c r="O462" s="107">
        <v>282.25</v>
      </c>
      <c r="P462" s="107">
        <v>320</v>
      </c>
      <c r="Q462" s="107">
        <v>1676.1</v>
      </c>
      <c r="R462">
        <v>70942</v>
      </c>
    </row>
    <row r="463" spans="1:18" x14ac:dyDescent="0.25">
      <c r="A463" s="149">
        <v>42684</v>
      </c>
      <c r="B463" s="107">
        <v>344.99</v>
      </c>
      <c r="C463" s="107">
        <v>337.88</v>
      </c>
      <c r="D463" s="107">
        <v>334.71999999999997</v>
      </c>
      <c r="E463" s="107">
        <v>338</v>
      </c>
      <c r="F463" s="107">
        <v>1689.4</v>
      </c>
      <c r="G463">
        <v>5252</v>
      </c>
      <c r="H463" s="107"/>
      <c r="I463" s="107"/>
      <c r="L463" s="149">
        <v>42684</v>
      </c>
      <c r="M463" s="107">
        <v>339.81</v>
      </c>
      <c r="N463" s="107">
        <v>345</v>
      </c>
      <c r="O463" s="107">
        <v>334.91999999999996</v>
      </c>
      <c r="P463" s="107">
        <v>343.7</v>
      </c>
      <c r="Q463" s="107">
        <v>1699.05</v>
      </c>
      <c r="R463">
        <v>36103</v>
      </c>
    </row>
    <row r="464" spans="1:18" x14ac:dyDescent="0.25">
      <c r="A464" s="149">
        <v>42685</v>
      </c>
      <c r="B464" s="107">
        <v>338</v>
      </c>
      <c r="C464" s="107">
        <v>313.01</v>
      </c>
      <c r="D464" s="107">
        <v>305.79000000000002</v>
      </c>
      <c r="E464" s="107">
        <v>338</v>
      </c>
      <c r="F464" s="107">
        <v>1565.05</v>
      </c>
      <c r="G464">
        <v>10710</v>
      </c>
      <c r="H464" s="107"/>
      <c r="I464" s="107"/>
      <c r="L464" s="149">
        <v>42685</v>
      </c>
      <c r="M464" s="107">
        <v>314.96999999999997</v>
      </c>
      <c r="N464" s="107">
        <v>338.99</v>
      </c>
      <c r="O464" s="107">
        <v>305</v>
      </c>
      <c r="P464" s="107">
        <v>335</v>
      </c>
      <c r="Q464" s="107">
        <v>1574.85</v>
      </c>
      <c r="R464">
        <v>98332</v>
      </c>
    </row>
    <row r="465" spans="1:18" x14ac:dyDescent="0.25">
      <c r="A465" s="149">
        <v>42689</v>
      </c>
      <c r="B465" s="107">
        <v>311.98</v>
      </c>
      <c r="C465" s="107">
        <v>250.41</v>
      </c>
      <c r="D465" s="107">
        <v>250.41</v>
      </c>
      <c r="E465" s="107">
        <v>311.98</v>
      </c>
      <c r="F465" s="107">
        <v>1252.05</v>
      </c>
      <c r="G465">
        <v>99530</v>
      </c>
      <c r="H465" s="107"/>
      <c r="I465" s="107"/>
      <c r="L465" s="149">
        <v>42689</v>
      </c>
      <c r="M465" s="107">
        <v>251.98000000000002</v>
      </c>
      <c r="N465" s="107">
        <v>307.2</v>
      </c>
      <c r="O465" s="107">
        <v>251.98000000000002</v>
      </c>
      <c r="P465" s="107">
        <v>307.2</v>
      </c>
      <c r="Q465" s="107">
        <v>1259.9000000000001</v>
      </c>
      <c r="R465">
        <v>348473</v>
      </c>
    </row>
    <row r="466" spans="1:18" x14ac:dyDescent="0.25">
      <c r="A466" s="149">
        <v>42690</v>
      </c>
      <c r="B466" s="107">
        <v>291.8</v>
      </c>
      <c r="C466" s="107">
        <v>277.61</v>
      </c>
      <c r="D466" s="107">
        <v>251.8</v>
      </c>
      <c r="E466" s="107">
        <v>251.8</v>
      </c>
      <c r="F466" s="107">
        <v>1388.05</v>
      </c>
      <c r="G466">
        <v>80960</v>
      </c>
      <c r="H466" s="107"/>
      <c r="I466" s="107"/>
      <c r="L466" s="149">
        <v>42690</v>
      </c>
      <c r="M466" s="107">
        <v>277.69</v>
      </c>
      <c r="N466" s="107">
        <v>292.01</v>
      </c>
      <c r="O466" s="107">
        <v>252</v>
      </c>
      <c r="P466" s="107">
        <v>252.2</v>
      </c>
      <c r="Q466" s="107">
        <v>1388.45</v>
      </c>
      <c r="R466">
        <v>709076</v>
      </c>
    </row>
    <row r="467" spans="1:18" x14ac:dyDescent="0.25">
      <c r="A467" s="149">
        <v>42691</v>
      </c>
      <c r="B467" s="107">
        <v>291.8</v>
      </c>
      <c r="C467" s="107">
        <v>274.02</v>
      </c>
      <c r="D467" s="107">
        <v>268.61</v>
      </c>
      <c r="E467" s="107">
        <v>279</v>
      </c>
      <c r="F467" s="107">
        <v>1370.1</v>
      </c>
      <c r="G467">
        <v>16502</v>
      </c>
      <c r="H467" s="107"/>
      <c r="I467" s="107"/>
      <c r="L467" s="149">
        <v>42691</v>
      </c>
      <c r="M467" s="107">
        <v>274.32</v>
      </c>
      <c r="N467" s="107">
        <v>292</v>
      </c>
      <c r="O467" s="107">
        <v>268.52</v>
      </c>
      <c r="P467" s="107">
        <v>277.60000000000002</v>
      </c>
      <c r="Q467" s="107">
        <v>1371.6</v>
      </c>
      <c r="R467">
        <v>129526</v>
      </c>
    </row>
    <row r="468" spans="1:18" x14ac:dyDescent="0.25">
      <c r="A468" s="149">
        <v>42692</v>
      </c>
      <c r="B468" s="107">
        <v>309</v>
      </c>
      <c r="C468" s="107">
        <v>301.57</v>
      </c>
      <c r="D468" s="107">
        <v>275.07</v>
      </c>
      <c r="E468" s="107">
        <v>280.82</v>
      </c>
      <c r="F468" s="107">
        <v>1507.85</v>
      </c>
      <c r="G468">
        <v>26512</v>
      </c>
      <c r="H468" s="107"/>
      <c r="I468" s="107"/>
      <c r="L468" s="149">
        <v>42692</v>
      </c>
      <c r="M468" s="107">
        <v>300.74</v>
      </c>
      <c r="N468" s="107">
        <v>307.8</v>
      </c>
      <c r="O468" s="107">
        <v>274</v>
      </c>
      <c r="P468" s="107">
        <v>275.18</v>
      </c>
      <c r="Q468" s="107">
        <v>1503.7</v>
      </c>
      <c r="R468">
        <v>175085</v>
      </c>
    </row>
    <row r="469" spans="1:18" x14ac:dyDescent="0.25">
      <c r="A469" s="149">
        <v>42695</v>
      </c>
      <c r="B469" s="107">
        <v>315.63</v>
      </c>
      <c r="C469" s="107">
        <v>304.34000000000003</v>
      </c>
      <c r="D469" s="107">
        <v>295.32</v>
      </c>
      <c r="E469" s="107">
        <v>304.78000000000003</v>
      </c>
      <c r="F469" s="107">
        <v>1521.7</v>
      </c>
      <c r="G469">
        <v>27819</v>
      </c>
      <c r="H469" s="107"/>
      <c r="I469" s="107"/>
      <c r="L469" s="149">
        <v>42695</v>
      </c>
      <c r="M469" s="107">
        <v>304.64999999999998</v>
      </c>
      <c r="N469" s="107">
        <v>317.55</v>
      </c>
      <c r="O469" s="107">
        <v>294.60000000000002</v>
      </c>
      <c r="P469" s="107">
        <v>300</v>
      </c>
      <c r="Q469" s="107">
        <v>1523.25</v>
      </c>
      <c r="R469">
        <v>235153</v>
      </c>
    </row>
    <row r="470" spans="1:18" x14ac:dyDescent="0.25">
      <c r="A470" s="149">
        <v>42696</v>
      </c>
      <c r="B470" s="107">
        <v>313.36</v>
      </c>
      <c r="C470" s="107">
        <v>305.89999999999998</v>
      </c>
      <c r="D470" s="107">
        <v>296</v>
      </c>
      <c r="E470" s="107">
        <v>304.78000000000003</v>
      </c>
      <c r="F470" s="107">
        <v>1529.5</v>
      </c>
      <c r="G470">
        <v>18098</v>
      </c>
      <c r="H470" s="107"/>
      <c r="I470" s="107"/>
      <c r="L470" s="149">
        <v>42696</v>
      </c>
      <c r="M470" s="107">
        <v>306.49</v>
      </c>
      <c r="N470" s="107">
        <v>313.98</v>
      </c>
      <c r="O470" s="107">
        <v>295.32</v>
      </c>
      <c r="P470" s="107">
        <v>303.88</v>
      </c>
      <c r="Q470" s="107">
        <v>1532.45</v>
      </c>
      <c r="R470">
        <v>126667</v>
      </c>
    </row>
    <row r="471" spans="1:18" x14ac:dyDescent="0.25">
      <c r="A471" s="149">
        <v>42697</v>
      </c>
      <c r="B471" s="107">
        <v>312</v>
      </c>
      <c r="C471" s="107">
        <v>302.44</v>
      </c>
      <c r="D471" s="107">
        <v>295.99</v>
      </c>
      <c r="E471" s="107">
        <v>312</v>
      </c>
      <c r="F471" s="107">
        <v>1512.2</v>
      </c>
      <c r="G471">
        <v>16620</v>
      </c>
      <c r="H471" s="107"/>
      <c r="I471" s="107"/>
      <c r="L471" s="149">
        <v>42697</v>
      </c>
      <c r="M471" s="107">
        <v>303.54000000000002</v>
      </c>
      <c r="N471" s="107">
        <v>312</v>
      </c>
      <c r="O471" s="107">
        <v>295.85000000000002</v>
      </c>
      <c r="P471" s="107">
        <v>309.8</v>
      </c>
      <c r="Q471" s="107">
        <v>1517.7</v>
      </c>
      <c r="R471">
        <v>80759</v>
      </c>
    </row>
    <row r="472" spans="1:18" x14ac:dyDescent="0.25">
      <c r="A472" s="149">
        <v>42698</v>
      </c>
      <c r="B472" s="107">
        <v>306.2</v>
      </c>
      <c r="C472" s="107">
        <v>300.93</v>
      </c>
      <c r="D472" s="107">
        <v>296</v>
      </c>
      <c r="E472" s="107">
        <v>300</v>
      </c>
      <c r="F472" s="107">
        <v>1504.65</v>
      </c>
      <c r="G472">
        <v>10780</v>
      </c>
      <c r="H472" s="107"/>
      <c r="I472" s="107"/>
      <c r="L472" s="149">
        <v>42698</v>
      </c>
      <c r="M472" s="107">
        <v>302.14</v>
      </c>
      <c r="N472" s="107">
        <v>307</v>
      </c>
      <c r="O472" s="107">
        <v>294.09000000000003</v>
      </c>
      <c r="P472" s="107">
        <v>299.8</v>
      </c>
      <c r="Q472" s="107">
        <v>1510.7</v>
      </c>
      <c r="R472">
        <v>73458</v>
      </c>
    </row>
    <row r="473" spans="1:18" x14ac:dyDescent="0.25">
      <c r="A473" s="149">
        <v>42699</v>
      </c>
      <c r="B473" s="107">
        <v>307.01</v>
      </c>
      <c r="C473" s="107">
        <v>304.20999999999998</v>
      </c>
      <c r="D473" s="107">
        <v>303.2</v>
      </c>
      <c r="E473" s="107">
        <v>304.70999999999998</v>
      </c>
      <c r="F473" s="107">
        <v>1521.05</v>
      </c>
      <c r="G473">
        <v>3066</v>
      </c>
      <c r="H473" s="107"/>
      <c r="I473" s="107"/>
      <c r="L473" s="149">
        <v>42699</v>
      </c>
      <c r="M473" s="107">
        <v>305.02</v>
      </c>
      <c r="N473" s="107">
        <v>307</v>
      </c>
      <c r="O473" s="107">
        <v>302.84000000000003</v>
      </c>
      <c r="P473" s="107">
        <v>302.84000000000003</v>
      </c>
      <c r="Q473" s="107">
        <v>1525.1</v>
      </c>
      <c r="R473">
        <v>32755</v>
      </c>
    </row>
    <row r="474" spans="1:18" x14ac:dyDescent="0.25">
      <c r="A474" s="149">
        <v>42702</v>
      </c>
      <c r="B474" s="107">
        <v>308.71999999999997</v>
      </c>
      <c r="C474" s="107">
        <v>304.5</v>
      </c>
      <c r="D474" s="107">
        <v>302.21999999999997</v>
      </c>
      <c r="E474" s="107">
        <v>304</v>
      </c>
      <c r="F474" s="107">
        <v>1522.5</v>
      </c>
      <c r="G474">
        <v>4023</v>
      </c>
      <c r="H474" s="107"/>
      <c r="I474" s="107"/>
      <c r="L474" s="149">
        <v>42702</v>
      </c>
      <c r="M474" s="107">
        <v>305.53000000000003</v>
      </c>
      <c r="N474" s="107">
        <v>307.96999999999997</v>
      </c>
      <c r="O474" s="107">
        <v>302.40999999999997</v>
      </c>
      <c r="P474" s="107">
        <v>305.35000000000002</v>
      </c>
      <c r="Q474" s="107">
        <v>1527.65</v>
      </c>
      <c r="R474">
        <v>26139</v>
      </c>
    </row>
    <row r="475" spans="1:18" x14ac:dyDescent="0.25">
      <c r="A475" s="149">
        <v>42703</v>
      </c>
      <c r="B475" s="107">
        <v>348.86</v>
      </c>
      <c r="C475" s="107">
        <v>331.59000000000003</v>
      </c>
      <c r="D475" s="107">
        <v>307.20999999999998</v>
      </c>
      <c r="E475" s="107">
        <v>307.20999999999998</v>
      </c>
      <c r="F475" s="107">
        <v>1657.95</v>
      </c>
      <c r="G475">
        <v>59680</v>
      </c>
      <c r="H475" s="107"/>
      <c r="I475" s="107"/>
      <c r="L475" s="149">
        <v>42703</v>
      </c>
      <c r="M475" s="107">
        <v>331.74</v>
      </c>
      <c r="N475" s="107">
        <v>349</v>
      </c>
      <c r="O475" s="107">
        <v>305.60000000000002</v>
      </c>
      <c r="P475" s="107">
        <v>305.60000000000002</v>
      </c>
      <c r="Q475" s="107">
        <v>1658.7</v>
      </c>
      <c r="R475">
        <v>325438</v>
      </c>
    </row>
    <row r="476" spans="1:18" x14ac:dyDescent="0.25">
      <c r="A476" s="149">
        <v>42704</v>
      </c>
      <c r="B476" s="107">
        <v>345.28000000000003</v>
      </c>
      <c r="C476" s="107">
        <v>337.41999999999996</v>
      </c>
      <c r="D476" s="107">
        <v>330.04</v>
      </c>
      <c r="E476" s="107">
        <v>335.7</v>
      </c>
      <c r="F476" s="107">
        <v>1687.1</v>
      </c>
      <c r="G476">
        <v>18180</v>
      </c>
      <c r="H476" s="107"/>
      <c r="I476" s="107"/>
      <c r="L476" s="149">
        <v>42704</v>
      </c>
      <c r="M476" s="107">
        <v>338.55</v>
      </c>
      <c r="N476" s="107">
        <v>345.8</v>
      </c>
      <c r="O476" s="107">
        <v>330.32</v>
      </c>
      <c r="P476" s="107">
        <v>335.8</v>
      </c>
      <c r="Q476" s="107">
        <v>1692.75</v>
      </c>
      <c r="R476">
        <v>115886</v>
      </c>
    </row>
    <row r="477" spans="1:18" x14ac:dyDescent="0.25">
      <c r="A477" s="149">
        <v>42705</v>
      </c>
      <c r="B477" s="107">
        <v>342.76</v>
      </c>
      <c r="C477" s="107">
        <v>338.66999999999996</v>
      </c>
      <c r="D477" s="107">
        <v>329.03000000000003</v>
      </c>
      <c r="E477" s="107">
        <v>340</v>
      </c>
      <c r="F477" s="107">
        <v>1693.35</v>
      </c>
      <c r="G477">
        <v>7592</v>
      </c>
      <c r="H477" s="107"/>
      <c r="I477" s="107"/>
      <c r="L477" s="149">
        <v>42705</v>
      </c>
      <c r="M477" s="107">
        <v>338.76</v>
      </c>
      <c r="N477" s="107">
        <v>343.21</v>
      </c>
      <c r="O477" s="107">
        <v>325</v>
      </c>
      <c r="P477" s="107">
        <v>342</v>
      </c>
      <c r="Q477" s="107">
        <v>1693.8</v>
      </c>
      <c r="R477">
        <v>46582</v>
      </c>
    </row>
    <row r="478" spans="1:18" x14ac:dyDescent="0.25">
      <c r="A478" s="149">
        <v>42706</v>
      </c>
      <c r="B478" s="107">
        <v>337.6</v>
      </c>
      <c r="C478" s="107">
        <v>326</v>
      </c>
      <c r="D478" s="107">
        <v>325</v>
      </c>
      <c r="E478" s="107">
        <v>336.8</v>
      </c>
      <c r="F478" s="107">
        <v>1630</v>
      </c>
      <c r="G478">
        <v>7582</v>
      </c>
      <c r="H478" s="107"/>
      <c r="I478" s="107"/>
      <c r="L478" s="149">
        <v>42706</v>
      </c>
      <c r="M478" s="107">
        <v>326.95</v>
      </c>
      <c r="N478" s="107">
        <v>338.39</v>
      </c>
      <c r="O478" s="107">
        <v>325.58000000000004</v>
      </c>
      <c r="P478" s="107">
        <v>334</v>
      </c>
      <c r="Q478" s="107">
        <v>1634.75</v>
      </c>
      <c r="R478">
        <v>35786</v>
      </c>
    </row>
    <row r="479" spans="1:18" x14ac:dyDescent="0.25">
      <c r="A479" s="149">
        <v>42709</v>
      </c>
      <c r="B479" s="107">
        <v>330</v>
      </c>
      <c r="C479" s="107">
        <v>328.07</v>
      </c>
      <c r="D479" s="107">
        <v>325</v>
      </c>
      <c r="E479" s="107">
        <v>327.65999999999997</v>
      </c>
      <c r="F479" s="107">
        <v>1640.35</v>
      </c>
      <c r="G479">
        <v>2763</v>
      </c>
      <c r="H479" s="107"/>
      <c r="I479" s="107"/>
      <c r="L479" s="149">
        <v>42709</v>
      </c>
      <c r="M479" s="107">
        <v>328.51</v>
      </c>
      <c r="N479" s="107">
        <v>331.99</v>
      </c>
      <c r="O479" s="107">
        <v>324.24</v>
      </c>
      <c r="P479" s="107">
        <v>331.99</v>
      </c>
      <c r="Q479" s="107">
        <v>1642.55</v>
      </c>
      <c r="R479">
        <v>21434</v>
      </c>
    </row>
    <row r="480" spans="1:18" x14ac:dyDescent="0.25">
      <c r="A480" s="149">
        <v>42710</v>
      </c>
      <c r="B480" s="107">
        <v>344</v>
      </c>
      <c r="C480" s="107">
        <v>333.01</v>
      </c>
      <c r="D480" s="107">
        <v>330.2</v>
      </c>
      <c r="E480" s="107">
        <v>336.79</v>
      </c>
      <c r="F480" s="107">
        <v>1665.05</v>
      </c>
      <c r="G480">
        <v>17361</v>
      </c>
      <c r="H480" s="107"/>
      <c r="I480" s="107"/>
      <c r="L480" s="149">
        <v>42710</v>
      </c>
      <c r="M480" s="107">
        <v>333.98</v>
      </c>
      <c r="N480" s="107">
        <v>343.96</v>
      </c>
      <c r="O480" s="107">
        <v>331.13</v>
      </c>
      <c r="P480" s="107">
        <v>333.8</v>
      </c>
      <c r="Q480" s="107">
        <v>1669.9</v>
      </c>
      <c r="R480">
        <v>74411</v>
      </c>
    </row>
    <row r="481" spans="1:18" x14ac:dyDescent="0.25">
      <c r="A481" s="149">
        <v>42711</v>
      </c>
      <c r="B481" s="107">
        <v>339.82</v>
      </c>
      <c r="C481" s="107">
        <v>332.52</v>
      </c>
      <c r="D481" s="107">
        <v>329.4</v>
      </c>
      <c r="E481" s="107">
        <v>339</v>
      </c>
      <c r="F481" s="107">
        <v>1662.6</v>
      </c>
      <c r="G481">
        <v>4303</v>
      </c>
      <c r="H481" s="107"/>
      <c r="I481" s="107"/>
      <c r="L481" s="149">
        <v>42711</v>
      </c>
      <c r="M481" s="107">
        <v>333.07</v>
      </c>
      <c r="N481" s="107">
        <v>339.8</v>
      </c>
      <c r="O481" s="107">
        <v>329.8</v>
      </c>
      <c r="P481" s="107">
        <v>337.62</v>
      </c>
      <c r="Q481" s="107">
        <v>1665.35</v>
      </c>
      <c r="R481">
        <v>33188</v>
      </c>
    </row>
    <row r="482" spans="1:18" x14ac:dyDescent="0.25">
      <c r="A482" s="149">
        <v>42712</v>
      </c>
      <c r="B482" s="107">
        <v>339.8</v>
      </c>
      <c r="C482" s="107">
        <v>336.73</v>
      </c>
      <c r="D482" s="107">
        <v>335.01</v>
      </c>
      <c r="E482" s="107">
        <v>336.99</v>
      </c>
      <c r="F482" s="107">
        <v>1683.65</v>
      </c>
      <c r="G482">
        <v>2306</v>
      </c>
      <c r="H482" s="107"/>
      <c r="I482" s="107"/>
      <c r="L482" s="149">
        <v>42712</v>
      </c>
      <c r="M482" s="107">
        <v>336.94</v>
      </c>
      <c r="N482" s="107">
        <v>338.99</v>
      </c>
      <c r="O482" s="107">
        <v>333.99</v>
      </c>
      <c r="P482" s="107">
        <v>334.2</v>
      </c>
      <c r="Q482" s="107">
        <v>1684.7</v>
      </c>
      <c r="R482">
        <v>17982</v>
      </c>
    </row>
    <row r="483" spans="1:18" x14ac:dyDescent="0.25">
      <c r="A483" s="149">
        <v>42713</v>
      </c>
      <c r="B483" s="107">
        <v>339</v>
      </c>
      <c r="C483" s="107">
        <v>337.7</v>
      </c>
      <c r="D483" s="107">
        <v>334.93</v>
      </c>
      <c r="E483" s="107">
        <v>338.07</v>
      </c>
      <c r="F483" s="107">
        <v>1688.5</v>
      </c>
      <c r="G483">
        <v>2568</v>
      </c>
      <c r="H483" s="107"/>
      <c r="I483" s="107"/>
      <c r="L483" s="149">
        <v>42713</v>
      </c>
      <c r="M483" s="107">
        <v>338.77</v>
      </c>
      <c r="N483" s="107">
        <v>339.98</v>
      </c>
      <c r="O483" s="107">
        <v>335</v>
      </c>
      <c r="P483" s="107">
        <v>337.3</v>
      </c>
      <c r="Q483" s="107">
        <v>1693.85</v>
      </c>
      <c r="R483">
        <v>16125</v>
      </c>
    </row>
    <row r="484" spans="1:18" x14ac:dyDescent="0.25">
      <c r="A484" s="149">
        <v>42716</v>
      </c>
      <c r="B484" s="107">
        <v>338</v>
      </c>
      <c r="C484" s="107">
        <v>328.25</v>
      </c>
      <c r="D484" s="107">
        <v>327.01</v>
      </c>
      <c r="E484" s="107">
        <v>336.8</v>
      </c>
      <c r="F484" s="107">
        <v>1641.25</v>
      </c>
      <c r="G484">
        <v>4115</v>
      </c>
      <c r="H484" s="107"/>
      <c r="I484" s="107"/>
      <c r="L484" s="149">
        <v>42716</v>
      </c>
      <c r="M484" s="107">
        <v>328.99</v>
      </c>
      <c r="N484" s="107">
        <v>339</v>
      </c>
      <c r="O484" s="107">
        <v>327.2</v>
      </c>
      <c r="P484" s="107">
        <v>334.40999999999997</v>
      </c>
      <c r="Q484" s="107">
        <v>1644.95</v>
      </c>
      <c r="R484">
        <v>13857</v>
      </c>
    </row>
    <row r="485" spans="1:18" x14ac:dyDescent="0.25">
      <c r="A485" s="149">
        <v>42717</v>
      </c>
      <c r="B485" s="107">
        <v>327.83000000000004</v>
      </c>
      <c r="C485" s="107">
        <v>322.33000000000004</v>
      </c>
      <c r="D485" s="107">
        <v>321.39999999999998</v>
      </c>
      <c r="E485" s="107">
        <v>327</v>
      </c>
      <c r="F485" s="107">
        <v>1611.65</v>
      </c>
      <c r="G485">
        <v>2516</v>
      </c>
      <c r="H485" s="107"/>
      <c r="I485" s="107"/>
      <c r="L485" s="149">
        <v>42717</v>
      </c>
      <c r="M485" s="107">
        <v>322.38</v>
      </c>
      <c r="N485" s="107">
        <v>328.98</v>
      </c>
      <c r="O485" s="107">
        <v>320.81</v>
      </c>
      <c r="P485" s="107">
        <v>328.2</v>
      </c>
      <c r="Q485" s="107">
        <v>1611.9</v>
      </c>
      <c r="R485">
        <v>12717</v>
      </c>
    </row>
    <row r="486" spans="1:18" x14ac:dyDescent="0.25">
      <c r="A486" s="149">
        <v>42718</v>
      </c>
      <c r="B486" s="107">
        <v>325.2</v>
      </c>
      <c r="C486" s="107">
        <v>318.46999999999997</v>
      </c>
      <c r="D486" s="107">
        <v>315.39999999999998</v>
      </c>
      <c r="E486" s="107">
        <v>324</v>
      </c>
      <c r="F486" s="107">
        <v>1592.35</v>
      </c>
      <c r="G486">
        <v>2992</v>
      </c>
      <c r="H486" s="107"/>
      <c r="I486" s="107"/>
      <c r="L486" s="149">
        <v>42718</v>
      </c>
      <c r="M486" s="107">
        <v>318.39</v>
      </c>
      <c r="N486" s="107">
        <v>326.01</v>
      </c>
      <c r="O486" s="107">
        <v>316</v>
      </c>
      <c r="P486" s="107">
        <v>319</v>
      </c>
      <c r="Q486" s="107">
        <v>1591.95</v>
      </c>
      <c r="R486">
        <v>14043</v>
      </c>
    </row>
    <row r="487" spans="1:18" x14ac:dyDescent="0.25">
      <c r="A487" s="149">
        <v>42719</v>
      </c>
      <c r="B487" s="107">
        <v>334</v>
      </c>
      <c r="C487" s="107">
        <v>330.66999999999996</v>
      </c>
      <c r="D487" s="107">
        <v>310.99</v>
      </c>
      <c r="E487" s="107">
        <v>316</v>
      </c>
      <c r="F487" s="107">
        <v>1653.35</v>
      </c>
      <c r="G487">
        <v>14093</v>
      </c>
      <c r="H487" s="107"/>
      <c r="I487" s="107"/>
      <c r="L487" s="149">
        <v>42719</v>
      </c>
      <c r="M487" s="107">
        <v>330.46</v>
      </c>
      <c r="N487" s="107">
        <v>334.96</v>
      </c>
      <c r="O487" s="107">
        <v>310.01</v>
      </c>
      <c r="P487" s="107">
        <v>315.99</v>
      </c>
      <c r="Q487" s="107">
        <v>1652.3</v>
      </c>
      <c r="R487">
        <v>62954</v>
      </c>
    </row>
    <row r="488" spans="1:18" x14ac:dyDescent="0.25">
      <c r="A488" s="149">
        <v>42720</v>
      </c>
      <c r="B488" s="107">
        <v>339</v>
      </c>
      <c r="C488" s="107">
        <v>337.74</v>
      </c>
      <c r="D488" s="107">
        <v>328</v>
      </c>
      <c r="E488" s="107">
        <v>331.85</v>
      </c>
      <c r="F488" s="107">
        <v>1688.7</v>
      </c>
      <c r="G488">
        <v>9200</v>
      </c>
      <c r="H488" s="107"/>
      <c r="I488" s="107"/>
      <c r="L488" s="149">
        <v>42720</v>
      </c>
      <c r="M488" s="107">
        <v>338.12</v>
      </c>
      <c r="N488" s="107">
        <v>339.6</v>
      </c>
      <c r="O488" s="107">
        <v>328.21999999999997</v>
      </c>
      <c r="P488" s="107">
        <v>332.4</v>
      </c>
      <c r="Q488" s="107">
        <v>1690.6</v>
      </c>
      <c r="R488">
        <v>59038</v>
      </c>
    </row>
    <row r="489" spans="1:18" x14ac:dyDescent="0.25">
      <c r="A489" s="149">
        <v>42723</v>
      </c>
      <c r="B489" s="107">
        <v>343</v>
      </c>
      <c r="C489" s="107">
        <v>338.64</v>
      </c>
      <c r="D489" s="107">
        <v>331.2</v>
      </c>
      <c r="E489" s="107">
        <v>333.6</v>
      </c>
      <c r="F489" s="107">
        <v>1693.2</v>
      </c>
      <c r="G489">
        <v>3383</v>
      </c>
      <c r="H489" s="107"/>
      <c r="I489" s="107"/>
      <c r="L489" s="149">
        <v>42723</v>
      </c>
      <c r="M489" s="107">
        <v>339.57</v>
      </c>
      <c r="N489" s="107">
        <v>343.6</v>
      </c>
      <c r="O489" s="107">
        <v>330.4</v>
      </c>
      <c r="P489" s="107">
        <v>339.4</v>
      </c>
      <c r="Q489" s="107">
        <v>1697.85</v>
      </c>
      <c r="R489">
        <v>46939</v>
      </c>
    </row>
    <row r="490" spans="1:18" x14ac:dyDescent="0.25">
      <c r="A490" s="149">
        <v>42724</v>
      </c>
      <c r="B490" s="107">
        <v>340.4</v>
      </c>
      <c r="C490" s="107">
        <v>333.54</v>
      </c>
      <c r="D490" s="107">
        <v>331.04</v>
      </c>
      <c r="E490" s="107">
        <v>339.6</v>
      </c>
      <c r="F490" s="107">
        <v>1667.7</v>
      </c>
      <c r="G490">
        <v>4559</v>
      </c>
      <c r="H490" s="107"/>
      <c r="I490" s="107"/>
      <c r="L490" s="149">
        <v>42724</v>
      </c>
      <c r="M490" s="107">
        <v>334.43</v>
      </c>
      <c r="N490" s="107">
        <v>341.98</v>
      </c>
      <c r="O490" s="107">
        <v>332</v>
      </c>
      <c r="P490" s="107">
        <v>337</v>
      </c>
      <c r="Q490" s="107">
        <v>1672.15</v>
      </c>
      <c r="R490">
        <v>39437</v>
      </c>
    </row>
    <row r="491" spans="1:18" x14ac:dyDescent="0.25">
      <c r="A491" s="149">
        <v>42725</v>
      </c>
      <c r="B491" s="107">
        <v>337.15999999999997</v>
      </c>
      <c r="C491" s="107">
        <v>329.32</v>
      </c>
      <c r="D491" s="107">
        <v>326.24</v>
      </c>
      <c r="E491" s="107">
        <v>337</v>
      </c>
      <c r="F491" s="107">
        <v>1646.6</v>
      </c>
      <c r="G491">
        <v>2204</v>
      </c>
      <c r="H491" s="107"/>
      <c r="I491" s="107"/>
      <c r="L491" s="149">
        <v>42725</v>
      </c>
      <c r="M491" s="107">
        <v>328.82</v>
      </c>
      <c r="N491" s="107">
        <v>339</v>
      </c>
      <c r="O491" s="107">
        <v>327</v>
      </c>
      <c r="P491" s="107">
        <v>339</v>
      </c>
      <c r="Q491" s="107">
        <v>1644.1</v>
      </c>
      <c r="R491">
        <v>13541</v>
      </c>
    </row>
    <row r="492" spans="1:18" x14ac:dyDescent="0.25">
      <c r="A492" s="149">
        <v>42726</v>
      </c>
      <c r="B492" s="107">
        <v>328.74</v>
      </c>
      <c r="C492" s="107">
        <v>321.73</v>
      </c>
      <c r="D492" s="107">
        <v>311.37</v>
      </c>
      <c r="E492" s="107">
        <v>328.74</v>
      </c>
      <c r="F492" s="107">
        <v>1608.65</v>
      </c>
      <c r="G492">
        <v>5019</v>
      </c>
      <c r="H492" s="107"/>
      <c r="I492" s="107"/>
      <c r="L492" s="149">
        <v>42726</v>
      </c>
      <c r="M492" s="107">
        <v>324.20999999999998</v>
      </c>
      <c r="N492" s="107">
        <v>330.01</v>
      </c>
      <c r="O492" s="107">
        <v>314.45</v>
      </c>
      <c r="P492" s="107">
        <v>330.01</v>
      </c>
      <c r="Q492" s="107">
        <v>1621.05</v>
      </c>
      <c r="R492">
        <v>29175</v>
      </c>
    </row>
    <row r="493" spans="1:18" x14ac:dyDescent="0.25">
      <c r="A493" s="149">
        <v>42727</v>
      </c>
      <c r="B493" s="107">
        <v>325</v>
      </c>
      <c r="C493" s="107">
        <v>319.23</v>
      </c>
      <c r="D493" s="107">
        <v>315.32</v>
      </c>
      <c r="E493" s="107">
        <v>323.52</v>
      </c>
      <c r="F493" s="107">
        <v>1596.15</v>
      </c>
      <c r="G493">
        <v>1194</v>
      </c>
      <c r="H493" s="107"/>
      <c r="I493" s="107"/>
      <c r="L493" s="149">
        <v>42727</v>
      </c>
      <c r="M493" s="107">
        <v>317.91999999999996</v>
      </c>
      <c r="N493" s="107">
        <v>326.99</v>
      </c>
      <c r="O493" s="107">
        <v>314</v>
      </c>
      <c r="P493" s="107">
        <v>320.93</v>
      </c>
      <c r="Q493" s="107">
        <v>1589.6</v>
      </c>
      <c r="R493">
        <v>26664</v>
      </c>
    </row>
    <row r="494" spans="1:18" x14ac:dyDescent="0.25">
      <c r="A494" s="149">
        <v>42730</v>
      </c>
      <c r="B494" s="107">
        <v>314</v>
      </c>
      <c r="C494" s="107">
        <v>291.12</v>
      </c>
      <c r="D494" s="107">
        <v>285</v>
      </c>
      <c r="E494" s="107">
        <v>314</v>
      </c>
      <c r="F494" s="107">
        <v>1455.6</v>
      </c>
      <c r="G494">
        <v>16118</v>
      </c>
      <c r="H494" s="107"/>
      <c r="I494" s="107"/>
      <c r="L494" s="149">
        <v>42730</v>
      </c>
      <c r="M494" s="107">
        <v>289.40999999999997</v>
      </c>
      <c r="N494" s="107">
        <v>322</v>
      </c>
      <c r="O494" s="107">
        <v>282.44</v>
      </c>
      <c r="P494" s="107">
        <v>322</v>
      </c>
      <c r="Q494" s="107">
        <v>1447.05</v>
      </c>
      <c r="R494">
        <v>96976</v>
      </c>
    </row>
    <row r="495" spans="1:18" x14ac:dyDescent="0.25">
      <c r="A495" s="149">
        <v>42731</v>
      </c>
      <c r="B495" s="107">
        <v>304.88</v>
      </c>
      <c r="C495" s="107">
        <v>291.83000000000004</v>
      </c>
      <c r="D495" s="107">
        <v>278</v>
      </c>
      <c r="E495" s="107">
        <v>291.12</v>
      </c>
      <c r="F495" s="107">
        <v>1459.15</v>
      </c>
      <c r="G495">
        <v>11633</v>
      </c>
      <c r="H495" s="107"/>
      <c r="I495" s="107"/>
      <c r="L495" s="149">
        <v>42731</v>
      </c>
      <c r="M495" s="107">
        <v>292.02</v>
      </c>
      <c r="N495" s="107">
        <v>304.78000000000003</v>
      </c>
      <c r="O495" s="107">
        <v>277.60000000000002</v>
      </c>
      <c r="P495" s="107">
        <v>289.8</v>
      </c>
      <c r="Q495" s="107">
        <v>1460.1</v>
      </c>
      <c r="R495">
        <v>86402</v>
      </c>
    </row>
    <row r="496" spans="1:18" x14ac:dyDescent="0.25">
      <c r="A496" s="149">
        <v>42732</v>
      </c>
      <c r="B496" s="107">
        <v>303.19</v>
      </c>
      <c r="C496" s="107">
        <v>298.16999999999996</v>
      </c>
      <c r="D496" s="107">
        <v>296</v>
      </c>
      <c r="E496" s="107">
        <v>296</v>
      </c>
      <c r="F496" s="107">
        <v>1490.85</v>
      </c>
      <c r="G496">
        <v>8867</v>
      </c>
      <c r="H496" s="107"/>
      <c r="I496" s="107"/>
      <c r="L496" s="149">
        <v>42732</v>
      </c>
      <c r="M496" s="107">
        <v>298.11</v>
      </c>
      <c r="N496" s="107">
        <v>303.60000000000002</v>
      </c>
      <c r="O496" s="107">
        <v>294</v>
      </c>
      <c r="P496" s="107">
        <v>296.77</v>
      </c>
      <c r="Q496" s="107">
        <v>1490.55</v>
      </c>
      <c r="R496">
        <v>69686</v>
      </c>
    </row>
    <row r="497" spans="1:18" x14ac:dyDescent="0.25">
      <c r="A497" s="149">
        <v>42733</v>
      </c>
      <c r="B497" s="107">
        <v>300.86</v>
      </c>
      <c r="C497" s="107">
        <v>295.44</v>
      </c>
      <c r="D497" s="107">
        <v>293.20999999999998</v>
      </c>
      <c r="E497" s="107">
        <v>298.2</v>
      </c>
      <c r="F497" s="107">
        <v>1477.2</v>
      </c>
      <c r="G497">
        <v>3463</v>
      </c>
      <c r="H497" s="107"/>
      <c r="I497" s="107"/>
      <c r="L497" s="149">
        <v>42733</v>
      </c>
      <c r="M497" s="107">
        <v>295.2</v>
      </c>
      <c r="N497" s="107">
        <v>301.8</v>
      </c>
      <c r="O497" s="107">
        <v>292.41999999999996</v>
      </c>
      <c r="P497" s="107">
        <v>297.8</v>
      </c>
      <c r="Q497" s="107">
        <v>1476</v>
      </c>
      <c r="R497">
        <v>29940</v>
      </c>
    </row>
    <row r="498" spans="1:18" x14ac:dyDescent="0.25">
      <c r="A498" s="149">
        <v>42734</v>
      </c>
      <c r="B498" s="107">
        <v>318.78000000000003</v>
      </c>
      <c r="C498" s="107">
        <v>316.28000000000003</v>
      </c>
      <c r="D498" s="107">
        <v>296.91999999999996</v>
      </c>
      <c r="E498" s="107">
        <v>296.91999999999996</v>
      </c>
      <c r="F498" s="107">
        <v>1581.4</v>
      </c>
      <c r="G498">
        <v>15782</v>
      </c>
      <c r="H498" s="107"/>
      <c r="I498" s="107"/>
      <c r="L498" s="149">
        <v>42734</v>
      </c>
      <c r="M498" s="107">
        <v>316.23</v>
      </c>
      <c r="N498" s="107">
        <v>319</v>
      </c>
      <c r="O498" s="107">
        <v>296.2</v>
      </c>
      <c r="P498" s="107">
        <v>296.2</v>
      </c>
      <c r="Q498" s="107">
        <v>1581.15</v>
      </c>
      <c r="R498">
        <v>110138</v>
      </c>
    </row>
    <row r="499" spans="1:18" x14ac:dyDescent="0.25">
      <c r="A499" s="149">
        <v>42737</v>
      </c>
      <c r="B499" s="107">
        <v>346</v>
      </c>
      <c r="C499" s="107">
        <v>329.96999999999997</v>
      </c>
      <c r="D499" s="107">
        <v>321.5</v>
      </c>
      <c r="E499" s="107">
        <v>321.5</v>
      </c>
      <c r="F499" s="107">
        <v>1649.85</v>
      </c>
      <c r="G499">
        <v>24039</v>
      </c>
      <c r="H499" s="107"/>
      <c r="I499" s="107"/>
      <c r="L499" s="149">
        <v>42737</v>
      </c>
      <c r="M499" s="107">
        <v>330.1</v>
      </c>
      <c r="N499" s="107">
        <v>348</v>
      </c>
      <c r="O499" s="107">
        <v>321.10000000000002</v>
      </c>
      <c r="P499" s="107">
        <v>321.10000000000002</v>
      </c>
      <c r="Q499" s="107">
        <v>1650.5</v>
      </c>
      <c r="R499">
        <v>191205</v>
      </c>
    </row>
    <row r="500" spans="1:18" x14ac:dyDescent="0.25">
      <c r="A500" s="149">
        <v>42738</v>
      </c>
      <c r="B500" s="107">
        <v>338</v>
      </c>
      <c r="C500" s="107">
        <v>331.27</v>
      </c>
      <c r="D500" s="107">
        <v>330</v>
      </c>
      <c r="E500" s="107">
        <v>332</v>
      </c>
      <c r="F500" s="107">
        <v>1656.35</v>
      </c>
      <c r="G500">
        <v>5284</v>
      </c>
      <c r="H500" s="107"/>
      <c r="I500" s="107"/>
      <c r="L500" s="149">
        <v>42738</v>
      </c>
      <c r="M500" s="107">
        <v>331.57</v>
      </c>
      <c r="N500" s="107">
        <v>339</v>
      </c>
      <c r="O500" s="107">
        <v>330.13</v>
      </c>
      <c r="P500" s="107">
        <v>330.73</v>
      </c>
      <c r="Q500" s="107">
        <v>1657.85</v>
      </c>
      <c r="R500">
        <v>93352</v>
      </c>
    </row>
    <row r="501" spans="1:18" x14ac:dyDescent="0.25">
      <c r="A501" s="149">
        <v>42739</v>
      </c>
      <c r="B501" s="107">
        <v>336.52</v>
      </c>
      <c r="C501" s="107">
        <v>333.25</v>
      </c>
      <c r="D501" s="107">
        <v>331</v>
      </c>
      <c r="E501" s="107">
        <v>332.99</v>
      </c>
      <c r="F501" s="107">
        <v>1666.25</v>
      </c>
      <c r="G501">
        <v>4877</v>
      </c>
      <c r="H501" s="107"/>
      <c r="I501" s="107"/>
      <c r="L501" s="149">
        <v>42739</v>
      </c>
      <c r="M501" s="107">
        <v>333.89</v>
      </c>
      <c r="N501" s="107">
        <v>336</v>
      </c>
      <c r="O501" s="107">
        <v>331.37</v>
      </c>
      <c r="P501" s="107">
        <v>333.21</v>
      </c>
      <c r="Q501" s="107">
        <v>1669.45</v>
      </c>
      <c r="R501">
        <v>44645</v>
      </c>
    </row>
    <row r="502" spans="1:18" x14ac:dyDescent="0.25">
      <c r="A502" s="149">
        <v>42740</v>
      </c>
      <c r="B502" s="107">
        <v>339.2</v>
      </c>
      <c r="C502" s="107">
        <v>336.71</v>
      </c>
      <c r="D502" s="107">
        <v>334.06</v>
      </c>
      <c r="E502" s="107">
        <v>335</v>
      </c>
      <c r="F502" s="107">
        <v>1683.55</v>
      </c>
      <c r="G502">
        <v>5105</v>
      </c>
      <c r="H502" s="107"/>
      <c r="I502" s="107"/>
      <c r="L502" s="149">
        <v>42740</v>
      </c>
      <c r="M502" s="107">
        <v>337.84000000000003</v>
      </c>
      <c r="N502" s="107">
        <v>339.25</v>
      </c>
      <c r="O502" s="107">
        <v>334.41999999999996</v>
      </c>
      <c r="P502" s="107">
        <v>334.41999999999996</v>
      </c>
      <c r="Q502" s="107">
        <v>1689.2</v>
      </c>
      <c r="R502">
        <v>31949</v>
      </c>
    </row>
    <row r="503" spans="1:18" x14ac:dyDescent="0.25">
      <c r="A503" s="149">
        <v>42741</v>
      </c>
      <c r="B503" s="107">
        <v>349.83000000000004</v>
      </c>
      <c r="C503" s="107">
        <v>342.37</v>
      </c>
      <c r="D503" s="107">
        <v>338.4</v>
      </c>
      <c r="E503" s="107">
        <v>339</v>
      </c>
      <c r="F503" s="107">
        <v>1711.85</v>
      </c>
      <c r="G503">
        <v>12711</v>
      </c>
      <c r="H503" s="107"/>
      <c r="I503" s="107"/>
      <c r="L503" s="149">
        <v>42741</v>
      </c>
      <c r="M503" s="107">
        <v>342.5</v>
      </c>
      <c r="N503" s="107">
        <v>349.65999999999997</v>
      </c>
      <c r="O503" s="107">
        <v>338.01</v>
      </c>
      <c r="P503" s="107">
        <v>338.8</v>
      </c>
      <c r="Q503" s="107">
        <v>1712.5</v>
      </c>
      <c r="R503">
        <v>74850</v>
      </c>
    </row>
    <row r="504" spans="1:18" x14ac:dyDescent="0.25">
      <c r="A504" s="149">
        <v>42744</v>
      </c>
      <c r="B504" s="107">
        <v>350.4</v>
      </c>
      <c r="C504" s="107">
        <v>344</v>
      </c>
      <c r="D504" s="107">
        <v>342.4</v>
      </c>
      <c r="E504" s="107">
        <v>343.94</v>
      </c>
      <c r="F504" s="107">
        <v>1720</v>
      </c>
      <c r="G504">
        <v>8341</v>
      </c>
      <c r="H504" s="107"/>
      <c r="I504" s="107"/>
      <c r="L504" s="149">
        <v>42744</v>
      </c>
      <c r="M504" s="107">
        <v>344.78000000000003</v>
      </c>
      <c r="N504" s="107">
        <v>350</v>
      </c>
      <c r="O504" s="107">
        <v>341.12</v>
      </c>
      <c r="P504" s="107">
        <v>345.2</v>
      </c>
      <c r="Q504" s="107">
        <v>1723.9</v>
      </c>
      <c r="R504">
        <v>62329</v>
      </c>
    </row>
    <row r="505" spans="1:18" x14ac:dyDescent="0.25">
      <c r="A505" s="149">
        <v>42745</v>
      </c>
      <c r="B505" s="107">
        <v>344.2</v>
      </c>
      <c r="C505" s="107">
        <v>339.28000000000003</v>
      </c>
      <c r="D505" s="107">
        <v>338.04</v>
      </c>
      <c r="E505" s="107">
        <v>344.2</v>
      </c>
      <c r="F505" s="107">
        <v>1696.4</v>
      </c>
      <c r="G505">
        <v>4248</v>
      </c>
      <c r="H505" s="107"/>
      <c r="I505" s="107"/>
      <c r="L505" s="149">
        <v>42745</v>
      </c>
      <c r="M505" s="107">
        <v>339.33000000000004</v>
      </c>
      <c r="N505" s="107">
        <v>346</v>
      </c>
      <c r="O505" s="107">
        <v>338.39</v>
      </c>
      <c r="P505" s="107">
        <v>346</v>
      </c>
      <c r="Q505" s="107">
        <v>1696.65</v>
      </c>
      <c r="R505">
        <v>33021</v>
      </c>
    </row>
    <row r="506" spans="1:18" x14ac:dyDescent="0.25">
      <c r="A506" s="149">
        <v>42746</v>
      </c>
      <c r="B506" s="107">
        <v>342.39</v>
      </c>
      <c r="C506" s="107">
        <v>339.37</v>
      </c>
      <c r="D506" s="107">
        <v>338.1</v>
      </c>
      <c r="E506" s="107">
        <v>341.4</v>
      </c>
      <c r="F506" s="107">
        <v>1696.85</v>
      </c>
      <c r="G506">
        <v>3601</v>
      </c>
      <c r="H506" s="107"/>
      <c r="I506" s="107"/>
      <c r="L506" s="149">
        <v>42746</v>
      </c>
      <c r="M506" s="107">
        <v>339.44</v>
      </c>
      <c r="N506" s="107">
        <v>342.54</v>
      </c>
      <c r="O506" s="107">
        <v>338.2</v>
      </c>
      <c r="P506" s="107">
        <v>340.99</v>
      </c>
      <c r="Q506" s="107">
        <v>1697.2</v>
      </c>
      <c r="R506">
        <v>22917</v>
      </c>
    </row>
    <row r="507" spans="1:18" x14ac:dyDescent="0.25">
      <c r="A507" s="149">
        <v>42747</v>
      </c>
      <c r="B507" s="107">
        <v>345.03000000000003</v>
      </c>
      <c r="C507" s="107">
        <v>339.51</v>
      </c>
      <c r="D507" s="107">
        <v>338.49</v>
      </c>
      <c r="E507" s="107">
        <v>341</v>
      </c>
      <c r="F507" s="107">
        <v>1697.55</v>
      </c>
      <c r="G507">
        <v>2780</v>
      </c>
      <c r="H507" s="107"/>
      <c r="I507" s="107"/>
      <c r="L507" s="149">
        <v>42747</v>
      </c>
      <c r="M507" s="107">
        <v>339.59000000000003</v>
      </c>
      <c r="N507" s="107">
        <v>345.4</v>
      </c>
      <c r="O507" s="107">
        <v>338.53000000000003</v>
      </c>
      <c r="P507" s="107">
        <v>340.2</v>
      </c>
      <c r="Q507" s="107">
        <v>1697.95</v>
      </c>
      <c r="R507">
        <v>24358</v>
      </c>
    </row>
    <row r="508" spans="1:18" x14ac:dyDescent="0.25">
      <c r="A508" s="149">
        <v>42748</v>
      </c>
      <c r="B508" s="107">
        <v>343.53000000000003</v>
      </c>
      <c r="C508" s="107">
        <v>335.45</v>
      </c>
      <c r="D508" s="107">
        <v>330</v>
      </c>
      <c r="E508" s="107">
        <v>340</v>
      </c>
      <c r="F508" s="107">
        <v>1677.25</v>
      </c>
      <c r="G508">
        <v>5989</v>
      </c>
      <c r="H508" s="107"/>
      <c r="I508" s="107"/>
      <c r="L508" s="149">
        <v>42748</v>
      </c>
      <c r="M508" s="107">
        <v>335.78000000000003</v>
      </c>
      <c r="N508" s="107">
        <v>343.9</v>
      </c>
      <c r="O508" s="107">
        <v>330.2</v>
      </c>
      <c r="P508" s="107">
        <v>339.95</v>
      </c>
      <c r="Q508" s="107">
        <v>1678.9</v>
      </c>
      <c r="R508">
        <v>27681</v>
      </c>
    </row>
    <row r="509" spans="1:18" x14ac:dyDescent="0.25">
      <c r="A509" s="149">
        <v>42751</v>
      </c>
      <c r="B509" s="107">
        <v>349.38</v>
      </c>
      <c r="C509" s="107">
        <v>346.83000000000004</v>
      </c>
      <c r="D509" s="107">
        <v>335.1</v>
      </c>
      <c r="E509" s="107">
        <v>342</v>
      </c>
      <c r="F509" s="107">
        <v>1734.15</v>
      </c>
      <c r="G509">
        <v>10157</v>
      </c>
      <c r="H509" s="107"/>
      <c r="I509" s="107"/>
      <c r="L509" s="149">
        <v>42751</v>
      </c>
      <c r="M509" s="107">
        <v>346.99</v>
      </c>
      <c r="N509" s="107">
        <v>349.6</v>
      </c>
      <c r="O509" s="107">
        <v>335</v>
      </c>
      <c r="P509" s="107">
        <v>337.79</v>
      </c>
      <c r="Q509" s="107">
        <v>1734.95</v>
      </c>
      <c r="R509">
        <v>78257</v>
      </c>
    </row>
    <row r="510" spans="1:18" x14ac:dyDescent="0.25">
      <c r="A510" s="149">
        <v>42752</v>
      </c>
      <c r="B510" s="107">
        <v>357</v>
      </c>
      <c r="C510" s="107">
        <v>343.77</v>
      </c>
      <c r="D510" s="107">
        <v>340.1</v>
      </c>
      <c r="E510" s="107">
        <v>350</v>
      </c>
      <c r="F510" s="107">
        <v>1718.85</v>
      </c>
      <c r="G510">
        <v>41624</v>
      </c>
      <c r="H510" s="107"/>
      <c r="I510" s="107"/>
      <c r="L510" s="149">
        <v>42752</v>
      </c>
      <c r="M510" s="107">
        <v>343.15999999999997</v>
      </c>
      <c r="N510" s="107">
        <v>357</v>
      </c>
      <c r="O510" s="107">
        <v>341.06</v>
      </c>
      <c r="P510" s="107">
        <v>350</v>
      </c>
      <c r="Q510" s="107">
        <v>1715.8</v>
      </c>
      <c r="R510">
        <v>283337</v>
      </c>
    </row>
    <row r="511" spans="1:18" x14ac:dyDescent="0.25">
      <c r="A511" s="149">
        <v>42753</v>
      </c>
      <c r="B511" s="107">
        <v>351.38</v>
      </c>
      <c r="C511" s="107">
        <v>343.02</v>
      </c>
      <c r="D511" s="107">
        <v>340.31</v>
      </c>
      <c r="E511" s="107">
        <v>350.8</v>
      </c>
      <c r="F511" s="107">
        <v>1715.1</v>
      </c>
      <c r="G511">
        <v>13135</v>
      </c>
      <c r="H511" s="107"/>
      <c r="I511" s="107"/>
      <c r="L511" s="149">
        <v>42753</v>
      </c>
      <c r="M511" s="107">
        <v>342.64</v>
      </c>
      <c r="N511" s="107">
        <v>351</v>
      </c>
      <c r="O511" s="107">
        <v>341</v>
      </c>
      <c r="P511" s="107">
        <v>347.78000000000003</v>
      </c>
      <c r="Q511" s="107">
        <v>1713.2</v>
      </c>
      <c r="R511">
        <v>79314</v>
      </c>
    </row>
    <row r="512" spans="1:18" x14ac:dyDescent="0.25">
      <c r="A512" s="149">
        <v>42754</v>
      </c>
      <c r="B512" s="107">
        <v>343.4</v>
      </c>
      <c r="C512" s="107">
        <v>338.74</v>
      </c>
      <c r="D512" s="107">
        <v>337.4</v>
      </c>
      <c r="E512" s="107">
        <v>343.4</v>
      </c>
      <c r="F512" s="107">
        <v>1693.7</v>
      </c>
      <c r="G512">
        <v>3763</v>
      </c>
      <c r="H512" s="107"/>
      <c r="I512" s="107"/>
      <c r="L512" s="149">
        <v>42754</v>
      </c>
      <c r="M512" s="107">
        <v>337.90999999999997</v>
      </c>
      <c r="N512" s="107">
        <v>342.96</v>
      </c>
      <c r="O512" s="107">
        <v>337</v>
      </c>
      <c r="P512" s="107">
        <v>340</v>
      </c>
      <c r="Q512" s="107">
        <v>1689.55</v>
      </c>
      <c r="R512">
        <v>35136</v>
      </c>
    </row>
    <row r="513" spans="1:18" x14ac:dyDescent="0.25">
      <c r="A513" s="149">
        <v>42755</v>
      </c>
      <c r="B513" s="107">
        <v>341.2</v>
      </c>
      <c r="C513" s="107">
        <v>336.25</v>
      </c>
      <c r="D513" s="107">
        <v>335.01</v>
      </c>
      <c r="E513" s="107">
        <v>338</v>
      </c>
      <c r="F513" s="107">
        <v>1681.25</v>
      </c>
      <c r="G513">
        <v>2401</v>
      </c>
      <c r="H513" s="107"/>
      <c r="I513" s="107"/>
      <c r="L513" s="149">
        <v>42755</v>
      </c>
      <c r="M513" s="107">
        <v>337.62</v>
      </c>
      <c r="N513" s="107">
        <v>341.6</v>
      </c>
      <c r="O513" s="107">
        <v>335.2</v>
      </c>
      <c r="P513" s="107">
        <v>338.6</v>
      </c>
      <c r="Q513" s="107">
        <v>1688.1</v>
      </c>
      <c r="R513">
        <v>29395</v>
      </c>
    </row>
    <row r="514" spans="1:18" x14ac:dyDescent="0.25">
      <c r="A514" s="149">
        <v>42758</v>
      </c>
      <c r="B514" s="107">
        <v>346</v>
      </c>
      <c r="C514" s="107">
        <v>340.99</v>
      </c>
      <c r="D514" s="107">
        <v>334.41999999999996</v>
      </c>
      <c r="E514" s="107">
        <v>338.96</v>
      </c>
      <c r="F514" s="107">
        <v>1704.95</v>
      </c>
      <c r="G514">
        <v>8651</v>
      </c>
      <c r="H514" s="107"/>
      <c r="I514" s="107"/>
      <c r="L514" s="149">
        <v>42758</v>
      </c>
      <c r="M514" s="107">
        <v>341.7</v>
      </c>
      <c r="N514" s="107">
        <v>346.79</v>
      </c>
      <c r="O514" s="107">
        <v>335</v>
      </c>
      <c r="P514" s="107">
        <v>335</v>
      </c>
      <c r="Q514" s="107">
        <v>1708.5</v>
      </c>
      <c r="R514">
        <v>34886</v>
      </c>
    </row>
    <row r="515" spans="1:18" x14ac:dyDescent="0.25">
      <c r="A515" s="149">
        <v>42759</v>
      </c>
      <c r="B515" s="107">
        <v>346.98</v>
      </c>
      <c r="C515" s="107">
        <v>345.86</v>
      </c>
      <c r="D515" s="107">
        <v>340.54</v>
      </c>
      <c r="E515" s="107">
        <v>342</v>
      </c>
      <c r="F515" s="107">
        <v>1729.3</v>
      </c>
      <c r="G515">
        <v>3084</v>
      </c>
      <c r="H515" s="107"/>
      <c r="I515" s="107"/>
      <c r="L515" s="149">
        <v>42759</v>
      </c>
      <c r="M515" s="107">
        <v>346.09000000000003</v>
      </c>
      <c r="N515" s="107">
        <v>346.6</v>
      </c>
      <c r="O515" s="107">
        <v>340</v>
      </c>
      <c r="P515" s="107">
        <v>342.07</v>
      </c>
      <c r="Q515" s="107">
        <v>1730.45</v>
      </c>
      <c r="R515">
        <v>28216</v>
      </c>
    </row>
    <row r="516" spans="1:18" x14ac:dyDescent="0.25">
      <c r="A516" s="149">
        <v>42760</v>
      </c>
      <c r="B516" s="107">
        <v>349.4</v>
      </c>
      <c r="C516" s="107">
        <v>345.5</v>
      </c>
      <c r="D516" s="107">
        <v>341</v>
      </c>
      <c r="E516" s="107">
        <v>349.4</v>
      </c>
      <c r="F516" s="107">
        <v>1727.5</v>
      </c>
      <c r="G516">
        <v>13876</v>
      </c>
      <c r="H516" s="107"/>
      <c r="I516" s="107"/>
      <c r="L516" s="149">
        <v>42760</v>
      </c>
      <c r="M516" s="107">
        <v>347.28000000000003</v>
      </c>
      <c r="N516" s="107">
        <v>349.6</v>
      </c>
      <c r="O516" s="107">
        <v>340.52</v>
      </c>
      <c r="P516" s="107">
        <v>347.57</v>
      </c>
      <c r="Q516" s="107">
        <v>1736.4</v>
      </c>
      <c r="R516">
        <v>57300</v>
      </c>
    </row>
    <row r="517" spans="1:18" x14ac:dyDescent="0.25">
      <c r="A517" s="149">
        <v>42762</v>
      </c>
      <c r="B517" s="107">
        <v>354.16999999999996</v>
      </c>
      <c r="C517" s="107">
        <v>352.61</v>
      </c>
      <c r="D517" s="107">
        <v>347</v>
      </c>
      <c r="E517" s="107">
        <v>347</v>
      </c>
      <c r="F517" s="107">
        <v>1763.05</v>
      </c>
      <c r="G517">
        <v>11593</v>
      </c>
      <c r="H517" s="107"/>
      <c r="I517" s="107"/>
      <c r="L517" s="149">
        <v>42762</v>
      </c>
      <c r="M517" s="107">
        <v>352.69</v>
      </c>
      <c r="N517" s="107">
        <v>354.2</v>
      </c>
      <c r="O517" s="107">
        <v>345</v>
      </c>
      <c r="P517" s="107">
        <v>346.99</v>
      </c>
      <c r="Q517" s="107">
        <v>1763.45</v>
      </c>
      <c r="R517">
        <v>59054</v>
      </c>
    </row>
    <row r="518" spans="1:18" x14ac:dyDescent="0.25">
      <c r="A518" s="149">
        <v>42765</v>
      </c>
      <c r="B518" s="107">
        <v>368.4</v>
      </c>
      <c r="C518" s="107">
        <v>366.29</v>
      </c>
      <c r="D518" s="107">
        <v>350</v>
      </c>
      <c r="E518" s="107">
        <v>353</v>
      </c>
      <c r="F518" s="107">
        <v>1831.45</v>
      </c>
      <c r="G518">
        <v>12598</v>
      </c>
      <c r="H518" s="107"/>
      <c r="I518" s="107"/>
      <c r="L518" s="149">
        <v>42765</v>
      </c>
      <c r="M518" s="107">
        <v>366.18</v>
      </c>
      <c r="N518" s="107">
        <v>369</v>
      </c>
      <c r="O518" s="107">
        <v>350.24</v>
      </c>
      <c r="P518" s="107">
        <v>353</v>
      </c>
      <c r="Q518" s="107">
        <v>1830.9</v>
      </c>
      <c r="R518">
        <v>103472</v>
      </c>
    </row>
    <row r="519" spans="1:18" x14ac:dyDescent="0.25">
      <c r="A519" s="149">
        <v>42766</v>
      </c>
      <c r="B519" s="107">
        <v>376.87</v>
      </c>
      <c r="C519" s="107">
        <v>371.08000000000004</v>
      </c>
      <c r="D519" s="107">
        <v>367.59000000000003</v>
      </c>
      <c r="E519" s="107">
        <v>369</v>
      </c>
      <c r="F519" s="107">
        <v>1855.4</v>
      </c>
      <c r="G519">
        <v>17957</v>
      </c>
      <c r="H519" s="107"/>
      <c r="I519" s="107"/>
      <c r="L519" s="149">
        <v>42766</v>
      </c>
      <c r="M519" s="107">
        <v>372.06</v>
      </c>
      <c r="N519" s="107">
        <v>377.4</v>
      </c>
      <c r="O519" s="107">
        <v>366.2</v>
      </c>
      <c r="P519" s="107">
        <v>366.2</v>
      </c>
      <c r="Q519" s="107">
        <v>1860.3</v>
      </c>
      <c r="R519">
        <v>131198</v>
      </c>
    </row>
    <row r="520" spans="1:18" x14ac:dyDescent="0.25">
      <c r="A520" s="149">
        <v>42767</v>
      </c>
      <c r="B520" s="107">
        <v>384.96</v>
      </c>
      <c r="C520" s="107">
        <v>379.26</v>
      </c>
      <c r="D520" s="107">
        <v>373.2</v>
      </c>
      <c r="E520" s="107">
        <v>373.2</v>
      </c>
      <c r="F520" s="107">
        <v>1896.3</v>
      </c>
      <c r="G520">
        <v>24830</v>
      </c>
      <c r="H520" s="107"/>
      <c r="I520" s="107"/>
      <c r="L520" s="149">
        <v>42767</v>
      </c>
      <c r="M520" s="107">
        <v>380.04</v>
      </c>
      <c r="N520" s="107">
        <v>385</v>
      </c>
      <c r="O520" s="107">
        <v>372.2</v>
      </c>
      <c r="P520" s="107">
        <v>372.96999999999997</v>
      </c>
      <c r="Q520" s="107">
        <v>1900.2</v>
      </c>
      <c r="R520">
        <v>261343</v>
      </c>
    </row>
    <row r="521" spans="1:18" x14ac:dyDescent="0.25">
      <c r="A521" s="149">
        <v>42768</v>
      </c>
      <c r="B521" s="107">
        <v>403.94</v>
      </c>
      <c r="C521" s="107">
        <v>398.63</v>
      </c>
      <c r="D521" s="107">
        <v>380</v>
      </c>
      <c r="E521" s="107">
        <v>383.2</v>
      </c>
      <c r="F521" s="107">
        <v>1993.15</v>
      </c>
      <c r="G521">
        <v>25557</v>
      </c>
      <c r="H521" s="107"/>
      <c r="I521" s="107"/>
      <c r="L521" s="149">
        <v>42768</v>
      </c>
      <c r="M521" s="107">
        <v>399.58000000000004</v>
      </c>
      <c r="N521" s="107">
        <v>405</v>
      </c>
      <c r="O521" s="107">
        <v>379.40999999999997</v>
      </c>
      <c r="P521" s="107">
        <v>380</v>
      </c>
      <c r="Q521" s="107">
        <v>1997.9</v>
      </c>
      <c r="R521">
        <v>251922</v>
      </c>
    </row>
    <row r="522" spans="1:18" x14ac:dyDescent="0.25">
      <c r="A522" s="149">
        <v>42769</v>
      </c>
      <c r="B522" s="107">
        <v>402.8</v>
      </c>
      <c r="C522" s="107">
        <v>399.69</v>
      </c>
      <c r="D522" s="107">
        <v>397.71</v>
      </c>
      <c r="E522" s="107">
        <v>399.6</v>
      </c>
      <c r="F522" s="107">
        <v>1998.45</v>
      </c>
      <c r="G522">
        <v>6360</v>
      </c>
      <c r="H522" s="107"/>
      <c r="I522" s="107"/>
      <c r="L522" s="149">
        <v>42769</v>
      </c>
      <c r="M522" s="107">
        <v>400.28000000000003</v>
      </c>
      <c r="N522" s="107">
        <v>403</v>
      </c>
      <c r="O522" s="107">
        <v>397.05</v>
      </c>
      <c r="P522" s="107">
        <v>397.83000000000004</v>
      </c>
      <c r="Q522" s="107">
        <v>2001.4</v>
      </c>
      <c r="R522">
        <v>86843</v>
      </c>
    </row>
    <row r="523" spans="1:18" x14ac:dyDescent="0.25">
      <c r="A523" s="149">
        <v>42772</v>
      </c>
      <c r="B523" s="107">
        <v>410.8</v>
      </c>
      <c r="C523" s="107">
        <v>408.31</v>
      </c>
      <c r="D523" s="107">
        <v>399.31</v>
      </c>
      <c r="E523" s="107">
        <v>401.01</v>
      </c>
      <c r="F523" s="107">
        <v>2041.55</v>
      </c>
      <c r="G523">
        <v>9778</v>
      </c>
      <c r="H523" s="107"/>
      <c r="I523" s="107"/>
      <c r="L523" s="149">
        <v>42772</v>
      </c>
      <c r="M523" s="107">
        <v>408.98</v>
      </c>
      <c r="N523" s="107">
        <v>410</v>
      </c>
      <c r="O523" s="107">
        <v>399.01</v>
      </c>
      <c r="P523" s="107">
        <v>400.4</v>
      </c>
      <c r="Q523" s="107">
        <v>2044.9</v>
      </c>
      <c r="R523">
        <v>71225</v>
      </c>
    </row>
    <row r="524" spans="1:18" x14ac:dyDescent="0.25">
      <c r="A524" s="149">
        <v>42773</v>
      </c>
      <c r="B524" s="107">
        <v>415.8</v>
      </c>
      <c r="C524" s="107">
        <v>408.02</v>
      </c>
      <c r="D524" s="107">
        <v>403.4</v>
      </c>
      <c r="E524" s="107">
        <v>408.39</v>
      </c>
      <c r="F524" s="107">
        <v>2040.1</v>
      </c>
      <c r="G524">
        <v>6918</v>
      </c>
      <c r="H524" s="107"/>
      <c r="I524" s="107"/>
      <c r="L524" s="149">
        <v>42773</v>
      </c>
      <c r="M524" s="107">
        <v>408.36</v>
      </c>
      <c r="N524" s="107">
        <v>416</v>
      </c>
      <c r="O524" s="107">
        <v>403</v>
      </c>
      <c r="P524" s="107">
        <v>404.82</v>
      </c>
      <c r="Q524" s="107">
        <v>2041.8</v>
      </c>
      <c r="R524">
        <v>195000</v>
      </c>
    </row>
    <row r="525" spans="1:18" x14ac:dyDescent="0.25">
      <c r="A525" s="149">
        <v>42774</v>
      </c>
      <c r="B525" s="107">
        <v>411.18999999999994</v>
      </c>
      <c r="C525" s="107">
        <v>402.03000000000003</v>
      </c>
      <c r="D525" s="107">
        <v>400.27</v>
      </c>
      <c r="E525" s="107">
        <v>406.2</v>
      </c>
      <c r="F525" s="107">
        <v>2010.15</v>
      </c>
      <c r="G525">
        <v>5958</v>
      </c>
      <c r="H525" s="107"/>
      <c r="I525" s="107"/>
      <c r="L525" s="149">
        <v>42774</v>
      </c>
      <c r="M525" s="107">
        <v>401.93</v>
      </c>
      <c r="N525" s="107">
        <v>411.39</v>
      </c>
      <c r="O525" s="107">
        <v>400.2</v>
      </c>
      <c r="P525" s="107">
        <v>408</v>
      </c>
      <c r="Q525" s="107">
        <v>2009.65</v>
      </c>
      <c r="R525">
        <v>81913</v>
      </c>
    </row>
    <row r="526" spans="1:18" x14ac:dyDescent="0.25">
      <c r="A526" s="149">
        <v>42775</v>
      </c>
      <c r="B526" s="107">
        <v>403.2</v>
      </c>
      <c r="C526" s="107">
        <v>398.1</v>
      </c>
      <c r="D526" s="107">
        <v>394.51</v>
      </c>
      <c r="E526" s="107">
        <v>400.2</v>
      </c>
      <c r="F526" s="107">
        <v>1990.5</v>
      </c>
      <c r="G526">
        <v>4109</v>
      </c>
      <c r="H526" s="107"/>
      <c r="I526" s="107"/>
      <c r="L526" s="149">
        <v>42775</v>
      </c>
      <c r="M526" s="107">
        <v>398.37</v>
      </c>
      <c r="N526" s="107">
        <v>403.98</v>
      </c>
      <c r="O526" s="107">
        <v>395</v>
      </c>
      <c r="P526" s="107">
        <v>402</v>
      </c>
      <c r="Q526" s="107">
        <v>1991.85</v>
      </c>
      <c r="R526">
        <v>51310</v>
      </c>
    </row>
    <row r="527" spans="1:18" x14ac:dyDescent="0.25">
      <c r="A527" s="149">
        <v>42776</v>
      </c>
      <c r="B527" s="107">
        <v>399.4</v>
      </c>
      <c r="C527" s="107">
        <v>394.96999999999997</v>
      </c>
      <c r="D527" s="107">
        <v>393.99</v>
      </c>
      <c r="E527" s="107">
        <v>397.19</v>
      </c>
      <c r="F527" s="107">
        <v>1974.85</v>
      </c>
      <c r="G527">
        <v>1778</v>
      </c>
      <c r="H527" s="107"/>
      <c r="I527" s="107"/>
      <c r="L527" s="149">
        <v>42776</v>
      </c>
      <c r="M527" s="107">
        <v>395.82</v>
      </c>
      <c r="N527" s="107">
        <v>399.99</v>
      </c>
      <c r="O527" s="107">
        <v>395</v>
      </c>
      <c r="P527" s="107">
        <v>397.02</v>
      </c>
      <c r="Q527" s="107">
        <v>1979.1</v>
      </c>
      <c r="R527">
        <v>28107</v>
      </c>
    </row>
    <row r="528" spans="1:18" x14ac:dyDescent="0.25">
      <c r="A528" s="149">
        <v>42779</v>
      </c>
      <c r="B528" s="107">
        <v>396</v>
      </c>
      <c r="C528" s="107">
        <v>385.86</v>
      </c>
      <c r="D528" s="107">
        <v>384.02</v>
      </c>
      <c r="E528" s="107">
        <v>395.98</v>
      </c>
      <c r="F528" s="107">
        <v>1929.3</v>
      </c>
      <c r="G528">
        <v>2831</v>
      </c>
      <c r="H528" s="107"/>
      <c r="I528" s="107"/>
      <c r="L528" s="149">
        <v>42779</v>
      </c>
      <c r="M528" s="107">
        <v>384.71999999999997</v>
      </c>
      <c r="N528" s="107">
        <v>396.99</v>
      </c>
      <c r="O528" s="107">
        <v>383</v>
      </c>
      <c r="P528" s="107">
        <v>396.8</v>
      </c>
      <c r="Q528" s="107">
        <v>1923.6</v>
      </c>
      <c r="R528">
        <v>30914</v>
      </c>
    </row>
    <row r="529" spans="1:18" x14ac:dyDescent="0.25">
      <c r="A529" s="149">
        <v>42780</v>
      </c>
      <c r="B529" s="107">
        <v>386.8</v>
      </c>
      <c r="C529" s="107">
        <v>381.89</v>
      </c>
      <c r="D529" s="107">
        <v>379.96999999999997</v>
      </c>
      <c r="E529" s="107">
        <v>386.8</v>
      </c>
      <c r="F529" s="107">
        <v>1909.45</v>
      </c>
      <c r="G529">
        <v>3990</v>
      </c>
      <c r="H529" s="107"/>
      <c r="I529" s="107"/>
      <c r="L529" s="149">
        <v>42780</v>
      </c>
      <c r="M529" s="107">
        <v>383.07</v>
      </c>
      <c r="N529" s="107">
        <v>389.78000000000003</v>
      </c>
      <c r="O529" s="107">
        <v>380</v>
      </c>
      <c r="P529" s="107">
        <v>386.96</v>
      </c>
      <c r="Q529" s="107">
        <v>1915.35</v>
      </c>
      <c r="R529">
        <v>38749</v>
      </c>
    </row>
    <row r="530" spans="1:18" x14ac:dyDescent="0.25">
      <c r="A530" s="149">
        <v>42781</v>
      </c>
      <c r="B530" s="107">
        <v>405.28000000000003</v>
      </c>
      <c r="C530" s="107">
        <v>397.82</v>
      </c>
      <c r="D530" s="107">
        <v>380</v>
      </c>
      <c r="E530" s="107">
        <v>381.1</v>
      </c>
      <c r="F530" s="107">
        <v>1989.1</v>
      </c>
      <c r="G530">
        <v>21136</v>
      </c>
      <c r="H530" s="107"/>
      <c r="I530" s="107"/>
      <c r="L530" s="149">
        <v>42781</v>
      </c>
      <c r="M530" s="107">
        <v>398.54</v>
      </c>
      <c r="N530" s="107">
        <v>406</v>
      </c>
      <c r="O530" s="107">
        <v>381.4</v>
      </c>
      <c r="P530" s="107">
        <v>383.59000000000003</v>
      </c>
      <c r="Q530" s="107">
        <v>1992.7</v>
      </c>
      <c r="R530">
        <v>172399</v>
      </c>
    </row>
    <row r="531" spans="1:18" x14ac:dyDescent="0.25">
      <c r="A531" s="149">
        <v>42782</v>
      </c>
      <c r="B531" s="107">
        <v>404.65999999999997</v>
      </c>
      <c r="C531" s="107">
        <v>401.78000000000003</v>
      </c>
      <c r="D531" s="107">
        <v>400</v>
      </c>
      <c r="E531" s="107">
        <v>401.79</v>
      </c>
      <c r="F531" s="107">
        <v>2008.9</v>
      </c>
      <c r="G531">
        <v>6979</v>
      </c>
      <c r="H531" s="107"/>
      <c r="I531" s="107"/>
      <c r="L531" s="149">
        <v>42782</v>
      </c>
      <c r="M531" s="107">
        <v>402.62</v>
      </c>
      <c r="N531" s="107">
        <v>405</v>
      </c>
      <c r="O531" s="107">
        <v>399.8</v>
      </c>
      <c r="P531" s="107">
        <v>400.78000000000003</v>
      </c>
      <c r="Q531" s="107">
        <v>2013.1</v>
      </c>
      <c r="R531">
        <v>82616</v>
      </c>
    </row>
    <row r="532" spans="1:18" x14ac:dyDescent="0.25">
      <c r="A532" s="149">
        <v>42783</v>
      </c>
      <c r="B532" s="107">
        <v>403.9</v>
      </c>
      <c r="C532" s="107">
        <v>395.71999999999997</v>
      </c>
      <c r="D532" s="107">
        <v>392.54</v>
      </c>
      <c r="E532" s="107">
        <v>402.8</v>
      </c>
      <c r="F532" s="107">
        <v>1978.6</v>
      </c>
      <c r="G532">
        <v>2541</v>
      </c>
      <c r="H532" s="107"/>
      <c r="I532" s="107"/>
      <c r="L532" s="149">
        <v>42783</v>
      </c>
      <c r="M532" s="107">
        <v>394.43</v>
      </c>
      <c r="N532" s="107">
        <v>404</v>
      </c>
      <c r="O532" s="107">
        <v>392.02</v>
      </c>
      <c r="P532" s="107">
        <v>401.78000000000003</v>
      </c>
      <c r="Q532" s="107">
        <v>1972.15</v>
      </c>
      <c r="R532">
        <v>52811</v>
      </c>
    </row>
    <row r="533" spans="1:18" x14ac:dyDescent="0.25">
      <c r="A533" s="149">
        <v>42786</v>
      </c>
      <c r="B533" s="107">
        <v>397.6</v>
      </c>
      <c r="C533" s="107">
        <v>395.82</v>
      </c>
      <c r="D533" s="107">
        <v>390.74</v>
      </c>
      <c r="E533" s="107">
        <v>396.16999999999996</v>
      </c>
      <c r="F533" s="107">
        <v>1979.1</v>
      </c>
      <c r="G533">
        <v>2682</v>
      </c>
      <c r="H533" s="107"/>
      <c r="I533" s="107"/>
      <c r="L533" s="149">
        <v>42786</v>
      </c>
      <c r="M533" s="107">
        <v>395.38</v>
      </c>
      <c r="N533" s="107">
        <v>397.4</v>
      </c>
      <c r="O533" s="107">
        <v>390.6</v>
      </c>
      <c r="P533" s="107">
        <v>392.6</v>
      </c>
      <c r="Q533" s="107">
        <v>1976.9</v>
      </c>
      <c r="R533">
        <v>28507</v>
      </c>
    </row>
    <row r="534" spans="1:18" x14ac:dyDescent="0.25">
      <c r="A534" s="149">
        <v>42787</v>
      </c>
      <c r="B534" s="107">
        <v>404</v>
      </c>
      <c r="C534" s="107">
        <v>397.96999999999997</v>
      </c>
      <c r="D534" s="107">
        <v>394.40999999999997</v>
      </c>
      <c r="E534" s="107">
        <v>394.75</v>
      </c>
      <c r="F534" s="107">
        <v>1989.85</v>
      </c>
      <c r="G534">
        <v>2828</v>
      </c>
      <c r="H534" s="107"/>
      <c r="I534" s="107"/>
      <c r="L534" s="149">
        <v>42787</v>
      </c>
      <c r="M534" s="107">
        <v>397.68</v>
      </c>
      <c r="N534" s="107">
        <v>404.4</v>
      </c>
      <c r="O534" s="107">
        <v>391</v>
      </c>
      <c r="P534" s="107">
        <v>391</v>
      </c>
      <c r="Q534" s="107">
        <v>1988.4</v>
      </c>
      <c r="R534">
        <v>26926</v>
      </c>
    </row>
    <row r="535" spans="1:18" x14ac:dyDescent="0.25">
      <c r="A535" s="149">
        <v>42788</v>
      </c>
      <c r="B535" s="107">
        <v>403.8</v>
      </c>
      <c r="C535" s="107">
        <v>402.85</v>
      </c>
      <c r="D535" s="107">
        <v>397</v>
      </c>
      <c r="E535" s="107">
        <v>401.74</v>
      </c>
      <c r="F535" s="107">
        <v>2014.25</v>
      </c>
      <c r="G535">
        <v>3044</v>
      </c>
      <c r="H535" s="107"/>
      <c r="I535" s="107"/>
      <c r="L535" s="149">
        <v>42788</v>
      </c>
      <c r="M535" s="107">
        <v>402.52</v>
      </c>
      <c r="N535" s="107">
        <v>404</v>
      </c>
      <c r="O535" s="107">
        <v>396.69</v>
      </c>
      <c r="P535" s="107">
        <v>401.49</v>
      </c>
      <c r="Q535" s="107">
        <v>2012.6</v>
      </c>
      <c r="R535">
        <v>49475</v>
      </c>
    </row>
    <row r="536" spans="1:18" x14ac:dyDescent="0.25">
      <c r="A536" s="149">
        <v>42789</v>
      </c>
      <c r="B536" s="107">
        <v>404.8</v>
      </c>
      <c r="C536" s="107">
        <v>398.61</v>
      </c>
      <c r="D536" s="107">
        <v>398.03000000000003</v>
      </c>
      <c r="E536" s="107">
        <v>400.4</v>
      </c>
      <c r="F536" s="107">
        <v>1993.05</v>
      </c>
      <c r="G536">
        <v>7275</v>
      </c>
      <c r="H536" s="107"/>
      <c r="I536" s="107"/>
      <c r="L536" s="149">
        <v>42789</v>
      </c>
      <c r="M536" s="107">
        <v>399.08000000000004</v>
      </c>
      <c r="N536" s="107">
        <v>404.78000000000003</v>
      </c>
      <c r="O536" s="107">
        <v>398.21999999999997</v>
      </c>
      <c r="P536" s="107">
        <v>404.78000000000003</v>
      </c>
      <c r="Q536" s="107">
        <v>1995.4</v>
      </c>
      <c r="R536">
        <v>31521</v>
      </c>
    </row>
    <row r="537" spans="1:18" x14ac:dyDescent="0.25">
      <c r="A537" s="149">
        <v>42793</v>
      </c>
      <c r="B537" s="107">
        <v>399.74</v>
      </c>
      <c r="C537" s="107">
        <v>385.99</v>
      </c>
      <c r="D537" s="107">
        <v>384.4</v>
      </c>
      <c r="E537" s="107">
        <v>398.83000000000004</v>
      </c>
      <c r="F537" s="107">
        <v>1929.95</v>
      </c>
      <c r="G537">
        <v>12051</v>
      </c>
      <c r="H537" s="107"/>
      <c r="I537" s="107"/>
      <c r="L537" s="149">
        <v>42793</v>
      </c>
      <c r="M537" s="107">
        <v>387.04</v>
      </c>
      <c r="N537" s="107">
        <v>400</v>
      </c>
      <c r="O537" s="107">
        <v>385.61</v>
      </c>
      <c r="P537" s="107">
        <v>399.09000000000003</v>
      </c>
      <c r="Q537" s="107">
        <v>1935.2</v>
      </c>
      <c r="R537">
        <v>39040</v>
      </c>
    </row>
    <row r="538" spans="1:18" x14ac:dyDescent="0.25">
      <c r="A538" s="149">
        <v>42794</v>
      </c>
      <c r="B538" s="107">
        <v>392.6</v>
      </c>
      <c r="C538" s="107">
        <v>387.59000000000003</v>
      </c>
      <c r="D538" s="107">
        <v>386.6</v>
      </c>
      <c r="E538" s="107">
        <v>388</v>
      </c>
      <c r="F538" s="107">
        <v>1937.95</v>
      </c>
      <c r="G538">
        <v>7515</v>
      </c>
      <c r="H538" s="107"/>
      <c r="I538" s="107"/>
      <c r="L538" s="149">
        <v>42794</v>
      </c>
      <c r="M538" s="107">
        <v>387.03000000000003</v>
      </c>
      <c r="N538" s="107">
        <v>392.34000000000003</v>
      </c>
      <c r="O538" s="107">
        <v>385.8</v>
      </c>
      <c r="P538" s="107">
        <v>389.99</v>
      </c>
      <c r="Q538" s="107">
        <v>1935.15</v>
      </c>
      <c r="R538">
        <v>28112</v>
      </c>
    </row>
    <row r="539" spans="1:18" x14ac:dyDescent="0.25">
      <c r="A539" s="149">
        <v>42795</v>
      </c>
      <c r="B539" s="107">
        <v>400.76</v>
      </c>
      <c r="C539" s="107">
        <v>396.91999999999996</v>
      </c>
      <c r="D539" s="107">
        <v>390</v>
      </c>
      <c r="E539" s="107">
        <v>390</v>
      </c>
      <c r="F539" s="107">
        <v>1984.6</v>
      </c>
      <c r="G539">
        <v>6546</v>
      </c>
      <c r="H539" s="107"/>
      <c r="I539" s="107"/>
      <c r="L539" s="149">
        <v>42795</v>
      </c>
      <c r="M539" s="107">
        <v>397.88</v>
      </c>
      <c r="N539" s="107">
        <v>401.35</v>
      </c>
      <c r="O539" s="107">
        <v>390.2</v>
      </c>
      <c r="P539" s="107">
        <v>390.4</v>
      </c>
      <c r="Q539" s="107">
        <v>1989.4</v>
      </c>
      <c r="R539">
        <v>52448</v>
      </c>
    </row>
    <row r="540" spans="1:18" x14ac:dyDescent="0.25">
      <c r="A540" s="149">
        <v>42796</v>
      </c>
      <c r="B540" s="107">
        <v>407.79</v>
      </c>
      <c r="C540" s="107">
        <v>392.83000000000004</v>
      </c>
      <c r="D540" s="107">
        <v>392.05</v>
      </c>
      <c r="E540" s="107">
        <v>399</v>
      </c>
      <c r="F540" s="107">
        <v>1964.15</v>
      </c>
      <c r="G540">
        <v>7877</v>
      </c>
      <c r="H540" s="107"/>
      <c r="I540" s="107"/>
      <c r="L540" s="149">
        <v>42796</v>
      </c>
      <c r="M540" s="107">
        <v>393.01</v>
      </c>
      <c r="N540" s="107">
        <v>408.21999999999997</v>
      </c>
      <c r="O540" s="107">
        <v>391.84000000000003</v>
      </c>
      <c r="P540" s="107">
        <v>399.99</v>
      </c>
      <c r="Q540" s="107">
        <v>1965.05</v>
      </c>
      <c r="R540">
        <v>94510</v>
      </c>
    </row>
    <row r="541" spans="1:18" x14ac:dyDescent="0.25">
      <c r="A541" s="149">
        <v>42797</v>
      </c>
      <c r="B541" s="107">
        <v>396.34000000000003</v>
      </c>
      <c r="C541" s="107">
        <v>389.84000000000003</v>
      </c>
      <c r="D541" s="107">
        <v>387</v>
      </c>
      <c r="E541" s="107">
        <v>391.98</v>
      </c>
      <c r="F541" s="107">
        <v>1949.2</v>
      </c>
      <c r="G541">
        <v>3896</v>
      </c>
      <c r="H541" s="107"/>
      <c r="I541" s="107"/>
      <c r="L541" s="149">
        <v>42797</v>
      </c>
      <c r="M541" s="107">
        <v>390.82</v>
      </c>
      <c r="N541" s="107">
        <v>397.14</v>
      </c>
      <c r="O541" s="107">
        <v>388</v>
      </c>
      <c r="P541" s="107">
        <v>391.58000000000004</v>
      </c>
      <c r="Q541" s="107">
        <v>1954.1</v>
      </c>
      <c r="R541">
        <v>31502</v>
      </c>
    </row>
    <row r="542" spans="1:18" x14ac:dyDescent="0.25">
      <c r="A542" s="149">
        <v>42800</v>
      </c>
      <c r="B542" s="107">
        <v>394.52</v>
      </c>
      <c r="C542" s="107">
        <v>379</v>
      </c>
      <c r="D542" s="107">
        <v>376</v>
      </c>
      <c r="E542" s="107">
        <v>390.98</v>
      </c>
      <c r="F542" s="107">
        <v>1895</v>
      </c>
      <c r="G542">
        <v>7726</v>
      </c>
      <c r="H542" s="107"/>
      <c r="I542" s="107"/>
      <c r="L542" s="149">
        <v>42800</v>
      </c>
      <c r="M542" s="107">
        <v>378.74</v>
      </c>
      <c r="N542" s="107">
        <v>394.51</v>
      </c>
      <c r="O542" s="107">
        <v>376.41999999999996</v>
      </c>
      <c r="P542" s="107">
        <v>390</v>
      </c>
      <c r="Q542" s="107">
        <v>1893.7</v>
      </c>
      <c r="R542">
        <v>86294</v>
      </c>
    </row>
    <row r="543" spans="1:18" x14ac:dyDescent="0.25">
      <c r="A543" s="149">
        <v>42801</v>
      </c>
      <c r="B543" s="107">
        <v>393.2</v>
      </c>
      <c r="C543" s="107">
        <v>390.63</v>
      </c>
      <c r="D543" s="107">
        <v>379.8</v>
      </c>
      <c r="E543" s="107">
        <v>381.8</v>
      </c>
      <c r="F543" s="107">
        <v>1953.15</v>
      </c>
      <c r="G543">
        <v>6585</v>
      </c>
      <c r="H543" s="107"/>
      <c r="I543" s="107"/>
      <c r="L543" s="149">
        <v>42801</v>
      </c>
      <c r="M543" s="107">
        <v>391.32</v>
      </c>
      <c r="N543" s="107">
        <v>394.96</v>
      </c>
      <c r="O543" s="107">
        <v>379</v>
      </c>
      <c r="P543" s="107">
        <v>381.6</v>
      </c>
      <c r="Q543" s="107">
        <v>1956.6</v>
      </c>
      <c r="R543">
        <v>88156</v>
      </c>
    </row>
    <row r="544" spans="1:18" x14ac:dyDescent="0.25">
      <c r="A544" s="149">
        <v>42802</v>
      </c>
      <c r="B544" s="107">
        <v>392.88</v>
      </c>
      <c r="C544" s="107">
        <v>386.05</v>
      </c>
      <c r="D544" s="107">
        <v>382</v>
      </c>
      <c r="E544" s="107">
        <v>392.88</v>
      </c>
      <c r="F544" s="107">
        <v>1930.25</v>
      </c>
      <c r="G544">
        <v>3015</v>
      </c>
      <c r="H544" s="107"/>
      <c r="I544" s="107"/>
      <c r="L544" s="149">
        <v>42802</v>
      </c>
      <c r="M544" s="107">
        <v>385.96</v>
      </c>
      <c r="N544" s="107">
        <v>393</v>
      </c>
      <c r="O544" s="107">
        <v>382.05</v>
      </c>
      <c r="P544" s="107">
        <v>390.41999999999996</v>
      </c>
      <c r="Q544" s="107">
        <v>1929.8</v>
      </c>
      <c r="R544">
        <v>30685</v>
      </c>
    </row>
    <row r="545" spans="1:18" x14ac:dyDescent="0.25">
      <c r="A545" s="149">
        <v>42803</v>
      </c>
      <c r="B545" s="107">
        <v>390.16999999999996</v>
      </c>
      <c r="C545" s="107">
        <v>387.36</v>
      </c>
      <c r="D545" s="107">
        <v>382</v>
      </c>
      <c r="E545" s="107">
        <v>384</v>
      </c>
      <c r="F545" s="107">
        <v>1936.8</v>
      </c>
      <c r="G545">
        <v>1142</v>
      </c>
      <c r="H545" s="107"/>
      <c r="I545" s="107"/>
      <c r="L545" s="149">
        <v>42803</v>
      </c>
      <c r="M545" s="107">
        <v>388.40999999999997</v>
      </c>
      <c r="N545" s="107">
        <v>389.93</v>
      </c>
      <c r="O545" s="107">
        <v>382.4</v>
      </c>
      <c r="P545" s="107">
        <v>385.75</v>
      </c>
      <c r="Q545" s="107">
        <v>1942.05</v>
      </c>
      <c r="R545">
        <v>53366</v>
      </c>
    </row>
    <row r="546" spans="1:18" x14ac:dyDescent="0.25">
      <c r="A546" s="149">
        <v>42804</v>
      </c>
      <c r="B546" s="107">
        <v>397.4</v>
      </c>
      <c r="C546" s="107">
        <v>395.53000000000003</v>
      </c>
      <c r="D546" s="107">
        <v>387.36</v>
      </c>
      <c r="E546" s="107">
        <v>390.4</v>
      </c>
      <c r="F546" s="107">
        <v>1977.65</v>
      </c>
      <c r="G546">
        <v>9985</v>
      </c>
      <c r="H546" s="107"/>
      <c r="I546" s="107"/>
      <c r="L546" s="149">
        <v>42804</v>
      </c>
      <c r="M546" s="107">
        <v>395.24</v>
      </c>
      <c r="N546" s="107">
        <v>398</v>
      </c>
      <c r="O546" s="107">
        <v>386.61</v>
      </c>
      <c r="P546" s="107">
        <v>390</v>
      </c>
      <c r="Q546" s="107">
        <v>1976.2</v>
      </c>
      <c r="R546">
        <v>102318</v>
      </c>
    </row>
    <row r="547" spans="1:18" x14ac:dyDescent="0.25">
      <c r="A547" s="149">
        <v>42808</v>
      </c>
      <c r="B547" s="107">
        <v>421.77</v>
      </c>
      <c r="C547" s="107">
        <v>415.75</v>
      </c>
      <c r="D547" s="107">
        <v>398.2</v>
      </c>
      <c r="E547" s="107">
        <v>398.2</v>
      </c>
      <c r="F547" s="107">
        <v>2078.75</v>
      </c>
      <c r="G547">
        <v>39700</v>
      </c>
      <c r="H547" s="107"/>
      <c r="I547" s="107"/>
      <c r="L547" s="149">
        <v>42808</v>
      </c>
      <c r="M547" s="107">
        <v>416.16999999999996</v>
      </c>
      <c r="N547" s="107">
        <v>421.76000000000005</v>
      </c>
      <c r="O547" s="107">
        <v>399</v>
      </c>
      <c r="P547" s="107">
        <v>399</v>
      </c>
      <c r="Q547" s="107">
        <v>2080.85</v>
      </c>
      <c r="R547">
        <v>237028</v>
      </c>
    </row>
    <row r="548" spans="1:18" x14ac:dyDescent="0.25">
      <c r="A548" s="149">
        <v>42809</v>
      </c>
      <c r="B548" s="107">
        <v>424.48</v>
      </c>
      <c r="C548" s="107">
        <v>419.28000000000003</v>
      </c>
      <c r="D548" s="107">
        <v>413.82</v>
      </c>
      <c r="E548" s="107">
        <v>416</v>
      </c>
      <c r="F548" s="107">
        <v>2096.4</v>
      </c>
      <c r="G548">
        <v>15246</v>
      </c>
      <c r="H548" s="107"/>
      <c r="I548" s="107"/>
      <c r="L548" s="149">
        <v>42809</v>
      </c>
      <c r="M548" s="107">
        <v>419.61</v>
      </c>
      <c r="N548" s="107">
        <v>424.8</v>
      </c>
      <c r="O548" s="107">
        <v>414.09</v>
      </c>
      <c r="P548" s="107">
        <v>415.1</v>
      </c>
      <c r="Q548" s="107">
        <v>2098.0500000000002</v>
      </c>
      <c r="R548">
        <v>106504</v>
      </c>
    </row>
    <row r="549" spans="1:18" x14ac:dyDescent="0.25">
      <c r="A549" s="149">
        <v>42810</v>
      </c>
      <c r="B549" s="107">
        <v>424.2</v>
      </c>
      <c r="C549" s="107">
        <v>421.84</v>
      </c>
      <c r="D549" s="107">
        <v>419.01000000000005</v>
      </c>
      <c r="E549" s="107">
        <v>419.55</v>
      </c>
      <c r="F549" s="107">
        <v>2109.1999999999998</v>
      </c>
      <c r="G549">
        <v>12775</v>
      </c>
      <c r="H549" s="107"/>
      <c r="I549" s="107"/>
      <c r="L549" s="149">
        <v>42810</v>
      </c>
      <c r="M549" s="107">
        <v>421.82</v>
      </c>
      <c r="N549" s="107">
        <v>424.43999999999994</v>
      </c>
      <c r="O549" s="107">
        <v>419.03999999999996</v>
      </c>
      <c r="P549" s="107">
        <v>419.6</v>
      </c>
      <c r="Q549" s="107">
        <v>2109.1</v>
      </c>
      <c r="R549">
        <v>75440</v>
      </c>
    </row>
    <row r="550" spans="1:18" x14ac:dyDescent="0.25">
      <c r="A550" s="149">
        <v>42811</v>
      </c>
      <c r="B550" s="107">
        <v>423.8</v>
      </c>
      <c r="C550" s="107">
        <v>419.08000000000004</v>
      </c>
      <c r="D550" s="107">
        <v>415</v>
      </c>
      <c r="E550" s="107">
        <v>421.78999999999996</v>
      </c>
      <c r="F550" s="107">
        <v>2095.4</v>
      </c>
      <c r="G550">
        <v>4926</v>
      </c>
      <c r="H550" s="107"/>
      <c r="I550" s="107"/>
      <c r="L550" s="149">
        <v>42811</v>
      </c>
      <c r="M550" s="107">
        <v>418.8</v>
      </c>
      <c r="N550" s="107">
        <v>423.93999999999994</v>
      </c>
      <c r="O550" s="107">
        <v>415.2</v>
      </c>
      <c r="P550" s="107">
        <v>420</v>
      </c>
      <c r="Q550" s="107">
        <v>2094</v>
      </c>
      <c r="R550">
        <v>29843</v>
      </c>
    </row>
    <row r="551" spans="1:18" x14ac:dyDescent="0.25">
      <c r="A551" s="149">
        <v>42814</v>
      </c>
      <c r="B551" s="107">
        <v>431.4</v>
      </c>
      <c r="C551" s="107">
        <v>417.93999999999994</v>
      </c>
      <c r="D551" s="107">
        <v>415.03000000000003</v>
      </c>
      <c r="E551" s="107">
        <v>420</v>
      </c>
      <c r="F551" s="107">
        <v>2089.6999999999998</v>
      </c>
      <c r="G551">
        <v>9463</v>
      </c>
      <c r="H551" s="107"/>
      <c r="I551" s="107"/>
      <c r="L551" s="149">
        <v>42814</v>
      </c>
      <c r="M551" s="107">
        <v>418.16</v>
      </c>
      <c r="N551" s="107">
        <v>431.18</v>
      </c>
      <c r="O551" s="107">
        <v>415.2</v>
      </c>
      <c r="P551" s="107">
        <v>419.6</v>
      </c>
      <c r="Q551" s="107">
        <v>2090.8000000000002</v>
      </c>
      <c r="R551">
        <v>105262</v>
      </c>
    </row>
    <row r="552" spans="1:18" x14ac:dyDescent="0.25">
      <c r="A552" s="149">
        <v>42815</v>
      </c>
      <c r="B552" s="107">
        <v>421.98999999999995</v>
      </c>
      <c r="C552" s="107">
        <v>420.06000000000006</v>
      </c>
      <c r="D552" s="107">
        <v>407.55</v>
      </c>
      <c r="E552" s="107">
        <v>417.95</v>
      </c>
      <c r="F552" s="107">
        <v>2100.3000000000002</v>
      </c>
      <c r="G552">
        <v>12813</v>
      </c>
      <c r="H552" s="107"/>
      <c r="I552" s="107"/>
      <c r="L552" s="149">
        <v>42815</v>
      </c>
      <c r="M552" s="107">
        <v>419.8</v>
      </c>
      <c r="N552" s="107">
        <v>422.2</v>
      </c>
      <c r="O552" s="107">
        <v>407.77</v>
      </c>
      <c r="P552" s="107">
        <v>417.98</v>
      </c>
      <c r="Q552" s="107">
        <v>2099</v>
      </c>
      <c r="R552">
        <v>57762</v>
      </c>
    </row>
    <row r="553" spans="1:18" x14ac:dyDescent="0.25">
      <c r="A553" s="149">
        <v>42816</v>
      </c>
      <c r="B553" s="107">
        <v>421.2</v>
      </c>
      <c r="C553" s="107">
        <v>416.03000000000003</v>
      </c>
      <c r="D553" s="107">
        <v>414.2</v>
      </c>
      <c r="E553" s="107">
        <v>415.46999999999997</v>
      </c>
      <c r="F553" s="107">
        <v>2080.15</v>
      </c>
      <c r="G553">
        <v>21593</v>
      </c>
      <c r="H553" s="107"/>
      <c r="I553" s="107"/>
      <c r="L553" s="149">
        <v>42816</v>
      </c>
      <c r="M553" s="107">
        <v>416.63</v>
      </c>
      <c r="N553" s="107">
        <v>421.2</v>
      </c>
      <c r="O553" s="107">
        <v>412.23999999999995</v>
      </c>
      <c r="P553" s="107">
        <v>417.6</v>
      </c>
      <c r="Q553" s="107">
        <v>2083.15</v>
      </c>
      <c r="R553">
        <v>172149</v>
      </c>
    </row>
    <row r="554" spans="1:18" x14ac:dyDescent="0.25">
      <c r="A554" s="149">
        <v>42817</v>
      </c>
      <c r="B554" s="107">
        <v>421.8</v>
      </c>
      <c r="C554" s="107">
        <v>414.18</v>
      </c>
      <c r="D554" s="107">
        <v>412.2</v>
      </c>
      <c r="E554" s="107">
        <v>419.05</v>
      </c>
      <c r="F554" s="107">
        <v>2070.9</v>
      </c>
      <c r="G554">
        <v>26513</v>
      </c>
      <c r="H554" s="107"/>
      <c r="I554" s="107"/>
      <c r="L554" s="149">
        <v>42817</v>
      </c>
      <c r="M554" s="107">
        <v>413.68999999999994</v>
      </c>
      <c r="N554" s="107">
        <v>421.95</v>
      </c>
      <c r="O554" s="107">
        <v>412.41999999999996</v>
      </c>
      <c r="P554" s="107">
        <v>416.62</v>
      </c>
      <c r="Q554" s="107">
        <v>2068.4499999999998</v>
      </c>
      <c r="R554">
        <v>163631</v>
      </c>
    </row>
    <row r="555" spans="1:18" x14ac:dyDescent="0.25">
      <c r="A555" s="149">
        <v>42818</v>
      </c>
      <c r="B555" s="107">
        <v>421.31000000000006</v>
      </c>
      <c r="C555" s="107">
        <v>412.91999999999996</v>
      </c>
      <c r="D555" s="107">
        <v>410</v>
      </c>
      <c r="E555" s="107">
        <v>416.32</v>
      </c>
      <c r="F555" s="107">
        <v>2064.6</v>
      </c>
      <c r="G555">
        <v>29723</v>
      </c>
      <c r="H555" s="107"/>
      <c r="I555" s="107"/>
      <c r="L555" s="149">
        <v>42818</v>
      </c>
      <c r="M555" s="107">
        <v>416.03000000000003</v>
      </c>
      <c r="N555" s="107">
        <v>421.4</v>
      </c>
      <c r="O555" s="107">
        <v>412.2</v>
      </c>
      <c r="P555" s="107">
        <v>414.13</v>
      </c>
      <c r="Q555" s="107">
        <v>2080.15</v>
      </c>
      <c r="R555">
        <v>190948</v>
      </c>
    </row>
    <row r="556" spans="1:18" x14ac:dyDescent="0.25">
      <c r="A556" s="149">
        <v>42821</v>
      </c>
      <c r="B556" s="107">
        <v>418.8</v>
      </c>
      <c r="C556" s="107">
        <v>413.93</v>
      </c>
      <c r="D556" s="107">
        <v>408.88</v>
      </c>
      <c r="E556" s="107">
        <v>417.83000000000004</v>
      </c>
      <c r="F556" s="107">
        <v>2069.65</v>
      </c>
      <c r="G556">
        <v>2288</v>
      </c>
      <c r="H556" s="107"/>
      <c r="I556" s="107"/>
      <c r="L556" s="149">
        <v>42821</v>
      </c>
      <c r="M556" s="107">
        <v>416.16999999999996</v>
      </c>
      <c r="N556" s="107">
        <v>419</v>
      </c>
      <c r="O556" s="107">
        <v>408.43</v>
      </c>
      <c r="P556" s="107">
        <v>418.4</v>
      </c>
      <c r="Q556" s="107">
        <v>2080.85</v>
      </c>
      <c r="R556">
        <v>121796</v>
      </c>
    </row>
    <row r="557" spans="1:18" x14ac:dyDescent="0.25">
      <c r="A557" s="149">
        <v>42822</v>
      </c>
      <c r="B557" s="107">
        <v>418.6</v>
      </c>
      <c r="C557" s="107">
        <v>414.16</v>
      </c>
      <c r="D557" s="107">
        <v>412.46000000000004</v>
      </c>
      <c r="E557" s="107">
        <v>416.39</v>
      </c>
      <c r="F557" s="107">
        <v>2070.8000000000002</v>
      </c>
      <c r="G557">
        <v>2888</v>
      </c>
      <c r="H557" s="107"/>
      <c r="I557" s="107"/>
      <c r="L557" s="149">
        <v>42822</v>
      </c>
      <c r="M557" s="107">
        <v>415.05</v>
      </c>
      <c r="N557" s="107">
        <v>420</v>
      </c>
      <c r="O557" s="107">
        <v>412.73999999999995</v>
      </c>
      <c r="P557" s="107">
        <v>417.4</v>
      </c>
      <c r="Q557" s="107">
        <v>2075.25</v>
      </c>
      <c r="R557">
        <v>52670</v>
      </c>
    </row>
    <row r="558" spans="1:18" x14ac:dyDescent="0.25">
      <c r="A558" s="149">
        <v>42823</v>
      </c>
      <c r="B558" s="107">
        <v>417.06000000000006</v>
      </c>
      <c r="C558" s="107">
        <v>412.8</v>
      </c>
      <c r="D558" s="107">
        <v>410.91</v>
      </c>
      <c r="E558" s="107">
        <v>416.45</v>
      </c>
      <c r="F558" s="107">
        <v>2064</v>
      </c>
      <c r="G558">
        <v>1584</v>
      </c>
      <c r="H558" s="107"/>
      <c r="I558" s="107"/>
      <c r="L558" s="149">
        <v>42823</v>
      </c>
      <c r="M558" s="107">
        <v>414.38</v>
      </c>
      <c r="N558" s="107">
        <v>417.93999999999994</v>
      </c>
      <c r="O558" s="107">
        <v>411</v>
      </c>
      <c r="P558" s="107">
        <v>417.8</v>
      </c>
      <c r="Q558" s="107">
        <v>2071.9</v>
      </c>
      <c r="R558">
        <v>165925</v>
      </c>
    </row>
    <row r="559" spans="1:18" x14ac:dyDescent="0.25">
      <c r="A559" s="149">
        <v>42824</v>
      </c>
      <c r="B559" s="107">
        <v>419.78999999999996</v>
      </c>
      <c r="C559" s="107">
        <v>417.98999999999995</v>
      </c>
      <c r="D559" s="107">
        <v>413.87</v>
      </c>
      <c r="E559" s="107">
        <v>414.28000000000003</v>
      </c>
      <c r="F559" s="107">
        <v>2089.9499999999998</v>
      </c>
      <c r="G559">
        <v>2091</v>
      </c>
      <c r="H559" s="107"/>
      <c r="I559" s="107"/>
      <c r="L559" s="149">
        <v>42824</v>
      </c>
      <c r="M559" s="107">
        <v>418.39</v>
      </c>
      <c r="N559" s="107">
        <v>420</v>
      </c>
      <c r="O559" s="107">
        <v>412.25</v>
      </c>
      <c r="P559" s="107">
        <v>413.71999999999997</v>
      </c>
      <c r="Q559" s="107">
        <v>2091.9499999999998</v>
      </c>
      <c r="R559">
        <v>27354</v>
      </c>
    </row>
    <row r="560" spans="1:18" x14ac:dyDescent="0.25">
      <c r="A560" s="149">
        <v>42825</v>
      </c>
      <c r="B560" s="107">
        <v>424.98999999999995</v>
      </c>
      <c r="C560" s="107">
        <v>423.25</v>
      </c>
      <c r="D560" s="107">
        <v>413.21000000000004</v>
      </c>
      <c r="E560" s="107">
        <v>417.98999999999995</v>
      </c>
      <c r="F560" s="107">
        <v>2116.25</v>
      </c>
      <c r="G560">
        <v>3040</v>
      </c>
      <c r="H560" s="107"/>
      <c r="I560" s="107"/>
      <c r="L560" s="149">
        <v>42825</v>
      </c>
      <c r="M560" s="107">
        <v>424.28999999999996</v>
      </c>
      <c r="N560" s="107">
        <v>425.9</v>
      </c>
      <c r="O560" s="107">
        <v>414.21000000000004</v>
      </c>
      <c r="P560" s="107">
        <v>418.53999999999996</v>
      </c>
      <c r="Q560" s="107">
        <v>2121.4499999999998</v>
      </c>
      <c r="R560">
        <v>36974</v>
      </c>
    </row>
    <row r="561" spans="1:18" x14ac:dyDescent="0.25">
      <c r="A561" s="149">
        <v>42828</v>
      </c>
      <c r="B561" s="107">
        <v>474</v>
      </c>
      <c r="C561" s="107">
        <v>464.31000000000006</v>
      </c>
      <c r="D561" s="107">
        <v>422.4</v>
      </c>
      <c r="E561" s="107">
        <v>424</v>
      </c>
      <c r="F561" s="107">
        <v>2321.5500000000002</v>
      </c>
      <c r="G561">
        <v>28313</v>
      </c>
      <c r="H561" s="107"/>
      <c r="I561" s="107"/>
      <c r="L561" s="149">
        <v>42828</v>
      </c>
      <c r="M561" s="107">
        <v>464.86</v>
      </c>
      <c r="N561" s="107">
        <v>474.59</v>
      </c>
      <c r="O561" s="107">
        <v>420.71999999999997</v>
      </c>
      <c r="P561" s="107">
        <v>427</v>
      </c>
      <c r="Q561" s="107">
        <v>2324.3000000000002</v>
      </c>
      <c r="R561">
        <v>246496</v>
      </c>
    </row>
    <row r="562" spans="1:18" x14ac:dyDescent="0.25">
      <c r="A562" s="149">
        <v>42830</v>
      </c>
      <c r="B562" s="107">
        <v>470.8</v>
      </c>
      <c r="C562" s="107">
        <v>465.4</v>
      </c>
      <c r="D562" s="107">
        <v>462</v>
      </c>
      <c r="E562" s="107">
        <v>465</v>
      </c>
      <c r="F562" s="107">
        <v>2327</v>
      </c>
      <c r="G562">
        <v>6992</v>
      </c>
      <c r="H562" s="107"/>
      <c r="I562" s="107"/>
      <c r="L562" s="149">
        <v>42830</v>
      </c>
      <c r="M562" s="107">
        <v>466.55</v>
      </c>
      <c r="N562" s="107">
        <v>470.8</v>
      </c>
      <c r="O562" s="107">
        <v>461.13</v>
      </c>
      <c r="P562" s="107">
        <v>467.76000000000005</v>
      </c>
      <c r="Q562" s="107">
        <v>2332.75</v>
      </c>
      <c r="R562">
        <v>78157</v>
      </c>
    </row>
    <row r="563" spans="1:18" x14ac:dyDescent="0.25">
      <c r="A563" s="149">
        <v>42831</v>
      </c>
      <c r="B563" s="107">
        <v>479.91999999999996</v>
      </c>
      <c r="C563" s="107">
        <v>468.41</v>
      </c>
      <c r="D563" s="107">
        <v>463.46999999999997</v>
      </c>
      <c r="E563" s="107">
        <v>463.46999999999997</v>
      </c>
      <c r="F563" s="107">
        <v>2342.0500000000002</v>
      </c>
      <c r="G563">
        <v>15946</v>
      </c>
      <c r="H563" s="107"/>
      <c r="I563" s="107"/>
      <c r="L563" s="149">
        <v>42831</v>
      </c>
      <c r="M563" s="107">
        <v>470.06000000000006</v>
      </c>
      <c r="N563" s="107">
        <v>478.8</v>
      </c>
      <c r="O563" s="107">
        <v>463.93</v>
      </c>
      <c r="P563" s="107">
        <v>467</v>
      </c>
      <c r="Q563" s="107">
        <v>2350.3000000000002</v>
      </c>
      <c r="R563">
        <v>125603</v>
      </c>
    </row>
    <row r="564" spans="1:18" x14ac:dyDescent="0.25">
      <c r="A564" s="149">
        <v>42832</v>
      </c>
      <c r="B564" s="107">
        <v>477.4</v>
      </c>
      <c r="C564" s="107">
        <v>466.33000000000004</v>
      </c>
      <c r="D564" s="107">
        <v>460.2</v>
      </c>
      <c r="E564" s="107">
        <v>466.56000000000006</v>
      </c>
      <c r="F564" s="107">
        <v>2331.65</v>
      </c>
      <c r="G564">
        <v>7249</v>
      </c>
      <c r="H564" s="107"/>
      <c r="I564" s="107"/>
      <c r="L564" s="149">
        <v>42832</v>
      </c>
      <c r="M564" s="107">
        <v>467.81000000000006</v>
      </c>
      <c r="N564" s="107">
        <v>477.6</v>
      </c>
      <c r="O564" s="107">
        <v>465</v>
      </c>
      <c r="P564" s="107">
        <v>469.4</v>
      </c>
      <c r="Q564" s="107">
        <v>2339.0500000000002</v>
      </c>
      <c r="R564">
        <v>58608</v>
      </c>
    </row>
    <row r="565" spans="1:18" x14ac:dyDescent="0.25">
      <c r="A565" s="149">
        <v>42835</v>
      </c>
      <c r="B565" s="107">
        <v>470.2</v>
      </c>
      <c r="C565" s="107">
        <v>467.93</v>
      </c>
      <c r="D565" s="107">
        <v>464</v>
      </c>
      <c r="E565" s="107">
        <v>468</v>
      </c>
      <c r="F565" s="107">
        <v>2339.65</v>
      </c>
      <c r="G565">
        <v>2142</v>
      </c>
      <c r="H565" s="107"/>
      <c r="I565" s="107"/>
      <c r="L565" s="149">
        <v>42835</v>
      </c>
      <c r="M565" s="107">
        <v>467.78999999999996</v>
      </c>
      <c r="N565" s="107">
        <v>471.18</v>
      </c>
      <c r="O565" s="107">
        <v>464</v>
      </c>
      <c r="P565" s="107">
        <v>465.02</v>
      </c>
      <c r="Q565" s="107">
        <v>2338.9499999999998</v>
      </c>
      <c r="R565">
        <v>33880</v>
      </c>
    </row>
    <row r="566" spans="1:18" x14ac:dyDescent="0.25">
      <c r="A566" s="149">
        <v>42836</v>
      </c>
      <c r="B566" s="107">
        <v>477.6</v>
      </c>
      <c r="C566" s="107">
        <v>473.96999999999997</v>
      </c>
      <c r="D566" s="107">
        <v>466.4</v>
      </c>
      <c r="E566" s="107">
        <v>468.01000000000005</v>
      </c>
      <c r="F566" s="107">
        <v>2369.85</v>
      </c>
      <c r="G566">
        <v>13728</v>
      </c>
      <c r="H566" s="107"/>
      <c r="I566" s="107"/>
      <c r="L566" s="149">
        <v>42836</v>
      </c>
      <c r="M566" s="107">
        <v>473.82</v>
      </c>
      <c r="N566" s="107">
        <v>477.89</v>
      </c>
      <c r="O566" s="107">
        <v>465.4</v>
      </c>
      <c r="P566" s="107">
        <v>467.98999999999995</v>
      </c>
      <c r="Q566" s="107">
        <v>2369.1</v>
      </c>
      <c r="R566">
        <v>112742</v>
      </c>
    </row>
    <row r="567" spans="1:18" x14ac:dyDescent="0.25">
      <c r="A567" s="149">
        <v>42837</v>
      </c>
      <c r="B567" s="107">
        <v>525.6</v>
      </c>
      <c r="C567" s="107">
        <v>512.58999999999992</v>
      </c>
      <c r="D567" s="107">
        <v>476.96000000000004</v>
      </c>
      <c r="E567" s="107">
        <v>477.01000000000005</v>
      </c>
      <c r="F567" s="107">
        <v>2562.9499999999998</v>
      </c>
      <c r="G567">
        <v>51330</v>
      </c>
      <c r="H567" s="107"/>
      <c r="I567" s="107"/>
      <c r="L567" s="149">
        <v>42837</v>
      </c>
      <c r="M567" s="107">
        <v>514.29</v>
      </c>
      <c r="N567" s="107">
        <v>525.4</v>
      </c>
      <c r="O567" s="107">
        <v>476</v>
      </c>
      <c r="P567" s="107">
        <v>476</v>
      </c>
      <c r="Q567" s="107">
        <v>2571.4499999999998</v>
      </c>
      <c r="R567">
        <v>384031</v>
      </c>
    </row>
    <row r="568" spans="1:18" x14ac:dyDescent="0.25">
      <c r="A568" s="149">
        <v>42838</v>
      </c>
      <c r="B568" s="107">
        <v>533.91000000000008</v>
      </c>
      <c r="C568" s="107">
        <v>517.22</v>
      </c>
      <c r="D568" s="107">
        <v>510</v>
      </c>
      <c r="E568" s="107">
        <v>514</v>
      </c>
      <c r="F568" s="107">
        <v>2586.1</v>
      </c>
      <c r="G568">
        <v>25185</v>
      </c>
      <c r="H568" s="107"/>
      <c r="I568" s="107"/>
      <c r="L568" s="149">
        <v>42838</v>
      </c>
      <c r="M568" s="107">
        <v>517.18000000000006</v>
      </c>
      <c r="N568" s="107">
        <v>533.39</v>
      </c>
      <c r="O568" s="107">
        <v>508.6</v>
      </c>
      <c r="P568" s="107">
        <v>519.18999999999994</v>
      </c>
      <c r="Q568" s="107">
        <v>2585.9</v>
      </c>
      <c r="R568">
        <v>222055</v>
      </c>
    </row>
    <row r="569" spans="1:18" x14ac:dyDescent="0.25">
      <c r="A569" s="149">
        <v>42842</v>
      </c>
      <c r="B569" s="107">
        <v>515</v>
      </c>
      <c r="C569" s="107">
        <v>500.06000000000006</v>
      </c>
      <c r="D569" s="107">
        <v>497.2</v>
      </c>
      <c r="E569" s="107">
        <v>512.01</v>
      </c>
      <c r="F569" s="107">
        <v>2500.3000000000002</v>
      </c>
      <c r="G569">
        <v>11475</v>
      </c>
      <c r="H569" s="107"/>
      <c r="I569" s="107"/>
      <c r="L569" s="149">
        <v>42842</v>
      </c>
      <c r="M569" s="107">
        <v>501.45</v>
      </c>
      <c r="N569" s="107">
        <v>515.02</v>
      </c>
      <c r="O569" s="107">
        <v>498</v>
      </c>
      <c r="P569" s="107">
        <v>513.96</v>
      </c>
      <c r="Q569" s="107">
        <v>2507.25</v>
      </c>
      <c r="R569">
        <v>80492</v>
      </c>
    </row>
    <row r="570" spans="1:18" x14ac:dyDescent="0.25">
      <c r="A570" s="149">
        <v>42843</v>
      </c>
      <c r="B570" s="107">
        <v>517.15</v>
      </c>
      <c r="C570" s="107">
        <v>487.11</v>
      </c>
      <c r="D570" s="107">
        <v>480.46999999999997</v>
      </c>
      <c r="E570" s="107">
        <v>508.98999999999995</v>
      </c>
      <c r="F570" s="107">
        <v>2435.5500000000002</v>
      </c>
      <c r="G570">
        <v>7082</v>
      </c>
      <c r="H570" s="107"/>
      <c r="I570" s="107"/>
      <c r="L570" s="149">
        <v>42843</v>
      </c>
      <c r="M570" s="107">
        <v>487.52</v>
      </c>
      <c r="N570" s="107">
        <v>517.26</v>
      </c>
      <c r="O570" s="107">
        <v>480.41999999999996</v>
      </c>
      <c r="P570" s="107">
        <v>502.46999999999997</v>
      </c>
      <c r="Q570" s="107">
        <v>2437.6</v>
      </c>
      <c r="R570">
        <v>89714</v>
      </c>
    </row>
    <row r="571" spans="1:18" x14ac:dyDescent="0.25">
      <c r="A571" s="149">
        <v>42844</v>
      </c>
      <c r="B571" s="107">
        <v>501.2</v>
      </c>
      <c r="C571" s="107">
        <v>496.78000000000003</v>
      </c>
      <c r="D571" s="107">
        <v>482</v>
      </c>
      <c r="E571" s="107">
        <v>488.95</v>
      </c>
      <c r="F571" s="107">
        <v>2483.9</v>
      </c>
      <c r="G571">
        <v>13769</v>
      </c>
      <c r="H571" s="107"/>
      <c r="I571" s="107"/>
      <c r="L571" s="149">
        <v>42844</v>
      </c>
      <c r="M571" s="107">
        <v>496.78999999999996</v>
      </c>
      <c r="N571" s="107">
        <v>501.8</v>
      </c>
      <c r="O571" s="107">
        <v>481.45</v>
      </c>
      <c r="P571" s="107">
        <v>490.98999999999995</v>
      </c>
      <c r="Q571" s="107">
        <v>2483.9499999999998</v>
      </c>
      <c r="R571">
        <v>89103</v>
      </c>
    </row>
    <row r="572" spans="1:18" x14ac:dyDescent="0.25">
      <c r="A572" s="149">
        <v>42845</v>
      </c>
      <c r="B572" s="107">
        <v>509.75</v>
      </c>
      <c r="C572" s="107">
        <v>503.28000000000003</v>
      </c>
      <c r="D572" s="107">
        <v>501.31000000000006</v>
      </c>
      <c r="E572" s="107">
        <v>507.6</v>
      </c>
      <c r="F572" s="107">
        <v>2516.4</v>
      </c>
      <c r="G572">
        <v>10646</v>
      </c>
      <c r="H572" s="107"/>
      <c r="I572" s="107"/>
      <c r="L572" s="149">
        <v>42845</v>
      </c>
      <c r="M572" s="107">
        <v>502.63</v>
      </c>
      <c r="N572" s="107">
        <v>510</v>
      </c>
      <c r="O572" s="107">
        <v>500.4</v>
      </c>
      <c r="P572" s="107">
        <v>503</v>
      </c>
      <c r="Q572" s="107">
        <v>2513.15</v>
      </c>
      <c r="R572">
        <v>84591</v>
      </c>
    </row>
    <row r="573" spans="1:18" x14ac:dyDescent="0.25">
      <c r="A573" s="149">
        <v>42846</v>
      </c>
      <c r="B573" s="107">
        <v>514</v>
      </c>
      <c r="C573" s="107">
        <v>508.91</v>
      </c>
      <c r="D573" s="107">
        <v>499</v>
      </c>
      <c r="E573" s="107">
        <v>507.78999999999996</v>
      </c>
      <c r="F573" s="107">
        <v>2544.5500000000002</v>
      </c>
      <c r="G573">
        <v>9357</v>
      </c>
      <c r="H573" s="107"/>
      <c r="I573" s="107"/>
      <c r="L573" s="149">
        <v>42846</v>
      </c>
      <c r="M573" s="107">
        <v>510.03999999999996</v>
      </c>
      <c r="N573" s="107">
        <v>515.6</v>
      </c>
      <c r="O573" s="107">
        <v>498.91</v>
      </c>
      <c r="P573" s="107">
        <v>504</v>
      </c>
      <c r="Q573" s="107">
        <v>2550.1999999999998</v>
      </c>
      <c r="R573">
        <v>72393</v>
      </c>
    </row>
    <row r="574" spans="1:18" x14ac:dyDescent="0.25">
      <c r="A574" s="149">
        <v>42849</v>
      </c>
      <c r="B574" s="107">
        <v>520</v>
      </c>
      <c r="C574" s="107">
        <v>516.29</v>
      </c>
      <c r="D574" s="107">
        <v>511.02</v>
      </c>
      <c r="E574" s="107">
        <v>515</v>
      </c>
      <c r="F574" s="107">
        <v>2581.4499999999998</v>
      </c>
      <c r="G574">
        <v>8614</v>
      </c>
      <c r="H574" s="107"/>
      <c r="I574" s="107"/>
      <c r="L574" s="149">
        <v>42849</v>
      </c>
      <c r="M574" s="107">
        <v>516.65</v>
      </c>
      <c r="N574" s="107">
        <v>519.43999999999994</v>
      </c>
      <c r="O574" s="107">
        <v>510.4</v>
      </c>
      <c r="P574" s="107">
        <v>510.4</v>
      </c>
      <c r="Q574" s="107">
        <v>2583.25</v>
      </c>
      <c r="R574">
        <v>59629</v>
      </c>
    </row>
    <row r="575" spans="1:18" x14ac:dyDescent="0.25">
      <c r="A575" s="149">
        <v>42850</v>
      </c>
      <c r="B575" s="107">
        <v>530.79999999999995</v>
      </c>
      <c r="C575" s="107">
        <v>516.81000000000006</v>
      </c>
      <c r="D575" s="107">
        <v>511.05</v>
      </c>
      <c r="E575" s="107">
        <v>520</v>
      </c>
      <c r="F575" s="107">
        <v>2584.0500000000002</v>
      </c>
      <c r="G575">
        <v>44126</v>
      </c>
      <c r="H575" s="107"/>
      <c r="I575" s="107"/>
      <c r="L575" s="149">
        <v>42850</v>
      </c>
      <c r="M575" s="107">
        <v>516.88</v>
      </c>
      <c r="N575" s="107">
        <v>531.6</v>
      </c>
      <c r="O575" s="107">
        <v>505</v>
      </c>
      <c r="P575" s="107">
        <v>520</v>
      </c>
      <c r="Q575" s="107">
        <v>2584.4</v>
      </c>
      <c r="R575">
        <v>474020</v>
      </c>
    </row>
    <row r="576" spans="1:18" x14ac:dyDescent="0.25">
      <c r="A576" s="149">
        <v>42851</v>
      </c>
      <c r="B576" s="107">
        <v>523.93000000000006</v>
      </c>
      <c r="C576" s="107">
        <v>508.93</v>
      </c>
      <c r="D576" s="107">
        <v>500.31000000000006</v>
      </c>
      <c r="E576" s="107">
        <v>520</v>
      </c>
      <c r="F576" s="107">
        <v>2544.65</v>
      </c>
      <c r="G576">
        <v>14350</v>
      </c>
      <c r="H576" s="107"/>
      <c r="I576" s="107"/>
      <c r="L576" s="149">
        <v>42851</v>
      </c>
      <c r="M576" s="107">
        <v>509.91999999999996</v>
      </c>
      <c r="N576" s="107">
        <v>523.79999999999995</v>
      </c>
      <c r="O576" s="107">
        <v>506.4</v>
      </c>
      <c r="P576" s="107">
        <v>520.20000000000005</v>
      </c>
      <c r="Q576" s="107">
        <v>2549.6</v>
      </c>
      <c r="R576">
        <v>86177</v>
      </c>
    </row>
    <row r="577" spans="1:18" x14ac:dyDescent="0.25">
      <c r="A577" s="149">
        <v>42852</v>
      </c>
      <c r="B577" s="107">
        <v>523</v>
      </c>
      <c r="C577" s="107">
        <v>519.25</v>
      </c>
      <c r="D577" s="107">
        <v>506.41999999999996</v>
      </c>
      <c r="E577" s="107">
        <v>510.55</v>
      </c>
      <c r="F577" s="107">
        <v>2596.25</v>
      </c>
      <c r="G577">
        <v>11127</v>
      </c>
      <c r="H577" s="107"/>
      <c r="I577" s="107"/>
      <c r="L577" s="149">
        <v>42852</v>
      </c>
      <c r="M577" s="107">
        <v>519.46</v>
      </c>
      <c r="N577" s="107">
        <v>523.6</v>
      </c>
      <c r="O577" s="107">
        <v>506</v>
      </c>
      <c r="P577" s="107">
        <v>511.98</v>
      </c>
      <c r="Q577" s="107">
        <v>2597.3000000000002</v>
      </c>
      <c r="R577">
        <v>179306</v>
      </c>
    </row>
    <row r="578" spans="1:18" x14ac:dyDescent="0.25">
      <c r="A578" s="149">
        <v>42853</v>
      </c>
      <c r="B578" s="107">
        <v>532.77</v>
      </c>
      <c r="C578" s="107">
        <v>523.15</v>
      </c>
      <c r="D578" s="107">
        <v>520</v>
      </c>
      <c r="E578" s="107">
        <v>522</v>
      </c>
      <c r="F578" s="107">
        <v>2615.75</v>
      </c>
      <c r="G578">
        <v>20485</v>
      </c>
      <c r="H578" s="107"/>
      <c r="I578" s="107"/>
      <c r="L578" s="149">
        <v>42853</v>
      </c>
      <c r="M578" s="107">
        <v>523.45000000000005</v>
      </c>
      <c r="N578" s="107">
        <v>533.6</v>
      </c>
      <c r="O578" s="107">
        <v>520.21</v>
      </c>
      <c r="P578" s="107">
        <v>523.58000000000004</v>
      </c>
      <c r="Q578" s="107">
        <v>2617.25</v>
      </c>
      <c r="R578">
        <v>241402</v>
      </c>
    </row>
    <row r="579" spans="1:18" x14ac:dyDescent="0.25">
      <c r="A579" s="149">
        <v>42857</v>
      </c>
      <c r="B579" s="107">
        <v>571</v>
      </c>
      <c r="C579" s="107">
        <v>566.58999999999992</v>
      </c>
      <c r="D579" s="107">
        <v>521.47</v>
      </c>
      <c r="E579" s="107">
        <v>525</v>
      </c>
      <c r="F579" s="107">
        <v>2832.95</v>
      </c>
      <c r="G579">
        <v>59246</v>
      </c>
      <c r="H579" s="107"/>
      <c r="I579" s="107"/>
      <c r="L579" s="149">
        <v>42857</v>
      </c>
      <c r="M579" s="107">
        <v>567.25</v>
      </c>
      <c r="N579" s="107">
        <v>571.79999999999995</v>
      </c>
      <c r="O579" s="107">
        <v>520.79999999999995</v>
      </c>
      <c r="P579" s="107">
        <v>524</v>
      </c>
      <c r="Q579" s="107">
        <v>2836.25</v>
      </c>
      <c r="R579">
        <v>517937</v>
      </c>
    </row>
    <row r="580" spans="1:18" x14ac:dyDescent="0.25">
      <c r="A580" s="149">
        <v>42858</v>
      </c>
      <c r="B580" s="107">
        <v>574.79</v>
      </c>
      <c r="C580" s="107">
        <v>559.98</v>
      </c>
      <c r="D580" s="107">
        <v>554.83999999999992</v>
      </c>
      <c r="E580" s="107">
        <v>574.77</v>
      </c>
      <c r="F580" s="107">
        <v>2799.9</v>
      </c>
      <c r="G580">
        <v>19284</v>
      </c>
      <c r="H580" s="107"/>
      <c r="I580" s="107"/>
      <c r="L580" s="149">
        <v>42858</v>
      </c>
      <c r="M580" s="107">
        <v>561.01</v>
      </c>
      <c r="N580" s="107">
        <v>572.24</v>
      </c>
      <c r="O580" s="107">
        <v>556.21</v>
      </c>
      <c r="P580" s="107">
        <v>570</v>
      </c>
      <c r="Q580" s="107">
        <v>2805.05</v>
      </c>
      <c r="R580">
        <v>161106</v>
      </c>
    </row>
    <row r="581" spans="1:18" x14ac:dyDescent="0.25">
      <c r="A581" s="149">
        <v>42859</v>
      </c>
      <c r="B581" s="107">
        <v>579.4</v>
      </c>
      <c r="C581" s="107">
        <v>568.36</v>
      </c>
      <c r="D581" s="107">
        <v>562.31999999999994</v>
      </c>
      <c r="E581" s="107">
        <v>567.98</v>
      </c>
      <c r="F581" s="107">
        <v>2841.8</v>
      </c>
      <c r="G581">
        <v>20672</v>
      </c>
      <c r="H581" s="107"/>
      <c r="I581" s="107"/>
      <c r="L581" s="149">
        <v>42859</v>
      </c>
      <c r="M581" s="107">
        <v>568.25</v>
      </c>
      <c r="N581" s="107">
        <v>579.99</v>
      </c>
      <c r="O581" s="107">
        <v>562</v>
      </c>
      <c r="P581" s="107">
        <v>562.78</v>
      </c>
      <c r="Q581" s="107">
        <v>2841.25</v>
      </c>
      <c r="R581">
        <v>221317</v>
      </c>
    </row>
    <row r="582" spans="1:18" x14ac:dyDescent="0.25">
      <c r="A582" s="149">
        <v>42860</v>
      </c>
      <c r="B582" s="107">
        <v>574.43999999999994</v>
      </c>
      <c r="C582" s="107">
        <v>566.12</v>
      </c>
      <c r="D582" s="107">
        <v>558.45000000000005</v>
      </c>
      <c r="E582" s="107">
        <v>569.93999999999994</v>
      </c>
      <c r="F582" s="107">
        <v>2830.6</v>
      </c>
      <c r="G582">
        <v>11536</v>
      </c>
      <c r="H582" s="107"/>
      <c r="I582" s="107"/>
      <c r="L582" s="149">
        <v>42860</v>
      </c>
      <c r="M582" s="107">
        <v>567.04999999999995</v>
      </c>
      <c r="N582" s="107">
        <v>575</v>
      </c>
      <c r="O582" s="107">
        <v>558.22</v>
      </c>
      <c r="P582" s="107">
        <v>567.99</v>
      </c>
      <c r="Q582" s="107">
        <v>2835.25</v>
      </c>
      <c r="R582">
        <v>125630</v>
      </c>
    </row>
    <row r="583" spans="1:18" x14ac:dyDescent="0.25">
      <c r="A583" s="149">
        <v>42863</v>
      </c>
      <c r="B583" s="107">
        <v>574.20000000000005</v>
      </c>
      <c r="C583" s="107">
        <v>568.04</v>
      </c>
      <c r="D583" s="107">
        <v>565.08000000000004</v>
      </c>
      <c r="E583" s="107">
        <v>569.98</v>
      </c>
      <c r="F583" s="107">
        <v>2840.2</v>
      </c>
      <c r="G583">
        <v>5881</v>
      </c>
      <c r="H583" s="107"/>
      <c r="I583" s="107"/>
      <c r="L583" s="149">
        <v>42863</v>
      </c>
      <c r="M583" s="107">
        <v>569</v>
      </c>
      <c r="N583" s="107">
        <v>574.51</v>
      </c>
      <c r="O583" s="107">
        <v>566.20000000000005</v>
      </c>
      <c r="P583" s="107">
        <v>569.6</v>
      </c>
      <c r="Q583" s="107">
        <v>2845</v>
      </c>
      <c r="R583">
        <v>68290</v>
      </c>
    </row>
    <row r="584" spans="1:18" x14ac:dyDescent="0.25">
      <c r="A584" s="149">
        <v>42864</v>
      </c>
      <c r="B584" s="107">
        <v>569.98</v>
      </c>
      <c r="C584" s="107">
        <v>559.75</v>
      </c>
      <c r="D584" s="107">
        <v>556</v>
      </c>
      <c r="E584" s="107">
        <v>569</v>
      </c>
      <c r="F584" s="107">
        <v>2798.75</v>
      </c>
      <c r="G584">
        <v>22063</v>
      </c>
      <c r="H584" s="107"/>
      <c r="I584" s="107"/>
      <c r="L584" s="149">
        <v>42864</v>
      </c>
      <c r="M584" s="107">
        <v>558.71</v>
      </c>
      <c r="N584" s="107">
        <v>570.68999999999994</v>
      </c>
      <c r="O584" s="107">
        <v>556.41000000000008</v>
      </c>
      <c r="P584" s="107">
        <v>570.4</v>
      </c>
      <c r="Q584" s="107">
        <v>2793.55</v>
      </c>
      <c r="R584">
        <v>85188</v>
      </c>
    </row>
    <row r="585" spans="1:18" x14ac:dyDescent="0.25">
      <c r="A585" s="149">
        <v>42865</v>
      </c>
      <c r="B585" s="107">
        <v>574.18999999999994</v>
      </c>
      <c r="C585" s="107">
        <v>561.72</v>
      </c>
      <c r="D585" s="107">
        <v>557.08999999999992</v>
      </c>
      <c r="E585" s="107">
        <v>558.20000000000005</v>
      </c>
      <c r="F585" s="107">
        <v>2808.6</v>
      </c>
      <c r="G585">
        <v>10624</v>
      </c>
      <c r="H585" s="107"/>
      <c r="I585" s="107"/>
      <c r="L585" s="149">
        <v>42865</v>
      </c>
      <c r="M585" s="107">
        <v>560.98</v>
      </c>
      <c r="N585" s="107">
        <v>573.6</v>
      </c>
      <c r="O585" s="107">
        <v>556.02</v>
      </c>
      <c r="P585" s="107">
        <v>556.02</v>
      </c>
      <c r="Q585" s="107">
        <v>2804.9</v>
      </c>
      <c r="R585">
        <v>152608</v>
      </c>
    </row>
    <row r="586" spans="1:18" x14ac:dyDescent="0.25">
      <c r="A586" s="149">
        <v>42866</v>
      </c>
      <c r="B586" s="107">
        <v>566</v>
      </c>
      <c r="C586" s="107">
        <v>548.58000000000004</v>
      </c>
      <c r="D586" s="107">
        <v>544.79999999999995</v>
      </c>
      <c r="E586" s="107">
        <v>561.72</v>
      </c>
      <c r="F586" s="107">
        <v>2742.9</v>
      </c>
      <c r="G586">
        <v>8426</v>
      </c>
      <c r="H586" s="107"/>
      <c r="I586" s="107"/>
      <c r="L586" s="149">
        <v>42866</v>
      </c>
      <c r="M586" s="107">
        <v>548.1</v>
      </c>
      <c r="N586" s="107">
        <v>566.58999999999992</v>
      </c>
      <c r="O586" s="107">
        <v>544</v>
      </c>
      <c r="P586" s="107">
        <v>561.49</v>
      </c>
      <c r="Q586" s="107">
        <v>2740.5</v>
      </c>
      <c r="R586">
        <v>111819</v>
      </c>
    </row>
    <row r="587" spans="1:18" x14ac:dyDescent="0.25">
      <c r="A587" s="149">
        <v>42867</v>
      </c>
      <c r="B587" s="107">
        <v>550.61</v>
      </c>
      <c r="C587" s="107">
        <v>532.25</v>
      </c>
      <c r="D587" s="107">
        <v>527.49</v>
      </c>
      <c r="E587" s="107">
        <v>550</v>
      </c>
      <c r="F587" s="107">
        <v>2661.25</v>
      </c>
      <c r="G587">
        <v>12356</v>
      </c>
      <c r="H587" s="107"/>
      <c r="I587" s="107"/>
      <c r="L587" s="149">
        <v>42867</v>
      </c>
      <c r="M587" s="107">
        <v>532.16999999999996</v>
      </c>
      <c r="N587" s="107">
        <v>550.71</v>
      </c>
      <c r="O587" s="107">
        <v>527</v>
      </c>
      <c r="P587" s="107">
        <v>548.1</v>
      </c>
      <c r="Q587" s="107">
        <v>2660.85</v>
      </c>
      <c r="R587">
        <v>119282</v>
      </c>
    </row>
    <row r="588" spans="1:18" x14ac:dyDescent="0.25">
      <c r="A588" s="149">
        <v>42870</v>
      </c>
      <c r="B588" s="107">
        <v>560.70000000000005</v>
      </c>
      <c r="C588" s="107">
        <v>556.48</v>
      </c>
      <c r="D588" s="107">
        <v>538.1</v>
      </c>
      <c r="E588" s="107">
        <v>539.79999999999995</v>
      </c>
      <c r="F588" s="107">
        <v>2782.4</v>
      </c>
      <c r="G588">
        <v>12166</v>
      </c>
      <c r="H588" s="107"/>
      <c r="I588" s="107"/>
      <c r="L588" s="149">
        <v>42870</v>
      </c>
      <c r="M588" s="107">
        <v>556.46</v>
      </c>
      <c r="N588" s="107">
        <v>561.58000000000004</v>
      </c>
      <c r="O588" s="107">
        <v>537.99</v>
      </c>
      <c r="P588" s="107">
        <v>537.99</v>
      </c>
      <c r="Q588" s="107">
        <v>2782.3</v>
      </c>
      <c r="R588">
        <v>179276</v>
      </c>
    </row>
    <row r="589" spans="1:18" x14ac:dyDescent="0.25">
      <c r="A589" s="149">
        <v>42871</v>
      </c>
      <c r="B589" s="107">
        <v>560.36</v>
      </c>
      <c r="C589" s="107">
        <v>551.81999999999994</v>
      </c>
      <c r="D589" s="107">
        <v>547.49</v>
      </c>
      <c r="E589" s="107">
        <v>560.08999999999992</v>
      </c>
      <c r="F589" s="107">
        <v>2759.1</v>
      </c>
      <c r="G589">
        <v>5049</v>
      </c>
      <c r="H589" s="107"/>
      <c r="I589" s="107"/>
      <c r="L589" s="149">
        <v>42871</v>
      </c>
      <c r="M589" s="107">
        <v>553.08999999999992</v>
      </c>
      <c r="N589" s="107">
        <v>560</v>
      </c>
      <c r="O589" s="107">
        <v>546.4</v>
      </c>
      <c r="P589" s="107">
        <v>558.79999999999995</v>
      </c>
      <c r="Q589" s="107">
        <v>2765.45</v>
      </c>
      <c r="R589">
        <v>71294</v>
      </c>
    </row>
    <row r="590" spans="1:18" x14ac:dyDescent="0.25">
      <c r="A590" s="149">
        <v>42872</v>
      </c>
      <c r="B590" s="107">
        <v>558.58000000000004</v>
      </c>
      <c r="C590" s="107">
        <v>551.74</v>
      </c>
      <c r="D590" s="107">
        <v>534.79</v>
      </c>
      <c r="E590" s="107">
        <v>555.11</v>
      </c>
      <c r="F590" s="107">
        <v>2758.7</v>
      </c>
      <c r="G590">
        <v>9840</v>
      </c>
      <c r="H590" s="107"/>
      <c r="I590" s="107"/>
      <c r="L590" s="149">
        <v>42872</v>
      </c>
      <c r="M590" s="107">
        <v>551.79</v>
      </c>
      <c r="N590" s="107">
        <v>559.29999999999995</v>
      </c>
      <c r="O590" s="107">
        <v>547.61</v>
      </c>
      <c r="P590" s="107">
        <v>555.4</v>
      </c>
      <c r="Q590" s="107">
        <v>2758.95</v>
      </c>
      <c r="R590">
        <v>109124</v>
      </c>
    </row>
    <row r="591" spans="1:18" x14ac:dyDescent="0.25">
      <c r="A591" s="149">
        <v>42873</v>
      </c>
      <c r="B591" s="107">
        <v>552.87</v>
      </c>
      <c r="C591" s="107">
        <v>534.72</v>
      </c>
      <c r="D591" s="107">
        <v>530</v>
      </c>
      <c r="E591" s="107">
        <v>545.79999999999995</v>
      </c>
      <c r="F591" s="107">
        <v>2673.6</v>
      </c>
      <c r="G591">
        <v>7782</v>
      </c>
      <c r="H591" s="107"/>
      <c r="I591" s="107"/>
      <c r="L591" s="149">
        <v>42873</v>
      </c>
      <c r="M591" s="107">
        <v>534.23</v>
      </c>
      <c r="N591" s="107">
        <v>552.47</v>
      </c>
      <c r="O591" s="107">
        <v>529.79999999999995</v>
      </c>
      <c r="P591" s="107">
        <v>545</v>
      </c>
      <c r="Q591" s="107">
        <v>2671.15</v>
      </c>
      <c r="R591">
        <v>107200</v>
      </c>
    </row>
    <row r="592" spans="1:18" x14ac:dyDescent="0.25">
      <c r="A592" s="149">
        <v>42874</v>
      </c>
      <c r="B592" s="107">
        <v>542.20000000000005</v>
      </c>
      <c r="C592" s="107">
        <v>522.48</v>
      </c>
      <c r="D592" s="107">
        <v>514.79</v>
      </c>
      <c r="E592" s="107">
        <v>534.79999999999995</v>
      </c>
      <c r="F592" s="107">
        <v>2612.4</v>
      </c>
      <c r="G592">
        <v>13584</v>
      </c>
      <c r="H592" s="107"/>
      <c r="I592" s="107"/>
      <c r="L592" s="149">
        <v>42874</v>
      </c>
      <c r="M592" s="107">
        <v>523.91000000000008</v>
      </c>
      <c r="N592" s="107">
        <v>542.79999999999995</v>
      </c>
      <c r="O592" s="107">
        <v>514</v>
      </c>
      <c r="P592" s="107">
        <v>531.41999999999996</v>
      </c>
      <c r="Q592" s="107">
        <v>2619.5500000000002</v>
      </c>
      <c r="R592">
        <v>118052</v>
      </c>
    </row>
    <row r="593" spans="1:18" x14ac:dyDescent="0.25">
      <c r="A593" s="149">
        <v>42877</v>
      </c>
      <c r="B593" s="107">
        <v>529.06999999999994</v>
      </c>
      <c r="C593" s="107">
        <v>505.63</v>
      </c>
      <c r="D593" s="107">
        <v>501.77</v>
      </c>
      <c r="E593" s="107">
        <v>528.35</v>
      </c>
      <c r="F593" s="107">
        <v>2528.15</v>
      </c>
      <c r="G593">
        <v>12369</v>
      </c>
      <c r="H593" s="107"/>
      <c r="I593" s="107"/>
      <c r="L593" s="149">
        <v>42877</v>
      </c>
      <c r="M593" s="107">
        <v>505.57</v>
      </c>
      <c r="N593" s="107">
        <v>530.20000000000005</v>
      </c>
      <c r="O593" s="107">
        <v>501.6</v>
      </c>
      <c r="P593" s="107">
        <v>526.74</v>
      </c>
      <c r="Q593" s="107">
        <v>2527.85</v>
      </c>
      <c r="R593">
        <v>91727</v>
      </c>
    </row>
    <row r="594" spans="1:18" x14ac:dyDescent="0.25">
      <c r="A594" s="149">
        <v>42878</v>
      </c>
      <c r="B594" s="107">
        <v>534.16999999999996</v>
      </c>
      <c r="C594" s="107">
        <v>516.64</v>
      </c>
      <c r="D594" s="107">
        <v>489.4</v>
      </c>
      <c r="E594" s="107">
        <v>512</v>
      </c>
      <c r="F594" s="107">
        <v>2583.1999999999998</v>
      </c>
      <c r="G594">
        <v>27501</v>
      </c>
      <c r="H594" s="107"/>
      <c r="I594" s="107"/>
      <c r="L594" s="149">
        <v>42878</v>
      </c>
      <c r="M594" s="107">
        <v>517.9</v>
      </c>
      <c r="N594" s="107">
        <v>534.79999999999995</v>
      </c>
      <c r="O594" s="107">
        <v>489.03999999999996</v>
      </c>
      <c r="P594" s="107">
        <v>510</v>
      </c>
      <c r="Q594" s="107">
        <v>2589.5</v>
      </c>
      <c r="R594">
        <v>203719</v>
      </c>
    </row>
    <row r="595" spans="1:18" x14ac:dyDescent="0.25">
      <c r="A595" s="149">
        <v>42879</v>
      </c>
      <c r="B595" s="107">
        <v>528.29</v>
      </c>
      <c r="C595" s="107">
        <v>513.22</v>
      </c>
      <c r="D595" s="107">
        <v>506</v>
      </c>
      <c r="E595" s="107">
        <v>520.1</v>
      </c>
      <c r="F595" s="107">
        <v>2566.1</v>
      </c>
      <c r="G595">
        <v>17684</v>
      </c>
      <c r="H595" s="107"/>
      <c r="I595" s="107"/>
      <c r="L595" s="149">
        <v>42879</v>
      </c>
      <c r="M595" s="107">
        <v>514.72</v>
      </c>
      <c r="N595" s="107">
        <v>527.99</v>
      </c>
      <c r="O595" s="107">
        <v>505.41</v>
      </c>
      <c r="P595" s="107">
        <v>519.99</v>
      </c>
      <c r="Q595" s="107">
        <v>2573.6</v>
      </c>
      <c r="R595">
        <v>105887</v>
      </c>
    </row>
    <row r="596" spans="1:18" x14ac:dyDescent="0.25">
      <c r="A596" s="149">
        <v>42880</v>
      </c>
      <c r="B596" s="107">
        <v>531.54999999999995</v>
      </c>
      <c r="C596" s="107">
        <v>527.76</v>
      </c>
      <c r="D596" s="107">
        <v>516.91000000000008</v>
      </c>
      <c r="E596" s="107">
        <v>517.81000000000006</v>
      </c>
      <c r="F596" s="107">
        <v>2638.8</v>
      </c>
      <c r="G596">
        <v>9951</v>
      </c>
      <c r="H596" s="107"/>
      <c r="I596" s="107"/>
      <c r="L596" s="149">
        <v>42880</v>
      </c>
      <c r="M596" s="107">
        <v>528.23</v>
      </c>
      <c r="N596" s="107">
        <v>531.77</v>
      </c>
      <c r="O596" s="107">
        <v>516.01</v>
      </c>
      <c r="P596" s="107">
        <v>519.79999999999995</v>
      </c>
      <c r="Q596" s="107">
        <v>2641.15</v>
      </c>
      <c r="R596">
        <v>84294</v>
      </c>
    </row>
    <row r="597" spans="1:18" x14ac:dyDescent="0.25">
      <c r="A597" s="149">
        <v>42881</v>
      </c>
      <c r="B597" s="107">
        <v>533.66000000000008</v>
      </c>
      <c r="C597" s="107">
        <v>525.9</v>
      </c>
      <c r="D597" s="107">
        <v>513.74</v>
      </c>
      <c r="E597" s="107">
        <v>528</v>
      </c>
      <c r="F597" s="107">
        <v>2629.5</v>
      </c>
      <c r="G597">
        <v>11683</v>
      </c>
      <c r="H597" s="107"/>
      <c r="I597" s="107"/>
      <c r="L597" s="149">
        <v>42881</v>
      </c>
      <c r="M597" s="107">
        <v>526.27</v>
      </c>
      <c r="N597" s="107">
        <v>534.01</v>
      </c>
      <c r="O597" s="107">
        <v>514.04</v>
      </c>
      <c r="P597" s="107">
        <v>527.88</v>
      </c>
      <c r="Q597" s="107">
        <v>2631.35</v>
      </c>
      <c r="R597">
        <v>118527</v>
      </c>
    </row>
    <row r="598" spans="1:18" x14ac:dyDescent="0.25">
      <c r="A598" s="149">
        <v>42884</v>
      </c>
      <c r="B598" s="107">
        <v>532.15</v>
      </c>
      <c r="C598" s="107">
        <v>524.24</v>
      </c>
      <c r="D598" s="107">
        <v>518.31999999999994</v>
      </c>
      <c r="E598" s="107">
        <v>529.79999999999995</v>
      </c>
      <c r="F598" s="107">
        <v>2621.1999999999998</v>
      </c>
      <c r="G598">
        <v>4685</v>
      </c>
      <c r="H598" s="107"/>
      <c r="I598" s="107"/>
      <c r="L598" s="149">
        <v>42884</v>
      </c>
      <c r="M598" s="107">
        <v>524</v>
      </c>
      <c r="N598" s="107">
        <v>532.11</v>
      </c>
      <c r="O598" s="107">
        <v>518</v>
      </c>
      <c r="P598" s="107">
        <v>522</v>
      </c>
      <c r="Q598" s="107">
        <v>2620</v>
      </c>
      <c r="R598">
        <v>62984</v>
      </c>
    </row>
    <row r="599" spans="1:18" x14ac:dyDescent="0.25">
      <c r="A599" s="149">
        <v>42885</v>
      </c>
      <c r="B599" s="107">
        <v>547.20000000000005</v>
      </c>
      <c r="C599" s="107">
        <v>545.5</v>
      </c>
      <c r="D599" s="107">
        <v>521.18999999999994</v>
      </c>
      <c r="E599" s="107">
        <v>521.18999999999994</v>
      </c>
      <c r="F599" s="107">
        <v>2727.5</v>
      </c>
      <c r="G599">
        <v>11759</v>
      </c>
      <c r="H599" s="107"/>
      <c r="I599" s="107"/>
      <c r="L599" s="149">
        <v>42885</v>
      </c>
      <c r="M599" s="107">
        <v>545.54</v>
      </c>
      <c r="N599" s="107">
        <v>547.58000000000004</v>
      </c>
      <c r="O599" s="107">
        <v>521</v>
      </c>
      <c r="P599" s="107">
        <v>522.96</v>
      </c>
      <c r="Q599" s="107">
        <v>2727.7</v>
      </c>
      <c r="R599">
        <v>124961</v>
      </c>
    </row>
    <row r="600" spans="1:18" x14ac:dyDescent="0.25">
      <c r="A600" s="149">
        <v>42886</v>
      </c>
      <c r="B600" s="107">
        <v>550.4</v>
      </c>
      <c r="C600" s="107">
        <v>542.54999999999995</v>
      </c>
      <c r="D600" s="107">
        <v>534</v>
      </c>
      <c r="E600" s="107">
        <v>548</v>
      </c>
      <c r="F600" s="107">
        <v>2712.75</v>
      </c>
      <c r="G600">
        <v>15162</v>
      </c>
      <c r="H600" s="107"/>
      <c r="I600" s="107"/>
      <c r="L600" s="149">
        <v>42886</v>
      </c>
      <c r="M600" s="107">
        <v>542.75</v>
      </c>
      <c r="N600" s="107">
        <v>550.4</v>
      </c>
      <c r="O600" s="107">
        <v>533.72</v>
      </c>
      <c r="P600" s="107">
        <v>546.79999999999995</v>
      </c>
      <c r="Q600" s="107">
        <v>2713.75</v>
      </c>
      <c r="R600">
        <v>170189</v>
      </c>
    </row>
    <row r="601" spans="1:18" x14ac:dyDescent="0.25">
      <c r="A601" s="149">
        <v>42887</v>
      </c>
      <c r="B601" s="107">
        <v>551.41000000000008</v>
      </c>
      <c r="C601" s="107">
        <v>547.65</v>
      </c>
      <c r="D601" s="107">
        <v>542.58000000000004</v>
      </c>
      <c r="E601" s="107">
        <v>542.79999999999995</v>
      </c>
      <c r="F601" s="107">
        <v>2738.25</v>
      </c>
      <c r="G601">
        <v>19088</v>
      </c>
      <c r="H601" s="107"/>
      <c r="I601" s="107"/>
      <c r="L601" s="149">
        <v>42887</v>
      </c>
      <c r="M601" s="107">
        <v>549.08999999999992</v>
      </c>
      <c r="N601" s="107">
        <v>551.79999999999995</v>
      </c>
      <c r="O601" s="107">
        <v>535.75</v>
      </c>
      <c r="P601" s="107">
        <v>539.01</v>
      </c>
      <c r="Q601" s="107">
        <v>2745.45</v>
      </c>
      <c r="R601">
        <v>94569</v>
      </c>
    </row>
    <row r="602" spans="1:18" x14ac:dyDescent="0.25">
      <c r="A602" s="149">
        <v>42888</v>
      </c>
      <c r="B602" s="107">
        <v>551.79999999999995</v>
      </c>
      <c r="C602" s="107">
        <v>544.66000000000008</v>
      </c>
      <c r="D602" s="107">
        <v>543</v>
      </c>
      <c r="E602" s="107">
        <v>551.20000000000005</v>
      </c>
      <c r="F602" s="107">
        <v>2723.3</v>
      </c>
      <c r="G602">
        <v>4396</v>
      </c>
      <c r="H602" s="107"/>
      <c r="I602" s="107"/>
      <c r="L602" s="149">
        <v>42888</v>
      </c>
      <c r="M602" s="107">
        <v>545.31999999999994</v>
      </c>
      <c r="N602" s="107">
        <v>552.99</v>
      </c>
      <c r="O602" s="107">
        <v>544</v>
      </c>
      <c r="P602" s="107">
        <v>552.79999999999995</v>
      </c>
      <c r="Q602" s="107">
        <v>2726.6</v>
      </c>
      <c r="R602">
        <v>48890</v>
      </c>
    </row>
    <row r="603" spans="1:18" x14ac:dyDescent="0.25">
      <c r="A603" s="149">
        <v>42891</v>
      </c>
      <c r="B603" s="107">
        <v>560.06000000000006</v>
      </c>
      <c r="C603" s="107">
        <v>555.22</v>
      </c>
      <c r="D603" s="107">
        <v>547.16999999999996</v>
      </c>
      <c r="E603" s="107">
        <v>550</v>
      </c>
      <c r="F603" s="107">
        <v>2776.1</v>
      </c>
      <c r="G603">
        <v>13894</v>
      </c>
      <c r="H603" s="107"/>
      <c r="I603" s="107"/>
      <c r="L603" s="149">
        <v>42891</v>
      </c>
      <c r="M603" s="107">
        <v>556.99</v>
      </c>
      <c r="N603" s="107">
        <v>560</v>
      </c>
      <c r="O603" s="107">
        <v>547</v>
      </c>
      <c r="P603" s="107">
        <v>550.4</v>
      </c>
      <c r="Q603" s="107">
        <v>2784.95</v>
      </c>
      <c r="R603">
        <v>99492</v>
      </c>
    </row>
    <row r="604" spans="1:18" x14ac:dyDescent="0.25">
      <c r="A604" s="149">
        <v>42892</v>
      </c>
      <c r="B604" s="107">
        <v>559.46</v>
      </c>
      <c r="C604" s="107">
        <v>553.26</v>
      </c>
      <c r="D604" s="107">
        <v>547</v>
      </c>
      <c r="E604" s="107">
        <v>558.6</v>
      </c>
      <c r="F604" s="107">
        <v>2766.3</v>
      </c>
      <c r="G604">
        <v>5628</v>
      </c>
      <c r="H604" s="107"/>
      <c r="I604" s="107"/>
      <c r="L604" s="149">
        <v>42892</v>
      </c>
      <c r="M604" s="107">
        <v>553.81999999999994</v>
      </c>
      <c r="N604" s="107">
        <v>559.96</v>
      </c>
      <c r="O604" s="107">
        <v>546.79999999999995</v>
      </c>
      <c r="P604" s="107">
        <v>555.4</v>
      </c>
      <c r="Q604" s="107">
        <v>2769.1</v>
      </c>
      <c r="R604">
        <v>46533</v>
      </c>
    </row>
    <row r="605" spans="1:18" x14ac:dyDescent="0.25">
      <c r="A605" s="149">
        <v>42893</v>
      </c>
      <c r="B605" s="107">
        <v>589</v>
      </c>
      <c r="C605" s="107">
        <v>582.18000000000006</v>
      </c>
      <c r="D605" s="107">
        <v>553.18999999999994</v>
      </c>
      <c r="E605" s="107">
        <v>553.9</v>
      </c>
      <c r="F605" s="107">
        <v>2910.9</v>
      </c>
      <c r="G605">
        <v>33964</v>
      </c>
      <c r="H605" s="107"/>
      <c r="I605" s="107"/>
      <c r="L605" s="149">
        <v>42893</v>
      </c>
      <c r="M605" s="107">
        <v>581.65</v>
      </c>
      <c r="N605" s="107">
        <v>589.41000000000008</v>
      </c>
      <c r="O605" s="107">
        <v>553.16999999999996</v>
      </c>
      <c r="P605" s="107">
        <v>554.4</v>
      </c>
      <c r="Q605" s="107">
        <v>2908.25</v>
      </c>
      <c r="R605">
        <v>375804</v>
      </c>
    </row>
    <row r="606" spans="1:18" x14ac:dyDescent="0.25">
      <c r="A606" s="149">
        <v>42894</v>
      </c>
      <c r="B606" s="107">
        <v>588.79999999999995</v>
      </c>
      <c r="C606" s="107">
        <v>578.81000000000006</v>
      </c>
      <c r="D606" s="107">
        <v>575.20000000000005</v>
      </c>
      <c r="E606" s="107">
        <v>588.79999999999995</v>
      </c>
      <c r="F606" s="107">
        <v>2894.05</v>
      </c>
      <c r="G606">
        <v>13315</v>
      </c>
      <c r="H606" s="107"/>
      <c r="I606" s="107"/>
      <c r="L606" s="149">
        <v>42894</v>
      </c>
      <c r="M606" s="107">
        <v>580.01</v>
      </c>
      <c r="N606" s="107">
        <v>588.01</v>
      </c>
      <c r="O606" s="107">
        <v>574</v>
      </c>
      <c r="P606" s="107">
        <v>587.6</v>
      </c>
      <c r="Q606" s="107">
        <v>2900.05</v>
      </c>
      <c r="R606">
        <v>152775</v>
      </c>
    </row>
    <row r="607" spans="1:18" x14ac:dyDescent="0.25">
      <c r="A607" s="149">
        <v>42895</v>
      </c>
      <c r="B607" s="107">
        <v>601.5</v>
      </c>
      <c r="C607" s="107">
        <v>597.65</v>
      </c>
      <c r="D607" s="107">
        <v>574.53</v>
      </c>
      <c r="E607" s="107">
        <v>578</v>
      </c>
      <c r="F607" s="107">
        <v>2988.25</v>
      </c>
      <c r="G607">
        <v>23335</v>
      </c>
      <c r="H607" s="107"/>
      <c r="I607" s="107"/>
      <c r="L607" s="149">
        <v>42895</v>
      </c>
      <c r="M607" s="107">
        <v>597.89</v>
      </c>
      <c r="N607" s="107">
        <v>602</v>
      </c>
      <c r="O607" s="107">
        <v>574.22</v>
      </c>
      <c r="P607" s="107">
        <v>581.76</v>
      </c>
      <c r="Q607" s="107">
        <v>2989.45</v>
      </c>
      <c r="R607">
        <v>199674</v>
      </c>
    </row>
    <row r="608" spans="1:18" x14ac:dyDescent="0.25">
      <c r="A608" s="149">
        <v>42898</v>
      </c>
      <c r="B608" s="107">
        <v>615.6</v>
      </c>
      <c r="C608" s="107">
        <v>605.21</v>
      </c>
      <c r="D608" s="107">
        <v>597.81999999999994</v>
      </c>
      <c r="E608" s="107">
        <v>599</v>
      </c>
      <c r="F608" s="107">
        <v>3026.05</v>
      </c>
      <c r="G608">
        <v>39194</v>
      </c>
      <c r="H608" s="107"/>
      <c r="I608" s="107"/>
      <c r="L608" s="149">
        <v>42898</v>
      </c>
      <c r="M608" s="107">
        <v>604.96</v>
      </c>
      <c r="N608" s="107">
        <v>615.20000000000005</v>
      </c>
      <c r="O608" s="107">
        <v>597.38</v>
      </c>
      <c r="P608" s="107">
        <v>597.4</v>
      </c>
      <c r="Q608" s="107">
        <v>3024.8</v>
      </c>
      <c r="R608">
        <v>299499</v>
      </c>
    </row>
    <row r="609" spans="1:18" x14ac:dyDescent="0.25">
      <c r="A609" s="149">
        <v>42899</v>
      </c>
      <c r="B609" s="107">
        <v>618.73</v>
      </c>
      <c r="C609" s="107">
        <v>610.47</v>
      </c>
      <c r="D609" s="107">
        <v>605</v>
      </c>
      <c r="E609" s="107">
        <v>616</v>
      </c>
      <c r="F609" s="107">
        <v>3052.35</v>
      </c>
      <c r="G609">
        <v>26627</v>
      </c>
      <c r="H609" s="107"/>
      <c r="I609" s="107"/>
      <c r="L609" s="149">
        <v>42899</v>
      </c>
      <c r="M609" s="107">
        <v>610.93999999999994</v>
      </c>
      <c r="N609" s="107">
        <v>619</v>
      </c>
      <c r="O609" s="107">
        <v>604.1</v>
      </c>
      <c r="P609" s="107">
        <v>604.79999999999995</v>
      </c>
      <c r="Q609" s="107">
        <v>3054.7</v>
      </c>
      <c r="R609">
        <v>150189</v>
      </c>
    </row>
    <row r="610" spans="1:18" x14ac:dyDescent="0.25">
      <c r="A610" s="149">
        <v>42900</v>
      </c>
      <c r="B610" s="107">
        <v>616.99</v>
      </c>
      <c r="C610" s="107">
        <v>612.25</v>
      </c>
      <c r="D610" s="107">
        <v>605.33999999999992</v>
      </c>
      <c r="E610" s="107">
        <v>614.76</v>
      </c>
      <c r="F610" s="107">
        <v>3061.25</v>
      </c>
      <c r="G610">
        <v>7836</v>
      </c>
      <c r="H610" s="107"/>
      <c r="I610" s="107"/>
      <c r="L610" s="149">
        <v>42900</v>
      </c>
      <c r="M610" s="107">
        <v>613.04</v>
      </c>
      <c r="N610" s="107">
        <v>616</v>
      </c>
      <c r="O610" s="107">
        <v>604.70000000000005</v>
      </c>
      <c r="P610" s="107">
        <v>611.22</v>
      </c>
      <c r="Q610" s="107">
        <v>3065.2</v>
      </c>
      <c r="R610">
        <v>84799</v>
      </c>
    </row>
    <row r="611" spans="1:18" x14ac:dyDescent="0.25">
      <c r="A611" s="149">
        <v>42901</v>
      </c>
      <c r="B611" s="107">
        <v>629.37</v>
      </c>
      <c r="C611" s="107">
        <v>625.88</v>
      </c>
      <c r="D611" s="107">
        <v>613</v>
      </c>
      <c r="E611" s="107">
        <v>613.56000000000006</v>
      </c>
      <c r="F611" s="107">
        <v>3129.4</v>
      </c>
      <c r="G611">
        <v>12937</v>
      </c>
      <c r="H611" s="107"/>
      <c r="I611" s="107"/>
      <c r="L611" s="149">
        <v>42901</v>
      </c>
      <c r="M611" s="107">
        <v>624.38</v>
      </c>
      <c r="N611" s="107">
        <v>629.79999999999995</v>
      </c>
      <c r="O611" s="107">
        <v>612.22</v>
      </c>
      <c r="P611" s="107">
        <v>614.79999999999995</v>
      </c>
      <c r="Q611" s="107">
        <v>3121.9</v>
      </c>
      <c r="R611">
        <v>158480</v>
      </c>
    </row>
    <row r="612" spans="1:18" x14ac:dyDescent="0.25">
      <c r="A612" s="149">
        <v>42902</v>
      </c>
      <c r="B612" s="107">
        <v>632.89</v>
      </c>
      <c r="C612" s="107">
        <v>628.74</v>
      </c>
      <c r="D612" s="107">
        <v>623.73</v>
      </c>
      <c r="E612" s="107">
        <v>627</v>
      </c>
      <c r="F612" s="107">
        <v>3143.7</v>
      </c>
      <c r="G612">
        <v>13144</v>
      </c>
      <c r="H612" s="107"/>
      <c r="I612" s="107"/>
      <c r="L612" s="149">
        <v>42902</v>
      </c>
      <c r="M612" s="107">
        <v>628.24</v>
      </c>
      <c r="N612" s="107">
        <v>632.91999999999996</v>
      </c>
      <c r="O612" s="107">
        <v>624.4</v>
      </c>
      <c r="P612" s="107">
        <v>628</v>
      </c>
      <c r="Q612" s="107">
        <v>3141.2</v>
      </c>
      <c r="R612">
        <v>102674</v>
      </c>
    </row>
    <row r="613" spans="1:18" x14ac:dyDescent="0.25">
      <c r="A613" s="149">
        <v>42905</v>
      </c>
      <c r="B613" s="107">
        <v>639</v>
      </c>
      <c r="C613" s="107">
        <v>626.54999999999995</v>
      </c>
      <c r="D613" s="107">
        <v>624.01</v>
      </c>
      <c r="E613" s="107">
        <v>639</v>
      </c>
      <c r="F613" s="107">
        <v>3132.75</v>
      </c>
      <c r="G613">
        <v>7931</v>
      </c>
      <c r="H613" s="107"/>
      <c r="I613" s="107"/>
      <c r="L613" s="149">
        <v>42905</v>
      </c>
      <c r="M613" s="107">
        <v>627.27</v>
      </c>
      <c r="N613" s="107">
        <v>634</v>
      </c>
      <c r="O613" s="107">
        <v>623.41000000000008</v>
      </c>
      <c r="P613" s="107">
        <v>634</v>
      </c>
      <c r="Q613" s="107">
        <v>3136.35</v>
      </c>
      <c r="R613">
        <v>73387</v>
      </c>
    </row>
    <row r="614" spans="1:18" x14ac:dyDescent="0.25">
      <c r="A614" s="149">
        <v>42906</v>
      </c>
      <c r="B614" s="107">
        <v>643.53</v>
      </c>
      <c r="C614" s="107">
        <v>640.51</v>
      </c>
      <c r="D614" s="107">
        <v>624.47</v>
      </c>
      <c r="E614" s="107">
        <v>628.21</v>
      </c>
      <c r="F614" s="107">
        <v>3202.55</v>
      </c>
      <c r="G614">
        <v>14062</v>
      </c>
      <c r="H614" s="107"/>
      <c r="I614" s="107"/>
      <c r="L614" s="149">
        <v>42906</v>
      </c>
      <c r="M614" s="107">
        <v>639.93999999999994</v>
      </c>
      <c r="N614" s="107">
        <v>643.6</v>
      </c>
      <c r="O614" s="107">
        <v>624.01</v>
      </c>
      <c r="P614" s="107">
        <v>629</v>
      </c>
      <c r="Q614" s="107">
        <v>3199.7</v>
      </c>
      <c r="R614">
        <v>160263</v>
      </c>
    </row>
    <row r="615" spans="1:18" x14ac:dyDescent="0.25">
      <c r="A615" s="149">
        <v>42907</v>
      </c>
      <c r="B615" s="107">
        <v>659.97</v>
      </c>
      <c r="C615" s="107">
        <v>651.91000000000008</v>
      </c>
      <c r="D615" s="107">
        <v>638.37</v>
      </c>
      <c r="E615" s="107">
        <v>645</v>
      </c>
      <c r="F615" s="107">
        <v>3259.55</v>
      </c>
      <c r="G615">
        <v>21855</v>
      </c>
      <c r="H615" s="107"/>
      <c r="I615" s="107"/>
      <c r="L615" s="149">
        <v>42907</v>
      </c>
      <c r="M615" s="107">
        <v>651.93999999999994</v>
      </c>
      <c r="N615" s="107">
        <v>660</v>
      </c>
      <c r="O615" s="107">
        <v>638</v>
      </c>
      <c r="P615" s="107">
        <v>639.79999999999995</v>
      </c>
      <c r="Q615" s="107">
        <v>3259.7</v>
      </c>
      <c r="R615">
        <v>238946</v>
      </c>
    </row>
    <row r="616" spans="1:18" x14ac:dyDescent="0.25">
      <c r="A616" s="149">
        <v>42908</v>
      </c>
      <c r="B616" s="107">
        <v>666.6</v>
      </c>
      <c r="C616" s="107">
        <v>649.97</v>
      </c>
      <c r="D616" s="107">
        <v>645.81000000000006</v>
      </c>
      <c r="E616" s="107">
        <v>656.61</v>
      </c>
      <c r="F616" s="107">
        <v>3249.85</v>
      </c>
      <c r="G616">
        <v>19634</v>
      </c>
      <c r="H616" s="107"/>
      <c r="I616" s="107"/>
      <c r="L616" s="149">
        <v>42908</v>
      </c>
      <c r="M616" s="107">
        <v>650.95000000000005</v>
      </c>
      <c r="N616" s="107">
        <v>666</v>
      </c>
      <c r="O616" s="107">
        <v>646</v>
      </c>
      <c r="P616" s="107">
        <v>658.38</v>
      </c>
      <c r="Q616" s="107">
        <v>3254.75</v>
      </c>
      <c r="R616">
        <v>225633</v>
      </c>
    </row>
    <row r="617" spans="1:18" x14ac:dyDescent="0.25">
      <c r="A617" s="149">
        <v>42909</v>
      </c>
      <c r="B617" s="107">
        <v>656.7</v>
      </c>
      <c r="C617" s="107">
        <v>636.46</v>
      </c>
      <c r="D617" s="107">
        <v>619.06000000000006</v>
      </c>
      <c r="E617" s="107">
        <v>656</v>
      </c>
      <c r="F617" s="107">
        <v>3182.3</v>
      </c>
      <c r="G617">
        <v>35376</v>
      </c>
      <c r="H617" s="107"/>
      <c r="I617" s="107"/>
      <c r="L617" s="149">
        <v>42909</v>
      </c>
      <c r="M617" s="107">
        <v>636.49</v>
      </c>
      <c r="N617" s="107">
        <v>658</v>
      </c>
      <c r="O617" s="107">
        <v>618.66000000000008</v>
      </c>
      <c r="P617" s="107">
        <v>656.12</v>
      </c>
      <c r="Q617" s="107">
        <v>3182.45</v>
      </c>
      <c r="R617">
        <v>396557</v>
      </c>
    </row>
    <row r="618" spans="1:18" x14ac:dyDescent="0.25">
      <c r="A618" s="149">
        <v>42913</v>
      </c>
      <c r="B618" s="107">
        <v>642</v>
      </c>
      <c r="C618" s="107">
        <v>613.37</v>
      </c>
      <c r="D618" s="107">
        <v>609.31000000000006</v>
      </c>
      <c r="E618" s="107">
        <v>641.79999999999995</v>
      </c>
      <c r="F618" s="107">
        <v>3066.85</v>
      </c>
      <c r="G618">
        <v>18155</v>
      </c>
      <c r="H618" s="107"/>
      <c r="I618" s="107"/>
      <c r="L618" s="149">
        <v>42913</v>
      </c>
      <c r="M618" s="107">
        <v>613.25</v>
      </c>
      <c r="N618" s="107">
        <v>635.39</v>
      </c>
      <c r="O618" s="107">
        <v>609.01</v>
      </c>
      <c r="P618" s="107">
        <v>632.01</v>
      </c>
      <c r="Q618" s="107">
        <v>3066.25</v>
      </c>
      <c r="R618">
        <v>147605</v>
      </c>
    </row>
    <row r="619" spans="1:18" x14ac:dyDescent="0.25">
      <c r="A619" s="149">
        <v>42914</v>
      </c>
      <c r="B619" s="107">
        <v>626.41000000000008</v>
      </c>
      <c r="C619" s="107">
        <v>621.65</v>
      </c>
      <c r="D619" s="107">
        <v>601.13</v>
      </c>
      <c r="E619" s="107">
        <v>610.20000000000005</v>
      </c>
      <c r="F619" s="107">
        <v>3108.25</v>
      </c>
      <c r="G619">
        <v>23715</v>
      </c>
      <c r="H619" s="107"/>
      <c r="I619" s="107"/>
      <c r="L619" s="149">
        <v>42914</v>
      </c>
      <c r="M619" s="107">
        <v>621.87</v>
      </c>
      <c r="N619" s="107">
        <v>625</v>
      </c>
      <c r="O619" s="107">
        <v>600</v>
      </c>
      <c r="P619" s="107">
        <v>607</v>
      </c>
      <c r="Q619" s="107">
        <v>3109.35</v>
      </c>
      <c r="R619">
        <v>187811</v>
      </c>
    </row>
    <row r="620" spans="1:18" x14ac:dyDescent="0.25">
      <c r="A620" s="149">
        <v>42915</v>
      </c>
      <c r="B620" s="107">
        <v>640</v>
      </c>
      <c r="C620" s="107">
        <v>637.91999999999996</v>
      </c>
      <c r="D620" s="107">
        <v>625.83000000000004</v>
      </c>
      <c r="E620" s="107">
        <v>627</v>
      </c>
      <c r="F620" s="107">
        <v>3189.6</v>
      </c>
      <c r="G620">
        <v>16931</v>
      </c>
      <c r="H620" s="107"/>
      <c r="I620" s="107"/>
      <c r="L620" s="149">
        <v>42915</v>
      </c>
      <c r="M620" s="107">
        <v>638.78</v>
      </c>
      <c r="N620" s="107">
        <v>641.6</v>
      </c>
      <c r="O620" s="107">
        <v>624.4</v>
      </c>
      <c r="P620" s="107">
        <v>627.74</v>
      </c>
      <c r="Q620" s="107">
        <v>3193.9</v>
      </c>
      <c r="R620">
        <v>208776</v>
      </c>
    </row>
    <row r="621" spans="1:18" x14ac:dyDescent="0.25">
      <c r="A621" s="149">
        <v>42916</v>
      </c>
      <c r="B621" s="107">
        <v>647.24</v>
      </c>
      <c r="C621" s="107">
        <v>644.85</v>
      </c>
      <c r="D621" s="107">
        <v>628.41999999999996</v>
      </c>
      <c r="E621" s="107">
        <v>633.47</v>
      </c>
      <c r="F621" s="107">
        <v>3224.25</v>
      </c>
      <c r="G621">
        <v>14830</v>
      </c>
      <c r="H621" s="107"/>
      <c r="I621" s="107"/>
      <c r="L621" s="149">
        <v>42916</v>
      </c>
      <c r="M621" s="107">
        <v>646.51</v>
      </c>
      <c r="N621" s="107">
        <v>648.18000000000006</v>
      </c>
      <c r="O621" s="107">
        <v>627.93999999999994</v>
      </c>
      <c r="P621" s="107">
        <v>633</v>
      </c>
      <c r="Q621" s="107">
        <v>3232.55</v>
      </c>
      <c r="R621">
        <v>174848</v>
      </c>
    </row>
    <row r="622" spans="1:18" x14ac:dyDescent="0.25">
      <c r="A622" s="149">
        <v>42919</v>
      </c>
      <c r="B622" s="107">
        <v>649.33999999999992</v>
      </c>
      <c r="C622" s="107">
        <v>642.41999999999996</v>
      </c>
      <c r="D622" s="107">
        <v>640.12</v>
      </c>
      <c r="E622" s="107">
        <v>646.51</v>
      </c>
      <c r="F622" s="107">
        <v>3212.1</v>
      </c>
      <c r="G622">
        <v>13116</v>
      </c>
      <c r="H622" s="107"/>
      <c r="I622" s="107"/>
      <c r="L622" s="149">
        <v>42919</v>
      </c>
      <c r="M622" s="107">
        <v>643.81000000000006</v>
      </c>
      <c r="N622" s="107">
        <v>649.79999999999995</v>
      </c>
      <c r="O622" s="107">
        <v>640</v>
      </c>
      <c r="P622" s="107">
        <v>645.4</v>
      </c>
      <c r="Q622" s="107">
        <v>3219.05</v>
      </c>
      <c r="R622">
        <v>95066</v>
      </c>
    </row>
    <row r="623" spans="1:18" x14ac:dyDescent="0.25">
      <c r="A623" s="149">
        <v>42920</v>
      </c>
      <c r="B623" s="107">
        <v>651.38</v>
      </c>
      <c r="C623" s="107">
        <v>638.62</v>
      </c>
      <c r="D623" s="107">
        <v>636.6</v>
      </c>
      <c r="E623" s="107">
        <v>643.01</v>
      </c>
      <c r="F623" s="107">
        <v>3193.1</v>
      </c>
      <c r="G623">
        <v>11814</v>
      </c>
      <c r="H623" s="107"/>
      <c r="I623" s="107"/>
      <c r="L623" s="149">
        <v>42920</v>
      </c>
      <c r="M623" s="107">
        <v>640.28</v>
      </c>
      <c r="N623" s="107">
        <v>651.18000000000006</v>
      </c>
      <c r="O623" s="107">
        <v>637</v>
      </c>
      <c r="P623" s="107">
        <v>644</v>
      </c>
      <c r="Q623" s="107">
        <v>3201.4</v>
      </c>
      <c r="R623">
        <v>86806</v>
      </c>
    </row>
    <row r="624" spans="1:18" x14ac:dyDescent="0.25">
      <c r="A624" s="149">
        <v>42921</v>
      </c>
      <c r="B624" s="107">
        <v>655</v>
      </c>
      <c r="C624" s="107">
        <v>646.41999999999996</v>
      </c>
      <c r="D624" s="107">
        <v>637.31000000000006</v>
      </c>
      <c r="E624" s="107">
        <v>640.23</v>
      </c>
      <c r="F624" s="107">
        <v>3232.1</v>
      </c>
      <c r="G624">
        <v>10582</v>
      </c>
      <c r="H624" s="107"/>
      <c r="I624" s="107"/>
      <c r="L624" s="149">
        <v>42921</v>
      </c>
      <c r="M624" s="107">
        <v>646.14</v>
      </c>
      <c r="N624" s="107">
        <v>655.74</v>
      </c>
      <c r="O624" s="107">
        <v>636.4</v>
      </c>
      <c r="P624" s="107">
        <v>643.4</v>
      </c>
      <c r="Q624" s="107">
        <v>3230.7</v>
      </c>
      <c r="R624">
        <v>137463</v>
      </c>
    </row>
    <row r="625" spans="1:18" x14ac:dyDescent="0.25">
      <c r="A625" s="149">
        <v>42922</v>
      </c>
      <c r="B625" s="107">
        <v>653.5</v>
      </c>
      <c r="C625" s="107">
        <v>643.83000000000004</v>
      </c>
      <c r="D625" s="107">
        <v>641.99</v>
      </c>
      <c r="E625" s="107">
        <v>647.79</v>
      </c>
      <c r="F625" s="107">
        <v>3219.15</v>
      </c>
      <c r="G625">
        <v>9130</v>
      </c>
      <c r="H625" s="107"/>
      <c r="I625" s="107"/>
      <c r="L625" s="149">
        <v>42922</v>
      </c>
      <c r="M625" s="107">
        <v>644.93999999999994</v>
      </c>
      <c r="N625" s="107">
        <v>653.99</v>
      </c>
      <c r="O625" s="107">
        <v>642</v>
      </c>
      <c r="P625" s="107">
        <v>646</v>
      </c>
      <c r="Q625" s="107">
        <v>3224.7</v>
      </c>
      <c r="R625">
        <v>72483</v>
      </c>
    </row>
    <row r="626" spans="1:18" x14ac:dyDescent="0.25">
      <c r="A626" s="149">
        <v>42923</v>
      </c>
      <c r="B626" s="107">
        <v>656.01</v>
      </c>
      <c r="C626" s="107">
        <v>650.33000000000004</v>
      </c>
      <c r="D626" s="107">
        <v>645.76</v>
      </c>
      <c r="E626" s="107">
        <v>645.81999999999994</v>
      </c>
      <c r="F626" s="107">
        <v>3251.65</v>
      </c>
      <c r="G626">
        <v>16865</v>
      </c>
      <c r="H626" s="107"/>
      <c r="I626" s="107"/>
      <c r="L626" s="149">
        <v>42923</v>
      </c>
      <c r="M626" s="107">
        <v>650.61</v>
      </c>
      <c r="N626" s="107">
        <v>656.72</v>
      </c>
      <c r="O626" s="107">
        <v>643.36</v>
      </c>
      <c r="P626" s="107">
        <v>644.4</v>
      </c>
      <c r="Q626" s="107">
        <v>3253.05</v>
      </c>
      <c r="R626">
        <v>97341</v>
      </c>
    </row>
    <row r="627" spans="1:18" x14ac:dyDescent="0.25">
      <c r="A627" s="149">
        <v>42926</v>
      </c>
      <c r="B627" s="107">
        <v>665</v>
      </c>
      <c r="C627" s="107">
        <v>646.04</v>
      </c>
      <c r="D627" s="107">
        <v>634</v>
      </c>
      <c r="E627" s="107">
        <v>660</v>
      </c>
      <c r="F627" s="107">
        <v>3230.2</v>
      </c>
      <c r="G627">
        <v>29779</v>
      </c>
      <c r="H627" s="107"/>
      <c r="I627" s="107"/>
      <c r="L627" s="149">
        <v>42926</v>
      </c>
      <c r="M627" s="107">
        <v>648.91000000000008</v>
      </c>
      <c r="N627" s="107">
        <v>656.48</v>
      </c>
      <c r="O627" s="107">
        <v>602.02</v>
      </c>
      <c r="P627" s="107">
        <v>640</v>
      </c>
      <c r="Q627" s="107">
        <v>3244.55</v>
      </c>
      <c r="R627">
        <v>27690</v>
      </c>
    </row>
    <row r="628" spans="1:18" x14ac:dyDescent="0.25">
      <c r="A628" s="149">
        <v>42927</v>
      </c>
      <c r="B628" s="107">
        <v>653.52</v>
      </c>
      <c r="C628" s="107">
        <v>640.41999999999996</v>
      </c>
      <c r="D628" s="107">
        <v>638.51</v>
      </c>
      <c r="E628" s="107">
        <v>651.1</v>
      </c>
      <c r="F628" s="107">
        <v>3202.1</v>
      </c>
      <c r="G628">
        <v>8496</v>
      </c>
      <c r="H628" s="107"/>
      <c r="I628" s="107"/>
      <c r="L628" s="149">
        <v>42927</v>
      </c>
      <c r="M628" s="107">
        <v>642.20000000000005</v>
      </c>
      <c r="N628" s="107">
        <v>653.99</v>
      </c>
      <c r="O628" s="107">
        <v>640</v>
      </c>
      <c r="P628" s="107">
        <v>651.78</v>
      </c>
      <c r="Q628" s="107">
        <v>3211</v>
      </c>
      <c r="R628">
        <v>54935</v>
      </c>
    </row>
    <row r="629" spans="1:18" x14ac:dyDescent="0.25">
      <c r="A629" s="149">
        <v>42928</v>
      </c>
      <c r="B629" s="107">
        <v>647.20000000000005</v>
      </c>
      <c r="C629" s="107">
        <v>641.03</v>
      </c>
      <c r="D629" s="107">
        <v>638.01</v>
      </c>
      <c r="E629" s="107">
        <v>638.01</v>
      </c>
      <c r="F629" s="107">
        <v>3205.15</v>
      </c>
      <c r="G629">
        <v>6488</v>
      </c>
      <c r="H629" s="107"/>
      <c r="I629" s="107"/>
      <c r="L629" s="149">
        <v>42928</v>
      </c>
      <c r="M629" s="107">
        <v>640.31000000000006</v>
      </c>
      <c r="N629" s="107">
        <v>647.89</v>
      </c>
      <c r="O629" s="107">
        <v>637.56000000000006</v>
      </c>
      <c r="P629" s="107">
        <v>644.4</v>
      </c>
      <c r="Q629" s="107">
        <v>3201.55</v>
      </c>
      <c r="R629">
        <v>66837</v>
      </c>
    </row>
    <row r="630" spans="1:18" x14ac:dyDescent="0.25">
      <c r="A630" s="149">
        <v>42929</v>
      </c>
      <c r="B630" s="107">
        <v>647.52</v>
      </c>
      <c r="C630" s="107">
        <v>640.21</v>
      </c>
      <c r="D630" s="107">
        <v>637.75</v>
      </c>
      <c r="E630" s="107">
        <v>643.93000000000006</v>
      </c>
      <c r="F630" s="107">
        <v>3201.05</v>
      </c>
      <c r="G630">
        <v>5399</v>
      </c>
      <c r="H630" s="107"/>
      <c r="I630" s="107"/>
      <c r="L630" s="149">
        <v>42929</v>
      </c>
      <c r="M630" s="107">
        <v>641.20000000000005</v>
      </c>
      <c r="N630" s="107">
        <v>647.78</v>
      </c>
      <c r="O630" s="107">
        <v>638.11</v>
      </c>
      <c r="P630" s="107">
        <v>644</v>
      </c>
      <c r="Q630" s="107">
        <v>3206</v>
      </c>
      <c r="R630">
        <v>72431</v>
      </c>
    </row>
    <row r="631" spans="1:18" x14ac:dyDescent="0.25">
      <c r="A631" s="149">
        <v>42930</v>
      </c>
      <c r="B631" s="107">
        <v>649</v>
      </c>
      <c r="C631" s="107">
        <v>640</v>
      </c>
      <c r="D631" s="107">
        <v>637</v>
      </c>
      <c r="E631" s="107">
        <v>640.81999999999994</v>
      </c>
      <c r="F631" s="107">
        <v>3200</v>
      </c>
      <c r="G631">
        <v>5406</v>
      </c>
      <c r="H631" s="107"/>
      <c r="I631" s="107"/>
      <c r="L631" s="149">
        <v>42930</v>
      </c>
      <c r="M631" s="107">
        <v>641.21</v>
      </c>
      <c r="N631" s="107">
        <v>649</v>
      </c>
      <c r="O631" s="107">
        <v>637</v>
      </c>
      <c r="P631" s="107">
        <v>640</v>
      </c>
      <c r="Q631" s="107">
        <v>3206.05</v>
      </c>
      <c r="R631">
        <v>105990</v>
      </c>
    </row>
    <row r="632" spans="1:18" x14ac:dyDescent="0.25">
      <c r="A632" s="149">
        <v>42933</v>
      </c>
      <c r="B632" s="107">
        <v>645</v>
      </c>
      <c r="C632" s="107">
        <v>638.16000000000008</v>
      </c>
      <c r="D632" s="107">
        <v>636.5</v>
      </c>
      <c r="E632" s="107">
        <v>644</v>
      </c>
      <c r="F632" s="107">
        <v>3190.8</v>
      </c>
      <c r="G632">
        <v>8773</v>
      </c>
      <c r="H632" s="107"/>
      <c r="I632" s="107"/>
      <c r="L632" s="149">
        <v>42933</v>
      </c>
      <c r="M632" s="107">
        <v>638.98</v>
      </c>
      <c r="N632" s="107">
        <v>645.81000000000006</v>
      </c>
      <c r="O632" s="107">
        <v>637</v>
      </c>
      <c r="P632" s="107">
        <v>644</v>
      </c>
      <c r="Q632" s="107">
        <v>3194.9</v>
      </c>
      <c r="R632">
        <v>77932</v>
      </c>
    </row>
    <row r="633" spans="1:18" x14ac:dyDescent="0.25">
      <c r="A633" s="149">
        <v>42934</v>
      </c>
      <c r="B633" s="107">
        <v>649.79999999999995</v>
      </c>
      <c r="C633" s="107">
        <v>632.43999999999994</v>
      </c>
      <c r="D633" s="107">
        <v>629.11</v>
      </c>
      <c r="E633" s="107">
        <v>638.51</v>
      </c>
      <c r="F633" s="107">
        <v>3162.2</v>
      </c>
      <c r="G633">
        <v>11758</v>
      </c>
      <c r="H633" s="107"/>
      <c r="I633" s="107"/>
      <c r="L633" s="149">
        <v>42934</v>
      </c>
      <c r="M633" s="107">
        <v>632.26</v>
      </c>
      <c r="N633" s="107">
        <v>650.56999999999994</v>
      </c>
      <c r="O633" s="107">
        <v>628.81999999999994</v>
      </c>
      <c r="P633" s="107">
        <v>637.96</v>
      </c>
      <c r="Q633" s="107">
        <v>3161.3</v>
      </c>
      <c r="R633">
        <v>174482</v>
      </c>
    </row>
    <row r="634" spans="1:18" x14ac:dyDescent="0.25">
      <c r="A634" s="149">
        <v>42935</v>
      </c>
      <c r="B634" s="107">
        <v>638.6</v>
      </c>
      <c r="C634" s="107">
        <v>636.61</v>
      </c>
      <c r="D634" s="107">
        <v>624.4</v>
      </c>
      <c r="E634" s="107">
        <v>634.93999999999994</v>
      </c>
      <c r="F634" s="107">
        <v>3183.05</v>
      </c>
      <c r="G634">
        <v>6568</v>
      </c>
      <c r="H634" s="107"/>
      <c r="I634" s="107"/>
      <c r="L634" s="149">
        <v>42935</v>
      </c>
      <c r="M634" s="107">
        <v>636.6</v>
      </c>
      <c r="N634" s="107">
        <v>638.04999999999995</v>
      </c>
      <c r="O634" s="107">
        <v>624.39</v>
      </c>
      <c r="P634" s="107">
        <v>633.20000000000005</v>
      </c>
      <c r="Q634" s="107">
        <v>3183</v>
      </c>
      <c r="R634">
        <v>84597</v>
      </c>
    </row>
    <row r="635" spans="1:18" x14ac:dyDescent="0.25">
      <c r="A635" s="149">
        <v>42936</v>
      </c>
      <c r="B635" s="107">
        <v>645.79999999999995</v>
      </c>
      <c r="C635" s="107">
        <v>643.51</v>
      </c>
      <c r="D635" s="107">
        <v>636</v>
      </c>
      <c r="E635" s="107">
        <v>637.31999999999994</v>
      </c>
      <c r="F635" s="107">
        <v>3217.55</v>
      </c>
      <c r="G635">
        <v>6543</v>
      </c>
      <c r="H635" s="107"/>
      <c r="I635" s="107"/>
      <c r="L635" s="149">
        <v>42936</v>
      </c>
      <c r="M635" s="107">
        <v>643.43000000000006</v>
      </c>
      <c r="N635" s="107">
        <v>646.58000000000004</v>
      </c>
      <c r="O635" s="107">
        <v>636</v>
      </c>
      <c r="P635" s="107">
        <v>638.96</v>
      </c>
      <c r="Q635" s="107">
        <v>3217.15</v>
      </c>
      <c r="R635">
        <v>113440</v>
      </c>
    </row>
    <row r="636" spans="1:18" x14ac:dyDescent="0.25">
      <c r="A636" s="149">
        <v>42937</v>
      </c>
      <c r="B636" s="107">
        <v>648.79999999999995</v>
      </c>
      <c r="C636" s="107">
        <v>629.20000000000005</v>
      </c>
      <c r="D636" s="107">
        <v>625</v>
      </c>
      <c r="E636" s="107">
        <v>648.79999999999995</v>
      </c>
      <c r="F636" s="107">
        <v>3146</v>
      </c>
      <c r="G636">
        <v>33250</v>
      </c>
      <c r="H636" s="107"/>
      <c r="I636" s="107"/>
      <c r="L636" s="149">
        <v>42937</v>
      </c>
      <c r="M636" s="107">
        <v>628.99</v>
      </c>
      <c r="N636" s="107">
        <v>647.81999999999994</v>
      </c>
      <c r="O636" s="107">
        <v>625.73</v>
      </c>
      <c r="P636" s="107">
        <v>646.4</v>
      </c>
      <c r="Q636" s="107">
        <v>3144.95</v>
      </c>
      <c r="R636">
        <v>280666</v>
      </c>
    </row>
    <row r="637" spans="1:18" x14ac:dyDescent="0.25">
      <c r="A637" s="149">
        <v>42940</v>
      </c>
      <c r="B637" s="107">
        <v>647.99</v>
      </c>
      <c r="C637" s="107">
        <v>612.28</v>
      </c>
      <c r="D637" s="107">
        <v>607.6</v>
      </c>
      <c r="E637" s="107">
        <v>631</v>
      </c>
      <c r="F637" s="107">
        <v>3061.4</v>
      </c>
      <c r="G637">
        <v>25265</v>
      </c>
      <c r="H637" s="107"/>
      <c r="I637" s="107"/>
      <c r="L637" s="149">
        <v>42940</v>
      </c>
      <c r="M637" s="107">
        <v>611.56999999999994</v>
      </c>
      <c r="N637" s="107">
        <v>633.28</v>
      </c>
      <c r="O637" s="107">
        <v>608</v>
      </c>
      <c r="P637" s="107">
        <v>629.99</v>
      </c>
      <c r="Q637" s="107">
        <v>3057.85</v>
      </c>
      <c r="R637">
        <v>158894</v>
      </c>
    </row>
    <row r="638" spans="1:18" x14ac:dyDescent="0.25">
      <c r="A638" s="149">
        <v>42941</v>
      </c>
      <c r="B638" s="107">
        <v>620.20000000000005</v>
      </c>
      <c r="C638" s="107">
        <v>617.41000000000008</v>
      </c>
      <c r="D638" s="107">
        <v>609.6</v>
      </c>
      <c r="E638" s="107">
        <v>609.6</v>
      </c>
      <c r="F638" s="107">
        <v>3087.05</v>
      </c>
      <c r="G638">
        <v>10055</v>
      </c>
      <c r="H638" s="107"/>
      <c r="I638" s="107"/>
      <c r="L638" s="149">
        <v>42941</v>
      </c>
      <c r="M638" s="107">
        <v>617.37</v>
      </c>
      <c r="N638" s="107">
        <v>621.4</v>
      </c>
      <c r="O638" s="107">
        <v>607.93000000000006</v>
      </c>
      <c r="P638" s="107">
        <v>608</v>
      </c>
      <c r="Q638" s="107">
        <v>3086.85</v>
      </c>
      <c r="R638">
        <v>100114</v>
      </c>
    </row>
    <row r="639" spans="1:18" x14ac:dyDescent="0.25">
      <c r="A639" s="149">
        <v>42942</v>
      </c>
      <c r="B639" s="107">
        <v>619.97</v>
      </c>
      <c r="C639" s="107">
        <v>608.81999999999994</v>
      </c>
      <c r="D639" s="107">
        <v>606.24</v>
      </c>
      <c r="E639" s="107">
        <v>618.20000000000005</v>
      </c>
      <c r="F639" s="107">
        <v>3044.1</v>
      </c>
      <c r="G639">
        <v>14690</v>
      </c>
      <c r="H639" s="107"/>
      <c r="I639" s="107"/>
      <c r="L639" s="149">
        <v>42942</v>
      </c>
      <c r="M639" s="107">
        <v>609.9</v>
      </c>
      <c r="N639" s="107">
        <v>618.6</v>
      </c>
      <c r="O639" s="107">
        <v>607</v>
      </c>
      <c r="P639" s="107">
        <v>617.4</v>
      </c>
      <c r="Q639" s="107">
        <v>3049.5</v>
      </c>
      <c r="R639">
        <v>85282</v>
      </c>
    </row>
    <row r="640" spans="1:18" x14ac:dyDescent="0.25">
      <c r="A640" s="149">
        <v>42943</v>
      </c>
      <c r="B640" s="107">
        <v>630</v>
      </c>
      <c r="C640" s="107">
        <v>622.18000000000006</v>
      </c>
      <c r="D640" s="107">
        <v>608.20000000000005</v>
      </c>
      <c r="E640" s="107">
        <v>609.95000000000005</v>
      </c>
      <c r="F640" s="107">
        <v>3110.9</v>
      </c>
      <c r="G640">
        <v>12296</v>
      </c>
      <c r="H640" s="107"/>
      <c r="I640" s="107"/>
      <c r="L640" s="149">
        <v>42943</v>
      </c>
      <c r="M640" s="107">
        <v>623.02</v>
      </c>
      <c r="N640" s="107">
        <v>631</v>
      </c>
      <c r="O640" s="107">
        <v>608.02</v>
      </c>
      <c r="P640" s="107">
        <v>614.95000000000005</v>
      </c>
      <c r="Q640" s="107">
        <v>3115.1</v>
      </c>
      <c r="R640">
        <v>164132</v>
      </c>
    </row>
    <row r="641" spans="1:18" x14ac:dyDescent="0.25">
      <c r="A641" s="149">
        <v>42944</v>
      </c>
      <c r="B641" s="107">
        <v>626.79999999999995</v>
      </c>
      <c r="C641" s="107">
        <v>620.61</v>
      </c>
      <c r="D641" s="107">
        <v>616.76</v>
      </c>
      <c r="E641" s="107">
        <v>620.66000000000008</v>
      </c>
      <c r="F641" s="107">
        <v>3103.05</v>
      </c>
      <c r="G641">
        <v>8100</v>
      </c>
      <c r="H641" s="107"/>
      <c r="I641" s="107"/>
      <c r="L641" s="149">
        <v>42944</v>
      </c>
      <c r="M641" s="107">
        <v>621.45000000000005</v>
      </c>
      <c r="N641" s="107">
        <v>627.35</v>
      </c>
      <c r="O641" s="107">
        <v>616.93999999999994</v>
      </c>
      <c r="P641" s="107">
        <v>622</v>
      </c>
      <c r="Q641" s="107">
        <v>3107.25</v>
      </c>
      <c r="R641">
        <v>50491</v>
      </c>
    </row>
    <row r="642" spans="1:18" x14ac:dyDescent="0.25">
      <c r="A642" s="149">
        <v>42947</v>
      </c>
      <c r="B642" s="107">
        <v>622.91999999999996</v>
      </c>
      <c r="C642" s="107">
        <v>615.83000000000004</v>
      </c>
      <c r="D642" s="107">
        <v>609.5</v>
      </c>
      <c r="E642" s="107">
        <v>621.4</v>
      </c>
      <c r="F642" s="107">
        <v>3079.15</v>
      </c>
      <c r="G642">
        <v>7758</v>
      </c>
      <c r="H642" s="107"/>
      <c r="I642" s="107"/>
      <c r="L642" s="149">
        <v>42947</v>
      </c>
      <c r="M642" s="107">
        <v>617.78</v>
      </c>
      <c r="N642" s="107">
        <v>625.93999999999994</v>
      </c>
      <c r="O642" s="107">
        <v>608.61</v>
      </c>
      <c r="P642" s="107">
        <v>621.4</v>
      </c>
      <c r="Q642" s="107">
        <v>3088.9</v>
      </c>
      <c r="R642">
        <v>55737</v>
      </c>
    </row>
    <row r="643" spans="1:18" x14ac:dyDescent="0.25">
      <c r="A643" s="149">
        <v>42948</v>
      </c>
      <c r="B643" s="107">
        <v>624.4</v>
      </c>
      <c r="C643" s="107">
        <v>616.43000000000006</v>
      </c>
      <c r="D643" s="107">
        <v>613</v>
      </c>
      <c r="E643" s="107">
        <v>623.46</v>
      </c>
      <c r="F643" s="107">
        <v>3082.15</v>
      </c>
      <c r="G643">
        <v>6371</v>
      </c>
      <c r="H643" s="107"/>
      <c r="I643" s="107"/>
      <c r="L643" s="149">
        <v>42948</v>
      </c>
      <c r="M643" s="107">
        <v>617.37</v>
      </c>
      <c r="N643" s="107">
        <v>625.79999999999995</v>
      </c>
      <c r="O643" s="107">
        <v>613</v>
      </c>
      <c r="P643" s="107">
        <v>622.38</v>
      </c>
      <c r="Q643" s="107">
        <v>3086.85</v>
      </c>
      <c r="R643">
        <v>61977</v>
      </c>
    </row>
    <row r="644" spans="1:18" x14ac:dyDescent="0.25">
      <c r="A644" s="149">
        <v>42949</v>
      </c>
      <c r="B644" s="107">
        <v>621.9</v>
      </c>
      <c r="C644" s="107">
        <v>614.66000000000008</v>
      </c>
      <c r="D644" s="107">
        <v>611.6</v>
      </c>
      <c r="E644" s="107">
        <v>619.99</v>
      </c>
      <c r="F644" s="107">
        <v>3073.3</v>
      </c>
      <c r="G644">
        <v>5747</v>
      </c>
      <c r="H644" s="107"/>
      <c r="I644" s="107"/>
      <c r="L644" s="149">
        <v>42949</v>
      </c>
      <c r="M644" s="107">
        <v>614.62</v>
      </c>
      <c r="N644" s="107">
        <v>620.97</v>
      </c>
      <c r="O644" s="107">
        <v>610.61</v>
      </c>
      <c r="P644" s="107">
        <v>619.79</v>
      </c>
      <c r="Q644" s="107">
        <v>3073.1</v>
      </c>
      <c r="R644">
        <v>44420</v>
      </c>
    </row>
    <row r="645" spans="1:18" x14ac:dyDescent="0.25">
      <c r="A645" s="149">
        <v>42950</v>
      </c>
      <c r="B645" s="107">
        <v>612.53</v>
      </c>
      <c r="C645" s="107">
        <v>597.83999999999992</v>
      </c>
      <c r="D645" s="107">
        <v>594.02</v>
      </c>
      <c r="E645" s="107">
        <v>611</v>
      </c>
      <c r="F645" s="107">
        <v>2989.2</v>
      </c>
      <c r="G645">
        <v>15879</v>
      </c>
      <c r="H645" s="107"/>
      <c r="I645" s="107"/>
      <c r="L645" s="149">
        <v>42950</v>
      </c>
      <c r="M645" s="107">
        <v>598.38</v>
      </c>
      <c r="N645" s="107">
        <v>613.66999999999996</v>
      </c>
      <c r="O645" s="107">
        <v>594.52</v>
      </c>
      <c r="P645" s="107">
        <v>611</v>
      </c>
      <c r="Q645" s="107">
        <v>2991.9</v>
      </c>
      <c r="R645">
        <v>96050</v>
      </c>
    </row>
    <row r="646" spans="1:18" x14ac:dyDescent="0.25">
      <c r="A646" s="149">
        <v>42951</v>
      </c>
      <c r="B646" s="107">
        <v>601.43999999999994</v>
      </c>
      <c r="C646" s="107">
        <v>597</v>
      </c>
      <c r="D646" s="107">
        <v>586.70000000000005</v>
      </c>
      <c r="E646" s="107">
        <v>597</v>
      </c>
      <c r="F646" s="107">
        <v>2985</v>
      </c>
      <c r="G646">
        <v>8420</v>
      </c>
      <c r="H646" s="107"/>
      <c r="I646" s="107"/>
      <c r="L646" s="149">
        <v>42951</v>
      </c>
      <c r="M646" s="107">
        <v>595.79999999999995</v>
      </c>
      <c r="N646" s="107">
        <v>601.79999999999995</v>
      </c>
      <c r="O646" s="107">
        <v>586.73</v>
      </c>
      <c r="P646" s="107">
        <v>594.20000000000005</v>
      </c>
      <c r="Q646" s="107">
        <v>2979</v>
      </c>
      <c r="R646">
        <v>126778</v>
      </c>
    </row>
    <row r="647" spans="1:18" x14ac:dyDescent="0.25">
      <c r="A647" s="149">
        <v>42954</v>
      </c>
      <c r="B647" s="107">
        <v>598.79999999999995</v>
      </c>
      <c r="C647" s="107">
        <v>588.87</v>
      </c>
      <c r="D647" s="107">
        <v>579.20000000000005</v>
      </c>
      <c r="E647" s="107">
        <v>598</v>
      </c>
      <c r="F647" s="107">
        <v>2944.35</v>
      </c>
      <c r="G647">
        <v>13642</v>
      </c>
      <c r="H647" s="107"/>
      <c r="I647" s="107"/>
      <c r="L647" s="149">
        <v>42954</v>
      </c>
      <c r="M647" s="107">
        <v>589.03</v>
      </c>
      <c r="N647" s="107">
        <v>600.20000000000005</v>
      </c>
      <c r="O647" s="107">
        <v>579</v>
      </c>
      <c r="P647" s="107">
        <v>600</v>
      </c>
      <c r="Q647" s="107">
        <v>2945.15</v>
      </c>
      <c r="R647">
        <v>198091</v>
      </c>
    </row>
    <row r="648" spans="1:18" x14ac:dyDescent="0.25">
      <c r="A648" s="149">
        <v>42955</v>
      </c>
      <c r="B648" s="107">
        <v>593.87</v>
      </c>
      <c r="C648" s="107">
        <v>584.48</v>
      </c>
      <c r="D648" s="107">
        <v>580.66000000000008</v>
      </c>
      <c r="E648" s="107">
        <v>591.54</v>
      </c>
      <c r="F648" s="107">
        <v>2922.4</v>
      </c>
      <c r="G648">
        <v>6201</v>
      </c>
      <c r="H648" s="107"/>
      <c r="I648" s="107"/>
      <c r="L648" s="149">
        <v>42955</v>
      </c>
      <c r="M648" s="107">
        <v>584.29999999999995</v>
      </c>
      <c r="N648" s="107">
        <v>593.88</v>
      </c>
      <c r="O648" s="107">
        <v>580.56000000000006</v>
      </c>
      <c r="P648" s="107">
        <v>593</v>
      </c>
      <c r="Q648" s="107">
        <v>2921.5</v>
      </c>
      <c r="R648">
        <v>74213</v>
      </c>
    </row>
    <row r="649" spans="1:18" x14ac:dyDescent="0.25">
      <c r="A649" s="149">
        <v>42956</v>
      </c>
      <c r="B649" s="107">
        <v>588</v>
      </c>
      <c r="C649" s="107">
        <v>572.81999999999994</v>
      </c>
      <c r="D649" s="107">
        <v>568</v>
      </c>
      <c r="E649" s="107">
        <v>584.95000000000005</v>
      </c>
      <c r="F649" s="107">
        <v>2864.1</v>
      </c>
      <c r="G649">
        <v>10520</v>
      </c>
      <c r="H649" s="107"/>
      <c r="I649" s="107"/>
      <c r="L649" s="149">
        <v>42956</v>
      </c>
      <c r="M649" s="107">
        <v>571.99</v>
      </c>
      <c r="N649" s="107">
        <v>589</v>
      </c>
      <c r="O649" s="107">
        <v>566.1</v>
      </c>
      <c r="P649" s="107">
        <v>583.20000000000005</v>
      </c>
      <c r="Q649" s="107">
        <v>2859.95</v>
      </c>
      <c r="R649">
        <v>90168</v>
      </c>
    </row>
    <row r="650" spans="1:18" x14ac:dyDescent="0.25">
      <c r="A650" s="149">
        <v>42957</v>
      </c>
      <c r="B650" s="107">
        <v>580.52</v>
      </c>
      <c r="C650" s="107">
        <v>566.9</v>
      </c>
      <c r="D650" s="107">
        <v>553.6</v>
      </c>
      <c r="E650" s="107">
        <v>566.88</v>
      </c>
      <c r="F650" s="107">
        <v>2834.5</v>
      </c>
      <c r="G650">
        <v>14697</v>
      </c>
      <c r="H650" s="107"/>
      <c r="I650" s="107"/>
      <c r="L650" s="149">
        <v>42957</v>
      </c>
      <c r="M650" s="107">
        <v>566.47</v>
      </c>
      <c r="N650" s="107">
        <v>582</v>
      </c>
      <c r="O650" s="107">
        <v>554.20000000000005</v>
      </c>
      <c r="P650" s="107">
        <v>571.79999999999995</v>
      </c>
      <c r="Q650" s="107">
        <v>2832.35</v>
      </c>
      <c r="R650">
        <v>114047</v>
      </c>
    </row>
    <row r="651" spans="1:18" x14ac:dyDescent="0.25">
      <c r="A651" s="149">
        <v>42958</v>
      </c>
      <c r="B651" s="107">
        <v>580.96</v>
      </c>
      <c r="C651" s="107">
        <v>577.21</v>
      </c>
      <c r="D651" s="107">
        <v>544</v>
      </c>
      <c r="E651" s="107">
        <v>560</v>
      </c>
      <c r="F651" s="107">
        <v>2886.05</v>
      </c>
      <c r="G651">
        <v>21439</v>
      </c>
      <c r="H651" s="107"/>
      <c r="I651" s="107"/>
      <c r="L651" s="149">
        <v>42958</v>
      </c>
      <c r="M651" s="107">
        <v>576.46</v>
      </c>
      <c r="N651" s="107">
        <v>579.16999999999996</v>
      </c>
      <c r="O651" s="107">
        <v>550.66000000000008</v>
      </c>
      <c r="P651" s="107">
        <v>560</v>
      </c>
      <c r="Q651" s="107">
        <v>2882.3</v>
      </c>
      <c r="R651">
        <v>93810</v>
      </c>
    </row>
    <row r="652" spans="1:18" x14ac:dyDescent="0.25">
      <c r="A652" s="149">
        <v>42961</v>
      </c>
      <c r="B652" s="107">
        <v>593</v>
      </c>
      <c r="C652" s="107">
        <v>586.16000000000008</v>
      </c>
      <c r="D652" s="107">
        <v>579.36</v>
      </c>
      <c r="E652" s="107">
        <v>584.98</v>
      </c>
      <c r="F652" s="107">
        <v>2930.8</v>
      </c>
      <c r="G652">
        <v>12502</v>
      </c>
      <c r="H652" s="107"/>
      <c r="I652" s="107"/>
      <c r="L652" s="149">
        <v>42961</v>
      </c>
      <c r="M652" s="107">
        <v>586.12</v>
      </c>
      <c r="N652" s="107">
        <v>593.20000000000005</v>
      </c>
      <c r="O652" s="107">
        <v>580.31999999999994</v>
      </c>
      <c r="P652" s="107">
        <v>584</v>
      </c>
      <c r="Q652" s="107">
        <v>2930.6</v>
      </c>
      <c r="R652">
        <v>46468</v>
      </c>
    </row>
    <row r="653" spans="1:18" x14ac:dyDescent="0.25">
      <c r="A653" s="149">
        <v>42963</v>
      </c>
      <c r="B653" s="107">
        <v>598.20000000000005</v>
      </c>
      <c r="C653" s="107">
        <v>593.95000000000005</v>
      </c>
      <c r="D653" s="107">
        <v>574.23</v>
      </c>
      <c r="E653" s="107">
        <v>590</v>
      </c>
      <c r="F653" s="107">
        <v>2969.75</v>
      </c>
      <c r="G653">
        <v>11938</v>
      </c>
      <c r="H653" s="107"/>
      <c r="I653" s="107"/>
      <c r="L653" s="149">
        <v>42963</v>
      </c>
      <c r="M653" s="107">
        <v>593.77</v>
      </c>
      <c r="N653" s="107">
        <v>596.01</v>
      </c>
      <c r="O653" s="107">
        <v>575</v>
      </c>
      <c r="P653" s="107">
        <v>590</v>
      </c>
      <c r="Q653" s="107">
        <v>2968.85</v>
      </c>
      <c r="R653">
        <v>55456</v>
      </c>
    </row>
    <row r="654" spans="1:18" x14ac:dyDescent="0.25">
      <c r="A654" s="149">
        <v>42964</v>
      </c>
      <c r="B654" s="107">
        <v>603</v>
      </c>
      <c r="C654" s="107">
        <v>590.95000000000005</v>
      </c>
      <c r="D654" s="107">
        <v>587.43000000000006</v>
      </c>
      <c r="E654" s="107">
        <v>594.02</v>
      </c>
      <c r="F654" s="107">
        <v>2954.75</v>
      </c>
      <c r="G654">
        <v>9896</v>
      </c>
      <c r="H654" s="107"/>
      <c r="I654" s="107"/>
      <c r="L654" s="149">
        <v>42964</v>
      </c>
      <c r="M654" s="107">
        <v>591.91999999999996</v>
      </c>
      <c r="N654" s="107">
        <v>603.58999999999992</v>
      </c>
      <c r="O654" s="107">
        <v>588.21</v>
      </c>
      <c r="P654" s="107">
        <v>595.99</v>
      </c>
      <c r="Q654" s="107">
        <v>2959.6</v>
      </c>
      <c r="R654">
        <v>62866</v>
      </c>
    </row>
    <row r="655" spans="1:18" x14ac:dyDescent="0.25">
      <c r="A655" s="149">
        <v>42965</v>
      </c>
      <c r="B655" s="107">
        <v>587</v>
      </c>
      <c r="C655" s="107">
        <v>579.79</v>
      </c>
      <c r="D655" s="107">
        <v>575.6</v>
      </c>
      <c r="E655" s="107">
        <v>582.33999999999992</v>
      </c>
      <c r="F655" s="107">
        <v>2898.95</v>
      </c>
      <c r="G655">
        <v>4879</v>
      </c>
      <c r="H655" s="107"/>
      <c r="I655" s="107"/>
      <c r="L655" s="149">
        <v>42965</v>
      </c>
      <c r="M655" s="107">
        <v>579.62</v>
      </c>
      <c r="N655" s="107">
        <v>587.79999999999995</v>
      </c>
      <c r="O655" s="107">
        <v>576.08000000000004</v>
      </c>
      <c r="P655" s="107">
        <v>587.79999999999995</v>
      </c>
      <c r="Q655" s="107">
        <v>2898.1</v>
      </c>
      <c r="R655">
        <v>51603</v>
      </c>
    </row>
    <row r="656" spans="1:18" x14ac:dyDescent="0.25">
      <c r="A656" s="149">
        <v>42968</v>
      </c>
      <c r="B656" s="107">
        <v>584.43000000000006</v>
      </c>
      <c r="C656" s="107">
        <v>558.33000000000004</v>
      </c>
      <c r="D656" s="107">
        <v>554.62</v>
      </c>
      <c r="E656" s="107">
        <v>579.79</v>
      </c>
      <c r="F656" s="107">
        <v>2791.65</v>
      </c>
      <c r="G656">
        <v>8734</v>
      </c>
      <c r="H656" s="107"/>
      <c r="I656" s="107"/>
      <c r="L656" s="149">
        <v>42968</v>
      </c>
      <c r="M656" s="107">
        <v>558.71</v>
      </c>
      <c r="N656" s="107">
        <v>585.41999999999996</v>
      </c>
      <c r="O656" s="107">
        <v>555</v>
      </c>
      <c r="P656" s="107">
        <v>578.01</v>
      </c>
      <c r="Q656" s="107">
        <v>2793.55</v>
      </c>
      <c r="R656">
        <v>80958</v>
      </c>
    </row>
    <row r="657" spans="1:18" x14ac:dyDescent="0.25">
      <c r="A657" s="149">
        <v>42969</v>
      </c>
      <c r="B657" s="107">
        <v>564</v>
      </c>
      <c r="C657" s="107">
        <v>541.38</v>
      </c>
      <c r="D657" s="107">
        <v>539</v>
      </c>
      <c r="E657" s="107">
        <v>561.65</v>
      </c>
      <c r="F657" s="107">
        <v>2706.9</v>
      </c>
      <c r="G657">
        <v>15307</v>
      </c>
      <c r="H657" s="107"/>
      <c r="I657" s="107"/>
      <c r="L657" s="149">
        <v>42969</v>
      </c>
      <c r="M657" s="107">
        <v>540.73</v>
      </c>
      <c r="N657" s="107">
        <v>566.38</v>
      </c>
      <c r="O657" s="107">
        <v>539.06000000000006</v>
      </c>
      <c r="P657" s="107">
        <v>558.46</v>
      </c>
      <c r="Q657" s="107">
        <v>2703.65</v>
      </c>
      <c r="R657">
        <v>176107</v>
      </c>
    </row>
    <row r="658" spans="1:18" x14ac:dyDescent="0.25">
      <c r="A658" s="149">
        <v>42970</v>
      </c>
      <c r="B658" s="107">
        <v>561.18999999999994</v>
      </c>
      <c r="C658" s="107">
        <v>557.25</v>
      </c>
      <c r="D658" s="107">
        <v>534.75</v>
      </c>
      <c r="E658" s="107">
        <v>544.33000000000004</v>
      </c>
      <c r="F658" s="107">
        <v>2786.25</v>
      </c>
      <c r="G658">
        <v>14024</v>
      </c>
      <c r="H658" s="107"/>
      <c r="I658" s="107"/>
      <c r="L658" s="149">
        <v>42970</v>
      </c>
      <c r="M658" s="107">
        <v>557.04999999999995</v>
      </c>
      <c r="N658" s="107">
        <v>561</v>
      </c>
      <c r="O658" s="107">
        <v>534.4</v>
      </c>
      <c r="P658" s="107">
        <v>546.6</v>
      </c>
      <c r="Q658" s="107">
        <v>2785.25</v>
      </c>
      <c r="R658">
        <v>243266</v>
      </c>
    </row>
    <row r="659" spans="1:18" x14ac:dyDescent="0.25">
      <c r="A659" s="149">
        <v>42971</v>
      </c>
      <c r="B659" s="107">
        <v>563.24</v>
      </c>
      <c r="C659" s="107">
        <v>555.68000000000006</v>
      </c>
      <c r="D659" s="107">
        <v>553.20000000000005</v>
      </c>
      <c r="E659" s="107">
        <v>562</v>
      </c>
      <c r="F659" s="107">
        <v>2778.4</v>
      </c>
      <c r="G659">
        <v>6585</v>
      </c>
      <c r="H659" s="107"/>
      <c r="I659" s="107"/>
      <c r="L659" s="149">
        <v>42971</v>
      </c>
      <c r="M659" s="107">
        <v>554.43000000000006</v>
      </c>
      <c r="N659" s="107">
        <v>563.89</v>
      </c>
      <c r="O659" s="107">
        <v>551.95000000000005</v>
      </c>
      <c r="P659" s="107">
        <v>560</v>
      </c>
      <c r="Q659" s="107">
        <v>2772.15</v>
      </c>
      <c r="R659">
        <v>90312</v>
      </c>
    </row>
    <row r="660" spans="1:18" x14ac:dyDescent="0.25">
      <c r="A660" s="149">
        <v>42975</v>
      </c>
      <c r="B660" s="107">
        <v>557.79999999999995</v>
      </c>
      <c r="C660" s="107">
        <v>555.93000000000006</v>
      </c>
      <c r="D660" s="107">
        <v>551.4</v>
      </c>
      <c r="E660" s="107">
        <v>556</v>
      </c>
      <c r="F660" s="107">
        <v>2779.65</v>
      </c>
      <c r="G660">
        <v>3332</v>
      </c>
      <c r="H660" s="107"/>
      <c r="I660" s="107"/>
      <c r="L660" s="149">
        <v>42975</v>
      </c>
      <c r="M660" s="107">
        <v>556.01</v>
      </c>
      <c r="N660" s="107">
        <v>558.43000000000006</v>
      </c>
      <c r="O660" s="107">
        <v>551</v>
      </c>
      <c r="P660" s="107">
        <v>554</v>
      </c>
      <c r="Q660" s="107">
        <v>2780.05</v>
      </c>
      <c r="R660">
        <v>67007</v>
      </c>
    </row>
    <row r="661" spans="1:18" x14ac:dyDescent="0.25">
      <c r="A661" s="149">
        <v>42976</v>
      </c>
      <c r="B661" s="107">
        <v>555.87</v>
      </c>
      <c r="C661" s="107">
        <v>539.98</v>
      </c>
      <c r="D661" s="107">
        <v>536.6</v>
      </c>
      <c r="E661" s="107">
        <v>552.75</v>
      </c>
      <c r="F661" s="107">
        <v>2699.9</v>
      </c>
      <c r="G661">
        <v>6669</v>
      </c>
      <c r="H661" s="107"/>
      <c r="I661" s="107"/>
      <c r="L661" s="149">
        <v>42976</v>
      </c>
      <c r="M661" s="107">
        <v>539.28</v>
      </c>
      <c r="N661" s="107">
        <v>555.6</v>
      </c>
      <c r="O661" s="107">
        <v>536.20000000000005</v>
      </c>
      <c r="P661" s="107">
        <v>551.20000000000005</v>
      </c>
      <c r="Q661" s="107">
        <v>2696.4</v>
      </c>
      <c r="R661">
        <v>91661</v>
      </c>
    </row>
    <row r="662" spans="1:18" x14ac:dyDescent="0.25">
      <c r="A662" s="149">
        <v>42977</v>
      </c>
      <c r="B662" s="107">
        <v>563.91999999999996</v>
      </c>
      <c r="C662" s="107">
        <v>559.03</v>
      </c>
      <c r="D662" s="107">
        <v>538.20000000000005</v>
      </c>
      <c r="E662" s="107">
        <v>538.20000000000005</v>
      </c>
      <c r="F662" s="107">
        <v>2795.15</v>
      </c>
      <c r="G662">
        <v>10503</v>
      </c>
      <c r="H662" s="107"/>
      <c r="I662" s="107"/>
      <c r="L662" s="149">
        <v>42977</v>
      </c>
      <c r="M662" s="107">
        <v>559.89</v>
      </c>
      <c r="N662" s="107">
        <v>564</v>
      </c>
      <c r="O662" s="107">
        <v>542</v>
      </c>
      <c r="P662" s="107">
        <v>542</v>
      </c>
      <c r="Q662" s="107">
        <v>2799.45</v>
      </c>
      <c r="R662">
        <v>106658</v>
      </c>
    </row>
    <row r="663" spans="1:18" x14ac:dyDescent="0.25">
      <c r="A663" s="149">
        <v>42978</v>
      </c>
      <c r="B663" s="107">
        <v>574.79999999999995</v>
      </c>
      <c r="C663" s="107">
        <v>572.23</v>
      </c>
      <c r="D663" s="107">
        <v>553.81999999999994</v>
      </c>
      <c r="E663" s="107">
        <v>561.68999999999994</v>
      </c>
      <c r="F663" s="107">
        <v>2861.15</v>
      </c>
      <c r="G663">
        <v>14262</v>
      </c>
      <c r="H663" s="107"/>
      <c r="I663" s="107"/>
      <c r="L663" s="149">
        <v>42978</v>
      </c>
      <c r="M663" s="107">
        <v>573.11</v>
      </c>
      <c r="N663" s="107">
        <v>575.24</v>
      </c>
      <c r="O663" s="107">
        <v>553.56999999999994</v>
      </c>
      <c r="P663" s="107">
        <v>561.6</v>
      </c>
      <c r="Q663" s="107">
        <v>2865.55</v>
      </c>
      <c r="R663">
        <v>130457</v>
      </c>
    </row>
    <row r="664" spans="1:18" x14ac:dyDescent="0.25">
      <c r="A664" s="149">
        <v>42979</v>
      </c>
      <c r="B664" s="107">
        <v>578.20000000000005</v>
      </c>
      <c r="C664" s="107">
        <v>574.45000000000005</v>
      </c>
      <c r="D664" s="107">
        <v>568.75</v>
      </c>
      <c r="E664" s="107">
        <v>574.01</v>
      </c>
      <c r="F664" s="107">
        <v>2872.25</v>
      </c>
      <c r="G664">
        <v>5334</v>
      </c>
      <c r="H664" s="107"/>
      <c r="I664" s="107"/>
      <c r="L664" s="149">
        <v>42979</v>
      </c>
      <c r="M664" s="107">
        <v>575.74</v>
      </c>
      <c r="N664" s="107">
        <v>579.18000000000006</v>
      </c>
      <c r="O664" s="107">
        <v>568.38</v>
      </c>
      <c r="P664" s="107">
        <v>572</v>
      </c>
      <c r="Q664" s="107">
        <v>2878.7</v>
      </c>
      <c r="R664">
        <v>75201</v>
      </c>
    </row>
    <row r="665" spans="1:18" x14ac:dyDescent="0.25">
      <c r="A665" s="149">
        <v>42982</v>
      </c>
      <c r="B665" s="107">
        <v>575.20000000000005</v>
      </c>
      <c r="C665" s="107">
        <v>561.99</v>
      </c>
      <c r="D665" s="107">
        <v>559.83000000000004</v>
      </c>
      <c r="E665" s="107">
        <v>572</v>
      </c>
      <c r="F665" s="107">
        <v>2809.95</v>
      </c>
      <c r="G665">
        <v>12040</v>
      </c>
      <c r="H665" s="107"/>
      <c r="I665" s="107"/>
      <c r="L665" s="149">
        <v>42982</v>
      </c>
      <c r="M665" s="107">
        <v>564.08999999999992</v>
      </c>
      <c r="N665" s="107">
        <v>576.58999999999992</v>
      </c>
      <c r="O665" s="107">
        <v>560.20000000000005</v>
      </c>
      <c r="P665" s="107">
        <v>570.02</v>
      </c>
      <c r="Q665" s="107">
        <v>2820.45</v>
      </c>
      <c r="R665">
        <v>46953</v>
      </c>
    </row>
    <row r="666" spans="1:18" x14ac:dyDescent="0.25">
      <c r="A666" s="149">
        <v>42983</v>
      </c>
      <c r="B666" s="107">
        <v>577</v>
      </c>
      <c r="C666" s="107">
        <v>574.83999999999992</v>
      </c>
      <c r="D666" s="107">
        <v>560</v>
      </c>
      <c r="E666" s="107">
        <v>560</v>
      </c>
      <c r="F666" s="107">
        <v>2874.2</v>
      </c>
      <c r="G666">
        <v>11355</v>
      </c>
      <c r="H666" s="107"/>
      <c r="I666" s="107"/>
      <c r="L666" s="149">
        <v>42983</v>
      </c>
      <c r="M666" s="107">
        <v>573.52</v>
      </c>
      <c r="N666" s="107">
        <v>577.4</v>
      </c>
      <c r="O666" s="107">
        <v>560.4</v>
      </c>
      <c r="P666" s="107">
        <v>560.4</v>
      </c>
      <c r="Q666" s="107">
        <v>2867.6</v>
      </c>
      <c r="R666">
        <v>65494</v>
      </c>
    </row>
    <row r="667" spans="1:18" x14ac:dyDescent="0.25">
      <c r="A667" s="149">
        <v>42984</v>
      </c>
      <c r="B667" s="107">
        <v>582</v>
      </c>
      <c r="C667" s="107">
        <v>578.27</v>
      </c>
      <c r="D667" s="107">
        <v>568.23</v>
      </c>
      <c r="E667" s="107">
        <v>570.4</v>
      </c>
      <c r="F667" s="107">
        <v>2891.35</v>
      </c>
      <c r="G667">
        <v>19719</v>
      </c>
      <c r="H667" s="107"/>
      <c r="I667" s="107"/>
      <c r="L667" s="149">
        <v>42984</v>
      </c>
      <c r="M667" s="107">
        <v>577.95000000000005</v>
      </c>
      <c r="N667" s="107">
        <v>582.6</v>
      </c>
      <c r="O667" s="107">
        <v>567</v>
      </c>
      <c r="P667" s="107">
        <v>569</v>
      </c>
      <c r="Q667" s="107">
        <v>2889.75</v>
      </c>
      <c r="R667">
        <v>100276</v>
      </c>
    </row>
    <row r="668" spans="1:18" x14ac:dyDescent="0.25">
      <c r="A668" s="149">
        <v>42985</v>
      </c>
      <c r="B668" s="107">
        <v>585.86</v>
      </c>
      <c r="C668" s="107">
        <v>577.68000000000006</v>
      </c>
      <c r="D668" s="107">
        <v>576</v>
      </c>
      <c r="E668" s="107">
        <v>579.79999999999995</v>
      </c>
      <c r="F668" s="107">
        <v>2888.4</v>
      </c>
      <c r="G668">
        <v>6029</v>
      </c>
      <c r="H668" s="107"/>
      <c r="I668" s="107"/>
      <c r="L668" s="149">
        <v>42985</v>
      </c>
      <c r="M668" s="107">
        <v>577.33999999999992</v>
      </c>
      <c r="N668" s="107">
        <v>586.4</v>
      </c>
      <c r="O668" s="107">
        <v>575.23</v>
      </c>
      <c r="P668" s="107">
        <v>575.23</v>
      </c>
      <c r="Q668" s="107">
        <v>2886.7</v>
      </c>
      <c r="R668">
        <v>64612</v>
      </c>
    </row>
    <row r="669" spans="1:18" x14ac:dyDescent="0.25">
      <c r="A669" s="149">
        <v>42986</v>
      </c>
      <c r="B669" s="107">
        <v>589.29</v>
      </c>
      <c r="C669" s="107">
        <v>573.4</v>
      </c>
      <c r="D669" s="107">
        <v>570</v>
      </c>
      <c r="E669" s="107">
        <v>581.6</v>
      </c>
      <c r="F669" s="107">
        <v>2867</v>
      </c>
      <c r="G669">
        <v>7942</v>
      </c>
      <c r="H669" s="107"/>
      <c r="I669" s="107"/>
      <c r="L669" s="149">
        <v>42986</v>
      </c>
      <c r="M669" s="107">
        <v>572.25</v>
      </c>
      <c r="N669" s="107">
        <v>589.89</v>
      </c>
      <c r="O669" s="107">
        <v>568.29999999999995</v>
      </c>
      <c r="P669" s="107">
        <v>578</v>
      </c>
      <c r="Q669" s="107">
        <v>2861.25</v>
      </c>
      <c r="R669">
        <v>97655</v>
      </c>
    </row>
    <row r="670" spans="1:18" x14ac:dyDescent="0.25">
      <c r="A670" s="149">
        <v>42989</v>
      </c>
      <c r="B670" s="107">
        <v>582</v>
      </c>
      <c r="C670" s="107">
        <v>569.04</v>
      </c>
      <c r="D670" s="107">
        <v>567.16999999999996</v>
      </c>
      <c r="E670" s="107">
        <v>572</v>
      </c>
      <c r="F670" s="107">
        <v>2845.2</v>
      </c>
      <c r="G670">
        <v>9021</v>
      </c>
      <c r="H670" s="107"/>
      <c r="I670" s="107"/>
      <c r="L670" s="149">
        <v>42989</v>
      </c>
      <c r="M670" s="107">
        <v>568.38</v>
      </c>
      <c r="N670" s="107">
        <v>582</v>
      </c>
      <c r="O670" s="107">
        <v>566</v>
      </c>
      <c r="P670" s="107">
        <v>573.01</v>
      </c>
      <c r="Q670" s="107">
        <v>2841.9</v>
      </c>
      <c r="R670">
        <v>66112</v>
      </c>
    </row>
    <row r="671" spans="1:18" x14ac:dyDescent="0.25">
      <c r="A671" s="149">
        <v>42990</v>
      </c>
      <c r="B671" s="107">
        <v>574.06999999999994</v>
      </c>
      <c r="C671" s="107">
        <v>569.29</v>
      </c>
      <c r="D671" s="107">
        <v>564.66000000000008</v>
      </c>
      <c r="E671" s="107">
        <v>572.79999999999995</v>
      </c>
      <c r="F671" s="107">
        <v>2846.45</v>
      </c>
      <c r="G671">
        <v>5536</v>
      </c>
      <c r="H671" s="107"/>
      <c r="I671" s="107"/>
      <c r="L671" s="149">
        <v>42990</v>
      </c>
      <c r="M671" s="107">
        <v>568.5</v>
      </c>
      <c r="N671" s="107">
        <v>575.6</v>
      </c>
      <c r="O671" s="107">
        <v>564.4</v>
      </c>
      <c r="P671" s="107">
        <v>569.02</v>
      </c>
      <c r="Q671" s="107">
        <v>2842.5</v>
      </c>
      <c r="R671">
        <v>43540</v>
      </c>
    </row>
    <row r="672" spans="1:18" x14ac:dyDescent="0.25">
      <c r="A672" s="149">
        <v>42991</v>
      </c>
      <c r="B672" s="107">
        <v>573.03</v>
      </c>
      <c r="C672" s="107">
        <v>561.73</v>
      </c>
      <c r="D672" s="107">
        <v>560</v>
      </c>
      <c r="E672" s="107">
        <v>568.6</v>
      </c>
      <c r="F672" s="107">
        <v>2808.65</v>
      </c>
      <c r="G672">
        <v>4858</v>
      </c>
      <c r="H672" s="107"/>
      <c r="I672" s="107"/>
      <c r="L672" s="149">
        <v>42991</v>
      </c>
      <c r="M672" s="107">
        <v>561.54</v>
      </c>
      <c r="N672" s="107">
        <v>577.20000000000005</v>
      </c>
      <c r="O672" s="107">
        <v>560</v>
      </c>
      <c r="P672" s="107">
        <v>570.79999999999995</v>
      </c>
      <c r="Q672" s="107">
        <v>2807.7</v>
      </c>
      <c r="R672">
        <v>36607</v>
      </c>
    </row>
    <row r="673" spans="1:18" x14ac:dyDescent="0.25">
      <c r="A673" s="149">
        <v>42992</v>
      </c>
      <c r="B673" s="107">
        <v>568</v>
      </c>
      <c r="C673" s="107">
        <v>560.81000000000006</v>
      </c>
      <c r="D673" s="107">
        <v>552</v>
      </c>
      <c r="E673" s="107">
        <v>568</v>
      </c>
      <c r="F673" s="107">
        <v>2804.05</v>
      </c>
      <c r="G673">
        <v>6835</v>
      </c>
      <c r="H673" s="107"/>
      <c r="I673" s="107"/>
      <c r="L673" s="149">
        <v>42992</v>
      </c>
      <c r="M673" s="107">
        <v>560.73</v>
      </c>
      <c r="N673" s="107">
        <v>565.56999999999994</v>
      </c>
      <c r="O673" s="107">
        <v>551</v>
      </c>
      <c r="P673" s="107">
        <v>561</v>
      </c>
      <c r="Q673" s="107">
        <v>2803.65</v>
      </c>
      <c r="R673">
        <v>58425</v>
      </c>
    </row>
    <row r="674" spans="1:18" x14ac:dyDescent="0.25">
      <c r="A674" s="149">
        <v>42993</v>
      </c>
      <c r="B674" s="107">
        <v>563.79999999999995</v>
      </c>
      <c r="C674" s="107">
        <v>559.54999999999995</v>
      </c>
      <c r="D674" s="107">
        <v>548</v>
      </c>
      <c r="E674" s="107">
        <v>548</v>
      </c>
      <c r="F674" s="107">
        <v>2797.75</v>
      </c>
      <c r="G674">
        <v>5551</v>
      </c>
      <c r="H674" s="107"/>
      <c r="I674" s="107"/>
      <c r="L674" s="149">
        <v>42993</v>
      </c>
      <c r="M674" s="107">
        <v>558.89</v>
      </c>
      <c r="N674" s="107">
        <v>564</v>
      </c>
      <c r="O674" s="107">
        <v>554.76</v>
      </c>
      <c r="P674" s="107">
        <v>556.02</v>
      </c>
      <c r="Q674" s="107">
        <v>2794.45</v>
      </c>
      <c r="R674">
        <v>38562</v>
      </c>
    </row>
    <row r="675" spans="1:18" x14ac:dyDescent="0.25">
      <c r="A675" s="149">
        <v>42996</v>
      </c>
      <c r="B675" s="107">
        <v>566.48</v>
      </c>
      <c r="C675" s="107">
        <v>564.1</v>
      </c>
      <c r="D675" s="107">
        <v>560.62</v>
      </c>
      <c r="E675" s="107">
        <v>563.70000000000005</v>
      </c>
      <c r="F675" s="107">
        <v>2820.5</v>
      </c>
      <c r="G675">
        <v>6369</v>
      </c>
      <c r="H675" s="107"/>
      <c r="I675" s="107"/>
      <c r="L675" s="149">
        <v>42996</v>
      </c>
      <c r="M675" s="107">
        <v>563.96</v>
      </c>
      <c r="N675" s="107">
        <v>567.5</v>
      </c>
      <c r="O675" s="107">
        <v>560</v>
      </c>
      <c r="P675" s="107">
        <v>560</v>
      </c>
      <c r="Q675" s="107">
        <v>2819.8</v>
      </c>
      <c r="R675">
        <v>43073</v>
      </c>
    </row>
    <row r="676" spans="1:18" x14ac:dyDescent="0.25">
      <c r="A676" s="149">
        <v>42997</v>
      </c>
      <c r="B676" s="107">
        <v>578.4</v>
      </c>
      <c r="C676" s="107">
        <v>575.98</v>
      </c>
      <c r="D676" s="107">
        <v>561.71</v>
      </c>
      <c r="E676" s="107">
        <v>563.56000000000006</v>
      </c>
      <c r="F676" s="107">
        <v>2879.9</v>
      </c>
      <c r="G676">
        <v>10779</v>
      </c>
      <c r="H676" s="107"/>
      <c r="I676" s="107"/>
      <c r="L676" s="149">
        <v>42997</v>
      </c>
      <c r="M676" s="107">
        <v>575.87</v>
      </c>
      <c r="N676" s="107">
        <v>578.9</v>
      </c>
      <c r="O676" s="107">
        <v>560.52</v>
      </c>
      <c r="P676" s="107">
        <v>563.96</v>
      </c>
      <c r="Q676" s="107">
        <v>2879.35</v>
      </c>
      <c r="R676">
        <v>99863</v>
      </c>
    </row>
    <row r="677" spans="1:18" x14ac:dyDescent="0.25">
      <c r="A677" s="149">
        <v>42998</v>
      </c>
      <c r="B677" s="107">
        <v>576.65</v>
      </c>
      <c r="C677" s="107">
        <v>564.06999999999994</v>
      </c>
      <c r="D677" s="107">
        <v>562</v>
      </c>
      <c r="E677" s="107">
        <v>576.65</v>
      </c>
      <c r="F677" s="107">
        <v>2820.35</v>
      </c>
      <c r="G677">
        <v>9310</v>
      </c>
      <c r="H677" s="107"/>
      <c r="I677" s="107"/>
      <c r="L677" s="149">
        <v>42998</v>
      </c>
      <c r="M677" s="107">
        <v>565.54999999999995</v>
      </c>
      <c r="N677" s="107">
        <v>577.6</v>
      </c>
      <c r="O677" s="107">
        <v>563.72</v>
      </c>
      <c r="P677" s="107">
        <v>577.6</v>
      </c>
      <c r="Q677" s="107">
        <v>2827.75</v>
      </c>
      <c r="R677">
        <v>56793</v>
      </c>
    </row>
    <row r="678" spans="1:18" x14ac:dyDescent="0.25">
      <c r="A678" s="149">
        <v>42999</v>
      </c>
      <c r="B678" s="107">
        <v>566.08999999999992</v>
      </c>
      <c r="C678" s="107">
        <v>559.29</v>
      </c>
      <c r="D678" s="107">
        <v>552.45000000000005</v>
      </c>
      <c r="E678" s="107">
        <v>565.35</v>
      </c>
      <c r="F678" s="107">
        <v>2796.45</v>
      </c>
      <c r="G678">
        <v>4074</v>
      </c>
      <c r="H678" s="107"/>
      <c r="I678" s="107"/>
      <c r="L678" s="149">
        <v>42999</v>
      </c>
      <c r="M678" s="107">
        <v>559.29999999999995</v>
      </c>
      <c r="N678" s="107">
        <v>566.79</v>
      </c>
      <c r="O678" s="107">
        <v>550.99</v>
      </c>
      <c r="P678" s="107">
        <v>566.79</v>
      </c>
      <c r="Q678" s="107">
        <v>2796.5</v>
      </c>
      <c r="R678">
        <v>79295</v>
      </c>
    </row>
    <row r="679" spans="1:18" x14ac:dyDescent="0.25">
      <c r="A679" s="149">
        <v>43000</v>
      </c>
      <c r="B679" s="107">
        <v>553.6</v>
      </c>
      <c r="C679" s="107">
        <v>533.08999999999992</v>
      </c>
      <c r="D679" s="107">
        <v>530.5</v>
      </c>
      <c r="E679" s="107">
        <v>553.6</v>
      </c>
      <c r="F679" s="107">
        <v>2665.45</v>
      </c>
      <c r="G679">
        <v>16690</v>
      </c>
      <c r="H679" s="107"/>
      <c r="I679" s="107"/>
      <c r="L679" s="149">
        <v>43000</v>
      </c>
      <c r="M679" s="107">
        <v>531.63</v>
      </c>
      <c r="N679" s="107">
        <v>557.16000000000008</v>
      </c>
      <c r="O679" s="107">
        <v>529</v>
      </c>
      <c r="P679" s="107">
        <v>557.16000000000008</v>
      </c>
      <c r="Q679" s="107">
        <v>2658.15</v>
      </c>
      <c r="R679">
        <v>149738</v>
      </c>
    </row>
    <row r="680" spans="1:18" x14ac:dyDescent="0.25">
      <c r="A680" s="149">
        <v>43003</v>
      </c>
      <c r="B680" s="107">
        <v>532.4</v>
      </c>
      <c r="C680" s="107">
        <v>516.98</v>
      </c>
      <c r="D680" s="107">
        <v>509.08000000000004</v>
      </c>
      <c r="E680" s="107">
        <v>532.4</v>
      </c>
      <c r="F680" s="107">
        <v>2584.9</v>
      </c>
      <c r="G680">
        <v>18003</v>
      </c>
      <c r="H680" s="107"/>
      <c r="I680" s="107"/>
      <c r="L680" s="149">
        <v>43003</v>
      </c>
      <c r="M680" s="107">
        <v>517.56000000000006</v>
      </c>
      <c r="N680" s="107">
        <v>533.06999999999994</v>
      </c>
      <c r="O680" s="107">
        <v>508.18</v>
      </c>
      <c r="P680" s="107">
        <v>532</v>
      </c>
      <c r="Q680" s="107">
        <v>2587.8000000000002</v>
      </c>
      <c r="R680">
        <v>133484</v>
      </c>
    </row>
    <row r="681" spans="1:18" x14ac:dyDescent="0.25">
      <c r="A681" s="149">
        <v>43004</v>
      </c>
      <c r="B681" s="107">
        <v>538.02</v>
      </c>
      <c r="C681" s="107">
        <v>531.1</v>
      </c>
      <c r="D681" s="107">
        <v>516.33000000000004</v>
      </c>
      <c r="E681" s="107">
        <v>518.97</v>
      </c>
      <c r="F681" s="107">
        <v>2655.5</v>
      </c>
      <c r="G681">
        <v>12044</v>
      </c>
      <c r="H681" s="107"/>
      <c r="I681" s="107"/>
      <c r="L681" s="149">
        <v>43004</v>
      </c>
      <c r="M681" s="107">
        <v>530.66999999999996</v>
      </c>
      <c r="N681" s="107">
        <v>538.64</v>
      </c>
      <c r="O681" s="107">
        <v>516.41000000000008</v>
      </c>
      <c r="P681" s="107">
        <v>520</v>
      </c>
      <c r="Q681" s="107">
        <v>2653.35</v>
      </c>
      <c r="R681">
        <v>129450</v>
      </c>
    </row>
    <row r="682" spans="1:18" x14ac:dyDescent="0.25">
      <c r="A682" s="149">
        <v>43005</v>
      </c>
      <c r="B682" s="107">
        <v>539.79999999999995</v>
      </c>
      <c r="C682" s="107">
        <v>519.54</v>
      </c>
      <c r="D682" s="107">
        <v>516.63</v>
      </c>
      <c r="E682" s="107">
        <v>539.4</v>
      </c>
      <c r="F682" s="107">
        <v>2597.6999999999998</v>
      </c>
      <c r="G682">
        <v>11642</v>
      </c>
      <c r="H682" s="107"/>
      <c r="I682" s="107"/>
      <c r="L682" s="149">
        <v>43005</v>
      </c>
      <c r="M682" s="107">
        <v>519.9</v>
      </c>
      <c r="N682" s="107">
        <v>539.6</v>
      </c>
      <c r="O682" s="107">
        <v>517.08000000000004</v>
      </c>
      <c r="P682" s="107">
        <v>537.01</v>
      </c>
      <c r="Q682" s="107">
        <v>2599.5</v>
      </c>
      <c r="R682">
        <v>96210</v>
      </c>
    </row>
    <row r="683" spans="1:18" x14ac:dyDescent="0.25">
      <c r="A683" s="149">
        <v>43006</v>
      </c>
      <c r="B683" s="107">
        <v>531.64</v>
      </c>
      <c r="C683" s="107">
        <v>527.1</v>
      </c>
      <c r="D683" s="107">
        <v>514.58999999999992</v>
      </c>
      <c r="E683" s="107">
        <v>519.79999999999995</v>
      </c>
      <c r="F683" s="107">
        <v>2635.5</v>
      </c>
      <c r="G683">
        <v>7644</v>
      </c>
      <c r="H683" s="107"/>
      <c r="I683" s="107"/>
      <c r="L683" s="149">
        <v>43006</v>
      </c>
      <c r="M683" s="107">
        <v>526.58000000000004</v>
      </c>
      <c r="N683" s="107">
        <v>532</v>
      </c>
      <c r="O683" s="107">
        <v>512.96</v>
      </c>
      <c r="P683" s="107">
        <v>520</v>
      </c>
      <c r="Q683" s="107">
        <v>2632.9</v>
      </c>
      <c r="R683">
        <v>104158</v>
      </c>
    </row>
    <row r="684" spans="1:18" x14ac:dyDescent="0.25">
      <c r="A684" s="149">
        <v>43007</v>
      </c>
      <c r="B684" s="107">
        <v>536.15</v>
      </c>
      <c r="C684" s="107">
        <v>529.93000000000006</v>
      </c>
      <c r="D684" s="107">
        <v>528.20000000000005</v>
      </c>
      <c r="E684" s="107">
        <v>531.58999999999992</v>
      </c>
      <c r="F684" s="107">
        <v>2649.65</v>
      </c>
      <c r="G684">
        <v>3777</v>
      </c>
      <c r="H684" s="107"/>
      <c r="I684" s="107"/>
      <c r="L684" s="149">
        <v>43007</v>
      </c>
      <c r="M684" s="107">
        <v>530.91000000000008</v>
      </c>
      <c r="N684" s="107">
        <v>537</v>
      </c>
      <c r="O684" s="107">
        <v>528.13</v>
      </c>
      <c r="P684" s="107">
        <v>530</v>
      </c>
      <c r="Q684" s="107">
        <v>2654.55</v>
      </c>
      <c r="R684">
        <v>76546</v>
      </c>
    </row>
    <row r="685" spans="1:18" x14ac:dyDescent="0.25">
      <c r="A685" s="149">
        <v>43011</v>
      </c>
      <c r="B685" s="107">
        <v>538.6</v>
      </c>
      <c r="C685" s="107">
        <v>527.20000000000005</v>
      </c>
      <c r="D685" s="107">
        <v>525.96</v>
      </c>
      <c r="E685" s="107">
        <v>535.6</v>
      </c>
      <c r="F685" s="107">
        <v>2636</v>
      </c>
      <c r="G685">
        <v>7053</v>
      </c>
      <c r="H685" s="107"/>
      <c r="I685" s="107"/>
      <c r="L685" s="149">
        <v>43011</v>
      </c>
      <c r="M685" s="107">
        <v>527.86</v>
      </c>
      <c r="N685" s="107">
        <v>538</v>
      </c>
      <c r="O685" s="107">
        <v>525.11</v>
      </c>
      <c r="P685" s="107">
        <v>537.58000000000004</v>
      </c>
      <c r="Q685" s="107">
        <v>2639.3</v>
      </c>
      <c r="R685">
        <v>81026</v>
      </c>
    </row>
    <row r="686" spans="1:18" x14ac:dyDescent="0.25">
      <c r="A686" s="149">
        <v>43012</v>
      </c>
      <c r="B686" s="107">
        <v>534.23</v>
      </c>
      <c r="C686" s="107">
        <v>525.04999999999995</v>
      </c>
      <c r="D686" s="107">
        <v>522.01</v>
      </c>
      <c r="E686" s="107">
        <v>522.06000000000006</v>
      </c>
      <c r="F686" s="107">
        <v>2625.25</v>
      </c>
      <c r="G686">
        <v>5102</v>
      </c>
      <c r="H686" s="107"/>
      <c r="I686" s="107"/>
      <c r="L686" s="149">
        <v>43012</v>
      </c>
      <c r="M686" s="107">
        <v>525.04999999999995</v>
      </c>
      <c r="N686" s="107">
        <v>534.4</v>
      </c>
      <c r="O686" s="107">
        <v>522.21</v>
      </c>
      <c r="P686" s="107">
        <v>530.4</v>
      </c>
      <c r="Q686" s="107">
        <v>2625.25</v>
      </c>
      <c r="R686">
        <v>78909</v>
      </c>
    </row>
    <row r="687" spans="1:18" x14ac:dyDescent="0.25">
      <c r="A687" s="149">
        <v>43013</v>
      </c>
      <c r="B687" s="107">
        <v>532.20000000000005</v>
      </c>
      <c r="C687" s="107">
        <v>523.81999999999994</v>
      </c>
      <c r="D687" s="107">
        <v>522.5</v>
      </c>
      <c r="E687" s="107">
        <v>528.46</v>
      </c>
      <c r="F687" s="107">
        <v>2619.1</v>
      </c>
      <c r="G687">
        <v>4329</v>
      </c>
      <c r="H687" s="107"/>
      <c r="I687" s="107"/>
      <c r="L687" s="149">
        <v>43013</v>
      </c>
      <c r="M687" s="107">
        <v>523.39</v>
      </c>
      <c r="N687" s="107">
        <v>532.25</v>
      </c>
      <c r="O687" s="107">
        <v>521.26</v>
      </c>
      <c r="P687" s="107">
        <v>528.74</v>
      </c>
      <c r="Q687" s="107">
        <v>2616.9499999999998</v>
      </c>
      <c r="R687">
        <v>57982</v>
      </c>
    </row>
    <row r="688" spans="1:18" x14ac:dyDescent="0.25">
      <c r="A688" s="149">
        <v>43014</v>
      </c>
      <c r="B688" s="107">
        <v>534.15</v>
      </c>
      <c r="C688" s="107">
        <v>529.21</v>
      </c>
      <c r="D688" s="107">
        <v>524.49</v>
      </c>
      <c r="E688" s="107">
        <v>529.6</v>
      </c>
      <c r="F688" s="107">
        <v>2646.05</v>
      </c>
      <c r="G688">
        <v>5453</v>
      </c>
      <c r="H688" s="107"/>
      <c r="I688" s="107"/>
      <c r="L688" s="149">
        <v>43014</v>
      </c>
      <c r="M688" s="107">
        <v>529.14</v>
      </c>
      <c r="N688" s="107">
        <v>534.20000000000005</v>
      </c>
      <c r="O688" s="107">
        <v>523.22</v>
      </c>
      <c r="P688" s="107">
        <v>525.20000000000005</v>
      </c>
      <c r="Q688" s="107">
        <v>2645.7</v>
      </c>
      <c r="R688">
        <v>91713</v>
      </c>
    </row>
    <row r="689" spans="1:18" x14ac:dyDescent="0.25">
      <c r="A689" s="149">
        <v>43017</v>
      </c>
      <c r="B689" s="107">
        <v>535.11</v>
      </c>
      <c r="C689" s="107">
        <v>532.41000000000008</v>
      </c>
      <c r="D689" s="107">
        <v>526</v>
      </c>
      <c r="E689" s="107">
        <v>526</v>
      </c>
      <c r="F689" s="107">
        <v>2662.05</v>
      </c>
      <c r="G689">
        <v>9958</v>
      </c>
      <c r="H689" s="107"/>
      <c r="I689" s="107"/>
      <c r="L689" s="149">
        <v>43017</v>
      </c>
      <c r="M689" s="107">
        <v>533.33999999999992</v>
      </c>
      <c r="N689" s="107">
        <v>536.79999999999995</v>
      </c>
      <c r="O689" s="107">
        <v>527.06999999999994</v>
      </c>
      <c r="P689" s="107">
        <v>530.79999999999995</v>
      </c>
      <c r="Q689" s="107">
        <v>2666.7</v>
      </c>
      <c r="R689">
        <v>47881</v>
      </c>
    </row>
    <row r="690" spans="1:18" x14ac:dyDescent="0.25">
      <c r="A690" s="149">
        <v>43018</v>
      </c>
      <c r="B690" s="107">
        <v>537.66999999999996</v>
      </c>
      <c r="C690" s="107">
        <v>524.26</v>
      </c>
      <c r="D690" s="107">
        <v>522.58000000000004</v>
      </c>
      <c r="E690" s="107">
        <v>534.93999999999994</v>
      </c>
      <c r="F690" s="107">
        <v>2621.3000000000002</v>
      </c>
      <c r="G690">
        <v>28445</v>
      </c>
      <c r="H690" s="107"/>
      <c r="I690" s="107"/>
      <c r="L690" s="149">
        <v>43018</v>
      </c>
      <c r="M690" s="107">
        <v>524.87</v>
      </c>
      <c r="N690" s="107">
        <v>538</v>
      </c>
      <c r="O690" s="107">
        <v>522.65</v>
      </c>
      <c r="P690" s="107">
        <v>538</v>
      </c>
      <c r="Q690" s="107">
        <v>2624.35</v>
      </c>
      <c r="R690">
        <v>82057</v>
      </c>
    </row>
    <row r="691" spans="1:18" x14ac:dyDescent="0.25">
      <c r="A691" s="149">
        <v>43019</v>
      </c>
      <c r="B691" s="107">
        <v>531.13</v>
      </c>
      <c r="C691" s="107">
        <v>510.3</v>
      </c>
      <c r="D691" s="107">
        <v>507.39</v>
      </c>
      <c r="E691" s="107">
        <v>527.37</v>
      </c>
      <c r="F691" s="107">
        <v>2551.5</v>
      </c>
      <c r="G691">
        <v>10672</v>
      </c>
      <c r="H691" s="107"/>
      <c r="I691" s="107"/>
      <c r="L691" s="149">
        <v>43019</v>
      </c>
      <c r="M691" s="107">
        <v>510.66</v>
      </c>
      <c r="N691" s="107">
        <v>531.4</v>
      </c>
      <c r="O691" s="107">
        <v>507.21000000000004</v>
      </c>
      <c r="P691" s="107">
        <v>528.79999999999995</v>
      </c>
      <c r="Q691" s="107">
        <v>2553.3000000000002</v>
      </c>
      <c r="R691">
        <v>124553</v>
      </c>
    </row>
    <row r="692" spans="1:18" x14ac:dyDescent="0.25">
      <c r="A692" s="149">
        <v>43020</v>
      </c>
      <c r="B692" s="107">
        <v>530.9</v>
      </c>
      <c r="C692" s="107">
        <v>525.85</v>
      </c>
      <c r="D692" s="107">
        <v>510</v>
      </c>
      <c r="E692" s="107">
        <v>520</v>
      </c>
      <c r="F692" s="107">
        <v>525.85</v>
      </c>
      <c r="G692">
        <v>42947</v>
      </c>
      <c r="H692" s="107"/>
      <c r="I692" s="107"/>
      <c r="L692" s="149">
        <v>43020</v>
      </c>
      <c r="M692" s="107">
        <v>526</v>
      </c>
      <c r="N692" s="107">
        <v>529.45000000000005</v>
      </c>
      <c r="O692" s="107">
        <v>510.9</v>
      </c>
      <c r="P692" s="107">
        <v>516</v>
      </c>
      <c r="Q692" s="107">
        <v>526</v>
      </c>
      <c r="R692">
        <v>651990</v>
      </c>
    </row>
    <row r="693" spans="1:18" x14ac:dyDescent="0.25">
      <c r="A693" s="149">
        <v>43021</v>
      </c>
      <c r="B693" s="107">
        <v>563</v>
      </c>
      <c r="C693" s="107">
        <v>558.6</v>
      </c>
      <c r="D693" s="107">
        <v>528.29999999999995</v>
      </c>
      <c r="E693" s="107">
        <v>528.29999999999995</v>
      </c>
      <c r="F693" s="107">
        <v>558.6</v>
      </c>
      <c r="G693">
        <v>148609</v>
      </c>
      <c r="H693" s="107"/>
      <c r="I693" s="107"/>
      <c r="L693" s="149">
        <v>43021</v>
      </c>
      <c r="M693" s="107">
        <v>558.75</v>
      </c>
      <c r="N693" s="107">
        <v>562</v>
      </c>
      <c r="O693" s="107">
        <v>527</v>
      </c>
      <c r="P693" s="107">
        <v>530</v>
      </c>
      <c r="Q693" s="107">
        <v>558.75</v>
      </c>
      <c r="R693">
        <v>1585443</v>
      </c>
    </row>
    <row r="694" spans="1:18" x14ac:dyDescent="0.25">
      <c r="A694" s="149">
        <v>43024</v>
      </c>
      <c r="B694" s="107">
        <v>565.70000000000005</v>
      </c>
      <c r="C694" s="107">
        <v>549.5</v>
      </c>
      <c r="D694" s="107">
        <v>546</v>
      </c>
      <c r="E694" s="107">
        <v>561.04999999999995</v>
      </c>
      <c r="F694" s="107">
        <v>549.5</v>
      </c>
      <c r="G694">
        <v>65865</v>
      </c>
      <c r="H694" s="107"/>
      <c r="I694" s="107"/>
      <c r="L694" s="149">
        <v>43024</v>
      </c>
      <c r="M694" s="107">
        <v>549.4</v>
      </c>
      <c r="N694" s="107">
        <v>564.70000000000005</v>
      </c>
      <c r="O694" s="107">
        <v>545.65</v>
      </c>
      <c r="P694" s="107">
        <v>562</v>
      </c>
      <c r="Q694" s="107">
        <v>549.4</v>
      </c>
      <c r="R694">
        <v>876239</v>
      </c>
    </row>
    <row r="695" spans="1:18" x14ac:dyDescent="0.25">
      <c r="A695" s="149">
        <v>43025</v>
      </c>
      <c r="B695" s="107">
        <v>555.20000000000005</v>
      </c>
      <c r="C695" s="107">
        <v>550.75</v>
      </c>
      <c r="D695" s="107">
        <v>547.4</v>
      </c>
      <c r="E695" s="107">
        <v>552.75</v>
      </c>
      <c r="F695" s="107">
        <v>550.75</v>
      </c>
      <c r="G695">
        <v>26267</v>
      </c>
      <c r="H695" s="107"/>
      <c r="I695" s="107"/>
      <c r="L695" s="149">
        <v>43025</v>
      </c>
      <c r="M695" s="107">
        <v>551.5</v>
      </c>
      <c r="N695" s="107">
        <v>554.75</v>
      </c>
      <c r="O695" s="107">
        <v>545</v>
      </c>
      <c r="P695" s="107">
        <v>551</v>
      </c>
      <c r="Q695" s="107">
        <v>551.5</v>
      </c>
      <c r="R695">
        <v>428851</v>
      </c>
    </row>
    <row r="696" spans="1:18" x14ac:dyDescent="0.25">
      <c r="A696" s="149">
        <v>43026</v>
      </c>
      <c r="B696" s="107">
        <v>551.54999999999995</v>
      </c>
      <c r="C696" s="107">
        <v>542.54999999999995</v>
      </c>
      <c r="D696" s="107">
        <v>539.85</v>
      </c>
      <c r="E696" s="107">
        <v>550.95000000000005</v>
      </c>
      <c r="F696" s="107">
        <v>542.54999999999995</v>
      </c>
      <c r="G696">
        <v>35989</v>
      </c>
      <c r="H696" s="107"/>
      <c r="I696" s="107"/>
      <c r="L696" s="149">
        <v>43026</v>
      </c>
      <c r="M696" s="107">
        <v>540.70000000000005</v>
      </c>
      <c r="N696" s="107">
        <v>552</v>
      </c>
      <c r="O696" s="107">
        <v>539.20000000000005</v>
      </c>
      <c r="P696" s="107">
        <v>550.79999999999995</v>
      </c>
      <c r="Q696" s="107">
        <v>540.70000000000005</v>
      </c>
      <c r="R696">
        <v>505344</v>
      </c>
    </row>
    <row r="697" spans="1:18" x14ac:dyDescent="0.25">
      <c r="A697" s="149">
        <v>43027</v>
      </c>
      <c r="B697" s="107">
        <v>549.85</v>
      </c>
      <c r="C697" s="107">
        <v>537.54999999999995</v>
      </c>
      <c r="D697" s="107">
        <v>534</v>
      </c>
      <c r="E697" s="107">
        <v>549.85</v>
      </c>
      <c r="F697" s="107">
        <v>537.54999999999995</v>
      </c>
      <c r="G697">
        <v>12305</v>
      </c>
      <c r="H697" s="107"/>
      <c r="I697" s="107"/>
      <c r="L697" s="149">
        <v>43027</v>
      </c>
      <c r="M697" s="107">
        <v>537.15</v>
      </c>
      <c r="N697" s="107">
        <v>544.6</v>
      </c>
      <c r="O697" s="107">
        <v>532.25</v>
      </c>
      <c r="P697" s="107">
        <v>541</v>
      </c>
      <c r="Q697" s="107">
        <v>537.15</v>
      </c>
      <c r="R697">
        <v>134995</v>
      </c>
    </row>
    <row r="698" spans="1:18" x14ac:dyDescent="0.25">
      <c r="A698" s="149">
        <v>43031</v>
      </c>
      <c r="B698" s="107">
        <v>545</v>
      </c>
      <c r="C698" s="107">
        <v>537.4</v>
      </c>
      <c r="D698" s="107">
        <v>530</v>
      </c>
      <c r="E698" s="107">
        <v>538.4</v>
      </c>
      <c r="F698" s="107">
        <v>537.4</v>
      </c>
      <c r="G698">
        <v>44049</v>
      </c>
      <c r="H698" s="107"/>
      <c r="I698" s="107"/>
      <c r="L698" s="149">
        <v>43031</v>
      </c>
      <c r="M698" s="107">
        <v>537.85</v>
      </c>
      <c r="N698" s="107">
        <v>545.4</v>
      </c>
      <c r="O698" s="107">
        <v>533.4</v>
      </c>
      <c r="P698" s="107">
        <v>537</v>
      </c>
      <c r="Q698" s="107">
        <v>537.85</v>
      </c>
      <c r="R698">
        <v>439606</v>
      </c>
    </row>
    <row r="699" spans="1:18" x14ac:dyDescent="0.25">
      <c r="A699" s="149">
        <v>43032</v>
      </c>
      <c r="B699" s="107">
        <v>558.54999999999995</v>
      </c>
      <c r="C699" s="107">
        <v>538.95000000000005</v>
      </c>
      <c r="D699" s="107">
        <v>535.45000000000005</v>
      </c>
      <c r="E699" s="107">
        <v>540.35</v>
      </c>
      <c r="F699" s="107">
        <v>538.95000000000005</v>
      </c>
      <c r="G699">
        <v>174217</v>
      </c>
      <c r="H699" s="107"/>
      <c r="I699" s="107"/>
      <c r="L699" s="149">
        <v>43032</v>
      </c>
      <c r="M699" s="107">
        <v>538.9</v>
      </c>
      <c r="N699" s="107">
        <v>555.79999999999995</v>
      </c>
      <c r="O699" s="107">
        <v>534</v>
      </c>
      <c r="P699" s="107">
        <v>540.95000000000005</v>
      </c>
      <c r="Q699" s="107">
        <v>538.9</v>
      </c>
      <c r="R699">
        <v>1735326</v>
      </c>
    </row>
    <row r="700" spans="1:18" x14ac:dyDescent="0.25">
      <c r="A700" s="149">
        <v>43033</v>
      </c>
      <c r="B700" s="107">
        <v>539</v>
      </c>
      <c r="C700" s="107">
        <v>504.45</v>
      </c>
      <c r="D700" s="107">
        <v>498.1</v>
      </c>
      <c r="E700" s="107">
        <v>539</v>
      </c>
      <c r="F700" s="107">
        <v>504.45</v>
      </c>
      <c r="G700">
        <v>154982</v>
      </c>
      <c r="H700" s="107"/>
      <c r="I700" s="107"/>
      <c r="L700" s="149">
        <v>43033</v>
      </c>
      <c r="M700" s="107">
        <v>503.1</v>
      </c>
      <c r="N700" s="107">
        <v>539.85</v>
      </c>
      <c r="O700" s="107">
        <v>496.85</v>
      </c>
      <c r="P700" s="107">
        <v>534</v>
      </c>
      <c r="Q700" s="107">
        <v>503.1</v>
      </c>
      <c r="R700">
        <v>1993043</v>
      </c>
    </row>
    <row r="701" spans="1:18" x14ac:dyDescent="0.25">
      <c r="A701" s="149">
        <v>43034</v>
      </c>
      <c r="B701" s="107">
        <v>506.6</v>
      </c>
      <c r="C701" s="107">
        <v>498.45</v>
      </c>
      <c r="D701" s="107">
        <v>480.6</v>
      </c>
      <c r="E701" s="107">
        <v>503</v>
      </c>
      <c r="F701" s="107">
        <v>498.45</v>
      </c>
      <c r="G701">
        <v>147385</v>
      </c>
      <c r="H701" s="107"/>
      <c r="I701" s="107"/>
      <c r="L701" s="149">
        <v>43034</v>
      </c>
      <c r="M701" s="107">
        <v>498.55</v>
      </c>
      <c r="N701" s="107">
        <v>507.95</v>
      </c>
      <c r="O701" s="107">
        <v>480.1</v>
      </c>
      <c r="P701" s="107">
        <v>501</v>
      </c>
      <c r="Q701" s="107">
        <v>498.55</v>
      </c>
      <c r="R701">
        <v>1518657</v>
      </c>
    </row>
    <row r="702" spans="1:18" x14ac:dyDescent="0.25">
      <c r="A702" s="149">
        <v>43035</v>
      </c>
      <c r="B702" s="107">
        <v>508.95</v>
      </c>
      <c r="C702" s="107">
        <v>495.35</v>
      </c>
      <c r="D702" s="107">
        <v>492.05</v>
      </c>
      <c r="E702" s="107">
        <v>504</v>
      </c>
      <c r="F702" s="107">
        <v>495.35</v>
      </c>
      <c r="G702">
        <v>80722</v>
      </c>
      <c r="H702" s="107"/>
      <c r="I702" s="107"/>
      <c r="L702" s="149">
        <v>43035</v>
      </c>
      <c r="M702" s="107">
        <v>495.7</v>
      </c>
      <c r="N702" s="107">
        <v>509.35</v>
      </c>
      <c r="O702" s="107">
        <v>493.1</v>
      </c>
      <c r="P702" s="107">
        <v>504</v>
      </c>
      <c r="Q702" s="107">
        <v>495.7</v>
      </c>
      <c r="R702">
        <v>847741</v>
      </c>
    </row>
    <row r="703" spans="1:18" x14ac:dyDescent="0.25">
      <c r="A703" s="149">
        <v>43038</v>
      </c>
      <c r="B703" s="107">
        <v>502.25</v>
      </c>
      <c r="C703" s="107">
        <v>489.3</v>
      </c>
      <c r="D703" s="107">
        <v>487.25</v>
      </c>
      <c r="E703" s="107">
        <v>496.35</v>
      </c>
      <c r="F703" s="107">
        <v>489.3</v>
      </c>
      <c r="G703">
        <v>70979</v>
      </c>
      <c r="H703" s="107"/>
      <c r="I703" s="107"/>
      <c r="L703" s="149">
        <v>43038</v>
      </c>
      <c r="M703" s="107">
        <v>488.75</v>
      </c>
      <c r="N703" s="107">
        <v>502.5</v>
      </c>
      <c r="O703" s="107">
        <v>486.5</v>
      </c>
      <c r="P703" s="107">
        <v>496</v>
      </c>
      <c r="Q703" s="107">
        <v>488.75</v>
      </c>
      <c r="R703">
        <v>674251</v>
      </c>
    </row>
    <row r="704" spans="1:18" x14ac:dyDescent="0.25">
      <c r="A704" s="149">
        <v>43039</v>
      </c>
      <c r="B704" s="107">
        <v>494.95</v>
      </c>
      <c r="C704" s="107">
        <v>480.25</v>
      </c>
      <c r="D704" s="107">
        <v>477.25</v>
      </c>
      <c r="E704" s="107">
        <v>491.55</v>
      </c>
      <c r="F704" s="107">
        <v>480.25</v>
      </c>
      <c r="G704">
        <v>105257</v>
      </c>
      <c r="H704" s="107"/>
      <c r="I704" s="107"/>
      <c r="L704" s="149">
        <v>43039</v>
      </c>
      <c r="M704" s="107">
        <v>480.15</v>
      </c>
      <c r="N704" s="107">
        <v>495.15</v>
      </c>
      <c r="O704" s="107">
        <v>478</v>
      </c>
      <c r="P704" s="107">
        <v>493.9</v>
      </c>
      <c r="Q704" s="107">
        <v>480.15</v>
      </c>
      <c r="R704">
        <v>917182</v>
      </c>
    </row>
    <row r="705" spans="1:18" x14ac:dyDescent="0.25">
      <c r="A705" s="149">
        <v>43040</v>
      </c>
      <c r="B705" s="107">
        <v>493</v>
      </c>
      <c r="C705" s="107">
        <v>470.6</v>
      </c>
      <c r="D705" s="107">
        <v>468.55</v>
      </c>
      <c r="E705" s="107">
        <v>493</v>
      </c>
      <c r="F705" s="107">
        <v>470.6</v>
      </c>
      <c r="G705">
        <v>123944</v>
      </c>
      <c r="H705" s="107"/>
      <c r="I705" s="107"/>
      <c r="L705" s="149">
        <v>43040</v>
      </c>
      <c r="M705" s="107">
        <v>470.9</v>
      </c>
      <c r="N705" s="107">
        <v>485.85</v>
      </c>
      <c r="O705" s="107">
        <v>469.65</v>
      </c>
      <c r="P705" s="107">
        <v>484.8</v>
      </c>
      <c r="Q705" s="107">
        <v>470.9</v>
      </c>
      <c r="R705">
        <v>943274</v>
      </c>
    </row>
    <row r="706" spans="1:18" x14ac:dyDescent="0.25">
      <c r="A706" s="149">
        <v>43041</v>
      </c>
      <c r="B706" s="107">
        <v>482.55</v>
      </c>
      <c r="C706" s="107">
        <v>472.85</v>
      </c>
      <c r="D706" s="107">
        <v>466</v>
      </c>
      <c r="E706" s="107">
        <v>470</v>
      </c>
      <c r="F706" s="107">
        <v>472.85</v>
      </c>
      <c r="G706">
        <v>123016</v>
      </c>
      <c r="H706" s="107"/>
      <c r="I706" s="107"/>
      <c r="L706" s="149">
        <v>43041</v>
      </c>
      <c r="M706" s="107">
        <v>472.6</v>
      </c>
      <c r="N706" s="107">
        <v>482.8</v>
      </c>
      <c r="O706" s="107">
        <v>465.25</v>
      </c>
      <c r="P706" s="107">
        <v>472</v>
      </c>
      <c r="Q706" s="107">
        <v>472.6</v>
      </c>
      <c r="R706">
        <v>1274760</v>
      </c>
    </row>
    <row r="707" spans="1:18" x14ac:dyDescent="0.25">
      <c r="A707" s="149">
        <v>43042</v>
      </c>
      <c r="B707" s="107">
        <v>477.45</v>
      </c>
      <c r="C707" s="107">
        <v>467.8</v>
      </c>
      <c r="D707" s="107">
        <v>465.5</v>
      </c>
      <c r="E707" s="107">
        <v>476.55</v>
      </c>
      <c r="F707" s="107">
        <v>467.8</v>
      </c>
      <c r="G707">
        <v>81344</v>
      </c>
      <c r="H707" s="107"/>
      <c r="I707" s="107"/>
      <c r="L707" s="149">
        <v>43042</v>
      </c>
      <c r="M707" s="107">
        <v>467.35</v>
      </c>
      <c r="N707" s="107">
        <v>477.5</v>
      </c>
      <c r="O707" s="107">
        <v>464.8</v>
      </c>
      <c r="P707" s="107">
        <v>471.1</v>
      </c>
      <c r="Q707" s="107">
        <v>467.35</v>
      </c>
      <c r="R707">
        <v>720847</v>
      </c>
    </row>
    <row r="708" spans="1:18" x14ac:dyDescent="0.25">
      <c r="A708" s="149">
        <v>43045</v>
      </c>
      <c r="B708" s="107">
        <v>469.4</v>
      </c>
      <c r="C708" s="107">
        <v>456.35</v>
      </c>
      <c r="D708" s="107">
        <v>454.15</v>
      </c>
      <c r="E708" s="107">
        <v>466</v>
      </c>
      <c r="F708" s="107">
        <v>456.35</v>
      </c>
      <c r="G708">
        <v>121449</v>
      </c>
      <c r="H708" s="107"/>
      <c r="I708" s="107"/>
      <c r="L708" s="149">
        <v>43045</v>
      </c>
      <c r="M708" s="107">
        <v>456.15</v>
      </c>
      <c r="N708" s="107">
        <v>470</v>
      </c>
      <c r="O708" s="107">
        <v>454.95</v>
      </c>
      <c r="P708" s="107">
        <v>468</v>
      </c>
      <c r="Q708" s="107">
        <v>456.15</v>
      </c>
      <c r="R708">
        <v>760577</v>
      </c>
    </row>
    <row r="709" spans="1:18" x14ac:dyDescent="0.25">
      <c r="A709" s="149">
        <v>43046</v>
      </c>
      <c r="B709" s="107">
        <v>472.5</v>
      </c>
      <c r="C709" s="107">
        <v>456.8</v>
      </c>
      <c r="D709" s="107">
        <v>453.25</v>
      </c>
      <c r="E709" s="107">
        <v>457</v>
      </c>
      <c r="F709" s="107">
        <v>456.8</v>
      </c>
      <c r="G709">
        <v>160557</v>
      </c>
      <c r="H709" s="107"/>
      <c r="I709" s="107"/>
      <c r="L709" s="149">
        <v>43046</v>
      </c>
      <c r="M709" s="107">
        <v>456.2</v>
      </c>
      <c r="N709" s="107">
        <v>471.9</v>
      </c>
      <c r="O709" s="107">
        <v>452.35</v>
      </c>
      <c r="P709" s="107">
        <v>456.6</v>
      </c>
      <c r="Q709" s="107">
        <v>456.2</v>
      </c>
      <c r="R709">
        <v>936897</v>
      </c>
    </row>
    <row r="710" spans="1:18" x14ac:dyDescent="0.25">
      <c r="A710" s="149">
        <v>43047</v>
      </c>
      <c r="B710" s="107">
        <v>463.95</v>
      </c>
      <c r="C710" s="107">
        <v>453.6</v>
      </c>
      <c r="D710" s="107">
        <v>443</v>
      </c>
      <c r="E710" s="107">
        <v>453.05</v>
      </c>
      <c r="F710" s="107">
        <v>453.6</v>
      </c>
      <c r="G710">
        <v>91942</v>
      </c>
      <c r="H710" s="107"/>
      <c r="I710" s="107"/>
      <c r="L710" s="149">
        <v>43047</v>
      </c>
      <c r="M710" s="107">
        <v>453.4</v>
      </c>
      <c r="N710" s="107">
        <v>463.75</v>
      </c>
      <c r="O710" s="107">
        <v>443.1</v>
      </c>
      <c r="P710" s="107">
        <v>458.9</v>
      </c>
      <c r="Q710" s="107">
        <v>453.4</v>
      </c>
      <c r="R710">
        <v>607491</v>
      </c>
    </row>
    <row r="711" spans="1:18" x14ac:dyDescent="0.25">
      <c r="A711" s="149">
        <v>43048</v>
      </c>
      <c r="B711" s="107">
        <v>464.8</v>
      </c>
      <c r="C711" s="107">
        <v>458.6</v>
      </c>
      <c r="D711" s="107">
        <v>449</v>
      </c>
      <c r="E711" s="107">
        <v>453</v>
      </c>
      <c r="F711" s="107">
        <v>458.6</v>
      </c>
      <c r="G711">
        <v>102637</v>
      </c>
      <c r="H711" s="107"/>
      <c r="I711" s="107"/>
      <c r="L711" s="149">
        <v>43048</v>
      </c>
      <c r="M711" s="107">
        <v>459.9</v>
      </c>
      <c r="N711" s="107">
        <v>465</v>
      </c>
      <c r="O711" s="107">
        <v>453</v>
      </c>
      <c r="P711" s="107">
        <v>455.9</v>
      </c>
      <c r="Q711" s="107">
        <v>459.9</v>
      </c>
      <c r="R711">
        <v>581753</v>
      </c>
    </row>
    <row r="712" spans="1:18" x14ac:dyDescent="0.25">
      <c r="A712" s="149">
        <v>43049</v>
      </c>
      <c r="B712" s="107">
        <v>469.75</v>
      </c>
      <c r="C712" s="107">
        <v>462.65</v>
      </c>
      <c r="D712" s="107">
        <v>458.55</v>
      </c>
      <c r="E712" s="107">
        <v>459</v>
      </c>
      <c r="F712" s="107">
        <v>462.65</v>
      </c>
      <c r="G712">
        <v>79005</v>
      </c>
      <c r="H712" s="107"/>
      <c r="I712" s="107"/>
      <c r="L712" s="149">
        <v>43049</v>
      </c>
      <c r="M712" s="107">
        <v>462.4</v>
      </c>
      <c r="N712" s="107">
        <v>469.8</v>
      </c>
      <c r="O712" s="107">
        <v>457.2</v>
      </c>
      <c r="P712" s="107">
        <v>459</v>
      </c>
      <c r="Q712" s="107">
        <v>462.4</v>
      </c>
      <c r="R712">
        <v>597558</v>
      </c>
    </row>
    <row r="713" spans="1:18" x14ac:dyDescent="0.25">
      <c r="A713" s="149">
        <v>43052</v>
      </c>
      <c r="B713" s="107">
        <v>466.9</v>
      </c>
      <c r="C713" s="107">
        <v>453.45</v>
      </c>
      <c r="D713" s="107">
        <v>452.5</v>
      </c>
      <c r="E713" s="107">
        <v>458</v>
      </c>
      <c r="F713" s="107">
        <v>453.45</v>
      </c>
      <c r="G713">
        <v>45245</v>
      </c>
      <c r="H713" s="107"/>
      <c r="I713" s="107"/>
      <c r="L713" s="149">
        <v>43052</v>
      </c>
      <c r="M713" s="107">
        <v>453.05</v>
      </c>
      <c r="N713" s="107">
        <v>467</v>
      </c>
      <c r="O713" s="107">
        <v>452</v>
      </c>
      <c r="P713" s="107">
        <v>463.3</v>
      </c>
      <c r="Q713" s="107">
        <v>453.05</v>
      </c>
      <c r="R713">
        <v>449400</v>
      </c>
    </row>
    <row r="714" spans="1:18" x14ac:dyDescent="0.25">
      <c r="A714" s="149">
        <v>43053</v>
      </c>
      <c r="B714" s="107">
        <v>459.95</v>
      </c>
      <c r="C714" s="107">
        <v>453.15</v>
      </c>
      <c r="D714" s="107">
        <v>450.1</v>
      </c>
      <c r="E714" s="107">
        <v>450.1</v>
      </c>
      <c r="F714" s="107">
        <v>453.15</v>
      </c>
      <c r="G714">
        <v>44696</v>
      </c>
      <c r="H714" s="107"/>
      <c r="I714" s="107"/>
      <c r="L714" s="149">
        <v>43053</v>
      </c>
      <c r="M714" s="107">
        <v>453.55</v>
      </c>
      <c r="N714" s="107">
        <v>460.75</v>
      </c>
      <c r="O714" s="107">
        <v>451.2</v>
      </c>
      <c r="P714" s="107">
        <v>454.8</v>
      </c>
      <c r="Q714" s="107">
        <v>453.55</v>
      </c>
      <c r="R714">
        <v>406922</v>
      </c>
    </row>
    <row r="715" spans="1:18" x14ac:dyDescent="0.25">
      <c r="A715" s="149">
        <v>43054</v>
      </c>
      <c r="B715" s="107">
        <v>455</v>
      </c>
      <c r="C715" s="107">
        <v>437.2</v>
      </c>
      <c r="D715" s="107">
        <v>434.8</v>
      </c>
      <c r="E715" s="107">
        <v>455</v>
      </c>
      <c r="F715" s="107">
        <v>437.2</v>
      </c>
      <c r="G715">
        <v>65319</v>
      </c>
      <c r="H715" s="107"/>
      <c r="I715" s="107"/>
      <c r="L715" s="149">
        <v>43054</v>
      </c>
      <c r="M715" s="107">
        <v>437.9</v>
      </c>
      <c r="N715" s="107">
        <v>455</v>
      </c>
      <c r="O715" s="107">
        <v>434.4</v>
      </c>
      <c r="P715" s="107">
        <v>452.7</v>
      </c>
      <c r="Q715" s="107">
        <v>437.9</v>
      </c>
      <c r="R715">
        <v>467724</v>
      </c>
    </row>
    <row r="716" spans="1:18" x14ac:dyDescent="0.25">
      <c r="A716" s="149">
        <v>43055</v>
      </c>
      <c r="B716" s="107">
        <v>461</v>
      </c>
      <c r="C716" s="107">
        <v>449.2</v>
      </c>
      <c r="D716" s="107">
        <v>430.85</v>
      </c>
      <c r="E716" s="107">
        <v>440</v>
      </c>
      <c r="F716" s="107">
        <v>449.2</v>
      </c>
      <c r="G716">
        <v>79124</v>
      </c>
      <c r="H716" s="107"/>
      <c r="I716" s="107"/>
      <c r="L716" s="149">
        <v>43055</v>
      </c>
      <c r="M716" s="107">
        <v>451.55</v>
      </c>
      <c r="N716" s="107">
        <v>460</v>
      </c>
      <c r="O716" s="107">
        <v>430.85</v>
      </c>
      <c r="P716" s="107">
        <v>439.6</v>
      </c>
      <c r="Q716" s="107">
        <v>451.55</v>
      </c>
      <c r="R716">
        <v>685076</v>
      </c>
    </row>
    <row r="717" spans="1:18" x14ac:dyDescent="0.25">
      <c r="A717" s="149">
        <v>43056</v>
      </c>
      <c r="B717" s="107">
        <v>481</v>
      </c>
      <c r="C717" s="107">
        <v>478</v>
      </c>
      <c r="D717" s="107">
        <v>461.9</v>
      </c>
      <c r="E717" s="107">
        <v>466.05</v>
      </c>
      <c r="F717" s="107">
        <v>478</v>
      </c>
      <c r="G717">
        <v>155462</v>
      </c>
      <c r="H717" s="107"/>
      <c r="I717" s="107"/>
      <c r="L717" s="149">
        <v>43056</v>
      </c>
      <c r="M717" s="107">
        <v>479</v>
      </c>
      <c r="N717" s="107">
        <v>482.2</v>
      </c>
      <c r="O717" s="107">
        <v>461.1</v>
      </c>
      <c r="P717" s="107">
        <v>472.6</v>
      </c>
      <c r="Q717" s="107">
        <v>479</v>
      </c>
      <c r="R717">
        <v>1472164</v>
      </c>
    </row>
    <row r="718" spans="1:18" x14ac:dyDescent="0.25">
      <c r="A718" s="149">
        <v>43059</v>
      </c>
      <c r="B718" s="107">
        <v>483.4</v>
      </c>
      <c r="C718" s="107">
        <v>473.75</v>
      </c>
      <c r="D718" s="107">
        <v>463.1</v>
      </c>
      <c r="E718" s="107">
        <v>480</v>
      </c>
      <c r="F718" s="107">
        <v>473.75</v>
      </c>
      <c r="G718">
        <v>77046</v>
      </c>
      <c r="H718" s="107"/>
      <c r="I718" s="107"/>
      <c r="L718" s="149">
        <v>43059</v>
      </c>
      <c r="M718" s="107">
        <v>472.9</v>
      </c>
      <c r="N718" s="107">
        <v>481.9</v>
      </c>
      <c r="O718" s="107">
        <v>462.65</v>
      </c>
      <c r="P718" s="107">
        <v>479</v>
      </c>
      <c r="Q718" s="107">
        <v>472.9</v>
      </c>
      <c r="R718">
        <v>666400</v>
      </c>
    </row>
    <row r="719" spans="1:18" x14ac:dyDescent="0.25">
      <c r="A719" s="149">
        <v>43060</v>
      </c>
      <c r="B719" s="107">
        <v>477</v>
      </c>
      <c r="C719" s="107">
        <v>463.8</v>
      </c>
      <c r="D719" s="107">
        <v>460.1</v>
      </c>
      <c r="E719" s="107">
        <v>476.4</v>
      </c>
      <c r="F719" s="107">
        <v>463.8</v>
      </c>
      <c r="G719">
        <v>48424</v>
      </c>
      <c r="H719" s="107"/>
      <c r="I719" s="107"/>
      <c r="L719" s="149">
        <v>43060</v>
      </c>
      <c r="M719" s="107">
        <v>462.45</v>
      </c>
      <c r="N719" s="107">
        <v>477.25</v>
      </c>
      <c r="O719" s="107">
        <v>460.1</v>
      </c>
      <c r="P719" s="107">
        <v>472.9</v>
      </c>
      <c r="Q719" s="107">
        <v>462.45</v>
      </c>
      <c r="R719">
        <v>490249</v>
      </c>
    </row>
    <row r="720" spans="1:18" x14ac:dyDescent="0.25">
      <c r="A720" s="149">
        <v>43061</v>
      </c>
      <c r="B720" s="107">
        <v>469.5</v>
      </c>
      <c r="C720" s="107">
        <v>464.3</v>
      </c>
      <c r="D720" s="107">
        <v>456.3</v>
      </c>
      <c r="E720" s="107">
        <v>463.85</v>
      </c>
      <c r="F720" s="107">
        <v>464.3</v>
      </c>
      <c r="G720">
        <v>35888</v>
      </c>
      <c r="H720" s="107"/>
      <c r="I720" s="107"/>
      <c r="L720" s="149">
        <v>43061</v>
      </c>
      <c r="M720" s="107">
        <v>464.5</v>
      </c>
      <c r="N720" s="107">
        <v>469.2</v>
      </c>
      <c r="O720" s="107">
        <v>456.2</v>
      </c>
      <c r="P720" s="107">
        <v>462.5</v>
      </c>
      <c r="Q720" s="107">
        <v>464.5</v>
      </c>
      <c r="R720">
        <v>410746</v>
      </c>
    </row>
    <row r="721" spans="1:18" x14ac:dyDescent="0.25">
      <c r="A721" s="149">
        <v>43062</v>
      </c>
      <c r="B721" s="107">
        <v>466.9</v>
      </c>
      <c r="C721" s="107">
        <v>460.4</v>
      </c>
      <c r="D721" s="107">
        <v>456.9</v>
      </c>
      <c r="E721" s="107">
        <v>462.8</v>
      </c>
      <c r="F721" s="107">
        <v>460.4</v>
      </c>
      <c r="G721">
        <v>44878</v>
      </c>
      <c r="H721" s="107"/>
      <c r="I721" s="107"/>
      <c r="L721" s="149">
        <v>43062</v>
      </c>
      <c r="M721" s="107">
        <v>460.8</v>
      </c>
      <c r="N721" s="107">
        <v>467.15</v>
      </c>
      <c r="O721" s="107">
        <v>456.75</v>
      </c>
      <c r="P721" s="107">
        <v>464.5</v>
      </c>
      <c r="Q721" s="107">
        <v>460.8</v>
      </c>
      <c r="R721">
        <v>289736</v>
      </c>
    </row>
    <row r="722" spans="1:18" x14ac:dyDescent="0.25">
      <c r="A722" s="149">
        <v>43063</v>
      </c>
      <c r="B722" s="107">
        <v>463.7</v>
      </c>
      <c r="C722" s="107">
        <v>458.3</v>
      </c>
      <c r="D722" s="107">
        <v>455</v>
      </c>
      <c r="E722" s="107">
        <v>460.4</v>
      </c>
      <c r="F722" s="107">
        <v>458.3</v>
      </c>
      <c r="G722">
        <v>90303</v>
      </c>
      <c r="H722" s="107"/>
      <c r="I722" s="107"/>
      <c r="L722" s="149">
        <v>43063</v>
      </c>
      <c r="M722" s="107">
        <v>458.65</v>
      </c>
      <c r="N722" s="107">
        <v>463.85</v>
      </c>
      <c r="O722" s="107">
        <v>455.9</v>
      </c>
      <c r="P722" s="107">
        <v>460.05</v>
      </c>
      <c r="Q722" s="107">
        <v>458.65</v>
      </c>
      <c r="R722">
        <v>222022</v>
      </c>
    </row>
    <row r="723" spans="1:18" x14ac:dyDescent="0.25">
      <c r="A723" s="149">
        <v>43066</v>
      </c>
      <c r="B723" s="107">
        <v>475.7</v>
      </c>
      <c r="C723" s="107">
        <v>473.8</v>
      </c>
      <c r="D723" s="107">
        <v>456.05</v>
      </c>
      <c r="E723" s="107">
        <v>458.15</v>
      </c>
      <c r="F723" s="107">
        <v>473.8</v>
      </c>
      <c r="G723">
        <v>75223</v>
      </c>
      <c r="H723" s="107"/>
      <c r="I723" s="107"/>
      <c r="L723" s="149">
        <v>43066</v>
      </c>
      <c r="M723" s="107">
        <v>473.7</v>
      </c>
      <c r="N723" s="107">
        <v>476</v>
      </c>
      <c r="O723" s="107">
        <v>455</v>
      </c>
      <c r="P723" s="107">
        <v>456.3</v>
      </c>
      <c r="Q723" s="107">
        <v>473.7</v>
      </c>
      <c r="R723">
        <v>735389</v>
      </c>
    </row>
    <row r="724" spans="1:18" x14ac:dyDescent="0.25">
      <c r="A724" s="149">
        <v>43067</v>
      </c>
      <c r="B724" s="107">
        <v>489.55</v>
      </c>
      <c r="C724" s="107">
        <v>483.65</v>
      </c>
      <c r="D724" s="107">
        <v>472</v>
      </c>
      <c r="E724" s="107">
        <v>472</v>
      </c>
      <c r="F724" s="107">
        <v>483.65</v>
      </c>
      <c r="G724">
        <v>129692</v>
      </c>
      <c r="H724" s="107"/>
      <c r="I724" s="107"/>
      <c r="L724" s="149">
        <v>43067</v>
      </c>
      <c r="M724" s="107">
        <v>483.5</v>
      </c>
      <c r="N724" s="107">
        <v>489.95</v>
      </c>
      <c r="O724" s="107">
        <v>473.95</v>
      </c>
      <c r="P724" s="107">
        <v>473.95</v>
      </c>
      <c r="Q724" s="107">
        <v>483.5</v>
      </c>
      <c r="R724">
        <v>1198682</v>
      </c>
    </row>
    <row r="725" spans="1:18" x14ac:dyDescent="0.25">
      <c r="A725" s="149">
        <v>43068</v>
      </c>
      <c r="B725" s="107">
        <v>492.3</v>
      </c>
      <c r="C725" s="107">
        <v>489.75</v>
      </c>
      <c r="D725" s="107">
        <v>478.65</v>
      </c>
      <c r="E725" s="107">
        <v>483.7</v>
      </c>
      <c r="F725" s="107">
        <v>489.75</v>
      </c>
      <c r="G725">
        <v>79292</v>
      </c>
      <c r="H725" s="107"/>
      <c r="I725" s="107"/>
      <c r="L725" s="149">
        <v>43068</v>
      </c>
      <c r="M725" s="107">
        <v>490.45</v>
      </c>
      <c r="N725" s="107">
        <v>492.6</v>
      </c>
      <c r="O725" s="107">
        <v>478.1</v>
      </c>
      <c r="P725" s="107">
        <v>483.5</v>
      </c>
      <c r="Q725" s="107">
        <v>490.45</v>
      </c>
      <c r="R725">
        <v>824447</v>
      </c>
    </row>
    <row r="726" spans="1:18" x14ac:dyDescent="0.25">
      <c r="A726" s="149">
        <v>43069</v>
      </c>
      <c r="B726" s="107">
        <v>495</v>
      </c>
      <c r="C726" s="107">
        <v>484.35</v>
      </c>
      <c r="D726" s="107">
        <v>480</v>
      </c>
      <c r="E726" s="107">
        <v>488.4</v>
      </c>
      <c r="F726" s="107">
        <v>484.35</v>
      </c>
      <c r="G726">
        <v>60902</v>
      </c>
      <c r="H726" s="107"/>
      <c r="I726" s="107"/>
      <c r="L726" s="149">
        <v>43069</v>
      </c>
      <c r="M726" s="107">
        <v>483.55</v>
      </c>
      <c r="N726" s="107">
        <v>495</v>
      </c>
      <c r="O726" s="107">
        <v>481</v>
      </c>
      <c r="P726" s="107">
        <v>488</v>
      </c>
      <c r="Q726" s="107">
        <v>483.55</v>
      </c>
      <c r="R726">
        <v>754189</v>
      </c>
    </row>
    <row r="727" spans="1:18" x14ac:dyDescent="0.25">
      <c r="A727" s="149">
        <v>43070</v>
      </c>
      <c r="B727" s="107">
        <v>491</v>
      </c>
      <c r="C727" s="107">
        <v>467.35</v>
      </c>
      <c r="D727" s="107">
        <v>464.85</v>
      </c>
      <c r="E727" s="107">
        <v>480</v>
      </c>
      <c r="F727" s="107">
        <v>467.35</v>
      </c>
      <c r="G727">
        <v>56521</v>
      </c>
      <c r="H727" s="107"/>
      <c r="I727" s="107"/>
      <c r="L727" s="149">
        <v>43070</v>
      </c>
      <c r="M727" s="107">
        <v>467.05</v>
      </c>
      <c r="N727" s="107">
        <v>491</v>
      </c>
      <c r="O727" s="107">
        <v>464.25</v>
      </c>
      <c r="P727" s="107">
        <v>484</v>
      </c>
      <c r="Q727" s="107">
        <v>467.05</v>
      </c>
      <c r="R727">
        <v>507775</v>
      </c>
    </row>
    <row r="728" spans="1:18" x14ac:dyDescent="0.25">
      <c r="A728" s="149">
        <v>43073</v>
      </c>
      <c r="B728" s="107">
        <v>470.9</v>
      </c>
      <c r="C728" s="107">
        <v>459.65</v>
      </c>
      <c r="D728" s="107">
        <v>453</v>
      </c>
      <c r="E728" s="107">
        <v>467.35</v>
      </c>
      <c r="F728" s="107">
        <v>459.65</v>
      </c>
      <c r="G728">
        <v>37092</v>
      </c>
      <c r="H728" s="107"/>
      <c r="I728" s="107"/>
      <c r="L728" s="149">
        <v>43073</v>
      </c>
      <c r="M728" s="107">
        <v>458.8</v>
      </c>
      <c r="N728" s="107">
        <v>471.25</v>
      </c>
      <c r="O728" s="107">
        <v>451.85</v>
      </c>
      <c r="P728" s="107">
        <v>467</v>
      </c>
      <c r="Q728" s="107">
        <v>458.8</v>
      </c>
      <c r="R728">
        <v>352122</v>
      </c>
    </row>
    <row r="729" spans="1:18" x14ac:dyDescent="0.25">
      <c r="A729" s="149">
        <v>43074</v>
      </c>
      <c r="B729" s="107">
        <v>468</v>
      </c>
      <c r="C729" s="107">
        <v>464.1</v>
      </c>
      <c r="D729" s="107">
        <v>451.55</v>
      </c>
      <c r="E729" s="107">
        <v>459.15</v>
      </c>
      <c r="F729" s="107">
        <v>464.1</v>
      </c>
      <c r="G729">
        <v>48355</v>
      </c>
      <c r="H729" s="107"/>
      <c r="I729" s="107"/>
      <c r="L729" s="149">
        <v>43074</v>
      </c>
      <c r="M729" s="107">
        <v>464.15</v>
      </c>
      <c r="N729" s="107">
        <v>468</v>
      </c>
      <c r="O729" s="107">
        <v>451.2</v>
      </c>
      <c r="P729" s="107">
        <v>459.5</v>
      </c>
      <c r="Q729" s="107">
        <v>464.15</v>
      </c>
      <c r="R729">
        <v>483178</v>
      </c>
    </row>
    <row r="730" spans="1:18" x14ac:dyDescent="0.25">
      <c r="A730" s="149">
        <v>43075</v>
      </c>
      <c r="B730" s="107">
        <v>472.5</v>
      </c>
      <c r="C730" s="107">
        <v>457.8</v>
      </c>
      <c r="D730" s="107">
        <v>455</v>
      </c>
      <c r="E730" s="107">
        <v>463</v>
      </c>
      <c r="F730" s="107">
        <v>457.8</v>
      </c>
      <c r="G730">
        <v>66942</v>
      </c>
      <c r="H730" s="107"/>
      <c r="I730" s="107"/>
      <c r="L730" s="149">
        <v>43075</v>
      </c>
      <c r="M730" s="107">
        <v>457.95</v>
      </c>
      <c r="N730" s="107">
        <v>472.5</v>
      </c>
      <c r="O730" s="107">
        <v>455.4</v>
      </c>
      <c r="P730" s="107">
        <v>463.8</v>
      </c>
      <c r="Q730" s="107">
        <v>457.95</v>
      </c>
      <c r="R730">
        <v>428913</v>
      </c>
    </row>
    <row r="731" spans="1:18" x14ac:dyDescent="0.25">
      <c r="A731" s="149">
        <v>43076</v>
      </c>
      <c r="B731" s="107">
        <v>488.25</v>
      </c>
      <c r="C731" s="107">
        <v>486.05</v>
      </c>
      <c r="D731" s="107">
        <v>458.85</v>
      </c>
      <c r="E731" s="107">
        <v>458.85</v>
      </c>
      <c r="F731" s="107">
        <v>486.05</v>
      </c>
      <c r="G731">
        <v>114708</v>
      </c>
      <c r="H731" s="107"/>
      <c r="I731" s="107"/>
      <c r="L731" s="149">
        <v>43076</v>
      </c>
      <c r="M731" s="107">
        <v>485.6</v>
      </c>
      <c r="N731" s="107">
        <v>489</v>
      </c>
      <c r="O731" s="107">
        <v>458.65</v>
      </c>
      <c r="P731" s="107">
        <v>458.65</v>
      </c>
      <c r="Q731" s="107">
        <v>485.6</v>
      </c>
      <c r="R731">
        <v>1123851</v>
      </c>
    </row>
    <row r="732" spans="1:18" x14ac:dyDescent="0.25">
      <c r="A732" s="149">
        <v>43077</v>
      </c>
      <c r="B732" s="107">
        <v>490.6</v>
      </c>
      <c r="C732" s="107">
        <v>481.3</v>
      </c>
      <c r="D732" s="107">
        <v>478.4</v>
      </c>
      <c r="E732" s="107">
        <v>486</v>
      </c>
      <c r="F732" s="107">
        <v>481.3</v>
      </c>
      <c r="G732">
        <v>54324</v>
      </c>
      <c r="H732" s="107"/>
      <c r="I732" s="107"/>
      <c r="L732" s="149">
        <v>43077</v>
      </c>
      <c r="M732" s="107">
        <v>481.35</v>
      </c>
      <c r="N732" s="107">
        <v>490.5</v>
      </c>
      <c r="O732" s="107">
        <v>478.2</v>
      </c>
      <c r="P732" s="107">
        <v>482.7</v>
      </c>
      <c r="Q732" s="107">
        <v>481.35</v>
      </c>
      <c r="R732">
        <v>487848</v>
      </c>
    </row>
    <row r="733" spans="1:18" x14ac:dyDescent="0.25">
      <c r="A733" s="149">
        <v>43080</v>
      </c>
      <c r="B733" s="107">
        <v>491.85</v>
      </c>
      <c r="C733" s="107">
        <v>483.95</v>
      </c>
      <c r="D733" s="107">
        <v>480</v>
      </c>
      <c r="E733" s="107">
        <v>484.8</v>
      </c>
      <c r="F733" s="107">
        <v>483.95</v>
      </c>
      <c r="G733">
        <v>79919</v>
      </c>
      <c r="H733" s="107"/>
      <c r="I733" s="107"/>
      <c r="L733" s="149">
        <v>43080</v>
      </c>
      <c r="M733" s="107">
        <v>484.95</v>
      </c>
      <c r="N733" s="107">
        <v>492</v>
      </c>
      <c r="O733" s="107">
        <v>480.75</v>
      </c>
      <c r="P733" s="107">
        <v>483.1</v>
      </c>
      <c r="Q733" s="107">
        <v>484.95</v>
      </c>
      <c r="R733">
        <v>505196</v>
      </c>
    </row>
    <row r="734" spans="1:18" x14ac:dyDescent="0.25">
      <c r="A734" s="149">
        <v>43081</v>
      </c>
      <c r="B734" s="107">
        <v>484.5</v>
      </c>
      <c r="C734" s="107">
        <v>467.4</v>
      </c>
      <c r="D734" s="107">
        <v>465.45</v>
      </c>
      <c r="E734" s="107">
        <v>484.5</v>
      </c>
      <c r="F734" s="107">
        <v>467.4</v>
      </c>
      <c r="G734">
        <v>80378</v>
      </c>
      <c r="H734" s="107"/>
      <c r="I734" s="107"/>
      <c r="L734" s="149">
        <v>43081</v>
      </c>
      <c r="M734" s="107">
        <v>466.55</v>
      </c>
      <c r="N734" s="107">
        <v>487.5</v>
      </c>
      <c r="O734" s="107">
        <v>465</v>
      </c>
      <c r="P734" s="107">
        <v>487.5</v>
      </c>
      <c r="Q734" s="107">
        <v>466.55</v>
      </c>
      <c r="R734">
        <v>716498</v>
      </c>
    </row>
    <row r="735" spans="1:18" x14ac:dyDescent="0.25">
      <c r="A735" s="149">
        <v>43082</v>
      </c>
      <c r="B735" s="107">
        <v>472.6</v>
      </c>
      <c r="C735" s="107">
        <v>464.1</v>
      </c>
      <c r="D735" s="107">
        <v>461.6</v>
      </c>
      <c r="E735" s="107">
        <v>463</v>
      </c>
      <c r="F735" s="107">
        <v>464.1</v>
      </c>
      <c r="G735">
        <v>71334</v>
      </c>
      <c r="H735" s="107"/>
      <c r="I735" s="107"/>
      <c r="L735" s="149">
        <v>43082</v>
      </c>
      <c r="M735" s="107">
        <v>463.65</v>
      </c>
      <c r="N735" s="107">
        <v>471.7</v>
      </c>
      <c r="O735" s="107">
        <v>460.6</v>
      </c>
      <c r="P735" s="107">
        <v>466.55</v>
      </c>
      <c r="Q735" s="107">
        <v>463.65</v>
      </c>
      <c r="R735">
        <v>407558</v>
      </c>
    </row>
    <row r="736" spans="1:18" x14ac:dyDescent="0.25">
      <c r="A736" s="149">
        <v>43083</v>
      </c>
      <c r="B736" s="107">
        <v>466.75</v>
      </c>
      <c r="C736" s="107">
        <v>461.55</v>
      </c>
      <c r="D736" s="107">
        <v>450</v>
      </c>
      <c r="E736" s="107">
        <v>465.4</v>
      </c>
      <c r="F736" s="107">
        <v>461.55</v>
      </c>
      <c r="G736">
        <v>51847</v>
      </c>
      <c r="H736" s="107"/>
      <c r="I736" s="107"/>
      <c r="L736" s="149">
        <v>43083</v>
      </c>
      <c r="M736" s="107">
        <v>460.45</v>
      </c>
      <c r="N736" s="107">
        <v>468.9</v>
      </c>
      <c r="O736" s="107">
        <v>450</v>
      </c>
      <c r="P736" s="107">
        <v>465.55</v>
      </c>
      <c r="Q736" s="107">
        <v>460.45</v>
      </c>
      <c r="R736">
        <v>589800</v>
      </c>
    </row>
    <row r="737" spans="1:18" x14ac:dyDescent="0.25">
      <c r="A737" s="149">
        <v>43084</v>
      </c>
      <c r="B737" s="107">
        <v>474</v>
      </c>
      <c r="C737" s="107">
        <v>467.05</v>
      </c>
      <c r="D737" s="107">
        <v>465.5</v>
      </c>
      <c r="E737" s="107">
        <v>467</v>
      </c>
      <c r="F737" s="107">
        <v>467.05</v>
      </c>
      <c r="G737">
        <v>36246</v>
      </c>
      <c r="H737" s="107"/>
      <c r="I737" s="107"/>
      <c r="L737" s="149">
        <v>43084</v>
      </c>
      <c r="M737" s="107">
        <v>467.6</v>
      </c>
      <c r="N737" s="107">
        <v>473.55</v>
      </c>
      <c r="O737" s="107">
        <v>464</v>
      </c>
      <c r="P737" s="107">
        <v>465.7</v>
      </c>
      <c r="Q737" s="107">
        <v>467.6</v>
      </c>
      <c r="R737">
        <v>440017</v>
      </c>
    </row>
    <row r="738" spans="1:18" x14ac:dyDescent="0.25">
      <c r="A738" s="149">
        <v>43087</v>
      </c>
      <c r="B738" s="107">
        <v>478.5</v>
      </c>
      <c r="C738" s="107">
        <v>474.7</v>
      </c>
      <c r="D738" s="107">
        <v>451.65</v>
      </c>
      <c r="E738" s="107">
        <v>468</v>
      </c>
      <c r="F738" s="107">
        <v>474.7</v>
      </c>
      <c r="G738">
        <v>75606</v>
      </c>
      <c r="H738" s="107"/>
      <c r="I738" s="107"/>
      <c r="L738" s="149">
        <v>43087</v>
      </c>
      <c r="M738" s="107">
        <v>474.05</v>
      </c>
      <c r="N738" s="107">
        <v>478.85</v>
      </c>
      <c r="O738" s="107">
        <v>450.1</v>
      </c>
      <c r="P738" s="107">
        <v>465.65</v>
      </c>
      <c r="Q738" s="107">
        <v>474.05</v>
      </c>
      <c r="R738">
        <v>663767</v>
      </c>
    </row>
    <row r="739" spans="1:18" x14ac:dyDescent="0.25">
      <c r="A739" s="149">
        <v>43088</v>
      </c>
      <c r="B739" s="107">
        <v>482.95</v>
      </c>
      <c r="C739" s="107">
        <v>479.55</v>
      </c>
      <c r="D739" s="107">
        <v>470</v>
      </c>
      <c r="E739" s="107">
        <v>470</v>
      </c>
      <c r="F739" s="107">
        <v>479.55</v>
      </c>
      <c r="G739">
        <v>57397</v>
      </c>
      <c r="H739" s="107"/>
      <c r="I739" s="107"/>
      <c r="L739" s="149">
        <v>43088</v>
      </c>
      <c r="M739" s="107">
        <v>480.4</v>
      </c>
      <c r="N739" s="107">
        <v>483.95</v>
      </c>
      <c r="O739" s="107">
        <v>468</v>
      </c>
      <c r="P739" s="107">
        <v>478.7</v>
      </c>
      <c r="Q739" s="107">
        <v>480.4</v>
      </c>
      <c r="R739">
        <v>462414</v>
      </c>
    </row>
    <row r="740" spans="1:18" x14ac:dyDescent="0.25">
      <c r="A740" s="149">
        <v>43089</v>
      </c>
      <c r="B740" s="107">
        <v>485</v>
      </c>
      <c r="C740" s="107">
        <v>473.75</v>
      </c>
      <c r="D740" s="107">
        <v>472</v>
      </c>
      <c r="E740" s="107">
        <v>485</v>
      </c>
      <c r="F740" s="107">
        <v>473.75</v>
      </c>
      <c r="G740">
        <v>65241</v>
      </c>
      <c r="H740" s="107"/>
      <c r="I740" s="107"/>
      <c r="L740" s="149">
        <v>43089</v>
      </c>
      <c r="M740" s="107">
        <v>474.75</v>
      </c>
      <c r="N740" s="107">
        <v>484.5</v>
      </c>
      <c r="O740" s="107">
        <v>472.85</v>
      </c>
      <c r="P740" s="107">
        <v>482</v>
      </c>
      <c r="Q740" s="107">
        <v>474.75</v>
      </c>
      <c r="R740">
        <v>375545</v>
      </c>
    </row>
    <row r="741" spans="1:18" x14ac:dyDescent="0.25">
      <c r="A741" s="149">
        <v>43090</v>
      </c>
      <c r="B741" s="107">
        <v>512.79999999999995</v>
      </c>
      <c r="C741" s="107">
        <v>509.15</v>
      </c>
      <c r="D741" s="107">
        <v>472.75</v>
      </c>
      <c r="E741" s="107">
        <v>475</v>
      </c>
      <c r="F741" s="107">
        <v>509.15</v>
      </c>
      <c r="G741">
        <v>232084</v>
      </c>
      <c r="H741" s="107"/>
      <c r="I741" s="107"/>
      <c r="L741" s="149">
        <v>43090</v>
      </c>
      <c r="M741" s="107">
        <v>509.3</v>
      </c>
      <c r="N741" s="107">
        <v>512.45000000000005</v>
      </c>
      <c r="O741" s="107">
        <v>473.05</v>
      </c>
      <c r="P741" s="107">
        <v>475</v>
      </c>
      <c r="Q741" s="107">
        <v>509.3</v>
      </c>
      <c r="R741">
        <v>2541975</v>
      </c>
    </row>
    <row r="742" spans="1:18" x14ac:dyDescent="0.25">
      <c r="A742" s="149">
        <v>43091</v>
      </c>
      <c r="B742" s="107">
        <v>511.8</v>
      </c>
      <c r="C742" s="107">
        <v>495.65</v>
      </c>
      <c r="D742" s="107">
        <v>492.2</v>
      </c>
      <c r="E742" s="107">
        <v>510</v>
      </c>
      <c r="F742" s="107">
        <v>495.65</v>
      </c>
      <c r="G742">
        <v>160913</v>
      </c>
      <c r="H742" s="107"/>
      <c r="I742" s="107"/>
      <c r="L742" s="149">
        <v>43091</v>
      </c>
      <c r="M742" s="107">
        <v>495.65</v>
      </c>
      <c r="N742" s="107">
        <v>510</v>
      </c>
      <c r="O742" s="107">
        <v>492</v>
      </c>
      <c r="P742" s="107">
        <v>510</v>
      </c>
      <c r="Q742" s="107">
        <v>495.65</v>
      </c>
      <c r="R742">
        <v>1544002</v>
      </c>
    </row>
    <row r="743" spans="1:18" x14ac:dyDescent="0.25">
      <c r="A743" s="149">
        <v>43095</v>
      </c>
      <c r="B743" s="107">
        <v>504.45</v>
      </c>
      <c r="C743" s="107">
        <v>500.45</v>
      </c>
      <c r="D743" s="107">
        <v>495.6</v>
      </c>
      <c r="E743" s="107">
        <v>500</v>
      </c>
      <c r="F743" s="107">
        <v>500.45</v>
      </c>
      <c r="G743">
        <v>50084</v>
      </c>
      <c r="H743" s="107"/>
      <c r="I743" s="107"/>
      <c r="L743" s="149">
        <v>43095</v>
      </c>
      <c r="M743" s="107">
        <v>500.75</v>
      </c>
      <c r="N743" s="107">
        <v>505</v>
      </c>
      <c r="O743" s="107">
        <v>496.2</v>
      </c>
      <c r="P743" s="107">
        <v>502</v>
      </c>
      <c r="Q743" s="107">
        <v>500.75</v>
      </c>
      <c r="R743">
        <v>713925</v>
      </c>
    </row>
    <row r="744" spans="1:18" x14ac:dyDescent="0.25">
      <c r="A744" s="149">
        <v>43096</v>
      </c>
      <c r="B744" s="107">
        <v>504.35</v>
      </c>
      <c r="C744" s="107">
        <v>490.35</v>
      </c>
      <c r="D744" s="107">
        <v>484</v>
      </c>
      <c r="E744" s="107">
        <v>504.35</v>
      </c>
      <c r="F744" s="107">
        <v>490.35</v>
      </c>
      <c r="G744">
        <v>67146</v>
      </c>
      <c r="H744" s="107"/>
      <c r="I744" s="107"/>
      <c r="L744" s="149">
        <v>43096</v>
      </c>
      <c r="M744" s="107">
        <v>489.45</v>
      </c>
      <c r="N744" s="107">
        <v>504.45</v>
      </c>
      <c r="O744" s="107">
        <v>484</v>
      </c>
      <c r="P744" s="107">
        <v>500.75</v>
      </c>
      <c r="Q744" s="107">
        <v>489.45</v>
      </c>
      <c r="R744">
        <v>662942</v>
      </c>
    </row>
    <row r="745" spans="1:18" x14ac:dyDescent="0.25">
      <c r="A745" s="149">
        <v>43097</v>
      </c>
      <c r="B745" s="107">
        <v>490.85</v>
      </c>
      <c r="C745" s="107">
        <v>476.35</v>
      </c>
      <c r="D745" s="107">
        <v>474.05</v>
      </c>
      <c r="E745" s="107">
        <v>490.05</v>
      </c>
      <c r="F745" s="107">
        <v>476.35</v>
      </c>
      <c r="G745">
        <v>175565</v>
      </c>
      <c r="H745" s="107"/>
      <c r="I745" s="107"/>
      <c r="L745" s="149">
        <v>43097</v>
      </c>
      <c r="M745" s="107">
        <v>474.8</v>
      </c>
      <c r="N745" s="107">
        <v>493</v>
      </c>
      <c r="O745" s="107">
        <v>472.75</v>
      </c>
      <c r="P745" s="107">
        <v>493</v>
      </c>
      <c r="Q745" s="107">
        <v>474.8</v>
      </c>
      <c r="R745">
        <v>1639257</v>
      </c>
    </row>
    <row r="746" spans="1:18" x14ac:dyDescent="0.25">
      <c r="A746" s="149">
        <v>43098</v>
      </c>
      <c r="B746" s="107">
        <v>480</v>
      </c>
      <c r="C746" s="107">
        <v>473.45</v>
      </c>
      <c r="D746" s="107">
        <v>468.85</v>
      </c>
      <c r="E746" s="107">
        <v>476.35</v>
      </c>
      <c r="F746" s="107">
        <v>473.45</v>
      </c>
      <c r="G746">
        <v>82430</v>
      </c>
      <c r="H746" s="107"/>
      <c r="I746" s="107"/>
      <c r="L746" s="149">
        <v>43098</v>
      </c>
      <c r="M746" s="107">
        <v>472.85</v>
      </c>
      <c r="N746" s="107">
        <v>477.9</v>
      </c>
      <c r="O746" s="107">
        <v>469</v>
      </c>
      <c r="P746" s="107">
        <v>474.8</v>
      </c>
      <c r="Q746" s="107">
        <v>472.85</v>
      </c>
      <c r="R746">
        <v>655927</v>
      </c>
    </row>
    <row r="747" spans="1:18" x14ac:dyDescent="0.25">
      <c r="A747" s="149">
        <v>43101</v>
      </c>
      <c r="B747" s="107">
        <v>486.4</v>
      </c>
      <c r="C747" s="107">
        <v>477.65</v>
      </c>
      <c r="D747" s="107">
        <v>472.9</v>
      </c>
      <c r="E747" s="107">
        <v>473.5</v>
      </c>
      <c r="F747" s="107">
        <v>477.65</v>
      </c>
      <c r="G747">
        <v>99675</v>
      </c>
      <c r="H747" s="107"/>
      <c r="I747" s="107"/>
      <c r="L747" s="149">
        <v>43101</v>
      </c>
      <c r="M747" s="107">
        <v>477.4</v>
      </c>
      <c r="N747" s="107">
        <v>485.85</v>
      </c>
      <c r="O747" s="107">
        <v>472</v>
      </c>
      <c r="P747" s="107">
        <v>472</v>
      </c>
      <c r="Q747" s="107">
        <v>477.4</v>
      </c>
      <c r="R747">
        <v>895567</v>
      </c>
    </row>
    <row r="748" spans="1:18" x14ac:dyDescent="0.25">
      <c r="A748" s="149">
        <v>43102</v>
      </c>
      <c r="B748" s="107">
        <v>480.75</v>
      </c>
      <c r="C748" s="107">
        <v>474.5</v>
      </c>
      <c r="D748" s="107">
        <v>471.15</v>
      </c>
      <c r="E748" s="107">
        <v>477</v>
      </c>
      <c r="F748" s="107">
        <v>474.5</v>
      </c>
      <c r="G748">
        <v>61031</v>
      </c>
      <c r="H748" s="107"/>
      <c r="I748" s="107"/>
      <c r="L748" s="149">
        <v>43102</v>
      </c>
      <c r="M748" s="107">
        <v>473.65</v>
      </c>
      <c r="N748" s="107">
        <v>480.75</v>
      </c>
      <c r="O748" s="107">
        <v>471.05</v>
      </c>
      <c r="P748" s="107">
        <v>479.85</v>
      </c>
      <c r="Q748" s="107">
        <v>473.65</v>
      </c>
      <c r="R748">
        <v>609496</v>
      </c>
    </row>
    <row r="749" spans="1:18" x14ac:dyDescent="0.25">
      <c r="A749" s="149">
        <v>43103</v>
      </c>
      <c r="B749" s="107">
        <v>482.05</v>
      </c>
      <c r="C749" s="107">
        <v>476.65</v>
      </c>
      <c r="D749" s="107">
        <v>474.25</v>
      </c>
      <c r="E749" s="107">
        <v>477.15</v>
      </c>
      <c r="F749" s="107">
        <v>476.65</v>
      </c>
      <c r="G749">
        <v>47232</v>
      </c>
      <c r="H749" s="107"/>
      <c r="I749" s="107"/>
      <c r="L749" s="149">
        <v>43103</v>
      </c>
      <c r="M749" s="107">
        <v>476.4</v>
      </c>
      <c r="N749" s="107">
        <v>482.2</v>
      </c>
      <c r="O749" s="107">
        <v>473.65</v>
      </c>
      <c r="P749" s="107">
        <v>473.65</v>
      </c>
      <c r="Q749" s="107">
        <v>476.4</v>
      </c>
      <c r="R749">
        <v>410061</v>
      </c>
    </row>
    <row r="750" spans="1:18" x14ac:dyDescent="0.25">
      <c r="A750" s="149">
        <v>43104</v>
      </c>
      <c r="B750" s="107">
        <v>480.3</v>
      </c>
      <c r="C750" s="107">
        <v>468.75</v>
      </c>
      <c r="D750" s="107">
        <v>467.25</v>
      </c>
      <c r="E750" s="107">
        <v>476.65</v>
      </c>
      <c r="F750" s="107">
        <v>468.75</v>
      </c>
      <c r="G750">
        <v>102300</v>
      </c>
      <c r="H750" s="107"/>
      <c r="I750" s="107"/>
      <c r="L750" s="149">
        <v>43104</v>
      </c>
      <c r="M750" s="107">
        <v>469.3</v>
      </c>
      <c r="N750" s="107">
        <v>479.95</v>
      </c>
      <c r="O750" s="107">
        <v>467</v>
      </c>
      <c r="P750" s="107">
        <v>476.4</v>
      </c>
      <c r="Q750" s="107">
        <v>469.3</v>
      </c>
      <c r="R750">
        <v>1489442</v>
      </c>
    </row>
    <row r="751" spans="1:18" x14ac:dyDescent="0.25">
      <c r="A751" s="149">
        <v>43105</v>
      </c>
      <c r="B751" s="107">
        <v>477.85</v>
      </c>
      <c r="C751" s="107">
        <v>470.2</v>
      </c>
      <c r="D751" s="107">
        <v>469</v>
      </c>
      <c r="E751" s="107">
        <v>469</v>
      </c>
      <c r="F751" s="107">
        <v>470.2</v>
      </c>
      <c r="G751">
        <v>143083</v>
      </c>
      <c r="H751" s="107"/>
      <c r="I751" s="107"/>
      <c r="L751" s="149">
        <v>43105</v>
      </c>
      <c r="M751" s="107">
        <v>470.25</v>
      </c>
      <c r="N751" s="107">
        <v>477.55</v>
      </c>
      <c r="O751" s="107">
        <v>469.25</v>
      </c>
      <c r="P751" s="107">
        <v>472</v>
      </c>
      <c r="Q751" s="107">
        <v>470.25</v>
      </c>
      <c r="R751">
        <v>1087932</v>
      </c>
    </row>
    <row r="752" spans="1:18" x14ac:dyDescent="0.25">
      <c r="A752" s="149">
        <v>43108</v>
      </c>
      <c r="B752" s="107">
        <v>481</v>
      </c>
      <c r="C752" s="107">
        <v>479.35</v>
      </c>
      <c r="D752" s="107">
        <v>470</v>
      </c>
      <c r="E752" s="107">
        <v>481</v>
      </c>
      <c r="F752" s="107">
        <v>479.35</v>
      </c>
      <c r="G752">
        <v>111762</v>
      </c>
      <c r="H752" s="107"/>
      <c r="I752" s="107"/>
      <c r="L752" s="149">
        <v>43108</v>
      </c>
      <c r="M752" s="107">
        <v>479.4</v>
      </c>
      <c r="N752" s="107">
        <v>481.9</v>
      </c>
      <c r="O752" s="107">
        <v>469.9</v>
      </c>
      <c r="P752" s="107">
        <v>471</v>
      </c>
      <c r="Q752" s="107">
        <v>479.4</v>
      </c>
      <c r="R752">
        <v>1217920</v>
      </c>
    </row>
    <row r="753" spans="1:18" x14ac:dyDescent="0.25">
      <c r="A753" s="149">
        <v>43109</v>
      </c>
      <c r="B753" s="107">
        <v>484.8</v>
      </c>
      <c r="C753" s="107">
        <v>479.05</v>
      </c>
      <c r="D753" s="107">
        <v>475.05</v>
      </c>
      <c r="E753" s="107">
        <v>484.7</v>
      </c>
      <c r="F753" s="107">
        <v>479.05</v>
      </c>
      <c r="G753">
        <v>129931</v>
      </c>
      <c r="H753" s="107"/>
      <c r="I753" s="107"/>
      <c r="L753" s="149">
        <v>43109</v>
      </c>
      <c r="M753" s="107">
        <v>479.7</v>
      </c>
      <c r="N753" s="107">
        <v>483.6</v>
      </c>
      <c r="O753" s="107">
        <v>475.1</v>
      </c>
      <c r="P753" s="107">
        <v>483.6</v>
      </c>
      <c r="Q753" s="107">
        <v>479.7</v>
      </c>
      <c r="R753">
        <v>1489090</v>
      </c>
    </row>
    <row r="754" spans="1:18" x14ac:dyDescent="0.25">
      <c r="A754" s="149">
        <v>43110</v>
      </c>
      <c r="B754" s="107">
        <v>481.5</v>
      </c>
      <c r="C754" s="107">
        <v>479.9</v>
      </c>
      <c r="D754" s="107">
        <v>473.8</v>
      </c>
      <c r="E754" s="107">
        <v>475.5</v>
      </c>
      <c r="F754" s="107">
        <v>479.9</v>
      </c>
      <c r="G754">
        <v>70162</v>
      </c>
      <c r="H754" s="107"/>
      <c r="I754" s="107"/>
      <c r="L754" s="149">
        <v>43110</v>
      </c>
      <c r="M754" s="107">
        <v>480.35</v>
      </c>
      <c r="N754" s="107">
        <v>482</v>
      </c>
      <c r="O754" s="107">
        <v>473.25</v>
      </c>
      <c r="P754" s="107">
        <v>480.95</v>
      </c>
      <c r="Q754" s="107">
        <v>480.35</v>
      </c>
      <c r="R754">
        <v>449033</v>
      </c>
    </row>
    <row r="755" spans="1:18" x14ac:dyDescent="0.25">
      <c r="A755" s="149">
        <v>43111</v>
      </c>
      <c r="B755" s="107">
        <v>493.45</v>
      </c>
      <c r="C755" s="107">
        <v>484.4</v>
      </c>
      <c r="D755" s="107">
        <v>480.7</v>
      </c>
      <c r="E755" s="107">
        <v>484.55</v>
      </c>
      <c r="F755" s="107">
        <v>484.4</v>
      </c>
      <c r="G755">
        <v>227614</v>
      </c>
      <c r="H755" s="107"/>
      <c r="I755" s="107"/>
      <c r="L755" s="149">
        <v>43111</v>
      </c>
      <c r="M755" s="107">
        <v>484.45</v>
      </c>
      <c r="N755" s="107">
        <v>493.35</v>
      </c>
      <c r="O755" s="107">
        <v>480.1</v>
      </c>
      <c r="P755" s="107">
        <v>484</v>
      </c>
      <c r="Q755" s="107">
        <v>484.45</v>
      </c>
      <c r="R755">
        <v>1656369</v>
      </c>
    </row>
    <row r="756" spans="1:18" x14ac:dyDescent="0.25">
      <c r="A756" s="149">
        <v>43112</v>
      </c>
      <c r="B756" s="107">
        <v>494</v>
      </c>
      <c r="C756" s="107">
        <v>481.55</v>
      </c>
      <c r="D756" s="107">
        <v>474.15</v>
      </c>
      <c r="E756" s="107">
        <v>489</v>
      </c>
      <c r="F756" s="107">
        <v>481.55</v>
      </c>
      <c r="G756">
        <v>85502</v>
      </c>
      <c r="H756" s="107"/>
      <c r="I756" s="107"/>
      <c r="L756" s="149">
        <v>43112</v>
      </c>
      <c r="M756" s="107">
        <v>481.25</v>
      </c>
      <c r="N756" s="107">
        <v>488.7</v>
      </c>
      <c r="O756" s="107">
        <v>473</v>
      </c>
      <c r="P756" s="107">
        <v>488.7</v>
      </c>
      <c r="Q756" s="107">
        <v>481.25</v>
      </c>
      <c r="R756">
        <v>616812</v>
      </c>
    </row>
    <row r="757" spans="1:18" x14ac:dyDescent="0.25">
      <c r="A757" s="149">
        <v>43115</v>
      </c>
      <c r="B757" s="107">
        <v>486.25</v>
      </c>
      <c r="C757" s="107">
        <v>482.5</v>
      </c>
      <c r="D757" s="107">
        <v>479.15</v>
      </c>
      <c r="E757" s="107">
        <v>485</v>
      </c>
      <c r="F757" s="107">
        <v>482.5</v>
      </c>
      <c r="G757">
        <v>68529</v>
      </c>
      <c r="H757" s="107"/>
      <c r="I757" s="107"/>
      <c r="L757" s="149">
        <v>43115</v>
      </c>
      <c r="M757" s="107">
        <v>482.3</v>
      </c>
      <c r="N757" s="107">
        <v>486.55</v>
      </c>
      <c r="O757" s="107">
        <v>478.75</v>
      </c>
      <c r="P757" s="107">
        <v>483</v>
      </c>
      <c r="Q757" s="107">
        <v>482.3</v>
      </c>
      <c r="R757">
        <v>432761</v>
      </c>
    </row>
    <row r="758" spans="1:18" x14ac:dyDescent="0.25">
      <c r="A758" s="149">
        <v>43116</v>
      </c>
      <c r="B758" s="107">
        <v>486</v>
      </c>
      <c r="C758" s="107">
        <v>476.7</v>
      </c>
      <c r="D758" s="107">
        <v>468.45</v>
      </c>
      <c r="E758" s="107">
        <v>486</v>
      </c>
      <c r="F758" s="107">
        <v>476.7</v>
      </c>
      <c r="G758">
        <v>102679</v>
      </c>
      <c r="H758" s="107"/>
      <c r="I758" s="107"/>
      <c r="L758" s="149">
        <v>43116</v>
      </c>
      <c r="M758" s="107">
        <v>476.45</v>
      </c>
      <c r="N758" s="107">
        <v>485.65</v>
      </c>
      <c r="O758" s="107">
        <v>467.25</v>
      </c>
      <c r="P758" s="107">
        <v>485.65</v>
      </c>
      <c r="Q758" s="107">
        <v>476.45</v>
      </c>
      <c r="R758">
        <v>947076</v>
      </c>
    </row>
    <row r="759" spans="1:18" x14ac:dyDescent="0.25">
      <c r="A759" s="149">
        <v>43117</v>
      </c>
      <c r="B759" s="107">
        <v>475</v>
      </c>
      <c r="C759" s="107">
        <v>472</v>
      </c>
      <c r="D759" s="107">
        <v>464.3</v>
      </c>
      <c r="E759" s="107">
        <v>471</v>
      </c>
      <c r="F759" s="107">
        <v>472</v>
      </c>
      <c r="G759">
        <v>51172</v>
      </c>
      <c r="H759" s="107"/>
      <c r="I759" s="107"/>
      <c r="L759" s="149">
        <v>43117</v>
      </c>
      <c r="M759" s="107">
        <v>471.4</v>
      </c>
      <c r="N759" s="107">
        <v>475</v>
      </c>
      <c r="O759" s="107">
        <v>464</v>
      </c>
      <c r="P759" s="107">
        <v>474.1</v>
      </c>
      <c r="Q759" s="107">
        <v>471.4</v>
      </c>
      <c r="R759">
        <v>435160</v>
      </c>
    </row>
    <row r="760" spans="1:18" x14ac:dyDescent="0.25">
      <c r="A760" s="149">
        <v>43118</v>
      </c>
      <c r="B760" s="107">
        <v>476.6</v>
      </c>
      <c r="C760" s="107">
        <v>463.85</v>
      </c>
      <c r="D760" s="107">
        <v>458</v>
      </c>
      <c r="E760" s="107">
        <v>471</v>
      </c>
      <c r="F760" s="107">
        <v>463.85</v>
      </c>
      <c r="G760">
        <v>49706</v>
      </c>
      <c r="H760" s="107"/>
      <c r="I760" s="107"/>
      <c r="L760" s="149">
        <v>43118</v>
      </c>
      <c r="M760" s="107">
        <v>462.75</v>
      </c>
      <c r="N760" s="107">
        <v>476</v>
      </c>
      <c r="O760" s="107">
        <v>457.15</v>
      </c>
      <c r="P760" s="107">
        <v>472</v>
      </c>
      <c r="Q760" s="107">
        <v>462.75</v>
      </c>
      <c r="R760">
        <v>673146</v>
      </c>
    </row>
    <row r="761" spans="1:18" x14ac:dyDescent="0.25">
      <c r="A761" s="149">
        <v>43119</v>
      </c>
      <c r="B761" s="107">
        <v>478</v>
      </c>
      <c r="C761" s="107">
        <v>474.35</v>
      </c>
      <c r="D761" s="107">
        <v>461.35</v>
      </c>
      <c r="E761" s="107">
        <v>464</v>
      </c>
      <c r="F761" s="107">
        <v>474.35</v>
      </c>
      <c r="G761">
        <v>35834</v>
      </c>
      <c r="H761" s="107"/>
      <c r="I761" s="107"/>
      <c r="L761" s="149">
        <v>43119</v>
      </c>
      <c r="M761" s="107">
        <v>474.55</v>
      </c>
      <c r="N761" s="107">
        <v>480</v>
      </c>
      <c r="O761" s="107">
        <v>461.7</v>
      </c>
      <c r="P761" s="107">
        <v>462.5</v>
      </c>
      <c r="Q761" s="107">
        <v>474.55</v>
      </c>
      <c r="R761">
        <v>590778</v>
      </c>
    </row>
    <row r="762" spans="1:18" x14ac:dyDescent="0.25">
      <c r="A762" s="149">
        <v>43122</v>
      </c>
      <c r="B762" s="107">
        <v>486.6</v>
      </c>
      <c r="C762" s="107">
        <v>485.6</v>
      </c>
      <c r="D762" s="107">
        <v>472</v>
      </c>
      <c r="E762" s="107">
        <v>476.55</v>
      </c>
      <c r="F762" s="107">
        <v>485.6</v>
      </c>
      <c r="G762">
        <v>71117</v>
      </c>
      <c r="H762" s="107"/>
      <c r="I762" s="107"/>
      <c r="L762" s="149">
        <v>43122</v>
      </c>
      <c r="M762" s="107">
        <v>485.1</v>
      </c>
      <c r="N762" s="107">
        <v>486.2</v>
      </c>
      <c r="O762" s="107">
        <v>472</v>
      </c>
      <c r="P762" s="107">
        <v>477.45</v>
      </c>
      <c r="Q762" s="107">
        <v>485.1</v>
      </c>
      <c r="R762">
        <v>877341</v>
      </c>
    </row>
    <row r="763" spans="1:18" x14ac:dyDescent="0.25">
      <c r="A763" s="149">
        <v>43123</v>
      </c>
      <c r="B763" s="107">
        <v>505</v>
      </c>
      <c r="C763" s="107">
        <v>461.3</v>
      </c>
      <c r="D763" s="107">
        <v>458</v>
      </c>
      <c r="E763" s="107">
        <v>487.4</v>
      </c>
      <c r="F763" s="107">
        <v>461.3</v>
      </c>
      <c r="G763">
        <v>519008</v>
      </c>
      <c r="H763" s="107"/>
      <c r="I763" s="107"/>
      <c r="L763" s="149">
        <v>43123</v>
      </c>
      <c r="M763" s="107">
        <v>460.4</v>
      </c>
      <c r="N763" s="107">
        <v>505.45</v>
      </c>
      <c r="O763" s="107">
        <v>457</v>
      </c>
      <c r="P763" s="107">
        <v>488.7</v>
      </c>
      <c r="Q763" s="107">
        <v>460.4</v>
      </c>
      <c r="R763">
        <v>5272087</v>
      </c>
    </row>
    <row r="764" spans="1:18" x14ac:dyDescent="0.25">
      <c r="A764" s="149">
        <v>43124</v>
      </c>
      <c r="B764" s="107">
        <v>464.9</v>
      </c>
      <c r="C764" s="107">
        <v>442.9</v>
      </c>
      <c r="D764" s="107">
        <v>441</v>
      </c>
      <c r="E764" s="107">
        <v>462.95</v>
      </c>
      <c r="F764" s="107">
        <v>442.9</v>
      </c>
      <c r="G764">
        <v>364888</v>
      </c>
      <c r="H764" s="107"/>
      <c r="I764" s="107"/>
      <c r="L764" s="149">
        <v>43124</v>
      </c>
      <c r="M764" s="107">
        <v>443.6</v>
      </c>
      <c r="N764" s="107">
        <v>464</v>
      </c>
      <c r="O764" s="107">
        <v>441</v>
      </c>
      <c r="P764" s="107">
        <v>461</v>
      </c>
      <c r="Q764" s="107">
        <v>443.6</v>
      </c>
      <c r="R764">
        <v>1849506</v>
      </c>
    </row>
    <row r="765" spans="1:18" x14ac:dyDescent="0.25">
      <c r="A765" s="149">
        <v>43125</v>
      </c>
      <c r="B765" s="107">
        <v>452.9</v>
      </c>
      <c r="C765" s="107">
        <v>443.05</v>
      </c>
      <c r="D765" s="107">
        <v>438.1</v>
      </c>
      <c r="E765" s="107">
        <v>443</v>
      </c>
      <c r="F765" s="107">
        <v>443.05</v>
      </c>
      <c r="G765">
        <v>96065</v>
      </c>
      <c r="H765" s="107"/>
      <c r="I765" s="107"/>
      <c r="L765" s="149">
        <v>43125</v>
      </c>
      <c r="M765" s="107">
        <v>442.35</v>
      </c>
      <c r="N765" s="107">
        <v>452.8</v>
      </c>
      <c r="O765" s="107">
        <v>437.45</v>
      </c>
      <c r="P765" s="107">
        <v>444</v>
      </c>
      <c r="Q765" s="107">
        <v>442.35</v>
      </c>
      <c r="R765">
        <v>1296243</v>
      </c>
    </row>
    <row r="766" spans="1:18" x14ac:dyDescent="0.25">
      <c r="A766" s="149">
        <v>43129</v>
      </c>
      <c r="B766" s="107">
        <v>469.65</v>
      </c>
      <c r="C766" s="107">
        <v>461.85</v>
      </c>
      <c r="D766" s="107">
        <v>449.05</v>
      </c>
      <c r="E766" s="107">
        <v>450</v>
      </c>
      <c r="F766" s="107">
        <v>461.85</v>
      </c>
      <c r="G766">
        <v>221169</v>
      </c>
      <c r="H766" s="107"/>
      <c r="I766" s="107"/>
      <c r="L766" s="149">
        <v>43129</v>
      </c>
      <c r="M766" s="107">
        <v>461.6</v>
      </c>
      <c r="N766" s="107">
        <v>469.9</v>
      </c>
      <c r="O766" s="107">
        <v>448</v>
      </c>
      <c r="P766" s="107">
        <v>448</v>
      </c>
      <c r="Q766" s="107">
        <v>461.6</v>
      </c>
      <c r="R766">
        <v>2534456</v>
      </c>
    </row>
    <row r="767" spans="1:18" x14ac:dyDescent="0.25">
      <c r="A767" s="149">
        <v>43130</v>
      </c>
      <c r="B767" s="107">
        <v>462.95</v>
      </c>
      <c r="C767" s="107">
        <v>449.45</v>
      </c>
      <c r="D767" s="107">
        <v>448.5</v>
      </c>
      <c r="E767" s="107">
        <v>462</v>
      </c>
      <c r="F767" s="107">
        <v>449.45</v>
      </c>
      <c r="G767">
        <v>64930</v>
      </c>
      <c r="H767" s="107"/>
      <c r="I767" s="107"/>
      <c r="L767" s="149">
        <v>43130</v>
      </c>
      <c r="M767" s="107">
        <v>450.05</v>
      </c>
      <c r="N767" s="107">
        <v>463.05</v>
      </c>
      <c r="O767" s="107">
        <v>448.65</v>
      </c>
      <c r="P767" s="107">
        <v>462</v>
      </c>
      <c r="Q767" s="107">
        <v>450.05</v>
      </c>
      <c r="R767">
        <v>702018</v>
      </c>
    </row>
    <row r="768" spans="1:18" x14ac:dyDescent="0.25">
      <c r="A768" s="149">
        <v>43131</v>
      </c>
      <c r="B768" s="107">
        <v>453.05</v>
      </c>
      <c r="C768" s="107">
        <v>449.6</v>
      </c>
      <c r="D768" s="107">
        <v>445</v>
      </c>
      <c r="E768" s="107">
        <v>452.15</v>
      </c>
      <c r="F768" s="107">
        <v>449.6</v>
      </c>
      <c r="G768">
        <v>40155</v>
      </c>
      <c r="H768" s="107"/>
      <c r="I768" s="107"/>
      <c r="L768" s="149">
        <v>43131</v>
      </c>
      <c r="M768" s="107">
        <v>449.15</v>
      </c>
      <c r="N768" s="107">
        <v>452.6</v>
      </c>
      <c r="O768" s="107">
        <v>444.1</v>
      </c>
      <c r="P768" s="107">
        <v>448.5</v>
      </c>
      <c r="Q768" s="107">
        <v>449.15</v>
      </c>
      <c r="R768">
        <v>589263</v>
      </c>
    </row>
    <row r="769" spans="1:18" x14ac:dyDescent="0.25">
      <c r="A769" s="149">
        <v>43132</v>
      </c>
      <c r="B769" s="107">
        <v>459</v>
      </c>
      <c r="C769" s="107">
        <v>446.2</v>
      </c>
      <c r="D769" s="107">
        <v>443</v>
      </c>
      <c r="E769" s="107">
        <v>452</v>
      </c>
      <c r="F769" s="107">
        <v>446.2</v>
      </c>
      <c r="G769">
        <v>66601</v>
      </c>
      <c r="H769" s="107"/>
      <c r="I769" s="107"/>
      <c r="L769" s="149">
        <v>43132</v>
      </c>
      <c r="M769" s="107">
        <v>446.25</v>
      </c>
      <c r="N769" s="107">
        <v>459</v>
      </c>
      <c r="O769" s="107">
        <v>442.5</v>
      </c>
      <c r="P769" s="107">
        <v>450</v>
      </c>
      <c r="Q769" s="107">
        <v>446.25</v>
      </c>
      <c r="R769">
        <v>991830</v>
      </c>
    </row>
    <row r="770" spans="1:18" x14ac:dyDescent="0.25">
      <c r="A770" s="149">
        <v>43133</v>
      </c>
      <c r="B770" s="107">
        <v>451.5</v>
      </c>
      <c r="C770" s="107">
        <v>427.6</v>
      </c>
      <c r="D770" s="107">
        <v>416</v>
      </c>
      <c r="E770" s="107">
        <v>440</v>
      </c>
      <c r="F770" s="107">
        <v>427.6</v>
      </c>
      <c r="G770">
        <v>135823</v>
      </c>
      <c r="H770" s="107"/>
      <c r="I770" s="107"/>
      <c r="L770" s="149">
        <v>43133</v>
      </c>
      <c r="M770" s="107">
        <v>426.9</v>
      </c>
      <c r="N770" s="107">
        <v>452</v>
      </c>
      <c r="O770" s="107">
        <v>416.2</v>
      </c>
      <c r="P770" s="107">
        <v>442</v>
      </c>
      <c r="Q770" s="107">
        <v>426.9</v>
      </c>
      <c r="R770">
        <v>1529576</v>
      </c>
    </row>
    <row r="771" spans="1:18" x14ac:dyDescent="0.25">
      <c r="A771" s="149">
        <v>43136</v>
      </c>
      <c r="B771" s="107">
        <v>461</v>
      </c>
      <c r="C771" s="107">
        <v>458.55</v>
      </c>
      <c r="D771" s="107">
        <v>403.9</v>
      </c>
      <c r="E771" s="107">
        <v>420</v>
      </c>
      <c r="F771" s="107">
        <v>458.55</v>
      </c>
      <c r="G771">
        <v>207425</v>
      </c>
      <c r="H771" s="107"/>
      <c r="I771" s="107"/>
      <c r="L771" s="149">
        <v>43136</v>
      </c>
      <c r="M771" s="107">
        <v>459.35</v>
      </c>
      <c r="N771" s="107">
        <v>461.75</v>
      </c>
      <c r="O771" s="107">
        <v>402.5</v>
      </c>
      <c r="P771" s="107">
        <v>420</v>
      </c>
      <c r="Q771" s="107">
        <v>459.35</v>
      </c>
      <c r="R771">
        <v>1824328</v>
      </c>
    </row>
    <row r="772" spans="1:18" x14ac:dyDescent="0.25">
      <c r="A772" s="149">
        <v>43137</v>
      </c>
      <c r="B772" s="107">
        <v>470</v>
      </c>
      <c r="C772" s="107">
        <v>456.8</v>
      </c>
      <c r="D772" s="107">
        <v>415</v>
      </c>
      <c r="E772" s="107">
        <v>424.7</v>
      </c>
      <c r="F772" s="107">
        <v>456.8</v>
      </c>
      <c r="G772">
        <v>214179</v>
      </c>
      <c r="H772" s="107"/>
      <c r="I772" s="107"/>
      <c r="L772" s="149">
        <v>43137</v>
      </c>
      <c r="M772" s="107">
        <v>458.1</v>
      </c>
      <c r="N772" s="107">
        <v>470.75</v>
      </c>
      <c r="O772" s="107">
        <v>418</v>
      </c>
      <c r="P772" s="107">
        <v>421</v>
      </c>
      <c r="Q772" s="107">
        <v>458.1</v>
      </c>
      <c r="R772">
        <v>2274611</v>
      </c>
    </row>
    <row r="773" spans="1:18" x14ac:dyDescent="0.25">
      <c r="A773" s="149">
        <v>43138</v>
      </c>
      <c r="B773" s="107">
        <v>478.4</v>
      </c>
      <c r="C773" s="107">
        <v>459.75</v>
      </c>
      <c r="D773" s="107">
        <v>456.15</v>
      </c>
      <c r="E773" s="107">
        <v>472</v>
      </c>
      <c r="F773" s="107">
        <v>459.75</v>
      </c>
      <c r="G773">
        <v>202972</v>
      </c>
      <c r="H773" s="107"/>
      <c r="I773" s="107"/>
      <c r="L773" s="149">
        <v>43138</v>
      </c>
      <c r="M773" s="107">
        <v>460.05</v>
      </c>
      <c r="N773" s="107">
        <v>479.55</v>
      </c>
      <c r="O773" s="107">
        <v>457</v>
      </c>
      <c r="P773" s="107">
        <v>474.9</v>
      </c>
      <c r="Q773" s="107">
        <v>460.05</v>
      </c>
      <c r="R773">
        <v>1601455</v>
      </c>
    </row>
    <row r="774" spans="1:18" x14ac:dyDescent="0.25">
      <c r="A774" s="149">
        <v>43139</v>
      </c>
      <c r="B774" s="107">
        <v>470.45</v>
      </c>
      <c r="C774" s="107">
        <v>461.35</v>
      </c>
      <c r="D774" s="107">
        <v>453.1</v>
      </c>
      <c r="E774" s="107">
        <v>464</v>
      </c>
      <c r="F774" s="107">
        <v>461.35</v>
      </c>
      <c r="G774">
        <v>72349</v>
      </c>
      <c r="H774" s="107"/>
      <c r="I774" s="107"/>
      <c r="L774" s="149">
        <v>43139</v>
      </c>
      <c r="M774" s="107">
        <v>462.05</v>
      </c>
      <c r="N774" s="107">
        <v>471.35</v>
      </c>
      <c r="O774" s="107">
        <v>453.25</v>
      </c>
      <c r="P774" s="107">
        <v>463.5</v>
      </c>
      <c r="Q774" s="107">
        <v>462.05</v>
      </c>
      <c r="R774">
        <v>764393</v>
      </c>
    </row>
    <row r="775" spans="1:18" x14ac:dyDescent="0.25">
      <c r="A775" s="149">
        <v>43140</v>
      </c>
      <c r="B775" s="107">
        <v>467.95</v>
      </c>
      <c r="C775" s="107">
        <v>462.45</v>
      </c>
      <c r="D775" s="107">
        <v>449</v>
      </c>
      <c r="E775" s="107">
        <v>451</v>
      </c>
      <c r="F775" s="107">
        <v>462.45</v>
      </c>
      <c r="G775">
        <v>63088</v>
      </c>
      <c r="H775" s="107"/>
      <c r="I775" s="107"/>
      <c r="L775" s="149">
        <v>43140</v>
      </c>
      <c r="M775" s="107">
        <v>462.95</v>
      </c>
      <c r="N775" s="107">
        <v>468.6</v>
      </c>
      <c r="O775" s="107">
        <v>450.75</v>
      </c>
      <c r="P775" s="107">
        <v>454</v>
      </c>
      <c r="Q775" s="107">
        <v>462.95</v>
      </c>
      <c r="R775">
        <v>818509</v>
      </c>
    </row>
    <row r="776" spans="1:18" x14ac:dyDescent="0.25">
      <c r="A776" s="149">
        <v>43143</v>
      </c>
      <c r="B776" s="107">
        <v>494.4</v>
      </c>
      <c r="C776" s="107">
        <v>492.15</v>
      </c>
      <c r="D776" s="107">
        <v>463</v>
      </c>
      <c r="E776" s="107">
        <v>470</v>
      </c>
      <c r="F776" s="107">
        <v>492.15</v>
      </c>
      <c r="G776">
        <v>207223</v>
      </c>
      <c r="H776" s="107"/>
      <c r="I776" s="107"/>
      <c r="L776" s="149">
        <v>43143</v>
      </c>
      <c r="M776" s="107">
        <v>493.1</v>
      </c>
      <c r="N776" s="107">
        <v>494.95</v>
      </c>
      <c r="O776" s="107">
        <v>466.45</v>
      </c>
      <c r="P776" s="107">
        <v>467.9</v>
      </c>
      <c r="Q776" s="107">
        <v>493.1</v>
      </c>
      <c r="R776">
        <v>2572789</v>
      </c>
    </row>
    <row r="777" spans="1:18" x14ac:dyDescent="0.25">
      <c r="A777" s="149">
        <v>43145</v>
      </c>
      <c r="B777" s="107">
        <v>525.95000000000005</v>
      </c>
      <c r="C777" s="107">
        <v>519.15</v>
      </c>
      <c r="D777" s="107">
        <v>493.15</v>
      </c>
      <c r="E777" s="107">
        <v>493.15</v>
      </c>
      <c r="F777" s="107">
        <v>519.15</v>
      </c>
      <c r="G777">
        <v>322792</v>
      </c>
      <c r="H777" s="107"/>
      <c r="I777" s="107"/>
      <c r="L777" s="149">
        <v>43145</v>
      </c>
      <c r="M777" s="107">
        <v>519.85</v>
      </c>
      <c r="N777" s="107">
        <v>525.9</v>
      </c>
      <c r="O777" s="107">
        <v>496.9</v>
      </c>
      <c r="P777" s="107">
        <v>497</v>
      </c>
      <c r="Q777" s="107">
        <v>519.85</v>
      </c>
      <c r="R777">
        <v>3765692</v>
      </c>
    </row>
    <row r="778" spans="1:18" x14ac:dyDescent="0.25">
      <c r="A778" s="149">
        <v>43146</v>
      </c>
      <c r="B778" s="107">
        <v>538.04999999999995</v>
      </c>
      <c r="C778" s="107">
        <v>514.54999999999995</v>
      </c>
      <c r="D778" s="107">
        <v>510</v>
      </c>
      <c r="E778" s="107">
        <v>527</v>
      </c>
      <c r="F778" s="107">
        <v>514.54999999999995</v>
      </c>
      <c r="G778">
        <v>223446</v>
      </c>
      <c r="H778" s="107"/>
      <c r="I778" s="107"/>
      <c r="L778" s="149">
        <v>43146</v>
      </c>
      <c r="M778" s="107">
        <v>514.29999999999995</v>
      </c>
      <c r="N778" s="107">
        <v>538</v>
      </c>
      <c r="O778" s="107">
        <v>509</v>
      </c>
      <c r="P778" s="107">
        <v>525</v>
      </c>
      <c r="Q778" s="107">
        <v>514.29999999999995</v>
      </c>
      <c r="R778">
        <v>3015341</v>
      </c>
    </row>
    <row r="779" spans="1:18" x14ac:dyDescent="0.25">
      <c r="A779" s="149">
        <v>43147</v>
      </c>
      <c r="B779" s="107">
        <v>527</v>
      </c>
      <c r="C779" s="107">
        <v>503.5</v>
      </c>
      <c r="D779" s="107">
        <v>497.4</v>
      </c>
      <c r="E779" s="107">
        <v>522</v>
      </c>
      <c r="F779" s="107">
        <v>503.5</v>
      </c>
      <c r="G779">
        <v>84942</v>
      </c>
      <c r="H779" s="107"/>
      <c r="I779" s="107"/>
      <c r="L779" s="149">
        <v>43147</v>
      </c>
      <c r="M779" s="107">
        <v>503</v>
      </c>
      <c r="N779" s="107">
        <v>527.4</v>
      </c>
      <c r="O779" s="107">
        <v>497</v>
      </c>
      <c r="P779" s="107">
        <v>519.25</v>
      </c>
      <c r="Q779" s="107">
        <v>503</v>
      </c>
      <c r="R779">
        <v>1697412</v>
      </c>
    </row>
    <row r="780" spans="1:18" x14ac:dyDescent="0.25">
      <c r="A780" s="149">
        <v>43150</v>
      </c>
      <c r="B780" s="107">
        <v>511.35</v>
      </c>
      <c r="C780" s="107">
        <v>503.1</v>
      </c>
      <c r="D780" s="107">
        <v>496.15</v>
      </c>
      <c r="E780" s="107">
        <v>503.5</v>
      </c>
      <c r="F780" s="107">
        <v>503.1</v>
      </c>
      <c r="G780">
        <v>94521</v>
      </c>
      <c r="H780" s="107"/>
      <c r="I780" s="107"/>
      <c r="L780" s="149">
        <v>43150</v>
      </c>
      <c r="M780" s="107">
        <v>502.75</v>
      </c>
      <c r="N780" s="107">
        <v>511.95</v>
      </c>
      <c r="O780" s="107">
        <v>495.25</v>
      </c>
      <c r="P780" s="107">
        <v>503.9</v>
      </c>
      <c r="Q780" s="107">
        <v>502.75</v>
      </c>
      <c r="R780">
        <v>1388940</v>
      </c>
    </row>
    <row r="781" spans="1:18" x14ac:dyDescent="0.25">
      <c r="A781" s="149">
        <v>43151</v>
      </c>
      <c r="B781" s="107">
        <v>523.79999999999995</v>
      </c>
      <c r="C781" s="107">
        <v>510.6</v>
      </c>
      <c r="D781" s="107">
        <v>502.2</v>
      </c>
      <c r="E781" s="107">
        <v>503.1</v>
      </c>
      <c r="F781" s="107">
        <v>510.6</v>
      </c>
      <c r="G781">
        <v>148440</v>
      </c>
      <c r="H781" s="107"/>
      <c r="I781" s="107"/>
      <c r="L781" s="149">
        <v>43151</v>
      </c>
      <c r="M781" s="107">
        <v>511.55</v>
      </c>
      <c r="N781" s="107">
        <v>523.95000000000005</v>
      </c>
      <c r="O781" s="107">
        <v>501.5</v>
      </c>
      <c r="P781" s="107">
        <v>501.5</v>
      </c>
      <c r="Q781" s="107">
        <v>511.55</v>
      </c>
      <c r="R781">
        <v>2382471</v>
      </c>
    </row>
    <row r="782" spans="1:18" x14ac:dyDescent="0.25">
      <c r="A782" s="149">
        <v>43152</v>
      </c>
      <c r="B782" s="107">
        <v>521.95000000000005</v>
      </c>
      <c r="C782" s="107">
        <v>518.45000000000005</v>
      </c>
      <c r="D782" s="107">
        <v>511.75</v>
      </c>
      <c r="E782" s="107">
        <v>518.04999999999995</v>
      </c>
      <c r="F782" s="107">
        <v>518.45000000000005</v>
      </c>
      <c r="G782">
        <v>40359</v>
      </c>
      <c r="H782" s="107"/>
      <c r="I782" s="107"/>
      <c r="L782" s="149">
        <v>43152</v>
      </c>
      <c r="M782" s="107">
        <v>518.45000000000005</v>
      </c>
      <c r="N782" s="107">
        <v>522</v>
      </c>
      <c r="O782" s="107">
        <v>511.9</v>
      </c>
      <c r="P782" s="107">
        <v>516</v>
      </c>
      <c r="Q782" s="107">
        <v>518.45000000000005</v>
      </c>
      <c r="R782">
        <v>1025243</v>
      </c>
    </row>
    <row r="783" spans="1:18" x14ac:dyDescent="0.25">
      <c r="A783" s="149">
        <v>43153</v>
      </c>
      <c r="B783" s="107">
        <v>525.79999999999995</v>
      </c>
      <c r="C783" s="107">
        <v>515.45000000000005</v>
      </c>
      <c r="D783" s="107">
        <v>512.29999999999995</v>
      </c>
      <c r="E783" s="107">
        <v>518.45000000000005</v>
      </c>
      <c r="F783" s="107">
        <v>515.45000000000005</v>
      </c>
      <c r="G783">
        <v>52371</v>
      </c>
      <c r="H783" s="107"/>
      <c r="I783" s="107"/>
      <c r="L783" s="149">
        <v>43153</v>
      </c>
      <c r="M783" s="107">
        <v>516.6</v>
      </c>
      <c r="N783" s="107">
        <v>525.95000000000005</v>
      </c>
      <c r="O783" s="107">
        <v>512.6</v>
      </c>
      <c r="P783" s="107">
        <v>517.95000000000005</v>
      </c>
      <c r="Q783" s="107">
        <v>516.6</v>
      </c>
      <c r="R783">
        <v>1197453</v>
      </c>
    </row>
    <row r="784" spans="1:18" x14ac:dyDescent="0.25">
      <c r="A784" s="149">
        <v>43154</v>
      </c>
      <c r="B784" s="107">
        <v>526.95000000000005</v>
      </c>
      <c r="C784" s="107">
        <v>523.4</v>
      </c>
      <c r="D784" s="107">
        <v>515.5</v>
      </c>
      <c r="E784" s="107">
        <v>515.5</v>
      </c>
      <c r="F784" s="107">
        <v>523.4</v>
      </c>
      <c r="G784">
        <v>65207</v>
      </c>
      <c r="H784" s="107"/>
      <c r="I784" s="107"/>
      <c r="L784" s="149">
        <v>43154</v>
      </c>
      <c r="M784" s="107">
        <v>523.65</v>
      </c>
      <c r="N784" s="107">
        <v>527.35</v>
      </c>
      <c r="O784" s="107">
        <v>517.25</v>
      </c>
      <c r="P784" s="107">
        <v>517.25</v>
      </c>
      <c r="Q784" s="107">
        <v>523.65</v>
      </c>
      <c r="R784">
        <v>1021725</v>
      </c>
    </row>
    <row r="785" spans="1:18" x14ac:dyDescent="0.25">
      <c r="A785" s="149">
        <v>43157</v>
      </c>
      <c r="B785" s="107">
        <v>540</v>
      </c>
      <c r="C785" s="107">
        <v>538.75</v>
      </c>
      <c r="D785" s="107">
        <v>525.95000000000005</v>
      </c>
      <c r="E785" s="107">
        <v>530</v>
      </c>
      <c r="F785" s="107">
        <v>538.75</v>
      </c>
      <c r="G785">
        <v>106682</v>
      </c>
      <c r="H785" s="107"/>
      <c r="I785" s="107"/>
      <c r="L785" s="149">
        <v>43157</v>
      </c>
      <c r="M785" s="107">
        <v>538.85</v>
      </c>
      <c r="N785" s="107">
        <v>540</v>
      </c>
      <c r="O785" s="107">
        <v>525.35</v>
      </c>
      <c r="P785" s="107">
        <v>527.9</v>
      </c>
      <c r="Q785" s="107">
        <v>538.85</v>
      </c>
      <c r="R785">
        <v>1321117</v>
      </c>
    </row>
    <row r="786" spans="1:18" x14ac:dyDescent="0.25">
      <c r="A786" s="149">
        <v>43158</v>
      </c>
      <c r="B786" s="107">
        <v>544.9</v>
      </c>
      <c r="C786" s="107">
        <v>528.1</v>
      </c>
      <c r="D786" s="107">
        <v>517.20000000000005</v>
      </c>
      <c r="E786" s="107">
        <v>543</v>
      </c>
      <c r="F786" s="107">
        <v>528.1</v>
      </c>
      <c r="G786">
        <v>227771</v>
      </c>
      <c r="H786" s="107"/>
      <c r="I786" s="107"/>
      <c r="L786" s="149">
        <v>43158</v>
      </c>
      <c r="M786" s="107">
        <v>535.5</v>
      </c>
      <c r="N786" s="107">
        <v>545</v>
      </c>
      <c r="O786" s="107">
        <v>529.35</v>
      </c>
      <c r="P786" s="107">
        <v>542.75</v>
      </c>
      <c r="Q786" s="107">
        <v>535.5</v>
      </c>
      <c r="R786">
        <v>1246998</v>
      </c>
    </row>
    <row r="787" spans="1:18" x14ac:dyDescent="0.25">
      <c r="A787" s="149">
        <v>43159</v>
      </c>
      <c r="B787" s="107">
        <v>543.85</v>
      </c>
      <c r="C787" s="107">
        <v>541.29999999999995</v>
      </c>
      <c r="D787" s="107">
        <v>529.35</v>
      </c>
      <c r="E787" s="107">
        <v>540</v>
      </c>
      <c r="F787" s="107">
        <v>541.29999999999995</v>
      </c>
      <c r="G787">
        <v>76584</v>
      </c>
      <c r="H787" s="107"/>
      <c r="I787" s="107"/>
      <c r="L787" s="149">
        <v>43159</v>
      </c>
      <c r="M787" s="107">
        <v>541.45000000000005</v>
      </c>
      <c r="N787" s="107">
        <v>544.35</v>
      </c>
      <c r="O787" s="107">
        <v>529</v>
      </c>
      <c r="P787" s="107">
        <v>540</v>
      </c>
      <c r="Q787" s="107">
        <v>541.45000000000005</v>
      </c>
      <c r="R787">
        <v>1166425</v>
      </c>
    </row>
    <row r="788" spans="1:18" x14ac:dyDescent="0.25">
      <c r="A788" s="149">
        <v>43160</v>
      </c>
      <c r="B788" s="107">
        <v>543.1</v>
      </c>
      <c r="C788" s="107">
        <v>535.45000000000005</v>
      </c>
      <c r="D788" s="107">
        <v>533.79999999999995</v>
      </c>
      <c r="E788" s="107">
        <v>542.95000000000005</v>
      </c>
      <c r="F788" s="107">
        <v>535.45000000000005</v>
      </c>
      <c r="G788">
        <v>40144</v>
      </c>
      <c r="H788" s="107"/>
      <c r="I788" s="107"/>
      <c r="L788" s="149">
        <v>43160</v>
      </c>
      <c r="M788" s="107">
        <v>537.4</v>
      </c>
      <c r="N788" s="107">
        <v>545</v>
      </c>
      <c r="O788" s="107">
        <v>533.70000000000005</v>
      </c>
      <c r="P788" s="107">
        <v>542</v>
      </c>
      <c r="Q788" s="107">
        <v>537.4</v>
      </c>
      <c r="R788">
        <v>696690</v>
      </c>
    </row>
    <row r="789" spans="1:18" x14ac:dyDescent="0.25">
      <c r="A789" s="149">
        <v>43164</v>
      </c>
      <c r="B789" s="107">
        <v>550.95000000000005</v>
      </c>
      <c r="C789" s="107">
        <v>545.54999999999995</v>
      </c>
      <c r="D789" s="107">
        <v>530.45000000000005</v>
      </c>
      <c r="E789" s="107">
        <v>535</v>
      </c>
      <c r="F789" s="107">
        <v>545.54999999999995</v>
      </c>
      <c r="G789">
        <v>141099</v>
      </c>
      <c r="H789" s="107"/>
      <c r="I789" s="107"/>
      <c r="L789" s="149">
        <v>43164</v>
      </c>
      <c r="M789" s="107">
        <v>545.5</v>
      </c>
      <c r="N789" s="107">
        <v>551</v>
      </c>
      <c r="O789" s="107">
        <v>530</v>
      </c>
      <c r="P789" s="107">
        <v>537.4</v>
      </c>
      <c r="Q789" s="107">
        <v>545.5</v>
      </c>
      <c r="R789">
        <v>1987847</v>
      </c>
    </row>
    <row r="790" spans="1:18" x14ac:dyDescent="0.25">
      <c r="A790" s="149">
        <v>43165</v>
      </c>
      <c r="B790" s="107">
        <v>555</v>
      </c>
      <c r="C790" s="107">
        <v>534</v>
      </c>
      <c r="D790" s="107">
        <v>525</v>
      </c>
      <c r="E790" s="107">
        <v>549.20000000000005</v>
      </c>
      <c r="F790" s="107">
        <v>534</v>
      </c>
      <c r="G790">
        <v>66337</v>
      </c>
      <c r="H790" s="107"/>
      <c r="I790" s="107"/>
      <c r="L790" s="149">
        <v>43165</v>
      </c>
      <c r="M790" s="107">
        <v>535</v>
      </c>
      <c r="N790" s="107">
        <v>554.5</v>
      </c>
      <c r="O790" s="107">
        <v>531.6</v>
      </c>
      <c r="P790" s="107">
        <v>553.15</v>
      </c>
      <c r="Q790" s="107">
        <v>535</v>
      </c>
      <c r="R790">
        <v>938254</v>
      </c>
    </row>
    <row r="791" spans="1:18" x14ac:dyDescent="0.25">
      <c r="A791" s="149">
        <v>43166</v>
      </c>
      <c r="B791" s="107">
        <v>539</v>
      </c>
      <c r="C791" s="107">
        <v>499.2</v>
      </c>
      <c r="D791" s="107">
        <v>488.1</v>
      </c>
      <c r="E791" s="107">
        <v>537.9</v>
      </c>
      <c r="F791" s="107">
        <v>499.2</v>
      </c>
      <c r="G791">
        <v>178882</v>
      </c>
      <c r="H791" s="107"/>
      <c r="I791" s="107"/>
      <c r="L791" s="149">
        <v>43166</v>
      </c>
      <c r="M791" s="107">
        <v>499.65</v>
      </c>
      <c r="N791" s="107">
        <v>540.9</v>
      </c>
      <c r="O791" s="107">
        <v>487.7</v>
      </c>
      <c r="P791" s="107">
        <v>540.9</v>
      </c>
      <c r="Q791" s="107">
        <v>499.65</v>
      </c>
      <c r="R791">
        <v>2617870</v>
      </c>
    </row>
    <row r="792" spans="1:18" x14ac:dyDescent="0.25">
      <c r="A792" s="149">
        <v>43167</v>
      </c>
      <c r="B792" s="107">
        <v>519</v>
      </c>
      <c r="C792" s="107">
        <v>513.54999999999995</v>
      </c>
      <c r="D792" s="107">
        <v>494.05</v>
      </c>
      <c r="E792" s="107">
        <v>503.1</v>
      </c>
      <c r="F792" s="107">
        <v>513.54999999999995</v>
      </c>
      <c r="G792">
        <v>103374</v>
      </c>
      <c r="H792" s="107"/>
      <c r="I792" s="107"/>
      <c r="L792" s="149">
        <v>43167</v>
      </c>
      <c r="M792" s="107">
        <v>513.20000000000005</v>
      </c>
      <c r="N792" s="107">
        <v>515.45000000000005</v>
      </c>
      <c r="O792" s="107">
        <v>493.25</v>
      </c>
      <c r="P792" s="107">
        <v>506</v>
      </c>
      <c r="Q792" s="107">
        <v>513.20000000000005</v>
      </c>
      <c r="R792">
        <v>1381436</v>
      </c>
    </row>
    <row r="793" spans="1:18" x14ac:dyDescent="0.25">
      <c r="A793" s="149">
        <v>43168</v>
      </c>
      <c r="B793" s="107">
        <v>516.29999999999995</v>
      </c>
      <c r="C793" s="107">
        <v>507.5</v>
      </c>
      <c r="D793" s="107">
        <v>502.5</v>
      </c>
      <c r="E793" s="107">
        <v>514.9</v>
      </c>
      <c r="F793" s="107">
        <v>507.5</v>
      </c>
      <c r="G793">
        <v>28361</v>
      </c>
      <c r="H793" s="107"/>
      <c r="I793" s="107"/>
      <c r="L793" s="149">
        <v>43168</v>
      </c>
      <c r="M793" s="107">
        <v>507.3</v>
      </c>
      <c r="N793" s="107">
        <v>516.5</v>
      </c>
      <c r="O793" s="107">
        <v>502.2</v>
      </c>
      <c r="P793" s="107">
        <v>512</v>
      </c>
      <c r="Q793" s="107">
        <v>507.3</v>
      </c>
      <c r="R793">
        <v>744506</v>
      </c>
    </row>
    <row r="794" spans="1:18" x14ac:dyDescent="0.25">
      <c r="A794" s="149">
        <v>43171</v>
      </c>
      <c r="B794" s="107">
        <v>524.15</v>
      </c>
      <c r="C794" s="107">
        <v>518.20000000000005</v>
      </c>
      <c r="D794" s="107">
        <v>511.25</v>
      </c>
      <c r="E794" s="107">
        <v>513</v>
      </c>
      <c r="F794" s="107">
        <v>518.20000000000005</v>
      </c>
      <c r="G794">
        <v>48493</v>
      </c>
      <c r="H794" s="107"/>
      <c r="I794" s="107"/>
      <c r="L794" s="149">
        <v>43171</v>
      </c>
      <c r="M794" s="107">
        <v>518.70000000000005</v>
      </c>
      <c r="N794" s="107">
        <v>524.9</v>
      </c>
      <c r="O794" s="107">
        <v>511.2</v>
      </c>
      <c r="P794" s="107">
        <v>512</v>
      </c>
      <c r="Q794" s="107">
        <v>518.70000000000005</v>
      </c>
      <c r="R794">
        <v>715116</v>
      </c>
    </row>
    <row r="795" spans="1:18" x14ac:dyDescent="0.25">
      <c r="A795" s="149">
        <v>43172</v>
      </c>
      <c r="B795" s="107">
        <v>541.70000000000005</v>
      </c>
      <c r="C795" s="107">
        <v>538.04999999999995</v>
      </c>
      <c r="D795" s="107">
        <v>515.25</v>
      </c>
      <c r="E795" s="107">
        <v>520</v>
      </c>
      <c r="F795" s="107">
        <v>538.04999999999995</v>
      </c>
      <c r="G795">
        <v>95953</v>
      </c>
      <c r="H795" s="107"/>
      <c r="I795" s="107"/>
      <c r="L795" s="149">
        <v>43172</v>
      </c>
      <c r="M795" s="107">
        <v>538.54999999999995</v>
      </c>
      <c r="N795" s="107">
        <v>542</v>
      </c>
      <c r="O795" s="107">
        <v>515</v>
      </c>
      <c r="P795" s="107">
        <v>519</v>
      </c>
      <c r="Q795" s="107">
        <v>538.54999999999995</v>
      </c>
      <c r="R795">
        <v>1610243</v>
      </c>
    </row>
    <row r="796" spans="1:18" x14ac:dyDescent="0.25">
      <c r="A796" s="149">
        <v>43173</v>
      </c>
      <c r="B796" s="107">
        <v>555</v>
      </c>
      <c r="C796" s="107">
        <v>549.15</v>
      </c>
      <c r="D796" s="107">
        <v>536</v>
      </c>
      <c r="E796" s="107">
        <v>536</v>
      </c>
      <c r="F796" s="107">
        <v>549.15</v>
      </c>
      <c r="G796">
        <v>154258</v>
      </c>
      <c r="H796" s="107"/>
      <c r="I796" s="107"/>
      <c r="L796" s="149">
        <v>43173</v>
      </c>
      <c r="M796" s="107">
        <v>549.5</v>
      </c>
      <c r="N796" s="107">
        <v>555.70000000000005</v>
      </c>
      <c r="O796" s="107">
        <v>537</v>
      </c>
      <c r="P796" s="107">
        <v>537.9</v>
      </c>
      <c r="Q796" s="107">
        <v>549.5</v>
      </c>
      <c r="R796">
        <v>2336987</v>
      </c>
    </row>
    <row r="797" spans="1:18" x14ac:dyDescent="0.25">
      <c r="A797" s="149">
        <v>43174</v>
      </c>
      <c r="B797" s="107">
        <v>557.35</v>
      </c>
      <c r="C797" s="107">
        <v>532.20000000000005</v>
      </c>
      <c r="D797" s="107">
        <v>528.35</v>
      </c>
      <c r="E797" s="107">
        <v>553</v>
      </c>
      <c r="F797" s="107">
        <v>532.20000000000005</v>
      </c>
      <c r="G797">
        <v>129827</v>
      </c>
      <c r="H797" s="107"/>
      <c r="I797" s="107"/>
      <c r="L797" s="149">
        <v>43174</v>
      </c>
      <c r="M797" s="107">
        <v>532.35</v>
      </c>
      <c r="N797" s="107">
        <v>557.5</v>
      </c>
      <c r="O797" s="107">
        <v>528</v>
      </c>
      <c r="P797" s="107">
        <v>551.5</v>
      </c>
      <c r="Q797" s="107">
        <v>532.35</v>
      </c>
      <c r="R797">
        <v>1922366</v>
      </c>
    </row>
    <row r="798" spans="1:18" x14ac:dyDescent="0.25">
      <c r="A798" s="149">
        <v>43175</v>
      </c>
      <c r="B798" s="107">
        <v>545.95000000000005</v>
      </c>
      <c r="C798" s="107">
        <v>540.29999999999995</v>
      </c>
      <c r="D798" s="107">
        <v>532.1</v>
      </c>
      <c r="E798" s="107">
        <v>536.95000000000005</v>
      </c>
      <c r="F798" s="107">
        <v>540.29999999999995</v>
      </c>
      <c r="G798">
        <v>90351</v>
      </c>
      <c r="H798" s="107"/>
      <c r="I798" s="107"/>
      <c r="L798" s="149">
        <v>43175</v>
      </c>
      <c r="M798" s="107">
        <v>540.35</v>
      </c>
      <c r="N798" s="107">
        <v>546</v>
      </c>
      <c r="O798" s="107">
        <v>531.4</v>
      </c>
      <c r="P798" s="107">
        <v>533</v>
      </c>
      <c r="Q798" s="107">
        <v>540.35</v>
      </c>
      <c r="R798">
        <v>1612251</v>
      </c>
    </row>
    <row r="799" spans="1:18" x14ac:dyDescent="0.25">
      <c r="A799" s="149">
        <v>43178</v>
      </c>
      <c r="B799" s="107">
        <v>543.5</v>
      </c>
      <c r="C799" s="107">
        <v>530.15</v>
      </c>
      <c r="D799" s="107">
        <v>522.9</v>
      </c>
      <c r="E799" s="107">
        <v>539.5</v>
      </c>
      <c r="F799" s="107">
        <v>530.15</v>
      </c>
      <c r="G799">
        <v>66622</v>
      </c>
      <c r="H799" s="107"/>
      <c r="I799" s="107"/>
      <c r="L799" s="149">
        <v>43178</v>
      </c>
      <c r="M799" s="107">
        <v>530.65</v>
      </c>
      <c r="N799" s="107">
        <v>544.29999999999995</v>
      </c>
      <c r="O799" s="107">
        <v>522.1</v>
      </c>
      <c r="P799" s="107">
        <v>536.79999999999995</v>
      </c>
      <c r="Q799" s="107">
        <v>530.65</v>
      </c>
      <c r="R799">
        <v>2056703</v>
      </c>
    </row>
    <row r="800" spans="1:18" x14ac:dyDescent="0.25">
      <c r="A800" s="149">
        <v>43179</v>
      </c>
      <c r="B800" s="107">
        <v>533.85</v>
      </c>
      <c r="C800" s="107">
        <v>522.54999999999995</v>
      </c>
      <c r="D800" s="107">
        <v>517.70000000000005</v>
      </c>
      <c r="E800" s="107">
        <v>525</v>
      </c>
      <c r="F800" s="107">
        <v>522.54999999999995</v>
      </c>
      <c r="G800">
        <v>60629</v>
      </c>
      <c r="H800" s="107"/>
      <c r="I800" s="107"/>
      <c r="L800" s="149">
        <v>43179</v>
      </c>
      <c r="M800" s="107">
        <v>522.6</v>
      </c>
      <c r="N800" s="107">
        <v>534.4</v>
      </c>
      <c r="O800" s="107">
        <v>517.1</v>
      </c>
      <c r="P800" s="107">
        <v>529</v>
      </c>
      <c r="Q800" s="107">
        <v>522.6</v>
      </c>
      <c r="R800">
        <v>967238</v>
      </c>
    </row>
    <row r="801" spans="1:18" x14ac:dyDescent="0.25">
      <c r="A801" s="149">
        <v>43180</v>
      </c>
      <c r="B801" s="107">
        <v>533.5</v>
      </c>
      <c r="C801" s="107">
        <v>521.25</v>
      </c>
      <c r="D801" s="107">
        <v>517</v>
      </c>
      <c r="E801" s="107">
        <v>522.5</v>
      </c>
      <c r="F801" s="107">
        <v>521.25</v>
      </c>
      <c r="G801">
        <v>35841</v>
      </c>
      <c r="H801" s="107"/>
      <c r="I801" s="107"/>
      <c r="L801" s="149">
        <v>43180</v>
      </c>
      <c r="M801" s="107">
        <v>521.35</v>
      </c>
      <c r="N801" s="107">
        <v>534.4</v>
      </c>
      <c r="O801" s="107">
        <v>516.95000000000005</v>
      </c>
      <c r="P801" s="107">
        <v>523.04999999999995</v>
      </c>
      <c r="Q801" s="107">
        <v>521.35</v>
      </c>
      <c r="R801">
        <v>707793</v>
      </c>
    </row>
    <row r="802" spans="1:18" x14ac:dyDescent="0.25">
      <c r="A802" s="149">
        <v>43181</v>
      </c>
      <c r="B802" s="107">
        <v>522</v>
      </c>
      <c r="C802" s="107">
        <v>511.2</v>
      </c>
      <c r="D802" s="107">
        <v>510.05</v>
      </c>
      <c r="E802" s="107">
        <v>522</v>
      </c>
      <c r="F802" s="107">
        <v>511.2</v>
      </c>
      <c r="G802">
        <v>31272</v>
      </c>
      <c r="H802" s="107"/>
      <c r="I802" s="107"/>
      <c r="L802" s="149">
        <v>43181</v>
      </c>
      <c r="M802" s="107">
        <v>511.25</v>
      </c>
      <c r="N802" s="107">
        <v>521.35</v>
      </c>
      <c r="O802" s="107">
        <v>509.9</v>
      </c>
      <c r="P802" s="107">
        <v>520.5</v>
      </c>
      <c r="Q802" s="107">
        <v>511.25</v>
      </c>
      <c r="R802">
        <v>698564</v>
      </c>
    </row>
    <row r="803" spans="1:18" x14ac:dyDescent="0.25">
      <c r="A803" s="149">
        <v>43182</v>
      </c>
      <c r="B803" s="107">
        <v>508</v>
      </c>
      <c r="C803" s="107">
        <v>504.05</v>
      </c>
      <c r="D803" s="107">
        <v>495.25</v>
      </c>
      <c r="E803" s="107">
        <v>505.9</v>
      </c>
      <c r="F803" s="107">
        <v>504.05</v>
      </c>
      <c r="G803">
        <v>56921</v>
      </c>
      <c r="H803" s="107"/>
      <c r="I803" s="107"/>
      <c r="L803" s="149">
        <v>43182</v>
      </c>
      <c r="M803" s="107">
        <v>504.65</v>
      </c>
      <c r="N803" s="107">
        <v>508.7</v>
      </c>
      <c r="O803" s="107">
        <v>495</v>
      </c>
      <c r="P803" s="107">
        <v>504</v>
      </c>
      <c r="Q803" s="107">
        <v>504.65</v>
      </c>
      <c r="R803">
        <v>939239</v>
      </c>
    </row>
    <row r="804" spans="1:18" x14ac:dyDescent="0.25">
      <c r="A804" s="149">
        <v>43185</v>
      </c>
      <c r="B804" s="107">
        <v>529.65</v>
      </c>
      <c r="C804" s="107">
        <v>523.1</v>
      </c>
      <c r="D804" s="107">
        <v>498.95</v>
      </c>
      <c r="E804" s="107">
        <v>498.95</v>
      </c>
      <c r="F804" s="107">
        <v>523.1</v>
      </c>
      <c r="G804">
        <v>110566</v>
      </c>
      <c r="H804" s="107"/>
      <c r="I804" s="107"/>
      <c r="L804" s="149">
        <v>43185</v>
      </c>
      <c r="M804" s="107">
        <v>523.95000000000005</v>
      </c>
      <c r="N804" s="107">
        <v>529</v>
      </c>
      <c r="O804" s="107">
        <v>499.25</v>
      </c>
      <c r="P804" s="107">
        <v>505</v>
      </c>
      <c r="Q804" s="107">
        <v>523.95000000000005</v>
      </c>
      <c r="R804">
        <v>1998779</v>
      </c>
    </row>
    <row r="805" spans="1:18" x14ac:dyDescent="0.25">
      <c r="A805" s="149">
        <v>43186</v>
      </c>
      <c r="B805" s="107">
        <v>537.65</v>
      </c>
      <c r="C805" s="107">
        <v>508.25</v>
      </c>
      <c r="D805" s="107">
        <v>506.35</v>
      </c>
      <c r="E805" s="107">
        <v>530</v>
      </c>
      <c r="F805" s="107">
        <v>508.25</v>
      </c>
      <c r="G805">
        <v>142166</v>
      </c>
      <c r="H805" s="107"/>
      <c r="I805" s="107"/>
      <c r="L805" s="149">
        <v>43186</v>
      </c>
      <c r="M805" s="107">
        <v>508.3</v>
      </c>
      <c r="N805" s="107">
        <v>537.45000000000005</v>
      </c>
      <c r="O805" s="107">
        <v>506.8</v>
      </c>
      <c r="P805" s="107">
        <v>529.9</v>
      </c>
      <c r="Q805" s="107">
        <v>508.3</v>
      </c>
      <c r="R805">
        <v>2447098</v>
      </c>
    </row>
    <row r="806" spans="1:18" x14ac:dyDescent="0.25">
      <c r="A806" s="149">
        <v>43187</v>
      </c>
      <c r="B806" s="107">
        <v>505</v>
      </c>
      <c r="C806" s="107">
        <v>485.05</v>
      </c>
      <c r="D806" s="107">
        <v>480.8</v>
      </c>
      <c r="E806" s="107">
        <v>505</v>
      </c>
      <c r="F806" s="107">
        <v>485.05</v>
      </c>
      <c r="G806">
        <v>179054</v>
      </c>
      <c r="H806" s="107"/>
      <c r="I806" s="107"/>
      <c r="L806" s="149">
        <v>43187</v>
      </c>
      <c r="M806" s="107">
        <v>484.5</v>
      </c>
      <c r="N806" s="107">
        <v>507</v>
      </c>
      <c r="O806" s="107">
        <v>479</v>
      </c>
      <c r="P806" s="107">
        <v>507</v>
      </c>
      <c r="Q806" s="107">
        <v>484.5</v>
      </c>
      <c r="R806">
        <v>3867610</v>
      </c>
    </row>
    <row r="807" spans="1:18" x14ac:dyDescent="0.25">
      <c r="A807" s="149">
        <v>43192</v>
      </c>
      <c r="B807" s="107">
        <v>466.05</v>
      </c>
      <c r="C807" s="107">
        <v>431.2</v>
      </c>
      <c r="D807" s="107">
        <v>429</v>
      </c>
      <c r="E807" s="107">
        <v>465.8</v>
      </c>
      <c r="F807" s="107">
        <v>431.2</v>
      </c>
      <c r="G807">
        <v>497648</v>
      </c>
      <c r="H807" s="107"/>
      <c r="I807" s="107"/>
      <c r="L807" s="149">
        <v>43192</v>
      </c>
      <c r="M807" s="107">
        <v>429.75</v>
      </c>
      <c r="N807" s="107">
        <v>464</v>
      </c>
      <c r="O807" s="107">
        <v>421.25</v>
      </c>
      <c r="P807" s="107">
        <v>462</v>
      </c>
      <c r="Q807" s="107">
        <v>429.75</v>
      </c>
      <c r="R807">
        <v>7194670</v>
      </c>
    </row>
    <row r="808" spans="1:18" x14ac:dyDescent="0.25">
      <c r="A808" s="149">
        <v>43193</v>
      </c>
      <c r="B808" s="107">
        <v>441.8</v>
      </c>
      <c r="C808" s="107">
        <v>430.65</v>
      </c>
      <c r="D808" s="107">
        <v>428.3</v>
      </c>
      <c r="E808" s="107">
        <v>433</v>
      </c>
      <c r="F808" s="107">
        <v>430.65</v>
      </c>
      <c r="G808">
        <v>169113</v>
      </c>
      <c r="H808" s="107"/>
      <c r="I808" s="107"/>
      <c r="L808" s="149">
        <v>43193</v>
      </c>
      <c r="M808" s="107">
        <v>429.95</v>
      </c>
      <c r="N808" s="107">
        <v>441.75</v>
      </c>
      <c r="O808" s="107">
        <v>427</v>
      </c>
      <c r="P808" s="107">
        <v>435</v>
      </c>
      <c r="Q808" s="107">
        <v>429.95</v>
      </c>
      <c r="R808">
        <v>3360703</v>
      </c>
    </row>
    <row r="809" spans="1:18" x14ac:dyDescent="0.25">
      <c r="A809" s="149">
        <v>43194</v>
      </c>
      <c r="B809" s="107">
        <v>443</v>
      </c>
      <c r="C809" s="107">
        <v>428.55</v>
      </c>
      <c r="D809" s="107">
        <v>426.05</v>
      </c>
      <c r="E809" s="107">
        <v>434</v>
      </c>
      <c r="F809" s="107">
        <v>428.55</v>
      </c>
      <c r="G809">
        <v>142138</v>
      </c>
      <c r="H809" s="107"/>
      <c r="I809" s="107"/>
      <c r="L809" s="149">
        <v>43194</v>
      </c>
      <c r="M809" s="107">
        <v>428.6</v>
      </c>
      <c r="N809" s="107">
        <v>440.45</v>
      </c>
      <c r="O809" s="107">
        <v>426.25</v>
      </c>
      <c r="P809" s="107">
        <v>435</v>
      </c>
      <c r="Q809" s="107">
        <v>428.6</v>
      </c>
      <c r="R809">
        <v>2133375</v>
      </c>
    </row>
    <row r="810" spans="1:18" x14ac:dyDescent="0.25">
      <c r="A810" s="149">
        <v>43195</v>
      </c>
      <c r="B810" s="107">
        <v>440.95</v>
      </c>
      <c r="C810" s="107">
        <v>439.25</v>
      </c>
      <c r="D810" s="107">
        <v>432.5</v>
      </c>
      <c r="E810" s="107">
        <v>435.5</v>
      </c>
      <c r="F810" s="107">
        <v>439.25</v>
      </c>
      <c r="G810">
        <v>78358</v>
      </c>
      <c r="H810" s="107"/>
      <c r="I810" s="107"/>
      <c r="L810" s="149">
        <v>43195</v>
      </c>
      <c r="M810" s="107">
        <v>439.3</v>
      </c>
      <c r="N810" s="107">
        <v>441.45</v>
      </c>
      <c r="O810" s="107">
        <v>431.5</v>
      </c>
      <c r="P810" s="107">
        <v>431.5</v>
      </c>
      <c r="Q810" s="107">
        <v>439.3</v>
      </c>
      <c r="R810">
        <v>1255931</v>
      </c>
    </row>
    <row r="811" spans="1:18" x14ac:dyDescent="0.25">
      <c r="A811" s="149">
        <v>43196</v>
      </c>
      <c r="B811" s="107">
        <v>454.8</v>
      </c>
      <c r="C811" s="107">
        <v>451.15</v>
      </c>
      <c r="D811" s="107">
        <v>437.85</v>
      </c>
      <c r="E811" s="107">
        <v>440</v>
      </c>
      <c r="F811" s="107">
        <v>451.15</v>
      </c>
      <c r="G811">
        <v>147219</v>
      </c>
      <c r="H811" s="107"/>
      <c r="I811" s="107"/>
      <c r="L811" s="149">
        <v>43196</v>
      </c>
      <c r="M811" s="107">
        <v>453.5</v>
      </c>
      <c r="N811" s="107">
        <v>455.95</v>
      </c>
      <c r="O811" s="107">
        <v>437.4</v>
      </c>
      <c r="P811" s="107">
        <v>439.5</v>
      </c>
      <c r="Q811" s="107">
        <v>453.5</v>
      </c>
      <c r="R811">
        <v>3222847</v>
      </c>
    </row>
    <row r="812" spans="1:18" x14ac:dyDescent="0.25">
      <c r="A812" s="149">
        <v>43199</v>
      </c>
      <c r="B812" s="107">
        <v>458.5</v>
      </c>
      <c r="C812" s="107">
        <v>451.75</v>
      </c>
      <c r="D812" s="107">
        <v>450.15</v>
      </c>
      <c r="E812" s="107">
        <v>451.8</v>
      </c>
      <c r="F812" s="107">
        <v>451.75</v>
      </c>
      <c r="G812">
        <v>64663</v>
      </c>
      <c r="H812" s="107"/>
      <c r="I812" s="107"/>
      <c r="L812" s="149">
        <v>43199</v>
      </c>
      <c r="M812" s="107">
        <v>452.1</v>
      </c>
      <c r="N812" s="107">
        <v>458.4</v>
      </c>
      <c r="O812" s="107">
        <v>450.5</v>
      </c>
      <c r="P812" s="107">
        <v>450.5</v>
      </c>
      <c r="Q812" s="107">
        <v>452.1</v>
      </c>
      <c r="R812">
        <v>1235904</v>
      </c>
    </row>
    <row r="813" spans="1:18" x14ac:dyDescent="0.25">
      <c r="A813" s="149">
        <v>43200</v>
      </c>
      <c r="B813" s="107">
        <v>457</v>
      </c>
      <c r="C813" s="107">
        <v>451.45</v>
      </c>
      <c r="D813" s="107">
        <v>446.3</v>
      </c>
      <c r="E813" s="107">
        <v>451.1</v>
      </c>
      <c r="F813" s="107">
        <v>451.45</v>
      </c>
      <c r="G813">
        <v>39630</v>
      </c>
      <c r="H813" s="107"/>
      <c r="I813" s="107"/>
      <c r="L813" s="149">
        <v>43200</v>
      </c>
      <c r="M813" s="107">
        <v>451.45</v>
      </c>
      <c r="N813" s="107">
        <v>457.5</v>
      </c>
      <c r="O813" s="107">
        <v>446</v>
      </c>
      <c r="P813" s="107">
        <v>452.1</v>
      </c>
      <c r="Q813" s="107">
        <v>451.45</v>
      </c>
      <c r="R813">
        <v>651379</v>
      </c>
    </row>
    <row r="814" spans="1:18" x14ac:dyDescent="0.25">
      <c r="A814" s="149">
        <v>43201</v>
      </c>
      <c r="B814" s="107">
        <v>452.3</v>
      </c>
      <c r="C814" s="107">
        <v>443.05</v>
      </c>
      <c r="D814" s="107">
        <v>440.4</v>
      </c>
      <c r="E814" s="107">
        <v>451</v>
      </c>
      <c r="F814" s="107">
        <v>443.05</v>
      </c>
      <c r="G814">
        <v>48030</v>
      </c>
      <c r="H814" s="107"/>
      <c r="I814" s="107"/>
      <c r="L814" s="149">
        <v>43201</v>
      </c>
      <c r="M814" s="107">
        <v>442.95</v>
      </c>
      <c r="N814" s="107">
        <v>455</v>
      </c>
      <c r="O814" s="107">
        <v>440.5</v>
      </c>
      <c r="P814" s="107">
        <v>455</v>
      </c>
      <c r="Q814" s="107">
        <v>442.95</v>
      </c>
      <c r="R814">
        <v>717175</v>
      </c>
    </row>
    <row r="815" spans="1:18" x14ac:dyDescent="0.25">
      <c r="A815" s="149">
        <v>43202</v>
      </c>
      <c r="B815" s="107">
        <v>447.25</v>
      </c>
      <c r="C815" s="107">
        <v>443.75</v>
      </c>
      <c r="D815" s="107">
        <v>438.45</v>
      </c>
      <c r="E815" s="107">
        <v>443.3</v>
      </c>
      <c r="F815" s="107">
        <v>443.75</v>
      </c>
      <c r="G815">
        <v>39362</v>
      </c>
      <c r="H815" s="107"/>
      <c r="I815" s="107"/>
      <c r="L815" s="149">
        <v>43202</v>
      </c>
      <c r="M815" s="107">
        <v>443.85</v>
      </c>
      <c r="N815" s="107">
        <v>446.9</v>
      </c>
      <c r="O815" s="107">
        <v>438.55</v>
      </c>
      <c r="P815" s="107">
        <v>442</v>
      </c>
      <c r="Q815" s="107">
        <v>443.85</v>
      </c>
      <c r="R815">
        <v>535230</v>
      </c>
    </row>
    <row r="816" spans="1:18" x14ac:dyDescent="0.25">
      <c r="A816" s="149">
        <v>43203</v>
      </c>
      <c r="B816" s="107">
        <v>452.15</v>
      </c>
      <c r="C816" s="107">
        <v>444.25</v>
      </c>
      <c r="D816" s="107">
        <v>441.4</v>
      </c>
      <c r="E816" s="107">
        <v>443.9</v>
      </c>
      <c r="F816" s="107">
        <v>444.25</v>
      </c>
      <c r="G816">
        <v>48938</v>
      </c>
      <c r="H816" s="107"/>
      <c r="I816" s="107"/>
      <c r="L816" s="149">
        <v>43203</v>
      </c>
      <c r="M816" s="107">
        <v>443.95</v>
      </c>
      <c r="N816" s="107">
        <v>452.25</v>
      </c>
      <c r="O816" s="107">
        <v>441</v>
      </c>
      <c r="P816" s="107">
        <v>442</v>
      </c>
      <c r="Q816" s="107">
        <v>443.95</v>
      </c>
      <c r="R816">
        <v>701298</v>
      </c>
    </row>
    <row r="817" spans="1:18" x14ac:dyDescent="0.25">
      <c r="A817" s="149">
        <v>43206</v>
      </c>
      <c r="B817" s="107">
        <v>450</v>
      </c>
      <c r="C817" s="107">
        <v>446.35</v>
      </c>
      <c r="D817" s="107">
        <v>439.45</v>
      </c>
      <c r="E817" s="107">
        <v>440</v>
      </c>
      <c r="F817" s="107">
        <v>446.35</v>
      </c>
      <c r="G817">
        <v>36822</v>
      </c>
      <c r="H817" s="107"/>
      <c r="I817" s="107"/>
      <c r="L817" s="149">
        <v>43206</v>
      </c>
      <c r="M817" s="107">
        <v>446.9</v>
      </c>
      <c r="N817" s="107">
        <v>450.9</v>
      </c>
      <c r="O817" s="107">
        <v>438.5</v>
      </c>
      <c r="P817" s="107">
        <v>439</v>
      </c>
      <c r="Q817" s="107">
        <v>446.9</v>
      </c>
      <c r="R817">
        <v>603858</v>
      </c>
    </row>
    <row r="818" spans="1:18" x14ac:dyDescent="0.25">
      <c r="A818" s="149">
        <v>43207</v>
      </c>
      <c r="B818" s="107">
        <v>452</v>
      </c>
      <c r="C818" s="107">
        <v>444.55</v>
      </c>
      <c r="D818" s="107">
        <v>443</v>
      </c>
      <c r="E818" s="107">
        <v>443.1</v>
      </c>
      <c r="F818" s="107">
        <v>444.55</v>
      </c>
      <c r="G818">
        <v>45435</v>
      </c>
      <c r="H818" s="107"/>
      <c r="I818" s="107"/>
      <c r="L818" s="149">
        <v>43207</v>
      </c>
      <c r="M818" s="107">
        <v>444.8</v>
      </c>
      <c r="N818" s="107">
        <v>452.2</v>
      </c>
      <c r="O818" s="107">
        <v>442.2</v>
      </c>
      <c r="P818" s="107">
        <v>448.05</v>
      </c>
      <c r="Q818" s="107">
        <v>444.8</v>
      </c>
      <c r="R818">
        <v>473021</v>
      </c>
    </row>
    <row r="819" spans="1:18" x14ac:dyDescent="0.25">
      <c r="A819" s="149">
        <v>43208</v>
      </c>
      <c r="B819" s="107">
        <v>447.6</v>
      </c>
      <c r="C819" s="107">
        <v>441.8</v>
      </c>
      <c r="D819" s="107">
        <v>440</v>
      </c>
      <c r="E819" s="107">
        <v>440</v>
      </c>
      <c r="F819" s="107">
        <v>441.8</v>
      </c>
      <c r="G819">
        <v>28583</v>
      </c>
      <c r="H819" s="107"/>
      <c r="I819" s="107"/>
      <c r="L819" s="149">
        <v>43208</v>
      </c>
      <c r="M819" s="107">
        <v>441.55</v>
      </c>
      <c r="N819" s="107">
        <v>447.9</v>
      </c>
      <c r="O819" s="107">
        <v>440</v>
      </c>
      <c r="P819" s="107">
        <v>445.3</v>
      </c>
      <c r="Q819" s="107">
        <v>441.55</v>
      </c>
      <c r="R819">
        <v>336350</v>
      </c>
    </row>
    <row r="820" spans="1:18" x14ac:dyDescent="0.25">
      <c r="A820" s="149">
        <v>43209</v>
      </c>
      <c r="B820" s="107">
        <v>443.05</v>
      </c>
      <c r="C820" s="107">
        <v>441.1</v>
      </c>
      <c r="D820" s="107">
        <v>438.75</v>
      </c>
      <c r="E820" s="107">
        <v>440.25</v>
      </c>
      <c r="F820" s="107">
        <v>441.1</v>
      </c>
      <c r="G820">
        <v>17406</v>
      </c>
      <c r="H820" s="107"/>
      <c r="I820" s="107"/>
      <c r="L820" s="149">
        <v>43209</v>
      </c>
      <c r="M820" s="107">
        <v>441.2</v>
      </c>
      <c r="N820" s="107">
        <v>443.7</v>
      </c>
      <c r="O820" s="107">
        <v>438.15</v>
      </c>
      <c r="P820" s="107">
        <v>441.45</v>
      </c>
      <c r="Q820" s="107">
        <v>441.2</v>
      </c>
      <c r="R820">
        <v>350916</v>
      </c>
    </row>
    <row r="821" spans="1:18" x14ac:dyDescent="0.25">
      <c r="A821" s="149">
        <v>43210</v>
      </c>
      <c r="B821" s="107">
        <v>442.05</v>
      </c>
      <c r="C821" s="107">
        <v>434.2</v>
      </c>
      <c r="D821" s="107">
        <v>430.45</v>
      </c>
      <c r="E821" s="107">
        <v>439</v>
      </c>
      <c r="F821" s="107">
        <v>434.2</v>
      </c>
      <c r="G821">
        <v>55236</v>
      </c>
      <c r="H821" s="107"/>
      <c r="I821" s="107"/>
      <c r="L821" s="149">
        <v>43210</v>
      </c>
      <c r="M821" s="107">
        <v>433.65</v>
      </c>
      <c r="N821" s="107">
        <v>443</v>
      </c>
      <c r="O821" s="107">
        <v>430.3</v>
      </c>
      <c r="P821" s="107">
        <v>439</v>
      </c>
      <c r="Q821" s="107">
        <v>433.65</v>
      </c>
      <c r="R821">
        <v>746942</v>
      </c>
    </row>
    <row r="822" spans="1:18" x14ac:dyDescent="0.25">
      <c r="A822" s="149">
        <v>43213</v>
      </c>
      <c r="B822" s="107">
        <v>438.5</v>
      </c>
      <c r="C822" s="107">
        <v>434.4</v>
      </c>
      <c r="D822" s="107">
        <v>431.45</v>
      </c>
      <c r="E822" s="107">
        <v>434</v>
      </c>
      <c r="F822" s="107">
        <v>434.4</v>
      </c>
      <c r="G822">
        <v>27051</v>
      </c>
      <c r="H822" s="107"/>
      <c r="I822" s="107"/>
      <c r="L822" s="149">
        <v>43213</v>
      </c>
      <c r="M822" s="107">
        <v>435.4</v>
      </c>
      <c r="N822" s="107">
        <v>439</v>
      </c>
      <c r="O822" s="107">
        <v>431.1</v>
      </c>
      <c r="P822" s="107">
        <v>437.8</v>
      </c>
      <c r="Q822" s="107">
        <v>435.4</v>
      </c>
      <c r="R822">
        <v>485132</v>
      </c>
    </row>
    <row r="823" spans="1:18" x14ac:dyDescent="0.25">
      <c r="A823" s="149">
        <v>43214</v>
      </c>
      <c r="B823" s="107">
        <v>444</v>
      </c>
      <c r="C823" s="107">
        <v>438.55</v>
      </c>
      <c r="D823" s="107">
        <v>431</v>
      </c>
      <c r="E823" s="107">
        <v>431</v>
      </c>
      <c r="F823" s="107">
        <v>438.55</v>
      </c>
      <c r="G823">
        <v>31010</v>
      </c>
      <c r="H823" s="107"/>
      <c r="I823" s="107"/>
      <c r="L823" s="149">
        <v>43214</v>
      </c>
      <c r="M823" s="107">
        <v>437.9</v>
      </c>
      <c r="N823" s="107">
        <v>444</v>
      </c>
      <c r="O823" s="107">
        <v>432</v>
      </c>
      <c r="P823" s="107">
        <v>435</v>
      </c>
      <c r="Q823" s="107">
        <v>437.9</v>
      </c>
      <c r="R823">
        <v>649953</v>
      </c>
    </row>
    <row r="824" spans="1:18" x14ac:dyDescent="0.25">
      <c r="A824" s="149">
        <v>43215</v>
      </c>
      <c r="B824" s="107">
        <v>446.9</v>
      </c>
      <c r="C824" s="107">
        <v>440.7</v>
      </c>
      <c r="D824" s="107">
        <v>433</v>
      </c>
      <c r="E824" s="107">
        <v>435.4</v>
      </c>
      <c r="F824" s="107">
        <v>440.7</v>
      </c>
      <c r="G824">
        <v>51493</v>
      </c>
      <c r="H824" s="107"/>
      <c r="I824" s="107"/>
      <c r="L824" s="149">
        <v>43215</v>
      </c>
      <c r="M824" s="107">
        <v>440.3</v>
      </c>
      <c r="N824" s="107">
        <v>447.3</v>
      </c>
      <c r="O824" s="107">
        <v>432.5</v>
      </c>
      <c r="P824" s="107">
        <v>436.1</v>
      </c>
      <c r="Q824" s="107">
        <v>440.3</v>
      </c>
      <c r="R824">
        <v>1157350</v>
      </c>
    </row>
    <row r="825" spans="1:18" x14ac:dyDescent="0.25">
      <c r="A825" s="149">
        <v>43216</v>
      </c>
      <c r="B825" s="107">
        <v>445.05</v>
      </c>
      <c r="C825" s="107">
        <v>437.3</v>
      </c>
      <c r="D825" s="107">
        <v>436</v>
      </c>
      <c r="E825" s="107">
        <v>441</v>
      </c>
      <c r="F825" s="107">
        <v>437.3</v>
      </c>
      <c r="G825">
        <v>28399</v>
      </c>
      <c r="H825" s="107"/>
      <c r="I825" s="107"/>
      <c r="L825" s="149">
        <v>43216</v>
      </c>
      <c r="M825" s="107">
        <v>437.55</v>
      </c>
      <c r="N825" s="107">
        <v>444.95</v>
      </c>
      <c r="O825" s="107">
        <v>435.3</v>
      </c>
      <c r="P825" s="107">
        <v>441</v>
      </c>
      <c r="Q825" s="107">
        <v>437.55</v>
      </c>
      <c r="R825">
        <v>885298</v>
      </c>
    </row>
    <row r="826" spans="1:18" x14ac:dyDescent="0.25">
      <c r="A826" s="149">
        <v>43217</v>
      </c>
      <c r="B826" s="107">
        <v>451.6</v>
      </c>
      <c r="C826" s="107">
        <v>444.8</v>
      </c>
      <c r="D826" s="107">
        <v>437.75</v>
      </c>
      <c r="E826" s="107">
        <v>445</v>
      </c>
      <c r="F826" s="107">
        <v>444.8</v>
      </c>
      <c r="G826">
        <v>63001</v>
      </c>
      <c r="H826" s="107"/>
      <c r="I826" s="107"/>
      <c r="L826" s="149">
        <v>43217</v>
      </c>
      <c r="M826" s="107">
        <v>444.55</v>
      </c>
      <c r="N826" s="107">
        <v>451.55</v>
      </c>
      <c r="O826" s="107">
        <v>439.2</v>
      </c>
      <c r="P826" s="107">
        <v>440</v>
      </c>
      <c r="Q826" s="107">
        <v>444.55</v>
      </c>
      <c r="R826">
        <v>962488</v>
      </c>
    </row>
    <row r="827" spans="1:18" x14ac:dyDescent="0.25">
      <c r="A827" s="149">
        <v>43220</v>
      </c>
      <c r="B827" s="107">
        <v>440</v>
      </c>
      <c r="C827" s="107">
        <v>421.45</v>
      </c>
      <c r="D827" s="107">
        <v>415.05</v>
      </c>
      <c r="E827" s="107">
        <v>437.3</v>
      </c>
      <c r="F827" s="107">
        <v>421.45</v>
      </c>
      <c r="G827">
        <v>185149</v>
      </c>
      <c r="H827" s="107"/>
      <c r="I827" s="107"/>
      <c r="L827" s="149">
        <v>43220</v>
      </c>
      <c r="M827" s="107">
        <v>421.5</v>
      </c>
      <c r="N827" s="107">
        <v>439.5</v>
      </c>
      <c r="O827" s="107">
        <v>414.65</v>
      </c>
      <c r="P827" s="107">
        <v>439.5</v>
      </c>
      <c r="Q827" s="107">
        <v>421.5</v>
      </c>
      <c r="R827">
        <v>2773627</v>
      </c>
    </row>
    <row r="828" spans="1:18" x14ac:dyDescent="0.25">
      <c r="A828" s="149">
        <v>43222</v>
      </c>
      <c r="B828" s="107">
        <v>428.75</v>
      </c>
      <c r="C828" s="107">
        <v>417.15</v>
      </c>
      <c r="D828" s="107">
        <v>414.1</v>
      </c>
      <c r="E828" s="107">
        <v>421.4</v>
      </c>
      <c r="F828" s="107">
        <v>417.15</v>
      </c>
      <c r="G828">
        <v>61936</v>
      </c>
      <c r="H828" s="107"/>
      <c r="I828" s="107"/>
      <c r="L828" s="149">
        <v>43222</v>
      </c>
      <c r="M828" s="107">
        <v>416.35</v>
      </c>
      <c r="N828" s="107">
        <v>428.9</v>
      </c>
      <c r="O828" s="107">
        <v>413.55</v>
      </c>
      <c r="P828" s="107">
        <v>422</v>
      </c>
      <c r="Q828" s="107">
        <v>416.35</v>
      </c>
      <c r="R828">
        <v>1447389</v>
      </c>
    </row>
    <row r="829" spans="1:18" x14ac:dyDescent="0.25">
      <c r="A829" s="149">
        <v>43223</v>
      </c>
      <c r="B829" s="107">
        <v>416.95</v>
      </c>
      <c r="C829" s="107">
        <v>406.65</v>
      </c>
      <c r="D829" s="107">
        <v>405.05</v>
      </c>
      <c r="E829" s="107">
        <v>416.95</v>
      </c>
      <c r="F829" s="107">
        <v>406.65</v>
      </c>
      <c r="G829">
        <v>49778</v>
      </c>
      <c r="H829" s="107"/>
      <c r="I829" s="107"/>
      <c r="L829" s="149">
        <v>43223</v>
      </c>
      <c r="M829" s="107">
        <v>406.25</v>
      </c>
      <c r="N829" s="107">
        <v>416.6</v>
      </c>
      <c r="O829" s="107">
        <v>405</v>
      </c>
      <c r="P829" s="107">
        <v>415.7</v>
      </c>
      <c r="Q829" s="107">
        <v>406.25</v>
      </c>
      <c r="R829">
        <v>949351</v>
      </c>
    </row>
    <row r="830" spans="1:18" x14ac:dyDescent="0.25">
      <c r="A830" s="149">
        <v>43224</v>
      </c>
      <c r="B830" s="107">
        <v>414.55</v>
      </c>
      <c r="C830" s="107">
        <v>408.45</v>
      </c>
      <c r="D830" s="107">
        <v>406.45</v>
      </c>
      <c r="E830" s="107">
        <v>406.65</v>
      </c>
      <c r="F830" s="107">
        <v>408.45</v>
      </c>
      <c r="G830">
        <v>32253</v>
      </c>
      <c r="H830" s="107"/>
      <c r="I830" s="107"/>
      <c r="L830" s="149">
        <v>43224</v>
      </c>
      <c r="M830" s="107">
        <v>408.1</v>
      </c>
      <c r="N830" s="107">
        <v>414.9</v>
      </c>
      <c r="O830" s="107">
        <v>406.3</v>
      </c>
      <c r="P830" s="107">
        <v>406.8</v>
      </c>
      <c r="Q830" s="107">
        <v>408.1</v>
      </c>
      <c r="R830">
        <v>656511</v>
      </c>
    </row>
    <row r="831" spans="1:18" x14ac:dyDescent="0.25">
      <c r="A831" s="149">
        <v>43227</v>
      </c>
      <c r="B831" s="107">
        <v>411.95</v>
      </c>
      <c r="C831" s="107">
        <v>403.85</v>
      </c>
      <c r="D831" s="107">
        <v>401</v>
      </c>
      <c r="E831" s="107">
        <v>410.5</v>
      </c>
      <c r="F831" s="107">
        <v>403.85</v>
      </c>
      <c r="G831">
        <v>44984</v>
      </c>
      <c r="H831" s="107"/>
      <c r="I831" s="107"/>
      <c r="L831" s="149">
        <v>43227</v>
      </c>
      <c r="M831" s="107">
        <v>404.5</v>
      </c>
      <c r="N831" s="107">
        <v>413.2</v>
      </c>
      <c r="O831" s="107">
        <v>400.5</v>
      </c>
      <c r="P831" s="107">
        <v>410</v>
      </c>
      <c r="Q831" s="107">
        <v>404.5</v>
      </c>
      <c r="R831">
        <v>965880</v>
      </c>
    </row>
    <row r="832" spans="1:18" x14ac:dyDescent="0.25">
      <c r="A832" s="149">
        <v>43228</v>
      </c>
      <c r="B832" s="107">
        <v>410.1</v>
      </c>
      <c r="C832" s="107">
        <v>404.05</v>
      </c>
      <c r="D832" s="107">
        <v>402.5</v>
      </c>
      <c r="E832" s="107">
        <v>409</v>
      </c>
      <c r="F832" s="107">
        <v>404.05</v>
      </c>
      <c r="G832">
        <v>52105</v>
      </c>
      <c r="H832" s="107"/>
      <c r="I832" s="107"/>
      <c r="L832" s="149">
        <v>43228</v>
      </c>
      <c r="M832" s="107">
        <v>404.3</v>
      </c>
      <c r="N832" s="107">
        <v>410.45</v>
      </c>
      <c r="O832" s="107">
        <v>402.4</v>
      </c>
      <c r="P832" s="107">
        <v>406</v>
      </c>
      <c r="Q832" s="107">
        <v>404.3</v>
      </c>
      <c r="R832">
        <v>616999</v>
      </c>
    </row>
    <row r="833" spans="1:18" x14ac:dyDescent="0.25">
      <c r="A833" s="149">
        <v>43229</v>
      </c>
      <c r="B833" s="107">
        <v>408.4</v>
      </c>
      <c r="C833" s="107">
        <v>403.9</v>
      </c>
      <c r="D833" s="107">
        <v>402.9</v>
      </c>
      <c r="E833" s="107">
        <v>404</v>
      </c>
      <c r="F833" s="107">
        <v>403.9</v>
      </c>
      <c r="G833">
        <v>42209</v>
      </c>
      <c r="H833" s="107"/>
      <c r="I833" s="107"/>
      <c r="L833" s="149">
        <v>43229</v>
      </c>
      <c r="M833" s="107">
        <v>404</v>
      </c>
      <c r="N833" s="107">
        <v>407.9</v>
      </c>
      <c r="O833" s="107">
        <v>402.15</v>
      </c>
      <c r="P833" s="107">
        <v>404.05</v>
      </c>
      <c r="Q833" s="107">
        <v>404</v>
      </c>
      <c r="R833">
        <v>565294</v>
      </c>
    </row>
    <row r="834" spans="1:18" x14ac:dyDescent="0.25">
      <c r="A834" s="149">
        <v>43230</v>
      </c>
      <c r="B834" s="107">
        <v>402.55</v>
      </c>
      <c r="C834" s="107">
        <v>389.55</v>
      </c>
      <c r="D834" s="107">
        <v>388.55</v>
      </c>
      <c r="E834" s="107">
        <v>401</v>
      </c>
      <c r="F834" s="107">
        <v>389.55</v>
      </c>
      <c r="G834">
        <v>92886</v>
      </c>
      <c r="H834" s="107"/>
      <c r="I834" s="107"/>
      <c r="L834" s="149">
        <v>43230</v>
      </c>
      <c r="M834" s="107">
        <v>389.35</v>
      </c>
      <c r="N834" s="107">
        <v>403.05</v>
      </c>
      <c r="O834" s="107">
        <v>388</v>
      </c>
      <c r="P834" s="107">
        <v>403.05</v>
      </c>
      <c r="Q834" s="107">
        <v>389.35</v>
      </c>
      <c r="R834">
        <v>1163057</v>
      </c>
    </row>
    <row r="835" spans="1:18" x14ac:dyDescent="0.25">
      <c r="A835" s="149">
        <v>43231</v>
      </c>
      <c r="B835" s="107">
        <v>390</v>
      </c>
      <c r="C835" s="107">
        <v>386.25</v>
      </c>
      <c r="D835" s="107">
        <v>380</v>
      </c>
      <c r="E835" s="107">
        <v>389</v>
      </c>
      <c r="F835" s="107">
        <v>386.25</v>
      </c>
      <c r="G835">
        <v>48345</v>
      </c>
      <c r="H835" s="107"/>
      <c r="I835" s="107"/>
      <c r="L835" s="149">
        <v>43231</v>
      </c>
      <c r="M835" s="107">
        <v>386.35</v>
      </c>
      <c r="N835" s="107">
        <v>392.6</v>
      </c>
      <c r="O835" s="107">
        <v>380.15</v>
      </c>
      <c r="P835" s="107">
        <v>391</v>
      </c>
      <c r="Q835" s="107">
        <v>386.35</v>
      </c>
      <c r="R835">
        <v>633143</v>
      </c>
    </row>
    <row r="836" spans="1:18" x14ac:dyDescent="0.25">
      <c r="A836" s="149">
        <v>43234</v>
      </c>
      <c r="B836" s="107">
        <v>397.7</v>
      </c>
      <c r="C836" s="107">
        <v>387.95</v>
      </c>
      <c r="D836" s="107">
        <v>384.8</v>
      </c>
      <c r="E836" s="107">
        <v>384.9</v>
      </c>
      <c r="F836" s="107">
        <v>387.95</v>
      </c>
      <c r="G836">
        <v>54543</v>
      </c>
      <c r="H836" s="107"/>
      <c r="I836" s="107"/>
      <c r="L836" s="149">
        <v>43234</v>
      </c>
      <c r="M836" s="107">
        <v>387.15</v>
      </c>
      <c r="N836" s="107">
        <v>397.7</v>
      </c>
      <c r="O836" s="107">
        <v>385.05</v>
      </c>
      <c r="P836" s="107">
        <v>387.8</v>
      </c>
      <c r="Q836" s="107">
        <v>387.15</v>
      </c>
      <c r="R836">
        <v>621045</v>
      </c>
    </row>
    <row r="837" spans="1:18" x14ac:dyDescent="0.25">
      <c r="A837" s="149">
        <v>43235</v>
      </c>
      <c r="B837" s="107">
        <v>392.1</v>
      </c>
      <c r="C837" s="107">
        <v>379.65</v>
      </c>
      <c r="D837" s="107">
        <v>377.05</v>
      </c>
      <c r="E837" s="107">
        <v>387</v>
      </c>
      <c r="F837" s="107">
        <v>379.65</v>
      </c>
      <c r="G837">
        <v>31621</v>
      </c>
      <c r="H837" s="107"/>
      <c r="I837" s="107"/>
      <c r="L837" s="149">
        <v>43235</v>
      </c>
      <c r="M837" s="107">
        <v>379.35</v>
      </c>
      <c r="N837" s="107">
        <v>392.5</v>
      </c>
      <c r="O837" s="107">
        <v>376.65</v>
      </c>
      <c r="P837" s="107">
        <v>387</v>
      </c>
      <c r="Q837" s="107">
        <v>379.35</v>
      </c>
      <c r="R837">
        <v>556148</v>
      </c>
    </row>
    <row r="838" spans="1:18" x14ac:dyDescent="0.25">
      <c r="A838" s="149">
        <v>43236</v>
      </c>
      <c r="B838" s="107">
        <v>379.65</v>
      </c>
      <c r="C838" s="107">
        <v>373.1</v>
      </c>
      <c r="D838" s="107">
        <v>369</v>
      </c>
      <c r="E838" s="107">
        <v>371.45</v>
      </c>
      <c r="F838" s="107">
        <v>373.1</v>
      </c>
      <c r="G838">
        <v>61589</v>
      </c>
      <c r="H838" s="107"/>
      <c r="I838" s="107"/>
      <c r="L838" s="149">
        <v>43236</v>
      </c>
      <c r="M838" s="107">
        <v>372.55</v>
      </c>
      <c r="N838" s="107">
        <v>379.85</v>
      </c>
      <c r="O838" s="107">
        <v>370.1</v>
      </c>
      <c r="P838" s="107">
        <v>372</v>
      </c>
      <c r="Q838" s="107">
        <v>372.55</v>
      </c>
      <c r="R838">
        <v>718292</v>
      </c>
    </row>
    <row r="839" spans="1:18" x14ac:dyDescent="0.25">
      <c r="A839" s="149">
        <v>43237</v>
      </c>
      <c r="B839" s="107">
        <v>382.75</v>
      </c>
      <c r="C839" s="107">
        <v>380.2</v>
      </c>
      <c r="D839" s="107">
        <v>371.6</v>
      </c>
      <c r="E839" s="107">
        <v>374.3</v>
      </c>
      <c r="F839" s="107">
        <v>380.2</v>
      </c>
      <c r="G839">
        <v>30392</v>
      </c>
      <c r="H839" s="107"/>
      <c r="I839" s="107"/>
      <c r="L839" s="149">
        <v>43237</v>
      </c>
      <c r="M839" s="107">
        <v>380</v>
      </c>
      <c r="N839" s="107">
        <v>383.05</v>
      </c>
      <c r="O839" s="107">
        <v>371.2</v>
      </c>
      <c r="P839" s="107">
        <v>372.75</v>
      </c>
      <c r="Q839" s="107">
        <v>380</v>
      </c>
      <c r="R839">
        <v>589449</v>
      </c>
    </row>
    <row r="840" spans="1:18" x14ac:dyDescent="0.25">
      <c r="A840" s="149">
        <v>43238</v>
      </c>
      <c r="B840" s="107">
        <v>381.7</v>
      </c>
      <c r="C840" s="107">
        <v>369.4</v>
      </c>
      <c r="D840" s="107">
        <v>367.65</v>
      </c>
      <c r="E840" s="107">
        <v>381.05</v>
      </c>
      <c r="F840" s="107">
        <v>369.4</v>
      </c>
      <c r="G840">
        <v>27552</v>
      </c>
      <c r="H840" s="107"/>
      <c r="I840" s="107"/>
      <c r="L840" s="149">
        <v>43238</v>
      </c>
      <c r="M840" s="107">
        <v>368.5</v>
      </c>
      <c r="N840" s="107">
        <v>382.55</v>
      </c>
      <c r="O840" s="107">
        <v>367.6</v>
      </c>
      <c r="P840" s="107">
        <v>380.55</v>
      </c>
      <c r="Q840" s="107">
        <v>368.5</v>
      </c>
      <c r="R840">
        <v>433966</v>
      </c>
    </row>
    <row r="841" spans="1:18" x14ac:dyDescent="0.25">
      <c r="A841" s="149">
        <v>43241</v>
      </c>
      <c r="B841" s="107">
        <v>368.8</v>
      </c>
      <c r="C841" s="107">
        <v>351.5</v>
      </c>
      <c r="D841" s="107">
        <v>348.5</v>
      </c>
      <c r="E841" s="107">
        <v>368.8</v>
      </c>
      <c r="F841" s="107">
        <v>351.5</v>
      </c>
      <c r="G841">
        <v>74682</v>
      </c>
      <c r="H841" s="107"/>
      <c r="I841" s="107"/>
      <c r="L841" s="149">
        <v>43241</v>
      </c>
      <c r="M841" s="107">
        <v>352.05</v>
      </c>
      <c r="N841" s="107">
        <v>365</v>
      </c>
      <c r="O841" s="107">
        <v>348.05</v>
      </c>
      <c r="P841" s="107">
        <v>365</v>
      </c>
      <c r="Q841" s="107">
        <v>352.05</v>
      </c>
      <c r="R841">
        <v>1105112</v>
      </c>
    </row>
    <row r="842" spans="1:18" x14ac:dyDescent="0.25">
      <c r="A842" s="149">
        <v>43242</v>
      </c>
      <c r="B842" s="107">
        <v>364.1</v>
      </c>
      <c r="C842" s="107">
        <v>358.45</v>
      </c>
      <c r="D842" s="107">
        <v>345.75</v>
      </c>
      <c r="E842" s="107">
        <v>348</v>
      </c>
      <c r="F842" s="107">
        <v>358.45</v>
      </c>
      <c r="G842">
        <v>39011</v>
      </c>
      <c r="H842" s="107"/>
      <c r="I842" s="107"/>
      <c r="L842" s="149">
        <v>43242</v>
      </c>
      <c r="M842" s="107">
        <v>359.15</v>
      </c>
      <c r="N842" s="107">
        <v>364</v>
      </c>
      <c r="O842" s="107">
        <v>345.55</v>
      </c>
      <c r="P842" s="107">
        <v>350</v>
      </c>
      <c r="Q842" s="107">
        <v>359.15</v>
      </c>
      <c r="R842">
        <v>643293</v>
      </c>
    </row>
    <row r="843" spans="1:18" x14ac:dyDescent="0.25">
      <c r="A843" s="149">
        <v>43243</v>
      </c>
      <c r="B843" s="107">
        <v>364.35</v>
      </c>
      <c r="C843" s="107">
        <v>356.35</v>
      </c>
      <c r="D843" s="107">
        <v>351.95</v>
      </c>
      <c r="E843" s="107">
        <v>358.6</v>
      </c>
      <c r="F843" s="107">
        <v>356.35</v>
      </c>
      <c r="G843">
        <v>28893</v>
      </c>
      <c r="H843" s="107"/>
      <c r="I843" s="107"/>
      <c r="L843" s="149">
        <v>43243</v>
      </c>
      <c r="M843" s="107">
        <v>356.6</v>
      </c>
      <c r="N843" s="107">
        <v>364.75</v>
      </c>
      <c r="O843" s="107">
        <v>354</v>
      </c>
      <c r="P843" s="107">
        <v>357.75</v>
      </c>
      <c r="Q843" s="107">
        <v>356.6</v>
      </c>
      <c r="R843">
        <v>557675</v>
      </c>
    </row>
    <row r="844" spans="1:18" x14ac:dyDescent="0.25">
      <c r="A844" s="149">
        <v>43244</v>
      </c>
      <c r="B844" s="107">
        <v>361.4</v>
      </c>
      <c r="C844" s="107">
        <v>353.35</v>
      </c>
      <c r="D844" s="107">
        <v>349.6</v>
      </c>
      <c r="E844" s="107">
        <v>353</v>
      </c>
      <c r="F844" s="107">
        <v>353.35</v>
      </c>
      <c r="G844">
        <v>27025</v>
      </c>
      <c r="H844" s="107"/>
      <c r="I844" s="107"/>
      <c r="L844" s="149">
        <v>43244</v>
      </c>
      <c r="M844" s="107">
        <v>353.75</v>
      </c>
      <c r="N844" s="107">
        <v>361.4</v>
      </c>
      <c r="O844" s="107">
        <v>348.95</v>
      </c>
      <c r="P844" s="107">
        <v>358.5</v>
      </c>
      <c r="Q844" s="107">
        <v>353.75</v>
      </c>
      <c r="R844">
        <v>634740</v>
      </c>
    </row>
    <row r="845" spans="1:18" x14ac:dyDescent="0.25">
      <c r="A845" s="149">
        <v>43245</v>
      </c>
      <c r="B845" s="107">
        <v>363.8</v>
      </c>
      <c r="C845" s="107">
        <v>361.35</v>
      </c>
      <c r="D845" s="107">
        <v>352</v>
      </c>
      <c r="E845" s="107">
        <v>352</v>
      </c>
      <c r="F845" s="107">
        <v>361.35</v>
      </c>
      <c r="G845">
        <v>28354</v>
      </c>
      <c r="H845" s="107"/>
      <c r="I845" s="107"/>
      <c r="L845" s="149">
        <v>43245</v>
      </c>
      <c r="M845" s="107">
        <v>360.95</v>
      </c>
      <c r="N845" s="107">
        <v>364</v>
      </c>
      <c r="O845" s="107">
        <v>353.95</v>
      </c>
      <c r="P845" s="107">
        <v>354.95</v>
      </c>
      <c r="Q845" s="107">
        <v>360.95</v>
      </c>
      <c r="R845">
        <v>622830</v>
      </c>
    </row>
    <row r="846" spans="1:18" x14ac:dyDescent="0.25">
      <c r="A846" s="149">
        <v>43248</v>
      </c>
      <c r="B846" s="107">
        <v>406.75</v>
      </c>
      <c r="C846" s="107">
        <v>400.2</v>
      </c>
      <c r="D846" s="107">
        <v>362</v>
      </c>
      <c r="E846" s="107">
        <v>362</v>
      </c>
      <c r="F846" s="107">
        <v>400.2</v>
      </c>
      <c r="G846">
        <v>139236</v>
      </c>
      <c r="H846" s="107"/>
      <c r="I846" s="107"/>
      <c r="L846" s="149">
        <v>43248</v>
      </c>
      <c r="M846" s="107">
        <v>399.8</v>
      </c>
      <c r="N846" s="107">
        <v>406.85</v>
      </c>
      <c r="O846" s="107">
        <v>365</v>
      </c>
      <c r="P846" s="107">
        <v>365.3</v>
      </c>
      <c r="Q846" s="107">
        <v>399.8</v>
      </c>
      <c r="R846">
        <v>2557508</v>
      </c>
    </row>
    <row r="847" spans="1:18" x14ac:dyDescent="0.25">
      <c r="A847" s="149">
        <v>43249</v>
      </c>
      <c r="B847" s="107">
        <v>402.05</v>
      </c>
      <c r="C847" s="107">
        <v>386.45</v>
      </c>
      <c r="D847" s="107">
        <v>382</v>
      </c>
      <c r="E847" s="107">
        <v>400.2</v>
      </c>
      <c r="F847" s="107">
        <v>386.45</v>
      </c>
      <c r="G847">
        <v>61342</v>
      </c>
      <c r="H847" s="107"/>
      <c r="I847" s="107"/>
      <c r="L847" s="149">
        <v>43249</v>
      </c>
      <c r="M847" s="107">
        <v>386.9</v>
      </c>
      <c r="N847" s="107">
        <v>403.4</v>
      </c>
      <c r="O847" s="107">
        <v>381.9</v>
      </c>
      <c r="P847" s="107">
        <v>403.4</v>
      </c>
      <c r="Q847" s="107">
        <v>386.9</v>
      </c>
      <c r="R847">
        <v>1252925</v>
      </c>
    </row>
    <row r="848" spans="1:18" x14ac:dyDescent="0.25">
      <c r="A848" s="149">
        <v>43250</v>
      </c>
      <c r="B848" s="107">
        <v>398.5</v>
      </c>
      <c r="C848" s="107">
        <v>388.4</v>
      </c>
      <c r="D848" s="107">
        <v>378.5</v>
      </c>
      <c r="E848" s="107">
        <v>378.5</v>
      </c>
      <c r="F848" s="107">
        <v>388.4</v>
      </c>
      <c r="G848">
        <v>87227</v>
      </c>
      <c r="H848" s="107"/>
      <c r="I848" s="107"/>
      <c r="L848" s="149">
        <v>43250</v>
      </c>
      <c r="M848" s="107">
        <v>389.65</v>
      </c>
      <c r="N848" s="107">
        <v>398.45</v>
      </c>
      <c r="O848" s="107">
        <v>379.15</v>
      </c>
      <c r="P848" s="107">
        <v>381.7</v>
      </c>
      <c r="Q848" s="107">
        <v>389.65</v>
      </c>
      <c r="R848">
        <v>1578953</v>
      </c>
    </row>
    <row r="849" spans="1:18" x14ac:dyDescent="0.25">
      <c r="A849" s="149">
        <v>43251</v>
      </c>
      <c r="B849" s="107">
        <v>396.5</v>
      </c>
      <c r="C849" s="107">
        <v>380.2</v>
      </c>
      <c r="D849" s="107">
        <v>374.2</v>
      </c>
      <c r="E849" s="107">
        <v>390</v>
      </c>
      <c r="F849" s="107">
        <v>380.2</v>
      </c>
      <c r="G849">
        <v>62060</v>
      </c>
      <c r="H849" s="107"/>
      <c r="I849" s="107"/>
      <c r="L849" s="149">
        <v>43251</v>
      </c>
      <c r="M849" s="107">
        <v>378.85</v>
      </c>
      <c r="N849" s="107">
        <v>396.85</v>
      </c>
      <c r="O849" s="107">
        <v>376.2</v>
      </c>
      <c r="P849" s="107">
        <v>393</v>
      </c>
      <c r="Q849" s="107">
        <v>378.85</v>
      </c>
      <c r="R849">
        <v>1088010</v>
      </c>
    </row>
    <row r="850" spans="1:18" x14ac:dyDescent="0.25">
      <c r="A850" s="149">
        <v>43252</v>
      </c>
      <c r="B850" s="107">
        <v>386.45</v>
      </c>
      <c r="C850" s="107">
        <v>363.1</v>
      </c>
      <c r="D850" s="107">
        <v>361</v>
      </c>
      <c r="E850" s="107">
        <v>380.5</v>
      </c>
      <c r="F850" s="107">
        <v>363.1</v>
      </c>
      <c r="G850">
        <v>71055</v>
      </c>
      <c r="H850" s="107"/>
      <c r="I850" s="107"/>
      <c r="L850" s="149">
        <v>43252</v>
      </c>
      <c r="M850" s="107">
        <v>362.15</v>
      </c>
      <c r="N850" s="107">
        <v>387</v>
      </c>
      <c r="O850" s="107">
        <v>360.05</v>
      </c>
      <c r="P850" s="107">
        <v>378.85</v>
      </c>
      <c r="Q850" s="107">
        <v>362.15</v>
      </c>
      <c r="R850">
        <v>1773575</v>
      </c>
    </row>
    <row r="851" spans="1:18" x14ac:dyDescent="0.25">
      <c r="A851" s="149">
        <v>43255</v>
      </c>
      <c r="B851" s="107">
        <v>372.35</v>
      </c>
      <c r="C851" s="107">
        <v>353.85</v>
      </c>
      <c r="D851" s="107">
        <v>350.5</v>
      </c>
      <c r="E851" s="107">
        <v>365</v>
      </c>
      <c r="F851" s="107">
        <v>353.85</v>
      </c>
      <c r="G851">
        <v>66230</v>
      </c>
      <c r="H851" s="107"/>
      <c r="I851" s="107"/>
      <c r="L851" s="149">
        <v>43255</v>
      </c>
      <c r="M851" s="107">
        <v>353.85</v>
      </c>
      <c r="N851" s="107">
        <v>373.05</v>
      </c>
      <c r="O851" s="107">
        <v>349.45</v>
      </c>
      <c r="P851" s="107">
        <v>363</v>
      </c>
      <c r="Q851" s="107">
        <v>353.85</v>
      </c>
      <c r="R851">
        <v>1796830</v>
      </c>
    </row>
    <row r="852" spans="1:18" x14ac:dyDescent="0.25">
      <c r="A852" s="149">
        <v>43256</v>
      </c>
      <c r="B852" s="107">
        <v>357.15</v>
      </c>
      <c r="C852" s="107">
        <v>352.05</v>
      </c>
      <c r="D852" s="107">
        <v>336</v>
      </c>
      <c r="E852" s="107">
        <v>355</v>
      </c>
      <c r="F852" s="107">
        <v>352.05</v>
      </c>
      <c r="G852">
        <v>41444</v>
      </c>
      <c r="H852" s="107"/>
      <c r="I852" s="107"/>
      <c r="L852" s="149">
        <v>43256</v>
      </c>
      <c r="M852" s="107">
        <v>352.7</v>
      </c>
      <c r="N852" s="107">
        <v>356.9</v>
      </c>
      <c r="O852" s="107">
        <v>345.05</v>
      </c>
      <c r="P852" s="107">
        <v>353.8</v>
      </c>
      <c r="Q852" s="107">
        <v>352.7</v>
      </c>
      <c r="R852">
        <v>661193</v>
      </c>
    </row>
    <row r="853" spans="1:18" x14ac:dyDescent="0.25">
      <c r="A853" s="149">
        <v>43257</v>
      </c>
      <c r="B853" s="107">
        <v>366.1</v>
      </c>
      <c r="C853" s="107">
        <v>362.95</v>
      </c>
      <c r="D853" s="107">
        <v>347.7</v>
      </c>
      <c r="E853" s="107">
        <v>352.05</v>
      </c>
      <c r="F853" s="107">
        <v>362.95</v>
      </c>
      <c r="G853">
        <v>73895</v>
      </c>
      <c r="H853" s="107"/>
      <c r="I853" s="107"/>
      <c r="L853" s="149">
        <v>43257</v>
      </c>
      <c r="M853" s="107">
        <v>362.75</v>
      </c>
      <c r="N853" s="107">
        <v>367.4</v>
      </c>
      <c r="O853" s="107">
        <v>347.1</v>
      </c>
      <c r="P853" s="107">
        <v>351</v>
      </c>
      <c r="Q853" s="107">
        <v>362.75</v>
      </c>
      <c r="R853">
        <v>1173088</v>
      </c>
    </row>
    <row r="854" spans="1:18" x14ac:dyDescent="0.25">
      <c r="A854" s="149">
        <v>43258</v>
      </c>
      <c r="B854" s="107">
        <v>377</v>
      </c>
      <c r="C854" s="107">
        <v>369.3</v>
      </c>
      <c r="D854" s="107">
        <v>368</v>
      </c>
      <c r="E854" s="107">
        <v>368</v>
      </c>
      <c r="F854" s="107">
        <v>369.3</v>
      </c>
      <c r="G854">
        <v>72317</v>
      </c>
      <c r="H854" s="107"/>
      <c r="I854" s="107"/>
      <c r="L854" s="149">
        <v>43258</v>
      </c>
      <c r="M854" s="107">
        <v>369.5</v>
      </c>
      <c r="N854" s="107">
        <v>377.6</v>
      </c>
      <c r="O854" s="107">
        <v>367.05</v>
      </c>
      <c r="P854" s="107">
        <v>367.4</v>
      </c>
      <c r="Q854" s="107">
        <v>369.5</v>
      </c>
      <c r="R854">
        <v>1362929</v>
      </c>
    </row>
    <row r="855" spans="1:18" x14ac:dyDescent="0.25">
      <c r="A855" s="149">
        <v>43259</v>
      </c>
      <c r="B855" s="107">
        <v>366</v>
      </c>
      <c r="C855" s="107">
        <v>364.05</v>
      </c>
      <c r="D855" s="107">
        <v>361.2</v>
      </c>
      <c r="E855" s="107">
        <v>366</v>
      </c>
      <c r="F855" s="107">
        <v>364.05</v>
      </c>
      <c r="G855">
        <v>27513</v>
      </c>
      <c r="H855" s="107"/>
      <c r="I855" s="107"/>
      <c r="L855" s="149">
        <v>43259</v>
      </c>
      <c r="M855" s="107">
        <v>364.5</v>
      </c>
      <c r="N855" s="107">
        <v>369</v>
      </c>
      <c r="O855" s="107">
        <v>361.5</v>
      </c>
      <c r="P855" s="107">
        <v>369</v>
      </c>
      <c r="Q855" s="107">
        <v>364.5</v>
      </c>
      <c r="R855">
        <v>565011</v>
      </c>
    </row>
    <row r="856" spans="1:18" x14ac:dyDescent="0.25">
      <c r="A856" s="149">
        <v>43262</v>
      </c>
      <c r="B856" s="107">
        <v>373.45</v>
      </c>
      <c r="C856" s="107">
        <v>366.65</v>
      </c>
      <c r="D856" s="107">
        <v>364.35</v>
      </c>
      <c r="E856" s="107">
        <v>365</v>
      </c>
      <c r="F856" s="107">
        <v>366.65</v>
      </c>
      <c r="G856">
        <v>49991</v>
      </c>
      <c r="H856" s="107"/>
      <c r="I856" s="107"/>
      <c r="L856" s="149">
        <v>43262</v>
      </c>
      <c r="M856" s="107">
        <v>365.6</v>
      </c>
      <c r="N856" s="107">
        <v>373.5</v>
      </c>
      <c r="O856" s="107">
        <v>364</v>
      </c>
      <c r="P856" s="107">
        <v>364.5</v>
      </c>
      <c r="Q856" s="107">
        <v>365.6</v>
      </c>
      <c r="R856">
        <v>594819</v>
      </c>
    </row>
    <row r="857" spans="1:18" x14ac:dyDescent="0.25">
      <c r="A857" s="149">
        <v>43263</v>
      </c>
      <c r="B857" s="107">
        <v>370.95</v>
      </c>
      <c r="C857" s="107">
        <v>364.3</v>
      </c>
      <c r="D857" s="107">
        <v>361.6</v>
      </c>
      <c r="E857" s="107">
        <v>366.2</v>
      </c>
      <c r="F857" s="107">
        <v>364.3</v>
      </c>
      <c r="G857">
        <v>42747</v>
      </c>
      <c r="H857" s="107"/>
      <c r="I857" s="107"/>
      <c r="L857" s="149">
        <v>43263</v>
      </c>
      <c r="M857" s="107">
        <v>364.45</v>
      </c>
      <c r="N857" s="107">
        <v>371.35</v>
      </c>
      <c r="O857" s="107">
        <v>361.5</v>
      </c>
      <c r="P857" s="107">
        <v>367.9</v>
      </c>
      <c r="Q857" s="107">
        <v>364.45</v>
      </c>
      <c r="R857">
        <v>389329</v>
      </c>
    </row>
    <row r="858" spans="1:18" x14ac:dyDescent="0.25">
      <c r="A858" s="149">
        <v>43264</v>
      </c>
      <c r="B858" s="107">
        <v>370</v>
      </c>
      <c r="C858" s="107">
        <v>361.55</v>
      </c>
      <c r="D858" s="107">
        <v>359.1</v>
      </c>
      <c r="E858" s="107">
        <v>367</v>
      </c>
      <c r="F858" s="107">
        <v>361.55</v>
      </c>
      <c r="G858">
        <v>28034</v>
      </c>
      <c r="H858" s="107"/>
      <c r="I858" s="107"/>
      <c r="L858" s="149">
        <v>43264</v>
      </c>
      <c r="M858" s="107">
        <v>361.15</v>
      </c>
      <c r="N858" s="107">
        <v>369.45</v>
      </c>
      <c r="O858" s="107">
        <v>358.85</v>
      </c>
      <c r="P858" s="107">
        <v>364</v>
      </c>
      <c r="Q858" s="107">
        <v>361.15</v>
      </c>
      <c r="R858">
        <v>498988</v>
      </c>
    </row>
    <row r="859" spans="1:18" x14ac:dyDescent="0.25">
      <c r="A859" s="149">
        <v>43265</v>
      </c>
      <c r="B859" s="107">
        <v>363.8</v>
      </c>
      <c r="C859" s="107">
        <v>360</v>
      </c>
      <c r="D859" s="107">
        <v>355.95</v>
      </c>
      <c r="E859" s="107">
        <v>361.4</v>
      </c>
      <c r="F859" s="107">
        <v>360</v>
      </c>
      <c r="G859">
        <v>25947</v>
      </c>
      <c r="H859" s="107"/>
      <c r="I859" s="107"/>
      <c r="L859" s="149">
        <v>43265</v>
      </c>
      <c r="M859" s="107">
        <v>359.55</v>
      </c>
      <c r="N859" s="107">
        <v>363.9</v>
      </c>
      <c r="O859" s="107">
        <v>355.6</v>
      </c>
      <c r="P859" s="107">
        <v>362</v>
      </c>
      <c r="Q859" s="107">
        <v>359.55</v>
      </c>
      <c r="R859">
        <v>479061</v>
      </c>
    </row>
    <row r="860" spans="1:18" x14ac:dyDescent="0.25">
      <c r="A860" s="149">
        <v>43266</v>
      </c>
      <c r="B860" s="107">
        <v>369.05</v>
      </c>
      <c r="C860" s="107">
        <v>355.55</v>
      </c>
      <c r="D860" s="107">
        <v>354.1</v>
      </c>
      <c r="E860" s="107">
        <v>359.4</v>
      </c>
      <c r="F860" s="107">
        <v>355.55</v>
      </c>
      <c r="G860">
        <v>36047</v>
      </c>
      <c r="H860" s="107"/>
      <c r="I860" s="107"/>
      <c r="L860" s="149">
        <v>43266</v>
      </c>
      <c r="M860" s="107">
        <v>354.7</v>
      </c>
      <c r="N860" s="107">
        <v>369.45</v>
      </c>
      <c r="O860" s="107">
        <v>353.4</v>
      </c>
      <c r="P860" s="107">
        <v>360</v>
      </c>
      <c r="Q860" s="107">
        <v>354.7</v>
      </c>
      <c r="R860">
        <v>856667</v>
      </c>
    </row>
    <row r="861" spans="1:18" x14ac:dyDescent="0.25">
      <c r="A861" s="149">
        <v>43269</v>
      </c>
      <c r="B861" s="107">
        <v>358</v>
      </c>
      <c r="C861" s="107">
        <v>350.6</v>
      </c>
      <c r="D861" s="107">
        <v>349</v>
      </c>
      <c r="E861" s="107">
        <v>358</v>
      </c>
      <c r="F861" s="107">
        <v>350.6</v>
      </c>
      <c r="G861">
        <v>21527</v>
      </c>
      <c r="H861" s="107"/>
      <c r="I861" s="107"/>
      <c r="L861" s="149">
        <v>43269</v>
      </c>
      <c r="M861" s="107">
        <v>349.85</v>
      </c>
      <c r="N861" s="107">
        <v>357.8</v>
      </c>
      <c r="O861" s="107">
        <v>349.1</v>
      </c>
      <c r="P861" s="107">
        <v>357.8</v>
      </c>
      <c r="Q861" s="107">
        <v>349.85</v>
      </c>
      <c r="R861">
        <v>665122</v>
      </c>
    </row>
    <row r="862" spans="1:18" x14ac:dyDescent="0.25">
      <c r="A862" s="149">
        <v>43270</v>
      </c>
      <c r="B862" s="107">
        <v>350.65</v>
      </c>
      <c r="C862" s="107">
        <v>345.4</v>
      </c>
      <c r="D862" s="107">
        <v>342</v>
      </c>
      <c r="E862" s="107">
        <v>350</v>
      </c>
      <c r="F862" s="107">
        <v>345.4</v>
      </c>
      <c r="G862">
        <v>27827</v>
      </c>
      <c r="H862" s="107"/>
      <c r="I862" s="107"/>
      <c r="L862" s="149">
        <v>43270</v>
      </c>
      <c r="M862" s="107">
        <v>345.65</v>
      </c>
      <c r="N862" s="107">
        <v>350.9</v>
      </c>
      <c r="O862" s="107">
        <v>341.6</v>
      </c>
      <c r="P862" s="107">
        <v>348</v>
      </c>
      <c r="Q862" s="107">
        <v>345.65</v>
      </c>
      <c r="R862">
        <v>790318</v>
      </c>
    </row>
    <row r="863" spans="1:18" x14ac:dyDescent="0.25">
      <c r="A863" s="149">
        <v>43271</v>
      </c>
      <c r="B863" s="107">
        <v>347.1</v>
      </c>
      <c r="C863" s="107">
        <v>343.25</v>
      </c>
      <c r="D863" s="107">
        <v>337.6</v>
      </c>
      <c r="E863" s="107">
        <v>342</v>
      </c>
      <c r="F863" s="107">
        <v>343.25</v>
      </c>
      <c r="G863">
        <v>65907</v>
      </c>
      <c r="H863" s="107"/>
      <c r="I863" s="107"/>
      <c r="L863" s="149">
        <v>43271</v>
      </c>
      <c r="M863" s="107">
        <v>343.25</v>
      </c>
      <c r="N863" s="107">
        <v>346.95</v>
      </c>
      <c r="O863" s="107">
        <v>337.6</v>
      </c>
      <c r="P863" s="107">
        <v>342.6</v>
      </c>
      <c r="Q863" s="107">
        <v>343.25</v>
      </c>
      <c r="R863">
        <v>1166685</v>
      </c>
    </row>
    <row r="864" spans="1:18" x14ac:dyDescent="0.25">
      <c r="A864" s="149">
        <v>43272</v>
      </c>
      <c r="B864" s="107">
        <v>351.4</v>
      </c>
      <c r="C864" s="107">
        <v>347.9</v>
      </c>
      <c r="D864" s="107">
        <v>342</v>
      </c>
      <c r="E864" s="107">
        <v>344.15</v>
      </c>
      <c r="F864" s="107">
        <v>347.9</v>
      </c>
      <c r="G864">
        <v>104448</v>
      </c>
      <c r="H864" s="107"/>
      <c r="I864" s="107"/>
      <c r="L864" s="149">
        <v>43272</v>
      </c>
      <c r="M864" s="107">
        <v>346.7</v>
      </c>
      <c r="N864" s="107">
        <v>351.3</v>
      </c>
      <c r="O864" s="107">
        <v>342.5</v>
      </c>
      <c r="P864" s="107">
        <v>344.9</v>
      </c>
      <c r="Q864" s="107">
        <v>346.7</v>
      </c>
      <c r="R864">
        <v>767810</v>
      </c>
    </row>
    <row r="865" spans="1:18" x14ac:dyDescent="0.25">
      <c r="A865" s="149">
        <v>43273</v>
      </c>
      <c r="B865" s="107">
        <v>359</v>
      </c>
      <c r="C865" s="107">
        <v>357.55</v>
      </c>
      <c r="D865" s="107">
        <v>345.95</v>
      </c>
      <c r="E865" s="107">
        <v>346.1</v>
      </c>
      <c r="F865" s="107">
        <v>357.55</v>
      </c>
      <c r="G865">
        <v>100747</v>
      </c>
      <c r="H865" s="107"/>
      <c r="I865" s="107"/>
      <c r="L865" s="149">
        <v>43273</v>
      </c>
      <c r="M865" s="107">
        <v>357.1</v>
      </c>
      <c r="N865" s="107">
        <v>358.8</v>
      </c>
      <c r="O865" s="107">
        <v>345.25</v>
      </c>
      <c r="P865" s="107">
        <v>347.95</v>
      </c>
      <c r="Q865" s="107">
        <v>357.1</v>
      </c>
      <c r="R865">
        <v>1291984</v>
      </c>
    </row>
    <row r="866" spans="1:18" x14ac:dyDescent="0.25">
      <c r="A866" s="149">
        <v>43276</v>
      </c>
      <c r="B866" s="107">
        <v>369.35</v>
      </c>
      <c r="C866" s="107">
        <v>362.55</v>
      </c>
      <c r="D866" s="107">
        <v>353.95</v>
      </c>
      <c r="E866" s="107">
        <v>353.95</v>
      </c>
      <c r="F866" s="107">
        <v>362.55</v>
      </c>
      <c r="G866">
        <v>121918</v>
      </c>
      <c r="H866" s="107"/>
      <c r="I866" s="107"/>
      <c r="L866" s="149">
        <v>43276</v>
      </c>
      <c r="M866" s="107">
        <v>362.45</v>
      </c>
      <c r="N866" s="107">
        <v>369.5</v>
      </c>
      <c r="O866" s="107">
        <v>352.2</v>
      </c>
      <c r="P866" s="107">
        <v>352.2</v>
      </c>
      <c r="Q866" s="107">
        <v>362.45</v>
      </c>
      <c r="R866">
        <v>1777563</v>
      </c>
    </row>
    <row r="867" spans="1:18" x14ac:dyDescent="0.25">
      <c r="A867" s="149">
        <v>43277</v>
      </c>
      <c r="B867" s="107">
        <v>370.05</v>
      </c>
      <c r="C867" s="107">
        <v>363.2</v>
      </c>
      <c r="D867" s="107">
        <v>360.5</v>
      </c>
      <c r="E867" s="107">
        <v>363</v>
      </c>
      <c r="F867" s="107">
        <v>363.2</v>
      </c>
      <c r="G867">
        <v>43570</v>
      </c>
      <c r="H867" s="107"/>
      <c r="I867" s="107"/>
      <c r="L867" s="149">
        <v>43277</v>
      </c>
      <c r="M867" s="107">
        <v>363.3</v>
      </c>
      <c r="N867" s="107">
        <v>369.9</v>
      </c>
      <c r="O867" s="107">
        <v>360</v>
      </c>
      <c r="P867" s="107">
        <v>362.45</v>
      </c>
      <c r="Q867" s="107">
        <v>363.3</v>
      </c>
      <c r="R867">
        <v>921643</v>
      </c>
    </row>
    <row r="868" spans="1:18" x14ac:dyDescent="0.25">
      <c r="A868" s="149">
        <v>43278</v>
      </c>
      <c r="B868" s="107">
        <v>366</v>
      </c>
      <c r="C868" s="107">
        <v>351.4</v>
      </c>
      <c r="D868" s="107">
        <v>347</v>
      </c>
      <c r="E868" s="107">
        <v>363.1</v>
      </c>
      <c r="F868" s="107">
        <v>351.4</v>
      </c>
      <c r="G868">
        <v>34637</v>
      </c>
      <c r="H868" s="107"/>
      <c r="I868" s="107"/>
      <c r="L868" s="149">
        <v>43278</v>
      </c>
      <c r="M868" s="107">
        <v>351.4</v>
      </c>
      <c r="N868" s="107">
        <v>365.5</v>
      </c>
      <c r="O868" s="107">
        <v>347.25</v>
      </c>
      <c r="P868" s="107">
        <v>363.35</v>
      </c>
      <c r="Q868" s="107">
        <v>351.4</v>
      </c>
      <c r="R868">
        <v>652275</v>
      </c>
    </row>
    <row r="869" spans="1:18" x14ac:dyDescent="0.25">
      <c r="A869" s="149">
        <v>43279</v>
      </c>
      <c r="B869" s="107">
        <v>350.4</v>
      </c>
      <c r="C869" s="107">
        <v>337.3</v>
      </c>
      <c r="D869" s="107">
        <v>334.1</v>
      </c>
      <c r="E869" s="107">
        <v>348.1</v>
      </c>
      <c r="F869" s="107">
        <v>337.3</v>
      </c>
      <c r="G869">
        <v>38373</v>
      </c>
      <c r="H869" s="107"/>
      <c r="I869" s="107"/>
      <c r="L869" s="149">
        <v>43279</v>
      </c>
      <c r="M869" s="107">
        <v>334.9</v>
      </c>
      <c r="N869" s="107">
        <v>350</v>
      </c>
      <c r="O869" s="107">
        <v>333.1</v>
      </c>
      <c r="P869" s="107">
        <v>350</v>
      </c>
      <c r="Q869" s="107">
        <v>334.9</v>
      </c>
      <c r="R869">
        <v>1006162</v>
      </c>
    </row>
    <row r="870" spans="1:18" x14ac:dyDescent="0.25">
      <c r="A870" s="149">
        <v>43280</v>
      </c>
      <c r="B870" s="107">
        <v>360</v>
      </c>
      <c r="C870" s="107">
        <v>339.4</v>
      </c>
      <c r="D870" s="107">
        <v>336.25</v>
      </c>
      <c r="E870" s="107">
        <v>339</v>
      </c>
      <c r="F870" s="107">
        <v>339.4</v>
      </c>
      <c r="G870">
        <v>57421</v>
      </c>
      <c r="H870" s="107"/>
      <c r="I870" s="107"/>
      <c r="L870" s="149">
        <v>43280</v>
      </c>
      <c r="M870" s="107">
        <v>339.95</v>
      </c>
      <c r="N870" s="107">
        <v>344.8</v>
      </c>
      <c r="O870" s="107">
        <v>335.65</v>
      </c>
      <c r="P870" s="107">
        <v>340.3</v>
      </c>
      <c r="Q870" s="107">
        <v>339.95</v>
      </c>
      <c r="R870">
        <v>575705</v>
      </c>
    </row>
    <row r="871" spans="1:18" x14ac:dyDescent="0.25">
      <c r="A871" s="149">
        <v>43283</v>
      </c>
      <c r="B871" s="107">
        <v>345.7</v>
      </c>
      <c r="C871" s="107">
        <v>338.65</v>
      </c>
      <c r="D871" s="107">
        <v>328.15</v>
      </c>
      <c r="E871" s="107">
        <v>337</v>
      </c>
      <c r="F871" s="107">
        <v>338.65</v>
      </c>
      <c r="G871">
        <v>142378</v>
      </c>
      <c r="H871" s="107"/>
      <c r="I871" s="107"/>
      <c r="L871" s="149">
        <v>43283</v>
      </c>
      <c r="M871" s="107">
        <v>337.85</v>
      </c>
      <c r="N871" s="107">
        <v>345.45</v>
      </c>
      <c r="O871" s="107">
        <v>327.7</v>
      </c>
      <c r="P871" s="107">
        <v>340.6</v>
      </c>
      <c r="Q871" s="107">
        <v>337.85</v>
      </c>
      <c r="R871">
        <v>951548</v>
      </c>
    </row>
    <row r="872" spans="1:18" x14ac:dyDescent="0.25">
      <c r="A872" s="149">
        <v>43284</v>
      </c>
      <c r="B872" s="107">
        <v>344.85</v>
      </c>
      <c r="C872" s="107">
        <v>342.15</v>
      </c>
      <c r="D872" s="107">
        <v>335</v>
      </c>
      <c r="E872" s="107">
        <v>336.25</v>
      </c>
      <c r="F872" s="107">
        <v>342.15</v>
      </c>
      <c r="G872">
        <v>81194</v>
      </c>
      <c r="H872" s="107"/>
      <c r="I872" s="107"/>
      <c r="L872" s="149">
        <v>43284</v>
      </c>
      <c r="M872" s="107">
        <v>342.25</v>
      </c>
      <c r="N872" s="107">
        <v>344.7</v>
      </c>
      <c r="O872" s="107">
        <v>334.6</v>
      </c>
      <c r="P872" s="107">
        <v>339.7</v>
      </c>
      <c r="Q872" s="107">
        <v>342.25</v>
      </c>
      <c r="R872">
        <v>566587</v>
      </c>
    </row>
    <row r="873" spans="1:18" x14ac:dyDescent="0.25">
      <c r="A873" s="149">
        <v>43285</v>
      </c>
      <c r="B873" s="107">
        <v>342.7</v>
      </c>
      <c r="C873" s="107">
        <v>335.6</v>
      </c>
      <c r="D873" s="107">
        <v>335</v>
      </c>
      <c r="E873" s="107">
        <v>339</v>
      </c>
      <c r="F873" s="107">
        <v>335.6</v>
      </c>
      <c r="G873">
        <v>54091</v>
      </c>
      <c r="H873" s="107"/>
      <c r="I873" s="107"/>
      <c r="L873" s="149">
        <v>43285</v>
      </c>
      <c r="M873" s="107">
        <v>335.05</v>
      </c>
      <c r="N873" s="107">
        <v>342.05</v>
      </c>
      <c r="O873" s="107">
        <v>334.25</v>
      </c>
      <c r="P873" s="107">
        <v>341.8</v>
      </c>
      <c r="Q873" s="107">
        <v>335.05</v>
      </c>
      <c r="R873">
        <v>519879</v>
      </c>
    </row>
    <row r="874" spans="1:18" x14ac:dyDescent="0.25">
      <c r="A874" s="149">
        <v>43286</v>
      </c>
      <c r="B874" s="107">
        <v>339.3</v>
      </c>
      <c r="C874" s="107">
        <v>334.1</v>
      </c>
      <c r="D874" s="107">
        <v>331.95</v>
      </c>
      <c r="E874" s="107">
        <v>335.9</v>
      </c>
      <c r="F874" s="107">
        <v>334.1</v>
      </c>
      <c r="G874">
        <v>27891</v>
      </c>
      <c r="H874" s="107"/>
      <c r="I874" s="107"/>
      <c r="L874" s="149">
        <v>43286</v>
      </c>
      <c r="M874" s="107">
        <v>334.8</v>
      </c>
      <c r="N874" s="107">
        <v>339.55</v>
      </c>
      <c r="O874" s="107">
        <v>331.7</v>
      </c>
      <c r="P874" s="107">
        <v>335.25</v>
      </c>
      <c r="Q874" s="107">
        <v>334.8</v>
      </c>
      <c r="R874">
        <v>432791</v>
      </c>
    </row>
    <row r="875" spans="1:18" x14ac:dyDescent="0.25">
      <c r="A875" s="149">
        <v>43287</v>
      </c>
      <c r="B875" s="107">
        <v>344</v>
      </c>
      <c r="C875" s="107">
        <v>339.5</v>
      </c>
      <c r="D875" s="107">
        <v>332.2</v>
      </c>
      <c r="E875" s="107">
        <v>332.2</v>
      </c>
      <c r="F875" s="107">
        <v>339.5</v>
      </c>
      <c r="G875">
        <v>22947</v>
      </c>
      <c r="H875" s="107"/>
      <c r="I875" s="107"/>
      <c r="L875" s="149">
        <v>43287</v>
      </c>
      <c r="M875" s="107">
        <v>339.9</v>
      </c>
      <c r="N875" s="107">
        <v>344.5</v>
      </c>
      <c r="O875" s="107">
        <v>333.1</v>
      </c>
      <c r="P875" s="107">
        <v>335</v>
      </c>
      <c r="Q875" s="107">
        <v>339.9</v>
      </c>
      <c r="R875">
        <v>558300</v>
      </c>
    </row>
    <row r="876" spans="1:18" x14ac:dyDescent="0.25">
      <c r="A876" s="149">
        <v>43290</v>
      </c>
      <c r="B876" s="107">
        <v>347.95</v>
      </c>
      <c r="C876" s="107">
        <v>344.65</v>
      </c>
      <c r="D876" s="107">
        <v>340.1</v>
      </c>
      <c r="E876" s="107">
        <v>341</v>
      </c>
      <c r="F876" s="107">
        <v>344.65</v>
      </c>
      <c r="G876">
        <v>55948</v>
      </c>
      <c r="H876" s="107"/>
      <c r="I876" s="107"/>
      <c r="L876" s="149">
        <v>43290</v>
      </c>
      <c r="M876" s="107">
        <v>344.75</v>
      </c>
      <c r="N876" s="107">
        <v>348.3</v>
      </c>
      <c r="O876" s="107">
        <v>340.55</v>
      </c>
      <c r="P876" s="107">
        <v>342.35</v>
      </c>
      <c r="Q876" s="107">
        <v>344.75</v>
      </c>
      <c r="R876">
        <v>496501</v>
      </c>
    </row>
    <row r="877" spans="1:18" x14ac:dyDescent="0.25">
      <c r="A877" s="149">
        <v>43291</v>
      </c>
      <c r="B877" s="107">
        <v>349</v>
      </c>
      <c r="C877" s="107">
        <v>344.3</v>
      </c>
      <c r="D877" s="107">
        <v>342.1</v>
      </c>
      <c r="E877" s="107">
        <v>345.05</v>
      </c>
      <c r="F877" s="107">
        <v>344.3</v>
      </c>
      <c r="G877">
        <v>20682</v>
      </c>
      <c r="H877" s="107"/>
      <c r="I877" s="107"/>
      <c r="L877" s="149">
        <v>43291</v>
      </c>
      <c r="M877" s="107">
        <v>344.95</v>
      </c>
      <c r="N877" s="107">
        <v>349.2</v>
      </c>
      <c r="O877" s="107">
        <v>343.35</v>
      </c>
      <c r="P877" s="107">
        <v>345.9</v>
      </c>
      <c r="Q877" s="107">
        <v>344.95</v>
      </c>
      <c r="R877">
        <v>312399</v>
      </c>
    </row>
    <row r="878" spans="1:18" x14ac:dyDescent="0.25">
      <c r="A878" s="149">
        <v>43292</v>
      </c>
      <c r="B878" s="107">
        <v>347</v>
      </c>
      <c r="C878" s="107">
        <v>335.9</v>
      </c>
      <c r="D878" s="107">
        <v>335</v>
      </c>
      <c r="E878" s="107">
        <v>345.1</v>
      </c>
      <c r="F878" s="107">
        <v>335.9</v>
      </c>
      <c r="G878">
        <v>29172</v>
      </c>
      <c r="H878" s="107"/>
      <c r="I878" s="107"/>
      <c r="L878" s="149">
        <v>43292</v>
      </c>
      <c r="M878" s="107">
        <v>336.15</v>
      </c>
      <c r="N878" s="107">
        <v>346.95</v>
      </c>
      <c r="O878" s="107">
        <v>335.1</v>
      </c>
      <c r="P878" s="107">
        <v>345.85</v>
      </c>
      <c r="Q878" s="107">
        <v>336.15</v>
      </c>
      <c r="R878">
        <v>447233</v>
      </c>
    </row>
    <row r="879" spans="1:18" x14ac:dyDescent="0.25">
      <c r="A879" s="149">
        <v>43293</v>
      </c>
      <c r="B879" s="107">
        <v>343.65</v>
      </c>
      <c r="C879" s="107">
        <v>333.85</v>
      </c>
      <c r="D879" s="107">
        <v>328</v>
      </c>
      <c r="E879" s="107">
        <v>334.3</v>
      </c>
      <c r="F879" s="107">
        <v>333.85</v>
      </c>
      <c r="G879">
        <v>56289</v>
      </c>
      <c r="H879" s="107"/>
      <c r="I879" s="107"/>
      <c r="L879" s="149">
        <v>43293</v>
      </c>
      <c r="M879" s="107">
        <v>332.55</v>
      </c>
      <c r="N879" s="107">
        <v>344</v>
      </c>
      <c r="O879" s="107">
        <v>331.15</v>
      </c>
      <c r="P879" s="107">
        <v>339.3</v>
      </c>
      <c r="Q879" s="107">
        <v>332.55</v>
      </c>
      <c r="R879">
        <v>622204</v>
      </c>
    </row>
    <row r="880" spans="1:18" x14ac:dyDescent="0.25">
      <c r="A880" s="149">
        <v>43294</v>
      </c>
      <c r="B880" s="107">
        <v>334.65</v>
      </c>
      <c r="C880" s="107">
        <v>328.9</v>
      </c>
      <c r="D880" s="107">
        <v>325.45</v>
      </c>
      <c r="E880" s="107">
        <v>334.65</v>
      </c>
      <c r="F880" s="107">
        <v>328.9</v>
      </c>
      <c r="G880">
        <v>55034</v>
      </c>
      <c r="H880" s="107"/>
      <c r="I880" s="107"/>
      <c r="L880" s="149">
        <v>43294</v>
      </c>
      <c r="M880" s="107">
        <v>330</v>
      </c>
      <c r="N880" s="107">
        <v>334.35</v>
      </c>
      <c r="O880" s="107">
        <v>325</v>
      </c>
      <c r="P880" s="107">
        <v>333</v>
      </c>
      <c r="Q880" s="107">
        <v>330</v>
      </c>
      <c r="R880">
        <v>405675</v>
      </c>
    </row>
    <row r="881" spans="1:18" x14ac:dyDescent="0.25">
      <c r="A881" s="149">
        <v>43297</v>
      </c>
      <c r="B881" s="107">
        <v>336.65</v>
      </c>
      <c r="C881" s="107">
        <v>325.14999999999998</v>
      </c>
      <c r="D881" s="107">
        <v>320.60000000000002</v>
      </c>
      <c r="E881" s="107">
        <v>328.5</v>
      </c>
      <c r="F881" s="107">
        <v>325.14999999999998</v>
      </c>
      <c r="G881">
        <v>41239</v>
      </c>
      <c r="H881" s="107"/>
      <c r="I881" s="107"/>
      <c r="L881" s="149">
        <v>43297</v>
      </c>
      <c r="M881" s="107">
        <v>324.2</v>
      </c>
      <c r="N881" s="107">
        <v>338</v>
      </c>
      <c r="O881" s="107">
        <v>320</v>
      </c>
      <c r="P881" s="107">
        <v>331</v>
      </c>
      <c r="Q881" s="107">
        <v>324.2</v>
      </c>
      <c r="R881">
        <v>903578</v>
      </c>
    </row>
    <row r="882" spans="1:18" x14ac:dyDescent="0.25">
      <c r="A882" s="149">
        <v>43298</v>
      </c>
      <c r="B882" s="107">
        <v>334.5</v>
      </c>
      <c r="C882" s="107">
        <v>330.65</v>
      </c>
      <c r="D882" s="107">
        <v>320.5</v>
      </c>
      <c r="E882" s="107">
        <v>323.64999999999998</v>
      </c>
      <c r="F882" s="107">
        <v>330.65</v>
      </c>
      <c r="G882">
        <v>28917</v>
      </c>
      <c r="H882" s="107"/>
      <c r="I882" s="107"/>
      <c r="L882" s="149">
        <v>43298</v>
      </c>
      <c r="M882" s="107">
        <v>331.15</v>
      </c>
      <c r="N882" s="107">
        <v>335</v>
      </c>
      <c r="O882" s="107">
        <v>321</v>
      </c>
      <c r="P882" s="107">
        <v>323.3</v>
      </c>
      <c r="Q882" s="107">
        <v>331.15</v>
      </c>
      <c r="R882">
        <v>629049</v>
      </c>
    </row>
    <row r="883" spans="1:18" x14ac:dyDescent="0.25">
      <c r="A883" s="149">
        <v>43299</v>
      </c>
      <c r="B883" s="107">
        <v>336.1</v>
      </c>
      <c r="C883" s="107">
        <v>329.15</v>
      </c>
      <c r="D883" s="107">
        <v>324.7</v>
      </c>
      <c r="E883" s="107">
        <v>333.8</v>
      </c>
      <c r="F883" s="107">
        <v>329.15</v>
      </c>
      <c r="G883">
        <v>29262</v>
      </c>
      <c r="H883" s="107"/>
      <c r="I883" s="107"/>
      <c r="L883" s="149">
        <v>43299</v>
      </c>
      <c r="M883" s="107">
        <v>329.65</v>
      </c>
      <c r="N883" s="107">
        <v>336.8</v>
      </c>
      <c r="O883" s="107">
        <v>323.75</v>
      </c>
      <c r="P883" s="107">
        <v>332.55</v>
      </c>
      <c r="Q883" s="107">
        <v>329.65</v>
      </c>
      <c r="R883">
        <v>435531</v>
      </c>
    </row>
    <row r="884" spans="1:18" x14ac:dyDescent="0.25">
      <c r="A884" s="149">
        <v>43300</v>
      </c>
      <c r="B884" s="107">
        <v>335.25</v>
      </c>
      <c r="C884" s="107">
        <v>328</v>
      </c>
      <c r="D884" s="107">
        <v>324.60000000000002</v>
      </c>
      <c r="E884" s="107">
        <v>331.45</v>
      </c>
      <c r="F884" s="107">
        <v>328</v>
      </c>
      <c r="G884">
        <v>28238</v>
      </c>
      <c r="H884" s="107"/>
      <c r="I884" s="107"/>
      <c r="L884" s="149">
        <v>43300</v>
      </c>
      <c r="M884" s="107">
        <v>328.05</v>
      </c>
      <c r="N884" s="107">
        <v>336.3</v>
      </c>
      <c r="O884" s="107">
        <v>324.7</v>
      </c>
      <c r="P884" s="107">
        <v>330.7</v>
      </c>
      <c r="Q884" s="107">
        <v>328.05</v>
      </c>
      <c r="R884">
        <v>345136</v>
      </c>
    </row>
    <row r="885" spans="1:18" x14ac:dyDescent="0.25">
      <c r="A885" s="149">
        <v>43301</v>
      </c>
      <c r="B885" s="107">
        <v>330.4</v>
      </c>
      <c r="C885" s="107">
        <v>326.64999999999998</v>
      </c>
      <c r="D885" s="107">
        <v>325</v>
      </c>
      <c r="E885" s="107">
        <v>328.75</v>
      </c>
      <c r="F885" s="107">
        <v>326.64999999999998</v>
      </c>
      <c r="G885">
        <v>20334</v>
      </c>
      <c r="H885" s="107"/>
      <c r="I885" s="107"/>
      <c r="L885" s="149">
        <v>43301</v>
      </c>
      <c r="M885" s="107">
        <v>325.8</v>
      </c>
      <c r="N885" s="107">
        <v>330.5</v>
      </c>
      <c r="O885" s="107">
        <v>324.39999999999998</v>
      </c>
      <c r="P885" s="107">
        <v>328.5</v>
      </c>
      <c r="Q885" s="107">
        <v>325.8</v>
      </c>
      <c r="R885">
        <v>342316</v>
      </c>
    </row>
    <row r="886" spans="1:18" x14ac:dyDescent="0.25">
      <c r="A886" s="149">
        <v>43304</v>
      </c>
      <c r="B886" s="107">
        <v>331.75</v>
      </c>
      <c r="C886" s="107">
        <v>330.35</v>
      </c>
      <c r="D886" s="107">
        <v>320.8</v>
      </c>
      <c r="E886" s="107">
        <v>326.10000000000002</v>
      </c>
      <c r="F886" s="107">
        <v>330.35</v>
      </c>
      <c r="G886">
        <v>24363</v>
      </c>
      <c r="H886" s="107"/>
      <c r="I886" s="107"/>
      <c r="L886" s="149">
        <v>43304</v>
      </c>
      <c r="M886" s="107">
        <v>330.9</v>
      </c>
      <c r="N886" s="107">
        <v>332</v>
      </c>
      <c r="O886" s="107">
        <v>320.10000000000002</v>
      </c>
      <c r="P886" s="107">
        <v>328</v>
      </c>
      <c r="Q886" s="107">
        <v>330.9</v>
      </c>
      <c r="R886">
        <v>531124</v>
      </c>
    </row>
    <row r="887" spans="1:18" x14ac:dyDescent="0.25">
      <c r="A887" s="149">
        <v>43305</v>
      </c>
      <c r="B887" s="107">
        <v>350</v>
      </c>
      <c r="C887" s="107">
        <v>345.25</v>
      </c>
      <c r="D887" s="107">
        <v>329.2</v>
      </c>
      <c r="E887" s="107">
        <v>330.35</v>
      </c>
      <c r="F887" s="107">
        <v>345.25</v>
      </c>
      <c r="G887">
        <v>45829</v>
      </c>
      <c r="H887" s="107"/>
      <c r="I887" s="107"/>
      <c r="L887" s="149">
        <v>43305</v>
      </c>
      <c r="M887" s="107">
        <v>345.3</v>
      </c>
      <c r="N887" s="107">
        <v>348</v>
      </c>
      <c r="O887" s="107">
        <v>328.35</v>
      </c>
      <c r="P887" s="107">
        <v>331.5</v>
      </c>
      <c r="Q887" s="107">
        <v>345.3</v>
      </c>
      <c r="R887">
        <v>801325</v>
      </c>
    </row>
    <row r="888" spans="1:18" x14ac:dyDescent="0.25">
      <c r="A888" s="149">
        <v>43306</v>
      </c>
      <c r="B888" s="107">
        <v>375</v>
      </c>
      <c r="C888" s="107">
        <v>356.05</v>
      </c>
      <c r="D888" s="107">
        <v>345.9</v>
      </c>
      <c r="E888" s="107">
        <v>359</v>
      </c>
      <c r="F888" s="107">
        <v>356.05</v>
      </c>
      <c r="G888">
        <v>95525</v>
      </c>
      <c r="H888" s="107"/>
      <c r="I888" s="107"/>
      <c r="L888" s="149">
        <v>43306</v>
      </c>
      <c r="M888" s="107">
        <v>355.7</v>
      </c>
      <c r="N888" s="107">
        <v>360</v>
      </c>
      <c r="O888" s="107">
        <v>345.3</v>
      </c>
      <c r="P888" s="107">
        <v>345.3</v>
      </c>
      <c r="Q888" s="107">
        <v>355.7</v>
      </c>
      <c r="R888">
        <v>975818</v>
      </c>
    </row>
    <row r="889" spans="1:18" x14ac:dyDescent="0.25">
      <c r="A889" s="149">
        <v>43307</v>
      </c>
      <c r="B889" s="107">
        <v>360</v>
      </c>
      <c r="C889" s="107">
        <v>352.95</v>
      </c>
      <c r="D889" s="107">
        <v>350.45</v>
      </c>
      <c r="E889" s="107">
        <v>360</v>
      </c>
      <c r="F889" s="107">
        <v>352.95</v>
      </c>
      <c r="G889">
        <v>37022</v>
      </c>
      <c r="H889" s="107"/>
      <c r="I889" s="107"/>
      <c r="L889" s="149">
        <v>43307</v>
      </c>
      <c r="M889" s="107">
        <v>352.7</v>
      </c>
      <c r="N889" s="107">
        <v>360.45</v>
      </c>
      <c r="O889" s="107">
        <v>349.4</v>
      </c>
      <c r="P889" s="107">
        <v>360</v>
      </c>
      <c r="Q889" s="107">
        <v>352.7</v>
      </c>
      <c r="R889">
        <v>773683</v>
      </c>
    </row>
    <row r="890" spans="1:18" x14ac:dyDescent="0.25">
      <c r="A890" s="149">
        <v>43308</v>
      </c>
      <c r="B890" s="107">
        <v>372</v>
      </c>
      <c r="C890" s="107">
        <v>369.3</v>
      </c>
      <c r="D890" s="107">
        <v>353.35</v>
      </c>
      <c r="E890" s="107">
        <v>355.45</v>
      </c>
      <c r="F890" s="107">
        <v>369.3</v>
      </c>
      <c r="G890">
        <v>105135</v>
      </c>
      <c r="H890" s="107"/>
      <c r="I890" s="107"/>
      <c r="L890" s="149">
        <v>43308</v>
      </c>
      <c r="M890" s="107">
        <v>369.15</v>
      </c>
      <c r="N890" s="107">
        <v>371.95</v>
      </c>
      <c r="O890" s="107">
        <v>354.8</v>
      </c>
      <c r="P890" s="107">
        <v>354.8</v>
      </c>
      <c r="Q890" s="107">
        <v>369.15</v>
      </c>
      <c r="R890">
        <v>1288015</v>
      </c>
    </row>
    <row r="891" spans="1:18" x14ac:dyDescent="0.25">
      <c r="A891" s="149">
        <v>43311</v>
      </c>
      <c r="B891" s="107">
        <v>377.7</v>
      </c>
      <c r="C891" s="107">
        <v>363.95</v>
      </c>
      <c r="D891" s="107">
        <v>357</v>
      </c>
      <c r="E891" s="107">
        <v>369.3</v>
      </c>
      <c r="F891" s="107">
        <v>363.95</v>
      </c>
      <c r="G891">
        <v>166987</v>
      </c>
      <c r="H891" s="107"/>
      <c r="I891" s="107"/>
      <c r="L891" s="149">
        <v>43311</v>
      </c>
      <c r="M891" s="107">
        <v>363.65</v>
      </c>
      <c r="N891" s="107">
        <v>377</v>
      </c>
      <c r="O891" s="107">
        <v>355.5</v>
      </c>
      <c r="P891" s="107">
        <v>369.5</v>
      </c>
      <c r="Q891" s="107">
        <v>363.65</v>
      </c>
      <c r="R891">
        <v>1940010</v>
      </c>
    </row>
    <row r="892" spans="1:18" x14ac:dyDescent="0.25">
      <c r="A892" s="149">
        <v>43312</v>
      </c>
      <c r="B892" s="107">
        <v>363</v>
      </c>
      <c r="C892" s="107">
        <v>335.5</v>
      </c>
      <c r="D892" s="107">
        <v>329.6</v>
      </c>
      <c r="E892" s="107">
        <v>363</v>
      </c>
      <c r="F892" s="107">
        <v>335.5</v>
      </c>
      <c r="G892">
        <v>365462</v>
      </c>
      <c r="H892" s="107"/>
      <c r="I892" s="107"/>
      <c r="L892" s="149">
        <v>43312</v>
      </c>
      <c r="M892" s="107">
        <v>334.65</v>
      </c>
      <c r="N892" s="107">
        <v>358</v>
      </c>
      <c r="O892" s="107">
        <v>328.9</v>
      </c>
      <c r="P892" s="107">
        <v>352</v>
      </c>
      <c r="Q892" s="107">
        <v>334.65</v>
      </c>
      <c r="R892">
        <v>3877856</v>
      </c>
    </row>
    <row r="893" spans="1:18" x14ac:dyDescent="0.25">
      <c r="A893" s="149">
        <v>43313</v>
      </c>
      <c r="B893" s="107">
        <v>338</v>
      </c>
      <c r="C893" s="107">
        <v>331.5</v>
      </c>
      <c r="D893" s="107">
        <v>329.2</v>
      </c>
      <c r="E893" s="107">
        <v>336</v>
      </c>
      <c r="F893" s="107">
        <v>331.5</v>
      </c>
      <c r="G893">
        <v>85987</v>
      </c>
      <c r="H893" s="107"/>
      <c r="I893" s="107"/>
      <c r="L893" s="149">
        <v>43313</v>
      </c>
      <c r="M893" s="107">
        <v>331.95</v>
      </c>
      <c r="N893" s="107">
        <v>336.9</v>
      </c>
      <c r="O893" s="107">
        <v>329.15</v>
      </c>
      <c r="P893" s="107">
        <v>334</v>
      </c>
      <c r="Q893" s="107">
        <v>331.95</v>
      </c>
      <c r="R893">
        <v>867516</v>
      </c>
    </row>
    <row r="894" spans="1:18" x14ac:dyDescent="0.25">
      <c r="A894" s="149">
        <v>43314</v>
      </c>
      <c r="B894" s="107">
        <v>336</v>
      </c>
      <c r="C894" s="107">
        <v>332</v>
      </c>
      <c r="D894" s="107">
        <v>330.45</v>
      </c>
      <c r="E894" s="107">
        <v>332</v>
      </c>
      <c r="F894" s="107">
        <v>332</v>
      </c>
      <c r="G894">
        <v>45533</v>
      </c>
      <c r="H894" s="107"/>
      <c r="I894" s="107"/>
      <c r="L894" s="149">
        <v>43314</v>
      </c>
      <c r="M894" s="107">
        <v>332.05</v>
      </c>
      <c r="N894" s="107">
        <v>336.35</v>
      </c>
      <c r="O894" s="107">
        <v>329.7</v>
      </c>
      <c r="P894" s="107">
        <v>331</v>
      </c>
      <c r="Q894" s="107">
        <v>332.05</v>
      </c>
      <c r="R894">
        <v>552662</v>
      </c>
    </row>
    <row r="895" spans="1:18" x14ac:dyDescent="0.25">
      <c r="A895" s="149">
        <v>43315</v>
      </c>
      <c r="B895" s="107">
        <v>340.85</v>
      </c>
      <c r="C895" s="107">
        <v>336.15</v>
      </c>
      <c r="D895" s="107">
        <v>334.25</v>
      </c>
      <c r="E895" s="107">
        <v>334.7</v>
      </c>
      <c r="F895" s="107">
        <v>336.15</v>
      </c>
      <c r="G895">
        <v>58294</v>
      </c>
      <c r="H895" s="107"/>
      <c r="I895" s="107"/>
      <c r="L895" s="149">
        <v>43315</v>
      </c>
      <c r="M895" s="107">
        <v>335.5</v>
      </c>
      <c r="N895" s="107">
        <v>341</v>
      </c>
      <c r="O895" s="107">
        <v>333.45</v>
      </c>
      <c r="P895" s="107">
        <v>333.45</v>
      </c>
      <c r="Q895" s="107">
        <v>335.5</v>
      </c>
      <c r="R895">
        <v>744285</v>
      </c>
    </row>
    <row r="896" spans="1:18" x14ac:dyDescent="0.25">
      <c r="A896" s="149">
        <v>43318</v>
      </c>
      <c r="B896" s="107">
        <v>343</v>
      </c>
      <c r="C896" s="107">
        <v>333.25</v>
      </c>
      <c r="D896" s="107">
        <v>332.1</v>
      </c>
      <c r="E896" s="107">
        <v>340</v>
      </c>
      <c r="F896" s="107">
        <v>333.25</v>
      </c>
      <c r="G896">
        <v>58584</v>
      </c>
      <c r="H896" s="107"/>
      <c r="I896" s="107"/>
      <c r="L896" s="149">
        <v>43318</v>
      </c>
      <c r="M896" s="107">
        <v>333.05</v>
      </c>
      <c r="N896" s="107">
        <v>342.9</v>
      </c>
      <c r="O896" s="107">
        <v>331.5</v>
      </c>
      <c r="P896" s="107">
        <v>338</v>
      </c>
      <c r="Q896" s="107">
        <v>333.05</v>
      </c>
      <c r="R896">
        <v>825602</v>
      </c>
    </row>
    <row r="897" spans="1:18" x14ac:dyDescent="0.25">
      <c r="A897" s="149">
        <v>43319</v>
      </c>
      <c r="B897" s="107">
        <v>335.8</v>
      </c>
      <c r="C897" s="107">
        <v>330.25</v>
      </c>
      <c r="D897" s="107">
        <v>328.7</v>
      </c>
      <c r="E897" s="107">
        <v>333.25</v>
      </c>
      <c r="F897" s="107">
        <v>330.25</v>
      </c>
      <c r="G897">
        <v>45884</v>
      </c>
      <c r="H897" s="107"/>
      <c r="I897" s="107"/>
      <c r="L897" s="149">
        <v>43319</v>
      </c>
      <c r="M897" s="107">
        <v>330.1</v>
      </c>
      <c r="N897" s="107">
        <v>335.5</v>
      </c>
      <c r="O897" s="107">
        <v>328.3</v>
      </c>
      <c r="P897" s="107">
        <v>334.05</v>
      </c>
      <c r="Q897" s="107">
        <v>330.1</v>
      </c>
      <c r="R897">
        <v>509705</v>
      </c>
    </row>
    <row r="898" spans="1:18" x14ac:dyDescent="0.25">
      <c r="A898" s="149">
        <v>43320</v>
      </c>
      <c r="B898" s="107">
        <v>332</v>
      </c>
      <c r="C898" s="107">
        <v>326.45</v>
      </c>
      <c r="D898" s="107">
        <v>325.2</v>
      </c>
      <c r="E898" s="107">
        <v>331.9</v>
      </c>
      <c r="F898" s="107">
        <v>326.45</v>
      </c>
      <c r="G898">
        <v>37081</v>
      </c>
      <c r="H898" s="107"/>
      <c r="I898" s="107"/>
      <c r="L898" s="149">
        <v>43320</v>
      </c>
      <c r="M898" s="107">
        <v>326.45</v>
      </c>
      <c r="N898" s="107">
        <v>333</v>
      </c>
      <c r="O898" s="107">
        <v>325.14999999999998</v>
      </c>
      <c r="P898" s="107">
        <v>333</v>
      </c>
      <c r="Q898" s="107">
        <v>326.45</v>
      </c>
      <c r="R898">
        <v>541478</v>
      </c>
    </row>
    <row r="899" spans="1:18" x14ac:dyDescent="0.25">
      <c r="A899" s="149">
        <v>43321</v>
      </c>
      <c r="B899" s="107">
        <v>331.6</v>
      </c>
      <c r="C899" s="107">
        <v>326.25</v>
      </c>
      <c r="D899" s="107">
        <v>325.14999999999998</v>
      </c>
      <c r="E899" s="107">
        <v>326.45</v>
      </c>
      <c r="F899" s="107">
        <v>326.25</v>
      </c>
      <c r="G899">
        <v>43513</v>
      </c>
      <c r="H899" s="107"/>
      <c r="I899" s="107"/>
      <c r="L899" s="149">
        <v>43321</v>
      </c>
      <c r="M899" s="107">
        <v>326.25</v>
      </c>
      <c r="N899" s="107">
        <v>332.15</v>
      </c>
      <c r="O899" s="107">
        <v>325</v>
      </c>
      <c r="P899" s="107">
        <v>328.3</v>
      </c>
      <c r="Q899" s="107">
        <v>326.25</v>
      </c>
      <c r="R899">
        <v>564901</v>
      </c>
    </row>
    <row r="900" spans="1:18" x14ac:dyDescent="0.25">
      <c r="A900" s="149">
        <v>43322</v>
      </c>
      <c r="B900" s="107">
        <v>328.75</v>
      </c>
      <c r="C900" s="107">
        <v>320.14999999999998</v>
      </c>
      <c r="D900" s="107">
        <v>318.39999999999998</v>
      </c>
      <c r="E900" s="107">
        <v>326.7</v>
      </c>
      <c r="F900" s="107">
        <v>320.14999999999998</v>
      </c>
      <c r="G900">
        <v>56787</v>
      </c>
      <c r="H900" s="107"/>
      <c r="I900" s="107"/>
      <c r="L900" s="149">
        <v>43322</v>
      </c>
      <c r="M900" s="107">
        <v>320.25</v>
      </c>
      <c r="N900" s="107">
        <v>328.65</v>
      </c>
      <c r="O900" s="107">
        <v>318</v>
      </c>
      <c r="P900" s="107">
        <v>328</v>
      </c>
      <c r="Q900" s="107">
        <v>320.25</v>
      </c>
      <c r="R900">
        <v>625441</v>
      </c>
    </row>
    <row r="901" spans="1:18" x14ac:dyDescent="0.25">
      <c r="A901" s="149">
        <v>43325</v>
      </c>
      <c r="B901" s="107">
        <v>319</v>
      </c>
      <c r="C901" s="107">
        <v>312.75</v>
      </c>
      <c r="D901" s="107">
        <v>310.14999999999998</v>
      </c>
      <c r="E901" s="107">
        <v>318</v>
      </c>
      <c r="F901" s="107">
        <v>312.75</v>
      </c>
      <c r="G901">
        <v>43165</v>
      </c>
      <c r="H901" s="107"/>
      <c r="I901" s="107"/>
      <c r="L901" s="149">
        <v>43325</v>
      </c>
      <c r="M901" s="107">
        <v>312.2</v>
      </c>
      <c r="N901" s="107">
        <v>318.5</v>
      </c>
      <c r="O901" s="107">
        <v>310.3</v>
      </c>
      <c r="P901" s="107">
        <v>318.5</v>
      </c>
      <c r="Q901" s="107">
        <v>312.2</v>
      </c>
      <c r="R901">
        <v>732007</v>
      </c>
    </row>
    <row r="902" spans="1:18" x14ac:dyDescent="0.25">
      <c r="A902" s="149">
        <v>43326</v>
      </c>
      <c r="B902" s="107">
        <v>317.55</v>
      </c>
      <c r="C902" s="107">
        <v>314.05</v>
      </c>
      <c r="D902" s="107">
        <v>309.05</v>
      </c>
      <c r="E902" s="107">
        <v>311.8</v>
      </c>
      <c r="F902" s="107">
        <v>314.05</v>
      </c>
      <c r="G902">
        <v>40708</v>
      </c>
      <c r="H902" s="107"/>
      <c r="I902" s="107"/>
      <c r="L902" s="149">
        <v>43326</v>
      </c>
      <c r="M902" s="107">
        <v>314.7</v>
      </c>
      <c r="N902" s="107">
        <v>317.39999999999998</v>
      </c>
      <c r="O902" s="107">
        <v>308.39999999999998</v>
      </c>
      <c r="P902" s="107">
        <v>311.7</v>
      </c>
      <c r="Q902" s="107">
        <v>314.7</v>
      </c>
      <c r="R902">
        <v>598656</v>
      </c>
    </row>
    <row r="903" spans="1:18" x14ac:dyDescent="0.25">
      <c r="A903" s="149">
        <v>43328</v>
      </c>
      <c r="B903" s="107">
        <v>318.95</v>
      </c>
      <c r="C903" s="107">
        <v>313.25</v>
      </c>
      <c r="D903" s="107">
        <v>306.14999999999998</v>
      </c>
      <c r="E903" s="107">
        <v>317</v>
      </c>
      <c r="F903" s="107">
        <v>313.25</v>
      </c>
      <c r="G903">
        <v>33063</v>
      </c>
      <c r="H903" s="107"/>
      <c r="I903" s="107"/>
      <c r="L903" s="149">
        <v>43328</v>
      </c>
      <c r="M903" s="107">
        <v>313.14999999999998</v>
      </c>
      <c r="N903" s="107">
        <v>318.7</v>
      </c>
      <c r="O903" s="107">
        <v>310.55</v>
      </c>
      <c r="P903" s="107">
        <v>314</v>
      </c>
      <c r="Q903" s="107">
        <v>313.14999999999998</v>
      </c>
      <c r="R903">
        <v>452622</v>
      </c>
    </row>
    <row r="904" spans="1:18" x14ac:dyDescent="0.25">
      <c r="A904" s="149">
        <v>43329</v>
      </c>
      <c r="B904" s="107">
        <v>327.9</v>
      </c>
      <c r="C904" s="107">
        <v>323.95</v>
      </c>
      <c r="D904" s="107">
        <v>313.55</v>
      </c>
      <c r="E904" s="107">
        <v>315</v>
      </c>
      <c r="F904" s="107">
        <v>323.95</v>
      </c>
      <c r="G904">
        <v>78194</v>
      </c>
      <c r="H904" s="107"/>
      <c r="I904" s="107"/>
      <c r="L904" s="149">
        <v>43329</v>
      </c>
      <c r="M904" s="107">
        <v>323.8</v>
      </c>
      <c r="N904" s="107">
        <v>327.75</v>
      </c>
      <c r="O904" s="107">
        <v>314</v>
      </c>
      <c r="P904" s="107">
        <v>314</v>
      </c>
      <c r="Q904" s="107">
        <v>323.8</v>
      </c>
      <c r="R904">
        <v>1285608</v>
      </c>
    </row>
    <row r="905" spans="1:18" x14ac:dyDescent="0.25">
      <c r="A905" s="149">
        <v>43332</v>
      </c>
      <c r="B905" s="107">
        <v>330</v>
      </c>
      <c r="C905" s="107">
        <v>326.85000000000002</v>
      </c>
      <c r="D905" s="107">
        <v>324.85000000000002</v>
      </c>
      <c r="E905" s="107">
        <v>327.8</v>
      </c>
      <c r="F905" s="107">
        <v>326.85000000000002</v>
      </c>
      <c r="G905">
        <v>65630</v>
      </c>
      <c r="H905" s="107"/>
      <c r="I905" s="107"/>
      <c r="L905" s="149">
        <v>43332</v>
      </c>
      <c r="M905" s="107">
        <v>326.35000000000002</v>
      </c>
      <c r="N905" s="107">
        <v>330</v>
      </c>
      <c r="O905" s="107">
        <v>324.3</v>
      </c>
      <c r="P905" s="107">
        <v>326.5</v>
      </c>
      <c r="Q905" s="107">
        <v>326.35000000000002</v>
      </c>
      <c r="R905">
        <v>901769</v>
      </c>
    </row>
    <row r="906" spans="1:18" x14ac:dyDescent="0.25">
      <c r="A906" s="149">
        <v>43333</v>
      </c>
      <c r="B906" s="107">
        <v>344.6</v>
      </c>
      <c r="C906" s="107">
        <v>339.05</v>
      </c>
      <c r="D906" s="107">
        <v>327.9</v>
      </c>
      <c r="E906" s="107">
        <v>327.9</v>
      </c>
      <c r="F906" s="107">
        <v>339.05</v>
      </c>
      <c r="G906">
        <v>152206</v>
      </c>
      <c r="H906" s="107"/>
      <c r="I906" s="107"/>
      <c r="L906" s="149">
        <v>43333</v>
      </c>
      <c r="M906" s="107">
        <v>339.6</v>
      </c>
      <c r="N906" s="107">
        <v>345</v>
      </c>
      <c r="O906" s="107">
        <v>327.39999999999998</v>
      </c>
      <c r="P906" s="107">
        <v>328</v>
      </c>
      <c r="Q906" s="107">
        <v>339.6</v>
      </c>
      <c r="R906">
        <v>2541789</v>
      </c>
    </row>
    <row r="907" spans="1:18" x14ac:dyDescent="0.25">
      <c r="A907" s="149">
        <v>43335</v>
      </c>
      <c r="B907" s="107">
        <v>342</v>
      </c>
      <c r="C907" s="107">
        <v>330</v>
      </c>
      <c r="D907" s="107">
        <v>328.3</v>
      </c>
      <c r="E907" s="107">
        <v>340.1</v>
      </c>
      <c r="F907" s="107">
        <v>330</v>
      </c>
      <c r="G907">
        <v>70736</v>
      </c>
      <c r="H907" s="107"/>
      <c r="I907" s="107"/>
      <c r="L907" s="149">
        <v>43335</v>
      </c>
      <c r="M907" s="107">
        <v>330.15</v>
      </c>
      <c r="N907" s="107">
        <v>341.95</v>
      </c>
      <c r="O907" s="107">
        <v>328.65</v>
      </c>
      <c r="P907" s="107">
        <v>340.7</v>
      </c>
      <c r="Q907" s="107">
        <v>330.15</v>
      </c>
      <c r="R907">
        <v>635816</v>
      </c>
    </row>
    <row r="908" spans="1:18" x14ac:dyDescent="0.25">
      <c r="A908" s="149">
        <v>43336</v>
      </c>
      <c r="B908" s="107">
        <v>328</v>
      </c>
      <c r="C908" s="107">
        <v>318.7</v>
      </c>
      <c r="D908" s="107">
        <v>317.75</v>
      </c>
      <c r="E908" s="107">
        <v>328</v>
      </c>
      <c r="F908" s="107">
        <v>318.7</v>
      </c>
      <c r="G908">
        <v>56060</v>
      </c>
      <c r="H908" s="107"/>
      <c r="I908" s="107"/>
      <c r="L908" s="149">
        <v>43336</v>
      </c>
      <c r="M908" s="107">
        <v>319.5</v>
      </c>
      <c r="N908" s="107">
        <v>327.85</v>
      </c>
      <c r="O908" s="107">
        <v>317</v>
      </c>
      <c r="P908" s="107">
        <v>326.95</v>
      </c>
      <c r="Q908" s="107">
        <v>319.5</v>
      </c>
      <c r="R908">
        <v>837168</v>
      </c>
    </row>
    <row r="909" spans="1:18" x14ac:dyDescent="0.25">
      <c r="A909" s="149">
        <v>43339</v>
      </c>
      <c r="B909" s="107">
        <v>324.7</v>
      </c>
      <c r="C909" s="107">
        <v>320.5</v>
      </c>
      <c r="D909" s="107">
        <v>318.25</v>
      </c>
      <c r="E909" s="107">
        <v>319.05</v>
      </c>
      <c r="F909" s="107">
        <v>320.5</v>
      </c>
      <c r="G909">
        <v>66089</v>
      </c>
      <c r="H909" s="107"/>
      <c r="I909" s="107"/>
      <c r="L909" s="149">
        <v>43339</v>
      </c>
      <c r="M909" s="107">
        <v>320.95</v>
      </c>
      <c r="N909" s="107">
        <v>325.5</v>
      </c>
      <c r="O909" s="107">
        <v>317.75</v>
      </c>
      <c r="P909" s="107">
        <v>320</v>
      </c>
      <c r="Q909" s="107">
        <v>320.95</v>
      </c>
      <c r="R909">
        <v>842626</v>
      </c>
    </row>
    <row r="910" spans="1:18" x14ac:dyDescent="0.25">
      <c r="A910" s="149">
        <v>43340</v>
      </c>
      <c r="B910" s="107">
        <v>324</v>
      </c>
      <c r="C910" s="107">
        <v>318.05</v>
      </c>
      <c r="D910" s="107">
        <v>315</v>
      </c>
      <c r="E910" s="107">
        <v>321.39999999999998</v>
      </c>
      <c r="F910" s="107">
        <v>318.05</v>
      </c>
      <c r="G910">
        <v>30840</v>
      </c>
      <c r="H910" s="107"/>
      <c r="I910" s="107"/>
      <c r="L910" s="149">
        <v>43340</v>
      </c>
      <c r="M910" s="107">
        <v>319.5</v>
      </c>
      <c r="N910" s="107">
        <v>323.95</v>
      </c>
      <c r="O910" s="107">
        <v>317.35000000000002</v>
      </c>
      <c r="P910" s="107">
        <v>323.60000000000002</v>
      </c>
      <c r="Q910" s="107">
        <v>319.5</v>
      </c>
      <c r="R910">
        <v>423113</v>
      </c>
    </row>
    <row r="911" spans="1:18" x14ac:dyDescent="0.25">
      <c r="A911" s="149">
        <v>43341</v>
      </c>
      <c r="B911" s="107">
        <v>321.5</v>
      </c>
      <c r="C911" s="107">
        <v>317.25</v>
      </c>
      <c r="D911" s="107">
        <v>316.2</v>
      </c>
      <c r="E911" s="107">
        <v>320.95</v>
      </c>
      <c r="F911" s="107">
        <v>317.25</v>
      </c>
      <c r="G911">
        <v>30269</v>
      </c>
      <c r="H911" s="107"/>
      <c r="I911" s="107"/>
      <c r="L911" s="149">
        <v>43341</v>
      </c>
      <c r="M911" s="107">
        <v>318.14999999999998</v>
      </c>
      <c r="N911" s="107">
        <v>322.60000000000002</v>
      </c>
      <c r="O911" s="107">
        <v>317.10000000000002</v>
      </c>
      <c r="P911" s="107">
        <v>321</v>
      </c>
      <c r="Q911" s="107">
        <v>318.14999999999998</v>
      </c>
      <c r="R911">
        <v>636032</v>
      </c>
    </row>
    <row r="912" spans="1:18" x14ac:dyDescent="0.25">
      <c r="A912" s="149">
        <v>43342</v>
      </c>
      <c r="B912" s="107">
        <v>318.60000000000002</v>
      </c>
      <c r="C912" s="107">
        <v>316.7</v>
      </c>
      <c r="D912" s="107">
        <v>312</v>
      </c>
      <c r="E912" s="107">
        <v>315</v>
      </c>
      <c r="F912" s="107">
        <v>316.7</v>
      </c>
      <c r="G912">
        <v>34921</v>
      </c>
      <c r="H912" s="107"/>
      <c r="I912" s="107"/>
      <c r="L912" s="149">
        <v>43342</v>
      </c>
      <c r="M912" s="107">
        <v>317.64999999999998</v>
      </c>
      <c r="N912" s="107">
        <v>319.2</v>
      </c>
      <c r="O912" s="107">
        <v>315</v>
      </c>
      <c r="P912" s="107">
        <v>316.55</v>
      </c>
      <c r="Q912" s="107">
        <v>317.64999999999998</v>
      </c>
      <c r="R912">
        <v>666237</v>
      </c>
    </row>
    <row r="913" spans="1:18" x14ac:dyDescent="0.25">
      <c r="A913" s="149">
        <v>43343</v>
      </c>
      <c r="B913" s="107">
        <v>323.39999999999998</v>
      </c>
      <c r="C913" s="107">
        <v>320.60000000000002</v>
      </c>
      <c r="D913" s="107">
        <v>317.55</v>
      </c>
      <c r="E913" s="107">
        <v>318</v>
      </c>
      <c r="F913" s="107">
        <v>320.60000000000002</v>
      </c>
      <c r="G913">
        <v>38855</v>
      </c>
      <c r="H913" s="107"/>
      <c r="I913" s="107"/>
      <c r="L913" s="149">
        <v>43343</v>
      </c>
      <c r="M913" s="107">
        <v>319.89999999999998</v>
      </c>
      <c r="N913" s="107">
        <v>323.89999999999998</v>
      </c>
      <c r="O913" s="107">
        <v>317.45</v>
      </c>
      <c r="P913" s="107">
        <v>319</v>
      </c>
      <c r="Q913" s="107">
        <v>319.89999999999998</v>
      </c>
      <c r="R913">
        <v>683956</v>
      </c>
    </row>
    <row r="914" spans="1:18" x14ac:dyDescent="0.25">
      <c r="A914" s="149">
        <v>43346</v>
      </c>
      <c r="B914" s="107">
        <v>331</v>
      </c>
      <c r="C914" s="107">
        <v>321</v>
      </c>
      <c r="D914" s="107">
        <v>318.05</v>
      </c>
      <c r="E914" s="107">
        <v>320</v>
      </c>
      <c r="F914" s="107">
        <v>321</v>
      </c>
      <c r="G914">
        <v>113663</v>
      </c>
      <c r="H914" s="107"/>
      <c r="I914" s="107"/>
      <c r="L914" s="149">
        <v>43346</v>
      </c>
      <c r="M914" s="107">
        <v>321.14999999999998</v>
      </c>
      <c r="N914" s="107">
        <v>330.9</v>
      </c>
      <c r="O914" s="107">
        <v>318.2</v>
      </c>
      <c r="P914" s="107">
        <v>319</v>
      </c>
      <c r="Q914" s="107">
        <v>321.14999999999998</v>
      </c>
      <c r="R914">
        <v>1738538</v>
      </c>
    </row>
    <row r="915" spans="1:18" x14ac:dyDescent="0.25">
      <c r="A915" s="149">
        <v>43347</v>
      </c>
      <c r="B915" s="107">
        <v>336.5</v>
      </c>
      <c r="C915" s="107">
        <v>315.89999999999998</v>
      </c>
      <c r="D915" s="107">
        <v>314.7</v>
      </c>
      <c r="E915" s="107">
        <v>327</v>
      </c>
      <c r="F915" s="107">
        <v>315.89999999999998</v>
      </c>
      <c r="G915">
        <v>37591</v>
      </c>
      <c r="H915" s="107"/>
      <c r="I915" s="107"/>
      <c r="L915" s="149">
        <v>43347</v>
      </c>
      <c r="M915" s="107">
        <v>315.89999999999998</v>
      </c>
      <c r="N915" s="107">
        <v>323.55</v>
      </c>
      <c r="O915" s="107">
        <v>315.3</v>
      </c>
      <c r="P915" s="107">
        <v>322.39999999999998</v>
      </c>
      <c r="Q915" s="107">
        <v>315.89999999999998</v>
      </c>
      <c r="R915">
        <v>825212</v>
      </c>
    </row>
    <row r="916" spans="1:18" x14ac:dyDescent="0.25">
      <c r="A916" s="149">
        <v>43348</v>
      </c>
      <c r="B916" s="107">
        <v>319.60000000000002</v>
      </c>
      <c r="C916" s="107">
        <v>312.05</v>
      </c>
      <c r="D916" s="107">
        <v>305.5</v>
      </c>
      <c r="E916" s="107">
        <v>319.60000000000002</v>
      </c>
      <c r="F916" s="107">
        <v>312.05</v>
      </c>
      <c r="G916">
        <v>50011</v>
      </c>
      <c r="H916" s="107"/>
      <c r="I916" s="107"/>
      <c r="L916" s="149">
        <v>43348</v>
      </c>
      <c r="M916" s="107">
        <v>311.75</v>
      </c>
      <c r="N916" s="107">
        <v>318.05</v>
      </c>
      <c r="O916" s="107">
        <v>305.25</v>
      </c>
      <c r="P916" s="107">
        <v>316.95</v>
      </c>
      <c r="Q916" s="107">
        <v>311.75</v>
      </c>
      <c r="R916">
        <v>1192942</v>
      </c>
    </row>
    <row r="917" spans="1:18" x14ac:dyDescent="0.25">
      <c r="A917" s="149">
        <v>43349</v>
      </c>
      <c r="B917" s="107">
        <v>314.39999999999998</v>
      </c>
      <c r="C917" s="107">
        <v>310</v>
      </c>
      <c r="D917" s="107">
        <v>309</v>
      </c>
      <c r="E917" s="107">
        <v>312.25</v>
      </c>
      <c r="F917" s="107">
        <v>310</v>
      </c>
      <c r="G917">
        <v>38714</v>
      </c>
      <c r="H917" s="107"/>
      <c r="I917" s="107"/>
      <c r="L917" s="149">
        <v>43349</v>
      </c>
      <c r="M917" s="107">
        <v>310.7</v>
      </c>
      <c r="N917" s="107">
        <v>314.8</v>
      </c>
      <c r="O917" s="107">
        <v>309.10000000000002</v>
      </c>
      <c r="P917" s="107">
        <v>312</v>
      </c>
      <c r="Q917" s="107">
        <v>310.7</v>
      </c>
      <c r="R917">
        <v>911910</v>
      </c>
    </row>
    <row r="918" spans="1:18" x14ac:dyDescent="0.25">
      <c r="A918" s="149">
        <v>43350</v>
      </c>
      <c r="B918" s="107">
        <v>311.89999999999998</v>
      </c>
      <c r="C918" s="107">
        <v>310.3</v>
      </c>
      <c r="D918" s="107">
        <v>308</v>
      </c>
      <c r="E918" s="107">
        <v>311.14999999999998</v>
      </c>
      <c r="F918" s="107">
        <v>310.3</v>
      </c>
      <c r="G918">
        <v>45641</v>
      </c>
      <c r="H918" s="107"/>
      <c r="I918" s="107"/>
      <c r="L918" s="149">
        <v>43350</v>
      </c>
      <c r="M918" s="107">
        <v>310.8</v>
      </c>
      <c r="N918" s="107">
        <v>313</v>
      </c>
      <c r="O918" s="107">
        <v>308</v>
      </c>
      <c r="P918" s="107">
        <v>311</v>
      </c>
      <c r="Q918" s="107">
        <v>310.8</v>
      </c>
      <c r="R918">
        <v>525441</v>
      </c>
    </row>
    <row r="919" spans="1:18" x14ac:dyDescent="0.25">
      <c r="A919" s="149">
        <v>43353</v>
      </c>
      <c r="B919" s="107">
        <v>315.95</v>
      </c>
      <c r="C919" s="107">
        <v>311.3</v>
      </c>
      <c r="D919" s="107">
        <v>309.10000000000002</v>
      </c>
      <c r="E919" s="107">
        <v>312</v>
      </c>
      <c r="F919" s="107">
        <v>311.3</v>
      </c>
      <c r="G919">
        <v>56485</v>
      </c>
      <c r="H919" s="107"/>
      <c r="I919" s="107"/>
      <c r="L919" s="149">
        <v>43353</v>
      </c>
      <c r="M919" s="107">
        <v>312.60000000000002</v>
      </c>
      <c r="N919" s="107">
        <v>316.39999999999998</v>
      </c>
      <c r="O919" s="107">
        <v>309.3</v>
      </c>
      <c r="P919" s="107">
        <v>311</v>
      </c>
      <c r="Q919" s="107">
        <v>312.60000000000002</v>
      </c>
      <c r="R919">
        <v>548200</v>
      </c>
    </row>
    <row r="920" spans="1:18" x14ac:dyDescent="0.25">
      <c r="A920" s="149">
        <v>43354</v>
      </c>
      <c r="B920" s="107">
        <v>313.10000000000002</v>
      </c>
      <c r="C920" s="107">
        <v>309.45</v>
      </c>
      <c r="D920" s="107">
        <v>307.89999999999998</v>
      </c>
      <c r="E920" s="107">
        <v>312.8</v>
      </c>
      <c r="F920" s="107">
        <v>309.45</v>
      </c>
      <c r="G920">
        <v>40386</v>
      </c>
      <c r="H920" s="107"/>
      <c r="I920" s="107"/>
      <c r="L920" s="149">
        <v>43354</v>
      </c>
      <c r="M920" s="107">
        <v>309.10000000000002</v>
      </c>
      <c r="N920" s="107">
        <v>313.39999999999998</v>
      </c>
      <c r="O920" s="107">
        <v>307.7</v>
      </c>
      <c r="P920" s="107">
        <v>312.10000000000002</v>
      </c>
      <c r="Q920" s="107">
        <v>309.10000000000002</v>
      </c>
      <c r="R920">
        <v>489001</v>
      </c>
    </row>
    <row r="921" spans="1:18" x14ac:dyDescent="0.25">
      <c r="A921" s="149">
        <v>43355</v>
      </c>
      <c r="B921" s="107">
        <v>309.35000000000002</v>
      </c>
      <c r="C921" s="107">
        <v>304</v>
      </c>
      <c r="D921" s="107">
        <v>297.60000000000002</v>
      </c>
      <c r="E921" s="107">
        <v>308.7</v>
      </c>
      <c r="F921" s="107">
        <v>304</v>
      </c>
      <c r="G921">
        <v>68001</v>
      </c>
      <c r="H921" s="107"/>
      <c r="I921" s="107"/>
      <c r="L921" s="149">
        <v>43355</v>
      </c>
      <c r="M921" s="107">
        <v>303.14999999999998</v>
      </c>
      <c r="N921" s="107">
        <v>310.05</v>
      </c>
      <c r="O921" s="107">
        <v>297.95</v>
      </c>
      <c r="P921" s="107">
        <v>308.7</v>
      </c>
      <c r="Q921" s="107">
        <v>303.14999999999998</v>
      </c>
      <c r="R921">
        <v>802880</v>
      </c>
    </row>
    <row r="922" spans="1:18" x14ac:dyDescent="0.25">
      <c r="A922" s="149">
        <v>43357</v>
      </c>
      <c r="B922" s="107">
        <v>312.7</v>
      </c>
      <c r="C922" s="107">
        <v>309.39999999999998</v>
      </c>
      <c r="D922" s="107">
        <v>303.39999999999998</v>
      </c>
      <c r="E922" s="107">
        <v>303.39999999999998</v>
      </c>
      <c r="F922" s="107">
        <v>309.39999999999998</v>
      </c>
      <c r="G922">
        <v>56555</v>
      </c>
      <c r="H922" s="107"/>
      <c r="I922" s="107"/>
      <c r="L922" s="149">
        <v>43357</v>
      </c>
      <c r="M922" s="107">
        <v>309.89999999999998</v>
      </c>
      <c r="N922" s="107">
        <v>313.35000000000002</v>
      </c>
      <c r="O922" s="107">
        <v>303</v>
      </c>
      <c r="P922" s="107">
        <v>303</v>
      </c>
      <c r="Q922" s="107">
        <v>309.89999999999998</v>
      </c>
      <c r="R922">
        <v>593195</v>
      </c>
    </row>
    <row r="923" spans="1:18" x14ac:dyDescent="0.25">
      <c r="A923" s="149">
        <v>43360</v>
      </c>
      <c r="B923" s="107">
        <v>328.35</v>
      </c>
      <c r="C923" s="107">
        <v>323</v>
      </c>
      <c r="D923" s="107">
        <v>307.85000000000002</v>
      </c>
      <c r="E923" s="107">
        <v>309</v>
      </c>
      <c r="F923" s="107">
        <v>323</v>
      </c>
      <c r="G923">
        <v>220009</v>
      </c>
      <c r="H923" s="107"/>
      <c r="I923" s="107"/>
      <c r="L923" s="149">
        <v>43360</v>
      </c>
      <c r="M923" s="107">
        <v>324.25</v>
      </c>
      <c r="N923" s="107">
        <v>328.8</v>
      </c>
      <c r="O923" s="107">
        <v>306.5</v>
      </c>
      <c r="P923" s="107">
        <v>306.5</v>
      </c>
      <c r="Q923" s="107">
        <v>324.25</v>
      </c>
      <c r="R923">
        <v>2193321</v>
      </c>
    </row>
    <row r="924" spans="1:18" x14ac:dyDescent="0.25">
      <c r="A924" s="149">
        <v>43361</v>
      </c>
      <c r="B924" s="107">
        <v>324.85000000000002</v>
      </c>
      <c r="C924" s="107">
        <v>311.05</v>
      </c>
      <c r="D924" s="107">
        <v>310</v>
      </c>
      <c r="E924" s="107">
        <v>323.8</v>
      </c>
      <c r="F924" s="107">
        <v>311.05</v>
      </c>
      <c r="G924">
        <v>59537</v>
      </c>
      <c r="H924" s="107"/>
      <c r="I924" s="107"/>
      <c r="L924" s="149">
        <v>43361</v>
      </c>
      <c r="M924" s="107">
        <v>311.60000000000002</v>
      </c>
      <c r="N924" s="107">
        <v>325.05</v>
      </c>
      <c r="O924" s="107">
        <v>310</v>
      </c>
      <c r="P924" s="107">
        <v>323.25</v>
      </c>
      <c r="Q924" s="107">
        <v>311.60000000000002</v>
      </c>
      <c r="R924">
        <v>726984</v>
      </c>
    </row>
    <row r="925" spans="1:18" x14ac:dyDescent="0.25">
      <c r="A925" s="149">
        <v>43362</v>
      </c>
      <c r="B925" s="107">
        <v>313.55</v>
      </c>
      <c r="C925" s="107">
        <v>307.8</v>
      </c>
      <c r="D925" s="107">
        <v>305.95</v>
      </c>
      <c r="E925" s="107">
        <v>312.35000000000002</v>
      </c>
      <c r="F925" s="107">
        <v>307.8</v>
      </c>
      <c r="G925">
        <v>49022</v>
      </c>
      <c r="H925" s="107"/>
      <c r="I925" s="107"/>
      <c r="L925" s="149">
        <v>43362</v>
      </c>
      <c r="M925" s="107">
        <v>308.85000000000002</v>
      </c>
      <c r="N925" s="107">
        <v>313.89999999999998</v>
      </c>
      <c r="O925" s="107">
        <v>306.25</v>
      </c>
      <c r="P925" s="107">
        <v>313</v>
      </c>
      <c r="Q925" s="107">
        <v>308.85000000000002</v>
      </c>
      <c r="R925">
        <v>475858</v>
      </c>
    </row>
    <row r="926" spans="1:18" x14ac:dyDescent="0.25">
      <c r="A926" s="149">
        <v>43364</v>
      </c>
      <c r="B926" s="107">
        <v>311.45</v>
      </c>
      <c r="C926" s="107">
        <v>290.25</v>
      </c>
      <c r="D926" s="107">
        <v>263</v>
      </c>
      <c r="E926" s="107">
        <v>310</v>
      </c>
      <c r="F926" s="107">
        <v>290.25</v>
      </c>
      <c r="G926">
        <v>145328</v>
      </c>
      <c r="H926" s="107"/>
      <c r="I926" s="107"/>
      <c r="L926" s="149">
        <v>43364</v>
      </c>
      <c r="M926" s="107">
        <v>292.55</v>
      </c>
      <c r="N926" s="107">
        <v>312.10000000000002</v>
      </c>
      <c r="O926" s="107">
        <v>263.25</v>
      </c>
      <c r="P926" s="107">
        <v>309</v>
      </c>
      <c r="Q926" s="107">
        <v>292.55</v>
      </c>
      <c r="R926">
        <v>2113853</v>
      </c>
    </row>
    <row r="927" spans="1:18" x14ac:dyDescent="0.25">
      <c r="A927" s="149">
        <v>43367</v>
      </c>
      <c r="B927" s="107">
        <v>299.2</v>
      </c>
      <c r="C927" s="107">
        <v>271.7</v>
      </c>
      <c r="D927" s="107">
        <v>264.35000000000002</v>
      </c>
      <c r="E927" s="107">
        <v>296</v>
      </c>
      <c r="F927" s="107">
        <v>271.7</v>
      </c>
      <c r="G927">
        <v>218264</v>
      </c>
      <c r="H927" s="107"/>
      <c r="I927" s="107"/>
      <c r="L927" s="149">
        <v>43367</v>
      </c>
      <c r="M927" s="107">
        <v>268.60000000000002</v>
      </c>
      <c r="N927" s="107">
        <v>299.8</v>
      </c>
      <c r="O927" s="107">
        <v>266.5</v>
      </c>
      <c r="P927" s="107">
        <v>295</v>
      </c>
      <c r="Q927" s="107">
        <v>268.60000000000002</v>
      </c>
      <c r="R927">
        <v>1641904</v>
      </c>
    </row>
    <row r="928" spans="1:18" x14ac:dyDescent="0.25">
      <c r="A928" s="149">
        <v>43368</v>
      </c>
      <c r="B928" s="107">
        <v>279</v>
      </c>
      <c r="C928" s="107">
        <v>254</v>
      </c>
      <c r="D928" s="107">
        <v>231.6</v>
      </c>
      <c r="E928" s="107">
        <v>279</v>
      </c>
      <c r="F928" s="107">
        <v>254</v>
      </c>
      <c r="G928">
        <v>348895</v>
      </c>
      <c r="H928" s="107"/>
      <c r="I928" s="107"/>
      <c r="L928" s="149">
        <v>43368</v>
      </c>
      <c r="M928" s="107">
        <v>253.8</v>
      </c>
      <c r="N928" s="107">
        <v>268.5</v>
      </c>
      <c r="O928" s="107">
        <v>232.65</v>
      </c>
      <c r="P928" s="107">
        <v>266.5</v>
      </c>
      <c r="Q928" s="107">
        <v>253.8</v>
      </c>
      <c r="R928">
        <v>3615362</v>
      </c>
    </row>
    <row r="929" spans="1:18" x14ac:dyDescent="0.25">
      <c r="A929" s="149">
        <v>43369</v>
      </c>
      <c r="B929" s="107">
        <v>260.64999999999998</v>
      </c>
      <c r="C929" s="107">
        <v>248.85</v>
      </c>
      <c r="D929" s="107">
        <v>246.15</v>
      </c>
      <c r="E929" s="107">
        <v>255</v>
      </c>
      <c r="F929" s="107">
        <v>248.85</v>
      </c>
      <c r="G929">
        <v>177663</v>
      </c>
      <c r="H929" s="107"/>
      <c r="I929" s="107"/>
      <c r="L929" s="149">
        <v>43369</v>
      </c>
      <c r="M929" s="107">
        <v>248.65</v>
      </c>
      <c r="N929" s="107">
        <v>260.35000000000002</v>
      </c>
      <c r="O929" s="107">
        <v>246.05</v>
      </c>
      <c r="P929" s="107">
        <v>255.55</v>
      </c>
      <c r="Q929" s="107">
        <v>248.65</v>
      </c>
      <c r="R929">
        <v>2245941</v>
      </c>
    </row>
    <row r="930" spans="1:18" x14ac:dyDescent="0.25">
      <c r="A930" s="149">
        <v>43370</v>
      </c>
      <c r="B930" s="107">
        <v>250.6</v>
      </c>
      <c r="C930" s="107">
        <v>227.75</v>
      </c>
      <c r="D930" s="107">
        <v>225.55</v>
      </c>
      <c r="E930" s="107">
        <v>248.85</v>
      </c>
      <c r="F930" s="107">
        <v>227.75</v>
      </c>
      <c r="G930">
        <v>187795</v>
      </c>
      <c r="H930" s="107"/>
      <c r="I930" s="107"/>
      <c r="L930" s="149">
        <v>43370</v>
      </c>
      <c r="M930" s="107">
        <v>227.3</v>
      </c>
      <c r="N930" s="107">
        <v>251</v>
      </c>
      <c r="O930" s="107">
        <v>225</v>
      </c>
      <c r="P930" s="107">
        <v>248</v>
      </c>
      <c r="Q930" s="107">
        <v>227.3</v>
      </c>
      <c r="R930">
        <v>2530915</v>
      </c>
    </row>
    <row r="931" spans="1:18" x14ac:dyDescent="0.25">
      <c r="A931" s="149">
        <v>43371</v>
      </c>
      <c r="B931" s="107">
        <v>246.35</v>
      </c>
      <c r="C931" s="107">
        <v>237.85</v>
      </c>
      <c r="D931" s="107">
        <v>220.05</v>
      </c>
      <c r="E931" s="107">
        <v>220.05</v>
      </c>
      <c r="F931" s="107">
        <v>237.85</v>
      </c>
      <c r="G931">
        <v>348287</v>
      </c>
      <c r="H931" s="107"/>
      <c r="I931" s="107"/>
      <c r="L931" s="149">
        <v>43371</v>
      </c>
      <c r="M931" s="107">
        <v>237.6</v>
      </c>
      <c r="N931" s="107">
        <v>246.65</v>
      </c>
      <c r="O931" s="107">
        <v>223</v>
      </c>
      <c r="P931" s="107">
        <v>231</v>
      </c>
      <c r="Q931" s="107">
        <v>237.6</v>
      </c>
      <c r="R931">
        <v>5205383</v>
      </c>
    </row>
    <row r="932" spans="1:18" x14ac:dyDescent="0.25">
      <c r="A932" s="149">
        <v>43374</v>
      </c>
      <c r="B932" s="107">
        <v>265.25</v>
      </c>
      <c r="C932" s="107">
        <v>261.14999999999998</v>
      </c>
      <c r="D932" s="107">
        <v>229.4</v>
      </c>
      <c r="E932" s="107">
        <v>240</v>
      </c>
      <c r="F932" s="107">
        <v>261.14999999999998</v>
      </c>
      <c r="G932">
        <v>307465</v>
      </c>
      <c r="H932" s="107"/>
      <c r="I932" s="107"/>
      <c r="L932" s="149">
        <v>43374</v>
      </c>
      <c r="M932" s="107">
        <v>261.7</v>
      </c>
      <c r="N932" s="107">
        <v>266.64999999999998</v>
      </c>
      <c r="O932" s="107">
        <v>229.4</v>
      </c>
      <c r="P932" s="107">
        <v>237</v>
      </c>
      <c r="Q932" s="107">
        <v>261.7</v>
      </c>
      <c r="R932">
        <v>4532697</v>
      </c>
    </row>
    <row r="933" spans="1:18" x14ac:dyDescent="0.25">
      <c r="A933" s="149">
        <v>43376</v>
      </c>
      <c r="B933" s="107">
        <v>264.39999999999998</v>
      </c>
      <c r="C933" s="107">
        <v>252.5</v>
      </c>
      <c r="D933" s="107">
        <v>249</v>
      </c>
      <c r="E933" s="107">
        <v>260</v>
      </c>
      <c r="F933" s="107">
        <v>252.5</v>
      </c>
      <c r="G933">
        <v>137639</v>
      </c>
      <c r="H933" s="107"/>
      <c r="I933" s="107"/>
      <c r="L933" s="149">
        <v>43376</v>
      </c>
      <c r="M933" s="107">
        <v>251.9</v>
      </c>
      <c r="N933" s="107">
        <v>264.3</v>
      </c>
      <c r="O933" s="107">
        <v>248.3</v>
      </c>
      <c r="P933" s="107">
        <v>257.75</v>
      </c>
      <c r="Q933" s="107">
        <v>251.9</v>
      </c>
      <c r="R933">
        <v>1707752</v>
      </c>
    </row>
    <row r="934" spans="1:18" x14ac:dyDescent="0.25">
      <c r="A934" s="149">
        <v>43377</v>
      </c>
      <c r="B934" s="107">
        <v>249.7</v>
      </c>
      <c r="C934" s="107">
        <v>245.4</v>
      </c>
      <c r="D934" s="107">
        <v>235.1</v>
      </c>
      <c r="E934" s="107">
        <v>247.5</v>
      </c>
      <c r="F934" s="107">
        <v>245.4</v>
      </c>
      <c r="G934">
        <v>142032</v>
      </c>
      <c r="H934" s="107"/>
      <c r="I934" s="107"/>
      <c r="L934" s="149">
        <v>43377</v>
      </c>
      <c r="M934" s="107">
        <v>246.2</v>
      </c>
      <c r="N934" s="107">
        <v>250.4</v>
      </c>
      <c r="O934" s="107">
        <v>235.9</v>
      </c>
      <c r="P934" s="107">
        <v>245</v>
      </c>
      <c r="Q934" s="107">
        <v>246.2</v>
      </c>
      <c r="R934">
        <v>1681325</v>
      </c>
    </row>
    <row r="935" spans="1:18" x14ac:dyDescent="0.25">
      <c r="A935" s="149">
        <v>43378</v>
      </c>
      <c r="B935" s="107">
        <v>251.8</v>
      </c>
      <c r="C935" s="107">
        <v>237</v>
      </c>
      <c r="D935" s="107">
        <v>230</v>
      </c>
      <c r="E935" s="107">
        <v>245</v>
      </c>
      <c r="F935" s="107">
        <v>237</v>
      </c>
      <c r="G935">
        <v>117268</v>
      </c>
      <c r="H935" s="107"/>
      <c r="I935" s="107"/>
      <c r="L935" s="149">
        <v>43378</v>
      </c>
      <c r="M935" s="107">
        <v>236.95</v>
      </c>
      <c r="N935" s="107">
        <v>251.85</v>
      </c>
      <c r="O935" s="107">
        <v>231.6</v>
      </c>
      <c r="P935" s="107">
        <v>244.7</v>
      </c>
      <c r="Q935" s="107">
        <v>236.95</v>
      </c>
      <c r="R935">
        <v>1195049</v>
      </c>
    </row>
    <row r="936" spans="1:18" x14ac:dyDescent="0.25">
      <c r="A936" s="149">
        <v>43381</v>
      </c>
      <c r="B936" s="107">
        <v>238.35</v>
      </c>
      <c r="C936" s="107">
        <v>224.95</v>
      </c>
      <c r="D936" s="107">
        <v>218.15</v>
      </c>
      <c r="E936" s="107">
        <v>234.1</v>
      </c>
      <c r="F936" s="107">
        <v>224.95</v>
      </c>
      <c r="G936">
        <v>175626</v>
      </c>
      <c r="H936" s="107"/>
      <c r="I936" s="107"/>
      <c r="L936" s="149">
        <v>43381</v>
      </c>
      <c r="M936" s="107">
        <v>225.3</v>
      </c>
      <c r="N936" s="107">
        <v>238.8</v>
      </c>
      <c r="O936" s="107">
        <v>218.25</v>
      </c>
      <c r="P936" s="107">
        <v>235</v>
      </c>
      <c r="Q936" s="107">
        <v>225.3</v>
      </c>
      <c r="R936">
        <v>1769943</v>
      </c>
    </row>
    <row r="937" spans="1:18" x14ac:dyDescent="0.25">
      <c r="A937" s="149">
        <v>43382</v>
      </c>
      <c r="B937" s="107">
        <v>246.4</v>
      </c>
      <c r="C937" s="107">
        <v>234</v>
      </c>
      <c r="D937" s="107">
        <v>220.25</v>
      </c>
      <c r="E937" s="107">
        <v>225</v>
      </c>
      <c r="F937" s="107">
        <v>234</v>
      </c>
      <c r="G937">
        <v>222327</v>
      </c>
      <c r="H937" s="107"/>
      <c r="I937" s="107"/>
      <c r="L937" s="149">
        <v>43382</v>
      </c>
      <c r="M937" s="107">
        <v>234.25</v>
      </c>
      <c r="N937" s="107">
        <v>247</v>
      </c>
      <c r="O937" s="107">
        <v>220.05</v>
      </c>
      <c r="P937" s="107">
        <v>226.3</v>
      </c>
      <c r="Q937" s="107">
        <v>234.25</v>
      </c>
      <c r="R937">
        <v>2766301</v>
      </c>
    </row>
    <row r="938" spans="1:18" x14ac:dyDescent="0.25">
      <c r="A938" s="149">
        <v>43383</v>
      </c>
      <c r="B938" s="107">
        <v>255.5</v>
      </c>
      <c r="C938" s="107">
        <v>252.1</v>
      </c>
      <c r="D938" s="107">
        <v>234.15</v>
      </c>
      <c r="E938" s="107">
        <v>234.15</v>
      </c>
      <c r="F938" s="107">
        <v>252.1</v>
      </c>
      <c r="G938">
        <v>167724</v>
      </c>
      <c r="H938" s="107"/>
      <c r="I938" s="107"/>
      <c r="L938" s="149">
        <v>43383</v>
      </c>
      <c r="M938" s="107">
        <v>252.3</v>
      </c>
      <c r="N938" s="107">
        <v>256</v>
      </c>
      <c r="O938" s="107">
        <v>236.5</v>
      </c>
      <c r="P938" s="107">
        <v>236.5</v>
      </c>
      <c r="Q938" s="107">
        <v>252.3</v>
      </c>
      <c r="R938">
        <v>2530297</v>
      </c>
    </row>
    <row r="939" spans="1:18" x14ac:dyDescent="0.25">
      <c r="A939" s="149">
        <v>43384</v>
      </c>
      <c r="B939" s="107">
        <v>249.15</v>
      </c>
      <c r="C939" s="107">
        <v>238.75</v>
      </c>
      <c r="D939" s="107">
        <v>231.05</v>
      </c>
      <c r="E939" s="107">
        <v>240.1</v>
      </c>
      <c r="F939" s="107">
        <v>238.75</v>
      </c>
      <c r="G939">
        <v>140821</v>
      </c>
      <c r="H939" s="107"/>
      <c r="I939" s="107"/>
      <c r="L939" s="149">
        <v>43384</v>
      </c>
      <c r="M939" s="107">
        <v>238.8</v>
      </c>
      <c r="N939" s="107">
        <v>249.3</v>
      </c>
      <c r="O939" s="107">
        <v>231.4</v>
      </c>
      <c r="P939" s="107">
        <v>240</v>
      </c>
      <c r="Q939" s="107">
        <v>238.8</v>
      </c>
      <c r="R939">
        <v>1580911</v>
      </c>
    </row>
    <row r="940" spans="1:18" x14ac:dyDescent="0.25">
      <c r="A940" s="149">
        <v>43385</v>
      </c>
      <c r="B940" s="107">
        <v>259.35000000000002</v>
      </c>
      <c r="C940" s="107">
        <v>244.95</v>
      </c>
      <c r="D940" s="107">
        <v>238.8</v>
      </c>
      <c r="E940" s="107">
        <v>242.5</v>
      </c>
      <c r="F940" s="107">
        <v>244.95</v>
      </c>
      <c r="G940">
        <v>265389</v>
      </c>
      <c r="H940" s="107"/>
      <c r="I940" s="107"/>
      <c r="L940" s="149">
        <v>43385</v>
      </c>
      <c r="M940" s="107">
        <v>245.15</v>
      </c>
      <c r="N940" s="107">
        <v>259</v>
      </c>
      <c r="O940" s="107">
        <v>240</v>
      </c>
      <c r="P940" s="107">
        <v>241.9</v>
      </c>
      <c r="Q940" s="107">
        <v>245.15</v>
      </c>
      <c r="R940">
        <v>2803952</v>
      </c>
    </row>
    <row r="941" spans="1:18" x14ac:dyDescent="0.25">
      <c r="A941" s="149">
        <v>43388</v>
      </c>
      <c r="B941" s="107">
        <v>247.8</v>
      </c>
      <c r="C941" s="107">
        <v>245.6</v>
      </c>
      <c r="D941" s="107">
        <v>240.85</v>
      </c>
      <c r="E941" s="107">
        <v>245</v>
      </c>
      <c r="F941" s="107">
        <v>245.6</v>
      </c>
      <c r="G941">
        <v>50375</v>
      </c>
      <c r="H941" s="107"/>
      <c r="I941" s="107"/>
      <c r="L941" s="149">
        <v>43388</v>
      </c>
      <c r="M941" s="107">
        <v>245.95</v>
      </c>
      <c r="N941" s="107">
        <v>248</v>
      </c>
      <c r="O941" s="107">
        <v>240.3</v>
      </c>
      <c r="P941" s="107">
        <v>245</v>
      </c>
      <c r="Q941" s="107">
        <v>245.95</v>
      </c>
      <c r="R941">
        <v>807029</v>
      </c>
    </row>
    <row r="942" spans="1:18" x14ac:dyDescent="0.25">
      <c r="A942" s="149">
        <v>43389</v>
      </c>
      <c r="B942" s="107">
        <v>251.8</v>
      </c>
      <c r="C942" s="107">
        <v>242.3</v>
      </c>
      <c r="D942" s="107">
        <v>239.45</v>
      </c>
      <c r="E942" s="107">
        <v>247</v>
      </c>
      <c r="F942" s="107">
        <v>242.3</v>
      </c>
      <c r="G942">
        <v>96135</v>
      </c>
      <c r="H942" s="107"/>
      <c r="I942" s="107"/>
      <c r="L942" s="149">
        <v>43389</v>
      </c>
      <c r="M942" s="107">
        <v>241.7</v>
      </c>
      <c r="N942" s="107">
        <v>251.9</v>
      </c>
      <c r="O942" s="107">
        <v>238.6</v>
      </c>
      <c r="P942" s="107">
        <v>247.95</v>
      </c>
      <c r="Q942" s="107">
        <v>241.7</v>
      </c>
      <c r="R942">
        <v>1519162</v>
      </c>
    </row>
    <row r="943" spans="1:18" x14ac:dyDescent="0.25">
      <c r="A943" s="149">
        <v>43390</v>
      </c>
      <c r="B943" s="107">
        <v>247</v>
      </c>
      <c r="C943" s="107">
        <v>231.25</v>
      </c>
      <c r="D943" s="107">
        <v>228.5</v>
      </c>
      <c r="E943" s="107">
        <v>245</v>
      </c>
      <c r="F943" s="107">
        <v>231.25</v>
      </c>
      <c r="G943">
        <v>160507</v>
      </c>
      <c r="H943" s="107"/>
      <c r="I943" s="107"/>
      <c r="L943" s="149">
        <v>43390</v>
      </c>
      <c r="M943" s="107">
        <v>231.8</v>
      </c>
      <c r="N943" s="107">
        <v>246.95</v>
      </c>
      <c r="O943" s="107">
        <v>228.1</v>
      </c>
      <c r="P943" s="107">
        <v>243.9</v>
      </c>
      <c r="Q943" s="107">
        <v>231.8</v>
      </c>
      <c r="R943">
        <v>2200201</v>
      </c>
    </row>
    <row r="944" spans="1:18" x14ac:dyDescent="0.25">
      <c r="A944" s="149">
        <v>43392</v>
      </c>
      <c r="B944" s="107">
        <v>238.5</v>
      </c>
      <c r="C944" s="107">
        <v>231.25</v>
      </c>
      <c r="D944" s="107">
        <v>226.75</v>
      </c>
      <c r="E944" s="107">
        <v>231</v>
      </c>
      <c r="F944" s="107">
        <v>231.25</v>
      </c>
      <c r="G944">
        <v>169895</v>
      </c>
      <c r="H944" s="107"/>
      <c r="I944" s="107"/>
      <c r="L944" s="149">
        <v>43392</v>
      </c>
      <c r="M944" s="107">
        <v>230.65</v>
      </c>
      <c r="N944" s="107">
        <v>239.15</v>
      </c>
      <c r="O944" s="107">
        <v>226.55</v>
      </c>
      <c r="P944" s="107">
        <v>231.9</v>
      </c>
      <c r="Q944" s="107">
        <v>230.65</v>
      </c>
      <c r="R944">
        <v>1698583</v>
      </c>
    </row>
    <row r="945" spans="1:18" x14ac:dyDescent="0.25">
      <c r="A945" s="149">
        <v>43395</v>
      </c>
      <c r="B945" s="107">
        <v>233.15</v>
      </c>
      <c r="C945" s="107">
        <v>224.95</v>
      </c>
      <c r="D945" s="107">
        <v>222.3</v>
      </c>
      <c r="E945" s="107">
        <v>233</v>
      </c>
      <c r="F945" s="107">
        <v>224.95</v>
      </c>
      <c r="G945">
        <v>169764</v>
      </c>
      <c r="H945" s="107"/>
      <c r="I945" s="107"/>
      <c r="L945" s="149">
        <v>43395</v>
      </c>
      <c r="M945" s="107">
        <v>225.7</v>
      </c>
      <c r="N945" s="107">
        <v>233.75</v>
      </c>
      <c r="O945" s="107">
        <v>223</v>
      </c>
      <c r="P945" s="107">
        <v>232</v>
      </c>
      <c r="Q945" s="107">
        <v>225.7</v>
      </c>
      <c r="R945">
        <v>1576606</v>
      </c>
    </row>
    <row r="946" spans="1:18" x14ac:dyDescent="0.25">
      <c r="A946" s="149">
        <v>43396</v>
      </c>
      <c r="B946" s="107">
        <v>241.15</v>
      </c>
      <c r="C946" s="107">
        <v>221.6</v>
      </c>
      <c r="D946" s="107">
        <v>217</v>
      </c>
      <c r="E946" s="107">
        <v>220</v>
      </c>
      <c r="F946" s="107">
        <v>221.6</v>
      </c>
      <c r="G946">
        <v>940301</v>
      </c>
      <c r="H946" s="107"/>
      <c r="I946" s="107"/>
      <c r="L946" s="149">
        <v>43396</v>
      </c>
      <c r="M946" s="107">
        <v>222.25</v>
      </c>
      <c r="N946" s="107">
        <v>241.5</v>
      </c>
      <c r="O946" s="107">
        <v>216.5</v>
      </c>
      <c r="P946" s="107">
        <v>221.1</v>
      </c>
      <c r="Q946" s="107">
        <v>222.25</v>
      </c>
      <c r="R946">
        <v>4207402</v>
      </c>
    </row>
    <row r="947" spans="1:18" x14ac:dyDescent="0.25">
      <c r="A947" s="149">
        <v>43397</v>
      </c>
      <c r="B947" s="107">
        <v>253.5</v>
      </c>
      <c r="C947" s="107">
        <v>250.2</v>
      </c>
      <c r="D947" s="107">
        <v>225.4</v>
      </c>
      <c r="E947" s="107">
        <v>229</v>
      </c>
      <c r="F947" s="107">
        <v>250.2</v>
      </c>
      <c r="G947">
        <v>428286</v>
      </c>
      <c r="H947" s="107"/>
      <c r="I947" s="107"/>
      <c r="L947" s="149">
        <v>43397</v>
      </c>
      <c r="M947" s="107">
        <v>249.8</v>
      </c>
      <c r="N947" s="107">
        <v>253.3</v>
      </c>
      <c r="O947" s="107">
        <v>226.7</v>
      </c>
      <c r="P947" s="107">
        <v>226.7</v>
      </c>
      <c r="Q947" s="107">
        <v>249.8</v>
      </c>
      <c r="R947">
        <v>5508544</v>
      </c>
    </row>
    <row r="948" spans="1:18" x14ac:dyDescent="0.25">
      <c r="A948" s="149">
        <v>43398</v>
      </c>
      <c r="B948" s="107">
        <v>263</v>
      </c>
      <c r="C948" s="107">
        <v>257</v>
      </c>
      <c r="D948" s="107">
        <v>240</v>
      </c>
      <c r="E948" s="107">
        <v>240</v>
      </c>
      <c r="F948" s="107">
        <v>257</v>
      </c>
      <c r="G948">
        <v>404178</v>
      </c>
      <c r="H948" s="107"/>
      <c r="I948" s="107"/>
      <c r="L948" s="149">
        <v>43398</v>
      </c>
      <c r="M948" s="107">
        <v>256.95</v>
      </c>
      <c r="N948" s="107">
        <v>259.39999999999998</v>
      </c>
      <c r="O948" s="107">
        <v>241.4</v>
      </c>
      <c r="P948" s="107">
        <v>243.6</v>
      </c>
      <c r="Q948" s="107">
        <v>256.95</v>
      </c>
      <c r="R948">
        <v>3997399</v>
      </c>
    </row>
    <row r="949" spans="1:18" x14ac:dyDescent="0.25">
      <c r="A949" s="149">
        <v>43399</v>
      </c>
      <c r="B949" s="107">
        <v>263</v>
      </c>
      <c r="C949" s="107">
        <v>255.4</v>
      </c>
      <c r="D949" s="107">
        <v>246.35</v>
      </c>
      <c r="E949" s="107">
        <v>262</v>
      </c>
      <c r="F949" s="107">
        <v>255.4</v>
      </c>
      <c r="G949">
        <v>172003</v>
      </c>
      <c r="H949" s="107"/>
      <c r="I949" s="107"/>
      <c r="L949" s="149">
        <v>43399</v>
      </c>
      <c r="M949" s="107">
        <v>255.2</v>
      </c>
      <c r="N949" s="107">
        <v>263.2</v>
      </c>
      <c r="O949" s="107">
        <v>246</v>
      </c>
      <c r="P949" s="107">
        <v>255.3</v>
      </c>
      <c r="Q949" s="107">
        <v>255.2</v>
      </c>
      <c r="R949">
        <v>2228229</v>
      </c>
    </row>
    <row r="950" spans="1:18" x14ac:dyDescent="0.25">
      <c r="A950" s="149">
        <v>43402</v>
      </c>
      <c r="B950" s="107">
        <v>272.5</v>
      </c>
      <c r="C950" s="107">
        <v>268.10000000000002</v>
      </c>
      <c r="D950" s="107">
        <v>248.3</v>
      </c>
      <c r="E950" s="107">
        <v>255.45</v>
      </c>
      <c r="F950" s="107">
        <v>268.10000000000002</v>
      </c>
      <c r="G950">
        <v>142925</v>
      </c>
      <c r="H950" s="107"/>
      <c r="I950" s="107"/>
      <c r="L950" s="149">
        <v>43402</v>
      </c>
      <c r="M950" s="107">
        <v>267.60000000000002</v>
      </c>
      <c r="N950" s="107">
        <v>272.64999999999998</v>
      </c>
      <c r="O950" s="107">
        <v>247.8</v>
      </c>
      <c r="P950" s="107">
        <v>254.95</v>
      </c>
      <c r="Q950" s="107">
        <v>267.60000000000002</v>
      </c>
      <c r="R950">
        <v>2021125</v>
      </c>
    </row>
    <row r="951" spans="1:18" x14ac:dyDescent="0.25">
      <c r="A951" s="149">
        <v>43403</v>
      </c>
      <c r="B951" s="107">
        <v>274.5</v>
      </c>
      <c r="C951" s="107">
        <v>265.2</v>
      </c>
      <c r="D951" s="107">
        <v>263.2</v>
      </c>
      <c r="E951" s="107">
        <v>269.8</v>
      </c>
      <c r="F951" s="107">
        <v>265.2</v>
      </c>
      <c r="G951">
        <v>89714</v>
      </c>
      <c r="H951" s="107"/>
      <c r="I951" s="107"/>
      <c r="L951" s="149">
        <v>43403</v>
      </c>
      <c r="M951" s="107">
        <v>265.05</v>
      </c>
      <c r="N951" s="107">
        <v>274</v>
      </c>
      <c r="O951" s="107">
        <v>263.10000000000002</v>
      </c>
      <c r="P951" s="107">
        <v>264.8</v>
      </c>
      <c r="Q951" s="107">
        <v>265.05</v>
      </c>
      <c r="R951">
        <v>1308018</v>
      </c>
    </row>
    <row r="952" spans="1:18" x14ac:dyDescent="0.25">
      <c r="A952" s="149">
        <v>43404</v>
      </c>
      <c r="B952" s="107">
        <v>279.35000000000002</v>
      </c>
      <c r="C952" s="107">
        <v>274.85000000000002</v>
      </c>
      <c r="D952" s="107">
        <v>245.15</v>
      </c>
      <c r="E952" s="107">
        <v>269.89999999999998</v>
      </c>
      <c r="F952" s="107">
        <v>274.85000000000002</v>
      </c>
      <c r="G952">
        <v>217773</v>
      </c>
      <c r="H952" s="107"/>
      <c r="I952" s="107"/>
      <c r="L952" s="149">
        <v>43404</v>
      </c>
      <c r="M952" s="107">
        <v>275.8</v>
      </c>
      <c r="N952" s="107">
        <v>279.8</v>
      </c>
      <c r="O952" s="107">
        <v>246.05</v>
      </c>
      <c r="P952" s="107">
        <v>265</v>
      </c>
      <c r="Q952" s="107">
        <v>275.8</v>
      </c>
      <c r="R952">
        <v>3102508</v>
      </c>
    </row>
    <row r="953" spans="1:18" x14ac:dyDescent="0.25">
      <c r="A953" s="149">
        <v>43405</v>
      </c>
      <c r="B953" s="107">
        <v>282.14999999999998</v>
      </c>
      <c r="C953" s="107">
        <v>275.64999999999998</v>
      </c>
      <c r="D953" s="107">
        <v>273.5</v>
      </c>
      <c r="E953" s="107">
        <v>275.5</v>
      </c>
      <c r="F953" s="107">
        <v>275.64999999999998</v>
      </c>
      <c r="G953">
        <v>90314</v>
      </c>
      <c r="H953" s="107"/>
      <c r="I953" s="107"/>
      <c r="L953" s="149">
        <v>43405</v>
      </c>
      <c r="M953" s="107">
        <v>275.95</v>
      </c>
      <c r="N953" s="107">
        <v>282.5</v>
      </c>
      <c r="O953" s="107">
        <v>274.25</v>
      </c>
      <c r="P953" s="107">
        <v>277</v>
      </c>
      <c r="Q953" s="107">
        <v>275.95</v>
      </c>
      <c r="R953">
        <v>1291590</v>
      </c>
    </row>
    <row r="954" spans="1:18" x14ac:dyDescent="0.25">
      <c r="A954" s="149">
        <v>43406</v>
      </c>
      <c r="B954" s="107">
        <v>285.3</v>
      </c>
      <c r="C954" s="107">
        <v>274.5</v>
      </c>
      <c r="D954" s="107">
        <v>273</v>
      </c>
      <c r="E954" s="107">
        <v>283.7</v>
      </c>
      <c r="F954" s="107">
        <v>274.5</v>
      </c>
      <c r="G954">
        <v>133395</v>
      </c>
      <c r="H954" s="107"/>
      <c r="I954" s="107"/>
      <c r="L954" s="149">
        <v>43406</v>
      </c>
      <c r="M954" s="107">
        <v>274.64999999999998</v>
      </c>
      <c r="N954" s="107">
        <v>285</v>
      </c>
      <c r="O954" s="107">
        <v>272.55</v>
      </c>
      <c r="P954" s="107">
        <v>279</v>
      </c>
      <c r="Q954" s="107">
        <v>274.64999999999998</v>
      </c>
      <c r="R954">
        <v>1551343</v>
      </c>
    </row>
    <row r="955" spans="1:18" x14ac:dyDescent="0.25">
      <c r="A955" s="149">
        <v>43409</v>
      </c>
      <c r="B955" s="107">
        <v>280.60000000000002</v>
      </c>
      <c r="C955" s="107">
        <v>273.60000000000002</v>
      </c>
      <c r="D955" s="107">
        <v>264</v>
      </c>
      <c r="E955" s="107">
        <v>273.7</v>
      </c>
      <c r="F955" s="107">
        <v>273.60000000000002</v>
      </c>
      <c r="G955">
        <v>91796</v>
      </c>
      <c r="H955" s="107"/>
      <c r="I955" s="107"/>
      <c r="L955" s="149">
        <v>43409</v>
      </c>
      <c r="M955" s="107">
        <v>273.85000000000002</v>
      </c>
      <c r="N955" s="107">
        <v>280.8</v>
      </c>
      <c r="O955" s="107">
        <v>264</v>
      </c>
      <c r="P955" s="107">
        <v>277.55</v>
      </c>
      <c r="Q955" s="107">
        <v>273.85000000000002</v>
      </c>
      <c r="R955">
        <v>1293130</v>
      </c>
    </row>
    <row r="956" spans="1:18" x14ac:dyDescent="0.25">
      <c r="A956" s="149">
        <v>43410</v>
      </c>
      <c r="B956" s="107">
        <v>288.89999999999998</v>
      </c>
      <c r="C956" s="107">
        <v>277.2</v>
      </c>
      <c r="D956" s="107">
        <v>274.75</v>
      </c>
      <c r="E956" s="107">
        <v>275.10000000000002</v>
      </c>
      <c r="F956" s="107">
        <v>277.2</v>
      </c>
      <c r="G956">
        <v>142521</v>
      </c>
      <c r="H956" s="107"/>
      <c r="I956" s="107"/>
      <c r="L956" s="149">
        <v>43410</v>
      </c>
      <c r="M956" s="107">
        <v>277</v>
      </c>
      <c r="N956" s="107">
        <v>288.75</v>
      </c>
      <c r="O956" s="107">
        <v>274.75</v>
      </c>
      <c r="P956" s="107">
        <v>275</v>
      </c>
      <c r="Q956" s="107">
        <v>277</v>
      </c>
      <c r="R956">
        <v>1521755</v>
      </c>
    </row>
    <row r="957" spans="1:18" x14ac:dyDescent="0.25">
      <c r="A957" s="149">
        <v>43411</v>
      </c>
      <c r="B957" s="107">
        <v>282.39999999999998</v>
      </c>
      <c r="C957" s="107">
        <v>280.2</v>
      </c>
      <c r="D957" s="107">
        <v>277.60000000000002</v>
      </c>
      <c r="E957" s="107">
        <v>279.3</v>
      </c>
      <c r="F957" s="107">
        <v>280.2</v>
      </c>
      <c r="G957">
        <v>7245</v>
      </c>
      <c r="H957" s="107"/>
      <c r="I957" s="107"/>
      <c r="L957" s="149">
        <v>43411</v>
      </c>
      <c r="M957" s="107">
        <v>280.2</v>
      </c>
      <c r="N957" s="107">
        <v>282.3</v>
      </c>
      <c r="O957" s="107">
        <v>276.7</v>
      </c>
      <c r="P957" s="107">
        <v>276.7</v>
      </c>
      <c r="Q957" s="107">
        <v>280.2</v>
      </c>
      <c r="R957">
        <v>163908</v>
      </c>
    </row>
    <row r="958" spans="1:18" x14ac:dyDescent="0.25">
      <c r="A958" s="149">
        <v>43413</v>
      </c>
      <c r="B958" s="107">
        <v>286</v>
      </c>
      <c r="C958" s="107">
        <v>281.7</v>
      </c>
      <c r="D958" s="107">
        <v>271.89999999999998</v>
      </c>
      <c r="E958" s="107">
        <v>271.89999999999998</v>
      </c>
      <c r="F958" s="107">
        <v>281.7</v>
      </c>
      <c r="G958">
        <v>43696</v>
      </c>
      <c r="H958" s="107"/>
      <c r="I958" s="107"/>
      <c r="L958" s="149">
        <v>43413</v>
      </c>
      <c r="M958" s="107">
        <v>281.3</v>
      </c>
      <c r="N958" s="107">
        <v>285.75</v>
      </c>
      <c r="O958" s="107">
        <v>276</v>
      </c>
      <c r="P958" s="107">
        <v>280.10000000000002</v>
      </c>
      <c r="Q958" s="107">
        <v>281.3</v>
      </c>
      <c r="R958">
        <v>711075</v>
      </c>
    </row>
    <row r="959" spans="1:18" x14ac:dyDescent="0.25">
      <c r="A959" s="149">
        <v>43416</v>
      </c>
      <c r="B959" s="107">
        <v>283.2</v>
      </c>
      <c r="C959" s="107">
        <v>276.3</v>
      </c>
      <c r="D959" s="107">
        <v>273.14999999999998</v>
      </c>
      <c r="E959" s="107">
        <v>281.7</v>
      </c>
      <c r="F959" s="107">
        <v>276.3</v>
      </c>
      <c r="G959">
        <v>41162</v>
      </c>
      <c r="H959" s="107"/>
      <c r="I959" s="107"/>
      <c r="L959" s="149">
        <v>43416</v>
      </c>
      <c r="M959" s="107">
        <v>275.89999999999998</v>
      </c>
      <c r="N959" s="107">
        <v>283.5</v>
      </c>
      <c r="O959" s="107">
        <v>273</v>
      </c>
      <c r="P959" s="107">
        <v>282</v>
      </c>
      <c r="Q959" s="107">
        <v>275.89999999999998</v>
      </c>
      <c r="R959">
        <v>641248</v>
      </c>
    </row>
    <row r="960" spans="1:18" x14ac:dyDescent="0.25">
      <c r="A960" s="149">
        <v>43417</v>
      </c>
      <c r="B960" s="107">
        <v>283.3</v>
      </c>
      <c r="C960" s="107">
        <v>282.2</v>
      </c>
      <c r="D960" s="107">
        <v>271</v>
      </c>
      <c r="E960" s="107">
        <v>273.25</v>
      </c>
      <c r="F960" s="107">
        <v>282.2</v>
      </c>
      <c r="G960">
        <v>56594</v>
      </c>
      <c r="H960" s="107"/>
      <c r="I960" s="107"/>
      <c r="L960" s="149">
        <v>43417</v>
      </c>
      <c r="M960" s="107">
        <v>282.2</v>
      </c>
      <c r="N960" s="107">
        <v>283.45</v>
      </c>
      <c r="O960" s="107">
        <v>270.55</v>
      </c>
      <c r="P960" s="107">
        <v>276.95</v>
      </c>
      <c r="Q960" s="107">
        <v>282.2</v>
      </c>
      <c r="R960">
        <v>708468</v>
      </c>
    </row>
    <row r="961" spans="1:18" x14ac:dyDescent="0.25">
      <c r="A961" s="149">
        <v>43418</v>
      </c>
      <c r="B961" s="107">
        <v>283.7</v>
      </c>
      <c r="C961" s="107">
        <v>277.7</v>
      </c>
      <c r="D961" s="107">
        <v>276.05</v>
      </c>
      <c r="E961" s="107">
        <v>282.25</v>
      </c>
      <c r="F961" s="107">
        <v>277.7</v>
      </c>
      <c r="G961">
        <v>38930</v>
      </c>
      <c r="H961" s="107"/>
      <c r="I961" s="107"/>
      <c r="L961" s="149">
        <v>43418</v>
      </c>
      <c r="M961" s="107">
        <v>278.3</v>
      </c>
      <c r="N961" s="107">
        <v>284.5</v>
      </c>
      <c r="O961" s="107">
        <v>276.05</v>
      </c>
      <c r="P961" s="107">
        <v>284</v>
      </c>
      <c r="Q961" s="107">
        <v>278.3</v>
      </c>
      <c r="R961">
        <v>416738</v>
      </c>
    </row>
    <row r="962" spans="1:18" x14ac:dyDescent="0.25">
      <c r="A962" s="149">
        <v>43419</v>
      </c>
      <c r="B962" s="107">
        <v>285.5</v>
      </c>
      <c r="C962" s="107">
        <v>277.55</v>
      </c>
      <c r="D962" s="107">
        <v>268.7</v>
      </c>
      <c r="E962" s="107">
        <v>277.8</v>
      </c>
      <c r="F962" s="107">
        <v>277.55</v>
      </c>
      <c r="G962">
        <v>83057</v>
      </c>
      <c r="H962" s="107"/>
      <c r="I962" s="107"/>
      <c r="L962" s="149">
        <v>43419</v>
      </c>
      <c r="M962" s="107">
        <v>277.7</v>
      </c>
      <c r="N962" s="107">
        <v>285.75</v>
      </c>
      <c r="O962" s="107">
        <v>268.5</v>
      </c>
      <c r="P962" s="107">
        <v>278</v>
      </c>
      <c r="Q962" s="107">
        <v>277.7</v>
      </c>
      <c r="R962">
        <v>1321100</v>
      </c>
    </row>
    <row r="963" spans="1:18" x14ac:dyDescent="0.25">
      <c r="A963" s="149">
        <v>43420</v>
      </c>
      <c r="B963" s="107">
        <v>281.45</v>
      </c>
      <c r="C963" s="107">
        <v>265.60000000000002</v>
      </c>
      <c r="D963" s="107">
        <v>258.45</v>
      </c>
      <c r="E963" s="107">
        <v>280</v>
      </c>
      <c r="F963" s="107">
        <v>265.60000000000002</v>
      </c>
      <c r="G963">
        <v>75230</v>
      </c>
      <c r="H963" s="107"/>
      <c r="I963" s="107"/>
      <c r="L963" s="149">
        <v>43420</v>
      </c>
      <c r="M963" s="107">
        <v>265.60000000000002</v>
      </c>
      <c r="N963" s="107">
        <v>281.5</v>
      </c>
      <c r="O963" s="107">
        <v>257.85000000000002</v>
      </c>
      <c r="P963" s="107">
        <v>277.7</v>
      </c>
      <c r="Q963" s="107">
        <v>265.60000000000002</v>
      </c>
      <c r="R963">
        <v>1221311</v>
      </c>
    </row>
    <row r="964" spans="1:18" x14ac:dyDescent="0.25">
      <c r="A964" s="149">
        <v>43423</v>
      </c>
      <c r="B964" s="107">
        <v>270.8</v>
      </c>
      <c r="C964" s="107">
        <v>266.60000000000002</v>
      </c>
      <c r="D964" s="107">
        <v>262.55</v>
      </c>
      <c r="E964" s="107">
        <v>268.8</v>
      </c>
      <c r="F964" s="107">
        <v>266.60000000000002</v>
      </c>
      <c r="G964">
        <v>37436</v>
      </c>
      <c r="H964" s="107"/>
      <c r="I964" s="107"/>
      <c r="L964" s="149">
        <v>43423</v>
      </c>
      <c r="M964" s="107">
        <v>266.55</v>
      </c>
      <c r="N964" s="107">
        <v>270.60000000000002</v>
      </c>
      <c r="O964" s="107">
        <v>262.39999999999998</v>
      </c>
      <c r="P964" s="107">
        <v>269.05</v>
      </c>
      <c r="Q964" s="107">
        <v>266.55</v>
      </c>
      <c r="R964">
        <v>564058</v>
      </c>
    </row>
    <row r="965" spans="1:18" x14ac:dyDescent="0.25">
      <c r="A965" s="149">
        <v>43424</v>
      </c>
      <c r="B965" s="107">
        <v>266.95</v>
      </c>
      <c r="C965" s="107">
        <v>256.95</v>
      </c>
      <c r="D965" s="107">
        <v>254.25</v>
      </c>
      <c r="E965" s="107">
        <v>263.14999999999998</v>
      </c>
      <c r="F965" s="107">
        <v>256.95</v>
      </c>
      <c r="G965">
        <v>59924</v>
      </c>
      <c r="H965" s="107"/>
      <c r="I965" s="107"/>
      <c r="L965" s="149">
        <v>43424</v>
      </c>
      <c r="M965" s="107">
        <v>257.64999999999998</v>
      </c>
      <c r="N965" s="107">
        <v>266.8</v>
      </c>
      <c r="O965" s="107">
        <v>254.4</v>
      </c>
      <c r="P965" s="107">
        <v>266</v>
      </c>
      <c r="Q965" s="107">
        <v>257.64999999999998</v>
      </c>
      <c r="R965">
        <v>1032154</v>
      </c>
    </row>
    <row r="966" spans="1:18" x14ac:dyDescent="0.25">
      <c r="A966" s="149">
        <v>43425</v>
      </c>
      <c r="B966" s="107">
        <v>267.8</v>
      </c>
      <c r="C966" s="107">
        <v>263.75</v>
      </c>
      <c r="D966" s="107">
        <v>256.95</v>
      </c>
      <c r="E966" s="107">
        <v>258.75</v>
      </c>
      <c r="F966" s="107">
        <v>263.75</v>
      </c>
      <c r="G966">
        <v>41174</v>
      </c>
      <c r="H966" s="107"/>
      <c r="I966" s="107"/>
      <c r="L966" s="149">
        <v>43425</v>
      </c>
      <c r="M966" s="107">
        <v>264.55</v>
      </c>
      <c r="N966" s="107">
        <v>268.10000000000002</v>
      </c>
      <c r="O966" s="107">
        <v>256.3</v>
      </c>
      <c r="P966" s="107">
        <v>257.05</v>
      </c>
      <c r="Q966" s="107">
        <v>264.55</v>
      </c>
      <c r="R966">
        <v>675117</v>
      </c>
    </row>
    <row r="967" spans="1:18" x14ac:dyDescent="0.25">
      <c r="A967" s="149">
        <v>43426</v>
      </c>
      <c r="B967" s="107">
        <v>267</v>
      </c>
      <c r="C967" s="107">
        <v>260.10000000000002</v>
      </c>
      <c r="D967" s="107">
        <v>258</v>
      </c>
      <c r="E967" s="107">
        <v>265.85000000000002</v>
      </c>
      <c r="F967" s="107">
        <v>260.10000000000002</v>
      </c>
      <c r="G967">
        <v>30196</v>
      </c>
      <c r="H967" s="107"/>
      <c r="I967" s="107"/>
      <c r="L967" s="149">
        <v>43426</v>
      </c>
      <c r="M967" s="107">
        <v>259.64999999999998</v>
      </c>
      <c r="N967" s="107">
        <v>266.89999999999998</v>
      </c>
      <c r="O967" s="107">
        <v>258.05</v>
      </c>
      <c r="P967" s="107">
        <v>266.2</v>
      </c>
      <c r="Q967" s="107">
        <v>259.64999999999998</v>
      </c>
      <c r="R967">
        <v>564021</v>
      </c>
    </row>
    <row r="968" spans="1:18" x14ac:dyDescent="0.25">
      <c r="A968" s="149">
        <v>43430</v>
      </c>
      <c r="B968" s="107">
        <v>261.55</v>
      </c>
      <c r="C968" s="107">
        <v>253.3</v>
      </c>
      <c r="D968" s="107">
        <v>247.65</v>
      </c>
      <c r="E968" s="107">
        <v>260.05</v>
      </c>
      <c r="F968" s="107">
        <v>253.3</v>
      </c>
      <c r="G968">
        <v>42058</v>
      </c>
      <c r="H968" s="107"/>
      <c r="I968" s="107"/>
      <c r="L968" s="149">
        <v>43430</v>
      </c>
      <c r="M968" s="107">
        <v>253.85</v>
      </c>
      <c r="N968" s="107">
        <v>262</v>
      </c>
      <c r="O968" s="107">
        <v>247.45</v>
      </c>
      <c r="P968" s="107">
        <v>261.8</v>
      </c>
      <c r="Q968" s="107">
        <v>253.85</v>
      </c>
      <c r="R968">
        <v>714344</v>
      </c>
    </row>
    <row r="969" spans="1:18" x14ac:dyDescent="0.25">
      <c r="A969" s="149">
        <v>43431</v>
      </c>
      <c r="B969" s="107">
        <v>259.5</v>
      </c>
      <c r="C969" s="107">
        <v>257.45</v>
      </c>
      <c r="D969" s="107">
        <v>250.65</v>
      </c>
      <c r="E969" s="107">
        <v>253</v>
      </c>
      <c r="F969" s="107">
        <v>257.45</v>
      </c>
      <c r="G969">
        <v>46968</v>
      </c>
      <c r="H969" s="107"/>
      <c r="I969" s="107"/>
      <c r="L969" s="149">
        <v>43431</v>
      </c>
      <c r="M969" s="107">
        <v>257.64999999999998</v>
      </c>
      <c r="N969" s="107">
        <v>259.25</v>
      </c>
      <c r="O969" s="107">
        <v>250.65</v>
      </c>
      <c r="P969" s="107">
        <v>253.85</v>
      </c>
      <c r="Q969" s="107">
        <v>257.64999999999998</v>
      </c>
      <c r="R969">
        <v>643563</v>
      </c>
    </row>
    <row r="970" spans="1:18" x14ac:dyDescent="0.25">
      <c r="A970" s="149">
        <v>43432</v>
      </c>
      <c r="B970" s="107">
        <v>265.8</v>
      </c>
      <c r="C970" s="107">
        <v>257</v>
      </c>
      <c r="D970" s="107">
        <v>254.05</v>
      </c>
      <c r="E970" s="107">
        <v>257.64999999999998</v>
      </c>
      <c r="F970" s="107">
        <v>257</v>
      </c>
      <c r="G970">
        <v>36833</v>
      </c>
      <c r="H970" s="107"/>
      <c r="I970" s="107"/>
      <c r="L970" s="149">
        <v>43432</v>
      </c>
      <c r="M970" s="107">
        <v>257.75</v>
      </c>
      <c r="N970" s="107">
        <v>266.14999999999998</v>
      </c>
      <c r="O970" s="107">
        <v>253.65</v>
      </c>
      <c r="P970" s="107">
        <v>257</v>
      </c>
      <c r="Q970" s="107">
        <v>257.75</v>
      </c>
      <c r="R970">
        <v>687407</v>
      </c>
    </row>
    <row r="971" spans="1:18" x14ac:dyDescent="0.25">
      <c r="A971" s="149">
        <v>43433</v>
      </c>
      <c r="B971" s="107">
        <v>269.75</v>
      </c>
      <c r="C971" s="107">
        <v>267.5</v>
      </c>
      <c r="D971" s="107">
        <v>255.75</v>
      </c>
      <c r="E971" s="107">
        <v>262</v>
      </c>
      <c r="F971" s="107">
        <v>267.5</v>
      </c>
      <c r="G971">
        <v>102228</v>
      </c>
      <c r="H971" s="107"/>
      <c r="I971" s="107"/>
      <c r="L971" s="149">
        <v>43433</v>
      </c>
      <c r="M971" s="107">
        <v>267.45</v>
      </c>
      <c r="N971" s="107">
        <v>269.8</v>
      </c>
      <c r="O971" s="107">
        <v>255.3</v>
      </c>
      <c r="P971" s="107">
        <v>259.35000000000002</v>
      </c>
      <c r="Q971" s="107">
        <v>267.45</v>
      </c>
      <c r="R971">
        <v>927302</v>
      </c>
    </row>
    <row r="972" spans="1:18" x14ac:dyDescent="0.25">
      <c r="A972" s="149">
        <v>43434</v>
      </c>
      <c r="B972" s="107">
        <v>279.89999999999998</v>
      </c>
      <c r="C972" s="107">
        <v>269.7</v>
      </c>
      <c r="D972" s="107">
        <v>265.64999999999998</v>
      </c>
      <c r="E972" s="107">
        <v>270.85000000000002</v>
      </c>
      <c r="F972" s="107">
        <v>269.7</v>
      </c>
      <c r="G972">
        <v>130098</v>
      </c>
      <c r="H972" s="107"/>
      <c r="I972" s="107"/>
      <c r="L972" s="149">
        <v>43434</v>
      </c>
      <c r="M972" s="107">
        <v>269.85000000000002</v>
      </c>
      <c r="N972" s="107">
        <v>279.7</v>
      </c>
      <c r="O972" s="107">
        <v>265.8</v>
      </c>
      <c r="P972" s="107">
        <v>270</v>
      </c>
      <c r="Q972" s="107">
        <v>269.85000000000002</v>
      </c>
      <c r="R972">
        <v>1538831</v>
      </c>
    </row>
    <row r="973" spans="1:18" x14ac:dyDescent="0.25">
      <c r="A973" s="149">
        <v>43437</v>
      </c>
      <c r="B973" s="107">
        <v>273.7</v>
      </c>
      <c r="C973" s="107">
        <v>267.60000000000002</v>
      </c>
      <c r="D973" s="107">
        <v>264.7</v>
      </c>
      <c r="E973" s="107">
        <v>273.7</v>
      </c>
      <c r="F973" s="107">
        <v>267.60000000000002</v>
      </c>
      <c r="G973">
        <v>31920</v>
      </c>
      <c r="H973" s="107"/>
      <c r="I973" s="107"/>
      <c r="L973" s="149">
        <v>43437</v>
      </c>
      <c r="M973" s="107">
        <v>267.55</v>
      </c>
      <c r="N973" s="107">
        <v>272.8</v>
      </c>
      <c r="O973" s="107">
        <v>264.39999999999998</v>
      </c>
      <c r="P973" s="107">
        <v>270.10000000000002</v>
      </c>
      <c r="Q973" s="107">
        <v>267.55</v>
      </c>
      <c r="R973">
        <v>471044</v>
      </c>
    </row>
    <row r="974" spans="1:18" x14ac:dyDescent="0.25">
      <c r="A974" s="149">
        <v>43438</v>
      </c>
      <c r="B974" s="107">
        <v>269.45</v>
      </c>
      <c r="C974" s="107">
        <v>261.45</v>
      </c>
      <c r="D974" s="107">
        <v>260</v>
      </c>
      <c r="E974" s="107">
        <v>268.25</v>
      </c>
      <c r="F974" s="107">
        <v>261.45</v>
      </c>
      <c r="G974">
        <v>46809</v>
      </c>
      <c r="H974" s="107"/>
      <c r="I974" s="107"/>
      <c r="L974" s="149">
        <v>43438</v>
      </c>
      <c r="M974" s="107">
        <v>261.5</v>
      </c>
      <c r="N974" s="107">
        <v>270</v>
      </c>
      <c r="O974" s="107">
        <v>259.2</v>
      </c>
      <c r="P974" s="107">
        <v>268</v>
      </c>
      <c r="Q974" s="107">
        <v>261.5</v>
      </c>
      <c r="R974">
        <v>667633</v>
      </c>
    </row>
    <row r="975" spans="1:18" x14ac:dyDescent="0.25">
      <c r="A975" s="149">
        <v>43439</v>
      </c>
      <c r="B975" s="107">
        <v>265.3</v>
      </c>
      <c r="C975" s="107">
        <v>248.85</v>
      </c>
      <c r="D975" s="107">
        <v>246.35</v>
      </c>
      <c r="E975" s="107">
        <v>261.55</v>
      </c>
      <c r="F975" s="107">
        <v>248.85</v>
      </c>
      <c r="G975">
        <v>1014050</v>
      </c>
      <c r="H975" s="107"/>
      <c r="I975" s="107"/>
      <c r="L975" s="149">
        <v>43439</v>
      </c>
      <c r="M975" s="107">
        <v>249.6</v>
      </c>
      <c r="N975" s="107">
        <v>265.95</v>
      </c>
      <c r="O975" s="107">
        <v>246.4</v>
      </c>
      <c r="P975" s="107">
        <v>262</v>
      </c>
      <c r="Q975" s="107">
        <v>249.6</v>
      </c>
      <c r="R975">
        <v>1269752</v>
      </c>
    </row>
    <row r="976" spans="1:18" x14ac:dyDescent="0.25">
      <c r="A976" s="149">
        <v>43440</v>
      </c>
      <c r="B976" s="107">
        <v>248.8</v>
      </c>
      <c r="C976" s="107">
        <v>241</v>
      </c>
      <c r="D976" s="107">
        <v>239.35</v>
      </c>
      <c r="E976" s="107">
        <v>248.8</v>
      </c>
      <c r="F976" s="107">
        <v>241</v>
      </c>
      <c r="G976">
        <v>742279</v>
      </c>
      <c r="H976" s="107"/>
      <c r="I976" s="107"/>
      <c r="L976" s="149">
        <v>43440</v>
      </c>
      <c r="M976" s="107">
        <v>240.75</v>
      </c>
      <c r="N976" s="107">
        <v>248.65</v>
      </c>
      <c r="O976" s="107">
        <v>238.6</v>
      </c>
      <c r="P976" s="107">
        <v>247</v>
      </c>
      <c r="Q976" s="107">
        <v>240.75</v>
      </c>
      <c r="R976">
        <v>941560</v>
      </c>
    </row>
    <row r="977" spans="1:18" x14ac:dyDescent="0.25">
      <c r="A977" s="149">
        <v>43441</v>
      </c>
      <c r="B977" s="107">
        <v>245</v>
      </c>
      <c r="C977" s="107">
        <v>239.45</v>
      </c>
      <c r="D977" s="107">
        <v>232.75</v>
      </c>
      <c r="E977" s="107">
        <v>245</v>
      </c>
      <c r="F977" s="107">
        <v>239.45</v>
      </c>
      <c r="G977">
        <v>62655</v>
      </c>
      <c r="H977" s="107"/>
      <c r="I977" s="107"/>
      <c r="L977" s="149">
        <v>43441</v>
      </c>
      <c r="M977" s="107">
        <v>239.7</v>
      </c>
      <c r="N977" s="107">
        <v>245.05</v>
      </c>
      <c r="O977" s="107">
        <v>232.65</v>
      </c>
      <c r="P977" s="107">
        <v>242</v>
      </c>
      <c r="Q977" s="107">
        <v>239.7</v>
      </c>
      <c r="R977">
        <v>724994</v>
      </c>
    </row>
    <row r="978" spans="1:18" x14ac:dyDescent="0.25">
      <c r="A978" s="149">
        <v>43444</v>
      </c>
      <c r="B978" s="107">
        <v>239</v>
      </c>
      <c r="C978" s="107">
        <v>235.05</v>
      </c>
      <c r="D978" s="107">
        <v>231.55</v>
      </c>
      <c r="E978" s="107">
        <v>239</v>
      </c>
      <c r="F978" s="107">
        <v>235.05</v>
      </c>
      <c r="G978">
        <v>36934</v>
      </c>
      <c r="H978" s="107"/>
      <c r="I978" s="107"/>
      <c r="L978" s="149">
        <v>43444</v>
      </c>
      <c r="M978" s="107">
        <v>234.15</v>
      </c>
      <c r="N978" s="107">
        <v>236.5</v>
      </c>
      <c r="O978" s="107">
        <v>231.35</v>
      </c>
      <c r="P978" s="107">
        <v>233</v>
      </c>
      <c r="Q978" s="107">
        <v>234.15</v>
      </c>
      <c r="R978">
        <v>382131</v>
      </c>
    </row>
    <row r="979" spans="1:18" x14ac:dyDescent="0.25">
      <c r="A979" s="149">
        <v>43445</v>
      </c>
      <c r="B979" s="107">
        <v>244.5</v>
      </c>
      <c r="C979" s="107">
        <v>235</v>
      </c>
      <c r="D979" s="107">
        <v>228.6</v>
      </c>
      <c r="E979" s="107">
        <v>231.4</v>
      </c>
      <c r="F979" s="107">
        <v>235</v>
      </c>
      <c r="G979">
        <v>103289</v>
      </c>
      <c r="H979" s="107"/>
      <c r="I979" s="107"/>
      <c r="L979" s="149">
        <v>43445</v>
      </c>
      <c r="M979" s="107">
        <v>235.15</v>
      </c>
      <c r="N979" s="107">
        <v>244.8</v>
      </c>
      <c r="O979" s="107">
        <v>226.4</v>
      </c>
      <c r="P979" s="107">
        <v>226.4</v>
      </c>
      <c r="Q979" s="107">
        <v>235.15</v>
      </c>
      <c r="R979">
        <v>1109419</v>
      </c>
    </row>
    <row r="980" spans="1:18" x14ac:dyDescent="0.25">
      <c r="A980" s="149">
        <v>43446</v>
      </c>
      <c r="B980" s="107">
        <v>255.25</v>
      </c>
      <c r="C980" s="107">
        <v>254.05</v>
      </c>
      <c r="D980" s="107">
        <v>237.1</v>
      </c>
      <c r="E980" s="107">
        <v>238.15</v>
      </c>
      <c r="F980" s="107">
        <v>254.05</v>
      </c>
      <c r="G980">
        <v>221505</v>
      </c>
      <c r="H980" s="107"/>
      <c r="I980" s="107"/>
      <c r="L980" s="149">
        <v>43446</v>
      </c>
      <c r="M980" s="107">
        <v>254.45</v>
      </c>
      <c r="N980" s="107">
        <v>255.9</v>
      </c>
      <c r="O980" s="107">
        <v>236.15</v>
      </c>
      <c r="P980" s="107">
        <v>236.15</v>
      </c>
      <c r="Q980" s="107">
        <v>254.45</v>
      </c>
      <c r="R980">
        <v>2492996</v>
      </c>
    </row>
    <row r="981" spans="1:18" x14ac:dyDescent="0.25">
      <c r="A981" s="149">
        <v>43447</v>
      </c>
      <c r="B981" s="107">
        <v>275</v>
      </c>
      <c r="C981" s="107">
        <v>266.10000000000002</v>
      </c>
      <c r="D981" s="107">
        <v>253</v>
      </c>
      <c r="E981" s="107">
        <v>253</v>
      </c>
      <c r="F981" s="107">
        <v>266.10000000000002</v>
      </c>
      <c r="G981">
        <v>268082</v>
      </c>
      <c r="H981" s="107"/>
      <c r="I981" s="107"/>
      <c r="L981" s="149">
        <v>43447</v>
      </c>
      <c r="M981" s="107">
        <v>266.5</v>
      </c>
      <c r="N981" s="107">
        <v>275</v>
      </c>
      <c r="O981" s="107">
        <v>254.45</v>
      </c>
      <c r="P981" s="107">
        <v>255</v>
      </c>
      <c r="Q981" s="107">
        <v>266.5</v>
      </c>
      <c r="R981">
        <v>3014335</v>
      </c>
    </row>
    <row r="982" spans="1:18" x14ac:dyDescent="0.25">
      <c r="A982" s="149">
        <v>43448</v>
      </c>
      <c r="B982" s="107">
        <v>281.5</v>
      </c>
      <c r="C982" s="107">
        <v>278.35000000000002</v>
      </c>
      <c r="D982" s="107">
        <v>262.7</v>
      </c>
      <c r="E982" s="107">
        <v>264</v>
      </c>
      <c r="F982" s="107">
        <v>278.35000000000002</v>
      </c>
      <c r="G982">
        <v>213531</v>
      </c>
      <c r="H982" s="107"/>
      <c r="I982" s="107"/>
      <c r="L982" s="149">
        <v>43448</v>
      </c>
      <c r="M982" s="107">
        <v>278.60000000000002</v>
      </c>
      <c r="N982" s="107">
        <v>281.95</v>
      </c>
      <c r="O982" s="107">
        <v>260.2</v>
      </c>
      <c r="P982" s="107">
        <v>265.8</v>
      </c>
      <c r="Q982" s="107">
        <v>278.60000000000002</v>
      </c>
      <c r="R982">
        <v>2961622</v>
      </c>
    </row>
    <row r="983" spans="1:18" x14ac:dyDescent="0.25">
      <c r="A983" s="149">
        <v>43451</v>
      </c>
      <c r="B983" s="107">
        <v>282</v>
      </c>
      <c r="C983" s="107">
        <v>275.14999999999998</v>
      </c>
      <c r="D983" s="107">
        <v>273</v>
      </c>
      <c r="E983" s="107">
        <v>278.35000000000002</v>
      </c>
      <c r="F983" s="107">
        <v>275.14999999999998</v>
      </c>
      <c r="G983">
        <v>57843</v>
      </c>
      <c r="H983" s="107"/>
      <c r="I983" s="107"/>
      <c r="L983" s="149">
        <v>43451</v>
      </c>
      <c r="M983" s="107">
        <v>275.60000000000002</v>
      </c>
      <c r="N983" s="107">
        <v>280.14999999999998</v>
      </c>
      <c r="O983" s="107">
        <v>272.8</v>
      </c>
      <c r="P983" s="107">
        <v>276.10000000000002</v>
      </c>
      <c r="Q983" s="107">
        <v>275.60000000000002</v>
      </c>
      <c r="R983">
        <v>685591</v>
      </c>
    </row>
    <row r="984" spans="1:18" x14ac:dyDescent="0.25">
      <c r="A984" s="149">
        <v>43452</v>
      </c>
      <c r="B984" s="107">
        <v>281</v>
      </c>
      <c r="C984" s="107">
        <v>277.95</v>
      </c>
      <c r="D984" s="107">
        <v>271.89999999999998</v>
      </c>
      <c r="E984" s="107">
        <v>274</v>
      </c>
      <c r="F984" s="107">
        <v>277.95</v>
      </c>
      <c r="G984">
        <v>65454</v>
      </c>
      <c r="H984" s="107"/>
      <c r="I984" s="107"/>
      <c r="L984" s="149">
        <v>43452</v>
      </c>
      <c r="M984" s="107">
        <v>278.05</v>
      </c>
      <c r="N984" s="107">
        <v>281</v>
      </c>
      <c r="O984" s="107">
        <v>271.89999999999998</v>
      </c>
      <c r="P984" s="107">
        <v>272</v>
      </c>
      <c r="Q984" s="107">
        <v>278.05</v>
      </c>
      <c r="R984">
        <v>965727</v>
      </c>
    </row>
    <row r="985" spans="1:18" x14ac:dyDescent="0.25">
      <c r="A985" s="149">
        <v>43453</v>
      </c>
      <c r="B985" s="107">
        <v>290</v>
      </c>
      <c r="C985" s="107">
        <v>285.89999999999998</v>
      </c>
      <c r="D985" s="107">
        <v>281</v>
      </c>
      <c r="E985" s="107">
        <v>282.10000000000002</v>
      </c>
      <c r="F985" s="107">
        <v>285.89999999999998</v>
      </c>
      <c r="G985">
        <v>209430</v>
      </c>
      <c r="H985" s="107"/>
      <c r="I985" s="107"/>
      <c r="L985" s="149">
        <v>43453</v>
      </c>
      <c r="M985" s="107">
        <v>286.64999999999998</v>
      </c>
      <c r="N985" s="107">
        <v>289</v>
      </c>
      <c r="O985" s="107">
        <v>280.45</v>
      </c>
      <c r="P985" s="107">
        <v>280.55</v>
      </c>
      <c r="Q985" s="107">
        <v>286.64999999999998</v>
      </c>
      <c r="R985">
        <v>2678955</v>
      </c>
    </row>
    <row r="986" spans="1:18" x14ac:dyDescent="0.25">
      <c r="A986" s="149">
        <v>43454</v>
      </c>
      <c r="B986" s="107">
        <v>293.3</v>
      </c>
      <c r="C986" s="107">
        <v>288.75</v>
      </c>
      <c r="D986" s="107">
        <v>283.45</v>
      </c>
      <c r="E986" s="107">
        <v>285</v>
      </c>
      <c r="F986" s="107">
        <v>288.75</v>
      </c>
      <c r="G986">
        <v>160409</v>
      </c>
      <c r="H986" s="107"/>
      <c r="I986" s="107"/>
      <c r="L986" s="149">
        <v>43454</v>
      </c>
      <c r="M986" s="107">
        <v>289.39999999999998</v>
      </c>
      <c r="N986" s="107">
        <v>293.25</v>
      </c>
      <c r="O986" s="107">
        <v>283</v>
      </c>
      <c r="P986" s="107">
        <v>284.2</v>
      </c>
      <c r="Q986" s="107">
        <v>289.39999999999998</v>
      </c>
      <c r="R986">
        <v>1973626</v>
      </c>
    </row>
    <row r="987" spans="1:18" x14ac:dyDescent="0.25">
      <c r="A987" s="149">
        <v>43455</v>
      </c>
      <c r="B987" s="107">
        <v>296</v>
      </c>
      <c r="C987" s="107">
        <v>278.85000000000002</v>
      </c>
      <c r="D987" s="107">
        <v>276.5</v>
      </c>
      <c r="E987" s="107">
        <v>291.7</v>
      </c>
      <c r="F987" s="107">
        <v>278.85000000000002</v>
      </c>
      <c r="G987">
        <v>118728</v>
      </c>
      <c r="H987" s="107"/>
      <c r="I987" s="107"/>
      <c r="L987" s="149">
        <v>43455</v>
      </c>
      <c r="M987" s="107">
        <v>278.14999999999998</v>
      </c>
      <c r="N987" s="107">
        <v>297</v>
      </c>
      <c r="O987" s="107">
        <v>276</v>
      </c>
      <c r="P987" s="107">
        <v>290.05</v>
      </c>
      <c r="Q987" s="107">
        <v>278.14999999999998</v>
      </c>
      <c r="R987">
        <v>2472656</v>
      </c>
    </row>
    <row r="988" spans="1:18" x14ac:dyDescent="0.25">
      <c r="A988" s="149">
        <v>43458</v>
      </c>
      <c r="B988" s="107">
        <v>284.45</v>
      </c>
      <c r="C988" s="107">
        <v>276.7</v>
      </c>
      <c r="D988" s="107">
        <v>275</v>
      </c>
      <c r="E988" s="107">
        <v>280.14999999999998</v>
      </c>
      <c r="F988" s="107">
        <v>276.7</v>
      </c>
      <c r="G988">
        <v>70169</v>
      </c>
      <c r="H988" s="107"/>
      <c r="I988" s="107"/>
      <c r="L988" s="149">
        <v>43458</v>
      </c>
      <c r="M988" s="107">
        <v>276.39999999999998</v>
      </c>
      <c r="N988" s="107">
        <v>284.75</v>
      </c>
      <c r="O988" s="107">
        <v>275.14999999999998</v>
      </c>
      <c r="P988" s="107">
        <v>278.75</v>
      </c>
      <c r="Q988" s="107">
        <v>276.39999999999998</v>
      </c>
      <c r="R988">
        <v>1113170</v>
      </c>
    </row>
    <row r="989" spans="1:18" x14ac:dyDescent="0.25">
      <c r="A989" s="149">
        <v>43460</v>
      </c>
      <c r="B989" s="107">
        <v>291.60000000000002</v>
      </c>
      <c r="C989" s="107">
        <v>289.2</v>
      </c>
      <c r="D989" s="107">
        <v>267.8</v>
      </c>
      <c r="E989" s="107">
        <v>276.55</v>
      </c>
      <c r="F989" s="107">
        <v>289.2</v>
      </c>
      <c r="G989">
        <v>161099</v>
      </c>
      <c r="H989" s="107"/>
      <c r="I989" s="107"/>
      <c r="L989" s="149">
        <v>43460</v>
      </c>
      <c r="M989" s="107">
        <v>288.95</v>
      </c>
      <c r="N989" s="107">
        <v>292.5</v>
      </c>
      <c r="O989" s="107">
        <v>268</v>
      </c>
      <c r="P989" s="107">
        <v>276</v>
      </c>
      <c r="Q989" s="107">
        <v>288.95</v>
      </c>
      <c r="R989">
        <v>2140115</v>
      </c>
    </row>
    <row r="990" spans="1:18" x14ac:dyDescent="0.25">
      <c r="A990" s="149">
        <v>43461</v>
      </c>
      <c r="B990" s="107">
        <v>296</v>
      </c>
      <c r="C990" s="107">
        <v>288.45</v>
      </c>
      <c r="D990" s="107">
        <v>281.85000000000002</v>
      </c>
      <c r="E990" s="107">
        <v>296</v>
      </c>
      <c r="F990" s="107">
        <v>288.45</v>
      </c>
      <c r="G990">
        <v>185759</v>
      </c>
      <c r="H990" s="107"/>
      <c r="I990" s="107"/>
      <c r="L990" s="149">
        <v>43461</v>
      </c>
      <c r="M990" s="107">
        <v>288.89999999999998</v>
      </c>
      <c r="N990" s="107">
        <v>294</v>
      </c>
      <c r="O990" s="107">
        <v>281.35000000000002</v>
      </c>
      <c r="P990" s="107">
        <v>294</v>
      </c>
      <c r="Q990" s="107">
        <v>288.89999999999998</v>
      </c>
      <c r="R990">
        <v>2531457</v>
      </c>
    </row>
    <row r="991" spans="1:18" x14ac:dyDescent="0.25">
      <c r="A991" s="149">
        <v>43462</v>
      </c>
      <c r="B991" s="107">
        <v>293.39999999999998</v>
      </c>
      <c r="C991" s="107">
        <v>292.2</v>
      </c>
      <c r="D991" s="107">
        <v>286.45</v>
      </c>
      <c r="E991" s="107">
        <v>289.35000000000002</v>
      </c>
      <c r="F991" s="107">
        <v>292.2</v>
      </c>
      <c r="G991">
        <v>48154</v>
      </c>
      <c r="H991" s="107"/>
      <c r="I991" s="107"/>
      <c r="L991" s="149">
        <v>43462</v>
      </c>
      <c r="M991" s="107">
        <v>292.55</v>
      </c>
      <c r="N991" s="107">
        <v>293.7</v>
      </c>
      <c r="O991" s="107">
        <v>286.25</v>
      </c>
      <c r="P991" s="107">
        <v>290</v>
      </c>
      <c r="Q991" s="107">
        <v>292.55</v>
      </c>
      <c r="R991">
        <v>1032473</v>
      </c>
    </row>
    <row r="992" spans="1:18" x14ac:dyDescent="0.25">
      <c r="A992" s="149">
        <v>43465</v>
      </c>
      <c r="B992" s="107">
        <v>295.75</v>
      </c>
      <c r="C992" s="107">
        <v>288.55</v>
      </c>
      <c r="D992" s="107">
        <v>286.10000000000002</v>
      </c>
      <c r="E992" s="107">
        <v>294</v>
      </c>
      <c r="F992" s="107">
        <v>288.55</v>
      </c>
      <c r="G992">
        <v>110121</v>
      </c>
      <c r="H992" s="107"/>
      <c r="I992" s="107"/>
      <c r="L992" s="149">
        <v>43465</v>
      </c>
      <c r="M992" s="107">
        <v>288.89999999999998</v>
      </c>
      <c r="N992" s="107">
        <v>297.39999999999998</v>
      </c>
      <c r="O992" s="107">
        <v>286</v>
      </c>
      <c r="P992" s="107">
        <v>294.10000000000002</v>
      </c>
      <c r="Q992" s="107">
        <v>288.89999999999998</v>
      </c>
      <c r="R992">
        <v>2055035</v>
      </c>
    </row>
    <row r="993" spans="1:18" x14ac:dyDescent="0.25">
      <c r="A993" s="149">
        <v>43466</v>
      </c>
      <c r="B993" s="107">
        <v>289.39999999999998</v>
      </c>
      <c r="C993" s="107">
        <v>286.55</v>
      </c>
      <c r="D993" s="107">
        <v>283.60000000000002</v>
      </c>
      <c r="E993" s="107">
        <v>288.55</v>
      </c>
      <c r="F993" s="107">
        <v>286.55</v>
      </c>
      <c r="G993">
        <v>47154</v>
      </c>
      <c r="H993" s="107"/>
      <c r="I993" s="107"/>
      <c r="L993" s="149">
        <v>43466</v>
      </c>
      <c r="M993" s="107">
        <v>286.8</v>
      </c>
      <c r="N993" s="107">
        <v>289.75</v>
      </c>
      <c r="O993" s="107">
        <v>283.35000000000002</v>
      </c>
      <c r="P993" s="107">
        <v>285.55</v>
      </c>
      <c r="Q993" s="107">
        <v>286.8</v>
      </c>
      <c r="R993">
        <v>797818</v>
      </c>
    </row>
    <row r="994" spans="1:18" x14ac:dyDescent="0.25">
      <c r="A994" s="149">
        <v>43467</v>
      </c>
      <c r="B994" s="107">
        <v>290.05</v>
      </c>
      <c r="C994" s="107">
        <v>280.89999999999998</v>
      </c>
      <c r="D994" s="107">
        <v>278.14999999999998</v>
      </c>
      <c r="E994" s="107">
        <v>284.89999999999998</v>
      </c>
      <c r="F994" s="107">
        <v>280.89999999999998</v>
      </c>
      <c r="G994">
        <v>74141</v>
      </c>
      <c r="H994" s="107"/>
      <c r="I994" s="107"/>
      <c r="L994" s="149">
        <v>43467</v>
      </c>
      <c r="M994" s="107">
        <v>280.89999999999998</v>
      </c>
      <c r="N994" s="107">
        <v>290.35000000000002</v>
      </c>
      <c r="O994" s="107">
        <v>278</v>
      </c>
      <c r="P994" s="107">
        <v>286.5</v>
      </c>
      <c r="Q994" s="107">
        <v>280.89999999999998</v>
      </c>
      <c r="R994">
        <v>878757</v>
      </c>
    </row>
    <row r="995" spans="1:18" x14ac:dyDescent="0.25">
      <c r="A995" s="149">
        <v>43468</v>
      </c>
      <c r="B995" s="107">
        <v>284.2</v>
      </c>
      <c r="C995" s="107">
        <v>276.45</v>
      </c>
      <c r="D995" s="107">
        <v>275.39999999999998</v>
      </c>
      <c r="E995" s="107">
        <v>282.5</v>
      </c>
      <c r="F995" s="107">
        <v>276.45</v>
      </c>
      <c r="G995">
        <v>40474</v>
      </c>
      <c r="H995" s="107"/>
      <c r="I995" s="107"/>
      <c r="L995" s="149">
        <v>43468</v>
      </c>
      <c r="M995" s="107">
        <v>276.89999999999998</v>
      </c>
      <c r="N995" s="107">
        <v>284.5</v>
      </c>
      <c r="O995" s="107">
        <v>275.8</v>
      </c>
      <c r="P995" s="107">
        <v>281.05</v>
      </c>
      <c r="Q995" s="107">
        <v>276.89999999999998</v>
      </c>
      <c r="R995">
        <v>595191</v>
      </c>
    </row>
    <row r="996" spans="1:18" x14ac:dyDescent="0.25">
      <c r="A996" s="149">
        <v>43469</v>
      </c>
      <c r="B996" s="107">
        <v>281.8</v>
      </c>
      <c r="C996" s="107">
        <v>280.35000000000002</v>
      </c>
      <c r="D996" s="107">
        <v>273.7</v>
      </c>
      <c r="E996" s="107">
        <v>279</v>
      </c>
      <c r="F996" s="107">
        <v>280.35000000000002</v>
      </c>
      <c r="G996">
        <v>43239</v>
      </c>
      <c r="H996" s="107"/>
      <c r="I996" s="107"/>
      <c r="L996" s="149">
        <v>43469</v>
      </c>
      <c r="M996" s="107">
        <v>280.5</v>
      </c>
      <c r="N996" s="107">
        <v>281.75</v>
      </c>
      <c r="O996" s="107">
        <v>273.75</v>
      </c>
      <c r="P996" s="107">
        <v>277.25</v>
      </c>
      <c r="Q996" s="107">
        <v>280.5</v>
      </c>
      <c r="R996">
        <v>856596</v>
      </c>
    </row>
    <row r="997" spans="1:18" x14ac:dyDescent="0.25">
      <c r="A997" s="149">
        <v>43472</v>
      </c>
      <c r="B997" s="107">
        <v>288.8</v>
      </c>
      <c r="C997" s="107">
        <v>283.14999999999998</v>
      </c>
      <c r="D997" s="107">
        <v>280.10000000000002</v>
      </c>
      <c r="E997" s="107">
        <v>282</v>
      </c>
      <c r="F997" s="107">
        <v>283.14999999999998</v>
      </c>
      <c r="G997">
        <v>114688</v>
      </c>
      <c r="H997" s="107"/>
      <c r="I997" s="107"/>
      <c r="L997" s="149">
        <v>43472</v>
      </c>
      <c r="M997" s="107">
        <v>283.2</v>
      </c>
      <c r="N997" s="107">
        <v>288.95</v>
      </c>
      <c r="O997" s="107">
        <v>279.8</v>
      </c>
      <c r="P997" s="107">
        <v>286.60000000000002</v>
      </c>
      <c r="Q997" s="107">
        <v>283.2</v>
      </c>
      <c r="R997">
        <v>1570668</v>
      </c>
    </row>
    <row r="998" spans="1:18" x14ac:dyDescent="0.25">
      <c r="A998" s="149">
        <v>43473</v>
      </c>
      <c r="B998" s="107">
        <v>286</v>
      </c>
      <c r="C998" s="107">
        <v>284.25</v>
      </c>
      <c r="D998" s="107">
        <v>279.89999999999998</v>
      </c>
      <c r="E998" s="107">
        <v>285</v>
      </c>
      <c r="F998" s="107">
        <v>284.25</v>
      </c>
      <c r="G998">
        <v>48133</v>
      </c>
      <c r="H998" s="107"/>
      <c r="I998" s="107"/>
      <c r="L998" s="149">
        <v>43473</v>
      </c>
      <c r="M998" s="107">
        <v>284.55</v>
      </c>
      <c r="N998" s="107">
        <v>286.3</v>
      </c>
      <c r="O998" s="107">
        <v>279.5</v>
      </c>
      <c r="P998" s="107">
        <v>284.2</v>
      </c>
      <c r="Q998" s="107">
        <v>284.55</v>
      </c>
      <c r="R998">
        <v>821351</v>
      </c>
    </row>
    <row r="999" spans="1:18" x14ac:dyDescent="0.25">
      <c r="A999" s="149">
        <v>43474</v>
      </c>
      <c r="B999" s="107">
        <v>286.2</v>
      </c>
      <c r="C999" s="107">
        <v>273.85000000000002</v>
      </c>
      <c r="D999" s="107">
        <v>272.60000000000002</v>
      </c>
      <c r="E999" s="107">
        <v>285.05</v>
      </c>
      <c r="F999" s="107">
        <v>273.85000000000002</v>
      </c>
      <c r="G999">
        <v>63603</v>
      </c>
      <c r="H999" s="107"/>
      <c r="I999" s="107"/>
      <c r="L999" s="149">
        <v>43474</v>
      </c>
      <c r="M999" s="107">
        <v>273.75</v>
      </c>
      <c r="N999" s="107">
        <v>286</v>
      </c>
      <c r="O999" s="107">
        <v>272.60000000000002</v>
      </c>
      <c r="P999" s="107">
        <v>286</v>
      </c>
      <c r="Q999" s="107">
        <v>273.75</v>
      </c>
      <c r="R999">
        <v>1092119</v>
      </c>
    </row>
    <row r="1000" spans="1:18" x14ac:dyDescent="0.25">
      <c r="A1000" s="149">
        <v>43475</v>
      </c>
      <c r="B1000" s="107">
        <v>280</v>
      </c>
      <c r="C1000" s="107">
        <v>275.95</v>
      </c>
      <c r="D1000" s="107">
        <v>273.5</v>
      </c>
      <c r="E1000" s="107">
        <v>274.75</v>
      </c>
      <c r="F1000" s="107">
        <v>275.95</v>
      </c>
      <c r="G1000">
        <v>32986</v>
      </c>
      <c r="H1000" s="107"/>
      <c r="I1000" s="107"/>
      <c r="L1000" s="149">
        <v>43475</v>
      </c>
      <c r="M1000" s="107">
        <v>275.8</v>
      </c>
      <c r="N1000" s="107">
        <v>277.60000000000002</v>
      </c>
      <c r="O1000" s="107">
        <v>273.35000000000002</v>
      </c>
      <c r="P1000" s="107">
        <v>275</v>
      </c>
      <c r="Q1000" s="107">
        <v>275.8</v>
      </c>
      <c r="R1000">
        <v>486829</v>
      </c>
    </row>
    <row r="1001" spans="1:18" x14ac:dyDescent="0.25">
      <c r="A1001" s="149">
        <v>43476</v>
      </c>
      <c r="B1001" s="107">
        <v>277.64999999999998</v>
      </c>
      <c r="C1001" s="107">
        <v>272.95</v>
      </c>
      <c r="D1001" s="107">
        <v>271.10000000000002</v>
      </c>
      <c r="E1001" s="107">
        <v>276.14999999999998</v>
      </c>
      <c r="F1001" s="107">
        <v>272.95</v>
      </c>
      <c r="G1001">
        <v>29335</v>
      </c>
      <c r="H1001" s="107"/>
      <c r="I1001" s="107"/>
      <c r="L1001" s="149">
        <v>43476</v>
      </c>
      <c r="M1001" s="107">
        <v>272.95</v>
      </c>
      <c r="N1001" s="107">
        <v>277.85000000000002</v>
      </c>
      <c r="O1001" s="107">
        <v>271.2</v>
      </c>
      <c r="P1001" s="107">
        <v>276</v>
      </c>
      <c r="Q1001" s="107">
        <v>272.95</v>
      </c>
      <c r="R1001">
        <v>480905</v>
      </c>
    </row>
    <row r="1002" spans="1:18" x14ac:dyDescent="0.25">
      <c r="A1002" s="149">
        <v>43479</v>
      </c>
      <c r="B1002" s="107">
        <v>277.39999999999998</v>
      </c>
      <c r="C1002" s="107">
        <v>274.10000000000002</v>
      </c>
      <c r="D1002" s="107">
        <v>268.64999999999998</v>
      </c>
      <c r="E1002" s="107">
        <v>275</v>
      </c>
      <c r="F1002" s="107">
        <v>274.10000000000002</v>
      </c>
      <c r="G1002">
        <v>35818</v>
      </c>
      <c r="H1002" s="107"/>
      <c r="I1002" s="107"/>
      <c r="L1002" s="149">
        <v>43479</v>
      </c>
      <c r="M1002" s="107">
        <v>274.25</v>
      </c>
      <c r="N1002" s="107">
        <v>277.7</v>
      </c>
      <c r="O1002" s="107">
        <v>269.45</v>
      </c>
      <c r="P1002" s="107">
        <v>271.5</v>
      </c>
      <c r="Q1002" s="107">
        <v>274.25</v>
      </c>
      <c r="R1002">
        <v>545315</v>
      </c>
    </row>
    <row r="1003" spans="1:18" x14ac:dyDescent="0.25">
      <c r="A1003" s="149">
        <v>43480</v>
      </c>
      <c r="B1003" s="107">
        <v>278</v>
      </c>
      <c r="C1003" s="107">
        <v>276.45</v>
      </c>
      <c r="D1003" s="107">
        <v>273.60000000000002</v>
      </c>
      <c r="E1003" s="107">
        <v>276</v>
      </c>
      <c r="F1003" s="107">
        <v>276.45</v>
      </c>
      <c r="G1003">
        <v>35528</v>
      </c>
      <c r="H1003" s="107"/>
      <c r="I1003" s="107"/>
      <c r="L1003" s="149">
        <v>43480</v>
      </c>
      <c r="M1003" s="107">
        <v>276.64999999999998</v>
      </c>
      <c r="N1003" s="107">
        <v>278</v>
      </c>
      <c r="O1003" s="107">
        <v>273.85000000000002</v>
      </c>
      <c r="P1003" s="107">
        <v>274.25</v>
      </c>
      <c r="Q1003" s="107">
        <v>276.64999999999998</v>
      </c>
      <c r="R1003">
        <v>397020</v>
      </c>
    </row>
    <row r="1004" spans="1:18" x14ac:dyDescent="0.25">
      <c r="A1004" s="149">
        <v>43481</v>
      </c>
      <c r="B1004" s="107">
        <v>282.39999999999998</v>
      </c>
      <c r="C1004" s="107">
        <v>276.45</v>
      </c>
      <c r="D1004" s="107">
        <v>275</v>
      </c>
      <c r="E1004" s="107">
        <v>276.60000000000002</v>
      </c>
      <c r="F1004" s="107">
        <v>276.45</v>
      </c>
      <c r="G1004">
        <v>54122</v>
      </c>
      <c r="H1004" s="107"/>
      <c r="I1004" s="107"/>
      <c r="L1004" s="149">
        <v>43481</v>
      </c>
      <c r="M1004" s="107">
        <v>277.3</v>
      </c>
      <c r="N1004" s="107">
        <v>282.7</v>
      </c>
      <c r="O1004" s="107">
        <v>276</v>
      </c>
      <c r="P1004" s="107">
        <v>278</v>
      </c>
      <c r="Q1004" s="107">
        <v>277.3</v>
      </c>
      <c r="R1004">
        <v>425297</v>
      </c>
    </row>
    <row r="1005" spans="1:18" x14ac:dyDescent="0.25">
      <c r="A1005" s="149">
        <v>43482</v>
      </c>
      <c r="B1005" s="107">
        <v>282.45</v>
      </c>
      <c r="C1005" s="107">
        <v>275.60000000000002</v>
      </c>
      <c r="D1005" s="107">
        <v>273.10000000000002</v>
      </c>
      <c r="E1005" s="107">
        <v>278.05</v>
      </c>
      <c r="F1005" s="107">
        <v>275.60000000000002</v>
      </c>
      <c r="G1005">
        <v>60781</v>
      </c>
      <c r="H1005" s="107"/>
      <c r="I1005" s="107"/>
      <c r="L1005" s="149">
        <v>43482</v>
      </c>
      <c r="M1005" s="107">
        <v>276.10000000000002</v>
      </c>
      <c r="N1005" s="107">
        <v>282.2</v>
      </c>
      <c r="O1005" s="107">
        <v>273</v>
      </c>
      <c r="P1005" s="107">
        <v>277.3</v>
      </c>
      <c r="Q1005" s="107">
        <v>276.10000000000002</v>
      </c>
      <c r="R1005">
        <v>675184</v>
      </c>
    </row>
    <row r="1006" spans="1:18" x14ac:dyDescent="0.25">
      <c r="A1006" s="149">
        <v>43483</v>
      </c>
      <c r="B1006" s="107">
        <v>278.39999999999998</v>
      </c>
      <c r="C1006" s="107">
        <v>268.75</v>
      </c>
      <c r="D1006" s="107">
        <v>267.55</v>
      </c>
      <c r="E1006" s="107">
        <v>276</v>
      </c>
      <c r="F1006" s="107">
        <v>268.75</v>
      </c>
      <c r="G1006">
        <v>47164</v>
      </c>
      <c r="H1006" s="107"/>
      <c r="I1006" s="107"/>
      <c r="L1006" s="149">
        <v>43483</v>
      </c>
      <c r="M1006" s="107">
        <v>268.95</v>
      </c>
      <c r="N1006" s="107">
        <v>278.14999999999998</v>
      </c>
      <c r="O1006" s="107">
        <v>267.45</v>
      </c>
      <c r="P1006" s="107">
        <v>277</v>
      </c>
      <c r="Q1006" s="107">
        <v>268.95</v>
      </c>
      <c r="R1006">
        <v>853929</v>
      </c>
    </row>
    <row r="1007" spans="1:18" x14ac:dyDescent="0.25">
      <c r="A1007" s="149">
        <v>43486</v>
      </c>
      <c r="B1007" s="107">
        <v>270.95</v>
      </c>
      <c r="C1007" s="107">
        <v>264.55</v>
      </c>
      <c r="D1007" s="107">
        <v>262.2</v>
      </c>
      <c r="E1007" s="107">
        <v>270.95</v>
      </c>
      <c r="F1007" s="107">
        <v>264.55</v>
      </c>
      <c r="G1007">
        <v>51776</v>
      </c>
      <c r="H1007" s="107"/>
      <c r="I1007" s="107"/>
      <c r="L1007" s="149">
        <v>43486</v>
      </c>
      <c r="M1007" s="107">
        <v>264.25</v>
      </c>
      <c r="N1007" s="107">
        <v>270.95</v>
      </c>
      <c r="O1007" s="107">
        <v>262</v>
      </c>
      <c r="P1007" s="107">
        <v>270.10000000000002</v>
      </c>
      <c r="Q1007" s="107">
        <v>264.25</v>
      </c>
      <c r="R1007">
        <v>745460</v>
      </c>
    </row>
    <row r="1008" spans="1:18" x14ac:dyDescent="0.25">
      <c r="A1008" s="149">
        <v>43487</v>
      </c>
      <c r="B1008" s="107">
        <v>267.60000000000002</v>
      </c>
      <c r="C1008" s="107">
        <v>264.75</v>
      </c>
      <c r="D1008" s="107">
        <v>262.25</v>
      </c>
      <c r="E1008" s="107">
        <v>262.35000000000002</v>
      </c>
      <c r="F1008" s="107">
        <v>264.75</v>
      </c>
      <c r="G1008">
        <v>37011</v>
      </c>
      <c r="H1008" s="107"/>
      <c r="I1008" s="107"/>
      <c r="L1008" s="149">
        <v>43487</v>
      </c>
      <c r="M1008" s="107">
        <v>265.39999999999998</v>
      </c>
      <c r="N1008" s="107">
        <v>267.85000000000002</v>
      </c>
      <c r="O1008" s="107">
        <v>262.14999999999998</v>
      </c>
      <c r="P1008" s="107">
        <v>262.39999999999998</v>
      </c>
      <c r="Q1008" s="107">
        <v>265.39999999999998</v>
      </c>
      <c r="R1008">
        <v>604048</v>
      </c>
    </row>
    <row r="1009" spans="1:18" x14ac:dyDescent="0.25">
      <c r="A1009" s="149">
        <v>43488</v>
      </c>
      <c r="B1009" s="107">
        <v>270</v>
      </c>
      <c r="C1009" s="107">
        <v>265.55</v>
      </c>
      <c r="D1009" s="107">
        <v>259.85000000000002</v>
      </c>
      <c r="E1009" s="107">
        <v>268.5</v>
      </c>
      <c r="F1009" s="107">
        <v>265.55</v>
      </c>
      <c r="G1009">
        <v>217615</v>
      </c>
      <c r="H1009" s="107"/>
      <c r="I1009" s="107"/>
      <c r="L1009" s="149">
        <v>43488</v>
      </c>
      <c r="M1009" s="107">
        <v>265.39999999999998</v>
      </c>
      <c r="N1009" s="107">
        <v>270</v>
      </c>
      <c r="O1009" s="107">
        <v>259.35000000000002</v>
      </c>
      <c r="P1009" s="107">
        <v>266</v>
      </c>
      <c r="Q1009" s="107">
        <v>265.39999999999998</v>
      </c>
      <c r="R1009">
        <v>2312792</v>
      </c>
    </row>
    <row r="1010" spans="1:18" x14ac:dyDescent="0.25">
      <c r="A1010" s="149">
        <v>43489</v>
      </c>
      <c r="B1010" s="107">
        <v>266.7</v>
      </c>
      <c r="C1010" s="107">
        <v>254.45</v>
      </c>
      <c r="D1010" s="107">
        <v>252.2</v>
      </c>
      <c r="E1010" s="107">
        <v>263.3</v>
      </c>
      <c r="F1010" s="107">
        <v>254.45</v>
      </c>
      <c r="G1010">
        <v>108218</v>
      </c>
      <c r="H1010" s="107"/>
      <c r="I1010" s="107"/>
      <c r="L1010" s="149">
        <v>43489</v>
      </c>
      <c r="M1010" s="107">
        <v>254.6</v>
      </c>
      <c r="N1010" s="107">
        <v>266.75</v>
      </c>
      <c r="O1010" s="107">
        <v>252.2</v>
      </c>
      <c r="P1010" s="107">
        <v>264</v>
      </c>
      <c r="Q1010" s="107">
        <v>254.6</v>
      </c>
      <c r="R1010">
        <v>1505981</v>
      </c>
    </row>
    <row r="1011" spans="1:18" x14ac:dyDescent="0.25">
      <c r="A1011" s="149">
        <v>43490</v>
      </c>
      <c r="B1011" s="107">
        <v>261.8</v>
      </c>
      <c r="C1011" s="107">
        <v>252.85</v>
      </c>
      <c r="D1011" s="107">
        <v>250.7</v>
      </c>
      <c r="E1011" s="107">
        <v>255</v>
      </c>
      <c r="F1011" s="107">
        <v>252.85</v>
      </c>
      <c r="G1011">
        <v>74838</v>
      </c>
      <c r="H1011" s="107"/>
      <c r="I1011" s="107"/>
      <c r="L1011" s="149">
        <v>43490</v>
      </c>
      <c r="M1011" s="107">
        <v>252.3</v>
      </c>
      <c r="N1011" s="107">
        <v>262</v>
      </c>
      <c r="O1011" s="107">
        <v>250.45</v>
      </c>
      <c r="P1011" s="107">
        <v>254</v>
      </c>
      <c r="Q1011" s="107">
        <v>252.3</v>
      </c>
      <c r="R1011">
        <v>1040487</v>
      </c>
    </row>
    <row r="1012" spans="1:18" x14ac:dyDescent="0.25">
      <c r="A1012" s="149">
        <v>43493</v>
      </c>
      <c r="B1012" s="107">
        <v>254.9</v>
      </c>
      <c r="C1012" s="107">
        <v>244.4</v>
      </c>
      <c r="D1012" s="107">
        <v>241</v>
      </c>
      <c r="E1012" s="107">
        <v>250.1</v>
      </c>
      <c r="F1012" s="107">
        <v>244.4</v>
      </c>
      <c r="G1012">
        <v>79100</v>
      </c>
      <c r="H1012" s="107"/>
      <c r="I1012" s="107"/>
      <c r="L1012" s="149">
        <v>43493</v>
      </c>
      <c r="M1012" s="107">
        <v>244.1</v>
      </c>
      <c r="N1012" s="107">
        <v>253.65</v>
      </c>
      <c r="O1012" s="107">
        <v>242</v>
      </c>
      <c r="P1012" s="107">
        <v>251.05</v>
      </c>
      <c r="Q1012" s="107">
        <v>244.1</v>
      </c>
      <c r="R1012">
        <v>1070964</v>
      </c>
    </row>
    <row r="1013" spans="1:18" x14ac:dyDescent="0.25">
      <c r="A1013" s="149">
        <v>43494</v>
      </c>
      <c r="B1013" s="107">
        <v>252.1</v>
      </c>
      <c r="C1013" s="107">
        <v>248.4</v>
      </c>
      <c r="D1013" s="107">
        <v>240.2</v>
      </c>
      <c r="E1013" s="107">
        <v>241.55</v>
      </c>
      <c r="F1013" s="107">
        <v>248.4</v>
      </c>
      <c r="G1013">
        <v>54472</v>
      </c>
      <c r="H1013" s="107"/>
      <c r="I1013" s="107"/>
      <c r="L1013" s="149">
        <v>43494</v>
      </c>
      <c r="M1013" s="107">
        <v>247.1</v>
      </c>
      <c r="N1013" s="107">
        <v>252.2</v>
      </c>
      <c r="O1013" s="107">
        <v>240.7</v>
      </c>
      <c r="P1013" s="107">
        <v>242.05</v>
      </c>
      <c r="Q1013" s="107">
        <v>247.1</v>
      </c>
      <c r="R1013">
        <v>779409</v>
      </c>
    </row>
    <row r="1014" spans="1:18" x14ac:dyDescent="0.25">
      <c r="A1014" s="149">
        <v>43495</v>
      </c>
      <c r="B1014" s="107">
        <v>253.55</v>
      </c>
      <c r="C1014" s="107">
        <v>252</v>
      </c>
      <c r="D1014" s="107">
        <v>246.6</v>
      </c>
      <c r="E1014" s="107">
        <v>249.05</v>
      </c>
      <c r="F1014" s="107">
        <v>252</v>
      </c>
      <c r="G1014">
        <v>27050</v>
      </c>
      <c r="H1014" s="107"/>
      <c r="I1014" s="107"/>
      <c r="L1014" s="149">
        <v>43495</v>
      </c>
      <c r="M1014" s="107">
        <v>252.1</v>
      </c>
      <c r="N1014" s="107">
        <v>256.95</v>
      </c>
      <c r="O1014" s="107">
        <v>246.75</v>
      </c>
      <c r="P1014" s="107">
        <v>248</v>
      </c>
      <c r="Q1014" s="107">
        <v>252.1</v>
      </c>
      <c r="R1014">
        <v>418383</v>
      </c>
    </row>
    <row r="1015" spans="1:18" x14ac:dyDescent="0.25">
      <c r="A1015" s="149">
        <v>43496</v>
      </c>
      <c r="B1015" s="107">
        <v>255.05</v>
      </c>
      <c r="C1015" s="107">
        <v>250.45</v>
      </c>
      <c r="D1015" s="107">
        <v>245</v>
      </c>
      <c r="E1015" s="107">
        <v>253.45</v>
      </c>
      <c r="F1015" s="107">
        <v>250.45</v>
      </c>
      <c r="G1015">
        <v>33353</v>
      </c>
      <c r="H1015" s="107"/>
      <c r="I1015" s="107"/>
      <c r="L1015" s="149">
        <v>43496</v>
      </c>
      <c r="M1015" s="107">
        <v>250.7</v>
      </c>
      <c r="N1015" s="107">
        <v>254.55</v>
      </c>
      <c r="O1015" s="107">
        <v>244.7</v>
      </c>
      <c r="P1015" s="107">
        <v>254.1</v>
      </c>
      <c r="Q1015" s="107">
        <v>250.7</v>
      </c>
      <c r="R1015">
        <v>737326</v>
      </c>
    </row>
    <row r="1016" spans="1:18" x14ac:dyDescent="0.25">
      <c r="A1016" s="149">
        <v>43497</v>
      </c>
      <c r="B1016" s="107">
        <v>262.60000000000002</v>
      </c>
      <c r="C1016" s="107">
        <v>258.3</v>
      </c>
      <c r="D1016" s="107">
        <v>246.65</v>
      </c>
      <c r="E1016" s="107">
        <v>251</v>
      </c>
      <c r="F1016" s="107">
        <v>258.3</v>
      </c>
      <c r="G1016">
        <v>185456</v>
      </c>
      <c r="H1016" s="107"/>
      <c r="I1016" s="107"/>
      <c r="L1016" s="149">
        <v>43497</v>
      </c>
      <c r="M1016" s="107">
        <v>259</v>
      </c>
      <c r="N1016" s="107">
        <v>262</v>
      </c>
      <c r="O1016" s="107">
        <v>246.1</v>
      </c>
      <c r="P1016" s="107">
        <v>252</v>
      </c>
      <c r="Q1016" s="107">
        <v>259</v>
      </c>
      <c r="R1016">
        <v>1578799</v>
      </c>
    </row>
    <row r="1017" spans="1:18" x14ac:dyDescent="0.25">
      <c r="A1017" s="149">
        <v>43500</v>
      </c>
      <c r="B1017" s="107">
        <v>256.45</v>
      </c>
      <c r="C1017" s="107">
        <v>247.05</v>
      </c>
      <c r="D1017" s="107">
        <v>244.45</v>
      </c>
      <c r="E1017" s="107">
        <v>255</v>
      </c>
      <c r="F1017" s="107">
        <v>247.05</v>
      </c>
      <c r="G1017">
        <v>69177</v>
      </c>
      <c r="H1017" s="107"/>
      <c r="I1017" s="107"/>
      <c r="L1017" s="149">
        <v>43500</v>
      </c>
      <c r="M1017" s="107">
        <v>247.4</v>
      </c>
      <c r="N1017" s="107">
        <v>257.39999999999998</v>
      </c>
      <c r="O1017" s="107">
        <v>244.15</v>
      </c>
      <c r="P1017" s="107">
        <v>257.39999999999998</v>
      </c>
      <c r="Q1017" s="107">
        <v>247.4</v>
      </c>
      <c r="R1017">
        <v>786527</v>
      </c>
    </row>
    <row r="1018" spans="1:18" x14ac:dyDescent="0.25">
      <c r="A1018" s="149">
        <v>43501</v>
      </c>
      <c r="B1018" s="107">
        <v>252</v>
      </c>
      <c r="C1018" s="107">
        <v>245.55</v>
      </c>
      <c r="D1018" s="107">
        <v>244.3</v>
      </c>
      <c r="E1018" s="107">
        <v>246.1</v>
      </c>
      <c r="F1018" s="107">
        <v>245.55</v>
      </c>
      <c r="G1018">
        <v>23266</v>
      </c>
      <c r="H1018" s="107"/>
      <c r="I1018" s="107"/>
      <c r="L1018" s="149">
        <v>43501</v>
      </c>
      <c r="M1018" s="107">
        <v>245.85</v>
      </c>
      <c r="N1018" s="107">
        <v>252.2</v>
      </c>
      <c r="O1018" s="107">
        <v>245</v>
      </c>
      <c r="P1018" s="107">
        <v>245.4</v>
      </c>
      <c r="Q1018" s="107">
        <v>245.85</v>
      </c>
      <c r="R1018">
        <v>556021</v>
      </c>
    </row>
    <row r="1019" spans="1:18" x14ac:dyDescent="0.25">
      <c r="A1019" s="149">
        <v>43502</v>
      </c>
      <c r="B1019" s="107">
        <v>248.15</v>
      </c>
      <c r="C1019" s="107">
        <v>244.15</v>
      </c>
      <c r="D1019" s="107">
        <v>240.2</v>
      </c>
      <c r="E1019" s="107">
        <v>245.05</v>
      </c>
      <c r="F1019" s="107">
        <v>244.15</v>
      </c>
      <c r="G1019">
        <v>36761</v>
      </c>
      <c r="H1019" s="107"/>
      <c r="I1019" s="107"/>
      <c r="L1019" s="149">
        <v>43502</v>
      </c>
      <c r="M1019" s="107">
        <v>244.9</v>
      </c>
      <c r="N1019" s="107">
        <v>248.35</v>
      </c>
      <c r="O1019" s="107">
        <v>240.25</v>
      </c>
      <c r="P1019" s="107">
        <v>247.65</v>
      </c>
      <c r="Q1019" s="107">
        <v>244.9</v>
      </c>
      <c r="R1019">
        <v>583430</v>
      </c>
    </row>
    <row r="1020" spans="1:18" x14ac:dyDescent="0.25">
      <c r="A1020" s="149">
        <v>43503</v>
      </c>
      <c r="B1020" s="107">
        <v>258</v>
      </c>
      <c r="C1020" s="107">
        <v>253.75</v>
      </c>
      <c r="D1020" s="107">
        <v>244.2</v>
      </c>
      <c r="E1020" s="107">
        <v>244.2</v>
      </c>
      <c r="F1020" s="107">
        <v>253.75</v>
      </c>
      <c r="G1020">
        <v>113113</v>
      </c>
      <c r="H1020" s="107"/>
      <c r="I1020" s="107"/>
      <c r="L1020" s="149">
        <v>43503</v>
      </c>
      <c r="M1020" s="107">
        <v>254.45</v>
      </c>
      <c r="N1020" s="107">
        <v>258.75</v>
      </c>
      <c r="O1020" s="107">
        <v>243.95</v>
      </c>
      <c r="P1020" s="107">
        <v>245.5</v>
      </c>
      <c r="Q1020" s="107">
        <v>254.45</v>
      </c>
      <c r="R1020">
        <v>1491642</v>
      </c>
    </row>
    <row r="1021" spans="1:18" x14ac:dyDescent="0.25">
      <c r="A1021" s="149">
        <v>43504</v>
      </c>
      <c r="B1021" s="107">
        <v>258.45</v>
      </c>
      <c r="C1021" s="107">
        <v>248.15</v>
      </c>
      <c r="D1021" s="107">
        <v>246.8</v>
      </c>
      <c r="E1021" s="107">
        <v>258.45</v>
      </c>
      <c r="F1021" s="107">
        <v>248.15</v>
      </c>
      <c r="G1021">
        <v>29755</v>
      </c>
      <c r="H1021" s="107"/>
      <c r="I1021" s="107"/>
      <c r="L1021" s="149">
        <v>43504</v>
      </c>
      <c r="M1021" s="107">
        <v>247.8</v>
      </c>
      <c r="N1021" s="107">
        <v>254.95</v>
      </c>
      <c r="O1021" s="107">
        <v>246.55</v>
      </c>
      <c r="P1021" s="107">
        <v>253.75</v>
      </c>
      <c r="Q1021" s="107">
        <v>247.8</v>
      </c>
      <c r="R1021">
        <v>491254</v>
      </c>
    </row>
    <row r="1022" spans="1:18" x14ac:dyDescent="0.25">
      <c r="A1022" s="149">
        <v>43507</v>
      </c>
      <c r="B1022" s="107">
        <v>248.7</v>
      </c>
      <c r="C1022" s="107">
        <v>239.8</v>
      </c>
      <c r="D1022" s="107">
        <v>234.65</v>
      </c>
      <c r="E1022" s="107">
        <v>248.7</v>
      </c>
      <c r="F1022" s="107">
        <v>239.8</v>
      </c>
      <c r="G1022">
        <v>44559</v>
      </c>
      <c r="H1022" s="107"/>
      <c r="I1022" s="107"/>
      <c r="L1022" s="149">
        <v>43507</v>
      </c>
      <c r="M1022" s="107">
        <v>239.6</v>
      </c>
      <c r="N1022" s="107">
        <v>246.2</v>
      </c>
      <c r="O1022" s="107">
        <v>235.55</v>
      </c>
      <c r="P1022" s="107">
        <v>245.25</v>
      </c>
      <c r="Q1022" s="107">
        <v>239.6</v>
      </c>
      <c r="R1022">
        <v>1094166</v>
      </c>
    </row>
    <row r="1023" spans="1:18" x14ac:dyDescent="0.25">
      <c r="A1023" s="149">
        <v>43508</v>
      </c>
      <c r="B1023" s="107">
        <v>269.7</v>
      </c>
      <c r="C1023" s="107">
        <v>264.8</v>
      </c>
      <c r="D1023" s="107">
        <v>240.85</v>
      </c>
      <c r="E1023" s="107">
        <v>240.9</v>
      </c>
      <c r="F1023" s="107">
        <v>264.8</v>
      </c>
      <c r="G1023">
        <v>315941</v>
      </c>
      <c r="H1023" s="107"/>
      <c r="I1023" s="107"/>
      <c r="L1023" s="149">
        <v>43508</v>
      </c>
      <c r="M1023" s="107">
        <v>264.75</v>
      </c>
      <c r="N1023" s="107">
        <v>269.85000000000002</v>
      </c>
      <c r="O1023" s="107">
        <v>239</v>
      </c>
      <c r="P1023" s="107">
        <v>239.6</v>
      </c>
      <c r="Q1023" s="107">
        <v>264.75</v>
      </c>
      <c r="R1023">
        <v>5413985</v>
      </c>
    </row>
    <row r="1024" spans="1:18" x14ac:dyDescent="0.25">
      <c r="A1024" s="149">
        <v>43509</v>
      </c>
      <c r="B1024" s="107">
        <v>267.55</v>
      </c>
      <c r="C1024" s="107">
        <v>255.45</v>
      </c>
      <c r="D1024" s="107">
        <v>253.7</v>
      </c>
      <c r="E1024" s="107">
        <v>264.89999999999998</v>
      </c>
      <c r="F1024" s="107">
        <v>255.45</v>
      </c>
      <c r="G1024">
        <v>74693</v>
      </c>
      <c r="H1024" s="107"/>
      <c r="I1024" s="107"/>
      <c r="L1024" s="149">
        <v>43509</v>
      </c>
      <c r="M1024" s="107">
        <v>255.7</v>
      </c>
      <c r="N1024" s="107">
        <v>266.64999999999998</v>
      </c>
      <c r="O1024" s="107">
        <v>254.05</v>
      </c>
      <c r="P1024" s="107">
        <v>263.35000000000002</v>
      </c>
      <c r="Q1024" s="107">
        <v>255.7</v>
      </c>
      <c r="R1024">
        <v>1120854</v>
      </c>
    </row>
    <row r="1025" spans="1:18" x14ac:dyDescent="0.25">
      <c r="A1025" s="149">
        <v>43510</v>
      </c>
      <c r="B1025" s="107">
        <v>268.89999999999998</v>
      </c>
      <c r="C1025" s="107">
        <v>266.35000000000002</v>
      </c>
      <c r="D1025" s="107">
        <v>247.1</v>
      </c>
      <c r="E1025" s="107">
        <v>261.5</v>
      </c>
      <c r="F1025" s="107">
        <v>266.35000000000002</v>
      </c>
      <c r="G1025">
        <v>121984</v>
      </c>
      <c r="H1025" s="107"/>
      <c r="I1025" s="107"/>
      <c r="L1025" s="149">
        <v>43510</v>
      </c>
      <c r="M1025" s="107">
        <v>266.05</v>
      </c>
      <c r="N1025" s="107">
        <v>268.85000000000002</v>
      </c>
      <c r="O1025" s="107">
        <v>247.25</v>
      </c>
      <c r="P1025" s="107">
        <v>255.7</v>
      </c>
      <c r="Q1025" s="107">
        <v>266.05</v>
      </c>
      <c r="R1025">
        <v>1509966</v>
      </c>
    </row>
    <row r="1026" spans="1:18" x14ac:dyDescent="0.25">
      <c r="A1026" s="149">
        <v>43511</v>
      </c>
      <c r="B1026" s="107">
        <v>265.64999999999998</v>
      </c>
      <c r="C1026" s="107">
        <v>248.7</v>
      </c>
      <c r="D1026" s="107">
        <v>244.85</v>
      </c>
      <c r="E1026" s="107">
        <v>265.64999999999998</v>
      </c>
      <c r="F1026" s="107">
        <v>248.7</v>
      </c>
      <c r="G1026">
        <v>111692</v>
      </c>
      <c r="H1026" s="107"/>
      <c r="I1026" s="107"/>
      <c r="L1026" s="149">
        <v>43511</v>
      </c>
      <c r="M1026" s="107">
        <v>248.9</v>
      </c>
      <c r="N1026" s="107">
        <v>266.39999999999998</v>
      </c>
      <c r="O1026" s="107">
        <v>244.3</v>
      </c>
      <c r="P1026" s="107">
        <v>266</v>
      </c>
      <c r="Q1026" s="107">
        <v>248.9</v>
      </c>
      <c r="R1026">
        <v>1931996</v>
      </c>
    </row>
    <row r="1027" spans="1:18" x14ac:dyDescent="0.25">
      <c r="A1027" s="149">
        <v>43514</v>
      </c>
      <c r="B1027" s="107">
        <v>254.4</v>
      </c>
      <c r="C1027" s="107">
        <v>246.9</v>
      </c>
      <c r="D1027" s="107">
        <v>244.35</v>
      </c>
      <c r="E1027" s="107">
        <v>249</v>
      </c>
      <c r="F1027" s="107">
        <v>246.9</v>
      </c>
      <c r="G1027">
        <v>46488</v>
      </c>
      <c r="H1027" s="107"/>
      <c r="I1027" s="107"/>
      <c r="L1027" s="149">
        <v>43514</v>
      </c>
      <c r="M1027" s="107">
        <v>246.9</v>
      </c>
      <c r="N1027" s="107">
        <v>254.2</v>
      </c>
      <c r="O1027" s="107">
        <v>245.9</v>
      </c>
      <c r="P1027" s="107">
        <v>249.5</v>
      </c>
      <c r="Q1027" s="107">
        <v>246.9</v>
      </c>
      <c r="R1027">
        <v>848217</v>
      </c>
    </row>
    <row r="1028" spans="1:18" x14ac:dyDescent="0.25">
      <c r="A1028" s="149">
        <v>43515</v>
      </c>
      <c r="B1028" s="107">
        <v>252.5</v>
      </c>
      <c r="C1028" s="107">
        <v>242.3</v>
      </c>
      <c r="D1028" s="107">
        <v>240.4</v>
      </c>
      <c r="E1028" s="107">
        <v>249.3</v>
      </c>
      <c r="F1028" s="107">
        <v>242.3</v>
      </c>
      <c r="G1028">
        <v>40605</v>
      </c>
      <c r="H1028" s="107"/>
      <c r="I1028" s="107"/>
      <c r="L1028" s="149">
        <v>43515</v>
      </c>
      <c r="M1028" s="107">
        <v>242.95</v>
      </c>
      <c r="N1028" s="107">
        <v>252.9</v>
      </c>
      <c r="O1028" s="107">
        <v>241.5</v>
      </c>
      <c r="P1028" s="107">
        <v>248.4</v>
      </c>
      <c r="Q1028" s="107">
        <v>242.95</v>
      </c>
      <c r="R1028">
        <v>916621</v>
      </c>
    </row>
    <row r="1029" spans="1:18" x14ac:dyDescent="0.25">
      <c r="A1029" s="149">
        <v>43516</v>
      </c>
      <c r="B1029" s="107">
        <v>254.7</v>
      </c>
      <c r="C1029" s="107">
        <v>253.1</v>
      </c>
      <c r="D1029" s="107">
        <v>243</v>
      </c>
      <c r="E1029" s="107">
        <v>243</v>
      </c>
      <c r="F1029" s="107">
        <v>253.1</v>
      </c>
      <c r="G1029">
        <v>61895</v>
      </c>
      <c r="H1029" s="107"/>
      <c r="I1029" s="107"/>
      <c r="L1029" s="149">
        <v>43516</v>
      </c>
      <c r="M1029" s="107">
        <v>253.3</v>
      </c>
      <c r="N1029" s="107">
        <v>254.7</v>
      </c>
      <c r="O1029" s="107">
        <v>243.55</v>
      </c>
      <c r="P1029" s="107">
        <v>245.65</v>
      </c>
      <c r="Q1029" s="107">
        <v>253.3</v>
      </c>
      <c r="R1029">
        <v>1041990</v>
      </c>
    </row>
    <row r="1030" spans="1:18" x14ac:dyDescent="0.25">
      <c r="A1030" s="149">
        <v>43517</v>
      </c>
      <c r="B1030" s="107">
        <v>275.95</v>
      </c>
      <c r="C1030" s="107">
        <v>270.60000000000002</v>
      </c>
      <c r="D1030" s="107">
        <v>251.8</v>
      </c>
      <c r="E1030" s="107">
        <v>253.1</v>
      </c>
      <c r="F1030" s="107">
        <v>270.60000000000002</v>
      </c>
      <c r="G1030">
        <v>211945</v>
      </c>
      <c r="H1030" s="107"/>
      <c r="I1030" s="107"/>
      <c r="L1030" s="149">
        <v>43517</v>
      </c>
      <c r="M1030" s="107">
        <v>271</v>
      </c>
      <c r="N1030" s="107">
        <v>277.05</v>
      </c>
      <c r="O1030" s="107">
        <v>250</v>
      </c>
      <c r="P1030" s="107">
        <v>250.6</v>
      </c>
      <c r="Q1030" s="107">
        <v>271</v>
      </c>
      <c r="R1030">
        <v>4491541</v>
      </c>
    </row>
    <row r="1031" spans="1:18" x14ac:dyDescent="0.25">
      <c r="A1031" s="149">
        <v>43518</v>
      </c>
      <c r="B1031" s="107">
        <v>274</v>
      </c>
      <c r="C1031" s="107">
        <v>269.89999999999998</v>
      </c>
      <c r="D1031" s="107">
        <v>268</v>
      </c>
      <c r="E1031" s="107">
        <v>273.8</v>
      </c>
      <c r="F1031" s="107">
        <v>269.89999999999998</v>
      </c>
      <c r="G1031">
        <v>129405</v>
      </c>
      <c r="H1031" s="107"/>
      <c r="I1031" s="107"/>
      <c r="L1031" s="149">
        <v>43518</v>
      </c>
      <c r="M1031" s="107">
        <v>269.85000000000002</v>
      </c>
      <c r="N1031" s="107">
        <v>273.5</v>
      </c>
      <c r="O1031" s="107">
        <v>268.05</v>
      </c>
      <c r="P1031" s="107">
        <v>271.7</v>
      </c>
      <c r="Q1031" s="107">
        <v>269.85000000000002</v>
      </c>
      <c r="R1031">
        <v>1346370</v>
      </c>
    </row>
    <row r="1032" spans="1:18" x14ac:dyDescent="0.25">
      <c r="A1032" s="149">
        <v>43521</v>
      </c>
      <c r="B1032" s="107">
        <v>279.5</v>
      </c>
      <c r="C1032" s="107">
        <v>267.45</v>
      </c>
      <c r="D1032" s="107">
        <v>265.64999999999998</v>
      </c>
      <c r="E1032" s="107">
        <v>272.5</v>
      </c>
      <c r="F1032" s="107">
        <v>267.45</v>
      </c>
      <c r="G1032">
        <v>81631</v>
      </c>
      <c r="H1032" s="107"/>
      <c r="I1032" s="107"/>
      <c r="L1032" s="149">
        <v>43521</v>
      </c>
      <c r="M1032" s="107">
        <v>267.95</v>
      </c>
      <c r="N1032" s="107">
        <v>279.25</v>
      </c>
      <c r="O1032" s="107">
        <v>266.55</v>
      </c>
      <c r="P1032" s="107">
        <v>272.55</v>
      </c>
      <c r="Q1032" s="107">
        <v>267.95</v>
      </c>
      <c r="R1032">
        <v>1854471</v>
      </c>
    </row>
    <row r="1033" spans="1:18" x14ac:dyDescent="0.25">
      <c r="A1033" s="149">
        <v>43522</v>
      </c>
      <c r="B1033" s="107">
        <v>267.35000000000002</v>
      </c>
      <c r="C1033" s="107">
        <v>262.85000000000002</v>
      </c>
      <c r="D1033" s="107">
        <v>256.5</v>
      </c>
      <c r="E1033" s="107">
        <v>265</v>
      </c>
      <c r="F1033" s="107">
        <v>262.85000000000002</v>
      </c>
      <c r="G1033">
        <v>69840</v>
      </c>
      <c r="H1033" s="107"/>
      <c r="I1033" s="107"/>
      <c r="L1033" s="149">
        <v>43522</v>
      </c>
      <c r="M1033" s="107">
        <v>262.25</v>
      </c>
      <c r="N1033" s="107">
        <v>267.75</v>
      </c>
      <c r="O1033" s="107">
        <v>256.60000000000002</v>
      </c>
      <c r="P1033" s="107">
        <v>264</v>
      </c>
      <c r="Q1033" s="107">
        <v>262.25</v>
      </c>
      <c r="R1033">
        <v>1114519</v>
      </c>
    </row>
    <row r="1034" spans="1:18" x14ac:dyDescent="0.25">
      <c r="A1034" s="149">
        <v>43523</v>
      </c>
      <c r="B1034" s="107">
        <v>274.55</v>
      </c>
      <c r="C1034" s="107">
        <v>260.95</v>
      </c>
      <c r="D1034" s="107">
        <v>257.45</v>
      </c>
      <c r="E1034" s="107">
        <v>264.89999999999998</v>
      </c>
      <c r="F1034" s="107">
        <v>260.95</v>
      </c>
      <c r="G1034">
        <v>68782</v>
      </c>
      <c r="H1034" s="107"/>
      <c r="I1034" s="107"/>
      <c r="L1034" s="149">
        <v>43523</v>
      </c>
      <c r="M1034" s="107">
        <v>260.7</v>
      </c>
      <c r="N1034" s="107">
        <v>273.35000000000002</v>
      </c>
      <c r="O1034" s="107">
        <v>257.25</v>
      </c>
      <c r="P1034" s="107">
        <v>264.89999999999998</v>
      </c>
      <c r="Q1034" s="107">
        <v>260.7</v>
      </c>
      <c r="R1034">
        <v>1345898</v>
      </c>
    </row>
    <row r="1035" spans="1:18" x14ac:dyDescent="0.25">
      <c r="A1035" s="149">
        <v>43524</v>
      </c>
      <c r="B1035" s="107">
        <v>269.89999999999998</v>
      </c>
      <c r="C1035" s="107">
        <v>265.8</v>
      </c>
      <c r="D1035" s="107">
        <v>262</v>
      </c>
      <c r="E1035" s="107">
        <v>264</v>
      </c>
      <c r="F1035" s="107">
        <v>265.8</v>
      </c>
      <c r="G1035">
        <v>58805</v>
      </c>
      <c r="H1035" s="107"/>
      <c r="I1035" s="107"/>
      <c r="L1035" s="149">
        <v>43524</v>
      </c>
      <c r="M1035" s="107">
        <v>266.2</v>
      </c>
      <c r="N1035" s="107">
        <v>270</v>
      </c>
      <c r="O1035" s="107">
        <v>261.2</v>
      </c>
      <c r="P1035" s="107">
        <v>262.3</v>
      </c>
      <c r="Q1035" s="107">
        <v>266.2</v>
      </c>
      <c r="R1035">
        <v>1432989</v>
      </c>
    </row>
    <row r="1036" spans="1:18" x14ac:dyDescent="0.25">
      <c r="A1036" s="149">
        <v>43525</v>
      </c>
      <c r="B1036" s="107">
        <v>278</v>
      </c>
      <c r="C1036" s="107">
        <v>275.64999999999998</v>
      </c>
      <c r="D1036" s="107">
        <v>268.7</v>
      </c>
      <c r="E1036" s="107">
        <v>269.95</v>
      </c>
      <c r="F1036" s="107">
        <v>275.64999999999998</v>
      </c>
      <c r="G1036">
        <v>70209</v>
      </c>
      <c r="H1036" s="107"/>
      <c r="I1036" s="107"/>
      <c r="L1036" s="149">
        <v>43525</v>
      </c>
      <c r="M1036" s="107">
        <v>275.8</v>
      </c>
      <c r="N1036" s="107">
        <v>278.05</v>
      </c>
      <c r="O1036" s="107">
        <v>267.2</v>
      </c>
      <c r="P1036" s="107">
        <v>267.85000000000002</v>
      </c>
      <c r="Q1036" s="107">
        <v>275.8</v>
      </c>
      <c r="R1036">
        <v>1267073</v>
      </c>
    </row>
    <row r="1037" spans="1:18" x14ac:dyDescent="0.25">
      <c r="A1037" s="149">
        <v>43529</v>
      </c>
      <c r="B1037" s="107">
        <v>296.45</v>
      </c>
      <c r="C1037" s="107">
        <v>293.3</v>
      </c>
      <c r="D1037" s="107">
        <v>276.10000000000002</v>
      </c>
      <c r="E1037" s="107">
        <v>278</v>
      </c>
      <c r="F1037" s="107">
        <v>293.3</v>
      </c>
      <c r="G1037">
        <v>218161</v>
      </c>
      <c r="H1037" s="107"/>
      <c r="I1037" s="107"/>
      <c r="L1037" s="149">
        <v>43529</v>
      </c>
      <c r="M1037" s="107">
        <v>293.64999999999998</v>
      </c>
      <c r="N1037" s="107">
        <v>296.7</v>
      </c>
      <c r="O1037" s="107">
        <v>276.39999999999998</v>
      </c>
      <c r="P1037" s="107">
        <v>276.55</v>
      </c>
      <c r="Q1037" s="107">
        <v>293.64999999999998</v>
      </c>
      <c r="R1037">
        <v>2196314</v>
      </c>
    </row>
    <row r="1038" spans="1:18" x14ac:dyDescent="0.25">
      <c r="A1038" s="149">
        <v>43530</v>
      </c>
      <c r="B1038" s="107">
        <v>306.45</v>
      </c>
      <c r="C1038" s="107">
        <v>289.5</v>
      </c>
      <c r="D1038" s="107">
        <v>288</v>
      </c>
      <c r="E1038" s="107">
        <v>299</v>
      </c>
      <c r="F1038" s="107">
        <v>289.5</v>
      </c>
      <c r="G1038">
        <v>184814</v>
      </c>
      <c r="H1038" s="107"/>
      <c r="I1038" s="107"/>
      <c r="L1038" s="149">
        <v>43530</v>
      </c>
      <c r="M1038" s="107">
        <v>289.5</v>
      </c>
      <c r="N1038" s="107">
        <v>306.25</v>
      </c>
      <c r="O1038" s="107">
        <v>287.64999999999998</v>
      </c>
      <c r="P1038" s="107">
        <v>299</v>
      </c>
      <c r="Q1038" s="107">
        <v>289.5</v>
      </c>
      <c r="R1038">
        <v>2880739</v>
      </c>
    </row>
    <row r="1039" spans="1:18" x14ac:dyDescent="0.25">
      <c r="A1039" s="149">
        <v>43531</v>
      </c>
      <c r="B1039" s="107">
        <v>299.89999999999998</v>
      </c>
      <c r="C1039" s="107">
        <v>291.89999999999998</v>
      </c>
      <c r="D1039" s="107">
        <v>285.45</v>
      </c>
      <c r="E1039" s="107">
        <v>289</v>
      </c>
      <c r="F1039" s="107">
        <v>291.89999999999998</v>
      </c>
      <c r="G1039">
        <v>88733</v>
      </c>
      <c r="H1039" s="107"/>
      <c r="I1039" s="107"/>
      <c r="L1039" s="149">
        <v>43531</v>
      </c>
      <c r="M1039" s="107">
        <v>291.55</v>
      </c>
      <c r="N1039" s="107">
        <v>296</v>
      </c>
      <c r="O1039" s="107">
        <v>285</v>
      </c>
      <c r="P1039" s="107">
        <v>291</v>
      </c>
      <c r="Q1039" s="107">
        <v>291.55</v>
      </c>
      <c r="R1039">
        <v>1533516</v>
      </c>
    </row>
    <row r="1040" spans="1:18" x14ac:dyDescent="0.25">
      <c r="A1040" s="149">
        <v>43532</v>
      </c>
      <c r="B1040" s="107">
        <v>294.2</v>
      </c>
      <c r="C1040" s="107">
        <v>287.60000000000002</v>
      </c>
      <c r="D1040" s="107">
        <v>285.60000000000002</v>
      </c>
      <c r="E1040" s="107">
        <v>289.5</v>
      </c>
      <c r="F1040" s="107">
        <v>287.60000000000002</v>
      </c>
      <c r="G1040">
        <v>52361</v>
      </c>
      <c r="H1040" s="107"/>
      <c r="I1040" s="107"/>
      <c r="L1040" s="149">
        <v>43532</v>
      </c>
      <c r="M1040" s="107">
        <v>287.45</v>
      </c>
      <c r="N1040" s="107">
        <v>294.60000000000002</v>
      </c>
      <c r="O1040" s="107">
        <v>285.39999999999998</v>
      </c>
      <c r="P1040" s="107">
        <v>287</v>
      </c>
      <c r="Q1040" s="107">
        <v>287.45</v>
      </c>
      <c r="R1040">
        <v>926130</v>
      </c>
    </row>
    <row r="1041" spans="1:18" x14ac:dyDescent="0.25">
      <c r="A1041" s="149">
        <v>43535</v>
      </c>
      <c r="B1041" s="107">
        <v>309</v>
      </c>
      <c r="C1041" s="107">
        <v>307.35000000000002</v>
      </c>
      <c r="D1041" s="107">
        <v>289.55</v>
      </c>
      <c r="E1041" s="107">
        <v>290</v>
      </c>
      <c r="F1041" s="107">
        <v>307.35000000000002</v>
      </c>
      <c r="G1041">
        <v>239671</v>
      </c>
      <c r="H1041" s="107"/>
      <c r="I1041" s="107"/>
      <c r="L1041" s="149">
        <v>43535</v>
      </c>
      <c r="M1041" s="107">
        <v>307.35000000000002</v>
      </c>
      <c r="N1041" s="107">
        <v>309.45</v>
      </c>
      <c r="O1041" s="107">
        <v>289</v>
      </c>
      <c r="P1041" s="107">
        <v>289</v>
      </c>
      <c r="Q1041" s="107">
        <v>307.35000000000002</v>
      </c>
      <c r="R1041">
        <v>3545379</v>
      </c>
    </row>
    <row r="1042" spans="1:18" x14ac:dyDescent="0.25">
      <c r="A1042" s="149">
        <v>43536</v>
      </c>
      <c r="B1042" s="107">
        <v>325.25</v>
      </c>
      <c r="C1042" s="107">
        <v>315.95</v>
      </c>
      <c r="D1042" s="107">
        <v>310.25</v>
      </c>
      <c r="E1042" s="107">
        <v>312.8</v>
      </c>
      <c r="F1042" s="107">
        <v>315.95</v>
      </c>
      <c r="G1042">
        <v>286130</v>
      </c>
      <c r="H1042" s="107"/>
      <c r="I1042" s="107"/>
      <c r="L1042" s="149">
        <v>43536</v>
      </c>
      <c r="M1042" s="107">
        <v>316.64999999999998</v>
      </c>
      <c r="N1042" s="107">
        <v>325.45</v>
      </c>
      <c r="O1042" s="107">
        <v>310</v>
      </c>
      <c r="P1042" s="107">
        <v>310</v>
      </c>
      <c r="Q1042" s="107">
        <v>316.64999999999998</v>
      </c>
      <c r="R1042">
        <v>5011049</v>
      </c>
    </row>
    <row r="1043" spans="1:18" x14ac:dyDescent="0.25">
      <c r="A1043" s="149">
        <v>43537</v>
      </c>
      <c r="B1043" s="107">
        <v>326.8</v>
      </c>
      <c r="C1043" s="107">
        <v>321.8</v>
      </c>
      <c r="D1043" s="107">
        <v>310.5</v>
      </c>
      <c r="E1043" s="107">
        <v>318.89999999999998</v>
      </c>
      <c r="F1043" s="107">
        <v>321.8</v>
      </c>
      <c r="G1043">
        <v>138311</v>
      </c>
      <c r="H1043" s="107"/>
      <c r="I1043" s="107"/>
      <c r="L1043" s="149">
        <v>43537</v>
      </c>
      <c r="M1043" s="107">
        <v>321.25</v>
      </c>
      <c r="N1043" s="107">
        <v>326.8</v>
      </c>
      <c r="O1043" s="107">
        <v>310.14999999999998</v>
      </c>
      <c r="P1043" s="107">
        <v>318.60000000000002</v>
      </c>
      <c r="Q1043" s="107">
        <v>321.25</v>
      </c>
      <c r="R1043">
        <v>2490517</v>
      </c>
    </row>
    <row r="1044" spans="1:18" x14ac:dyDescent="0.25">
      <c r="A1044" s="149">
        <v>43538</v>
      </c>
      <c r="B1044" s="107">
        <v>324.64999999999998</v>
      </c>
      <c r="C1044" s="107">
        <v>321.39999999999998</v>
      </c>
      <c r="D1044" s="107">
        <v>315.3</v>
      </c>
      <c r="E1044" s="107">
        <v>321.8</v>
      </c>
      <c r="F1044" s="107">
        <v>321.39999999999998</v>
      </c>
      <c r="G1044">
        <v>90207</v>
      </c>
      <c r="H1044" s="107"/>
      <c r="I1044" s="107"/>
      <c r="L1044" s="149">
        <v>43538</v>
      </c>
      <c r="M1044" s="107">
        <v>320.55</v>
      </c>
      <c r="N1044" s="107">
        <v>324.7</v>
      </c>
      <c r="O1044" s="107">
        <v>315.14999999999998</v>
      </c>
      <c r="P1044" s="107">
        <v>321.25</v>
      </c>
      <c r="Q1044" s="107">
        <v>320.55</v>
      </c>
      <c r="R1044">
        <v>1889983</v>
      </c>
    </row>
    <row r="1045" spans="1:18" x14ac:dyDescent="0.25">
      <c r="A1045" s="149">
        <v>43539</v>
      </c>
      <c r="B1045" s="107">
        <v>324.55</v>
      </c>
      <c r="C1045" s="107">
        <v>314.55</v>
      </c>
      <c r="D1045" s="107">
        <v>311.89999999999998</v>
      </c>
      <c r="E1045" s="107">
        <v>321.39999999999998</v>
      </c>
      <c r="F1045" s="107">
        <v>314.55</v>
      </c>
      <c r="G1045">
        <v>103051</v>
      </c>
      <c r="H1045" s="107"/>
      <c r="I1045" s="107"/>
      <c r="L1045" s="149">
        <v>43539</v>
      </c>
      <c r="M1045" s="107">
        <v>314.95</v>
      </c>
      <c r="N1045" s="107">
        <v>324.60000000000002</v>
      </c>
      <c r="O1045" s="107">
        <v>311.2</v>
      </c>
      <c r="P1045" s="107">
        <v>321.60000000000002</v>
      </c>
      <c r="Q1045" s="107">
        <v>314.95</v>
      </c>
      <c r="R1045">
        <v>1547006</v>
      </c>
    </row>
    <row r="1046" spans="1:18" x14ac:dyDescent="0.25">
      <c r="A1046" s="149">
        <v>43542</v>
      </c>
      <c r="B1046" s="107">
        <v>321.5</v>
      </c>
      <c r="C1046" s="107">
        <v>317.3</v>
      </c>
      <c r="D1046" s="107">
        <v>308.75</v>
      </c>
      <c r="E1046" s="107">
        <v>314.55</v>
      </c>
      <c r="F1046" s="107">
        <v>317.3</v>
      </c>
      <c r="G1046">
        <v>180981</v>
      </c>
      <c r="H1046" s="107"/>
      <c r="I1046" s="107"/>
      <c r="L1046" s="149">
        <v>43542</v>
      </c>
      <c r="M1046" s="107">
        <v>316.35000000000002</v>
      </c>
      <c r="N1046" s="107">
        <v>321.55</v>
      </c>
      <c r="O1046" s="107">
        <v>308.2</v>
      </c>
      <c r="P1046" s="107">
        <v>313</v>
      </c>
      <c r="Q1046" s="107">
        <v>316.35000000000002</v>
      </c>
      <c r="R1046">
        <v>1546715</v>
      </c>
    </row>
    <row r="1047" spans="1:18" x14ac:dyDescent="0.25">
      <c r="A1047" s="149">
        <v>43543</v>
      </c>
      <c r="B1047" s="107">
        <v>328.75</v>
      </c>
      <c r="C1047" s="107">
        <v>319.60000000000002</v>
      </c>
      <c r="D1047" s="107">
        <v>314.2</v>
      </c>
      <c r="E1047" s="107">
        <v>316</v>
      </c>
      <c r="F1047" s="107">
        <v>319.60000000000002</v>
      </c>
      <c r="G1047">
        <v>216713</v>
      </c>
      <c r="H1047" s="107"/>
      <c r="I1047" s="107"/>
      <c r="L1047" s="149">
        <v>43543</v>
      </c>
      <c r="M1047" s="107">
        <v>319.7</v>
      </c>
      <c r="N1047" s="107">
        <v>328.95</v>
      </c>
      <c r="O1047" s="107">
        <v>313.64999999999998</v>
      </c>
      <c r="P1047" s="107">
        <v>316.45</v>
      </c>
      <c r="Q1047" s="107">
        <v>319.7</v>
      </c>
      <c r="R1047">
        <v>2442317</v>
      </c>
    </row>
    <row r="1048" spans="1:18" x14ac:dyDescent="0.25">
      <c r="A1048" s="149">
        <v>43544</v>
      </c>
      <c r="B1048" s="107">
        <v>328</v>
      </c>
      <c r="C1048" s="107">
        <v>325.95</v>
      </c>
      <c r="D1048" s="107">
        <v>320.10000000000002</v>
      </c>
      <c r="E1048" s="107">
        <v>321.05</v>
      </c>
      <c r="F1048" s="107">
        <v>325.95</v>
      </c>
      <c r="G1048">
        <v>96602</v>
      </c>
      <c r="H1048" s="107"/>
      <c r="I1048" s="107"/>
      <c r="L1048" s="149">
        <v>43544</v>
      </c>
      <c r="M1048" s="107">
        <v>326.35000000000002</v>
      </c>
      <c r="N1048" s="107">
        <v>328</v>
      </c>
      <c r="O1048" s="107">
        <v>320.35000000000002</v>
      </c>
      <c r="P1048" s="107">
        <v>320.85000000000002</v>
      </c>
      <c r="Q1048" s="107">
        <v>326.35000000000002</v>
      </c>
      <c r="R1048">
        <v>1986364</v>
      </c>
    </row>
    <row r="1049" spans="1:18" x14ac:dyDescent="0.25">
      <c r="A1049" s="149">
        <v>43546</v>
      </c>
      <c r="B1049" s="107">
        <v>333.45</v>
      </c>
      <c r="C1049" s="107">
        <v>323.39999999999998</v>
      </c>
      <c r="D1049" s="107">
        <v>322.5</v>
      </c>
      <c r="E1049" s="107">
        <v>327</v>
      </c>
      <c r="F1049" s="107">
        <v>323.39999999999998</v>
      </c>
      <c r="G1049">
        <v>151460</v>
      </c>
      <c r="H1049" s="107"/>
      <c r="I1049" s="107"/>
      <c r="L1049" s="149">
        <v>43546</v>
      </c>
      <c r="M1049" s="107">
        <v>323.60000000000002</v>
      </c>
      <c r="N1049" s="107">
        <v>333.9</v>
      </c>
      <c r="O1049" s="107">
        <v>322.75</v>
      </c>
      <c r="P1049" s="107">
        <v>328.35</v>
      </c>
      <c r="Q1049" s="107">
        <v>323.60000000000002</v>
      </c>
      <c r="R1049">
        <v>3418006</v>
      </c>
    </row>
    <row r="1050" spans="1:18" x14ac:dyDescent="0.25">
      <c r="A1050" s="149">
        <v>43549</v>
      </c>
      <c r="B1050" s="107">
        <v>330.05</v>
      </c>
      <c r="C1050" s="107">
        <v>327.8</v>
      </c>
      <c r="D1050" s="107">
        <v>316.05</v>
      </c>
      <c r="E1050" s="107">
        <v>320</v>
      </c>
      <c r="F1050" s="107">
        <v>327.8</v>
      </c>
      <c r="G1050">
        <v>74903</v>
      </c>
      <c r="H1050" s="107"/>
      <c r="I1050" s="107"/>
      <c r="L1050" s="149">
        <v>43549</v>
      </c>
      <c r="M1050" s="107">
        <v>328.2</v>
      </c>
      <c r="N1050" s="107">
        <v>330.5</v>
      </c>
      <c r="O1050" s="107">
        <v>316.45</v>
      </c>
      <c r="P1050" s="107">
        <v>317.5</v>
      </c>
      <c r="Q1050" s="107">
        <v>328.2</v>
      </c>
      <c r="R1050">
        <v>1609493</v>
      </c>
    </row>
    <row r="1051" spans="1:18" x14ac:dyDescent="0.25">
      <c r="A1051" s="149">
        <v>43550</v>
      </c>
      <c r="B1051" s="107">
        <v>337</v>
      </c>
      <c r="C1051" s="107">
        <v>334.95</v>
      </c>
      <c r="D1051" s="107">
        <v>330.4</v>
      </c>
      <c r="E1051" s="107">
        <v>331.9</v>
      </c>
      <c r="F1051" s="107">
        <v>334.95</v>
      </c>
      <c r="G1051">
        <v>237543</v>
      </c>
      <c r="H1051" s="107"/>
      <c r="I1051" s="107"/>
      <c r="L1051" s="149">
        <v>43550</v>
      </c>
      <c r="M1051" s="107">
        <v>335.35</v>
      </c>
      <c r="N1051" s="107">
        <v>336.95</v>
      </c>
      <c r="O1051" s="107">
        <v>329.55</v>
      </c>
      <c r="P1051" s="107">
        <v>330.9</v>
      </c>
      <c r="Q1051" s="107">
        <v>335.35</v>
      </c>
      <c r="R1051">
        <v>2949263</v>
      </c>
    </row>
    <row r="1052" spans="1:18" x14ac:dyDescent="0.25">
      <c r="A1052" s="149">
        <v>43551</v>
      </c>
      <c r="B1052" s="107">
        <v>344.75</v>
      </c>
      <c r="C1052" s="107">
        <v>335.45</v>
      </c>
      <c r="D1052" s="107">
        <v>333.3</v>
      </c>
      <c r="E1052" s="107">
        <v>337.95</v>
      </c>
      <c r="F1052" s="107">
        <v>335.45</v>
      </c>
      <c r="G1052">
        <v>133814</v>
      </c>
      <c r="H1052" s="107"/>
      <c r="I1052" s="107"/>
      <c r="L1052" s="149">
        <v>43551</v>
      </c>
      <c r="M1052" s="107">
        <v>335.7</v>
      </c>
      <c r="N1052" s="107">
        <v>344.9</v>
      </c>
      <c r="O1052" s="107">
        <v>331.8</v>
      </c>
      <c r="P1052" s="107">
        <v>335.45</v>
      </c>
      <c r="Q1052" s="107">
        <v>335.7</v>
      </c>
      <c r="R1052">
        <v>2110512</v>
      </c>
    </row>
    <row r="1053" spans="1:18" x14ac:dyDescent="0.25">
      <c r="A1053" s="149">
        <v>43552</v>
      </c>
      <c r="B1053" s="107">
        <v>347</v>
      </c>
      <c r="C1053" s="107">
        <v>345.25</v>
      </c>
      <c r="D1053" s="107">
        <v>337.2</v>
      </c>
      <c r="E1053" s="107">
        <v>338.55</v>
      </c>
      <c r="F1053" s="107">
        <v>345.25</v>
      </c>
      <c r="G1053">
        <v>85003</v>
      </c>
      <c r="H1053" s="107"/>
      <c r="I1053" s="107"/>
      <c r="L1053" s="149">
        <v>43552</v>
      </c>
      <c r="M1053" s="107">
        <v>345.9</v>
      </c>
      <c r="N1053" s="107">
        <v>347.5</v>
      </c>
      <c r="O1053" s="107">
        <v>337</v>
      </c>
      <c r="P1053" s="107">
        <v>338.4</v>
      </c>
      <c r="Q1053" s="107">
        <v>345.9</v>
      </c>
      <c r="R1053">
        <v>1566025</v>
      </c>
    </row>
    <row r="1054" spans="1:18" x14ac:dyDescent="0.25">
      <c r="A1054" s="149">
        <v>43553</v>
      </c>
      <c r="B1054" s="107">
        <v>356.15</v>
      </c>
      <c r="C1054" s="107">
        <v>348.55</v>
      </c>
      <c r="D1054" s="107">
        <v>346</v>
      </c>
      <c r="E1054" s="107">
        <v>346</v>
      </c>
      <c r="F1054" s="107">
        <v>348.55</v>
      </c>
      <c r="G1054">
        <v>106749</v>
      </c>
      <c r="H1054" s="107"/>
      <c r="I1054" s="107"/>
      <c r="L1054" s="149">
        <v>43553</v>
      </c>
      <c r="M1054" s="107">
        <v>348.85</v>
      </c>
      <c r="N1054" s="107">
        <v>356.8</v>
      </c>
      <c r="O1054" s="107">
        <v>345.95</v>
      </c>
      <c r="P1054" s="107">
        <v>347</v>
      </c>
      <c r="Q1054" s="107">
        <v>348.85</v>
      </c>
      <c r="R1054">
        <v>1958143</v>
      </c>
    </row>
    <row r="1055" spans="1:18" x14ac:dyDescent="0.25">
      <c r="A1055" s="149">
        <v>43556</v>
      </c>
      <c r="B1055" s="107">
        <v>361.3</v>
      </c>
      <c r="C1055" s="107">
        <v>354.95</v>
      </c>
      <c r="D1055" s="107">
        <v>349.05</v>
      </c>
      <c r="E1055" s="107">
        <v>350.1</v>
      </c>
      <c r="F1055" s="107">
        <v>354.95</v>
      </c>
      <c r="G1055">
        <v>186238</v>
      </c>
      <c r="H1055" s="107"/>
      <c r="I1055" s="107"/>
      <c r="L1055" s="149">
        <v>43556</v>
      </c>
      <c r="M1055" s="107">
        <v>354.25</v>
      </c>
      <c r="N1055" s="107">
        <v>361.45</v>
      </c>
      <c r="O1055" s="107">
        <v>349</v>
      </c>
      <c r="P1055" s="107">
        <v>350.25</v>
      </c>
      <c r="Q1055" s="107">
        <v>354.25</v>
      </c>
      <c r="R1055">
        <v>2206271</v>
      </c>
    </row>
    <row r="1056" spans="1:18" x14ac:dyDescent="0.25">
      <c r="A1056" s="149">
        <v>43557</v>
      </c>
      <c r="B1056" s="107">
        <v>357</v>
      </c>
      <c r="C1056" s="107">
        <v>349</v>
      </c>
      <c r="D1056" s="107">
        <v>347.05</v>
      </c>
      <c r="E1056" s="107">
        <v>356</v>
      </c>
      <c r="F1056" s="107">
        <v>349</v>
      </c>
      <c r="G1056">
        <v>50976</v>
      </c>
      <c r="H1056" s="107"/>
      <c r="I1056" s="107"/>
      <c r="L1056" s="149">
        <v>43557</v>
      </c>
      <c r="M1056" s="107">
        <v>349.7</v>
      </c>
      <c r="N1056" s="107">
        <v>357.25</v>
      </c>
      <c r="O1056" s="107">
        <v>347.45</v>
      </c>
      <c r="P1056" s="107">
        <v>356.7</v>
      </c>
      <c r="Q1056" s="107">
        <v>349.7</v>
      </c>
      <c r="R1056">
        <v>1101143</v>
      </c>
    </row>
    <row r="1057" spans="1:18" x14ac:dyDescent="0.25">
      <c r="A1057" s="149">
        <v>43558</v>
      </c>
      <c r="B1057" s="107">
        <v>360.65</v>
      </c>
      <c r="C1057" s="107">
        <v>352.7</v>
      </c>
      <c r="D1057" s="107">
        <v>347</v>
      </c>
      <c r="E1057" s="107">
        <v>347</v>
      </c>
      <c r="F1057" s="107">
        <v>352.7</v>
      </c>
      <c r="G1057">
        <v>83921</v>
      </c>
      <c r="H1057" s="107"/>
      <c r="I1057" s="107"/>
      <c r="L1057" s="149">
        <v>43558</v>
      </c>
      <c r="M1057" s="107">
        <v>352.5</v>
      </c>
      <c r="N1057" s="107">
        <v>361</v>
      </c>
      <c r="O1057" s="107">
        <v>349</v>
      </c>
      <c r="P1057" s="107">
        <v>350</v>
      </c>
      <c r="Q1057" s="107">
        <v>352.5</v>
      </c>
      <c r="R1057">
        <v>1696747</v>
      </c>
    </row>
    <row r="1058" spans="1:18" x14ac:dyDescent="0.25">
      <c r="A1058" s="149">
        <v>43559</v>
      </c>
      <c r="B1058" s="107">
        <v>356.55</v>
      </c>
      <c r="C1058" s="107">
        <v>346.7</v>
      </c>
      <c r="D1058" s="107">
        <v>343.2</v>
      </c>
      <c r="E1058" s="107">
        <v>352</v>
      </c>
      <c r="F1058" s="107">
        <v>346.7</v>
      </c>
      <c r="G1058">
        <v>125455</v>
      </c>
      <c r="H1058" s="107"/>
      <c r="I1058" s="107"/>
      <c r="L1058" s="149">
        <v>43559</v>
      </c>
      <c r="M1058" s="107">
        <v>347.1</v>
      </c>
      <c r="N1058" s="107">
        <v>356.6</v>
      </c>
      <c r="O1058" s="107">
        <v>343.05</v>
      </c>
      <c r="P1058" s="107">
        <v>351.7</v>
      </c>
      <c r="Q1058" s="107">
        <v>347.1</v>
      </c>
      <c r="R1058">
        <v>2328290</v>
      </c>
    </row>
    <row r="1059" spans="1:18" x14ac:dyDescent="0.25">
      <c r="A1059" s="149">
        <v>43560</v>
      </c>
      <c r="B1059" s="107">
        <v>363.3</v>
      </c>
      <c r="C1059" s="107">
        <v>360.45</v>
      </c>
      <c r="D1059" s="107">
        <v>350</v>
      </c>
      <c r="E1059" s="107">
        <v>350</v>
      </c>
      <c r="F1059" s="107">
        <v>360.45</v>
      </c>
      <c r="G1059">
        <v>128524</v>
      </c>
      <c r="H1059" s="107"/>
      <c r="I1059" s="107"/>
      <c r="L1059" s="149">
        <v>43560</v>
      </c>
      <c r="M1059" s="107">
        <v>360.1</v>
      </c>
      <c r="N1059" s="107">
        <v>363.5</v>
      </c>
      <c r="O1059" s="107">
        <v>348.45</v>
      </c>
      <c r="P1059" s="107">
        <v>348.9</v>
      </c>
      <c r="Q1059" s="107">
        <v>360.1</v>
      </c>
      <c r="R1059">
        <v>2898665</v>
      </c>
    </row>
    <row r="1060" spans="1:18" x14ac:dyDescent="0.25">
      <c r="A1060" s="149">
        <v>43563</v>
      </c>
      <c r="B1060" s="107">
        <v>368.35</v>
      </c>
      <c r="C1060" s="107">
        <v>360.95</v>
      </c>
      <c r="D1060" s="107">
        <v>359.6</v>
      </c>
      <c r="E1060" s="107">
        <v>361</v>
      </c>
      <c r="F1060" s="107">
        <v>360.95</v>
      </c>
      <c r="G1060">
        <v>117176</v>
      </c>
      <c r="H1060" s="107"/>
      <c r="I1060" s="107"/>
      <c r="L1060" s="149">
        <v>43563</v>
      </c>
      <c r="M1060" s="107">
        <v>361.8</v>
      </c>
      <c r="N1060" s="107">
        <v>368.7</v>
      </c>
      <c r="O1060" s="107">
        <v>359.85</v>
      </c>
      <c r="P1060" s="107">
        <v>361.1</v>
      </c>
      <c r="Q1060" s="107">
        <v>361.8</v>
      </c>
      <c r="R1060">
        <v>2206838</v>
      </c>
    </row>
    <row r="1061" spans="1:18" x14ac:dyDescent="0.25">
      <c r="A1061" s="149">
        <v>43564</v>
      </c>
      <c r="B1061" s="107">
        <v>363</v>
      </c>
      <c r="C1061" s="107">
        <v>354.75</v>
      </c>
      <c r="D1061" s="107">
        <v>348.55</v>
      </c>
      <c r="E1061" s="107">
        <v>362.45</v>
      </c>
      <c r="F1061" s="107">
        <v>354.75</v>
      </c>
      <c r="G1061">
        <v>124216</v>
      </c>
      <c r="H1061" s="107"/>
      <c r="I1061" s="107"/>
      <c r="L1061" s="149">
        <v>43564</v>
      </c>
      <c r="M1061" s="107">
        <v>354.3</v>
      </c>
      <c r="N1061" s="107">
        <v>364.05</v>
      </c>
      <c r="O1061" s="107">
        <v>349.15</v>
      </c>
      <c r="P1061" s="107">
        <v>363</v>
      </c>
      <c r="Q1061" s="107">
        <v>354.3</v>
      </c>
      <c r="R1061">
        <v>1647653</v>
      </c>
    </row>
    <row r="1062" spans="1:18" x14ac:dyDescent="0.25">
      <c r="A1062" s="149">
        <v>43565</v>
      </c>
      <c r="B1062" s="107">
        <v>359.85</v>
      </c>
      <c r="C1062" s="107">
        <v>347.35</v>
      </c>
      <c r="D1062" s="107">
        <v>345.95</v>
      </c>
      <c r="E1062" s="107">
        <v>353.65</v>
      </c>
      <c r="F1062" s="107">
        <v>347.35</v>
      </c>
      <c r="G1062">
        <v>84436</v>
      </c>
      <c r="H1062" s="107"/>
      <c r="I1062" s="107"/>
      <c r="L1062" s="149">
        <v>43565</v>
      </c>
      <c r="M1062" s="107">
        <v>347.4</v>
      </c>
      <c r="N1062" s="107">
        <v>359.3</v>
      </c>
      <c r="O1062" s="107">
        <v>346.25</v>
      </c>
      <c r="P1062" s="107">
        <v>354</v>
      </c>
      <c r="Q1062" s="107">
        <v>347.4</v>
      </c>
      <c r="R1062">
        <v>1223167</v>
      </c>
    </row>
    <row r="1063" spans="1:18" x14ac:dyDescent="0.25">
      <c r="A1063" s="149">
        <v>43566</v>
      </c>
      <c r="B1063" s="107">
        <v>351.4</v>
      </c>
      <c r="C1063" s="107">
        <v>349.4</v>
      </c>
      <c r="D1063" s="107">
        <v>344</v>
      </c>
      <c r="E1063" s="107">
        <v>346.1</v>
      </c>
      <c r="F1063" s="107">
        <v>349.4</v>
      </c>
      <c r="G1063">
        <v>67419</v>
      </c>
      <c r="H1063" s="107"/>
      <c r="I1063" s="107"/>
      <c r="L1063" s="149">
        <v>43566</v>
      </c>
      <c r="M1063" s="107">
        <v>349.6</v>
      </c>
      <c r="N1063" s="107">
        <v>351.35</v>
      </c>
      <c r="O1063" s="107">
        <v>343.65</v>
      </c>
      <c r="P1063" s="107">
        <v>346.9</v>
      </c>
      <c r="Q1063" s="107">
        <v>349.6</v>
      </c>
      <c r="R1063">
        <v>799829</v>
      </c>
    </row>
    <row r="1064" spans="1:18" x14ac:dyDescent="0.25">
      <c r="A1064" s="149">
        <v>43567</v>
      </c>
      <c r="B1064" s="107">
        <v>354</v>
      </c>
      <c r="C1064" s="107">
        <v>353</v>
      </c>
      <c r="D1064" s="107">
        <v>348.5</v>
      </c>
      <c r="E1064" s="107">
        <v>350.95</v>
      </c>
      <c r="F1064" s="107">
        <v>353</v>
      </c>
      <c r="G1064">
        <v>30616</v>
      </c>
      <c r="H1064" s="107"/>
      <c r="I1064" s="107"/>
      <c r="L1064" s="149">
        <v>43567</v>
      </c>
      <c r="M1064" s="107">
        <v>352.8</v>
      </c>
      <c r="N1064" s="107">
        <v>353.95</v>
      </c>
      <c r="O1064" s="107">
        <v>348</v>
      </c>
      <c r="P1064" s="107">
        <v>348.1</v>
      </c>
      <c r="Q1064" s="107">
        <v>352.8</v>
      </c>
      <c r="R1064">
        <v>593965</v>
      </c>
    </row>
    <row r="1065" spans="1:18" x14ac:dyDescent="0.25">
      <c r="A1065" s="149">
        <v>43570</v>
      </c>
      <c r="B1065" s="107">
        <v>356</v>
      </c>
      <c r="C1065" s="107">
        <v>347.2</v>
      </c>
      <c r="D1065" s="107">
        <v>345.25</v>
      </c>
      <c r="E1065" s="107">
        <v>351</v>
      </c>
      <c r="F1065" s="107">
        <v>347.2</v>
      </c>
      <c r="G1065">
        <v>41102</v>
      </c>
      <c r="H1065" s="107"/>
      <c r="I1065" s="107"/>
      <c r="L1065" s="149">
        <v>43570</v>
      </c>
      <c r="M1065" s="107">
        <v>346.75</v>
      </c>
      <c r="N1065" s="107">
        <v>356</v>
      </c>
      <c r="O1065" s="107">
        <v>345.5</v>
      </c>
      <c r="P1065" s="107">
        <v>353.5</v>
      </c>
      <c r="Q1065" s="107">
        <v>346.75</v>
      </c>
      <c r="R1065">
        <v>480853</v>
      </c>
    </row>
    <row r="1066" spans="1:18" x14ac:dyDescent="0.25">
      <c r="A1066" s="149">
        <v>43571</v>
      </c>
      <c r="B1066" s="107">
        <v>349.1</v>
      </c>
      <c r="C1066" s="107">
        <v>344.85</v>
      </c>
      <c r="D1066" s="107">
        <v>342</v>
      </c>
      <c r="E1066" s="107">
        <v>347</v>
      </c>
      <c r="F1066" s="107">
        <v>344.85</v>
      </c>
      <c r="G1066">
        <v>46479</v>
      </c>
      <c r="H1066" s="107"/>
      <c r="I1066" s="107"/>
      <c r="L1066" s="149">
        <v>43571</v>
      </c>
      <c r="M1066" s="107">
        <v>345</v>
      </c>
      <c r="N1066" s="107">
        <v>348.9</v>
      </c>
      <c r="O1066" s="107">
        <v>342.05</v>
      </c>
      <c r="P1066" s="107">
        <v>346</v>
      </c>
      <c r="Q1066" s="107">
        <v>345</v>
      </c>
      <c r="R1066">
        <v>672454</v>
      </c>
    </row>
    <row r="1067" spans="1:18" x14ac:dyDescent="0.25">
      <c r="A1067" s="149">
        <v>43573</v>
      </c>
      <c r="B1067" s="107">
        <v>346.75</v>
      </c>
      <c r="C1067" s="107">
        <v>337.55</v>
      </c>
      <c r="D1067" s="107">
        <v>335.65</v>
      </c>
      <c r="E1067" s="107">
        <v>343.25</v>
      </c>
      <c r="F1067" s="107">
        <v>337.55</v>
      </c>
      <c r="G1067">
        <v>141650</v>
      </c>
      <c r="H1067" s="107"/>
      <c r="I1067" s="107"/>
      <c r="L1067" s="149">
        <v>43573</v>
      </c>
      <c r="M1067" s="107">
        <v>337.2</v>
      </c>
      <c r="N1067" s="107">
        <v>346.9</v>
      </c>
      <c r="O1067" s="107">
        <v>335.7</v>
      </c>
      <c r="P1067" s="107">
        <v>343</v>
      </c>
      <c r="Q1067" s="107">
        <v>337.2</v>
      </c>
      <c r="R1067">
        <v>967633</v>
      </c>
    </row>
    <row r="1068" spans="1:18" x14ac:dyDescent="0.25">
      <c r="A1068" s="149">
        <v>43577</v>
      </c>
      <c r="B1068" s="107">
        <v>335</v>
      </c>
      <c r="C1068" s="107">
        <v>318.7</v>
      </c>
      <c r="D1068" s="107">
        <v>316.95</v>
      </c>
      <c r="E1068" s="107">
        <v>334.95</v>
      </c>
      <c r="F1068" s="107">
        <v>318.7</v>
      </c>
      <c r="G1068">
        <v>84096</v>
      </c>
      <c r="H1068" s="107"/>
      <c r="I1068" s="107"/>
      <c r="L1068" s="149">
        <v>43577</v>
      </c>
      <c r="M1068" s="107">
        <v>319.3</v>
      </c>
      <c r="N1068" s="107">
        <v>335.85</v>
      </c>
      <c r="O1068" s="107">
        <v>317.14999999999998</v>
      </c>
      <c r="P1068" s="107">
        <v>335</v>
      </c>
      <c r="Q1068" s="107">
        <v>319.3</v>
      </c>
      <c r="R1068">
        <v>1159638</v>
      </c>
    </row>
    <row r="1069" spans="1:18" x14ac:dyDescent="0.25">
      <c r="A1069" s="149">
        <v>43578</v>
      </c>
      <c r="B1069" s="107">
        <v>322.05</v>
      </c>
      <c r="C1069" s="107">
        <v>317.55</v>
      </c>
      <c r="D1069" s="107">
        <v>311.25</v>
      </c>
      <c r="E1069" s="107">
        <v>319.55</v>
      </c>
      <c r="F1069" s="107">
        <v>317.55</v>
      </c>
      <c r="G1069">
        <v>100798</v>
      </c>
      <c r="H1069" s="107"/>
      <c r="I1069" s="107"/>
      <c r="L1069" s="149">
        <v>43578</v>
      </c>
      <c r="M1069" s="107">
        <v>317.3</v>
      </c>
      <c r="N1069" s="107">
        <v>322.14999999999998</v>
      </c>
      <c r="O1069" s="107">
        <v>311.05</v>
      </c>
      <c r="P1069" s="107">
        <v>322.14999999999998</v>
      </c>
      <c r="Q1069" s="107">
        <v>317.3</v>
      </c>
      <c r="R1069">
        <v>1770616</v>
      </c>
    </row>
    <row r="1070" spans="1:18" x14ac:dyDescent="0.25">
      <c r="A1070" s="149">
        <v>43579</v>
      </c>
      <c r="B1070" s="107">
        <v>321.10000000000002</v>
      </c>
      <c r="C1070" s="107">
        <v>316.95</v>
      </c>
      <c r="D1070" s="107">
        <v>313</v>
      </c>
      <c r="E1070" s="107">
        <v>319</v>
      </c>
      <c r="F1070" s="107">
        <v>316.95</v>
      </c>
      <c r="G1070">
        <v>45911</v>
      </c>
      <c r="H1070" s="107"/>
      <c r="I1070" s="107"/>
      <c r="L1070" s="149">
        <v>43579</v>
      </c>
      <c r="M1070" s="107">
        <v>317.05</v>
      </c>
      <c r="N1070" s="107">
        <v>321.7</v>
      </c>
      <c r="O1070" s="107">
        <v>312.5</v>
      </c>
      <c r="P1070" s="107">
        <v>318</v>
      </c>
      <c r="Q1070" s="107">
        <v>317.05</v>
      </c>
      <c r="R1070">
        <v>1354590</v>
      </c>
    </row>
    <row r="1071" spans="1:18" x14ac:dyDescent="0.25">
      <c r="A1071" s="149">
        <v>43580</v>
      </c>
      <c r="B1071" s="107">
        <v>324</v>
      </c>
      <c r="C1071" s="107">
        <v>319.35000000000002</v>
      </c>
      <c r="D1071" s="107">
        <v>317</v>
      </c>
      <c r="E1071" s="107">
        <v>320.05</v>
      </c>
      <c r="F1071" s="107">
        <v>319.35000000000002</v>
      </c>
      <c r="G1071">
        <v>60098</v>
      </c>
      <c r="H1071" s="107"/>
      <c r="I1071" s="107"/>
      <c r="L1071" s="149">
        <v>43580</v>
      </c>
      <c r="M1071" s="107">
        <v>319.8</v>
      </c>
      <c r="N1071" s="107">
        <v>324.39999999999998</v>
      </c>
      <c r="O1071" s="107">
        <v>316.7</v>
      </c>
      <c r="P1071" s="107">
        <v>320.39999999999998</v>
      </c>
      <c r="Q1071" s="107">
        <v>319.8</v>
      </c>
      <c r="R1071">
        <v>1347648</v>
      </c>
    </row>
    <row r="1072" spans="1:18" x14ac:dyDescent="0.25">
      <c r="A1072" s="149">
        <v>43581</v>
      </c>
      <c r="B1072" s="107">
        <v>324.45</v>
      </c>
      <c r="C1072" s="107">
        <v>322.05</v>
      </c>
      <c r="D1072" s="107">
        <v>318.95</v>
      </c>
      <c r="E1072" s="107">
        <v>321</v>
      </c>
      <c r="F1072" s="107">
        <v>322.05</v>
      </c>
      <c r="G1072">
        <v>47775</v>
      </c>
      <c r="H1072" s="107"/>
      <c r="I1072" s="107"/>
      <c r="L1072" s="149">
        <v>43581</v>
      </c>
      <c r="M1072" s="107">
        <v>322.39999999999998</v>
      </c>
      <c r="N1072" s="107">
        <v>324.64999999999998</v>
      </c>
      <c r="O1072" s="107">
        <v>317.8</v>
      </c>
      <c r="P1072" s="107">
        <v>320.89999999999998</v>
      </c>
      <c r="Q1072" s="107">
        <v>322.39999999999998</v>
      </c>
      <c r="R1072">
        <v>499361</v>
      </c>
    </row>
    <row r="1073" spans="1:18" x14ac:dyDescent="0.25">
      <c r="A1073" s="149">
        <v>43585</v>
      </c>
      <c r="B1073" s="107">
        <v>322.3</v>
      </c>
      <c r="C1073" s="107">
        <v>317.55</v>
      </c>
      <c r="D1073" s="107">
        <v>313.64999999999998</v>
      </c>
      <c r="E1073" s="107">
        <v>322.3</v>
      </c>
      <c r="F1073" s="107">
        <v>317.55</v>
      </c>
      <c r="G1073">
        <v>65304</v>
      </c>
      <c r="H1073" s="107"/>
      <c r="I1073" s="107"/>
      <c r="L1073" s="149">
        <v>43585</v>
      </c>
      <c r="M1073" s="107">
        <v>318.64999999999998</v>
      </c>
      <c r="N1073" s="107">
        <v>323.45</v>
      </c>
      <c r="O1073" s="107">
        <v>313.2</v>
      </c>
      <c r="P1073" s="107">
        <v>321.05</v>
      </c>
      <c r="Q1073" s="107">
        <v>318.64999999999998</v>
      </c>
      <c r="R1073">
        <v>1138445</v>
      </c>
    </row>
    <row r="1074" spans="1:18" x14ac:dyDescent="0.25">
      <c r="A1074" s="149">
        <v>43587</v>
      </c>
      <c r="B1074" s="107">
        <v>345.6</v>
      </c>
      <c r="C1074" s="107">
        <v>342.65</v>
      </c>
      <c r="D1074" s="107">
        <v>313.89999999999998</v>
      </c>
      <c r="E1074" s="107">
        <v>315</v>
      </c>
      <c r="F1074" s="107">
        <v>342.65</v>
      </c>
      <c r="G1074">
        <v>183378</v>
      </c>
      <c r="H1074" s="107"/>
      <c r="I1074" s="107"/>
      <c r="L1074" s="149">
        <v>43587</v>
      </c>
      <c r="M1074" s="107">
        <v>342.5</v>
      </c>
      <c r="N1074" s="107">
        <v>346</v>
      </c>
      <c r="O1074" s="107">
        <v>311.8</v>
      </c>
      <c r="P1074" s="107">
        <v>312</v>
      </c>
      <c r="Q1074" s="107">
        <v>342.5</v>
      </c>
      <c r="R1074">
        <v>4207333</v>
      </c>
    </row>
    <row r="1075" spans="1:18" x14ac:dyDescent="0.25">
      <c r="A1075" s="149">
        <v>43588</v>
      </c>
      <c r="B1075" s="107">
        <v>344.6</v>
      </c>
      <c r="C1075" s="107">
        <v>333.3</v>
      </c>
      <c r="D1075" s="107">
        <v>330.75</v>
      </c>
      <c r="E1075" s="107">
        <v>341.8</v>
      </c>
      <c r="F1075" s="107">
        <v>333.3</v>
      </c>
      <c r="G1075">
        <v>75488</v>
      </c>
      <c r="H1075" s="107"/>
      <c r="I1075" s="107"/>
      <c r="L1075" s="149">
        <v>43588</v>
      </c>
      <c r="M1075" s="107">
        <v>332.75</v>
      </c>
      <c r="N1075" s="107">
        <v>344.65</v>
      </c>
      <c r="O1075" s="107">
        <v>330.4</v>
      </c>
      <c r="P1075" s="107">
        <v>341.65</v>
      </c>
      <c r="Q1075" s="107">
        <v>332.75</v>
      </c>
      <c r="R1075">
        <v>1506224</v>
      </c>
    </row>
    <row r="1076" spans="1:18" x14ac:dyDescent="0.25">
      <c r="A1076" s="149">
        <v>43591</v>
      </c>
      <c r="B1076" s="107">
        <v>332.15</v>
      </c>
      <c r="C1076" s="107">
        <v>323.64999999999998</v>
      </c>
      <c r="D1076" s="107">
        <v>321.8</v>
      </c>
      <c r="E1076" s="107">
        <v>327</v>
      </c>
      <c r="F1076" s="107">
        <v>323.64999999999998</v>
      </c>
      <c r="G1076">
        <v>31368</v>
      </c>
      <c r="H1076" s="107"/>
      <c r="I1076" s="107"/>
      <c r="L1076" s="149">
        <v>43591</v>
      </c>
      <c r="M1076" s="107">
        <v>323.5</v>
      </c>
      <c r="N1076" s="107">
        <v>332.3</v>
      </c>
      <c r="O1076" s="107">
        <v>321.45</v>
      </c>
      <c r="P1076" s="107">
        <v>327</v>
      </c>
      <c r="Q1076" s="107">
        <v>323.5</v>
      </c>
      <c r="R1076">
        <v>706867</v>
      </c>
    </row>
    <row r="1077" spans="1:18" x14ac:dyDescent="0.25">
      <c r="A1077" s="149">
        <v>43592</v>
      </c>
      <c r="B1077" s="107">
        <v>328.2</v>
      </c>
      <c r="C1077" s="107">
        <v>315.64999999999998</v>
      </c>
      <c r="D1077" s="107">
        <v>314.55</v>
      </c>
      <c r="E1077" s="107">
        <v>327.64999999999998</v>
      </c>
      <c r="F1077" s="107">
        <v>315.64999999999998</v>
      </c>
      <c r="G1077">
        <v>27826</v>
      </c>
      <c r="H1077" s="107"/>
      <c r="I1077" s="107"/>
      <c r="L1077" s="149">
        <v>43592</v>
      </c>
      <c r="M1077" s="107">
        <v>315.89999999999998</v>
      </c>
      <c r="N1077" s="107">
        <v>329.75</v>
      </c>
      <c r="O1077" s="107">
        <v>314.25</v>
      </c>
      <c r="P1077" s="107">
        <v>325.10000000000002</v>
      </c>
      <c r="Q1077" s="107">
        <v>315.89999999999998</v>
      </c>
      <c r="R1077">
        <v>649421</v>
      </c>
    </row>
    <row r="1078" spans="1:18" x14ac:dyDescent="0.25">
      <c r="A1078" s="149">
        <v>43593</v>
      </c>
      <c r="B1078" s="107">
        <v>326.14999999999998</v>
      </c>
      <c r="C1078" s="107">
        <v>321.3</v>
      </c>
      <c r="D1078" s="107">
        <v>312.85000000000002</v>
      </c>
      <c r="E1078" s="107">
        <v>313</v>
      </c>
      <c r="F1078" s="107">
        <v>321.3</v>
      </c>
      <c r="G1078">
        <v>51825</v>
      </c>
      <c r="H1078" s="107"/>
      <c r="I1078" s="107"/>
      <c r="L1078" s="149">
        <v>43593</v>
      </c>
      <c r="M1078" s="107">
        <v>321.10000000000002</v>
      </c>
      <c r="N1078" s="107">
        <v>326.39999999999998</v>
      </c>
      <c r="O1078" s="107">
        <v>311.05</v>
      </c>
      <c r="P1078" s="107">
        <v>312.25</v>
      </c>
      <c r="Q1078" s="107">
        <v>321.10000000000002</v>
      </c>
      <c r="R1078">
        <v>1230045</v>
      </c>
    </row>
    <row r="1079" spans="1:18" x14ac:dyDescent="0.25">
      <c r="A1079" s="149">
        <v>43594</v>
      </c>
      <c r="B1079" s="107">
        <v>326</v>
      </c>
      <c r="C1079" s="107">
        <v>316.85000000000002</v>
      </c>
      <c r="D1079" s="107">
        <v>314.5</v>
      </c>
      <c r="E1079" s="107">
        <v>321.89999999999998</v>
      </c>
      <c r="F1079" s="107">
        <v>316.85000000000002</v>
      </c>
      <c r="G1079">
        <v>57421</v>
      </c>
      <c r="H1079" s="107"/>
      <c r="I1079" s="107"/>
      <c r="L1079" s="149">
        <v>43594</v>
      </c>
      <c r="M1079" s="107">
        <v>317.75</v>
      </c>
      <c r="N1079" s="107">
        <v>326.10000000000002</v>
      </c>
      <c r="O1079" s="107">
        <v>315.7</v>
      </c>
      <c r="P1079" s="107">
        <v>321.85000000000002</v>
      </c>
      <c r="Q1079" s="107">
        <v>317.75</v>
      </c>
      <c r="R1079">
        <v>889335</v>
      </c>
    </row>
    <row r="1080" spans="1:18" x14ac:dyDescent="0.25">
      <c r="A1080" s="149">
        <v>43595</v>
      </c>
      <c r="B1080" s="107">
        <v>323.14999999999998</v>
      </c>
      <c r="C1080" s="107">
        <v>317.95</v>
      </c>
      <c r="D1080" s="107">
        <v>314</v>
      </c>
      <c r="E1080" s="107">
        <v>319</v>
      </c>
      <c r="F1080" s="107">
        <v>317.95</v>
      </c>
      <c r="G1080">
        <v>49581</v>
      </c>
      <c r="H1080" s="107"/>
      <c r="I1080" s="107"/>
      <c r="L1080" s="149">
        <v>43595</v>
      </c>
      <c r="M1080" s="107">
        <v>318.25</v>
      </c>
      <c r="N1080" s="107">
        <v>323.89999999999998</v>
      </c>
      <c r="O1080" s="107">
        <v>314</v>
      </c>
      <c r="P1080" s="107">
        <v>317.7</v>
      </c>
      <c r="Q1080" s="107">
        <v>318.25</v>
      </c>
      <c r="R1080">
        <v>895291</v>
      </c>
    </row>
    <row r="1081" spans="1:18" x14ac:dyDescent="0.25">
      <c r="A1081" s="149">
        <v>43598</v>
      </c>
      <c r="B1081" s="107">
        <v>319.14999999999998</v>
      </c>
      <c r="C1081" s="107">
        <v>308.75</v>
      </c>
      <c r="D1081" s="107">
        <v>305.10000000000002</v>
      </c>
      <c r="E1081" s="107">
        <v>317.64999999999998</v>
      </c>
      <c r="F1081" s="107">
        <v>308.75</v>
      </c>
      <c r="G1081">
        <v>33304</v>
      </c>
      <c r="H1081" s="107"/>
      <c r="I1081" s="107"/>
      <c r="L1081" s="149">
        <v>43598</v>
      </c>
      <c r="M1081" s="107">
        <v>309.2</v>
      </c>
      <c r="N1081" s="107">
        <v>319.85000000000002</v>
      </c>
      <c r="O1081" s="107">
        <v>305.85000000000002</v>
      </c>
      <c r="P1081" s="107">
        <v>319.3</v>
      </c>
      <c r="Q1081" s="107">
        <v>309.2</v>
      </c>
      <c r="R1081">
        <v>477911</v>
      </c>
    </row>
    <row r="1082" spans="1:18" x14ac:dyDescent="0.25">
      <c r="A1082" s="149">
        <v>43599</v>
      </c>
      <c r="B1082" s="107">
        <v>316</v>
      </c>
      <c r="C1082" s="107">
        <v>313.95</v>
      </c>
      <c r="D1082" s="107">
        <v>305.45</v>
      </c>
      <c r="E1082" s="107">
        <v>306.95</v>
      </c>
      <c r="F1082" s="107">
        <v>313.95</v>
      </c>
      <c r="G1082">
        <v>38032</v>
      </c>
      <c r="H1082" s="107"/>
      <c r="I1082" s="107"/>
      <c r="L1082" s="149">
        <v>43599</v>
      </c>
      <c r="M1082" s="107">
        <v>314.5</v>
      </c>
      <c r="N1082" s="107">
        <v>316.7</v>
      </c>
      <c r="O1082" s="107">
        <v>305.14999999999998</v>
      </c>
      <c r="P1082" s="107">
        <v>306.5</v>
      </c>
      <c r="Q1082" s="107">
        <v>314.5</v>
      </c>
      <c r="R1082">
        <v>743993</v>
      </c>
    </row>
    <row r="1083" spans="1:18" x14ac:dyDescent="0.25">
      <c r="A1083" s="149">
        <v>43600</v>
      </c>
      <c r="B1083" s="107">
        <v>317.39999999999998</v>
      </c>
      <c r="C1083" s="107">
        <v>305.5</v>
      </c>
      <c r="D1083" s="107">
        <v>304.75</v>
      </c>
      <c r="E1083" s="107">
        <v>317.39999999999998</v>
      </c>
      <c r="F1083" s="107">
        <v>305.5</v>
      </c>
      <c r="G1083">
        <v>41846</v>
      </c>
      <c r="H1083" s="107"/>
      <c r="I1083" s="107"/>
      <c r="L1083" s="149">
        <v>43600</v>
      </c>
      <c r="M1083" s="107">
        <v>305.7</v>
      </c>
      <c r="N1083" s="107">
        <v>319.8</v>
      </c>
      <c r="O1083" s="107">
        <v>304.75</v>
      </c>
      <c r="P1083" s="107">
        <v>314.5</v>
      </c>
      <c r="Q1083" s="107">
        <v>305.7</v>
      </c>
      <c r="R1083">
        <v>719149</v>
      </c>
    </row>
    <row r="1084" spans="1:18" x14ac:dyDescent="0.25">
      <c r="A1084" s="149">
        <v>43601</v>
      </c>
      <c r="B1084" s="107">
        <v>313.5</v>
      </c>
      <c r="C1084" s="107">
        <v>312.25</v>
      </c>
      <c r="D1084" s="107">
        <v>304.39999999999998</v>
      </c>
      <c r="E1084" s="107">
        <v>306.10000000000002</v>
      </c>
      <c r="F1084" s="107">
        <v>312.25</v>
      </c>
      <c r="G1084">
        <v>37013</v>
      </c>
      <c r="H1084" s="107"/>
      <c r="I1084" s="107"/>
      <c r="L1084" s="149">
        <v>43601</v>
      </c>
      <c r="M1084" s="107">
        <v>312.45</v>
      </c>
      <c r="N1084" s="107">
        <v>314.2</v>
      </c>
      <c r="O1084" s="107">
        <v>304.25</v>
      </c>
      <c r="P1084" s="107">
        <v>305.7</v>
      </c>
      <c r="Q1084" s="107">
        <v>312.45</v>
      </c>
      <c r="R1084">
        <v>715203</v>
      </c>
    </row>
    <row r="1085" spans="1:18" x14ac:dyDescent="0.25">
      <c r="A1085" s="149">
        <v>43602</v>
      </c>
      <c r="B1085" s="107">
        <v>321.8</v>
      </c>
      <c r="C1085" s="107">
        <v>320.05</v>
      </c>
      <c r="D1085" s="107">
        <v>311.2</v>
      </c>
      <c r="E1085" s="107">
        <v>312.89999999999998</v>
      </c>
      <c r="F1085" s="107">
        <v>320.05</v>
      </c>
      <c r="G1085">
        <v>36439</v>
      </c>
      <c r="H1085" s="107"/>
      <c r="I1085" s="107"/>
      <c r="L1085" s="149">
        <v>43602</v>
      </c>
      <c r="M1085" s="107">
        <v>319.95</v>
      </c>
      <c r="N1085" s="107">
        <v>322.45</v>
      </c>
      <c r="O1085" s="107">
        <v>310.89999999999998</v>
      </c>
      <c r="P1085" s="107">
        <v>313.5</v>
      </c>
      <c r="Q1085" s="107">
        <v>319.95</v>
      </c>
      <c r="R1085">
        <v>611539</v>
      </c>
    </row>
    <row r="1086" spans="1:18" x14ac:dyDescent="0.25">
      <c r="A1086" s="149">
        <v>43605</v>
      </c>
      <c r="B1086" s="107">
        <v>362.5</v>
      </c>
      <c r="C1086" s="107">
        <v>355.35</v>
      </c>
      <c r="D1086" s="107">
        <v>328.05</v>
      </c>
      <c r="E1086" s="107">
        <v>330.3</v>
      </c>
      <c r="F1086" s="107">
        <v>355.35</v>
      </c>
      <c r="G1086">
        <v>178865</v>
      </c>
      <c r="H1086" s="107"/>
      <c r="I1086" s="107"/>
      <c r="L1086" s="149">
        <v>43605</v>
      </c>
      <c r="M1086" s="107">
        <v>355.1</v>
      </c>
      <c r="N1086" s="107">
        <v>362.35</v>
      </c>
      <c r="O1086" s="107">
        <v>325.60000000000002</v>
      </c>
      <c r="P1086" s="107">
        <v>325.60000000000002</v>
      </c>
      <c r="Q1086" s="107">
        <v>355.1</v>
      </c>
      <c r="R1086">
        <v>2507528</v>
      </c>
    </row>
    <row r="1087" spans="1:18" x14ac:dyDescent="0.25">
      <c r="A1087" s="149">
        <v>43606</v>
      </c>
      <c r="B1087" s="107">
        <v>357</v>
      </c>
      <c r="C1087" s="107">
        <v>346.2</v>
      </c>
      <c r="D1087" s="107">
        <v>342</v>
      </c>
      <c r="E1087" s="107">
        <v>357</v>
      </c>
      <c r="F1087" s="107">
        <v>346.2</v>
      </c>
      <c r="G1087">
        <v>73192</v>
      </c>
      <c r="H1087" s="107"/>
      <c r="I1087" s="107"/>
      <c r="L1087" s="149">
        <v>43606</v>
      </c>
      <c r="M1087" s="107">
        <v>345.2</v>
      </c>
      <c r="N1087" s="107">
        <v>355</v>
      </c>
      <c r="O1087" s="107">
        <v>341.6</v>
      </c>
      <c r="P1087" s="107">
        <v>355</v>
      </c>
      <c r="Q1087" s="107">
        <v>345.2</v>
      </c>
      <c r="R1087">
        <v>850989</v>
      </c>
    </row>
    <row r="1088" spans="1:18" x14ac:dyDescent="0.25">
      <c r="A1088" s="149">
        <v>43607</v>
      </c>
      <c r="B1088" s="107">
        <v>347.95</v>
      </c>
      <c r="C1088" s="107">
        <v>342.65</v>
      </c>
      <c r="D1088" s="107">
        <v>335.45</v>
      </c>
      <c r="E1088" s="107">
        <v>342.1</v>
      </c>
      <c r="F1088" s="107">
        <v>342.65</v>
      </c>
      <c r="G1088">
        <v>78182</v>
      </c>
      <c r="H1088" s="107"/>
      <c r="I1088" s="107"/>
      <c r="L1088" s="149">
        <v>43607</v>
      </c>
      <c r="M1088" s="107">
        <v>343.05</v>
      </c>
      <c r="N1088" s="107">
        <v>347.95</v>
      </c>
      <c r="O1088" s="107">
        <v>335.5</v>
      </c>
      <c r="P1088" s="107">
        <v>344.25</v>
      </c>
      <c r="Q1088" s="107">
        <v>343.05</v>
      </c>
      <c r="R1088">
        <v>1008127</v>
      </c>
    </row>
    <row r="1089" spans="1:18" x14ac:dyDescent="0.25">
      <c r="A1089" s="149">
        <v>43608</v>
      </c>
      <c r="B1089" s="107">
        <v>360.65</v>
      </c>
      <c r="C1089" s="107">
        <v>340.65</v>
      </c>
      <c r="D1089" s="107">
        <v>338.15</v>
      </c>
      <c r="E1089" s="107">
        <v>352.5</v>
      </c>
      <c r="F1089" s="107">
        <v>340.65</v>
      </c>
      <c r="G1089">
        <v>109984</v>
      </c>
      <c r="H1089" s="107"/>
      <c r="I1089" s="107"/>
      <c r="L1089" s="149">
        <v>43608</v>
      </c>
      <c r="M1089" s="107">
        <v>340.45</v>
      </c>
      <c r="N1089" s="107">
        <v>361</v>
      </c>
      <c r="O1089" s="107">
        <v>338.1</v>
      </c>
      <c r="P1089" s="107">
        <v>354.9</v>
      </c>
      <c r="Q1089" s="107">
        <v>340.45</v>
      </c>
      <c r="R1089">
        <v>1159909</v>
      </c>
    </row>
    <row r="1090" spans="1:18" x14ac:dyDescent="0.25">
      <c r="A1090" s="149">
        <v>43609</v>
      </c>
      <c r="B1090" s="107">
        <v>368.05</v>
      </c>
      <c r="C1090" s="107">
        <v>359.15</v>
      </c>
      <c r="D1090" s="107">
        <v>346</v>
      </c>
      <c r="E1090" s="107">
        <v>346.35</v>
      </c>
      <c r="F1090" s="107">
        <v>359.15</v>
      </c>
      <c r="G1090">
        <v>106838</v>
      </c>
      <c r="H1090" s="107"/>
      <c r="I1090" s="107"/>
      <c r="L1090" s="149">
        <v>43609</v>
      </c>
      <c r="M1090" s="107">
        <v>357.7</v>
      </c>
      <c r="N1090" s="107">
        <v>359.35</v>
      </c>
      <c r="O1090" s="107">
        <v>340.45</v>
      </c>
      <c r="P1090" s="107">
        <v>340.45</v>
      </c>
      <c r="Q1090" s="107">
        <v>357.7</v>
      </c>
      <c r="R1090">
        <v>1326201</v>
      </c>
    </row>
    <row r="1091" spans="1:18" x14ac:dyDescent="0.25">
      <c r="A1091" s="149">
        <v>43612</v>
      </c>
      <c r="B1091" s="107">
        <v>356.65</v>
      </c>
      <c r="C1091" s="107">
        <v>355.2</v>
      </c>
      <c r="D1091" s="107">
        <v>348.9</v>
      </c>
      <c r="E1091" s="107">
        <v>353</v>
      </c>
      <c r="F1091" s="107">
        <v>355.2</v>
      </c>
      <c r="G1091">
        <v>41047</v>
      </c>
      <c r="H1091" s="107"/>
      <c r="I1091" s="107"/>
      <c r="L1091" s="149">
        <v>43612</v>
      </c>
      <c r="M1091" s="107">
        <v>354.7</v>
      </c>
      <c r="N1091" s="107">
        <v>357.05</v>
      </c>
      <c r="O1091" s="107">
        <v>348.8</v>
      </c>
      <c r="P1091" s="107">
        <v>357</v>
      </c>
      <c r="Q1091" s="107">
        <v>354.7</v>
      </c>
      <c r="R1091">
        <v>583212</v>
      </c>
    </row>
    <row r="1092" spans="1:18" x14ac:dyDescent="0.25">
      <c r="A1092" s="149">
        <v>43613</v>
      </c>
      <c r="B1092" s="107">
        <v>354.1</v>
      </c>
      <c r="C1092" s="107">
        <v>346.95</v>
      </c>
      <c r="D1092" s="107">
        <v>342.9</v>
      </c>
      <c r="E1092" s="107">
        <v>354.1</v>
      </c>
      <c r="F1092" s="107">
        <v>346.95</v>
      </c>
      <c r="G1092">
        <v>60427</v>
      </c>
      <c r="H1092" s="107"/>
      <c r="I1092" s="107"/>
      <c r="L1092" s="149">
        <v>43613</v>
      </c>
      <c r="M1092" s="107">
        <v>347.7</v>
      </c>
      <c r="N1092" s="107">
        <v>354.9</v>
      </c>
      <c r="O1092" s="107">
        <v>343.05</v>
      </c>
      <c r="P1092" s="107">
        <v>354.9</v>
      </c>
      <c r="Q1092" s="107">
        <v>347.7</v>
      </c>
      <c r="R1092">
        <v>823842</v>
      </c>
    </row>
    <row r="1093" spans="1:18" x14ac:dyDescent="0.25">
      <c r="A1093" s="149">
        <v>43614</v>
      </c>
      <c r="B1093" s="107">
        <v>361.55</v>
      </c>
      <c r="C1093" s="107">
        <v>353.85</v>
      </c>
      <c r="D1093" s="107">
        <v>342</v>
      </c>
      <c r="E1093" s="107">
        <v>346.45</v>
      </c>
      <c r="F1093" s="107">
        <v>353.85</v>
      </c>
      <c r="G1093">
        <v>108846</v>
      </c>
      <c r="H1093" s="107"/>
      <c r="I1093" s="107"/>
      <c r="L1093" s="149">
        <v>43614</v>
      </c>
      <c r="M1093" s="107">
        <v>353.95</v>
      </c>
      <c r="N1093" s="107">
        <v>361</v>
      </c>
      <c r="O1093" s="107">
        <v>342</v>
      </c>
      <c r="P1093" s="107">
        <v>346</v>
      </c>
      <c r="Q1093" s="107">
        <v>353.95</v>
      </c>
      <c r="R1093">
        <v>1501308</v>
      </c>
    </row>
    <row r="1094" spans="1:18" x14ac:dyDescent="0.25">
      <c r="A1094" s="149">
        <v>43615</v>
      </c>
      <c r="B1094" s="107">
        <v>358.7</v>
      </c>
      <c r="C1094" s="107">
        <v>356.05</v>
      </c>
      <c r="D1094" s="107">
        <v>353.1</v>
      </c>
      <c r="E1094" s="107">
        <v>353.1</v>
      </c>
      <c r="F1094" s="107">
        <v>356.05</v>
      </c>
      <c r="G1094">
        <v>58236</v>
      </c>
      <c r="H1094" s="107"/>
      <c r="I1094" s="107"/>
      <c r="L1094" s="149">
        <v>43615</v>
      </c>
      <c r="M1094" s="107">
        <v>356.55</v>
      </c>
      <c r="N1094" s="107">
        <v>358.9</v>
      </c>
      <c r="O1094" s="107">
        <v>353.1</v>
      </c>
      <c r="P1094" s="107">
        <v>355.3</v>
      </c>
      <c r="Q1094" s="107">
        <v>356.55</v>
      </c>
      <c r="R1094">
        <v>1149519</v>
      </c>
    </row>
    <row r="1095" spans="1:18" x14ac:dyDescent="0.25">
      <c r="A1095" s="149">
        <v>43616</v>
      </c>
      <c r="B1095" s="107">
        <v>369.9</v>
      </c>
      <c r="C1095" s="107">
        <v>352.4</v>
      </c>
      <c r="D1095" s="107">
        <v>348.8</v>
      </c>
      <c r="E1095" s="107">
        <v>358.6</v>
      </c>
      <c r="F1095" s="107">
        <v>352.4</v>
      </c>
      <c r="G1095">
        <v>133559</v>
      </c>
      <c r="H1095" s="107"/>
      <c r="I1095" s="107"/>
      <c r="L1095" s="149">
        <v>43616</v>
      </c>
      <c r="M1095" s="107">
        <v>352.35</v>
      </c>
      <c r="N1095" s="107">
        <v>370</v>
      </c>
      <c r="O1095" s="107">
        <v>348.25</v>
      </c>
      <c r="P1095" s="107">
        <v>358</v>
      </c>
      <c r="Q1095" s="107">
        <v>352.35</v>
      </c>
      <c r="R1095">
        <v>2482261</v>
      </c>
    </row>
    <row r="1096" spans="1:18" x14ac:dyDescent="0.25">
      <c r="A1096" s="149">
        <v>43619</v>
      </c>
      <c r="B1096" s="107">
        <v>362.7</v>
      </c>
      <c r="C1096" s="107">
        <v>360.95</v>
      </c>
      <c r="D1096" s="107">
        <v>351.55</v>
      </c>
      <c r="E1096" s="107">
        <v>356.9</v>
      </c>
      <c r="F1096" s="107">
        <v>360.95</v>
      </c>
      <c r="G1096">
        <v>48273</v>
      </c>
      <c r="H1096" s="107"/>
      <c r="I1096" s="107"/>
      <c r="L1096" s="149">
        <v>43619</v>
      </c>
      <c r="M1096" s="107">
        <v>361.3</v>
      </c>
      <c r="N1096" s="107">
        <v>363</v>
      </c>
      <c r="O1096" s="107">
        <v>352.3</v>
      </c>
      <c r="P1096" s="107">
        <v>354.55</v>
      </c>
      <c r="Q1096" s="107">
        <v>361.3</v>
      </c>
      <c r="R1096">
        <v>906620</v>
      </c>
    </row>
    <row r="1097" spans="1:18" x14ac:dyDescent="0.25">
      <c r="A1097" s="149">
        <v>43620</v>
      </c>
      <c r="B1097" s="107">
        <v>368.8</v>
      </c>
      <c r="C1097" s="107">
        <v>364.75</v>
      </c>
      <c r="D1097" s="107">
        <v>360.05</v>
      </c>
      <c r="E1097" s="107">
        <v>363.55</v>
      </c>
      <c r="F1097" s="107">
        <v>364.75</v>
      </c>
      <c r="G1097">
        <v>36735</v>
      </c>
      <c r="H1097" s="107"/>
      <c r="I1097" s="107"/>
      <c r="L1097" s="149">
        <v>43620</v>
      </c>
      <c r="M1097" s="107">
        <v>364.85</v>
      </c>
      <c r="N1097" s="107">
        <v>369.15</v>
      </c>
      <c r="O1097" s="107">
        <v>360</v>
      </c>
      <c r="P1097" s="107">
        <v>362</v>
      </c>
      <c r="Q1097" s="107">
        <v>364.85</v>
      </c>
      <c r="R1097">
        <v>1013913</v>
      </c>
    </row>
    <row r="1098" spans="1:18" x14ac:dyDescent="0.25">
      <c r="A1098" s="149">
        <v>43622</v>
      </c>
      <c r="B1098" s="107">
        <v>371.7</v>
      </c>
      <c r="C1098" s="107">
        <v>352.65</v>
      </c>
      <c r="D1098" s="107">
        <v>350.85</v>
      </c>
      <c r="E1098" s="107">
        <v>367</v>
      </c>
      <c r="F1098" s="107">
        <v>352.65</v>
      </c>
      <c r="G1098">
        <v>62701</v>
      </c>
      <c r="H1098" s="107"/>
      <c r="I1098" s="107"/>
      <c r="L1098" s="149">
        <v>43622</v>
      </c>
      <c r="M1098" s="107">
        <v>353.6</v>
      </c>
      <c r="N1098" s="107">
        <v>372.45</v>
      </c>
      <c r="O1098" s="107">
        <v>351.05</v>
      </c>
      <c r="P1098" s="107">
        <v>365</v>
      </c>
      <c r="Q1098" s="107">
        <v>353.6</v>
      </c>
      <c r="R1098">
        <v>1509393</v>
      </c>
    </row>
    <row r="1099" spans="1:18" x14ac:dyDescent="0.25">
      <c r="A1099" s="149">
        <v>43623</v>
      </c>
      <c r="B1099" s="107">
        <v>356.65</v>
      </c>
      <c r="C1099" s="107">
        <v>353.9</v>
      </c>
      <c r="D1099" s="107">
        <v>343.9</v>
      </c>
      <c r="E1099" s="107">
        <v>352.9</v>
      </c>
      <c r="F1099" s="107">
        <v>353.9</v>
      </c>
      <c r="G1099">
        <v>39185</v>
      </c>
      <c r="H1099" s="107"/>
      <c r="I1099" s="107"/>
      <c r="L1099" s="149">
        <v>43623</v>
      </c>
      <c r="M1099" s="107">
        <v>354.1</v>
      </c>
      <c r="N1099" s="107">
        <v>356.9</v>
      </c>
      <c r="O1099" s="107">
        <v>343</v>
      </c>
      <c r="P1099" s="107">
        <v>354.5</v>
      </c>
      <c r="Q1099" s="107">
        <v>354.1</v>
      </c>
      <c r="R1099">
        <v>1119444</v>
      </c>
    </row>
    <row r="1100" spans="1:18" x14ac:dyDescent="0.25">
      <c r="A1100" s="149">
        <v>43626</v>
      </c>
      <c r="B1100" s="107">
        <v>359</v>
      </c>
      <c r="C1100" s="107">
        <v>349.2</v>
      </c>
      <c r="D1100" s="107">
        <v>347.2</v>
      </c>
      <c r="E1100" s="107">
        <v>355.4</v>
      </c>
      <c r="F1100" s="107">
        <v>349.2</v>
      </c>
      <c r="G1100">
        <v>50921</v>
      </c>
      <c r="H1100" s="107"/>
      <c r="I1100" s="107"/>
      <c r="L1100" s="149">
        <v>43626</v>
      </c>
      <c r="M1100" s="107">
        <v>349.8</v>
      </c>
      <c r="N1100" s="107">
        <v>359.05</v>
      </c>
      <c r="O1100" s="107">
        <v>347.7</v>
      </c>
      <c r="P1100" s="107">
        <v>355</v>
      </c>
      <c r="Q1100" s="107">
        <v>349.8</v>
      </c>
      <c r="R1100">
        <v>553332</v>
      </c>
    </row>
    <row r="1101" spans="1:18" x14ac:dyDescent="0.25">
      <c r="A1101" s="149">
        <v>43627</v>
      </c>
      <c r="B1101" s="107">
        <v>350.1</v>
      </c>
      <c r="C1101" s="107">
        <v>346.1</v>
      </c>
      <c r="D1101" s="107">
        <v>336.7</v>
      </c>
      <c r="E1101" s="107">
        <v>350.1</v>
      </c>
      <c r="F1101" s="107">
        <v>346.1</v>
      </c>
      <c r="G1101">
        <v>41211</v>
      </c>
      <c r="H1101" s="107"/>
      <c r="I1101" s="107"/>
      <c r="L1101" s="149">
        <v>43627</v>
      </c>
      <c r="M1101" s="107">
        <v>346.6</v>
      </c>
      <c r="N1101" s="107">
        <v>349.7</v>
      </c>
      <c r="O1101" s="107">
        <v>336.15</v>
      </c>
      <c r="P1101" s="107">
        <v>349.2</v>
      </c>
      <c r="Q1101" s="107">
        <v>346.6</v>
      </c>
      <c r="R1101">
        <v>1073256</v>
      </c>
    </row>
    <row r="1102" spans="1:18" x14ac:dyDescent="0.25">
      <c r="A1102" s="149">
        <v>43628</v>
      </c>
      <c r="B1102" s="107">
        <v>352</v>
      </c>
      <c r="C1102" s="107">
        <v>345.3</v>
      </c>
      <c r="D1102" s="107">
        <v>338</v>
      </c>
      <c r="E1102" s="107">
        <v>338</v>
      </c>
      <c r="F1102" s="107">
        <v>345.3</v>
      </c>
      <c r="G1102">
        <v>30919</v>
      </c>
      <c r="H1102" s="107"/>
      <c r="I1102" s="107"/>
      <c r="L1102" s="149">
        <v>43628</v>
      </c>
      <c r="M1102" s="107">
        <v>345.8</v>
      </c>
      <c r="N1102" s="107">
        <v>351.9</v>
      </c>
      <c r="O1102" s="107">
        <v>341.1</v>
      </c>
      <c r="P1102" s="107">
        <v>345.8</v>
      </c>
      <c r="Q1102" s="107">
        <v>345.8</v>
      </c>
      <c r="R1102">
        <v>664225</v>
      </c>
    </row>
    <row r="1103" spans="1:18" x14ac:dyDescent="0.25">
      <c r="A1103" s="149">
        <v>43629</v>
      </c>
      <c r="B1103" s="107">
        <v>353.5</v>
      </c>
      <c r="C1103" s="107">
        <v>350.65</v>
      </c>
      <c r="D1103" s="107">
        <v>339.75</v>
      </c>
      <c r="E1103" s="107">
        <v>346.85</v>
      </c>
      <c r="F1103" s="107">
        <v>350.65</v>
      </c>
      <c r="G1103">
        <v>36603</v>
      </c>
      <c r="H1103" s="107"/>
      <c r="I1103" s="107"/>
      <c r="L1103" s="149">
        <v>43629</v>
      </c>
      <c r="M1103" s="107">
        <v>350.8</v>
      </c>
      <c r="N1103" s="107">
        <v>353</v>
      </c>
      <c r="O1103" s="107">
        <v>339.3</v>
      </c>
      <c r="P1103" s="107">
        <v>345.8</v>
      </c>
      <c r="Q1103" s="107">
        <v>350.8</v>
      </c>
      <c r="R1103">
        <v>798856</v>
      </c>
    </row>
    <row r="1104" spans="1:18" x14ac:dyDescent="0.25">
      <c r="A1104" s="149">
        <v>43630</v>
      </c>
      <c r="B1104" s="107">
        <v>355</v>
      </c>
      <c r="C1104" s="107">
        <v>345.55</v>
      </c>
      <c r="D1104" s="107">
        <v>340.35</v>
      </c>
      <c r="E1104" s="107">
        <v>355</v>
      </c>
      <c r="F1104" s="107">
        <v>345.55</v>
      </c>
      <c r="G1104">
        <v>37351</v>
      </c>
      <c r="H1104" s="107"/>
      <c r="I1104" s="107"/>
      <c r="L1104" s="149">
        <v>43630</v>
      </c>
      <c r="M1104" s="107">
        <v>345.55</v>
      </c>
      <c r="N1104" s="107">
        <v>353.95</v>
      </c>
      <c r="O1104" s="107">
        <v>343.05</v>
      </c>
      <c r="P1104" s="107">
        <v>352</v>
      </c>
      <c r="Q1104" s="107">
        <v>345.55</v>
      </c>
      <c r="R1104">
        <v>570975</v>
      </c>
    </row>
    <row r="1105" spans="1:18" x14ac:dyDescent="0.25">
      <c r="A1105" s="149">
        <v>43633</v>
      </c>
      <c r="B1105" s="107">
        <v>344.5</v>
      </c>
      <c r="C1105" s="107">
        <v>337.15</v>
      </c>
      <c r="D1105" s="107">
        <v>335</v>
      </c>
      <c r="E1105" s="107">
        <v>343</v>
      </c>
      <c r="F1105" s="107">
        <v>337.15</v>
      </c>
      <c r="G1105">
        <v>30302</v>
      </c>
      <c r="H1105" s="107"/>
      <c r="I1105" s="107"/>
      <c r="L1105" s="149">
        <v>43633</v>
      </c>
      <c r="M1105" s="107">
        <v>337</v>
      </c>
      <c r="N1105" s="107">
        <v>345.05</v>
      </c>
      <c r="O1105" s="107">
        <v>335.6</v>
      </c>
      <c r="P1105" s="107">
        <v>343.5</v>
      </c>
      <c r="Q1105" s="107">
        <v>337</v>
      </c>
      <c r="R1105">
        <v>506952</v>
      </c>
    </row>
    <row r="1106" spans="1:18" x14ac:dyDescent="0.25">
      <c r="A1106" s="149">
        <v>43634</v>
      </c>
      <c r="B1106" s="107">
        <v>347.95</v>
      </c>
      <c r="C1106" s="107">
        <v>344.2</v>
      </c>
      <c r="D1106" s="107">
        <v>337.5</v>
      </c>
      <c r="E1106" s="107">
        <v>338.35</v>
      </c>
      <c r="F1106" s="107">
        <v>344.2</v>
      </c>
      <c r="G1106">
        <v>47443</v>
      </c>
      <c r="H1106" s="107"/>
      <c r="I1106" s="107"/>
      <c r="L1106" s="149">
        <v>43634</v>
      </c>
      <c r="M1106" s="107">
        <v>343.8</v>
      </c>
      <c r="N1106" s="107">
        <v>348</v>
      </c>
      <c r="O1106" s="107">
        <v>334.5</v>
      </c>
      <c r="P1106" s="107">
        <v>335</v>
      </c>
      <c r="Q1106" s="107">
        <v>343.8</v>
      </c>
      <c r="R1106">
        <v>985373</v>
      </c>
    </row>
    <row r="1107" spans="1:18" x14ac:dyDescent="0.25">
      <c r="A1107" s="149">
        <v>43635</v>
      </c>
      <c r="B1107" s="107">
        <v>362</v>
      </c>
      <c r="C1107" s="107">
        <v>347.55</v>
      </c>
      <c r="D1107" s="107">
        <v>345.7</v>
      </c>
      <c r="E1107" s="107">
        <v>350</v>
      </c>
      <c r="F1107" s="107">
        <v>347.55</v>
      </c>
      <c r="G1107">
        <v>160522</v>
      </c>
      <c r="H1107" s="107"/>
      <c r="I1107" s="107"/>
      <c r="L1107" s="149">
        <v>43635</v>
      </c>
      <c r="M1107" s="107">
        <v>347.8</v>
      </c>
      <c r="N1107" s="107">
        <v>363</v>
      </c>
      <c r="O1107" s="107">
        <v>346</v>
      </c>
      <c r="P1107" s="107">
        <v>347.3</v>
      </c>
      <c r="Q1107" s="107">
        <v>347.8</v>
      </c>
      <c r="R1107">
        <v>2450732</v>
      </c>
    </row>
    <row r="1108" spans="1:18" x14ac:dyDescent="0.25">
      <c r="A1108" s="149">
        <v>43636</v>
      </c>
      <c r="B1108" s="107">
        <v>356.65</v>
      </c>
      <c r="C1108" s="107">
        <v>355.05</v>
      </c>
      <c r="D1108" s="107">
        <v>341</v>
      </c>
      <c r="E1108" s="107">
        <v>350</v>
      </c>
      <c r="F1108" s="107">
        <v>355.05</v>
      </c>
      <c r="G1108">
        <v>52397</v>
      </c>
      <c r="H1108" s="107"/>
      <c r="I1108" s="107"/>
      <c r="L1108" s="149">
        <v>43636</v>
      </c>
      <c r="M1108" s="107">
        <v>355.4</v>
      </c>
      <c r="N1108" s="107">
        <v>356.75</v>
      </c>
      <c r="O1108" s="107">
        <v>340.5</v>
      </c>
      <c r="P1108" s="107">
        <v>349.95</v>
      </c>
      <c r="Q1108" s="107">
        <v>355.4</v>
      </c>
      <c r="R1108">
        <v>867287</v>
      </c>
    </row>
    <row r="1109" spans="1:18" x14ac:dyDescent="0.25">
      <c r="A1109" s="149">
        <v>43637</v>
      </c>
      <c r="B1109" s="107">
        <v>356.5</v>
      </c>
      <c r="C1109" s="107">
        <v>348.65</v>
      </c>
      <c r="D1109" s="107">
        <v>343.7</v>
      </c>
      <c r="E1109" s="107">
        <v>355.2</v>
      </c>
      <c r="F1109" s="107">
        <v>348.65</v>
      </c>
      <c r="G1109">
        <v>65002</v>
      </c>
      <c r="H1109" s="107"/>
      <c r="I1109" s="107"/>
      <c r="L1109" s="149">
        <v>43637</v>
      </c>
      <c r="M1109" s="107">
        <v>348.85</v>
      </c>
      <c r="N1109" s="107">
        <v>356.5</v>
      </c>
      <c r="O1109" s="107">
        <v>343.6</v>
      </c>
      <c r="P1109" s="107">
        <v>353.1</v>
      </c>
      <c r="Q1109" s="107">
        <v>348.85</v>
      </c>
      <c r="R1109">
        <v>829524</v>
      </c>
    </row>
    <row r="1110" spans="1:18" x14ac:dyDescent="0.25">
      <c r="A1110" s="149">
        <v>43640</v>
      </c>
      <c r="B1110" s="107">
        <v>352.6</v>
      </c>
      <c r="C1110" s="107">
        <v>348.75</v>
      </c>
      <c r="D1110" s="107">
        <v>345.6</v>
      </c>
      <c r="E1110" s="107">
        <v>351.6</v>
      </c>
      <c r="F1110" s="107">
        <v>348.75</v>
      </c>
      <c r="G1110">
        <v>23822</v>
      </c>
      <c r="H1110" s="107"/>
      <c r="I1110" s="107"/>
      <c r="L1110" s="149">
        <v>43640</v>
      </c>
      <c r="M1110" s="107">
        <v>348.6</v>
      </c>
      <c r="N1110" s="107">
        <v>352.7</v>
      </c>
      <c r="O1110" s="107">
        <v>345.2</v>
      </c>
      <c r="P1110" s="107">
        <v>348.85</v>
      </c>
      <c r="Q1110" s="107">
        <v>348.6</v>
      </c>
      <c r="R1110">
        <v>422602</v>
      </c>
    </row>
    <row r="1111" spans="1:18" x14ac:dyDescent="0.25">
      <c r="A1111" s="149">
        <v>43641</v>
      </c>
      <c r="B1111" s="107">
        <v>359.3</v>
      </c>
      <c r="C1111" s="107">
        <v>356.2</v>
      </c>
      <c r="D1111" s="107">
        <v>335.85</v>
      </c>
      <c r="E1111" s="107">
        <v>347</v>
      </c>
      <c r="F1111" s="107">
        <v>356.2</v>
      </c>
      <c r="G1111">
        <v>49845</v>
      </c>
      <c r="H1111" s="107"/>
      <c r="I1111" s="107"/>
      <c r="L1111" s="149">
        <v>43641</v>
      </c>
      <c r="M1111" s="107">
        <v>356.05</v>
      </c>
      <c r="N1111" s="107">
        <v>359.4</v>
      </c>
      <c r="O1111" s="107">
        <v>345.5</v>
      </c>
      <c r="P1111" s="107">
        <v>345.7</v>
      </c>
      <c r="Q1111" s="107">
        <v>356.05</v>
      </c>
      <c r="R1111">
        <v>840845</v>
      </c>
    </row>
    <row r="1112" spans="1:18" x14ac:dyDescent="0.25">
      <c r="A1112" s="149">
        <v>43642</v>
      </c>
      <c r="B1112" s="107">
        <v>360.1</v>
      </c>
      <c r="C1112" s="107">
        <v>355.5</v>
      </c>
      <c r="D1112" s="107">
        <v>351.55</v>
      </c>
      <c r="E1112" s="107">
        <v>354</v>
      </c>
      <c r="F1112" s="107">
        <v>355.5</v>
      </c>
      <c r="G1112">
        <v>55867</v>
      </c>
      <c r="H1112" s="107"/>
      <c r="I1112" s="107"/>
      <c r="L1112" s="149">
        <v>43642</v>
      </c>
      <c r="M1112" s="107">
        <v>355.25</v>
      </c>
      <c r="N1112" s="107">
        <v>360.5</v>
      </c>
      <c r="O1112" s="107">
        <v>351.6</v>
      </c>
      <c r="P1112" s="107">
        <v>354.4</v>
      </c>
      <c r="Q1112" s="107">
        <v>355.25</v>
      </c>
      <c r="R1112">
        <v>776305</v>
      </c>
    </row>
    <row r="1113" spans="1:18" x14ac:dyDescent="0.25">
      <c r="A1113" s="149">
        <v>43643</v>
      </c>
      <c r="B1113" s="107">
        <v>366</v>
      </c>
      <c r="C1113" s="107">
        <v>347.45</v>
      </c>
      <c r="D1113" s="107">
        <v>345.75</v>
      </c>
      <c r="E1113" s="107">
        <v>355.5</v>
      </c>
      <c r="F1113" s="107">
        <v>347.45</v>
      </c>
      <c r="G1113">
        <v>121452</v>
      </c>
      <c r="H1113" s="107"/>
      <c r="I1113" s="107"/>
      <c r="L1113" s="149">
        <v>43643</v>
      </c>
      <c r="M1113" s="107">
        <v>347.45</v>
      </c>
      <c r="N1113" s="107">
        <v>366.2</v>
      </c>
      <c r="O1113" s="107">
        <v>345.15</v>
      </c>
      <c r="P1113" s="107">
        <v>355</v>
      </c>
      <c r="Q1113" s="107">
        <v>347.45</v>
      </c>
      <c r="R1113">
        <v>1938934</v>
      </c>
    </row>
    <row r="1114" spans="1:18" x14ac:dyDescent="0.25">
      <c r="A1114" s="149">
        <v>43644</v>
      </c>
      <c r="B1114" s="107">
        <v>359.9</v>
      </c>
      <c r="C1114" s="107">
        <v>356.4</v>
      </c>
      <c r="D1114" s="107">
        <v>343.35</v>
      </c>
      <c r="E1114" s="107">
        <v>356.9</v>
      </c>
      <c r="F1114" s="107">
        <v>356.4</v>
      </c>
      <c r="G1114">
        <v>40630</v>
      </c>
      <c r="H1114" s="107"/>
      <c r="I1114" s="107"/>
      <c r="L1114" s="149">
        <v>43644</v>
      </c>
      <c r="M1114" s="107">
        <v>356.45</v>
      </c>
      <c r="N1114" s="107">
        <v>359.95</v>
      </c>
      <c r="O1114" s="107">
        <v>342.5</v>
      </c>
      <c r="P1114" s="107">
        <v>345</v>
      </c>
      <c r="Q1114" s="107">
        <v>356.45</v>
      </c>
      <c r="R1114">
        <v>773392</v>
      </c>
    </row>
    <row r="1115" spans="1:18" x14ac:dyDescent="0.25">
      <c r="A1115" s="149">
        <v>43647</v>
      </c>
      <c r="B1115" s="107">
        <v>361.05</v>
      </c>
      <c r="C1115" s="107">
        <v>355.4</v>
      </c>
      <c r="D1115" s="107">
        <v>354</v>
      </c>
      <c r="E1115" s="107">
        <v>357.9</v>
      </c>
      <c r="F1115" s="107">
        <v>355.4</v>
      </c>
      <c r="G1115">
        <v>12502</v>
      </c>
      <c r="H1115" s="107"/>
      <c r="I1115" s="107"/>
      <c r="L1115" s="149">
        <v>43647</v>
      </c>
      <c r="M1115" s="107">
        <v>355.8</v>
      </c>
      <c r="N1115" s="107">
        <v>360.4</v>
      </c>
      <c r="O1115" s="107">
        <v>354</v>
      </c>
      <c r="P1115" s="107">
        <v>358</v>
      </c>
      <c r="Q1115" s="107">
        <v>355.8</v>
      </c>
      <c r="R1115">
        <v>274101</v>
      </c>
    </row>
    <row r="1116" spans="1:18" x14ac:dyDescent="0.25">
      <c r="A1116" s="149">
        <v>43648</v>
      </c>
      <c r="B1116" s="107">
        <v>359.8</v>
      </c>
      <c r="C1116" s="107">
        <v>358</v>
      </c>
      <c r="D1116" s="107">
        <v>355.4</v>
      </c>
      <c r="E1116" s="107">
        <v>356.3</v>
      </c>
      <c r="F1116" s="107">
        <v>358</v>
      </c>
      <c r="G1116">
        <v>23318</v>
      </c>
      <c r="H1116" s="107"/>
      <c r="I1116" s="107"/>
      <c r="L1116" s="149">
        <v>43648</v>
      </c>
      <c r="M1116" s="107">
        <v>358.3</v>
      </c>
      <c r="N1116" s="107">
        <v>359.9</v>
      </c>
      <c r="O1116" s="107">
        <v>355</v>
      </c>
      <c r="P1116" s="107">
        <v>356</v>
      </c>
      <c r="Q1116" s="107">
        <v>358.3</v>
      </c>
      <c r="R1116">
        <v>248652</v>
      </c>
    </row>
    <row r="1117" spans="1:18" x14ac:dyDescent="0.25">
      <c r="A1117" s="149">
        <v>43649</v>
      </c>
      <c r="B1117" s="107">
        <v>358.8</v>
      </c>
      <c r="C1117" s="107">
        <v>357.95</v>
      </c>
      <c r="D1117" s="107">
        <v>354.8</v>
      </c>
      <c r="E1117" s="107">
        <v>358</v>
      </c>
      <c r="F1117" s="107">
        <v>357.95</v>
      </c>
      <c r="G1117">
        <v>15023</v>
      </c>
      <c r="H1117" s="107"/>
      <c r="I1117" s="107"/>
      <c r="L1117" s="149">
        <v>43649</v>
      </c>
      <c r="M1117" s="107">
        <v>357.95</v>
      </c>
      <c r="N1117" s="107">
        <v>358.95</v>
      </c>
      <c r="O1117" s="107">
        <v>354</v>
      </c>
      <c r="P1117" s="107">
        <v>358.95</v>
      </c>
      <c r="Q1117" s="107">
        <v>357.95</v>
      </c>
      <c r="R1117">
        <v>169692</v>
      </c>
    </row>
    <row r="1118" spans="1:18" x14ac:dyDescent="0.25">
      <c r="A1118" s="149">
        <v>43650</v>
      </c>
      <c r="B1118" s="107">
        <v>362.85</v>
      </c>
      <c r="C1118" s="107">
        <v>358.15</v>
      </c>
      <c r="D1118" s="107">
        <v>356.05</v>
      </c>
      <c r="E1118" s="107">
        <v>358.05</v>
      </c>
      <c r="F1118" s="107">
        <v>358.15</v>
      </c>
      <c r="G1118">
        <v>26061</v>
      </c>
      <c r="H1118" s="107"/>
      <c r="I1118" s="107"/>
      <c r="L1118" s="149">
        <v>43650</v>
      </c>
      <c r="M1118" s="107">
        <v>357.95</v>
      </c>
      <c r="N1118" s="107">
        <v>362.95</v>
      </c>
      <c r="O1118" s="107">
        <v>356</v>
      </c>
      <c r="P1118" s="107">
        <v>356.65</v>
      </c>
      <c r="Q1118" s="107">
        <v>357.95</v>
      </c>
      <c r="R1118">
        <v>225800</v>
      </c>
    </row>
    <row r="1119" spans="1:18" x14ac:dyDescent="0.25">
      <c r="A1119" s="149">
        <v>43651</v>
      </c>
      <c r="B1119" s="107">
        <v>380</v>
      </c>
      <c r="C1119" s="107">
        <v>360.1</v>
      </c>
      <c r="D1119" s="107">
        <v>356</v>
      </c>
      <c r="E1119" s="107">
        <v>360</v>
      </c>
      <c r="F1119" s="107">
        <v>360.1</v>
      </c>
      <c r="G1119">
        <v>174888</v>
      </c>
      <c r="H1119" s="107"/>
      <c r="I1119" s="107"/>
      <c r="L1119" s="149">
        <v>43651</v>
      </c>
      <c r="M1119" s="107">
        <v>360.45</v>
      </c>
      <c r="N1119" s="107">
        <v>378</v>
      </c>
      <c r="O1119" s="107">
        <v>356.1</v>
      </c>
      <c r="P1119" s="107">
        <v>359.95</v>
      </c>
      <c r="Q1119" s="107">
        <v>360.45</v>
      </c>
      <c r="R1119">
        <v>1483248</v>
      </c>
    </row>
    <row r="1120" spans="1:18" x14ac:dyDescent="0.25">
      <c r="A1120" s="149">
        <v>43654</v>
      </c>
      <c r="B1120" s="107">
        <v>365.75</v>
      </c>
      <c r="C1120" s="107">
        <v>362</v>
      </c>
      <c r="D1120" s="107">
        <v>360</v>
      </c>
      <c r="E1120" s="107">
        <v>361</v>
      </c>
      <c r="F1120" s="107">
        <v>362</v>
      </c>
      <c r="G1120">
        <v>39282</v>
      </c>
      <c r="H1120" s="107"/>
      <c r="I1120" s="107"/>
      <c r="L1120" s="149">
        <v>43654</v>
      </c>
      <c r="M1120" s="107">
        <v>362.25</v>
      </c>
      <c r="N1120" s="107">
        <v>365.95</v>
      </c>
      <c r="O1120" s="107">
        <v>358.4</v>
      </c>
      <c r="P1120" s="107">
        <v>361.75</v>
      </c>
      <c r="Q1120" s="107">
        <v>362.25</v>
      </c>
      <c r="R1120">
        <v>675374</v>
      </c>
    </row>
    <row r="1121" spans="1:18" x14ac:dyDescent="0.25">
      <c r="A1121" s="149">
        <v>43655</v>
      </c>
      <c r="B1121" s="107">
        <v>368.05</v>
      </c>
      <c r="C1121" s="107">
        <v>365.8</v>
      </c>
      <c r="D1121" s="107">
        <v>356.1</v>
      </c>
      <c r="E1121" s="107">
        <v>361.55</v>
      </c>
      <c r="F1121" s="107">
        <v>365.8</v>
      </c>
      <c r="G1121">
        <v>26682</v>
      </c>
      <c r="H1121" s="107"/>
      <c r="I1121" s="107"/>
      <c r="L1121" s="149">
        <v>43655</v>
      </c>
      <c r="M1121" s="107">
        <v>366</v>
      </c>
      <c r="N1121" s="107">
        <v>368.25</v>
      </c>
      <c r="O1121" s="107">
        <v>357.8</v>
      </c>
      <c r="P1121" s="107">
        <v>361.3</v>
      </c>
      <c r="Q1121" s="107">
        <v>366</v>
      </c>
      <c r="R1121">
        <v>411505</v>
      </c>
    </row>
    <row r="1122" spans="1:18" x14ac:dyDescent="0.25">
      <c r="A1122" s="149">
        <v>43656</v>
      </c>
      <c r="B1122" s="107">
        <v>369.85</v>
      </c>
      <c r="C1122" s="107">
        <v>365.4</v>
      </c>
      <c r="D1122" s="107">
        <v>362.7</v>
      </c>
      <c r="E1122" s="107">
        <v>367.15</v>
      </c>
      <c r="F1122" s="107">
        <v>365.4</v>
      </c>
      <c r="G1122">
        <v>31667</v>
      </c>
      <c r="H1122" s="107"/>
      <c r="I1122" s="107"/>
      <c r="L1122" s="149">
        <v>43656</v>
      </c>
      <c r="M1122" s="107">
        <v>365.8</v>
      </c>
      <c r="N1122" s="107">
        <v>369.9</v>
      </c>
      <c r="O1122" s="107">
        <v>362.1</v>
      </c>
      <c r="P1122" s="107">
        <v>366.45</v>
      </c>
      <c r="Q1122" s="107">
        <v>365.8</v>
      </c>
      <c r="R1122">
        <v>361638</v>
      </c>
    </row>
    <row r="1123" spans="1:18" x14ac:dyDescent="0.25">
      <c r="A1123" s="149">
        <v>43657</v>
      </c>
      <c r="B1123" s="107">
        <v>377</v>
      </c>
      <c r="C1123" s="107">
        <v>374.15</v>
      </c>
      <c r="D1123" s="107">
        <v>366.8</v>
      </c>
      <c r="E1123" s="107">
        <v>369.7</v>
      </c>
      <c r="F1123" s="107">
        <v>374.15</v>
      </c>
      <c r="G1123">
        <v>51581</v>
      </c>
      <c r="H1123" s="107"/>
      <c r="I1123" s="107"/>
      <c r="L1123" s="149">
        <v>43657</v>
      </c>
      <c r="M1123" s="107">
        <v>374</v>
      </c>
      <c r="N1123" s="107">
        <v>377</v>
      </c>
      <c r="O1123" s="107">
        <v>366.15</v>
      </c>
      <c r="P1123" s="107">
        <v>369.8</v>
      </c>
      <c r="Q1123" s="107">
        <v>374</v>
      </c>
      <c r="R1123">
        <v>611809</v>
      </c>
    </row>
    <row r="1124" spans="1:18" x14ac:dyDescent="0.25">
      <c r="A1124" s="149">
        <v>43658</v>
      </c>
      <c r="B1124" s="107">
        <v>376.2</v>
      </c>
      <c r="C1124" s="107">
        <v>372.7</v>
      </c>
      <c r="D1124" s="107">
        <v>370.1</v>
      </c>
      <c r="E1124" s="107">
        <v>374.9</v>
      </c>
      <c r="F1124" s="107">
        <v>372.7</v>
      </c>
      <c r="G1124">
        <v>74155</v>
      </c>
      <c r="H1124" s="107"/>
      <c r="I1124" s="107"/>
      <c r="L1124" s="149">
        <v>43658</v>
      </c>
      <c r="M1124" s="107">
        <v>372.85</v>
      </c>
      <c r="N1124" s="107">
        <v>377</v>
      </c>
      <c r="O1124" s="107">
        <v>370</v>
      </c>
      <c r="P1124" s="107">
        <v>374</v>
      </c>
      <c r="Q1124" s="107">
        <v>372.85</v>
      </c>
      <c r="R1124">
        <v>267060</v>
      </c>
    </row>
    <row r="1125" spans="1:18" x14ac:dyDescent="0.25">
      <c r="A1125" s="149">
        <v>43661</v>
      </c>
      <c r="B1125" s="107">
        <v>377.1</v>
      </c>
      <c r="C1125" s="107">
        <v>369.65</v>
      </c>
      <c r="D1125" s="107">
        <v>368.85</v>
      </c>
      <c r="E1125" s="107">
        <v>377</v>
      </c>
      <c r="F1125" s="107">
        <v>369.65</v>
      </c>
      <c r="G1125">
        <v>26923</v>
      </c>
      <c r="H1125" s="107"/>
      <c r="I1125" s="107"/>
      <c r="L1125" s="149">
        <v>43661</v>
      </c>
      <c r="M1125" s="107">
        <v>370.1</v>
      </c>
      <c r="N1125" s="107">
        <v>374.95</v>
      </c>
      <c r="O1125" s="107">
        <v>368.8</v>
      </c>
      <c r="P1125" s="107">
        <v>374.95</v>
      </c>
      <c r="Q1125" s="107">
        <v>370.1</v>
      </c>
      <c r="R1125">
        <v>272914</v>
      </c>
    </row>
    <row r="1126" spans="1:18" x14ac:dyDescent="0.25">
      <c r="A1126" s="149">
        <v>43662</v>
      </c>
      <c r="B1126" s="107">
        <v>377.9</v>
      </c>
      <c r="C1126" s="107">
        <v>373</v>
      </c>
      <c r="D1126" s="107">
        <v>370.2</v>
      </c>
      <c r="E1126" s="107">
        <v>377.9</v>
      </c>
      <c r="F1126" s="107">
        <v>373</v>
      </c>
      <c r="G1126">
        <v>61758</v>
      </c>
      <c r="H1126" s="107"/>
      <c r="I1126" s="107"/>
      <c r="L1126" s="149">
        <v>43662</v>
      </c>
      <c r="M1126" s="107">
        <v>373.25</v>
      </c>
      <c r="N1126" s="107">
        <v>374</v>
      </c>
      <c r="O1126" s="107">
        <v>370.15</v>
      </c>
      <c r="P1126" s="107">
        <v>372.6</v>
      </c>
      <c r="Q1126" s="107">
        <v>373.25</v>
      </c>
      <c r="R1126">
        <v>230769</v>
      </c>
    </row>
    <row r="1127" spans="1:18" x14ac:dyDescent="0.25">
      <c r="A1127" s="149">
        <v>43663</v>
      </c>
      <c r="B1127" s="107">
        <v>387.95</v>
      </c>
      <c r="C1127" s="107">
        <v>382.65</v>
      </c>
      <c r="D1127" s="107">
        <v>371.4</v>
      </c>
      <c r="E1127" s="107">
        <v>371.75</v>
      </c>
      <c r="F1127" s="107">
        <v>382.65</v>
      </c>
      <c r="G1127">
        <v>107025</v>
      </c>
      <c r="H1127" s="107"/>
      <c r="I1127" s="107"/>
      <c r="L1127" s="149">
        <v>43663</v>
      </c>
      <c r="M1127" s="107">
        <v>382.15</v>
      </c>
      <c r="N1127" s="107">
        <v>388</v>
      </c>
      <c r="O1127" s="107">
        <v>371.9</v>
      </c>
      <c r="P1127" s="107">
        <v>371.9</v>
      </c>
      <c r="Q1127" s="107">
        <v>382.15</v>
      </c>
      <c r="R1127">
        <v>955276</v>
      </c>
    </row>
    <row r="1128" spans="1:18" x14ac:dyDescent="0.25">
      <c r="A1128" s="149">
        <v>43664</v>
      </c>
      <c r="B1128" s="107">
        <v>392</v>
      </c>
      <c r="C1128" s="107">
        <v>389.9</v>
      </c>
      <c r="D1128" s="107">
        <v>379.55</v>
      </c>
      <c r="E1128" s="107">
        <v>382.9</v>
      </c>
      <c r="F1128" s="107">
        <v>389.9</v>
      </c>
      <c r="G1128">
        <v>31218</v>
      </c>
      <c r="H1128" s="107"/>
      <c r="I1128" s="107"/>
      <c r="L1128" s="149">
        <v>43664</v>
      </c>
      <c r="M1128" s="107">
        <v>390.25</v>
      </c>
      <c r="N1128" s="107">
        <v>392.4</v>
      </c>
      <c r="O1128" s="107">
        <v>379.1</v>
      </c>
      <c r="P1128" s="107">
        <v>383</v>
      </c>
      <c r="Q1128" s="107">
        <v>390.25</v>
      </c>
      <c r="R1128">
        <v>525388</v>
      </c>
    </row>
    <row r="1129" spans="1:18" x14ac:dyDescent="0.25">
      <c r="A1129" s="149">
        <v>43665</v>
      </c>
      <c r="B1129" s="107">
        <v>397.45</v>
      </c>
      <c r="C1129" s="107">
        <v>387.75</v>
      </c>
      <c r="D1129" s="107">
        <v>384.2</v>
      </c>
      <c r="E1129" s="107">
        <v>390</v>
      </c>
      <c r="F1129" s="107">
        <v>387.75</v>
      </c>
      <c r="G1129">
        <v>56191</v>
      </c>
      <c r="H1129" s="107"/>
      <c r="I1129" s="107"/>
      <c r="L1129" s="149">
        <v>43665</v>
      </c>
      <c r="M1129" s="107">
        <v>388.15</v>
      </c>
      <c r="N1129" s="107">
        <v>398</v>
      </c>
      <c r="O1129" s="107">
        <v>384</v>
      </c>
      <c r="P1129" s="107">
        <v>391.9</v>
      </c>
      <c r="Q1129" s="107">
        <v>388.15</v>
      </c>
      <c r="R1129">
        <v>705818</v>
      </c>
    </row>
    <row r="1130" spans="1:18" x14ac:dyDescent="0.25">
      <c r="A1130" s="149">
        <v>43668</v>
      </c>
      <c r="B1130" s="107">
        <v>387.9</v>
      </c>
      <c r="C1130" s="107">
        <v>375.45</v>
      </c>
      <c r="D1130" s="107">
        <v>373.5</v>
      </c>
      <c r="E1130" s="107">
        <v>387.75</v>
      </c>
      <c r="F1130" s="107">
        <v>375.45</v>
      </c>
      <c r="G1130">
        <v>37839</v>
      </c>
      <c r="H1130" s="107"/>
      <c r="I1130" s="107"/>
      <c r="L1130" s="149">
        <v>43668</v>
      </c>
      <c r="M1130" s="107">
        <v>375.55</v>
      </c>
      <c r="N1130" s="107">
        <v>386.2</v>
      </c>
      <c r="O1130" s="107">
        <v>372.75</v>
      </c>
      <c r="P1130" s="107">
        <v>385.7</v>
      </c>
      <c r="Q1130" s="107">
        <v>375.55</v>
      </c>
      <c r="R1130">
        <v>452725</v>
      </c>
    </row>
    <row r="1131" spans="1:18" x14ac:dyDescent="0.25">
      <c r="A1131" s="149">
        <v>43669</v>
      </c>
      <c r="B1131" s="107">
        <v>420</v>
      </c>
      <c r="C1131" s="107">
        <v>406.8</v>
      </c>
      <c r="D1131" s="107">
        <v>380.75</v>
      </c>
      <c r="E1131" s="107">
        <v>388</v>
      </c>
      <c r="F1131" s="107">
        <v>406.8</v>
      </c>
      <c r="G1131">
        <v>155179</v>
      </c>
      <c r="H1131" s="107"/>
      <c r="I1131" s="107"/>
      <c r="L1131" s="149">
        <v>43669</v>
      </c>
      <c r="M1131" s="107">
        <v>406.1</v>
      </c>
      <c r="N1131" s="107">
        <v>417.7</v>
      </c>
      <c r="O1131" s="107">
        <v>380.2</v>
      </c>
      <c r="P1131" s="107">
        <v>387.25</v>
      </c>
      <c r="Q1131" s="107">
        <v>406.1</v>
      </c>
      <c r="R1131">
        <v>1861211</v>
      </c>
    </row>
    <row r="1132" spans="1:18" x14ac:dyDescent="0.25">
      <c r="A1132" s="149">
        <v>43670</v>
      </c>
      <c r="B1132" s="107">
        <v>409.2</v>
      </c>
      <c r="C1132" s="107">
        <v>388.8</v>
      </c>
      <c r="D1132" s="107">
        <v>384.1</v>
      </c>
      <c r="E1132" s="107">
        <v>406.1</v>
      </c>
      <c r="F1132" s="107">
        <v>388.8</v>
      </c>
      <c r="G1132">
        <v>68206</v>
      </c>
      <c r="H1132" s="107"/>
      <c r="I1132" s="107"/>
      <c r="L1132" s="149">
        <v>43670</v>
      </c>
      <c r="M1132" s="107">
        <v>389</v>
      </c>
      <c r="N1132" s="107">
        <v>409.8</v>
      </c>
      <c r="O1132" s="107">
        <v>384.1</v>
      </c>
      <c r="P1132" s="107">
        <v>409</v>
      </c>
      <c r="Q1132" s="107">
        <v>389</v>
      </c>
      <c r="R1132">
        <v>839335</v>
      </c>
    </row>
    <row r="1133" spans="1:18" x14ac:dyDescent="0.25">
      <c r="A1133" s="149">
        <v>43671</v>
      </c>
      <c r="B1133" s="107">
        <v>395.5</v>
      </c>
      <c r="C1133" s="107">
        <v>383.65</v>
      </c>
      <c r="D1133" s="107">
        <v>382.5</v>
      </c>
      <c r="E1133" s="107">
        <v>390</v>
      </c>
      <c r="F1133" s="107">
        <v>383.65</v>
      </c>
      <c r="G1133">
        <v>31446</v>
      </c>
      <c r="H1133" s="107"/>
      <c r="I1133" s="107"/>
      <c r="L1133" s="149">
        <v>43671</v>
      </c>
      <c r="M1133" s="107">
        <v>384.05</v>
      </c>
      <c r="N1133" s="107">
        <v>395.9</v>
      </c>
      <c r="O1133" s="107">
        <v>382.5</v>
      </c>
      <c r="P1133" s="107">
        <v>391.4</v>
      </c>
      <c r="Q1133" s="107">
        <v>384.05</v>
      </c>
      <c r="R1133">
        <v>452668</v>
      </c>
    </row>
    <row r="1134" spans="1:18" x14ac:dyDescent="0.25">
      <c r="A1134" s="149">
        <v>43672</v>
      </c>
      <c r="B1134" s="107">
        <v>395</v>
      </c>
      <c r="C1134" s="107">
        <v>386.8</v>
      </c>
      <c r="D1134" s="107">
        <v>385.2</v>
      </c>
      <c r="E1134" s="107">
        <v>387</v>
      </c>
      <c r="F1134" s="107">
        <v>386.8</v>
      </c>
      <c r="G1134">
        <v>91804</v>
      </c>
      <c r="H1134" s="107"/>
      <c r="I1134" s="107"/>
      <c r="L1134" s="149">
        <v>43672</v>
      </c>
      <c r="M1134" s="107">
        <v>386.7</v>
      </c>
      <c r="N1134" s="107">
        <v>395</v>
      </c>
      <c r="O1134" s="107">
        <v>384.55</v>
      </c>
      <c r="P1134" s="107">
        <v>385.7</v>
      </c>
      <c r="Q1134" s="107">
        <v>386.7</v>
      </c>
      <c r="R1134">
        <v>302893</v>
      </c>
    </row>
    <row r="1135" spans="1:18" x14ac:dyDescent="0.25">
      <c r="A1135" s="149">
        <v>43675</v>
      </c>
      <c r="B1135" s="107">
        <v>398</v>
      </c>
      <c r="C1135" s="107">
        <v>392</v>
      </c>
      <c r="D1135" s="107">
        <v>382.35</v>
      </c>
      <c r="E1135" s="107">
        <v>382.35</v>
      </c>
      <c r="F1135" s="107">
        <v>392</v>
      </c>
      <c r="G1135">
        <v>139776</v>
      </c>
      <c r="H1135" s="107"/>
      <c r="I1135" s="107"/>
      <c r="L1135" s="149">
        <v>43675</v>
      </c>
      <c r="M1135" s="107">
        <v>390.15</v>
      </c>
      <c r="N1135" s="107">
        <v>395</v>
      </c>
      <c r="O1135" s="107">
        <v>385.65</v>
      </c>
      <c r="P1135" s="107">
        <v>388</v>
      </c>
      <c r="Q1135" s="107">
        <v>390.15</v>
      </c>
      <c r="R1135">
        <v>428950</v>
      </c>
    </row>
    <row r="1136" spans="1:18" x14ac:dyDescent="0.25">
      <c r="A1136" s="149">
        <v>43676</v>
      </c>
      <c r="B1136" s="107">
        <v>395</v>
      </c>
      <c r="C1136" s="107">
        <v>388.1</v>
      </c>
      <c r="D1136" s="107">
        <v>386.55</v>
      </c>
      <c r="E1136" s="107">
        <v>388</v>
      </c>
      <c r="F1136" s="107">
        <v>388.1</v>
      </c>
      <c r="G1136">
        <v>28915</v>
      </c>
      <c r="H1136" s="107"/>
      <c r="I1136" s="107"/>
      <c r="L1136" s="149">
        <v>43676</v>
      </c>
      <c r="M1136" s="107">
        <v>388.85</v>
      </c>
      <c r="N1136" s="107">
        <v>394.8</v>
      </c>
      <c r="O1136" s="107">
        <v>386.5</v>
      </c>
      <c r="P1136" s="107">
        <v>389.05</v>
      </c>
      <c r="Q1136" s="107">
        <v>388.85</v>
      </c>
      <c r="R1136">
        <v>371700</v>
      </c>
    </row>
    <row r="1137" spans="1:18" x14ac:dyDescent="0.25">
      <c r="A1137" s="149">
        <v>43677</v>
      </c>
      <c r="B1137" s="107">
        <v>391.9</v>
      </c>
      <c r="C1137" s="107">
        <v>386.95</v>
      </c>
      <c r="D1137" s="107">
        <v>378.6</v>
      </c>
      <c r="E1137" s="107">
        <v>389.8</v>
      </c>
      <c r="F1137" s="107">
        <v>386.95</v>
      </c>
      <c r="G1137">
        <v>123885</v>
      </c>
      <c r="H1137" s="107"/>
      <c r="I1137" s="107"/>
      <c r="L1137" s="149">
        <v>43677</v>
      </c>
      <c r="M1137" s="107">
        <v>387.85</v>
      </c>
      <c r="N1137" s="107">
        <v>391.9</v>
      </c>
      <c r="O1137" s="107">
        <v>378.7</v>
      </c>
      <c r="P1137" s="107">
        <v>386.2</v>
      </c>
      <c r="Q1137" s="107">
        <v>387.85</v>
      </c>
      <c r="R1137">
        <v>311327</v>
      </c>
    </row>
    <row r="1138" spans="1:18" x14ac:dyDescent="0.25">
      <c r="A1138" s="149">
        <v>43678</v>
      </c>
      <c r="B1138" s="107">
        <v>388.8</v>
      </c>
      <c r="C1138" s="107">
        <v>374.85</v>
      </c>
      <c r="D1138" s="107">
        <v>371.1</v>
      </c>
      <c r="E1138" s="107">
        <v>385.7</v>
      </c>
      <c r="F1138" s="107">
        <v>374.85</v>
      </c>
      <c r="G1138">
        <v>62775</v>
      </c>
      <c r="H1138" s="107"/>
      <c r="I1138" s="107"/>
      <c r="L1138" s="149">
        <v>43678</v>
      </c>
      <c r="M1138" s="107">
        <v>374.3</v>
      </c>
      <c r="N1138" s="107">
        <v>388.9</v>
      </c>
      <c r="O1138" s="107">
        <v>371.25</v>
      </c>
      <c r="P1138" s="107">
        <v>385</v>
      </c>
      <c r="Q1138" s="107">
        <v>374.3</v>
      </c>
      <c r="R1138">
        <v>319711</v>
      </c>
    </row>
    <row r="1139" spans="1:18" x14ac:dyDescent="0.25">
      <c r="A1139" s="149">
        <v>43679</v>
      </c>
      <c r="B1139" s="107">
        <v>382.55</v>
      </c>
      <c r="C1139" s="107">
        <v>378.7</v>
      </c>
      <c r="D1139" s="107">
        <v>369</v>
      </c>
      <c r="E1139" s="107">
        <v>372</v>
      </c>
      <c r="F1139" s="107">
        <v>378.7</v>
      </c>
      <c r="G1139">
        <v>64569</v>
      </c>
      <c r="H1139" s="107"/>
      <c r="I1139" s="107"/>
      <c r="L1139" s="149">
        <v>43679</v>
      </c>
      <c r="M1139" s="107">
        <v>379.15</v>
      </c>
      <c r="N1139" s="107">
        <v>382.8</v>
      </c>
      <c r="O1139" s="107">
        <v>368.5</v>
      </c>
      <c r="P1139" s="107">
        <v>369.1</v>
      </c>
      <c r="Q1139" s="107">
        <v>379.15</v>
      </c>
      <c r="R1139">
        <v>266991</v>
      </c>
    </row>
    <row r="1140" spans="1:18" x14ac:dyDescent="0.25">
      <c r="A1140" s="149">
        <v>43682</v>
      </c>
      <c r="B1140" s="107">
        <v>376.35</v>
      </c>
      <c r="C1140" s="107">
        <v>373.55</v>
      </c>
      <c r="D1140" s="107">
        <v>365.6</v>
      </c>
      <c r="E1140" s="107">
        <v>375.95</v>
      </c>
      <c r="F1140" s="107">
        <v>373.55</v>
      </c>
      <c r="G1140">
        <v>46411</v>
      </c>
      <c r="H1140" s="107"/>
      <c r="I1140" s="107"/>
      <c r="L1140" s="149">
        <v>43682</v>
      </c>
      <c r="M1140" s="107">
        <v>373.9</v>
      </c>
      <c r="N1140" s="107">
        <v>376.95</v>
      </c>
      <c r="O1140" s="107">
        <v>365.5</v>
      </c>
      <c r="P1140" s="107">
        <v>375.75</v>
      </c>
      <c r="Q1140" s="107">
        <v>373.9</v>
      </c>
      <c r="R1140">
        <v>219310</v>
      </c>
    </row>
    <row r="1141" spans="1:18" x14ac:dyDescent="0.25">
      <c r="A1141" s="149">
        <v>43683</v>
      </c>
      <c r="B1141" s="107">
        <v>388.9</v>
      </c>
      <c r="C1141" s="107">
        <v>386.35</v>
      </c>
      <c r="D1141" s="107">
        <v>371.7</v>
      </c>
      <c r="E1141" s="107">
        <v>373.05</v>
      </c>
      <c r="F1141" s="107">
        <v>386.35</v>
      </c>
      <c r="G1141">
        <v>54669</v>
      </c>
      <c r="H1141" s="107"/>
      <c r="I1141" s="107"/>
      <c r="L1141" s="149">
        <v>43683</v>
      </c>
      <c r="M1141" s="107">
        <v>385.95</v>
      </c>
      <c r="N1141" s="107">
        <v>389.2</v>
      </c>
      <c r="O1141" s="107">
        <v>369</v>
      </c>
      <c r="P1141" s="107">
        <v>369</v>
      </c>
      <c r="Q1141" s="107">
        <v>385.95</v>
      </c>
      <c r="R1141">
        <v>249258</v>
      </c>
    </row>
    <row r="1142" spans="1:18" x14ac:dyDescent="0.25">
      <c r="A1142" s="149">
        <v>43684</v>
      </c>
      <c r="B1142" s="107">
        <v>393.15</v>
      </c>
      <c r="C1142" s="107">
        <v>386.3</v>
      </c>
      <c r="D1142" s="107">
        <v>383.3</v>
      </c>
      <c r="E1142" s="107">
        <v>383.6</v>
      </c>
      <c r="F1142" s="107">
        <v>386.3</v>
      </c>
      <c r="G1142">
        <v>70491</v>
      </c>
      <c r="H1142" s="107"/>
      <c r="I1142" s="107"/>
      <c r="L1142" s="149">
        <v>43684</v>
      </c>
      <c r="M1142" s="107">
        <v>386.2</v>
      </c>
      <c r="N1142" s="107">
        <v>393.7</v>
      </c>
      <c r="O1142" s="107">
        <v>383.5</v>
      </c>
      <c r="P1142" s="107">
        <v>384.9</v>
      </c>
      <c r="Q1142" s="107">
        <v>386.2</v>
      </c>
      <c r="R1142">
        <v>261500</v>
      </c>
    </row>
    <row r="1143" spans="1:18" x14ac:dyDescent="0.25">
      <c r="A1143" s="149">
        <v>43685</v>
      </c>
      <c r="B1143" s="107">
        <v>390.7</v>
      </c>
      <c r="C1143" s="107">
        <v>382.7</v>
      </c>
      <c r="D1143" s="107">
        <v>381.3</v>
      </c>
      <c r="E1143" s="107">
        <v>389.7</v>
      </c>
      <c r="F1143" s="107">
        <v>382.7</v>
      </c>
      <c r="G1143">
        <v>53031</v>
      </c>
      <c r="H1143" s="107"/>
      <c r="I1143" s="107"/>
      <c r="L1143" s="149">
        <v>43685</v>
      </c>
      <c r="M1143" s="107">
        <v>382.6</v>
      </c>
      <c r="N1143" s="107">
        <v>391.8</v>
      </c>
      <c r="O1143" s="107">
        <v>380.85</v>
      </c>
      <c r="P1143" s="107">
        <v>386.2</v>
      </c>
      <c r="Q1143" s="107">
        <v>382.6</v>
      </c>
      <c r="R1143">
        <v>127109</v>
      </c>
    </row>
    <row r="1144" spans="1:18" x14ac:dyDescent="0.25">
      <c r="A1144" s="149">
        <v>43686</v>
      </c>
      <c r="B1144" s="107">
        <v>392.4</v>
      </c>
      <c r="C1144" s="107">
        <v>386.55</v>
      </c>
      <c r="D1144" s="107">
        <v>384.25</v>
      </c>
      <c r="E1144" s="107">
        <v>389.75</v>
      </c>
      <c r="F1144" s="107">
        <v>386.55</v>
      </c>
      <c r="G1144">
        <v>82387</v>
      </c>
      <c r="H1144" s="107"/>
      <c r="I1144" s="107"/>
      <c r="L1144" s="149">
        <v>43686</v>
      </c>
      <c r="M1144" s="107">
        <v>386.55</v>
      </c>
      <c r="N1144" s="107">
        <v>392.9</v>
      </c>
      <c r="O1144" s="107">
        <v>384</v>
      </c>
      <c r="P1144" s="107">
        <v>388.2</v>
      </c>
      <c r="Q1144" s="107">
        <v>386.55</v>
      </c>
      <c r="R1144">
        <v>238847</v>
      </c>
    </row>
    <row r="1145" spans="1:18" x14ac:dyDescent="0.25">
      <c r="A1145" s="149">
        <v>43690</v>
      </c>
      <c r="B1145" s="107">
        <v>390.45</v>
      </c>
      <c r="C1145" s="107">
        <v>371.6</v>
      </c>
      <c r="D1145" s="107">
        <v>368.2</v>
      </c>
      <c r="E1145" s="107">
        <v>387</v>
      </c>
      <c r="F1145" s="107">
        <v>371.6</v>
      </c>
      <c r="G1145">
        <v>86831</v>
      </c>
      <c r="H1145" s="107"/>
      <c r="I1145" s="107"/>
      <c r="L1145" s="149">
        <v>43690</v>
      </c>
      <c r="M1145" s="107">
        <v>371.8</v>
      </c>
      <c r="N1145" s="107">
        <v>390.8</v>
      </c>
      <c r="O1145" s="107">
        <v>367.55</v>
      </c>
      <c r="P1145" s="107">
        <v>387</v>
      </c>
      <c r="Q1145" s="107">
        <v>371.8</v>
      </c>
      <c r="R1145">
        <v>197577</v>
      </c>
    </row>
    <row r="1146" spans="1:18" x14ac:dyDescent="0.25">
      <c r="A1146" s="149">
        <v>43691</v>
      </c>
      <c r="B1146" s="107">
        <v>382.2</v>
      </c>
      <c r="C1146" s="107">
        <v>372.8</v>
      </c>
      <c r="D1146" s="107">
        <v>371.6</v>
      </c>
      <c r="E1146" s="107">
        <v>376</v>
      </c>
      <c r="F1146" s="107">
        <v>372.8</v>
      </c>
      <c r="G1146">
        <v>71332</v>
      </c>
      <c r="H1146" s="107"/>
      <c r="I1146" s="107"/>
      <c r="L1146" s="149">
        <v>43691</v>
      </c>
      <c r="M1146" s="107">
        <v>372.35</v>
      </c>
      <c r="N1146" s="107">
        <v>383.95</v>
      </c>
      <c r="O1146" s="107">
        <v>370.1</v>
      </c>
      <c r="P1146" s="107">
        <v>376.3</v>
      </c>
      <c r="Q1146" s="107">
        <v>372.35</v>
      </c>
      <c r="R1146">
        <v>139069</v>
      </c>
    </row>
    <row r="1147" spans="1:18" x14ac:dyDescent="0.25">
      <c r="A1147" s="149">
        <v>43693</v>
      </c>
      <c r="B1147" s="107">
        <v>378.75</v>
      </c>
      <c r="C1147" s="107">
        <v>374.9</v>
      </c>
      <c r="D1147" s="107">
        <v>372.6</v>
      </c>
      <c r="E1147" s="107">
        <v>375.3</v>
      </c>
      <c r="F1147" s="107">
        <v>374.9</v>
      </c>
      <c r="G1147">
        <v>53536</v>
      </c>
      <c r="H1147" s="107"/>
      <c r="I1147" s="107"/>
      <c r="L1147" s="149">
        <v>43693</v>
      </c>
      <c r="M1147" s="107">
        <v>375.4</v>
      </c>
      <c r="N1147" s="107">
        <v>379.1</v>
      </c>
      <c r="O1147" s="107">
        <v>372.1</v>
      </c>
      <c r="P1147" s="107">
        <v>376</v>
      </c>
      <c r="Q1147" s="107">
        <v>375.4</v>
      </c>
      <c r="R1147">
        <v>140329</v>
      </c>
    </row>
    <row r="1148" spans="1:18" x14ac:dyDescent="0.25">
      <c r="A1148" s="149">
        <v>43696</v>
      </c>
      <c r="B1148" s="107">
        <v>382.65</v>
      </c>
      <c r="C1148" s="107">
        <v>381.85</v>
      </c>
      <c r="D1148" s="107">
        <v>375.1</v>
      </c>
      <c r="E1148" s="107">
        <v>375.15</v>
      </c>
      <c r="F1148" s="107">
        <v>381.85</v>
      </c>
      <c r="G1148">
        <v>43533</v>
      </c>
      <c r="H1148" s="107"/>
      <c r="I1148" s="107"/>
      <c r="L1148" s="149">
        <v>43696</v>
      </c>
      <c r="M1148" s="107">
        <v>381.9</v>
      </c>
      <c r="N1148" s="107">
        <v>382.9</v>
      </c>
      <c r="O1148" s="107">
        <v>374.7</v>
      </c>
      <c r="P1148" s="107">
        <v>375</v>
      </c>
      <c r="Q1148" s="107">
        <v>381.9</v>
      </c>
      <c r="R1148">
        <v>123504</v>
      </c>
    </row>
    <row r="1149" spans="1:18" x14ac:dyDescent="0.25">
      <c r="A1149" s="149">
        <v>43697</v>
      </c>
      <c r="B1149" s="107">
        <v>385.5</v>
      </c>
      <c r="C1149" s="107">
        <v>377.2</v>
      </c>
      <c r="D1149" s="107">
        <v>372.9</v>
      </c>
      <c r="E1149" s="107">
        <v>379.8</v>
      </c>
      <c r="F1149" s="107">
        <v>377.2</v>
      </c>
      <c r="G1149">
        <v>19664</v>
      </c>
      <c r="H1149" s="107"/>
      <c r="I1149" s="107"/>
      <c r="L1149" s="149">
        <v>43697</v>
      </c>
      <c r="M1149" s="107">
        <v>377.25</v>
      </c>
      <c r="N1149" s="107">
        <v>385.95</v>
      </c>
      <c r="O1149" s="107">
        <v>372.5</v>
      </c>
      <c r="P1149" s="107">
        <v>378.15</v>
      </c>
      <c r="Q1149" s="107">
        <v>377.25</v>
      </c>
      <c r="R1149">
        <v>170461</v>
      </c>
    </row>
    <row r="1150" spans="1:18" x14ac:dyDescent="0.25">
      <c r="A1150" s="149">
        <v>43698</v>
      </c>
      <c r="B1150" s="107">
        <v>379.7</v>
      </c>
      <c r="C1150" s="107">
        <v>379.15</v>
      </c>
      <c r="D1150" s="107">
        <v>375.55</v>
      </c>
      <c r="E1150" s="107">
        <v>378.5</v>
      </c>
      <c r="F1150" s="107">
        <v>379.15</v>
      </c>
      <c r="G1150">
        <v>48929</v>
      </c>
      <c r="H1150" s="107"/>
      <c r="I1150" s="107"/>
      <c r="L1150" s="149">
        <v>43698</v>
      </c>
      <c r="M1150" s="107">
        <v>379.1</v>
      </c>
      <c r="N1150" s="107">
        <v>380</v>
      </c>
      <c r="O1150" s="107">
        <v>375.05</v>
      </c>
      <c r="P1150" s="107">
        <v>375.05</v>
      </c>
      <c r="Q1150" s="107">
        <v>379.1</v>
      </c>
      <c r="R1150">
        <v>122585</v>
      </c>
    </row>
    <row r="1151" spans="1:18" x14ac:dyDescent="0.25">
      <c r="A1151" s="149">
        <v>43699</v>
      </c>
      <c r="B1151" s="107">
        <v>381.05</v>
      </c>
      <c r="C1151" s="107">
        <v>369.5</v>
      </c>
      <c r="D1151" s="107">
        <v>362.2</v>
      </c>
      <c r="E1151" s="107">
        <v>380.25</v>
      </c>
      <c r="F1151" s="107">
        <v>369.5</v>
      </c>
      <c r="G1151">
        <v>57698</v>
      </c>
      <c r="H1151" s="107"/>
      <c r="I1151" s="107"/>
      <c r="L1151" s="149">
        <v>43699</v>
      </c>
      <c r="M1151" s="107">
        <v>368.65</v>
      </c>
      <c r="N1151" s="107">
        <v>381.55</v>
      </c>
      <c r="O1151" s="107">
        <v>356.4</v>
      </c>
      <c r="P1151" s="107">
        <v>377.5</v>
      </c>
      <c r="Q1151" s="107">
        <v>368.65</v>
      </c>
      <c r="R1151">
        <v>167603</v>
      </c>
    </row>
    <row r="1152" spans="1:18" x14ac:dyDescent="0.25">
      <c r="A1152" s="149">
        <v>43700</v>
      </c>
      <c r="B1152" s="107">
        <v>375</v>
      </c>
      <c r="C1152" s="107">
        <v>370.75</v>
      </c>
      <c r="D1152" s="107">
        <v>360.6</v>
      </c>
      <c r="E1152" s="107">
        <v>369.15</v>
      </c>
      <c r="F1152" s="107">
        <v>370.75</v>
      </c>
      <c r="G1152">
        <v>57253</v>
      </c>
      <c r="H1152" s="107"/>
      <c r="I1152" s="107"/>
      <c r="L1152" s="149">
        <v>43700</v>
      </c>
      <c r="M1152" s="107">
        <v>370.75</v>
      </c>
      <c r="N1152" s="107">
        <v>378</v>
      </c>
      <c r="O1152" s="107">
        <v>360.05</v>
      </c>
      <c r="P1152" s="107">
        <v>368.75</v>
      </c>
      <c r="Q1152" s="107">
        <v>370.75</v>
      </c>
      <c r="R1152">
        <v>540390</v>
      </c>
    </row>
    <row r="1153" spans="1:18" x14ac:dyDescent="0.25">
      <c r="A1153" s="149">
        <v>43703</v>
      </c>
      <c r="B1153" s="107">
        <v>387.25</v>
      </c>
      <c r="C1153" s="107">
        <v>378.05</v>
      </c>
      <c r="D1153" s="107">
        <v>374</v>
      </c>
      <c r="E1153" s="107">
        <v>378</v>
      </c>
      <c r="F1153" s="107">
        <v>378.05</v>
      </c>
      <c r="G1153">
        <v>36759</v>
      </c>
      <c r="H1153" s="107"/>
      <c r="I1153" s="107"/>
      <c r="L1153" s="149">
        <v>43703</v>
      </c>
      <c r="M1153" s="107">
        <v>378.05</v>
      </c>
      <c r="N1153" s="107">
        <v>387.8</v>
      </c>
      <c r="O1153" s="107">
        <v>373.65</v>
      </c>
      <c r="P1153" s="107">
        <v>385</v>
      </c>
      <c r="Q1153" s="107">
        <v>378.05</v>
      </c>
      <c r="R1153">
        <v>175154</v>
      </c>
    </row>
    <row r="1154" spans="1:18" x14ac:dyDescent="0.25">
      <c r="A1154" s="149">
        <v>43704</v>
      </c>
      <c r="B1154" s="107">
        <v>405</v>
      </c>
      <c r="C1154" s="107">
        <v>396.7</v>
      </c>
      <c r="D1154" s="107">
        <v>382.05</v>
      </c>
      <c r="E1154" s="107">
        <v>383.4</v>
      </c>
      <c r="F1154" s="107">
        <v>396.7</v>
      </c>
      <c r="G1154">
        <v>28712</v>
      </c>
      <c r="H1154" s="107"/>
      <c r="I1154" s="107"/>
      <c r="L1154" s="149">
        <v>43704</v>
      </c>
      <c r="M1154" s="107">
        <v>397.35</v>
      </c>
      <c r="N1154" s="107">
        <v>404.9</v>
      </c>
      <c r="O1154" s="107">
        <v>381</v>
      </c>
      <c r="P1154" s="107">
        <v>381.8</v>
      </c>
      <c r="Q1154" s="107">
        <v>397.35</v>
      </c>
      <c r="R1154">
        <v>369195</v>
      </c>
    </row>
    <row r="1155" spans="1:18" x14ac:dyDescent="0.25">
      <c r="A1155" s="149">
        <v>43705</v>
      </c>
      <c r="B1155" s="107">
        <v>408.8</v>
      </c>
      <c r="C1155" s="107">
        <v>404.65</v>
      </c>
      <c r="D1155" s="107">
        <v>392.1</v>
      </c>
      <c r="E1155" s="107">
        <v>399</v>
      </c>
      <c r="F1155" s="107">
        <v>404.65</v>
      </c>
      <c r="G1155">
        <v>34002</v>
      </c>
      <c r="H1155" s="107"/>
      <c r="I1155" s="107"/>
      <c r="L1155" s="149">
        <v>43705</v>
      </c>
      <c r="M1155" s="107">
        <v>402.05</v>
      </c>
      <c r="N1155" s="107">
        <v>409</v>
      </c>
      <c r="O1155" s="107">
        <v>392</v>
      </c>
      <c r="P1155" s="107">
        <v>397</v>
      </c>
      <c r="Q1155" s="107">
        <v>402.05</v>
      </c>
      <c r="R1155">
        <v>256427</v>
      </c>
    </row>
    <row r="1156" spans="1:18" x14ac:dyDescent="0.25">
      <c r="A1156" s="149">
        <v>43706</v>
      </c>
      <c r="B1156" s="107">
        <v>416.9</v>
      </c>
      <c r="C1156" s="107">
        <v>399.05</v>
      </c>
      <c r="D1156" s="107">
        <v>394.2</v>
      </c>
      <c r="E1156" s="107">
        <v>404.65</v>
      </c>
      <c r="F1156" s="107">
        <v>399.05</v>
      </c>
      <c r="G1156">
        <v>74838</v>
      </c>
      <c r="H1156" s="107"/>
      <c r="I1156" s="107"/>
      <c r="L1156" s="149">
        <v>43706</v>
      </c>
      <c r="M1156" s="107">
        <v>398.85</v>
      </c>
      <c r="N1156" s="107">
        <v>417</v>
      </c>
      <c r="O1156" s="107">
        <v>394.75</v>
      </c>
      <c r="P1156" s="107">
        <v>402</v>
      </c>
      <c r="Q1156" s="107">
        <v>398.85</v>
      </c>
      <c r="R1156">
        <v>767879</v>
      </c>
    </row>
    <row r="1157" spans="1:18" x14ac:dyDescent="0.25">
      <c r="A1157" s="149">
        <v>43707</v>
      </c>
      <c r="B1157" s="107">
        <v>415</v>
      </c>
      <c r="C1157" s="107">
        <v>412.45</v>
      </c>
      <c r="D1157" s="107">
        <v>395</v>
      </c>
      <c r="E1157" s="107">
        <v>400.2</v>
      </c>
      <c r="F1157" s="107">
        <v>412.45</v>
      </c>
      <c r="G1157">
        <v>25986</v>
      </c>
      <c r="H1157" s="107"/>
      <c r="I1157" s="107"/>
      <c r="L1157" s="149">
        <v>43707</v>
      </c>
      <c r="M1157" s="107">
        <v>412.95</v>
      </c>
      <c r="N1157" s="107">
        <v>415</v>
      </c>
      <c r="O1157" s="107">
        <v>395</v>
      </c>
      <c r="P1157" s="107">
        <v>398.85</v>
      </c>
      <c r="Q1157" s="107">
        <v>412.95</v>
      </c>
      <c r="R1157">
        <v>441523</v>
      </c>
    </row>
    <row r="1158" spans="1:18" x14ac:dyDescent="0.25">
      <c r="A1158" s="149">
        <v>43711</v>
      </c>
      <c r="B1158" s="107">
        <v>412.45</v>
      </c>
      <c r="C1158" s="107">
        <v>404.3</v>
      </c>
      <c r="D1158" s="107">
        <v>401.6</v>
      </c>
      <c r="E1158" s="107">
        <v>412.45</v>
      </c>
      <c r="F1158" s="107">
        <v>404.3</v>
      </c>
      <c r="G1158">
        <v>40764</v>
      </c>
      <c r="H1158" s="107"/>
      <c r="I1158" s="107"/>
      <c r="L1158" s="149">
        <v>43711</v>
      </c>
      <c r="M1158" s="107">
        <v>404.1</v>
      </c>
      <c r="N1158" s="107">
        <v>410</v>
      </c>
      <c r="O1158" s="107">
        <v>401.9</v>
      </c>
      <c r="P1158" s="107">
        <v>410</v>
      </c>
      <c r="Q1158" s="107">
        <v>404.1</v>
      </c>
      <c r="R1158">
        <v>181557</v>
      </c>
    </row>
    <row r="1159" spans="1:18" x14ac:dyDescent="0.25">
      <c r="A1159" s="149">
        <v>43712</v>
      </c>
      <c r="B1159" s="107">
        <v>410</v>
      </c>
      <c r="C1159" s="107">
        <v>401.15</v>
      </c>
      <c r="D1159" s="107">
        <v>400.05</v>
      </c>
      <c r="E1159" s="107">
        <v>409</v>
      </c>
      <c r="F1159" s="107">
        <v>401.15</v>
      </c>
      <c r="G1159">
        <v>12789</v>
      </c>
      <c r="H1159" s="107"/>
      <c r="I1159" s="107"/>
      <c r="L1159" s="149">
        <v>43712</v>
      </c>
      <c r="M1159" s="107">
        <v>401.6</v>
      </c>
      <c r="N1159" s="107">
        <v>410.9</v>
      </c>
      <c r="O1159" s="107">
        <v>400</v>
      </c>
      <c r="P1159" s="107">
        <v>409</v>
      </c>
      <c r="Q1159" s="107">
        <v>401.6</v>
      </c>
      <c r="R1159">
        <v>247647</v>
      </c>
    </row>
    <row r="1160" spans="1:18" x14ac:dyDescent="0.25">
      <c r="A1160" s="149">
        <v>43713</v>
      </c>
      <c r="B1160" s="107">
        <v>404</v>
      </c>
      <c r="C1160" s="107">
        <v>393.3</v>
      </c>
      <c r="D1160" s="107">
        <v>387</v>
      </c>
      <c r="E1160" s="107">
        <v>401.2</v>
      </c>
      <c r="F1160" s="107">
        <v>393.3</v>
      </c>
      <c r="G1160">
        <v>26888</v>
      </c>
      <c r="H1160" s="107"/>
      <c r="I1160" s="107"/>
      <c r="L1160" s="149">
        <v>43713</v>
      </c>
      <c r="M1160" s="107">
        <v>394.15</v>
      </c>
      <c r="N1160" s="107">
        <v>404.8</v>
      </c>
      <c r="O1160" s="107">
        <v>386.9</v>
      </c>
      <c r="P1160" s="107">
        <v>392.5</v>
      </c>
      <c r="Q1160" s="107">
        <v>394.15</v>
      </c>
      <c r="R1160">
        <v>223517</v>
      </c>
    </row>
    <row r="1161" spans="1:18" x14ac:dyDescent="0.25">
      <c r="A1161" s="149">
        <v>43714</v>
      </c>
      <c r="B1161" s="107">
        <v>399.9</v>
      </c>
      <c r="C1161" s="107">
        <v>391.75</v>
      </c>
      <c r="D1161" s="107">
        <v>389.05</v>
      </c>
      <c r="E1161" s="107">
        <v>395.6</v>
      </c>
      <c r="F1161" s="107">
        <v>391.75</v>
      </c>
      <c r="G1161">
        <v>31914</v>
      </c>
      <c r="H1161" s="107"/>
      <c r="I1161" s="107"/>
      <c r="L1161" s="149">
        <v>43714</v>
      </c>
      <c r="M1161" s="107">
        <v>392.1</v>
      </c>
      <c r="N1161" s="107">
        <v>401.55</v>
      </c>
      <c r="O1161" s="107">
        <v>389</v>
      </c>
      <c r="P1161" s="107">
        <v>395</v>
      </c>
      <c r="Q1161" s="107">
        <v>392.1</v>
      </c>
      <c r="R1161">
        <v>182865</v>
      </c>
    </row>
    <row r="1162" spans="1:18" x14ac:dyDescent="0.25">
      <c r="A1162" s="149">
        <v>43717</v>
      </c>
      <c r="B1162" s="107">
        <v>406.45</v>
      </c>
      <c r="C1162" s="107">
        <v>400.3</v>
      </c>
      <c r="D1162" s="107">
        <v>396</v>
      </c>
      <c r="E1162" s="107">
        <v>400</v>
      </c>
      <c r="F1162" s="107">
        <v>400.3</v>
      </c>
      <c r="G1162">
        <v>28463</v>
      </c>
      <c r="H1162" s="107"/>
      <c r="I1162" s="107"/>
      <c r="L1162" s="149">
        <v>43717</v>
      </c>
      <c r="M1162" s="107">
        <v>400.65</v>
      </c>
      <c r="N1162" s="107">
        <v>406</v>
      </c>
      <c r="O1162" s="107">
        <v>396.2</v>
      </c>
      <c r="P1162" s="107">
        <v>400.05</v>
      </c>
      <c r="Q1162" s="107">
        <v>400.65</v>
      </c>
      <c r="R1162">
        <v>336237</v>
      </c>
    </row>
    <row r="1163" spans="1:18" x14ac:dyDescent="0.25">
      <c r="A1163" s="149">
        <v>43719</v>
      </c>
      <c r="B1163" s="107">
        <v>404</v>
      </c>
      <c r="C1163" s="107">
        <v>393.75</v>
      </c>
      <c r="D1163" s="107">
        <v>391.65</v>
      </c>
      <c r="E1163" s="107">
        <v>399.15</v>
      </c>
      <c r="F1163" s="107">
        <v>393.75</v>
      </c>
      <c r="G1163">
        <v>35136</v>
      </c>
      <c r="H1163" s="107"/>
      <c r="I1163" s="107"/>
      <c r="L1163" s="149">
        <v>43719</v>
      </c>
      <c r="M1163" s="107">
        <v>393.6</v>
      </c>
      <c r="N1163" s="107">
        <v>403.5</v>
      </c>
      <c r="O1163" s="107">
        <v>392.1</v>
      </c>
      <c r="P1163" s="107">
        <v>400.6</v>
      </c>
      <c r="Q1163" s="107">
        <v>393.6</v>
      </c>
      <c r="R1163">
        <v>213395</v>
      </c>
    </row>
    <row r="1164" spans="1:18" x14ac:dyDescent="0.25">
      <c r="A1164" s="149">
        <v>43720</v>
      </c>
      <c r="B1164" s="107">
        <v>400.45</v>
      </c>
      <c r="C1164" s="107">
        <v>392.4</v>
      </c>
      <c r="D1164" s="107">
        <v>390.15</v>
      </c>
      <c r="E1164" s="107">
        <v>394</v>
      </c>
      <c r="F1164" s="107">
        <v>392.4</v>
      </c>
      <c r="G1164">
        <v>51034</v>
      </c>
      <c r="H1164" s="107"/>
      <c r="I1164" s="107"/>
      <c r="L1164" s="149">
        <v>43720</v>
      </c>
      <c r="M1164" s="107">
        <v>392.8</v>
      </c>
      <c r="N1164" s="107">
        <v>400</v>
      </c>
      <c r="O1164" s="107">
        <v>390</v>
      </c>
      <c r="P1164" s="107">
        <v>397.2</v>
      </c>
      <c r="Q1164" s="107">
        <v>392.8</v>
      </c>
      <c r="R1164">
        <v>180138</v>
      </c>
    </row>
    <row r="1165" spans="1:18" x14ac:dyDescent="0.25">
      <c r="A1165" s="149">
        <v>43721</v>
      </c>
      <c r="B1165" s="107">
        <v>397.75</v>
      </c>
      <c r="C1165" s="107">
        <v>392.25</v>
      </c>
      <c r="D1165" s="107">
        <v>390.25</v>
      </c>
      <c r="E1165" s="107">
        <v>394.55</v>
      </c>
      <c r="F1165" s="107">
        <v>392.25</v>
      </c>
      <c r="G1165">
        <v>19310</v>
      </c>
      <c r="H1165" s="107"/>
      <c r="I1165" s="107"/>
      <c r="L1165" s="149">
        <v>43721</v>
      </c>
      <c r="M1165" s="107">
        <v>392.45</v>
      </c>
      <c r="N1165" s="107">
        <v>397.3</v>
      </c>
      <c r="O1165" s="107">
        <v>390</v>
      </c>
      <c r="P1165" s="107">
        <v>396.15</v>
      </c>
      <c r="Q1165" s="107">
        <v>392.45</v>
      </c>
      <c r="R1165">
        <v>101244</v>
      </c>
    </row>
    <row r="1166" spans="1:18" x14ac:dyDescent="0.25">
      <c r="A1166" s="149">
        <v>43724</v>
      </c>
      <c r="B1166" s="107">
        <v>404</v>
      </c>
      <c r="C1166" s="107">
        <v>402.6</v>
      </c>
      <c r="D1166" s="107">
        <v>387.6</v>
      </c>
      <c r="E1166" s="107">
        <v>392.25</v>
      </c>
      <c r="F1166" s="107">
        <v>402.6</v>
      </c>
      <c r="G1166">
        <v>31494</v>
      </c>
      <c r="H1166" s="107"/>
      <c r="I1166" s="107"/>
      <c r="L1166" s="149">
        <v>43724</v>
      </c>
      <c r="M1166" s="107">
        <v>401.95</v>
      </c>
      <c r="N1166" s="107">
        <v>404.8</v>
      </c>
      <c r="O1166" s="107">
        <v>388</v>
      </c>
      <c r="P1166" s="107">
        <v>392.8</v>
      </c>
      <c r="Q1166" s="107">
        <v>401.95</v>
      </c>
      <c r="R1166">
        <v>258536</v>
      </c>
    </row>
    <row r="1167" spans="1:18" x14ac:dyDescent="0.25">
      <c r="A1167" s="149">
        <v>43725</v>
      </c>
      <c r="B1167" s="107">
        <v>406.65</v>
      </c>
      <c r="C1167" s="107">
        <v>396</v>
      </c>
      <c r="D1167" s="107">
        <v>393</v>
      </c>
      <c r="E1167" s="107">
        <v>402.3</v>
      </c>
      <c r="F1167" s="107">
        <v>396</v>
      </c>
      <c r="G1167">
        <v>22697</v>
      </c>
      <c r="H1167" s="107"/>
      <c r="I1167" s="107"/>
      <c r="L1167" s="149">
        <v>43725</v>
      </c>
      <c r="M1167" s="107">
        <v>396.05</v>
      </c>
      <c r="N1167" s="107">
        <v>406.75</v>
      </c>
      <c r="O1167" s="107">
        <v>392.4</v>
      </c>
      <c r="P1167" s="107">
        <v>403</v>
      </c>
      <c r="Q1167" s="107">
        <v>396.05</v>
      </c>
      <c r="R1167">
        <v>191426</v>
      </c>
    </row>
    <row r="1168" spans="1:18" x14ac:dyDescent="0.25">
      <c r="A1168" s="149">
        <v>43726</v>
      </c>
      <c r="B1168" s="107">
        <v>400</v>
      </c>
      <c r="C1168" s="107">
        <v>382.15</v>
      </c>
      <c r="D1168" s="107">
        <v>379</v>
      </c>
      <c r="E1168" s="107">
        <v>395.95</v>
      </c>
      <c r="F1168" s="107">
        <v>382.15</v>
      </c>
      <c r="G1168">
        <v>31262</v>
      </c>
      <c r="H1168" s="107"/>
      <c r="I1168" s="107"/>
      <c r="L1168" s="149">
        <v>43726</v>
      </c>
      <c r="M1168" s="107">
        <v>382.35</v>
      </c>
      <c r="N1168" s="107">
        <v>400.2</v>
      </c>
      <c r="O1168" s="107">
        <v>378.25</v>
      </c>
      <c r="P1168" s="107">
        <v>399.6</v>
      </c>
      <c r="Q1168" s="107">
        <v>382.35</v>
      </c>
      <c r="R1168">
        <v>154697</v>
      </c>
    </row>
    <row r="1169" spans="1:18" x14ac:dyDescent="0.25">
      <c r="A1169" s="149">
        <v>43727</v>
      </c>
      <c r="B1169" s="107">
        <v>393</v>
      </c>
      <c r="C1169" s="107">
        <v>376.95</v>
      </c>
      <c r="D1169" s="107">
        <v>376</v>
      </c>
      <c r="E1169" s="107">
        <v>393</v>
      </c>
      <c r="F1169" s="107">
        <v>376.95</v>
      </c>
      <c r="G1169">
        <v>20218</v>
      </c>
      <c r="H1169" s="107"/>
      <c r="I1169" s="107"/>
      <c r="L1169" s="149">
        <v>43727</v>
      </c>
      <c r="M1169" s="107">
        <v>376.7</v>
      </c>
      <c r="N1169" s="107">
        <v>390</v>
      </c>
      <c r="O1169" s="107">
        <v>375.25</v>
      </c>
      <c r="P1169" s="107">
        <v>384.9</v>
      </c>
      <c r="Q1169" s="107">
        <v>376.7</v>
      </c>
      <c r="R1169">
        <v>190481</v>
      </c>
    </row>
    <row r="1170" spans="1:18" x14ac:dyDescent="0.25">
      <c r="A1170" s="149">
        <v>43728</v>
      </c>
      <c r="B1170" s="107">
        <v>398.05</v>
      </c>
      <c r="C1170" s="107">
        <v>387.3</v>
      </c>
      <c r="D1170" s="107">
        <v>371.9</v>
      </c>
      <c r="E1170" s="107">
        <v>380.05</v>
      </c>
      <c r="F1170" s="107">
        <v>387.3</v>
      </c>
      <c r="G1170">
        <v>51954</v>
      </c>
      <c r="H1170" s="107"/>
      <c r="I1170" s="107"/>
      <c r="L1170" s="149">
        <v>43728</v>
      </c>
      <c r="M1170" s="107">
        <v>386.7</v>
      </c>
      <c r="N1170" s="107">
        <v>398.6</v>
      </c>
      <c r="O1170" s="107">
        <v>371.6</v>
      </c>
      <c r="P1170" s="107">
        <v>379.7</v>
      </c>
      <c r="Q1170" s="107">
        <v>386.7</v>
      </c>
      <c r="R1170">
        <v>459824</v>
      </c>
    </row>
    <row r="1171" spans="1:18" x14ac:dyDescent="0.25">
      <c r="A1171" s="149">
        <v>43731</v>
      </c>
      <c r="B1171" s="107">
        <v>411</v>
      </c>
      <c r="C1171" s="107">
        <v>405.3</v>
      </c>
      <c r="D1171" s="107">
        <v>387.3</v>
      </c>
      <c r="E1171" s="107">
        <v>387.3</v>
      </c>
      <c r="F1171" s="107">
        <v>405.3</v>
      </c>
      <c r="G1171">
        <v>44500</v>
      </c>
      <c r="H1171" s="107"/>
      <c r="I1171" s="107"/>
      <c r="L1171" s="149">
        <v>43731</v>
      </c>
      <c r="M1171" s="107">
        <v>405.75</v>
      </c>
      <c r="N1171" s="107">
        <v>410.9</v>
      </c>
      <c r="O1171" s="107">
        <v>390.55</v>
      </c>
      <c r="P1171" s="107">
        <v>396</v>
      </c>
      <c r="Q1171" s="107">
        <v>405.75</v>
      </c>
      <c r="R1171">
        <v>423186</v>
      </c>
    </row>
    <row r="1172" spans="1:18" x14ac:dyDescent="0.25">
      <c r="A1172" s="149">
        <v>43732</v>
      </c>
      <c r="B1172" s="107">
        <v>419.5</v>
      </c>
      <c r="C1172" s="107">
        <v>416.25</v>
      </c>
      <c r="D1172" s="107">
        <v>403.5</v>
      </c>
      <c r="E1172" s="107">
        <v>403.5</v>
      </c>
      <c r="F1172" s="107">
        <v>416.25</v>
      </c>
      <c r="G1172">
        <v>34777</v>
      </c>
      <c r="H1172" s="107"/>
      <c r="I1172" s="107"/>
      <c r="L1172" s="149">
        <v>43732</v>
      </c>
      <c r="M1172" s="107">
        <v>415.75</v>
      </c>
      <c r="N1172" s="107">
        <v>419.8</v>
      </c>
      <c r="O1172" s="107">
        <v>399.55</v>
      </c>
      <c r="P1172" s="107">
        <v>404</v>
      </c>
      <c r="Q1172" s="107">
        <v>415.75</v>
      </c>
      <c r="R1172">
        <v>581711</v>
      </c>
    </row>
    <row r="1173" spans="1:18" x14ac:dyDescent="0.25">
      <c r="A1173" s="149">
        <v>43733</v>
      </c>
      <c r="B1173" s="107">
        <v>424.1</v>
      </c>
      <c r="C1173" s="107">
        <v>412.15</v>
      </c>
      <c r="D1173" s="107">
        <v>410.2</v>
      </c>
      <c r="E1173" s="107">
        <v>420</v>
      </c>
      <c r="F1173" s="107">
        <v>412.15</v>
      </c>
      <c r="G1173">
        <v>23374</v>
      </c>
      <c r="H1173" s="107"/>
      <c r="I1173" s="107"/>
      <c r="L1173" s="149">
        <v>43733</v>
      </c>
      <c r="M1173" s="107">
        <v>412.1</v>
      </c>
      <c r="N1173" s="107">
        <v>424.7</v>
      </c>
      <c r="O1173" s="107">
        <v>410</v>
      </c>
      <c r="P1173" s="107">
        <v>417.45</v>
      </c>
      <c r="Q1173" s="107">
        <v>412.1</v>
      </c>
      <c r="R1173">
        <v>411168</v>
      </c>
    </row>
    <row r="1174" spans="1:18" x14ac:dyDescent="0.25">
      <c r="A1174" s="149">
        <v>43734</v>
      </c>
      <c r="B1174" s="107">
        <v>415.45</v>
      </c>
      <c r="C1174" s="107">
        <v>413.7</v>
      </c>
      <c r="D1174" s="107">
        <v>410.85</v>
      </c>
      <c r="E1174" s="107">
        <v>414.8</v>
      </c>
      <c r="F1174" s="107">
        <v>413.7</v>
      </c>
      <c r="G1174">
        <v>7914</v>
      </c>
      <c r="H1174" s="107"/>
      <c r="I1174" s="107"/>
      <c r="L1174" s="149">
        <v>43734</v>
      </c>
      <c r="M1174" s="107">
        <v>413.9</v>
      </c>
      <c r="N1174" s="107">
        <v>416.65</v>
      </c>
      <c r="O1174" s="107">
        <v>410.05</v>
      </c>
      <c r="P1174" s="107">
        <v>415.9</v>
      </c>
      <c r="Q1174" s="107">
        <v>413.9</v>
      </c>
      <c r="R1174">
        <v>136309</v>
      </c>
    </row>
    <row r="1175" spans="1:18" x14ac:dyDescent="0.25">
      <c r="A1175" s="149">
        <v>43735</v>
      </c>
      <c r="B1175" s="107">
        <v>414.05</v>
      </c>
      <c r="C1175" s="107">
        <v>403.8</v>
      </c>
      <c r="D1175" s="107">
        <v>400.75</v>
      </c>
      <c r="E1175" s="107">
        <v>414.05</v>
      </c>
      <c r="F1175" s="107">
        <v>403.8</v>
      </c>
      <c r="G1175">
        <v>14257</v>
      </c>
      <c r="H1175" s="107"/>
      <c r="I1175" s="107"/>
      <c r="L1175" s="149">
        <v>43735</v>
      </c>
      <c r="M1175" s="107">
        <v>404.45</v>
      </c>
      <c r="N1175" s="107">
        <v>413.95</v>
      </c>
      <c r="O1175" s="107">
        <v>401</v>
      </c>
      <c r="P1175" s="107">
        <v>412</v>
      </c>
      <c r="Q1175" s="107">
        <v>404.45</v>
      </c>
      <c r="R1175">
        <v>345242</v>
      </c>
    </row>
    <row r="1176" spans="1:18" x14ac:dyDescent="0.25">
      <c r="A1176" s="149">
        <v>43738</v>
      </c>
      <c r="B1176" s="107">
        <v>402.4</v>
      </c>
      <c r="C1176" s="107">
        <v>392.75</v>
      </c>
      <c r="D1176" s="107">
        <v>390</v>
      </c>
      <c r="E1176" s="107">
        <v>399.55</v>
      </c>
      <c r="F1176" s="107">
        <v>392.75</v>
      </c>
      <c r="G1176">
        <v>24142</v>
      </c>
      <c r="H1176" s="107"/>
      <c r="I1176" s="107"/>
      <c r="L1176" s="149">
        <v>43738</v>
      </c>
      <c r="M1176" s="107">
        <v>393.25</v>
      </c>
      <c r="N1176" s="107">
        <v>403.95</v>
      </c>
      <c r="O1176" s="107">
        <v>390</v>
      </c>
      <c r="P1176" s="107">
        <v>400</v>
      </c>
      <c r="Q1176" s="107">
        <v>393.25</v>
      </c>
      <c r="R1176">
        <v>169226</v>
      </c>
    </row>
    <row r="1177" spans="1:18" x14ac:dyDescent="0.25">
      <c r="A1177" s="149">
        <v>43739</v>
      </c>
      <c r="B1177" s="107">
        <v>398.6</v>
      </c>
      <c r="C1177" s="107">
        <v>392.8</v>
      </c>
      <c r="D1177" s="107">
        <v>388</v>
      </c>
      <c r="E1177" s="107">
        <v>394</v>
      </c>
      <c r="F1177" s="107">
        <v>392.8</v>
      </c>
      <c r="G1177">
        <v>24609</v>
      </c>
      <c r="H1177" s="107"/>
      <c r="I1177" s="107"/>
      <c r="L1177" s="149">
        <v>43739</v>
      </c>
      <c r="M1177" s="107">
        <v>394.05</v>
      </c>
      <c r="N1177" s="107">
        <v>399</v>
      </c>
      <c r="O1177" s="107">
        <v>388.25</v>
      </c>
      <c r="P1177" s="107">
        <v>391.6</v>
      </c>
      <c r="Q1177" s="107">
        <v>394.05</v>
      </c>
      <c r="R1177">
        <v>181872</v>
      </c>
    </row>
    <row r="1178" spans="1:18" x14ac:dyDescent="0.25">
      <c r="A1178" s="149">
        <v>43741</v>
      </c>
      <c r="B1178" s="107">
        <v>397.05</v>
      </c>
      <c r="C1178" s="107">
        <v>389.35</v>
      </c>
      <c r="D1178" s="107">
        <v>385.2</v>
      </c>
      <c r="E1178" s="107">
        <v>389.75</v>
      </c>
      <c r="F1178" s="107">
        <v>389.35</v>
      </c>
      <c r="G1178">
        <v>11568</v>
      </c>
      <c r="H1178" s="107"/>
      <c r="I1178" s="107"/>
      <c r="L1178" s="149">
        <v>43741</v>
      </c>
      <c r="M1178" s="107">
        <v>390.15</v>
      </c>
      <c r="N1178" s="107">
        <v>397</v>
      </c>
      <c r="O1178" s="107">
        <v>385.8</v>
      </c>
      <c r="P1178" s="107">
        <v>390</v>
      </c>
      <c r="Q1178" s="107">
        <v>390.15</v>
      </c>
      <c r="R1178">
        <v>105163</v>
      </c>
    </row>
    <row r="1179" spans="1:18" x14ac:dyDescent="0.25">
      <c r="A1179" s="149">
        <v>43742</v>
      </c>
      <c r="B1179" s="107">
        <v>396.15</v>
      </c>
      <c r="C1179" s="107">
        <v>392.7</v>
      </c>
      <c r="D1179" s="107">
        <v>390</v>
      </c>
      <c r="E1179" s="107">
        <v>390</v>
      </c>
      <c r="F1179" s="107">
        <v>392.7</v>
      </c>
      <c r="G1179">
        <v>8266</v>
      </c>
      <c r="H1179" s="107"/>
      <c r="I1179" s="107"/>
      <c r="L1179" s="149">
        <v>43742</v>
      </c>
      <c r="M1179" s="107">
        <v>392.95</v>
      </c>
      <c r="N1179" s="107">
        <v>397</v>
      </c>
      <c r="O1179" s="107">
        <v>390</v>
      </c>
      <c r="P1179" s="107">
        <v>392</v>
      </c>
      <c r="Q1179" s="107">
        <v>392.95</v>
      </c>
      <c r="R1179">
        <v>137583</v>
      </c>
    </row>
    <row r="1180" spans="1:18" x14ac:dyDescent="0.25">
      <c r="A1180" s="149">
        <v>43745</v>
      </c>
      <c r="B1180" s="107">
        <v>393</v>
      </c>
      <c r="C1180" s="107">
        <v>379.55</v>
      </c>
      <c r="D1180" s="107">
        <v>368.4</v>
      </c>
      <c r="E1180" s="107">
        <v>393</v>
      </c>
      <c r="F1180" s="107">
        <v>379.55</v>
      </c>
      <c r="G1180">
        <v>745815</v>
      </c>
      <c r="H1180" s="107"/>
      <c r="I1180" s="107"/>
      <c r="L1180" s="149">
        <v>43745</v>
      </c>
      <c r="M1180" s="107">
        <v>380.25</v>
      </c>
      <c r="N1180" s="107">
        <v>394.95</v>
      </c>
      <c r="O1180" s="107">
        <v>368.5</v>
      </c>
      <c r="P1180" s="107">
        <v>393</v>
      </c>
      <c r="Q1180" s="107">
        <v>380.25</v>
      </c>
      <c r="R1180">
        <v>1140672</v>
      </c>
    </row>
    <row r="1181" spans="1:18" x14ac:dyDescent="0.25">
      <c r="A1181" s="149">
        <v>43747</v>
      </c>
      <c r="B1181" s="107">
        <v>393.25</v>
      </c>
      <c r="C1181" s="107">
        <v>390.7</v>
      </c>
      <c r="D1181" s="107">
        <v>376.2</v>
      </c>
      <c r="E1181" s="107">
        <v>376.7</v>
      </c>
      <c r="F1181" s="107">
        <v>390.7</v>
      </c>
      <c r="G1181">
        <v>30286</v>
      </c>
      <c r="H1181" s="107"/>
      <c r="I1181" s="107"/>
      <c r="L1181" s="149">
        <v>43747</v>
      </c>
      <c r="M1181" s="107">
        <v>391</v>
      </c>
      <c r="N1181" s="107">
        <v>393.95</v>
      </c>
      <c r="O1181" s="107">
        <v>376.55</v>
      </c>
      <c r="P1181" s="107">
        <v>379</v>
      </c>
      <c r="Q1181" s="107">
        <v>391</v>
      </c>
      <c r="R1181">
        <v>131502</v>
      </c>
    </row>
    <row r="1182" spans="1:18" x14ac:dyDescent="0.25">
      <c r="A1182" s="149">
        <v>43748</v>
      </c>
      <c r="B1182" s="107">
        <v>400.9</v>
      </c>
      <c r="C1182" s="107">
        <v>389.2</v>
      </c>
      <c r="D1182" s="107">
        <v>387.85</v>
      </c>
      <c r="E1182" s="107">
        <v>389.8</v>
      </c>
      <c r="F1182" s="107">
        <v>389.2</v>
      </c>
      <c r="G1182">
        <v>21644</v>
      </c>
      <c r="H1182" s="107"/>
      <c r="I1182" s="107"/>
      <c r="L1182" s="149">
        <v>43748</v>
      </c>
      <c r="M1182" s="107">
        <v>389.25</v>
      </c>
      <c r="N1182" s="107">
        <v>400.9</v>
      </c>
      <c r="O1182" s="107">
        <v>386</v>
      </c>
      <c r="P1182" s="107">
        <v>386</v>
      </c>
      <c r="Q1182" s="107">
        <v>389.25</v>
      </c>
      <c r="R1182">
        <v>198015</v>
      </c>
    </row>
    <row r="1183" spans="1:18" x14ac:dyDescent="0.25">
      <c r="A1183" s="149">
        <v>43749</v>
      </c>
      <c r="B1183" s="107">
        <v>398.75</v>
      </c>
      <c r="C1183" s="107">
        <v>383.85</v>
      </c>
      <c r="D1183" s="107">
        <v>382.1</v>
      </c>
      <c r="E1183" s="107">
        <v>392.1</v>
      </c>
      <c r="F1183" s="107">
        <v>383.85</v>
      </c>
      <c r="G1183">
        <v>10183</v>
      </c>
      <c r="H1183" s="107"/>
      <c r="I1183" s="107"/>
      <c r="L1183" s="149">
        <v>43749</v>
      </c>
      <c r="M1183" s="107">
        <v>384.3</v>
      </c>
      <c r="N1183" s="107">
        <v>398.9</v>
      </c>
      <c r="O1183" s="107">
        <v>382.5</v>
      </c>
      <c r="P1183" s="107">
        <v>391</v>
      </c>
      <c r="Q1183" s="107">
        <v>384.3</v>
      </c>
      <c r="R1183">
        <v>148001</v>
      </c>
    </row>
    <row r="1184" spans="1:18" x14ac:dyDescent="0.25">
      <c r="A1184" s="149">
        <v>43752</v>
      </c>
      <c r="B1184" s="107">
        <v>388.6</v>
      </c>
      <c r="C1184" s="107">
        <v>382.2</v>
      </c>
      <c r="D1184" s="107">
        <v>380</v>
      </c>
      <c r="E1184" s="107">
        <v>386.85</v>
      </c>
      <c r="F1184" s="107">
        <v>382.2</v>
      </c>
      <c r="G1184">
        <v>20554</v>
      </c>
      <c r="H1184" s="107"/>
      <c r="I1184" s="107"/>
      <c r="L1184" s="149">
        <v>43752</v>
      </c>
      <c r="M1184" s="107">
        <v>382.25</v>
      </c>
      <c r="N1184" s="107">
        <v>388.45</v>
      </c>
      <c r="O1184" s="107">
        <v>379</v>
      </c>
      <c r="P1184" s="107">
        <v>384.9</v>
      </c>
      <c r="Q1184" s="107">
        <v>382.25</v>
      </c>
      <c r="R1184">
        <v>161594</v>
      </c>
    </row>
    <row r="1185" spans="1:18" x14ac:dyDescent="0.25">
      <c r="A1185" s="149">
        <v>43753</v>
      </c>
      <c r="B1185" s="107">
        <v>386.7</v>
      </c>
      <c r="C1185" s="107">
        <v>381.95</v>
      </c>
      <c r="D1185" s="107">
        <v>365</v>
      </c>
      <c r="E1185" s="107">
        <v>383.25</v>
      </c>
      <c r="F1185" s="107">
        <v>381.95</v>
      </c>
      <c r="G1185">
        <v>32448</v>
      </c>
      <c r="H1185" s="107"/>
      <c r="I1185" s="107"/>
      <c r="L1185" s="149">
        <v>43753</v>
      </c>
      <c r="M1185" s="107">
        <v>382.55</v>
      </c>
      <c r="N1185" s="107">
        <v>386.9</v>
      </c>
      <c r="O1185" s="107">
        <v>380.6</v>
      </c>
      <c r="P1185" s="107">
        <v>382.6</v>
      </c>
      <c r="Q1185" s="107">
        <v>382.55</v>
      </c>
      <c r="R1185">
        <v>143749</v>
      </c>
    </row>
    <row r="1186" spans="1:18" x14ac:dyDescent="0.25">
      <c r="A1186" s="149">
        <v>43754</v>
      </c>
      <c r="B1186" s="107">
        <v>396</v>
      </c>
      <c r="C1186" s="107">
        <v>384.75</v>
      </c>
      <c r="D1186" s="107">
        <v>383.85</v>
      </c>
      <c r="E1186" s="107">
        <v>388</v>
      </c>
      <c r="F1186" s="107">
        <v>384.75</v>
      </c>
      <c r="G1186">
        <v>9977</v>
      </c>
      <c r="H1186" s="107"/>
      <c r="I1186" s="107"/>
      <c r="L1186" s="149">
        <v>43754</v>
      </c>
      <c r="M1186" s="107">
        <v>385.05</v>
      </c>
      <c r="N1186" s="107">
        <v>396.9</v>
      </c>
      <c r="O1186" s="107">
        <v>383.75</v>
      </c>
      <c r="P1186" s="107">
        <v>386.35</v>
      </c>
      <c r="Q1186" s="107">
        <v>385.05</v>
      </c>
      <c r="R1186">
        <v>198403</v>
      </c>
    </row>
    <row r="1187" spans="1:18" x14ac:dyDescent="0.25">
      <c r="A1187" s="149">
        <v>43755</v>
      </c>
      <c r="B1187" s="107">
        <v>388.5</v>
      </c>
      <c r="C1187" s="107">
        <v>385.1</v>
      </c>
      <c r="D1187" s="107">
        <v>384.3</v>
      </c>
      <c r="E1187" s="107">
        <v>387.7</v>
      </c>
      <c r="F1187" s="107">
        <v>385.1</v>
      </c>
      <c r="G1187">
        <v>8273</v>
      </c>
      <c r="H1187" s="107"/>
      <c r="I1187" s="107"/>
      <c r="L1187" s="149">
        <v>43755</v>
      </c>
      <c r="M1187" s="107">
        <v>385.4</v>
      </c>
      <c r="N1187" s="107">
        <v>388.75</v>
      </c>
      <c r="O1187" s="107">
        <v>384.15</v>
      </c>
      <c r="P1187" s="107">
        <v>385.1</v>
      </c>
      <c r="Q1187" s="107">
        <v>385.4</v>
      </c>
      <c r="R1187">
        <v>162344</v>
      </c>
    </row>
    <row r="1188" spans="1:18" x14ac:dyDescent="0.25">
      <c r="A1188" s="149">
        <v>43756</v>
      </c>
      <c r="B1188" s="107">
        <v>406</v>
      </c>
      <c r="C1188" s="107">
        <v>401.9</v>
      </c>
      <c r="D1188" s="107">
        <v>386.95</v>
      </c>
      <c r="E1188" s="107">
        <v>386.95</v>
      </c>
      <c r="F1188" s="107">
        <v>401.9</v>
      </c>
      <c r="G1188">
        <v>38176</v>
      </c>
      <c r="H1188" s="107"/>
      <c r="I1188" s="107"/>
      <c r="L1188" s="149">
        <v>43756</v>
      </c>
      <c r="M1188" s="107">
        <v>402</v>
      </c>
      <c r="N1188" s="107">
        <v>405.9</v>
      </c>
      <c r="O1188" s="107">
        <v>386.05</v>
      </c>
      <c r="P1188" s="107">
        <v>386.8</v>
      </c>
      <c r="Q1188" s="107">
        <v>402</v>
      </c>
      <c r="R1188">
        <v>360080</v>
      </c>
    </row>
    <row r="1189" spans="1:18" x14ac:dyDescent="0.25">
      <c r="A1189" s="149">
        <v>43760</v>
      </c>
      <c r="B1189" s="107">
        <v>404.15</v>
      </c>
      <c r="C1189" s="107">
        <v>396.05</v>
      </c>
      <c r="D1189" s="107">
        <v>391.05</v>
      </c>
      <c r="E1189" s="107">
        <v>399.85</v>
      </c>
      <c r="F1189" s="107">
        <v>396.05</v>
      </c>
      <c r="G1189">
        <v>16295</v>
      </c>
      <c r="H1189" s="107"/>
      <c r="I1189" s="107"/>
      <c r="L1189" s="149">
        <v>43760</v>
      </c>
      <c r="M1189" s="107">
        <v>395.8</v>
      </c>
      <c r="N1189" s="107">
        <v>403</v>
      </c>
      <c r="O1189" s="107">
        <v>391.45</v>
      </c>
      <c r="P1189" s="107">
        <v>393.1</v>
      </c>
      <c r="Q1189" s="107">
        <v>395.8</v>
      </c>
      <c r="R1189">
        <v>194725</v>
      </c>
    </row>
    <row r="1190" spans="1:18" x14ac:dyDescent="0.25">
      <c r="A1190" s="149">
        <v>43761</v>
      </c>
      <c r="B1190" s="107">
        <v>398.5</v>
      </c>
      <c r="C1190" s="107">
        <v>388.25</v>
      </c>
      <c r="D1190" s="107">
        <v>387</v>
      </c>
      <c r="E1190" s="107">
        <v>393.25</v>
      </c>
      <c r="F1190" s="107">
        <v>388.25</v>
      </c>
      <c r="G1190">
        <v>31559</v>
      </c>
      <c r="H1190" s="107"/>
      <c r="I1190" s="107"/>
      <c r="L1190" s="149">
        <v>43761</v>
      </c>
      <c r="M1190" s="107">
        <v>388.1</v>
      </c>
      <c r="N1190" s="107">
        <v>398.8</v>
      </c>
      <c r="O1190" s="107">
        <v>386.5</v>
      </c>
      <c r="P1190" s="107">
        <v>393.7</v>
      </c>
      <c r="Q1190" s="107">
        <v>388.1</v>
      </c>
      <c r="R1190">
        <v>137529</v>
      </c>
    </row>
    <row r="1191" spans="1:18" x14ac:dyDescent="0.25">
      <c r="A1191" s="149">
        <v>43762</v>
      </c>
      <c r="B1191" s="107">
        <v>393</v>
      </c>
      <c r="C1191" s="107">
        <v>386.45</v>
      </c>
      <c r="D1191" s="107">
        <v>385.1</v>
      </c>
      <c r="E1191" s="107">
        <v>390.25</v>
      </c>
      <c r="F1191" s="107">
        <v>386.45</v>
      </c>
      <c r="G1191">
        <v>11510</v>
      </c>
      <c r="H1191" s="107"/>
      <c r="I1191" s="107"/>
      <c r="L1191" s="149">
        <v>43762</v>
      </c>
      <c r="M1191" s="107">
        <v>386</v>
      </c>
      <c r="N1191" s="107">
        <v>393.5</v>
      </c>
      <c r="O1191" s="107">
        <v>385</v>
      </c>
      <c r="P1191" s="107">
        <v>390</v>
      </c>
      <c r="Q1191" s="107">
        <v>386</v>
      </c>
      <c r="R1191">
        <v>92135</v>
      </c>
    </row>
    <row r="1192" spans="1:18" x14ac:dyDescent="0.25">
      <c r="A1192" s="149">
        <v>43763</v>
      </c>
      <c r="B1192" s="107">
        <v>409.8</v>
      </c>
      <c r="C1192" s="107">
        <v>395.2</v>
      </c>
      <c r="D1192" s="107">
        <v>385.5</v>
      </c>
      <c r="E1192" s="107">
        <v>385.5</v>
      </c>
      <c r="F1192" s="107">
        <v>395.2</v>
      </c>
      <c r="G1192">
        <v>29485</v>
      </c>
      <c r="H1192" s="107"/>
      <c r="I1192" s="107"/>
      <c r="L1192" s="149">
        <v>43763</v>
      </c>
      <c r="M1192" s="107">
        <v>395.2</v>
      </c>
      <c r="N1192" s="107">
        <v>410.3</v>
      </c>
      <c r="O1192" s="107">
        <v>385.15</v>
      </c>
      <c r="P1192" s="107">
        <v>386.4</v>
      </c>
      <c r="Q1192" s="107">
        <v>395.2</v>
      </c>
      <c r="R1192">
        <v>358132</v>
      </c>
    </row>
    <row r="1193" spans="1:18" x14ac:dyDescent="0.25">
      <c r="A1193" s="149">
        <v>43765</v>
      </c>
      <c r="B1193" s="107">
        <v>410</v>
      </c>
      <c r="C1193" s="107">
        <v>405.15</v>
      </c>
      <c r="D1193" s="107">
        <v>393.3</v>
      </c>
      <c r="E1193" s="107">
        <v>394.65</v>
      </c>
      <c r="F1193" s="107">
        <v>405.15</v>
      </c>
      <c r="G1193">
        <v>14362</v>
      </c>
      <c r="H1193" s="107"/>
      <c r="I1193" s="107"/>
      <c r="L1193" s="149">
        <v>43765</v>
      </c>
      <c r="M1193" s="107">
        <v>405.2</v>
      </c>
      <c r="N1193" s="107">
        <v>410</v>
      </c>
      <c r="O1193" s="107">
        <v>392</v>
      </c>
      <c r="P1193" s="107">
        <v>392</v>
      </c>
      <c r="Q1193" s="107">
        <v>405.2</v>
      </c>
      <c r="R1193">
        <v>214640</v>
      </c>
    </row>
    <row r="1194" spans="1:18" x14ac:dyDescent="0.25">
      <c r="A1194" s="149">
        <v>43767</v>
      </c>
      <c r="B1194" s="107">
        <v>405.9</v>
      </c>
      <c r="C1194" s="107">
        <v>396.45</v>
      </c>
      <c r="D1194" s="107">
        <v>393.8</v>
      </c>
      <c r="E1194" s="107">
        <v>405.9</v>
      </c>
      <c r="F1194" s="107">
        <v>396.45</v>
      </c>
      <c r="G1194">
        <v>9362</v>
      </c>
      <c r="H1194" s="107"/>
      <c r="I1194" s="107"/>
      <c r="L1194" s="149">
        <v>43767</v>
      </c>
      <c r="M1194" s="107">
        <v>396.85</v>
      </c>
      <c r="N1194" s="107">
        <v>405</v>
      </c>
      <c r="O1194" s="107">
        <v>394.3</v>
      </c>
      <c r="P1194" s="107">
        <v>402</v>
      </c>
      <c r="Q1194" s="107">
        <v>396.85</v>
      </c>
      <c r="R1194">
        <v>137526</v>
      </c>
    </row>
    <row r="1195" spans="1:18" x14ac:dyDescent="0.25">
      <c r="A1195" s="149">
        <v>43768</v>
      </c>
      <c r="B1195" s="107">
        <v>401.6</v>
      </c>
      <c r="C1195" s="107">
        <v>395.05</v>
      </c>
      <c r="D1195" s="107">
        <v>393</v>
      </c>
      <c r="E1195" s="107">
        <v>398</v>
      </c>
      <c r="F1195" s="107">
        <v>395.05</v>
      </c>
      <c r="G1195">
        <v>10267</v>
      </c>
      <c r="H1195" s="107"/>
      <c r="I1195" s="107"/>
      <c r="L1195" s="149">
        <v>43768</v>
      </c>
      <c r="M1195" s="107">
        <v>394.55</v>
      </c>
      <c r="N1195" s="107">
        <v>402</v>
      </c>
      <c r="O1195" s="107">
        <v>392.8</v>
      </c>
      <c r="P1195" s="107">
        <v>397.15</v>
      </c>
      <c r="Q1195" s="107">
        <v>394.55</v>
      </c>
      <c r="R1195">
        <v>122641</v>
      </c>
    </row>
    <row r="1196" spans="1:18" x14ac:dyDescent="0.25">
      <c r="A1196" s="149">
        <v>43769</v>
      </c>
      <c r="B1196" s="107">
        <v>406.6</v>
      </c>
      <c r="C1196" s="107">
        <v>395.5</v>
      </c>
      <c r="D1196" s="107">
        <v>391.5</v>
      </c>
      <c r="E1196" s="107">
        <v>397.5</v>
      </c>
      <c r="F1196" s="107">
        <v>395.5</v>
      </c>
      <c r="G1196">
        <v>20060</v>
      </c>
      <c r="H1196" s="107"/>
      <c r="I1196" s="107"/>
      <c r="L1196" s="149">
        <v>43769</v>
      </c>
      <c r="M1196" s="107">
        <v>394.8</v>
      </c>
      <c r="N1196" s="107">
        <v>406.6</v>
      </c>
      <c r="O1196" s="107">
        <v>390.05</v>
      </c>
      <c r="P1196" s="107">
        <v>395.55</v>
      </c>
      <c r="Q1196" s="107">
        <v>394.8</v>
      </c>
      <c r="R1196">
        <v>378915</v>
      </c>
    </row>
    <row r="1197" spans="1:18" x14ac:dyDescent="0.25">
      <c r="A1197" s="149">
        <v>43770</v>
      </c>
      <c r="B1197" s="107">
        <v>409.5</v>
      </c>
      <c r="C1197" s="107">
        <v>405.5</v>
      </c>
      <c r="D1197" s="107">
        <v>394.25</v>
      </c>
      <c r="E1197" s="107">
        <v>395.25</v>
      </c>
      <c r="F1197" s="107">
        <v>405.5</v>
      </c>
      <c r="G1197">
        <v>42327</v>
      </c>
      <c r="H1197" s="107"/>
      <c r="I1197" s="107"/>
      <c r="L1197" s="149">
        <v>43770</v>
      </c>
      <c r="M1197" s="107">
        <v>405.55</v>
      </c>
      <c r="N1197" s="107">
        <v>409.7</v>
      </c>
      <c r="O1197" s="107">
        <v>394.5</v>
      </c>
      <c r="P1197" s="107">
        <v>396</v>
      </c>
      <c r="Q1197" s="107">
        <v>405.55</v>
      </c>
      <c r="R1197">
        <v>394654</v>
      </c>
    </row>
    <row r="1198" spans="1:18" x14ac:dyDescent="0.25">
      <c r="A1198" s="149">
        <v>43773</v>
      </c>
      <c r="B1198" s="107">
        <v>433</v>
      </c>
      <c r="C1198" s="107">
        <v>426.7</v>
      </c>
      <c r="D1198" s="107">
        <v>398.1</v>
      </c>
      <c r="E1198" s="107">
        <v>409.95</v>
      </c>
      <c r="F1198" s="107">
        <v>426.7</v>
      </c>
      <c r="G1198">
        <v>120968</v>
      </c>
      <c r="H1198" s="107"/>
      <c r="I1198" s="107"/>
      <c r="L1198" s="149">
        <v>43773</v>
      </c>
      <c r="M1198" s="107">
        <v>426.3</v>
      </c>
      <c r="N1198" s="107">
        <v>433</v>
      </c>
      <c r="O1198" s="107">
        <v>398.05</v>
      </c>
      <c r="P1198" s="107">
        <v>408.5</v>
      </c>
      <c r="Q1198" s="107">
        <v>426.3</v>
      </c>
      <c r="R1198">
        <v>1983433</v>
      </c>
    </row>
    <row r="1199" spans="1:18" x14ac:dyDescent="0.25">
      <c r="A1199" s="149">
        <v>43774</v>
      </c>
      <c r="B1199" s="107">
        <v>432.8</v>
      </c>
      <c r="C1199" s="107">
        <v>416.95</v>
      </c>
      <c r="D1199" s="107">
        <v>411.6</v>
      </c>
      <c r="E1199" s="107">
        <v>423.5</v>
      </c>
      <c r="F1199" s="107">
        <v>416.95</v>
      </c>
      <c r="G1199">
        <v>37031</v>
      </c>
      <c r="H1199" s="107"/>
      <c r="I1199" s="107"/>
      <c r="L1199" s="149">
        <v>43774</v>
      </c>
      <c r="M1199" s="107">
        <v>417.35</v>
      </c>
      <c r="N1199" s="107">
        <v>433.7</v>
      </c>
      <c r="O1199" s="107">
        <v>411.2</v>
      </c>
      <c r="P1199" s="107">
        <v>431</v>
      </c>
      <c r="Q1199" s="107">
        <v>417.35</v>
      </c>
      <c r="R1199">
        <v>644380</v>
      </c>
    </row>
    <row r="1200" spans="1:18" x14ac:dyDescent="0.25">
      <c r="A1200" s="149">
        <v>43775</v>
      </c>
      <c r="B1200" s="107">
        <v>420</v>
      </c>
      <c r="C1200" s="107">
        <v>411.1</v>
      </c>
      <c r="D1200" s="107">
        <v>410.1</v>
      </c>
      <c r="E1200" s="107">
        <v>416.95</v>
      </c>
      <c r="F1200" s="107">
        <v>411.1</v>
      </c>
      <c r="G1200">
        <v>17937</v>
      </c>
      <c r="H1200" s="107"/>
      <c r="I1200" s="107"/>
      <c r="L1200" s="149">
        <v>43775</v>
      </c>
      <c r="M1200" s="107">
        <v>411.35</v>
      </c>
      <c r="N1200" s="107">
        <v>420.25</v>
      </c>
      <c r="O1200" s="107">
        <v>410</v>
      </c>
      <c r="P1200" s="107">
        <v>416.3</v>
      </c>
      <c r="Q1200" s="107">
        <v>411.35</v>
      </c>
      <c r="R1200">
        <v>223363</v>
      </c>
    </row>
    <row r="1201" spans="1:18" x14ac:dyDescent="0.25">
      <c r="A1201" s="149">
        <v>43776</v>
      </c>
      <c r="B1201" s="107">
        <v>422.2</v>
      </c>
      <c r="C1201" s="107">
        <v>408.6</v>
      </c>
      <c r="D1201" s="107">
        <v>407.6</v>
      </c>
      <c r="E1201" s="107">
        <v>411.3</v>
      </c>
      <c r="F1201" s="107">
        <v>408.6</v>
      </c>
      <c r="G1201">
        <v>19148</v>
      </c>
      <c r="H1201" s="107"/>
      <c r="I1201" s="107"/>
      <c r="L1201" s="149">
        <v>43776</v>
      </c>
      <c r="M1201" s="107">
        <v>408.6</v>
      </c>
      <c r="N1201" s="107">
        <v>423.7</v>
      </c>
      <c r="O1201" s="107">
        <v>407.1</v>
      </c>
      <c r="P1201" s="107">
        <v>415.2</v>
      </c>
      <c r="Q1201" s="107">
        <v>408.6</v>
      </c>
      <c r="R1201">
        <v>330004</v>
      </c>
    </row>
    <row r="1202" spans="1:18" x14ac:dyDescent="0.25">
      <c r="A1202" s="149">
        <v>43777</v>
      </c>
      <c r="B1202" s="107">
        <v>413</v>
      </c>
      <c r="C1202" s="107">
        <v>401.65</v>
      </c>
      <c r="D1202" s="107">
        <v>400.95</v>
      </c>
      <c r="E1202" s="107">
        <v>410.2</v>
      </c>
      <c r="F1202" s="107">
        <v>401.65</v>
      </c>
      <c r="G1202">
        <v>12725</v>
      </c>
      <c r="H1202" s="107"/>
      <c r="I1202" s="107"/>
      <c r="L1202" s="149">
        <v>43777</v>
      </c>
      <c r="M1202" s="107">
        <v>401.95</v>
      </c>
      <c r="N1202" s="107">
        <v>413.75</v>
      </c>
      <c r="O1202" s="107">
        <v>400.75</v>
      </c>
      <c r="P1202" s="107">
        <v>410</v>
      </c>
      <c r="Q1202" s="107">
        <v>401.95</v>
      </c>
      <c r="R1202">
        <v>292005</v>
      </c>
    </row>
    <row r="1203" spans="1:18" x14ac:dyDescent="0.25">
      <c r="A1203" s="149">
        <v>43780</v>
      </c>
      <c r="B1203" s="107">
        <v>405.2</v>
      </c>
      <c r="C1203" s="107">
        <v>394.7</v>
      </c>
      <c r="D1203" s="107">
        <v>391.75</v>
      </c>
      <c r="E1203" s="107">
        <v>402.85</v>
      </c>
      <c r="F1203" s="107">
        <v>394.7</v>
      </c>
      <c r="G1203">
        <v>15593</v>
      </c>
      <c r="H1203" s="107"/>
      <c r="I1203" s="107"/>
      <c r="L1203" s="149">
        <v>43780</v>
      </c>
      <c r="M1203" s="107">
        <v>394.6</v>
      </c>
      <c r="N1203" s="107">
        <v>405.75</v>
      </c>
      <c r="O1203" s="107">
        <v>391.8</v>
      </c>
      <c r="P1203" s="107">
        <v>402</v>
      </c>
      <c r="Q1203" s="107">
        <v>394.6</v>
      </c>
      <c r="R1203">
        <v>172570</v>
      </c>
    </row>
    <row r="1204" spans="1:18" x14ac:dyDescent="0.25">
      <c r="A1204" s="149">
        <v>43782</v>
      </c>
      <c r="B1204" s="107">
        <v>395.05</v>
      </c>
      <c r="C1204" s="107">
        <v>380.2</v>
      </c>
      <c r="D1204" s="107">
        <v>377.2</v>
      </c>
      <c r="E1204" s="107">
        <v>395</v>
      </c>
      <c r="F1204" s="107">
        <v>380.2</v>
      </c>
      <c r="G1204">
        <v>6512</v>
      </c>
      <c r="H1204" s="107"/>
      <c r="I1204" s="107"/>
      <c r="L1204" s="149">
        <v>43782</v>
      </c>
      <c r="M1204" s="107">
        <v>380.5</v>
      </c>
      <c r="N1204" s="107">
        <v>395.9</v>
      </c>
      <c r="O1204" s="107">
        <v>376.25</v>
      </c>
      <c r="P1204" s="107">
        <v>394.9</v>
      </c>
      <c r="Q1204" s="107">
        <v>380.5</v>
      </c>
      <c r="R1204">
        <v>173022</v>
      </c>
    </row>
    <row r="1205" spans="1:18" x14ac:dyDescent="0.25">
      <c r="A1205" s="149">
        <v>43783</v>
      </c>
      <c r="B1205" s="107">
        <v>384.7</v>
      </c>
      <c r="C1205" s="107">
        <v>378.05</v>
      </c>
      <c r="D1205" s="107">
        <v>376.35</v>
      </c>
      <c r="E1205" s="107">
        <v>384.7</v>
      </c>
      <c r="F1205" s="107">
        <v>378.05</v>
      </c>
      <c r="G1205">
        <v>18245</v>
      </c>
      <c r="H1205" s="107"/>
      <c r="I1205" s="107"/>
      <c r="L1205" s="149">
        <v>43783</v>
      </c>
      <c r="M1205" s="107">
        <v>378.6</v>
      </c>
      <c r="N1205" s="107">
        <v>384.9</v>
      </c>
      <c r="O1205" s="107">
        <v>376.5</v>
      </c>
      <c r="P1205" s="107">
        <v>381</v>
      </c>
      <c r="Q1205" s="107">
        <v>378.6</v>
      </c>
      <c r="R1205">
        <v>145342</v>
      </c>
    </row>
    <row r="1206" spans="1:18" x14ac:dyDescent="0.25">
      <c r="A1206" s="149">
        <v>43784</v>
      </c>
      <c r="B1206" s="107">
        <v>388.4</v>
      </c>
      <c r="C1206" s="107">
        <v>385.05</v>
      </c>
      <c r="D1206" s="107">
        <v>378.4</v>
      </c>
      <c r="E1206" s="107">
        <v>380.25</v>
      </c>
      <c r="F1206" s="107">
        <v>385.05</v>
      </c>
      <c r="G1206">
        <v>22195</v>
      </c>
      <c r="H1206" s="107"/>
      <c r="I1206" s="107"/>
      <c r="L1206" s="149">
        <v>43784</v>
      </c>
      <c r="M1206" s="107">
        <v>385.1</v>
      </c>
      <c r="N1206" s="107">
        <v>389</v>
      </c>
      <c r="O1206" s="107">
        <v>378.05</v>
      </c>
      <c r="P1206" s="107">
        <v>379.95</v>
      </c>
      <c r="Q1206" s="107">
        <v>385.1</v>
      </c>
      <c r="R1206">
        <v>186620</v>
      </c>
    </row>
    <row r="1207" spans="1:18" x14ac:dyDescent="0.25">
      <c r="A1207" s="149">
        <v>43787</v>
      </c>
      <c r="B1207" s="107">
        <v>388.7</v>
      </c>
      <c r="C1207" s="107">
        <v>383.95</v>
      </c>
      <c r="D1207" s="107">
        <v>379.1</v>
      </c>
      <c r="E1207" s="107">
        <v>385.95</v>
      </c>
      <c r="F1207" s="107">
        <v>383.95</v>
      </c>
      <c r="G1207">
        <v>8256</v>
      </c>
      <c r="H1207" s="107"/>
      <c r="I1207" s="107"/>
      <c r="L1207" s="149">
        <v>43787</v>
      </c>
      <c r="M1207" s="107">
        <v>384</v>
      </c>
      <c r="N1207" s="107">
        <v>388.9</v>
      </c>
      <c r="O1207" s="107">
        <v>378.8</v>
      </c>
      <c r="P1207" s="107">
        <v>380.05</v>
      </c>
      <c r="Q1207" s="107">
        <v>384</v>
      </c>
      <c r="R1207">
        <v>156182</v>
      </c>
    </row>
    <row r="1208" spans="1:18" x14ac:dyDescent="0.25">
      <c r="A1208" s="149">
        <v>43788</v>
      </c>
      <c r="B1208" s="107">
        <v>409.75</v>
      </c>
      <c r="C1208" s="107">
        <v>393.55</v>
      </c>
      <c r="D1208" s="107">
        <v>383.85</v>
      </c>
      <c r="E1208" s="107">
        <v>383.95</v>
      </c>
      <c r="F1208" s="107">
        <v>393.55</v>
      </c>
      <c r="G1208">
        <v>50532</v>
      </c>
      <c r="H1208" s="107"/>
      <c r="I1208" s="107"/>
      <c r="L1208" s="149">
        <v>43788</v>
      </c>
      <c r="M1208" s="107">
        <v>393.9</v>
      </c>
      <c r="N1208" s="107">
        <v>409.85</v>
      </c>
      <c r="O1208" s="107">
        <v>382</v>
      </c>
      <c r="P1208" s="107">
        <v>383.25</v>
      </c>
      <c r="Q1208" s="107">
        <v>393.9</v>
      </c>
      <c r="R1208">
        <v>874070</v>
      </c>
    </row>
    <row r="1209" spans="1:18" x14ac:dyDescent="0.25">
      <c r="A1209" s="149">
        <v>43789</v>
      </c>
      <c r="B1209" s="107">
        <v>404.65</v>
      </c>
      <c r="C1209" s="107">
        <v>395.95</v>
      </c>
      <c r="D1209" s="107">
        <v>394.2</v>
      </c>
      <c r="E1209" s="107">
        <v>394.75</v>
      </c>
      <c r="F1209" s="107">
        <v>395.95</v>
      </c>
      <c r="G1209">
        <v>9128</v>
      </c>
      <c r="H1209" s="107"/>
      <c r="I1209" s="107"/>
      <c r="L1209" s="149">
        <v>43789</v>
      </c>
      <c r="M1209" s="107">
        <v>395.9</v>
      </c>
      <c r="N1209" s="107">
        <v>405</v>
      </c>
      <c r="O1209" s="107">
        <v>394</v>
      </c>
      <c r="P1209" s="107">
        <v>394.45</v>
      </c>
      <c r="Q1209" s="107">
        <v>395.9</v>
      </c>
      <c r="R1209">
        <v>245151</v>
      </c>
    </row>
    <row r="1210" spans="1:18" x14ac:dyDescent="0.25">
      <c r="A1210" s="149">
        <v>43790</v>
      </c>
      <c r="B1210" s="107">
        <v>402</v>
      </c>
      <c r="C1210" s="107">
        <v>396.6</v>
      </c>
      <c r="D1210" s="107">
        <v>393.25</v>
      </c>
      <c r="E1210" s="107">
        <v>396</v>
      </c>
      <c r="F1210" s="107">
        <v>396.6</v>
      </c>
      <c r="G1210">
        <v>25735</v>
      </c>
      <c r="H1210" s="107"/>
      <c r="I1210" s="107"/>
      <c r="L1210" s="149">
        <v>43790</v>
      </c>
      <c r="M1210" s="107">
        <v>396.75</v>
      </c>
      <c r="N1210" s="107">
        <v>401.9</v>
      </c>
      <c r="O1210" s="107">
        <v>393.1</v>
      </c>
      <c r="P1210" s="107">
        <v>394.2</v>
      </c>
      <c r="Q1210" s="107">
        <v>396.75</v>
      </c>
      <c r="R1210">
        <v>150312</v>
      </c>
    </row>
    <row r="1211" spans="1:18" x14ac:dyDescent="0.25">
      <c r="A1211" s="149">
        <v>43791</v>
      </c>
      <c r="B1211" s="107">
        <v>407.7</v>
      </c>
      <c r="C1211" s="107">
        <v>393</v>
      </c>
      <c r="D1211" s="107">
        <v>390.2</v>
      </c>
      <c r="E1211" s="107">
        <v>398.6</v>
      </c>
      <c r="F1211" s="107">
        <v>393</v>
      </c>
      <c r="G1211">
        <v>31197</v>
      </c>
      <c r="H1211" s="107"/>
      <c r="I1211" s="107"/>
      <c r="L1211" s="149">
        <v>43791</v>
      </c>
      <c r="M1211" s="107">
        <v>392.8</v>
      </c>
      <c r="N1211" s="107">
        <v>407.7</v>
      </c>
      <c r="O1211" s="107">
        <v>390.35</v>
      </c>
      <c r="P1211" s="107">
        <v>397.25</v>
      </c>
      <c r="Q1211" s="107">
        <v>392.8</v>
      </c>
      <c r="R1211">
        <v>447394</v>
      </c>
    </row>
    <row r="1212" spans="1:18" x14ac:dyDescent="0.25">
      <c r="A1212" s="149">
        <v>43794</v>
      </c>
      <c r="B1212" s="107">
        <v>399.4</v>
      </c>
      <c r="C1212" s="107">
        <v>394.6</v>
      </c>
      <c r="D1212" s="107">
        <v>390.8</v>
      </c>
      <c r="E1212" s="107">
        <v>394.9</v>
      </c>
      <c r="F1212" s="107">
        <v>394.6</v>
      </c>
      <c r="G1212">
        <v>8954</v>
      </c>
      <c r="H1212" s="107"/>
      <c r="I1212" s="107"/>
      <c r="L1212" s="149">
        <v>43794</v>
      </c>
      <c r="M1212" s="107">
        <v>394.35</v>
      </c>
      <c r="N1212" s="107">
        <v>399.8</v>
      </c>
      <c r="O1212" s="107">
        <v>390</v>
      </c>
      <c r="P1212" s="107">
        <v>394.9</v>
      </c>
      <c r="Q1212" s="107">
        <v>394.35</v>
      </c>
      <c r="R1212">
        <v>164698</v>
      </c>
    </row>
    <row r="1213" spans="1:18" x14ac:dyDescent="0.25">
      <c r="A1213" s="149">
        <v>43795</v>
      </c>
      <c r="B1213" s="107">
        <v>398.1</v>
      </c>
      <c r="C1213" s="107">
        <v>387.6</v>
      </c>
      <c r="D1213" s="107">
        <v>383.65</v>
      </c>
      <c r="E1213" s="107">
        <v>397.5</v>
      </c>
      <c r="F1213" s="107">
        <v>387.6</v>
      </c>
      <c r="G1213">
        <v>5237</v>
      </c>
      <c r="H1213" s="107"/>
      <c r="I1213" s="107"/>
      <c r="L1213" s="149">
        <v>43795</v>
      </c>
      <c r="M1213" s="107">
        <v>387.15</v>
      </c>
      <c r="N1213" s="107">
        <v>398.35</v>
      </c>
      <c r="O1213" s="107">
        <v>383.6</v>
      </c>
      <c r="P1213" s="107">
        <v>397.6</v>
      </c>
      <c r="Q1213" s="107">
        <v>387.15</v>
      </c>
      <c r="R1213">
        <v>211955</v>
      </c>
    </row>
    <row r="1214" spans="1:18" x14ac:dyDescent="0.25">
      <c r="A1214" s="149">
        <v>43796</v>
      </c>
      <c r="B1214" s="107">
        <v>393.2</v>
      </c>
      <c r="C1214" s="107">
        <v>391.6</v>
      </c>
      <c r="D1214" s="107">
        <v>388.4</v>
      </c>
      <c r="E1214" s="107">
        <v>392.4</v>
      </c>
      <c r="F1214" s="107">
        <v>391.6</v>
      </c>
      <c r="G1214">
        <v>4775</v>
      </c>
      <c r="H1214" s="107"/>
      <c r="I1214" s="107"/>
      <c r="L1214" s="149">
        <v>43796</v>
      </c>
      <c r="M1214" s="107">
        <v>391.85</v>
      </c>
      <c r="N1214" s="107">
        <v>393.9</v>
      </c>
      <c r="O1214" s="107">
        <v>388.1</v>
      </c>
      <c r="P1214" s="107">
        <v>389.1</v>
      </c>
      <c r="Q1214" s="107">
        <v>391.85</v>
      </c>
      <c r="R1214">
        <v>134985</v>
      </c>
    </row>
    <row r="1215" spans="1:18" x14ac:dyDescent="0.25">
      <c r="A1215" s="149">
        <v>43797</v>
      </c>
      <c r="B1215" s="107">
        <v>399.45</v>
      </c>
      <c r="C1215" s="107">
        <v>393.65</v>
      </c>
      <c r="D1215" s="107">
        <v>387.6</v>
      </c>
      <c r="E1215" s="107">
        <v>391.8</v>
      </c>
      <c r="F1215" s="107">
        <v>393.65</v>
      </c>
      <c r="G1215">
        <v>18106</v>
      </c>
      <c r="H1215" s="107"/>
      <c r="I1215" s="107"/>
      <c r="L1215" s="149">
        <v>43797</v>
      </c>
      <c r="M1215" s="107">
        <v>393.8</v>
      </c>
      <c r="N1215" s="107">
        <v>399.8</v>
      </c>
      <c r="O1215" s="107">
        <v>387.25</v>
      </c>
      <c r="P1215" s="107">
        <v>392</v>
      </c>
      <c r="Q1215" s="107">
        <v>393.8</v>
      </c>
      <c r="R1215">
        <v>254451</v>
      </c>
    </row>
    <row r="1216" spans="1:18" x14ac:dyDescent="0.25">
      <c r="A1216" s="149">
        <v>43798</v>
      </c>
      <c r="B1216" s="107">
        <v>399.55</v>
      </c>
      <c r="C1216" s="107">
        <v>398</v>
      </c>
      <c r="D1216" s="107">
        <v>390.15</v>
      </c>
      <c r="E1216" s="107">
        <v>395.05</v>
      </c>
      <c r="F1216" s="107">
        <v>398</v>
      </c>
      <c r="G1216">
        <v>22377</v>
      </c>
      <c r="H1216" s="107"/>
      <c r="I1216" s="107"/>
      <c r="L1216" s="149">
        <v>43798</v>
      </c>
      <c r="M1216" s="107">
        <v>398.3</v>
      </c>
      <c r="N1216" s="107">
        <v>399.5</v>
      </c>
      <c r="O1216" s="107">
        <v>389.25</v>
      </c>
      <c r="P1216" s="107">
        <v>395.25</v>
      </c>
      <c r="Q1216" s="107">
        <v>398.3</v>
      </c>
      <c r="R1216">
        <v>285923</v>
      </c>
    </row>
    <row r="1217" spans="1:18" x14ac:dyDescent="0.25">
      <c r="A1217" s="149">
        <v>43801</v>
      </c>
      <c r="B1217" s="107">
        <v>403.15</v>
      </c>
      <c r="C1217" s="107">
        <v>395.15</v>
      </c>
      <c r="D1217" s="107">
        <v>392.25</v>
      </c>
      <c r="E1217" s="107">
        <v>397.25</v>
      </c>
      <c r="F1217" s="107">
        <v>395.15</v>
      </c>
      <c r="G1217">
        <v>28983</v>
      </c>
      <c r="H1217" s="107"/>
      <c r="I1217" s="107"/>
      <c r="L1217" s="149">
        <v>43801</v>
      </c>
      <c r="M1217" s="107">
        <v>394.95</v>
      </c>
      <c r="N1217" s="107">
        <v>403.5</v>
      </c>
      <c r="O1217" s="107">
        <v>392.45</v>
      </c>
      <c r="P1217" s="107">
        <v>399.3</v>
      </c>
      <c r="Q1217" s="107">
        <v>394.95</v>
      </c>
      <c r="R1217">
        <v>187952</v>
      </c>
    </row>
    <row r="1218" spans="1:18" x14ac:dyDescent="0.25">
      <c r="A1218" s="149">
        <v>43802</v>
      </c>
      <c r="B1218" s="107">
        <v>396</v>
      </c>
      <c r="C1218" s="107">
        <v>388.15</v>
      </c>
      <c r="D1218" s="107">
        <v>384.8</v>
      </c>
      <c r="E1218" s="107">
        <v>396</v>
      </c>
      <c r="F1218" s="107">
        <v>388.15</v>
      </c>
      <c r="G1218">
        <v>15226</v>
      </c>
      <c r="H1218" s="107"/>
      <c r="I1218" s="107"/>
      <c r="L1218" s="149">
        <v>43802</v>
      </c>
      <c r="M1218" s="107">
        <v>387.95</v>
      </c>
      <c r="N1218" s="107">
        <v>397</v>
      </c>
      <c r="O1218" s="107">
        <v>385.25</v>
      </c>
      <c r="P1218" s="107">
        <v>397</v>
      </c>
      <c r="Q1218" s="107">
        <v>387.95</v>
      </c>
      <c r="R1218">
        <v>131466</v>
      </c>
    </row>
    <row r="1219" spans="1:18" x14ac:dyDescent="0.25">
      <c r="A1219" s="149">
        <v>43803</v>
      </c>
      <c r="B1219" s="107">
        <v>403</v>
      </c>
      <c r="C1219" s="107">
        <v>400.3</v>
      </c>
      <c r="D1219" s="107">
        <v>387.2</v>
      </c>
      <c r="E1219" s="107">
        <v>388.5</v>
      </c>
      <c r="F1219" s="107">
        <v>400.3</v>
      </c>
      <c r="G1219">
        <v>10893</v>
      </c>
      <c r="H1219" s="107"/>
      <c r="I1219" s="107"/>
      <c r="L1219" s="149">
        <v>43803</v>
      </c>
      <c r="M1219" s="107">
        <v>400.55</v>
      </c>
      <c r="N1219" s="107">
        <v>403.25</v>
      </c>
      <c r="O1219" s="107">
        <v>386.05</v>
      </c>
      <c r="P1219" s="107">
        <v>389.75</v>
      </c>
      <c r="Q1219" s="107">
        <v>400.55</v>
      </c>
      <c r="R1219">
        <v>250327</v>
      </c>
    </row>
    <row r="1220" spans="1:18" x14ac:dyDescent="0.25">
      <c r="A1220" s="149">
        <v>43804</v>
      </c>
      <c r="B1220" s="107">
        <v>424.55</v>
      </c>
      <c r="C1220" s="107">
        <v>421.65</v>
      </c>
      <c r="D1220" s="107">
        <v>402.85</v>
      </c>
      <c r="E1220" s="107">
        <v>408</v>
      </c>
      <c r="F1220" s="107">
        <v>421.65</v>
      </c>
      <c r="G1220">
        <v>73689</v>
      </c>
      <c r="H1220" s="107"/>
      <c r="I1220" s="107"/>
      <c r="L1220" s="149">
        <v>43804</v>
      </c>
      <c r="M1220" s="107">
        <v>421.25</v>
      </c>
      <c r="N1220" s="107">
        <v>424.6</v>
      </c>
      <c r="O1220" s="107">
        <v>402.65</v>
      </c>
      <c r="P1220" s="107">
        <v>405</v>
      </c>
      <c r="Q1220" s="107">
        <v>421.25</v>
      </c>
      <c r="R1220">
        <v>1430444</v>
      </c>
    </row>
    <row r="1221" spans="1:18" x14ac:dyDescent="0.25">
      <c r="A1221" s="149">
        <v>43805</v>
      </c>
      <c r="B1221" s="107">
        <v>419.6</v>
      </c>
      <c r="C1221" s="107">
        <v>414.65</v>
      </c>
      <c r="D1221" s="107">
        <v>407.8</v>
      </c>
      <c r="E1221" s="107">
        <v>417.25</v>
      </c>
      <c r="F1221" s="107">
        <v>414.65</v>
      </c>
      <c r="G1221">
        <v>44683</v>
      </c>
      <c r="H1221" s="107"/>
      <c r="I1221" s="107"/>
      <c r="L1221" s="149">
        <v>43805</v>
      </c>
      <c r="M1221" s="107">
        <v>414.45</v>
      </c>
      <c r="N1221" s="107">
        <v>419.9</v>
      </c>
      <c r="O1221" s="107">
        <v>407.5</v>
      </c>
      <c r="P1221" s="107">
        <v>419.3</v>
      </c>
      <c r="Q1221" s="107">
        <v>414.45</v>
      </c>
      <c r="R1221">
        <v>395409</v>
      </c>
    </row>
    <row r="1222" spans="1:18" x14ac:dyDescent="0.25">
      <c r="A1222" s="149">
        <v>43808</v>
      </c>
      <c r="B1222" s="107">
        <v>418.8</v>
      </c>
      <c r="C1222" s="107">
        <v>410.2</v>
      </c>
      <c r="D1222" s="107">
        <v>408.05</v>
      </c>
      <c r="E1222" s="107">
        <v>418.4</v>
      </c>
      <c r="F1222" s="107">
        <v>410.2</v>
      </c>
      <c r="G1222">
        <v>27953</v>
      </c>
      <c r="H1222" s="107"/>
      <c r="I1222" s="107"/>
      <c r="L1222" s="149">
        <v>43808</v>
      </c>
      <c r="M1222" s="107">
        <v>410.55</v>
      </c>
      <c r="N1222" s="107">
        <v>419.1</v>
      </c>
      <c r="O1222" s="107">
        <v>407.2</v>
      </c>
      <c r="P1222" s="107">
        <v>414</v>
      </c>
      <c r="Q1222" s="107">
        <v>410.55</v>
      </c>
      <c r="R1222">
        <v>252612</v>
      </c>
    </row>
    <row r="1223" spans="1:18" x14ac:dyDescent="0.25">
      <c r="A1223" s="149">
        <v>43809</v>
      </c>
      <c r="B1223" s="107">
        <v>411.3</v>
      </c>
      <c r="C1223" s="107">
        <v>405.9</v>
      </c>
      <c r="D1223" s="107">
        <v>401.95</v>
      </c>
      <c r="E1223" s="107">
        <v>411.3</v>
      </c>
      <c r="F1223" s="107">
        <v>405.9</v>
      </c>
      <c r="G1223">
        <v>9142</v>
      </c>
      <c r="H1223" s="107"/>
      <c r="I1223" s="107"/>
      <c r="L1223" s="149">
        <v>43809</v>
      </c>
      <c r="M1223" s="107">
        <v>406.7</v>
      </c>
      <c r="N1223" s="107">
        <v>412.15</v>
      </c>
      <c r="O1223" s="107">
        <v>401.75</v>
      </c>
      <c r="P1223" s="107">
        <v>410.95</v>
      </c>
      <c r="Q1223" s="107">
        <v>406.7</v>
      </c>
      <c r="R1223">
        <v>91374</v>
      </c>
    </row>
    <row r="1224" spans="1:18" x14ac:dyDescent="0.25">
      <c r="A1224" s="149">
        <v>43810</v>
      </c>
      <c r="B1224" s="107">
        <v>416.25</v>
      </c>
      <c r="C1224" s="107">
        <v>411.9</v>
      </c>
      <c r="D1224" s="107">
        <v>407.75</v>
      </c>
      <c r="E1224" s="107">
        <v>414.9</v>
      </c>
      <c r="F1224" s="107">
        <v>411.9</v>
      </c>
      <c r="G1224">
        <v>19583</v>
      </c>
      <c r="H1224" s="107"/>
      <c r="I1224" s="107"/>
      <c r="L1224" s="149">
        <v>43810</v>
      </c>
      <c r="M1224" s="107">
        <v>411.8</v>
      </c>
      <c r="N1224" s="107">
        <v>416.75</v>
      </c>
      <c r="O1224" s="107">
        <v>407.05</v>
      </c>
      <c r="P1224" s="107">
        <v>412.1</v>
      </c>
      <c r="Q1224" s="107">
        <v>411.8</v>
      </c>
      <c r="R1224">
        <v>281266</v>
      </c>
    </row>
    <row r="1225" spans="1:18" x14ac:dyDescent="0.25">
      <c r="A1225" s="149">
        <v>43811</v>
      </c>
      <c r="B1225" s="107">
        <v>413.35</v>
      </c>
      <c r="C1225" s="107">
        <v>411.2</v>
      </c>
      <c r="D1225" s="107">
        <v>408.25</v>
      </c>
      <c r="E1225" s="107">
        <v>413.35</v>
      </c>
      <c r="F1225" s="107">
        <v>411.2</v>
      </c>
      <c r="G1225">
        <v>6311</v>
      </c>
      <c r="H1225" s="107"/>
      <c r="I1225" s="107"/>
      <c r="L1225" s="149">
        <v>43811</v>
      </c>
      <c r="M1225" s="107">
        <v>411.05</v>
      </c>
      <c r="N1225" s="107">
        <v>414.75</v>
      </c>
      <c r="O1225" s="107">
        <v>406.85</v>
      </c>
      <c r="P1225" s="107">
        <v>414.75</v>
      </c>
      <c r="Q1225" s="107">
        <v>411.05</v>
      </c>
      <c r="R1225">
        <v>110315</v>
      </c>
    </row>
    <row r="1226" spans="1:18" x14ac:dyDescent="0.25">
      <c r="A1226" s="149">
        <v>43812</v>
      </c>
      <c r="B1226" s="107">
        <v>421.6</v>
      </c>
      <c r="C1226" s="107">
        <v>416.2</v>
      </c>
      <c r="D1226" s="107">
        <v>409.6</v>
      </c>
      <c r="E1226" s="107">
        <v>411.65</v>
      </c>
      <c r="F1226" s="107">
        <v>416.2</v>
      </c>
      <c r="G1226">
        <v>10627</v>
      </c>
      <c r="H1226" s="107"/>
      <c r="I1226" s="107"/>
      <c r="L1226" s="149">
        <v>43812</v>
      </c>
      <c r="M1226" s="107">
        <v>416.55</v>
      </c>
      <c r="N1226" s="107">
        <v>421.4</v>
      </c>
      <c r="O1226" s="107">
        <v>408.65</v>
      </c>
      <c r="P1226" s="107">
        <v>411.1</v>
      </c>
      <c r="Q1226" s="107">
        <v>416.55</v>
      </c>
      <c r="R1226">
        <v>186515</v>
      </c>
    </row>
    <row r="1227" spans="1:18" x14ac:dyDescent="0.25">
      <c r="A1227" s="149">
        <v>43815</v>
      </c>
      <c r="B1227" s="107">
        <v>418.45</v>
      </c>
      <c r="C1227" s="107">
        <v>417.3</v>
      </c>
      <c r="D1227" s="107">
        <v>408.95</v>
      </c>
      <c r="E1227" s="107">
        <v>417.25</v>
      </c>
      <c r="F1227" s="107">
        <v>417.3</v>
      </c>
      <c r="G1227">
        <v>36667</v>
      </c>
      <c r="H1227" s="107"/>
      <c r="I1227" s="107"/>
      <c r="L1227" s="149">
        <v>43815</v>
      </c>
      <c r="M1227" s="107">
        <v>417.1</v>
      </c>
      <c r="N1227" s="107">
        <v>418.6</v>
      </c>
      <c r="O1227" s="107">
        <v>408.2</v>
      </c>
      <c r="P1227" s="107">
        <v>418.6</v>
      </c>
      <c r="Q1227" s="107">
        <v>417.1</v>
      </c>
      <c r="R1227">
        <v>241444</v>
      </c>
    </row>
    <row r="1228" spans="1:18" x14ac:dyDescent="0.25">
      <c r="A1228" s="149">
        <v>43816</v>
      </c>
      <c r="B1228" s="107">
        <v>422.85</v>
      </c>
      <c r="C1228" s="107">
        <v>419.2</v>
      </c>
      <c r="D1228" s="107">
        <v>414.8</v>
      </c>
      <c r="E1228" s="107">
        <v>416</v>
      </c>
      <c r="F1228" s="107">
        <v>419.2</v>
      </c>
      <c r="G1228">
        <v>14093</v>
      </c>
      <c r="H1228" s="107"/>
      <c r="I1228" s="107"/>
      <c r="L1228" s="149">
        <v>43816</v>
      </c>
      <c r="M1228" s="107">
        <v>419.6</v>
      </c>
      <c r="N1228" s="107">
        <v>422.5</v>
      </c>
      <c r="O1228" s="107">
        <v>414.95</v>
      </c>
      <c r="P1228" s="107">
        <v>417.95</v>
      </c>
      <c r="Q1228" s="107">
        <v>419.6</v>
      </c>
      <c r="R1228">
        <v>939895</v>
      </c>
    </row>
    <row r="1229" spans="1:18" x14ac:dyDescent="0.25">
      <c r="A1229" s="149">
        <v>43817</v>
      </c>
      <c r="B1229" s="107">
        <v>417.15</v>
      </c>
      <c r="C1229" s="107">
        <v>406.5</v>
      </c>
      <c r="D1229" s="107">
        <v>406</v>
      </c>
      <c r="E1229" s="107">
        <v>415.95</v>
      </c>
      <c r="F1229" s="107">
        <v>406.5</v>
      </c>
      <c r="G1229">
        <v>6031</v>
      </c>
      <c r="H1229" s="107"/>
      <c r="I1229" s="107"/>
      <c r="L1229" s="149">
        <v>43817</v>
      </c>
      <c r="M1229" s="107">
        <v>406.6</v>
      </c>
      <c r="N1229" s="107">
        <v>418.75</v>
      </c>
      <c r="O1229" s="107">
        <v>405.05</v>
      </c>
      <c r="P1229" s="107">
        <v>418.75</v>
      </c>
      <c r="Q1229" s="107">
        <v>406.6</v>
      </c>
      <c r="R1229">
        <v>119045</v>
      </c>
    </row>
    <row r="1230" spans="1:18" x14ac:dyDescent="0.25">
      <c r="A1230" s="149">
        <v>43818</v>
      </c>
      <c r="B1230" s="107">
        <v>406.35</v>
      </c>
      <c r="C1230" s="107">
        <v>398</v>
      </c>
      <c r="D1230" s="107">
        <v>396.4</v>
      </c>
      <c r="E1230" s="107">
        <v>406.35</v>
      </c>
      <c r="F1230" s="107">
        <v>398</v>
      </c>
      <c r="G1230">
        <v>9665</v>
      </c>
      <c r="H1230" s="107"/>
      <c r="I1230" s="107"/>
      <c r="L1230" s="149">
        <v>43818</v>
      </c>
      <c r="M1230" s="107">
        <v>398.25</v>
      </c>
      <c r="N1230" s="107">
        <v>405.45</v>
      </c>
      <c r="O1230" s="107">
        <v>396</v>
      </c>
      <c r="P1230" s="107">
        <v>405.45</v>
      </c>
      <c r="Q1230" s="107">
        <v>398.25</v>
      </c>
      <c r="R1230">
        <v>257091</v>
      </c>
    </row>
    <row r="1231" spans="1:18" x14ac:dyDescent="0.25">
      <c r="A1231" s="149">
        <v>43819</v>
      </c>
      <c r="B1231" s="107">
        <v>404.7</v>
      </c>
      <c r="C1231" s="107">
        <v>392.7</v>
      </c>
      <c r="D1231" s="107">
        <v>391.3</v>
      </c>
      <c r="E1231" s="107">
        <v>396.75</v>
      </c>
      <c r="F1231" s="107">
        <v>392.7</v>
      </c>
      <c r="G1231">
        <v>12648</v>
      </c>
      <c r="H1231" s="107"/>
      <c r="I1231" s="107"/>
      <c r="L1231" s="149">
        <v>43819</v>
      </c>
      <c r="M1231" s="107">
        <v>392.25</v>
      </c>
      <c r="N1231" s="107">
        <v>404.75</v>
      </c>
      <c r="O1231" s="107">
        <v>391.15</v>
      </c>
      <c r="P1231" s="107">
        <v>394.2</v>
      </c>
      <c r="Q1231" s="107">
        <v>392.25</v>
      </c>
      <c r="R1231">
        <v>276718</v>
      </c>
    </row>
    <row r="1232" spans="1:18" x14ac:dyDescent="0.25">
      <c r="A1232" s="149">
        <v>43822</v>
      </c>
      <c r="B1232" s="107">
        <v>400.75</v>
      </c>
      <c r="C1232" s="107">
        <v>398.6</v>
      </c>
      <c r="D1232" s="107">
        <v>388.75</v>
      </c>
      <c r="E1232" s="107">
        <v>392</v>
      </c>
      <c r="F1232" s="107">
        <v>398.6</v>
      </c>
      <c r="G1232">
        <v>15525</v>
      </c>
      <c r="H1232" s="107"/>
      <c r="I1232" s="107"/>
      <c r="L1232" s="149">
        <v>43822</v>
      </c>
      <c r="M1232" s="107">
        <v>398.05</v>
      </c>
      <c r="N1232" s="107">
        <v>402</v>
      </c>
      <c r="O1232" s="107">
        <v>389</v>
      </c>
      <c r="P1232" s="107">
        <v>391</v>
      </c>
      <c r="Q1232" s="107">
        <v>398.05</v>
      </c>
      <c r="R1232">
        <v>624985</v>
      </c>
    </row>
    <row r="1233" spans="1:18" x14ac:dyDescent="0.25">
      <c r="A1233" s="149">
        <v>43823</v>
      </c>
      <c r="B1233" s="107">
        <v>398.6</v>
      </c>
      <c r="C1233" s="107">
        <v>396.15</v>
      </c>
      <c r="D1233" s="107">
        <v>392.25</v>
      </c>
      <c r="E1233" s="107">
        <v>398</v>
      </c>
      <c r="F1233" s="107">
        <v>396.15</v>
      </c>
      <c r="G1233">
        <v>8177</v>
      </c>
      <c r="H1233" s="107"/>
      <c r="I1233" s="107"/>
      <c r="L1233" s="149">
        <v>43823</v>
      </c>
      <c r="M1233" s="107">
        <v>396.15</v>
      </c>
      <c r="N1233" s="107">
        <v>399.35</v>
      </c>
      <c r="O1233" s="107">
        <v>392.3</v>
      </c>
      <c r="P1233" s="107">
        <v>399</v>
      </c>
      <c r="Q1233" s="107">
        <v>396.15</v>
      </c>
      <c r="R1233">
        <v>147224</v>
      </c>
    </row>
    <row r="1234" spans="1:18" x14ac:dyDescent="0.25">
      <c r="A1234" s="149">
        <v>43825</v>
      </c>
      <c r="B1234" s="107">
        <v>397.7</v>
      </c>
      <c r="C1234" s="107">
        <v>391.75</v>
      </c>
      <c r="D1234" s="107">
        <v>390.4</v>
      </c>
      <c r="E1234" s="107">
        <v>396.65</v>
      </c>
      <c r="F1234" s="107">
        <v>391.75</v>
      </c>
      <c r="G1234">
        <v>43416</v>
      </c>
      <c r="H1234" s="107"/>
      <c r="I1234" s="107"/>
      <c r="L1234" s="149">
        <v>43825</v>
      </c>
      <c r="M1234" s="107">
        <v>391.2</v>
      </c>
      <c r="N1234" s="107">
        <v>398</v>
      </c>
      <c r="O1234" s="107">
        <v>390</v>
      </c>
      <c r="P1234" s="107">
        <v>396.4</v>
      </c>
      <c r="Q1234" s="107">
        <v>391.2</v>
      </c>
      <c r="R1234">
        <v>169955</v>
      </c>
    </row>
    <row r="1235" spans="1:18" x14ac:dyDescent="0.25">
      <c r="A1235" s="149">
        <v>43826</v>
      </c>
      <c r="B1235" s="107">
        <v>397.85</v>
      </c>
      <c r="C1235" s="107">
        <v>391.3</v>
      </c>
      <c r="D1235" s="107">
        <v>390.7</v>
      </c>
      <c r="E1235" s="107">
        <v>395.3</v>
      </c>
      <c r="F1235" s="107">
        <v>391.3</v>
      </c>
      <c r="G1235">
        <v>13141</v>
      </c>
      <c r="H1235" s="107"/>
      <c r="I1235" s="107"/>
      <c r="L1235" s="149">
        <v>43826</v>
      </c>
      <c r="M1235" s="107">
        <v>391.25</v>
      </c>
      <c r="N1235" s="107">
        <v>397.8</v>
      </c>
      <c r="O1235" s="107">
        <v>390.2</v>
      </c>
      <c r="P1235" s="107">
        <v>395.75</v>
      </c>
      <c r="Q1235" s="107">
        <v>391.25</v>
      </c>
      <c r="R1235">
        <v>615507</v>
      </c>
    </row>
    <row r="1236" spans="1:18" x14ac:dyDescent="0.25">
      <c r="A1236" s="149">
        <v>43829</v>
      </c>
      <c r="B1236" s="107">
        <v>398</v>
      </c>
      <c r="C1236" s="107">
        <v>396.15</v>
      </c>
      <c r="D1236" s="107">
        <v>387.75</v>
      </c>
      <c r="E1236" s="107">
        <v>392.4</v>
      </c>
      <c r="F1236" s="107">
        <v>396.15</v>
      </c>
      <c r="G1236">
        <v>20254</v>
      </c>
      <c r="H1236" s="107"/>
      <c r="I1236" s="107"/>
      <c r="L1236" s="149">
        <v>43829</v>
      </c>
      <c r="M1236" s="107">
        <v>395.8</v>
      </c>
      <c r="N1236" s="107">
        <v>398.3</v>
      </c>
      <c r="O1236" s="107">
        <v>388</v>
      </c>
      <c r="P1236" s="107">
        <v>391.2</v>
      </c>
      <c r="Q1236" s="107">
        <v>395.8</v>
      </c>
      <c r="R1236">
        <v>177566</v>
      </c>
    </row>
    <row r="1237" spans="1:18" x14ac:dyDescent="0.25">
      <c r="A1237" s="149">
        <v>43830</v>
      </c>
      <c r="B1237" s="107">
        <v>401.2</v>
      </c>
      <c r="C1237" s="107">
        <v>393.05</v>
      </c>
      <c r="D1237" s="107">
        <v>392.65</v>
      </c>
      <c r="E1237" s="107">
        <v>397.25</v>
      </c>
      <c r="F1237" s="107">
        <v>393.05</v>
      </c>
      <c r="G1237">
        <v>13248</v>
      </c>
      <c r="H1237" s="107"/>
      <c r="I1237" s="107"/>
      <c r="L1237" s="149">
        <v>43830</v>
      </c>
      <c r="M1237" s="107">
        <v>393.05</v>
      </c>
      <c r="N1237" s="107">
        <v>400.95</v>
      </c>
      <c r="O1237" s="107">
        <v>392.2</v>
      </c>
      <c r="P1237" s="107">
        <v>396</v>
      </c>
      <c r="Q1237" s="107">
        <v>393.05</v>
      </c>
      <c r="R1237">
        <v>189009</v>
      </c>
    </row>
    <row r="1238" spans="1:18" x14ac:dyDescent="0.25">
      <c r="A1238" s="149">
        <v>43831</v>
      </c>
      <c r="B1238" s="107">
        <v>396.2</v>
      </c>
      <c r="C1238" s="107">
        <v>395.25</v>
      </c>
      <c r="D1238" s="107">
        <v>394.8</v>
      </c>
      <c r="E1238" s="107">
        <v>395</v>
      </c>
      <c r="F1238" s="107">
        <v>395.25</v>
      </c>
      <c r="G1238">
        <v>4814</v>
      </c>
      <c r="H1238" s="107"/>
      <c r="I1238" s="107"/>
      <c r="L1238" s="149">
        <v>43831</v>
      </c>
      <c r="M1238" s="107">
        <v>395.35</v>
      </c>
      <c r="N1238" s="107">
        <v>396.35</v>
      </c>
      <c r="O1238" s="107">
        <v>393.9</v>
      </c>
      <c r="P1238" s="107">
        <v>395</v>
      </c>
      <c r="Q1238" s="107">
        <v>395.35</v>
      </c>
      <c r="R1238">
        <v>53092</v>
      </c>
    </row>
    <row r="1239" spans="1:18" x14ac:dyDescent="0.25">
      <c r="A1239" s="149">
        <v>43832</v>
      </c>
      <c r="B1239" s="107">
        <v>404.5</v>
      </c>
      <c r="C1239" s="107">
        <v>400.1</v>
      </c>
      <c r="D1239" s="107">
        <v>395.6</v>
      </c>
      <c r="E1239" s="107">
        <v>396.45</v>
      </c>
      <c r="F1239" s="107">
        <v>400.1</v>
      </c>
      <c r="G1239">
        <v>6758</v>
      </c>
      <c r="H1239" s="107"/>
      <c r="I1239" s="107"/>
      <c r="L1239" s="149">
        <v>43832</v>
      </c>
      <c r="M1239" s="107">
        <v>400.3</v>
      </c>
      <c r="N1239" s="107">
        <v>404.7</v>
      </c>
      <c r="O1239" s="107">
        <v>395.5</v>
      </c>
      <c r="P1239" s="107">
        <v>396</v>
      </c>
      <c r="Q1239" s="107">
        <v>400.3</v>
      </c>
      <c r="R1239">
        <v>178064</v>
      </c>
    </row>
    <row r="1240" spans="1:18" x14ac:dyDescent="0.25">
      <c r="A1240" s="149">
        <v>43833</v>
      </c>
      <c r="B1240" s="107">
        <v>401.85</v>
      </c>
      <c r="C1240" s="107">
        <v>395.5</v>
      </c>
      <c r="D1240" s="107">
        <v>393.6</v>
      </c>
      <c r="E1240" s="107">
        <v>401.35</v>
      </c>
      <c r="F1240" s="107">
        <v>395.5</v>
      </c>
      <c r="G1240">
        <v>45292</v>
      </c>
      <c r="H1240" s="107"/>
      <c r="I1240" s="107"/>
      <c r="L1240" s="149">
        <v>43833</v>
      </c>
      <c r="M1240" s="107">
        <v>395.25</v>
      </c>
      <c r="N1240" s="107">
        <v>402.35</v>
      </c>
      <c r="O1240" s="107">
        <v>392.85</v>
      </c>
      <c r="P1240" s="107">
        <v>400.5</v>
      </c>
      <c r="Q1240" s="107">
        <v>395.25</v>
      </c>
      <c r="R1240">
        <v>121673</v>
      </c>
    </row>
    <row r="1241" spans="1:18" x14ac:dyDescent="0.25">
      <c r="A1241" s="149">
        <v>43836</v>
      </c>
      <c r="B1241" s="107">
        <v>391.8</v>
      </c>
      <c r="C1241" s="107">
        <v>383</v>
      </c>
      <c r="D1241" s="107">
        <v>382.05</v>
      </c>
      <c r="E1241" s="107">
        <v>388.4</v>
      </c>
      <c r="F1241" s="107">
        <v>383</v>
      </c>
      <c r="G1241">
        <v>8017</v>
      </c>
      <c r="H1241" s="107"/>
      <c r="I1241" s="107"/>
      <c r="L1241" s="149">
        <v>43836</v>
      </c>
      <c r="M1241" s="107">
        <v>383.4</v>
      </c>
      <c r="N1241" s="107">
        <v>393.9</v>
      </c>
      <c r="O1241" s="107">
        <v>382</v>
      </c>
      <c r="P1241" s="107">
        <v>393.45</v>
      </c>
      <c r="Q1241" s="107">
        <v>383.4</v>
      </c>
      <c r="R1241">
        <v>169654</v>
      </c>
    </row>
    <row r="1242" spans="1:18" x14ac:dyDescent="0.25">
      <c r="A1242" s="149">
        <v>43837</v>
      </c>
      <c r="B1242" s="107">
        <v>396.8</v>
      </c>
      <c r="C1242" s="107">
        <v>388.4</v>
      </c>
      <c r="D1242" s="107">
        <v>386</v>
      </c>
      <c r="E1242" s="107">
        <v>387.2</v>
      </c>
      <c r="F1242" s="107">
        <v>388.4</v>
      </c>
      <c r="G1242">
        <v>11564</v>
      </c>
      <c r="H1242" s="107"/>
      <c r="I1242" s="107"/>
      <c r="L1242" s="149">
        <v>43837</v>
      </c>
      <c r="M1242" s="107">
        <v>388.15</v>
      </c>
      <c r="N1242" s="107">
        <v>398.75</v>
      </c>
      <c r="O1242" s="107">
        <v>385.35</v>
      </c>
      <c r="P1242" s="107">
        <v>385.35</v>
      </c>
      <c r="Q1242" s="107">
        <v>388.15</v>
      </c>
      <c r="R1242">
        <v>91083</v>
      </c>
    </row>
    <row r="1243" spans="1:18" x14ac:dyDescent="0.25">
      <c r="A1243" s="149">
        <v>43838</v>
      </c>
      <c r="B1243" s="107">
        <v>387.6</v>
      </c>
      <c r="C1243" s="107">
        <v>384.45</v>
      </c>
      <c r="D1243" s="107">
        <v>382.05</v>
      </c>
      <c r="E1243" s="107">
        <v>387</v>
      </c>
      <c r="F1243" s="107">
        <v>384.45</v>
      </c>
      <c r="G1243">
        <v>7840</v>
      </c>
      <c r="H1243" s="107"/>
      <c r="I1243" s="107"/>
      <c r="L1243" s="149">
        <v>43838</v>
      </c>
      <c r="M1243" s="107">
        <v>384.3</v>
      </c>
      <c r="N1243" s="107">
        <v>388.3</v>
      </c>
      <c r="O1243" s="107">
        <v>381.6</v>
      </c>
      <c r="P1243" s="107">
        <v>385</v>
      </c>
      <c r="Q1243" s="107">
        <v>384.3</v>
      </c>
      <c r="R1243">
        <v>74785</v>
      </c>
    </row>
    <row r="1244" spans="1:18" x14ac:dyDescent="0.25">
      <c r="A1244" s="149">
        <v>43839</v>
      </c>
      <c r="B1244" s="107">
        <v>393</v>
      </c>
      <c r="C1244" s="107">
        <v>386.65</v>
      </c>
      <c r="D1244" s="107">
        <v>384.85</v>
      </c>
      <c r="E1244" s="107">
        <v>390.8</v>
      </c>
      <c r="F1244" s="107">
        <v>386.65</v>
      </c>
      <c r="G1244">
        <v>6534</v>
      </c>
      <c r="H1244" s="107"/>
      <c r="I1244" s="107"/>
      <c r="L1244" s="149">
        <v>43839</v>
      </c>
      <c r="M1244" s="107">
        <v>386.6</v>
      </c>
      <c r="N1244" s="107">
        <v>395</v>
      </c>
      <c r="O1244" s="107">
        <v>384.5</v>
      </c>
      <c r="P1244" s="107">
        <v>395</v>
      </c>
      <c r="Q1244" s="107">
        <v>386.6</v>
      </c>
      <c r="R1244">
        <v>146359</v>
      </c>
    </row>
    <row r="1245" spans="1:18" x14ac:dyDescent="0.25">
      <c r="A1245" s="149">
        <v>43840</v>
      </c>
      <c r="B1245" s="107">
        <v>393.6</v>
      </c>
      <c r="C1245" s="107">
        <v>385.9</v>
      </c>
      <c r="D1245" s="107">
        <v>384.75</v>
      </c>
      <c r="E1245" s="107">
        <v>387.8</v>
      </c>
      <c r="F1245" s="107">
        <v>385.9</v>
      </c>
      <c r="G1245">
        <v>5891</v>
      </c>
      <c r="H1245" s="107"/>
      <c r="I1245" s="107"/>
      <c r="L1245" s="149">
        <v>43840</v>
      </c>
      <c r="M1245" s="107">
        <v>385.8</v>
      </c>
      <c r="N1245" s="107">
        <v>393.6</v>
      </c>
      <c r="O1245" s="107">
        <v>384.5</v>
      </c>
      <c r="P1245" s="107">
        <v>387.5</v>
      </c>
      <c r="Q1245" s="107">
        <v>385.8</v>
      </c>
      <c r="R1245">
        <v>272941</v>
      </c>
    </row>
    <row r="1246" spans="1:18" x14ac:dyDescent="0.25">
      <c r="A1246" s="149">
        <v>43843</v>
      </c>
      <c r="B1246" s="107">
        <v>389.5</v>
      </c>
      <c r="C1246" s="107">
        <v>385.85</v>
      </c>
      <c r="D1246" s="107">
        <v>382.6</v>
      </c>
      <c r="E1246" s="107">
        <v>385.55</v>
      </c>
      <c r="F1246" s="107">
        <v>385.85</v>
      </c>
      <c r="G1246">
        <v>6683</v>
      </c>
      <c r="H1246" s="107"/>
      <c r="I1246" s="107"/>
      <c r="L1246" s="149">
        <v>43843</v>
      </c>
      <c r="M1246" s="107">
        <v>385.75</v>
      </c>
      <c r="N1246" s="107">
        <v>390</v>
      </c>
      <c r="O1246" s="107">
        <v>383.3</v>
      </c>
      <c r="P1246" s="107">
        <v>385.2</v>
      </c>
      <c r="Q1246" s="107">
        <v>385.75</v>
      </c>
      <c r="R1246">
        <v>120210</v>
      </c>
    </row>
    <row r="1247" spans="1:18" x14ac:dyDescent="0.25">
      <c r="A1247" s="149">
        <v>43844</v>
      </c>
      <c r="B1247" s="107">
        <v>390</v>
      </c>
      <c r="C1247" s="107">
        <v>386.4</v>
      </c>
      <c r="D1247" s="107">
        <v>385.35</v>
      </c>
      <c r="E1247" s="107">
        <v>387.15</v>
      </c>
      <c r="F1247" s="107">
        <v>386.4</v>
      </c>
      <c r="G1247">
        <v>5930</v>
      </c>
      <c r="H1247" s="107"/>
      <c r="I1247" s="107"/>
      <c r="L1247" s="149">
        <v>43844</v>
      </c>
      <c r="M1247" s="107">
        <v>386.45</v>
      </c>
      <c r="N1247" s="107">
        <v>390</v>
      </c>
      <c r="O1247" s="107">
        <v>384.9</v>
      </c>
      <c r="P1247" s="107">
        <v>387.75</v>
      </c>
      <c r="Q1247" s="107">
        <v>386.45</v>
      </c>
      <c r="R1247">
        <v>151786</v>
      </c>
    </row>
    <row r="1248" spans="1:18" x14ac:dyDescent="0.25">
      <c r="A1248" s="149">
        <v>43845</v>
      </c>
      <c r="B1248" s="107">
        <v>387</v>
      </c>
      <c r="C1248" s="107">
        <v>375.45</v>
      </c>
      <c r="D1248" s="107">
        <v>368.25</v>
      </c>
      <c r="E1248" s="107">
        <v>387</v>
      </c>
      <c r="F1248" s="107">
        <v>375.45</v>
      </c>
      <c r="G1248">
        <v>32191</v>
      </c>
      <c r="H1248" s="107"/>
      <c r="I1248" s="107"/>
      <c r="L1248" s="149">
        <v>43845</v>
      </c>
      <c r="M1248" s="107">
        <v>375.5</v>
      </c>
      <c r="N1248" s="107">
        <v>384</v>
      </c>
      <c r="O1248" s="107">
        <v>368</v>
      </c>
      <c r="P1248" s="107">
        <v>384</v>
      </c>
      <c r="Q1248" s="107">
        <v>375.5</v>
      </c>
      <c r="R1248">
        <v>931365</v>
      </c>
    </row>
    <row r="1249" spans="1:18" x14ac:dyDescent="0.25">
      <c r="A1249" s="149">
        <v>43846</v>
      </c>
      <c r="B1249" s="107">
        <v>387.6</v>
      </c>
      <c r="C1249" s="107">
        <v>384.95</v>
      </c>
      <c r="D1249" s="107">
        <v>375.5</v>
      </c>
      <c r="E1249" s="107">
        <v>377</v>
      </c>
      <c r="F1249" s="107">
        <v>384.95</v>
      </c>
      <c r="G1249">
        <v>16394</v>
      </c>
      <c r="H1249" s="107"/>
      <c r="I1249" s="107"/>
      <c r="L1249" s="149">
        <v>43846</v>
      </c>
      <c r="M1249" s="107">
        <v>385</v>
      </c>
      <c r="N1249" s="107">
        <v>387.35</v>
      </c>
      <c r="O1249" s="107">
        <v>374.95</v>
      </c>
      <c r="P1249" s="107">
        <v>375.5</v>
      </c>
      <c r="Q1249" s="107">
        <v>385</v>
      </c>
      <c r="R1249">
        <v>414665</v>
      </c>
    </row>
    <row r="1250" spans="1:18" x14ac:dyDescent="0.25">
      <c r="A1250" s="149">
        <v>43847</v>
      </c>
      <c r="B1250" s="107">
        <v>390.6</v>
      </c>
      <c r="C1250" s="107">
        <v>388.75</v>
      </c>
      <c r="D1250" s="107">
        <v>383.6</v>
      </c>
      <c r="E1250" s="107">
        <v>386.25</v>
      </c>
      <c r="F1250" s="107">
        <v>388.75</v>
      </c>
      <c r="G1250">
        <v>12776</v>
      </c>
      <c r="H1250" s="107"/>
      <c r="I1250" s="107"/>
      <c r="L1250" s="149">
        <v>43847</v>
      </c>
      <c r="M1250" s="107">
        <v>388.75</v>
      </c>
      <c r="N1250" s="107">
        <v>391</v>
      </c>
      <c r="O1250" s="107">
        <v>383.25</v>
      </c>
      <c r="P1250" s="107">
        <v>386.9</v>
      </c>
      <c r="Q1250" s="107">
        <v>388.75</v>
      </c>
      <c r="R1250">
        <v>231417</v>
      </c>
    </row>
    <row r="1251" spans="1:18" x14ac:dyDescent="0.25">
      <c r="A1251" s="149">
        <v>43850</v>
      </c>
      <c r="B1251" s="107">
        <v>396.9</v>
      </c>
      <c r="C1251" s="107">
        <v>389.35</v>
      </c>
      <c r="D1251" s="107">
        <v>387.1</v>
      </c>
      <c r="E1251" s="107">
        <v>391</v>
      </c>
      <c r="F1251" s="107">
        <v>389.35</v>
      </c>
      <c r="G1251">
        <v>17124</v>
      </c>
      <c r="H1251" s="107"/>
      <c r="I1251" s="107"/>
      <c r="L1251" s="149">
        <v>43850</v>
      </c>
      <c r="M1251" s="107">
        <v>389.3</v>
      </c>
      <c r="N1251" s="107">
        <v>397.05</v>
      </c>
      <c r="O1251" s="107">
        <v>387.05</v>
      </c>
      <c r="P1251" s="107">
        <v>393</v>
      </c>
      <c r="Q1251" s="107">
        <v>389.3</v>
      </c>
      <c r="R1251">
        <v>406361</v>
      </c>
    </row>
    <row r="1252" spans="1:18" x14ac:dyDescent="0.25">
      <c r="A1252" s="149">
        <v>43851</v>
      </c>
      <c r="B1252" s="107">
        <v>467.2</v>
      </c>
      <c r="C1252" s="107">
        <v>464.1</v>
      </c>
      <c r="D1252" s="107">
        <v>396.1</v>
      </c>
      <c r="E1252" s="107">
        <v>396.1</v>
      </c>
      <c r="F1252" s="107">
        <v>464.1</v>
      </c>
      <c r="G1252">
        <v>536191</v>
      </c>
      <c r="H1252" s="107"/>
      <c r="I1252" s="107"/>
      <c r="L1252" s="149">
        <v>43851</v>
      </c>
      <c r="M1252" s="107">
        <v>463.6</v>
      </c>
      <c r="N1252" s="107">
        <v>467.15</v>
      </c>
      <c r="O1252" s="107">
        <v>398</v>
      </c>
      <c r="P1252" s="107">
        <v>398</v>
      </c>
      <c r="Q1252" s="107">
        <v>463.6</v>
      </c>
      <c r="R1252">
        <v>8414117</v>
      </c>
    </row>
    <row r="1253" spans="1:18" x14ac:dyDescent="0.25">
      <c r="A1253" s="149">
        <v>43852</v>
      </c>
      <c r="B1253" s="107">
        <v>504.9</v>
      </c>
      <c r="C1253" s="107">
        <v>455.95</v>
      </c>
      <c r="D1253" s="107">
        <v>447.05</v>
      </c>
      <c r="E1253" s="107">
        <v>472.95</v>
      </c>
      <c r="F1253" s="107">
        <v>455.95</v>
      </c>
      <c r="G1253">
        <v>699691</v>
      </c>
      <c r="H1253" s="107"/>
      <c r="I1253" s="107"/>
      <c r="L1253" s="149">
        <v>43852</v>
      </c>
      <c r="M1253" s="107">
        <v>455.1</v>
      </c>
      <c r="N1253" s="107">
        <v>505</v>
      </c>
      <c r="O1253" s="107">
        <v>447.1</v>
      </c>
      <c r="P1253" s="107">
        <v>470.25</v>
      </c>
      <c r="Q1253" s="107">
        <v>455.1</v>
      </c>
      <c r="R1253">
        <v>10128155</v>
      </c>
    </row>
    <row r="1254" spans="1:18" x14ac:dyDescent="0.25">
      <c r="A1254" s="149">
        <v>43853</v>
      </c>
      <c r="B1254" s="107">
        <v>485.65</v>
      </c>
      <c r="C1254" s="107">
        <v>477.6</v>
      </c>
      <c r="D1254" s="107">
        <v>451.6</v>
      </c>
      <c r="E1254" s="107">
        <v>456.8</v>
      </c>
      <c r="F1254" s="107">
        <v>477.6</v>
      </c>
      <c r="G1254">
        <v>232265</v>
      </c>
      <c r="H1254" s="107"/>
      <c r="I1254" s="107"/>
      <c r="L1254" s="149">
        <v>43853</v>
      </c>
      <c r="M1254" s="107">
        <v>477.2</v>
      </c>
      <c r="N1254" s="107">
        <v>485</v>
      </c>
      <c r="O1254" s="107">
        <v>451.35</v>
      </c>
      <c r="P1254" s="107">
        <v>456.4</v>
      </c>
      <c r="Q1254" s="107">
        <v>477.2</v>
      </c>
      <c r="R1254">
        <v>2636458</v>
      </c>
    </row>
    <row r="1255" spans="1:18" x14ac:dyDescent="0.25">
      <c r="A1255" s="149">
        <v>43854</v>
      </c>
      <c r="B1255" s="107">
        <v>484.35</v>
      </c>
      <c r="C1255" s="107">
        <v>473.1</v>
      </c>
      <c r="D1255" s="107">
        <v>471</v>
      </c>
      <c r="E1255" s="107">
        <v>479</v>
      </c>
      <c r="F1255" s="107">
        <v>473.1</v>
      </c>
      <c r="G1255">
        <v>74259</v>
      </c>
      <c r="H1255" s="107"/>
      <c r="I1255" s="107"/>
      <c r="L1255" s="149">
        <v>43854</v>
      </c>
      <c r="M1255" s="107">
        <v>472.65</v>
      </c>
      <c r="N1255" s="107">
        <v>484.9</v>
      </c>
      <c r="O1255" s="107">
        <v>470</v>
      </c>
      <c r="P1255" s="107">
        <v>481.8</v>
      </c>
      <c r="Q1255" s="107">
        <v>472.65</v>
      </c>
      <c r="R1255">
        <v>835841</v>
      </c>
    </row>
    <row r="1256" spans="1:18" x14ac:dyDescent="0.25">
      <c r="A1256" s="149">
        <v>43857</v>
      </c>
      <c r="B1256" s="107">
        <v>474.7</v>
      </c>
      <c r="C1256" s="107">
        <v>469.5</v>
      </c>
      <c r="D1256" s="107">
        <v>463.05</v>
      </c>
      <c r="E1256" s="107">
        <v>471</v>
      </c>
      <c r="F1256" s="107">
        <v>469.5</v>
      </c>
      <c r="G1256">
        <v>34193</v>
      </c>
      <c r="H1256" s="107"/>
      <c r="I1256" s="107"/>
      <c r="L1256" s="149">
        <v>43857</v>
      </c>
      <c r="M1256" s="107">
        <v>470.1</v>
      </c>
      <c r="N1256" s="107">
        <v>475</v>
      </c>
      <c r="O1256" s="107">
        <v>462.6</v>
      </c>
      <c r="P1256" s="107">
        <v>471</v>
      </c>
      <c r="Q1256" s="107">
        <v>470.1</v>
      </c>
      <c r="R1256">
        <v>353739</v>
      </c>
    </row>
    <row r="1257" spans="1:18" x14ac:dyDescent="0.25">
      <c r="A1257" s="149">
        <v>43858</v>
      </c>
      <c r="B1257" s="107">
        <v>482.45</v>
      </c>
      <c r="C1257" s="107">
        <v>473.6</v>
      </c>
      <c r="D1257" s="107">
        <v>467.25</v>
      </c>
      <c r="E1257" s="107">
        <v>482.45</v>
      </c>
      <c r="F1257" s="107">
        <v>473.6</v>
      </c>
      <c r="G1257">
        <v>26570</v>
      </c>
      <c r="H1257" s="107"/>
      <c r="I1257" s="107"/>
      <c r="L1257" s="149">
        <v>43858</v>
      </c>
      <c r="M1257" s="107">
        <v>473.65</v>
      </c>
      <c r="N1257" s="107">
        <v>479.4</v>
      </c>
      <c r="O1257" s="107">
        <v>467</v>
      </c>
      <c r="P1257" s="107">
        <v>471.95</v>
      </c>
      <c r="Q1257" s="107">
        <v>473.65</v>
      </c>
      <c r="R1257">
        <v>332191</v>
      </c>
    </row>
    <row r="1258" spans="1:18" x14ac:dyDescent="0.25">
      <c r="A1258" s="149">
        <v>43859</v>
      </c>
      <c r="B1258" s="107">
        <v>495.8</v>
      </c>
      <c r="C1258" s="107">
        <v>487.65</v>
      </c>
      <c r="D1258" s="107">
        <v>472.8</v>
      </c>
      <c r="E1258" s="107">
        <v>475.5</v>
      </c>
      <c r="F1258" s="107">
        <v>487.65</v>
      </c>
      <c r="G1258">
        <v>94043</v>
      </c>
      <c r="H1258" s="107"/>
      <c r="I1258" s="107"/>
      <c r="L1258" s="149">
        <v>43859</v>
      </c>
      <c r="M1258" s="107">
        <v>487.95</v>
      </c>
      <c r="N1258" s="107">
        <v>495.8</v>
      </c>
      <c r="O1258" s="107">
        <v>472.65</v>
      </c>
      <c r="P1258" s="107">
        <v>474.65</v>
      </c>
      <c r="Q1258" s="107">
        <v>487.95</v>
      </c>
      <c r="R1258">
        <v>1017911</v>
      </c>
    </row>
    <row r="1259" spans="1:18" x14ac:dyDescent="0.25">
      <c r="A1259" s="149">
        <v>43860</v>
      </c>
      <c r="B1259" s="107">
        <v>487</v>
      </c>
      <c r="C1259" s="107">
        <v>481.15</v>
      </c>
      <c r="D1259" s="107">
        <v>478.6</v>
      </c>
      <c r="E1259" s="107">
        <v>484</v>
      </c>
      <c r="F1259" s="107">
        <v>481.15</v>
      </c>
      <c r="G1259">
        <v>25736</v>
      </c>
      <c r="H1259" s="107"/>
      <c r="I1259" s="107"/>
      <c r="L1259" s="149">
        <v>43860</v>
      </c>
      <c r="M1259" s="107">
        <v>481.1</v>
      </c>
      <c r="N1259" s="107">
        <v>488</v>
      </c>
      <c r="O1259" s="107">
        <v>478.3</v>
      </c>
      <c r="P1259" s="107">
        <v>486.9</v>
      </c>
      <c r="Q1259" s="107">
        <v>481.1</v>
      </c>
      <c r="R1259">
        <v>362211</v>
      </c>
    </row>
    <row r="1260" spans="1:18" x14ac:dyDescent="0.25">
      <c r="A1260" s="149">
        <v>43861</v>
      </c>
      <c r="B1260" s="107">
        <v>491.15</v>
      </c>
      <c r="C1260" s="107">
        <v>483.75</v>
      </c>
      <c r="D1260" s="107">
        <v>480.3</v>
      </c>
      <c r="E1260" s="107">
        <v>485</v>
      </c>
      <c r="F1260" s="107">
        <v>483.75</v>
      </c>
      <c r="G1260">
        <v>30003</v>
      </c>
      <c r="H1260" s="107"/>
      <c r="I1260" s="107"/>
      <c r="L1260" s="149">
        <v>43861</v>
      </c>
      <c r="M1260" s="107">
        <v>484.05</v>
      </c>
      <c r="N1260" s="107">
        <v>491.9</v>
      </c>
      <c r="O1260" s="107">
        <v>480.25</v>
      </c>
      <c r="P1260" s="107">
        <v>483</v>
      </c>
      <c r="Q1260" s="107">
        <v>484.05</v>
      </c>
      <c r="R1260">
        <v>457239</v>
      </c>
    </row>
    <row r="1261" spans="1:18" x14ac:dyDescent="0.25">
      <c r="A1261" s="149">
        <v>43862</v>
      </c>
      <c r="B1261" s="107">
        <v>511.95</v>
      </c>
      <c r="C1261" s="107">
        <v>470.5</v>
      </c>
      <c r="D1261" s="107">
        <v>468.5</v>
      </c>
      <c r="E1261" s="107">
        <v>482.9</v>
      </c>
      <c r="F1261" s="107">
        <v>470.5</v>
      </c>
      <c r="G1261">
        <v>140708</v>
      </c>
      <c r="H1261" s="107"/>
      <c r="I1261" s="107"/>
      <c r="L1261" s="149">
        <v>43862</v>
      </c>
      <c r="M1261" s="107">
        <v>471.05</v>
      </c>
      <c r="N1261" s="107">
        <v>512.95000000000005</v>
      </c>
      <c r="O1261" s="107">
        <v>467</v>
      </c>
      <c r="P1261" s="107">
        <v>483</v>
      </c>
      <c r="Q1261" s="107">
        <v>471.05</v>
      </c>
      <c r="R1261">
        <v>1631941</v>
      </c>
    </row>
    <row r="1262" spans="1:18" x14ac:dyDescent="0.25">
      <c r="A1262" s="149">
        <v>43864</v>
      </c>
      <c r="B1262" s="107">
        <v>494.35</v>
      </c>
      <c r="C1262" s="107">
        <v>488.2</v>
      </c>
      <c r="D1262" s="107">
        <v>462.15</v>
      </c>
      <c r="E1262" s="107">
        <v>471</v>
      </c>
      <c r="F1262" s="107">
        <v>488.2</v>
      </c>
      <c r="G1262">
        <v>53471</v>
      </c>
      <c r="H1262" s="107"/>
      <c r="I1262" s="107"/>
      <c r="L1262" s="149">
        <v>43864</v>
      </c>
      <c r="M1262" s="107">
        <v>487.75</v>
      </c>
      <c r="N1262" s="107">
        <v>495</v>
      </c>
      <c r="O1262" s="107">
        <v>461.65</v>
      </c>
      <c r="P1262" s="107">
        <v>473</v>
      </c>
      <c r="Q1262" s="107">
        <v>487.75</v>
      </c>
      <c r="R1262">
        <v>495222</v>
      </c>
    </row>
    <row r="1263" spans="1:18" x14ac:dyDescent="0.25">
      <c r="A1263" s="149">
        <v>43865</v>
      </c>
      <c r="B1263" s="107">
        <v>490</v>
      </c>
      <c r="C1263" s="107">
        <v>483.35</v>
      </c>
      <c r="D1263" s="107">
        <v>476</v>
      </c>
      <c r="E1263" s="107">
        <v>490</v>
      </c>
      <c r="F1263" s="107">
        <v>483.35</v>
      </c>
      <c r="G1263">
        <v>23666</v>
      </c>
      <c r="H1263" s="107"/>
      <c r="I1263" s="107"/>
      <c r="L1263" s="149">
        <v>43865</v>
      </c>
      <c r="M1263" s="107">
        <v>483.75</v>
      </c>
      <c r="N1263" s="107">
        <v>489.2</v>
      </c>
      <c r="O1263" s="107">
        <v>475</v>
      </c>
      <c r="P1263" s="107">
        <v>489</v>
      </c>
      <c r="Q1263" s="107">
        <v>483.75</v>
      </c>
      <c r="R1263">
        <v>250481</v>
      </c>
    </row>
    <row r="1264" spans="1:18" x14ac:dyDescent="0.25">
      <c r="A1264" s="149">
        <v>43866</v>
      </c>
      <c r="B1264" s="107">
        <v>487.75</v>
      </c>
      <c r="C1264" s="107">
        <v>479.4</v>
      </c>
      <c r="D1264" s="107">
        <v>476.25</v>
      </c>
      <c r="E1264" s="107">
        <v>483.45</v>
      </c>
      <c r="F1264" s="107">
        <v>479.4</v>
      </c>
      <c r="G1264">
        <v>15692</v>
      </c>
      <c r="H1264" s="107"/>
      <c r="I1264" s="107"/>
      <c r="L1264" s="149">
        <v>43866</v>
      </c>
      <c r="M1264" s="107">
        <v>479.15</v>
      </c>
      <c r="N1264" s="107">
        <v>488.1</v>
      </c>
      <c r="O1264" s="107">
        <v>475.25</v>
      </c>
      <c r="P1264" s="107">
        <v>484.9</v>
      </c>
      <c r="Q1264" s="107">
        <v>479.15</v>
      </c>
      <c r="R1264">
        <v>229103</v>
      </c>
    </row>
    <row r="1265" spans="1:18" x14ac:dyDescent="0.25">
      <c r="A1265" s="149">
        <v>43867</v>
      </c>
      <c r="B1265" s="107">
        <v>498.8</v>
      </c>
      <c r="C1265" s="107">
        <v>489.55</v>
      </c>
      <c r="D1265" s="107">
        <v>479</v>
      </c>
      <c r="E1265" s="107">
        <v>479.5</v>
      </c>
      <c r="F1265" s="107">
        <v>489.55</v>
      </c>
      <c r="G1265">
        <v>64879</v>
      </c>
      <c r="H1265" s="107"/>
      <c r="I1265" s="107"/>
      <c r="L1265" s="149">
        <v>43867</v>
      </c>
      <c r="M1265" s="107">
        <v>490.3</v>
      </c>
      <c r="N1265" s="107">
        <v>498.35</v>
      </c>
      <c r="O1265" s="107">
        <v>478.7</v>
      </c>
      <c r="P1265" s="107">
        <v>479</v>
      </c>
      <c r="Q1265" s="107">
        <v>490.3</v>
      </c>
      <c r="R1265">
        <v>956765</v>
      </c>
    </row>
    <row r="1266" spans="1:18" x14ac:dyDescent="0.25">
      <c r="A1266" s="149">
        <v>43868</v>
      </c>
      <c r="B1266" s="107">
        <v>493</v>
      </c>
      <c r="C1266" s="107">
        <v>487.35</v>
      </c>
      <c r="D1266" s="107">
        <v>482.5</v>
      </c>
      <c r="E1266" s="107">
        <v>493</v>
      </c>
      <c r="F1266" s="107">
        <v>487.35</v>
      </c>
      <c r="G1266">
        <v>46723</v>
      </c>
      <c r="H1266" s="107"/>
      <c r="I1266" s="107"/>
      <c r="L1266" s="149">
        <v>43868</v>
      </c>
      <c r="M1266" s="107">
        <v>487.65</v>
      </c>
      <c r="N1266" s="107">
        <v>493.35</v>
      </c>
      <c r="O1266" s="107">
        <v>482.2</v>
      </c>
      <c r="P1266" s="107">
        <v>492.4</v>
      </c>
      <c r="Q1266" s="107">
        <v>487.65</v>
      </c>
      <c r="R1266">
        <v>318981</v>
      </c>
    </row>
    <row r="1267" spans="1:18" x14ac:dyDescent="0.25">
      <c r="A1267" s="149">
        <v>43871</v>
      </c>
      <c r="B1267" s="107">
        <v>487</v>
      </c>
      <c r="C1267" s="107">
        <v>481.3</v>
      </c>
      <c r="D1267" s="107">
        <v>478</v>
      </c>
      <c r="E1267" s="107">
        <v>486.35</v>
      </c>
      <c r="F1267" s="107">
        <v>481.3</v>
      </c>
      <c r="G1267">
        <v>39930</v>
      </c>
      <c r="H1267" s="107"/>
      <c r="I1267" s="107"/>
      <c r="L1267" s="149">
        <v>43871</v>
      </c>
      <c r="M1267" s="107">
        <v>481</v>
      </c>
      <c r="N1267" s="107">
        <v>488.95</v>
      </c>
      <c r="O1267" s="107">
        <v>477</v>
      </c>
      <c r="P1267" s="107">
        <v>487</v>
      </c>
      <c r="Q1267" s="107">
        <v>481</v>
      </c>
      <c r="R1267">
        <v>211402</v>
      </c>
    </row>
    <row r="1268" spans="1:18" x14ac:dyDescent="0.25">
      <c r="A1268" s="149">
        <v>43872</v>
      </c>
      <c r="B1268" s="107">
        <v>494.5</v>
      </c>
      <c r="C1268" s="107">
        <v>492.9</v>
      </c>
      <c r="D1268" s="107">
        <v>480.1</v>
      </c>
      <c r="E1268" s="107">
        <v>484</v>
      </c>
      <c r="F1268" s="107">
        <v>492.9</v>
      </c>
      <c r="G1268">
        <v>80148</v>
      </c>
      <c r="H1268" s="107"/>
      <c r="I1268" s="107"/>
      <c r="L1268" s="149">
        <v>43872</v>
      </c>
      <c r="M1268" s="107">
        <v>492.5</v>
      </c>
      <c r="N1268" s="107">
        <v>495</v>
      </c>
      <c r="O1268" s="107">
        <v>480</v>
      </c>
      <c r="P1268" s="107">
        <v>480.25</v>
      </c>
      <c r="Q1268" s="107">
        <v>492.5</v>
      </c>
      <c r="R1268">
        <v>462817</v>
      </c>
    </row>
    <row r="1269" spans="1:18" x14ac:dyDescent="0.25">
      <c r="A1269" s="149">
        <v>43873</v>
      </c>
      <c r="B1269" s="107">
        <v>519</v>
      </c>
      <c r="C1269" s="107">
        <v>510.8</v>
      </c>
      <c r="D1269" s="107">
        <v>495</v>
      </c>
      <c r="E1269" s="107">
        <v>495</v>
      </c>
      <c r="F1269" s="107">
        <v>510.8</v>
      </c>
      <c r="G1269">
        <v>815827</v>
      </c>
      <c r="H1269" s="107"/>
      <c r="I1269" s="107"/>
      <c r="L1269" s="149">
        <v>43873</v>
      </c>
      <c r="M1269" s="107">
        <v>510.7</v>
      </c>
      <c r="N1269" s="107">
        <v>519</v>
      </c>
      <c r="O1269" s="107">
        <v>495.1</v>
      </c>
      <c r="P1269" s="107">
        <v>495.1</v>
      </c>
      <c r="Q1269" s="107">
        <v>510.7</v>
      </c>
      <c r="R1269">
        <v>2931425</v>
      </c>
    </row>
    <row r="1270" spans="1:18" x14ac:dyDescent="0.25">
      <c r="A1270" s="149">
        <v>43874</v>
      </c>
      <c r="B1270" s="107">
        <v>514.15</v>
      </c>
      <c r="C1270" s="107">
        <v>506.15</v>
      </c>
      <c r="D1270" s="107">
        <v>503.5</v>
      </c>
      <c r="E1270" s="107">
        <v>511</v>
      </c>
      <c r="F1270" s="107">
        <v>506.15</v>
      </c>
      <c r="G1270">
        <v>42111</v>
      </c>
      <c r="H1270" s="107"/>
      <c r="I1270" s="107"/>
      <c r="L1270" s="149">
        <v>43874</v>
      </c>
      <c r="M1270" s="107">
        <v>506.35</v>
      </c>
      <c r="N1270" s="107">
        <v>514.20000000000005</v>
      </c>
      <c r="O1270" s="107">
        <v>503.35</v>
      </c>
      <c r="P1270" s="107">
        <v>513</v>
      </c>
      <c r="Q1270" s="107">
        <v>506.35</v>
      </c>
      <c r="R1270">
        <v>397397</v>
      </c>
    </row>
    <row r="1271" spans="1:18" x14ac:dyDescent="0.25">
      <c r="A1271" s="149">
        <v>43875</v>
      </c>
      <c r="B1271" s="107">
        <v>517.54999999999995</v>
      </c>
      <c r="C1271" s="107">
        <v>509.9</v>
      </c>
      <c r="D1271" s="107">
        <v>508.2</v>
      </c>
      <c r="E1271" s="107">
        <v>508.6</v>
      </c>
      <c r="F1271" s="107">
        <v>509.9</v>
      </c>
      <c r="G1271">
        <v>34821</v>
      </c>
      <c r="H1271" s="107"/>
      <c r="I1271" s="107"/>
      <c r="L1271" s="149">
        <v>43875</v>
      </c>
      <c r="M1271" s="107">
        <v>510.15</v>
      </c>
      <c r="N1271" s="107">
        <v>517.5</v>
      </c>
      <c r="O1271" s="107">
        <v>508</v>
      </c>
      <c r="P1271" s="107">
        <v>508.3</v>
      </c>
      <c r="Q1271" s="107">
        <v>510.15</v>
      </c>
      <c r="R1271">
        <v>367636</v>
      </c>
    </row>
    <row r="1272" spans="1:18" x14ac:dyDescent="0.25">
      <c r="A1272" s="149">
        <v>43878</v>
      </c>
      <c r="B1272" s="107">
        <v>512.25</v>
      </c>
      <c r="C1272" s="107">
        <v>509.25</v>
      </c>
      <c r="D1272" s="107">
        <v>503.35</v>
      </c>
      <c r="E1272" s="107">
        <v>510.25</v>
      </c>
      <c r="F1272" s="107">
        <v>509.25</v>
      </c>
      <c r="G1272">
        <v>51726</v>
      </c>
      <c r="H1272" s="107"/>
      <c r="I1272" s="107"/>
      <c r="L1272" s="149">
        <v>43878</v>
      </c>
      <c r="M1272" s="107">
        <v>509.65</v>
      </c>
      <c r="N1272" s="107">
        <v>514</v>
      </c>
      <c r="O1272" s="107">
        <v>503</v>
      </c>
      <c r="P1272" s="107">
        <v>513.29999999999995</v>
      </c>
      <c r="Q1272" s="107">
        <v>509.65</v>
      </c>
      <c r="R1272">
        <v>389070</v>
      </c>
    </row>
    <row r="1273" spans="1:18" x14ac:dyDescent="0.25">
      <c r="A1273" s="149">
        <v>43879</v>
      </c>
      <c r="B1273" s="107">
        <v>512.70000000000005</v>
      </c>
      <c r="C1273" s="107">
        <v>510.05</v>
      </c>
      <c r="D1273" s="107">
        <v>504.35</v>
      </c>
      <c r="E1273" s="107">
        <v>508.8</v>
      </c>
      <c r="F1273" s="107">
        <v>510.05</v>
      </c>
      <c r="G1273">
        <v>17731</v>
      </c>
      <c r="H1273" s="107"/>
      <c r="I1273" s="107"/>
      <c r="L1273" s="149">
        <v>43879</v>
      </c>
      <c r="M1273" s="107">
        <v>509.85</v>
      </c>
      <c r="N1273" s="107">
        <v>512.70000000000005</v>
      </c>
      <c r="O1273" s="107">
        <v>504.15</v>
      </c>
      <c r="P1273" s="107">
        <v>507</v>
      </c>
      <c r="Q1273" s="107">
        <v>509.85</v>
      </c>
      <c r="R1273">
        <v>475940</v>
      </c>
    </row>
    <row r="1274" spans="1:18" x14ac:dyDescent="0.25">
      <c r="A1274" s="149">
        <v>43880</v>
      </c>
      <c r="B1274" s="107">
        <v>517.35</v>
      </c>
      <c r="C1274" s="107">
        <v>509.55</v>
      </c>
      <c r="D1274" s="107">
        <v>506.65</v>
      </c>
      <c r="E1274" s="107">
        <v>513.1</v>
      </c>
      <c r="F1274" s="107">
        <v>509.55</v>
      </c>
      <c r="G1274">
        <v>21935</v>
      </c>
      <c r="H1274" s="107"/>
      <c r="I1274" s="107"/>
      <c r="L1274" s="149">
        <v>43880</v>
      </c>
      <c r="M1274" s="107">
        <v>509.45</v>
      </c>
      <c r="N1274" s="107">
        <v>517.95000000000005</v>
      </c>
      <c r="O1274" s="107">
        <v>506.3</v>
      </c>
      <c r="P1274" s="107">
        <v>512.04999999999995</v>
      </c>
      <c r="Q1274" s="107">
        <v>509.45</v>
      </c>
      <c r="R1274">
        <v>531095</v>
      </c>
    </row>
    <row r="1275" spans="1:18" x14ac:dyDescent="0.25">
      <c r="A1275" s="149">
        <v>43881</v>
      </c>
      <c r="B1275" s="107">
        <v>514.25</v>
      </c>
      <c r="C1275" s="107">
        <v>509.45</v>
      </c>
      <c r="D1275" s="107">
        <v>507.95</v>
      </c>
      <c r="E1275" s="107">
        <v>508.7</v>
      </c>
      <c r="F1275" s="107">
        <v>509.45</v>
      </c>
      <c r="G1275">
        <v>21099</v>
      </c>
      <c r="H1275" s="107"/>
      <c r="I1275" s="107"/>
      <c r="L1275" s="149">
        <v>43881</v>
      </c>
      <c r="M1275" s="107">
        <v>509.5</v>
      </c>
      <c r="N1275" s="107">
        <v>514.65</v>
      </c>
      <c r="O1275" s="107">
        <v>507.05</v>
      </c>
      <c r="P1275" s="107">
        <v>510</v>
      </c>
      <c r="Q1275" s="107">
        <v>509.5</v>
      </c>
      <c r="R1275">
        <v>243208</v>
      </c>
    </row>
    <row r="1276" spans="1:18" x14ac:dyDescent="0.25">
      <c r="A1276" s="149">
        <v>43885</v>
      </c>
      <c r="B1276" s="107">
        <v>514.20000000000005</v>
      </c>
      <c r="C1276" s="107">
        <v>510.1</v>
      </c>
      <c r="D1276" s="107">
        <v>504.1</v>
      </c>
      <c r="E1276" s="107">
        <v>505.45</v>
      </c>
      <c r="F1276" s="107">
        <v>510.1</v>
      </c>
      <c r="G1276">
        <v>10342</v>
      </c>
      <c r="H1276" s="107"/>
      <c r="I1276" s="107"/>
      <c r="L1276" s="149">
        <v>43885</v>
      </c>
      <c r="M1276" s="107">
        <v>510.4</v>
      </c>
      <c r="N1276" s="107">
        <v>514</v>
      </c>
      <c r="O1276" s="107">
        <v>504</v>
      </c>
      <c r="P1276" s="107">
        <v>509.7</v>
      </c>
      <c r="Q1276" s="107">
        <v>510.4</v>
      </c>
      <c r="R1276">
        <v>274934</v>
      </c>
    </row>
    <row r="1277" spans="1:18" x14ac:dyDescent="0.25">
      <c r="A1277" s="149">
        <v>43886</v>
      </c>
      <c r="B1277" s="107">
        <v>517.35</v>
      </c>
      <c r="C1277" s="107">
        <v>510.45</v>
      </c>
      <c r="D1277" s="107">
        <v>507.15</v>
      </c>
      <c r="E1277" s="107">
        <v>514.20000000000005</v>
      </c>
      <c r="F1277" s="107">
        <v>510.45</v>
      </c>
      <c r="G1277">
        <v>44886</v>
      </c>
      <c r="H1277" s="107"/>
      <c r="I1277" s="107"/>
      <c r="L1277" s="149">
        <v>43886</v>
      </c>
      <c r="M1277" s="107">
        <v>510.05</v>
      </c>
      <c r="N1277" s="107">
        <v>517.4</v>
      </c>
      <c r="O1277" s="107">
        <v>506.7</v>
      </c>
      <c r="P1277" s="107">
        <v>515.25</v>
      </c>
      <c r="Q1277" s="107">
        <v>510.05</v>
      </c>
      <c r="R1277">
        <v>601041</v>
      </c>
    </row>
    <row r="1278" spans="1:18" x14ac:dyDescent="0.25">
      <c r="A1278" s="149">
        <v>43887</v>
      </c>
      <c r="B1278" s="107">
        <v>509.65</v>
      </c>
      <c r="C1278" s="107">
        <v>508.15</v>
      </c>
      <c r="D1278" s="107">
        <v>505</v>
      </c>
      <c r="E1278" s="107">
        <v>505</v>
      </c>
      <c r="F1278" s="107">
        <v>508.15</v>
      </c>
      <c r="G1278">
        <v>33439</v>
      </c>
      <c r="H1278" s="107"/>
      <c r="I1278" s="107"/>
      <c r="L1278" s="149">
        <v>43887</v>
      </c>
      <c r="M1278" s="107">
        <v>507.9</v>
      </c>
      <c r="N1278" s="107">
        <v>510</v>
      </c>
      <c r="O1278" s="107">
        <v>505</v>
      </c>
      <c r="P1278" s="107">
        <v>505</v>
      </c>
      <c r="Q1278" s="107">
        <v>507.9</v>
      </c>
      <c r="R1278">
        <v>183689</v>
      </c>
    </row>
    <row r="1279" spans="1:18" x14ac:dyDescent="0.25">
      <c r="A1279" s="149">
        <v>43888</v>
      </c>
      <c r="B1279" s="107">
        <v>507.9</v>
      </c>
      <c r="C1279" s="107">
        <v>505.1</v>
      </c>
      <c r="D1279" s="107">
        <v>500.45</v>
      </c>
      <c r="E1279" s="107">
        <v>506.2</v>
      </c>
      <c r="F1279" s="107">
        <v>505.1</v>
      </c>
      <c r="G1279">
        <v>14187</v>
      </c>
      <c r="H1279" s="107"/>
      <c r="I1279" s="107"/>
      <c r="L1279" s="149">
        <v>43888</v>
      </c>
      <c r="M1279" s="107">
        <v>505.05</v>
      </c>
      <c r="N1279" s="107">
        <v>509.55</v>
      </c>
      <c r="O1279" s="107">
        <v>500</v>
      </c>
      <c r="P1279" s="107">
        <v>508.1</v>
      </c>
      <c r="Q1279" s="107">
        <v>505.05</v>
      </c>
      <c r="R1279">
        <v>334846</v>
      </c>
    </row>
    <row r="1280" spans="1:18" x14ac:dyDescent="0.25">
      <c r="A1280" s="149">
        <v>43889</v>
      </c>
      <c r="B1280" s="107">
        <v>505.7</v>
      </c>
      <c r="C1280" s="107">
        <v>499.65</v>
      </c>
      <c r="D1280" s="107">
        <v>496</v>
      </c>
      <c r="E1280" s="107">
        <v>505</v>
      </c>
      <c r="F1280" s="107">
        <v>499.65</v>
      </c>
      <c r="G1280">
        <v>24428</v>
      </c>
      <c r="H1280" s="107"/>
      <c r="I1280" s="107"/>
      <c r="L1280" s="149">
        <v>43889</v>
      </c>
      <c r="M1280" s="107">
        <v>500.05</v>
      </c>
      <c r="N1280" s="107">
        <v>503.5</v>
      </c>
      <c r="O1280" s="107">
        <v>490.1</v>
      </c>
      <c r="P1280" s="107">
        <v>501.15</v>
      </c>
      <c r="Q1280" s="107">
        <v>500.05</v>
      </c>
      <c r="R1280">
        <v>515552</v>
      </c>
    </row>
    <row r="1281" spans="1:18" x14ac:dyDescent="0.25">
      <c r="A1281" s="149">
        <v>43892</v>
      </c>
      <c r="B1281" s="107">
        <v>501</v>
      </c>
      <c r="C1281" s="107">
        <v>500.15</v>
      </c>
      <c r="D1281" s="107">
        <v>492.4</v>
      </c>
      <c r="E1281" s="107">
        <v>501</v>
      </c>
      <c r="F1281" s="107">
        <v>500.15</v>
      </c>
      <c r="G1281">
        <v>28331</v>
      </c>
      <c r="H1281" s="107"/>
      <c r="I1281" s="107"/>
      <c r="L1281" s="149">
        <v>43892</v>
      </c>
      <c r="M1281" s="107">
        <v>500.05</v>
      </c>
      <c r="N1281" s="107">
        <v>501.75</v>
      </c>
      <c r="O1281" s="107">
        <v>486</v>
      </c>
      <c r="P1281" s="107">
        <v>486</v>
      </c>
      <c r="Q1281" s="107">
        <v>500.05</v>
      </c>
      <c r="R1281">
        <v>366929</v>
      </c>
    </row>
    <row r="1282" spans="1:18" x14ac:dyDescent="0.25">
      <c r="A1282" s="149">
        <v>43893</v>
      </c>
      <c r="B1282" s="107">
        <v>501.85</v>
      </c>
      <c r="C1282" s="107">
        <v>485.2</v>
      </c>
      <c r="D1282" s="107">
        <v>480.85</v>
      </c>
      <c r="E1282" s="107">
        <v>500</v>
      </c>
      <c r="F1282" s="107">
        <v>485.2</v>
      </c>
      <c r="G1282">
        <v>30902</v>
      </c>
      <c r="H1282" s="107"/>
      <c r="I1282" s="107"/>
      <c r="L1282" s="149">
        <v>43893</v>
      </c>
      <c r="M1282" s="107">
        <v>485.3</v>
      </c>
      <c r="N1282" s="107">
        <v>502</v>
      </c>
      <c r="O1282" s="107">
        <v>480.5</v>
      </c>
      <c r="P1282" s="107">
        <v>498.05</v>
      </c>
      <c r="Q1282" s="107">
        <v>485.3</v>
      </c>
      <c r="R1282">
        <v>315822</v>
      </c>
    </row>
    <row r="1283" spans="1:18" x14ac:dyDescent="0.25">
      <c r="A1283" s="149">
        <v>43894</v>
      </c>
      <c r="B1283" s="107">
        <v>491.9</v>
      </c>
      <c r="C1283" s="107">
        <v>479.05</v>
      </c>
      <c r="D1283" s="107">
        <v>475.5</v>
      </c>
      <c r="E1283" s="107">
        <v>487.35</v>
      </c>
      <c r="F1283" s="107">
        <v>479.05</v>
      </c>
      <c r="G1283">
        <v>52042</v>
      </c>
      <c r="H1283" s="107"/>
      <c r="I1283" s="107"/>
      <c r="L1283" s="149">
        <v>43894</v>
      </c>
      <c r="M1283" s="107">
        <v>478.35</v>
      </c>
      <c r="N1283" s="107">
        <v>491.9</v>
      </c>
      <c r="O1283" s="107">
        <v>471.35</v>
      </c>
      <c r="P1283" s="107">
        <v>485</v>
      </c>
      <c r="Q1283" s="107">
        <v>478.35</v>
      </c>
      <c r="R1283">
        <v>225730</v>
      </c>
    </row>
    <row r="1284" spans="1:18" x14ac:dyDescent="0.25">
      <c r="A1284" s="149">
        <v>43895</v>
      </c>
      <c r="B1284" s="107">
        <v>484</v>
      </c>
      <c r="C1284" s="107">
        <v>479.6</v>
      </c>
      <c r="D1284" s="107">
        <v>475.3</v>
      </c>
      <c r="E1284" s="107">
        <v>476.5</v>
      </c>
      <c r="F1284" s="107">
        <v>479.6</v>
      </c>
      <c r="G1284">
        <v>22502</v>
      </c>
      <c r="H1284" s="107"/>
      <c r="I1284" s="107"/>
      <c r="L1284" s="149">
        <v>43895</v>
      </c>
      <c r="M1284" s="107">
        <v>480</v>
      </c>
      <c r="N1284" s="107">
        <v>484.4</v>
      </c>
      <c r="O1284" s="107">
        <v>473</v>
      </c>
      <c r="P1284" s="107">
        <v>478</v>
      </c>
      <c r="Q1284" s="107">
        <v>480</v>
      </c>
      <c r="R1284">
        <v>183826</v>
      </c>
    </row>
    <row r="1285" spans="1:18" x14ac:dyDescent="0.25">
      <c r="A1285" s="149">
        <v>43896</v>
      </c>
      <c r="B1285" s="107">
        <v>472.05</v>
      </c>
      <c r="C1285" s="107">
        <v>464.75</v>
      </c>
      <c r="D1285" s="107">
        <v>440</v>
      </c>
      <c r="E1285" s="107">
        <v>472.05</v>
      </c>
      <c r="F1285" s="107">
        <v>464.75</v>
      </c>
      <c r="G1285">
        <v>30037</v>
      </c>
      <c r="H1285" s="107"/>
      <c r="I1285" s="107"/>
      <c r="L1285" s="149">
        <v>43896</v>
      </c>
      <c r="M1285" s="107">
        <v>464.45</v>
      </c>
      <c r="N1285" s="107">
        <v>471.9</v>
      </c>
      <c r="O1285" s="107">
        <v>440.05</v>
      </c>
      <c r="P1285" s="107">
        <v>470</v>
      </c>
      <c r="Q1285" s="107">
        <v>464.45</v>
      </c>
      <c r="R1285">
        <v>275087</v>
      </c>
    </row>
    <row r="1286" spans="1:18" x14ac:dyDescent="0.25">
      <c r="A1286" s="149">
        <v>43899</v>
      </c>
      <c r="B1286" s="107">
        <v>457.5</v>
      </c>
      <c r="C1286" s="107">
        <v>422.35</v>
      </c>
      <c r="D1286" s="107">
        <v>416.35</v>
      </c>
      <c r="E1286" s="107">
        <v>450</v>
      </c>
      <c r="F1286" s="107">
        <v>422.35</v>
      </c>
      <c r="G1286">
        <v>42352</v>
      </c>
      <c r="H1286" s="107"/>
      <c r="I1286" s="107"/>
      <c r="L1286" s="149">
        <v>43899</v>
      </c>
      <c r="M1286" s="107">
        <v>428</v>
      </c>
      <c r="N1286" s="107">
        <v>459.65</v>
      </c>
      <c r="O1286" s="107">
        <v>416.25</v>
      </c>
      <c r="P1286" s="107">
        <v>455</v>
      </c>
      <c r="Q1286" s="107">
        <v>428</v>
      </c>
      <c r="R1286">
        <v>560611</v>
      </c>
    </row>
    <row r="1287" spans="1:18" x14ac:dyDescent="0.25">
      <c r="A1287" s="149">
        <v>43901</v>
      </c>
      <c r="B1287" s="107">
        <v>445.5</v>
      </c>
      <c r="C1287" s="107">
        <v>418.8</v>
      </c>
      <c r="D1287" s="107">
        <v>406</v>
      </c>
      <c r="E1287" s="107">
        <v>421</v>
      </c>
      <c r="F1287" s="107">
        <v>418.8</v>
      </c>
      <c r="G1287">
        <v>41974</v>
      </c>
      <c r="H1287" s="107"/>
      <c r="I1287" s="107"/>
      <c r="L1287" s="149">
        <v>43901</v>
      </c>
      <c r="M1287" s="107">
        <v>419</v>
      </c>
      <c r="N1287" s="107">
        <v>445.9</v>
      </c>
      <c r="O1287" s="107">
        <v>404.6</v>
      </c>
      <c r="P1287" s="107">
        <v>416.5</v>
      </c>
      <c r="Q1287" s="107">
        <v>419</v>
      </c>
      <c r="R1287">
        <v>485012</v>
      </c>
    </row>
    <row r="1288" spans="1:18" x14ac:dyDescent="0.25">
      <c r="A1288" s="149">
        <v>43902</v>
      </c>
      <c r="B1288" s="107">
        <v>433.95</v>
      </c>
      <c r="C1288" s="107">
        <v>392.25</v>
      </c>
      <c r="D1288" s="107">
        <v>336</v>
      </c>
      <c r="E1288" s="107">
        <v>400.5</v>
      </c>
      <c r="F1288" s="107">
        <v>392.25</v>
      </c>
      <c r="G1288">
        <v>46899</v>
      </c>
      <c r="H1288" s="107"/>
      <c r="I1288" s="107"/>
      <c r="L1288" s="149">
        <v>43902</v>
      </c>
      <c r="M1288" s="107">
        <v>398.6</v>
      </c>
      <c r="N1288" s="107">
        <v>433.5</v>
      </c>
      <c r="O1288" s="107">
        <v>336.1</v>
      </c>
      <c r="P1288" s="107">
        <v>405</v>
      </c>
      <c r="Q1288" s="107">
        <v>398.6</v>
      </c>
      <c r="R1288">
        <v>671681</v>
      </c>
    </row>
    <row r="1289" spans="1:18" x14ac:dyDescent="0.25">
      <c r="A1289" s="149">
        <v>43903</v>
      </c>
      <c r="B1289" s="107">
        <v>418.8</v>
      </c>
      <c r="C1289" s="107">
        <v>394.75</v>
      </c>
      <c r="D1289" s="107">
        <v>325</v>
      </c>
      <c r="E1289" s="107">
        <v>370</v>
      </c>
      <c r="F1289" s="107">
        <v>394.75</v>
      </c>
      <c r="G1289">
        <v>32970</v>
      </c>
      <c r="H1289" s="107"/>
      <c r="I1289" s="107"/>
      <c r="L1289" s="149">
        <v>43903</v>
      </c>
      <c r="M1289" s="107">
        <v>397.1</v>
      </c>
      <c r="N1289" s="107">
        <v>418.05</v>
      </c>
      <c r="O1289" s="107">
        <v>320.10000000000002</v>
      </c>
      <c r="P1289" s="107">
        <v>341</v>
      </c>
      <c r="Q1289" s="107">
        <v>397.1</v>
      </c>
      <c r="R1289">
        <v>350245</v>
      </c>
    </row>
    <row r="1290" spans="1:18" x14ac:dyDescent="0.25">
      <c r="A1290" s="149">
        <v>43906</v>
      </c>
      <c r="B1290" s="107">
        <v>381.95</v>
      </c>
      <c r="C1290" s="107">
        <v>364.2</v>
      </c>
      <c r="D1290" s="107">
        <v>358.45</v>
      </c>
      <c r="E1290" s="107">
        <v>381.95</v>
      </c>
      <c r="F1290" s="107">
        <v>364.2</v>
      </c>
      <c r="G1290">
        <v>19754</v>
      </c>
      <c r="H1290" s="107"/>
      <c r="I1290" s="107"/>
      <c r="L1290" s="149">
        <v>43906</v>
      </c>
      <c r="M1290" s="107">
        <v>363.2</v>
      </c>
      <c r="N1290" s="107">
        <v>379.9</v>
      </c>
      <c r="O1290" s="107">
        <v>357.35</v>
      </c>
      <c r="P1290" s="107">
        <v>366.55</v>
      </c>
      <c r="Q1290" s="107">
        <v>363.2</v>
      </c>
      <c r="R1290">
        <v>227491</v>
      </c>
    </row>
    <row r="1291" spans="1:18" x14ac:dyDescent="0.25">
      <c r="A1291" s="149">
        <v>43907</v>
      </c>
      <c r="B1291" s="107">
        <v>367.2</v>
      </c>
      <c r="C1291" s="107">
        <v>362.95</v>
      </c>
      <c r="D1291" s="107">
        <v>350.1</v>
      </c>
      <c r="E1291" s="107">
        <v>366.55</v>
      </c>
      <c r="F1291" s="107">
        <v>362.95</v>
      </c>
      <c r="G1291">
        <v>52860</v>
      </c>
      <c r="H1291" s="107"/>
      <c r="I1291" s="107"/>
      <c r="L1291" s="149">
        <v>43907</v>
      </c>
      <c r="M1291" s="107">
        <v>363</v>
      </c>
      <c r="N1291" s="107">
        <v>367.8</v>
      </c>
      <c r="O1291" s="107">
        <v>350</v>
      </c>
      <c r="P1291" s="107">
        <v>363.2</v>
      </c>
      <c r="Q1291" s="107">
        <v>363</v>
      </c>
      <c r="R1291">
        <v>407792</v>
      </c>
    </row>
    <row r="1292" spans="1:18" x14ac:dyDescent="0.25">
      <c r="A1292" s="149">
        <v>43908</v>
      </c>
      <c r="B1292" s="107">
        <v>369</v>
      </c>
      <c r="C1292" s="107">
        <v>332.8</v>
      </c>
      <c r="D1292" s="107">
        <v>319.14999999999998</v>
      </c>
      <c r="E1292" s="107">
        <v>368.9</v>
      </c>
      <c r="F1292" s="107">
        <v>332.8</v>
      </c>
      <c r="G1292">
        <v>32262</v>
      </c>
      <c r="H1292" s="107"/>
      <c r="I1292" s="107"/>
      <c r="L1292" s="149">
        <v>43908</v>
      </c>
      <c r="M1292" s="107">
        <v>331.6</v>
      </c>
      <c r="N1292" s="107">
        <v>369.95</v>
      </c>
      <c r="O1292" s="107">
        <v>318.14999999999998</v>
      </c>
      <c r="P1292" s="107">
        <v>363</v>
      </c>
      <c r="Q1292" s="107">
        <v>331.6</v>
      </c>
      <c r="R1292">
        <v>421641</v>
      </c>
    </row>
    <row r="1293" spans="1:18" x14ac:dyDescent="0.25">
      <c r="A1293" s="149">
        <v>43909</v>
      </c>
      <c r="B1293" s="107">
        <v>343.95</v>
      </c>
      <c r="C1293" s="107">
        <v>318.89999999999998</v>
      </c>
      <c r="D1293" s="107">
        <v>266.39999999999998</v>
      </c>
      <c r="E1293" s="107">
        <v>320</v>
      </c>
      <c r="F1293" s="107">
        <v>318.89999999999998</v>
      </c>
      <c r="G1293">
        <v>72422</v>
      </c>
      <c r="H1293" s="107"/>
      <c r="I1293" s="107"/>
      <c r="L1293" s="149">
        <v>43909</v>
      </c>
      <c r="M1293" s="107">
        <v>319.75</v>
      </c>
      <c r="N1293" s="107">
        <v>342.95</v>
      </c>
      <c r="O1293" s="107">
        <v>266</v>
      </c>
      <c r="P1293" s="107">
        <v>296</v>
      </c>
      <c r="Q1293" s="107">
        <v>319.75</v>
      </c>
      <c r="R1293">
        <v>845755</v>
      </c>
    </row>
    <row r="1294" spans="1:18" x14ac:dyDescent="0.25">
      <c r="A1294" s="149">
        <v>43910</v>
      </c>
      <c r="B1294" s="107">
        <v>347.25</v>
      </c>
      <c r="C1294" s="107">
        <v>336.45</v>
      </c>
      <c r="D1294" s="107">
        <v>310.60000000000002</v>
      </c>
      <c r="E1294" s="107">
        <v>319</v>
      </c>
      <c r="F1294" s="107">
        <v>336.45</v>
      </c>
      <c r="G1294">
        <v>67322</v>
      </c>
      <c r="H1294" s="107"/>
      <c r="I1294" s="107"/>
      <c r="L1294" s="149">
        <v>43910</v>
      </c>
      <c r="M1294" s="107">
        <v>335.7</v>
      </c>
      <c r="N1294" s="107">
        <v>347.4</v>
      </c>
      <c r="O1294" s="107">
        <v>310.25</v>
      </c>
      <c r="P1294" s="107">
        <v>320.39999999999998</v>
      </c>
      <c r="Q1294" s="107">
        <v>335.7</v>
      </c>
      <c r="R1294">
        <v>583965</v>
      </c>
    </row>
    <row r="1295" spans="1:18" x14ac:dyDescent="0.25">
      <c r="A1295" s="149">
        <v>43913</v>
      </c>
      <c r="B1295" s="107">
        <v>317</v>
      </c>
      <c r="C1295" s="107">
        <v>290.5</v>
      </c>
      <c r="D1295" s="107">
        <v>269.2</v>
      </c>
      <c r="E1295" s="107">
        <v>317</v>
      </c>
      <c r="F1295" s="107">
        <v>290.5</v>
      </c>
      <c r="G1295">
        <v>74578</v>
      </c>
      <c r="H1295" s="107"/>
      <c r="I1295" s="107"/>
      <c r="L1295" s="149">
        <v>43913</v>
      </c>
      <c r="M1295" s="107">
        <v>283.10000000000002</v>
      </c>
      <c r="N1295" s="107">
        <v>316.5</v>
      </c>
      <c r="O1295" s="107">
        <v>268.60000000000002</v>
      </c>
      <c r="P1295" s="107">
        <v>300</v>
      </c>
      <c r="Q1295" s="107">
        <v>283.10000000000002</v>
      </c>
      <c r="R1295">
        <v>553636</v>
      </c>
    </row>
    <row r="1296" spans="1:18" x14ac:dyDescent="0.25">
      <c r="A1296" s="149">
        <v>43914</v>
      </c>
      <c r="B1296" s="107">
        <v>303</v>
      </c>
      <c r="C1296" s="107">
        <v>289.5</v>
      </c>
      <c r="D1296" s="107">
        <v>265</v>
      </c>
      <c r="E1296" s="107">
        <v>302.25</v>
      </c>
      <c r="F1296" s="107">
        <v>289.5</v>
      </c>
      <c r="G1296">
        <v>18158</v>
      </c>
      <c r="H1296" s="107"/>
      <c r="I1296" s="107"/>
      <c r="L1296" s="149">
        <v>43914</v>
      </c>
      <c r="M1296" s="107">
        <v>288.95</v>
      </c>
      <c r="N1296" s="107">
        <v>304.39999999999998</v>
      </c>
      <c r="O1296" s="107">
        <v>264.10000000000002</v>
      </c>
      <c r="P1296" s="107">
        <v>290.7</v>
      </c>
      <c r="Q1296" s="107">
        <v>288.95</v>
      </c>
      <c r="R1296">
        <v>345082</v>
      </c>
    </row>
    <row r="1297" spans="1:18" x14ac:dyDescent="0.25">
      <c r="A1297" s="149">
        <v>43915</v>
      </c>
      <c r="B1297" s="107">
        <v>305</v>
      </c>
      <c r="C1297" s="107">
        <v>300.39999999999998</v>
      </c>
      <c r="D1297" s="107">
        <v>275.45</v>
      </c>
      <c r="E1297" s="107">
        <v>287</v>
      </c>
      <c r="F1297" s="107">
        <v>300.39999999999998</v>
      </c>
      <c r="G1297">
        <v>11703</v>
      </c>
      <c r="H1297" s="107"/>
      <c r="I1297" s="107"/>
      <c r="L1297" s="149">
        <v>43915</v>
      </c>
      <c r="M1297" s="107">
        <v>301.60000000000002</v>
      </c>
      <c r="N1297" s="107">
        <v>305.85000000000002</v>
      </c>
      <c r="O1297" s="107">
        <v>275.45</v>
      </c>
      <c r="P1297" s="107">
        <v>283</v>
      </c>
      <c r="Q1297" s="107">
        <v>301.60000000000002</v>
      </c>
      <c r="R1297">
        <v>207322</v>
      </c>
    </row>
    <row r="1298" spans="1:18" x14ac:dyDescent="0.25">
      <c r="A1298" s="149">
        <v>43916</v>
      </c>
      <c r="B1298" s="107">
        <v>348.6</v>
      </c>
      <c r="C1298" s="107">
        <v>308.75</v>
      </c>
      <c r="D1298" s="107">
        <v>301</v>
      </c>
      <c r="E1298" s="107">
        <v>304.95</v>
      </c>
      <c r="F1298" s="107">
        <v>308.75</v>
      </c>
      <c r="G1298">
        <v>33554</v>
      </c>
      <c r="H1298" s="107"/>
      <c r="I1298" s="107"/>
      <c r="L1298" s="149">
        <v>43916</v>
      </c>
      <c r="M1298" s="107">
        <v>308.55</v>
      </c>
      <c r="N1298" s="107">
        <v>348.9</v>
      </c>
      <c r="O1298" s="107">
        <v>300.7</v>
      </c>
      <c r="P1298" s="107">
        <v>301</v>
      </c>
      <c r="Q1298" s="107">
        <v>308.55</v>
      </c>
      <c r="R1298">
        <v>653135</v>
      </c>
    </row>
    <row r="1299" spans="1:18" x14ac:dyDescent="0.25">
      <c r="A1299" s="149">
        <v>43917</v>
      </c>
      <c r="B1299" s="107">
        <v>336.7</v>
      </c>
      <c r="C1299" s="107">
        <v>305.10000000000002</v>
      </c>
      <c r="D1299" s="107">
        <v>296.25</v>
      </c>
      <c r="E1299" s="107">
        <v>336</v>
      </c>
      <c r="F1299" s="107">
        <v>305.10000000000002</v>
      </c>
      <c r="G1299">
        <v>24892</v>
      </c>
      <c r="H1299" s="107"/>
      <c r="I1299" s="107"/>
      <c r="L1299" s="149">
        <v>43917</v>
      </c>
      <c r="M1299" s="107">
        <v>305.3</v>
      </c>
      <c r="N1299" s="107">
        <v>337.75</v>
      </c>
      <c r="O1299" s="107">
        <v>295.75</v>
      </c>
      <c r="P1299" s="107">
        <v>320</v>
      </c>
      <c r="Q1299" s="107">
        <v>305.3</v>
      </c>
      <c r="R1299">
        <v>280615</v>
      </c>
    </row>
    <row r="1300" spans="1:18" x14ac:dyDescent="0.25">
      <c r="A1300" s="149">
        <v>43920</v>
      </c>
      <c r="B1300" s="107">
        <v>299.89999999999998</v>
      </c>
      <c r="C1300" s="107">
        <v>286.75</v>
      </c>
      <c r="D1300" s="107">
        <v>282</v>
      </c>
      <c r="E1300" s="107">
        <v>287.25</v>
      </c>
      <c r="F1300" s="107">
        <v>286.75</v>
      </c>
      <c r="G1300">
        <v>7107</v>
      </c>
      <c r="H1300" s="107"/>
      <c r="I1300" s="107"/>
      <c r="L1300" s="149">
        <v>43920</v>
      </c>
      <c r="M1300" s="107">
        <v>286.25</v>
      </c>
      <c r="N1300" s="107">
        <v>298.55</v>
      </c>
      <c r="O1300" s="107">
        <v>281.39999999999998</v>
      </c>
      <c r="P1300" s="107">
        <v>284.10000000000002</v>
      </c>
      <c r="Q1300" s="107">
        <v>286.25</v>
      </c>
      <c r="R1300">
        <v>184906</v>
      </c>
    </row>
    <row r="1301" spans="1:18" x14ac:dyDescent="0.25">
      <c r="A1301" s="149">
        <v>43921</v>
      </c>
      <c r="B1301" s="107">
        <v>295</v>
      </c>
      <c r="C1301" s="107">
        <v>278.89999999999998</v>
      </c>
      <c r="D1301" s="107">
        <v>277</v>
      </c>
      <c r="E1301" s="107">
        <v>292.5</v>
      </c>
      <c r="F1301" s="107">
        <v>278.89999999999998</v>
      </c>
      <c r="G1301">
        <v>14103</v>
      </c>
      <c r="H1301" s="107"/>
      <c r="I1301" s="107"/>
      <c r="L1301" s="149">
        <v>43921</v>
      </c>
      <c r="M1301" s="107">
        <v>279.05</v>
      </c>
      <c r="N1301" s="107">
        <v>301</v>
      </c>
      <c r="O1301" s="107">
        <v>276.2</v>
      </c>
      <c r="P1301" s="107">
        <v>301</v>
      </c>
      <c r="Q1301" s="107">
        <v>279.05</v>
      </c>
      <c r="R1301">
        <v>309579</v>
      </c>
    </row>
    <row r="1302" spans="1:18" x14ac:dyDescent="0.25">
      <c r="A1302" s="149">
        <v>43922</v>
      </c>
      <c r="B1302" s="107">
        <v>286.14999999999998</v>
      </c>
      <c r="C1302" s="107">
        <v>274.85000000000002</v>
      </c>
      <c r="D1302" s="107">
        <v>271.60000000000002</v>
      </c>
      <c r="E1302" s="107">
        <v>279</v>
      </c>
      <c r="F1302" s="107">
        <v>274.85000000000002</v>
      </c>
      <c r="G1302">
        <v>13903</v>
      </c>
      <c r="H1302" s="107"/>
      <c r="I1302" s="107"/>
      <c r="L1302" s="149">
        <v>43922</v>
      </c>
      <c r="M1302" s="107">
        <v>275</v>
      </c>
      <c r="N1302" s="107">
        <v>287</v>
      </c>
      <c r="O1302" s="107">
        <v>271.3</v>
      </c>
      <c r="P1302" s="107">
        <v>275.2</v>
      </c>
      <c r="Q1302" s="107">
        <v>275</v>
      </c>
      <c r="R1302">
        <v>162682</v>
      </c>
    </row>
    <row r="1303" spans="1:18" x14ac:dyDescent="0.25">
      <c r="A1303" s="149">
        <v>43924</v>
      </c>
      <c r="B1303" s="107">
        <v>278.64999999999998</v>
      </c>
      <c r="C1303" s="107">
        <v>262.2</v>
      </c>
      <c r="D1303" s="107">
        <v>253.55</v>
      </c>
      <c r="E1303" s="107">
        <v>272.35000000000002</v>
      </c>
      <c r="F1303" s="107">
        <v>262.2</v>
      </c>
      <c r="G1303">
        <v>19293</v>
      </c>
      <c r="H1303" s="107"/>
      <c r="I1303" s="107"/>
      <c r="L1303" s="149">
        <v>43924</v>
      </c>
      <c r="M1303" s="107">
        <v>263.2</v>
      </c>
      <c r="N1303" s="107">
        <v>278.64999999999998</v>
      </c>
      <c r="O1303" s="107">
        <v>253.3</v>
      </c>
      <c r="P1303" s="107">
        <v>275.8</v>
      </c>
      <c r="Q1303" s="107">
        <v>263.2</v>
      </c>
      <c r="R1303">
        <v>456486</v>
      </c>
    </row>
    <row r="1304" spans="1:18" x14ac:dyDescent="0.25">
      <c r="A1304" s="149">
        <v>43928</v>
      </c>
      <c r="B1304" s="107">
        <v>278</v>
      </c>
      <c r="C1304" s="107">
        <v>273.95</v>
      </c>
      <c r="D1304" s="107">
        <v>258.5</v>
      </c>
      <c r="E1304" s="107">
        <v>268.7</v>
      </c>
      <c r="F1304" s="107">
        <v>273.95</v>
      </c>
      <c r="G1304">
        <v>91207</v>
      </c>
      <c r="H1304" s="107"/>
      <c r="I1304" s="107"/>
      <c r="L1304" s="149">
        <v>43928</v>
      </c>
      <c r="M1304" s="107">
        <v>274.64999999999998</v>
      </c>
      <c r="N1304" s="107">
        <v>278.8</v>
      </c>
      <c r="O1304" s="107">
        <v>258.05</v>
      </c>
      <c r="P1304" s="107">
        <v>269.25</v>
      </c>
      <c r="Q1304" s="107">
        <v>274.64999999999998</v>
      </c>
      <c r="R1304">
        <v>473914</v>
      </c>
    </row>
    <row r="1305" spans="1:18" x14ac:dyDescent="0.25">
      <c r="A1305" s="149">
        <v>43929</v>
      </c>
      <c r="B1305" s="107">
        <v>301.25</v>
      </c>
      <c r="C1305" s="107">
        <v>283.64999999999998</v>
      </c>
      <c r="D1305" s="107">
        <v>269.39999999999998</v>
      </c>
      <c r="E1305" s="107">
        <v>269.39999999999998</v>
      </c>
      <c r="F1305" s="107">
        <v>283.64999999999998</v>
      </c>
      <c r="G1305">
        <v>88023</v>
      </c>
      <c r="H1305" s="107"/>
      <c r="I1305" s="107"/>
      <c r="L1305" s="149">
        <v>43929</v>
      </c>
      <c r="M1305" s="107">
        <v>283.39999999999998</v>
      </c>
      <c r="N1305" s="107">
        <v>302</v>
      </c>
      <c r="O1305" s="107">
        <v>269</v>
      </c>
      <c r="P1305" s="107">
        <v>275</v>
      </c>
      <c r="Q1305" s="107">
        <v>283.39999999999998</v>
      </c>
      <c r="R1305">
        <v>603068</v>
      </c>
    </row>
    <row r="1306" spans="1:18" x14ac:dyDescent="0.25">
      <c r="A1306" s="149">
        <v>43930</v>
      </c>
      <c r="B1306" s="107">
        <v>291.25</v>
      </c>
      <c r="C1306" s="107">
        <v>284.8</v>
      </c>
      <c r="D1306" s="107">
        <v>279.8</v>
      </c>
      <c r="E1306" s="107">
        <v>285</v>
      </c>
      <c r="F1306" s="107">
        <v>284.8</v>
      </c>
      <c r="G1306">
        <v>23258</v>
      </c>
      <c r="H1306" s="107"/>
      <c r="I1306" s="107"/>
      <c r="L1306" s="149">
        <v>43930</v>
      </c>
      <c r="M1306" s="107">
        <v>284.3</v>
      </c>
      <c r="N1306" s="107">
        <v>291.85000000000002</v>
      </c>
      <c r="O1306" s="107">
        <v>279</v>
      </c>
      <c r="P1306" s="107">
        <v>284.95</v>
      </c>
      <c r="Q1306" s="107">
        <v>284.3</v>
      </c>
      <c r="R1306">
        <v>607661</v>
      </c>
    </row>
    <row r="1307" spans="1:18" x14ac:dyDescent="0.25">
      <c r="A1307" s="149">
        <v>43934</v>
      </c>
      <c r="B1307" s="107">
        <v>287.89999999999998</v>
      </c>
      <c r="C1307" s="107">
        <v>268.39999999999998</v>
      </c>
      <c r="D1307" s="107">
        <v>264.64999999999998</v>
      </c>
      <c r="E1307" s="107">
        <v>285</v>
      </c>
      <c r="F1307" s="107">
        <v>268.39999999999998</v>
      </c>
      <c r="G1307">
        <v>75808</v>
      </c>
      <c r="H1307" s="107"/>
      <c r="I1307" s="107"/>
      <c r="L1307" s="149">
        <v>43934</v>
      </c>
      <c r="M1307" s="107">
        <v>267.45</v>
      </c>
      <c r="N1307" s="107">
        <v>288.95</v>
      </c>
      <c r="O1307" s="107">
        <v>264.05</v>
      </c>
      <c r="P1307" s="107">
        <v>288.95</v>
      </c>
      <c r="Q1307" s="107">
        <v>267.45</v>
      </c>
      <c r="R1307">
        <v>353033</v>
      </c>
    </row>
    <row r="1308" spans="1:18" x14ac:dyDescent="0.25">
      <c r="A1308" s="149">
        <v>43936</v>
      </c>
      <c r="B1308" s="107">
        <v>278.10000000000002</v>
      </c>
      <c r="C1308" s="107">
        <v>270.3</v>
      </c>
      <c r="D1308" s="107">
        <v>266.10000000000002</v>
      </c>
      <c r="E1308" s="107">
        <v>269.35000000000002</v>
      </c>
      <c r="F1308" s="107">
        <v>270.3</v>
      </c>
      <c r="G1308">
        <v>88941</v>
      </c>
      <c r="H1308" s="107"/>
      <c r="I1308" s="107"/>
      <c r="L1308" s="149">
        <v>43936</v>
      </c>
      <c r="M1308" s="107">
        <v>270.14999999999998</v>
      </c>
      <c r="N1308" s="107">
        <v>277.95</v>
      </c>
      <c r="O1308" s="107">
        <v>266</v>
      </c>
      <c r="P1308" s="107">
        <v>269</v>
      </c>
      <c r="Q1308" s="107">
        <v>270.14999999999998</v>
      </c>
      <c r="R1308">
        <v>283528</v>
      </c>
    </row>
    <row r="1309" spans="1:18" x14ac:dyDescent="0.25">
      <c r="A1309" s="149">
        <v>43937</v>
      </c>
      <c r="B1309" s="107">
        <v>288</v>
      </c>
      <c r="C1309" s="107">
        <v>283.39999999999998</v>
      </c>
      <c r="D1309" s="107">
        <v>266.25</v>
      </c>
      <c r="E1309" s="107">
        <v>267</v>
      </c>
      <c r="F1309" s="107">
        <v>283.39999999999998</v>
      </c>
      <c r="G1309">
        <v>71625</v>
      </c>
      <c r="H1309" s="107"/>
      <c r="I1309" s="107"/>
      <c r="L1309" s="149">
        <v>43937</v>
      </c>
      <c r="M1309" s="107">
        <v>284.5</v>
      </c>
      <c r="N1309" s="107">
        <v>288.39999999999998</v>
      </c>
      <c r="O1309" s="107">
        <v>265.5</v>
      </c>
      <c r="P1309" s="107">
        <v>268</v>
      </c>
      <c r="Q1309" s="107">
        <v>284.5</v>
      </c>
      <c r="R1309">
        <v>426973</v>
      </c>
    </row>
    <row r="1310" spans="1:18" x14ac:dyDescent="0.25">
      <c r="A1310" s="149">
        <v>43938</v>
      </c>
      <c r="B1310" s="107">
        <v>311.89999999999998</v>
      </c>
      <c r="C1310" s="107">
        <v>308.55</v>
      </c>
      <c r="D1310" s="107">
        <v>287.2</v>
      </c>
      <c r="E1310" s="107">
        <v>294.75</v>
      </c>
      <c r="F1310" s="107">
        <v>308.55</v>
      </c>
      <c r="G1310">
        <v>146261</v>
      </c>
      <c r="H1310" s="107"/>
      <c r="I1310" s="107"/>
      <c r="L1310" s="149">
        <v>43938</v>
      </c>
      <c r="M1310" s="107">
        <v>307.85000000000002</v>
      </c>
      <c r="N1310" s="107">
        <v>312</v>
      </c>
      <c r="O1310" s="107">
        <v>286.10000000000002</v>
      </c>
      <c r="P1310" s="107">
        <v>293.75</v>
      </c>
      <c r="Q1310" s="107">
        <v>307.85000000000002</v>
      </c>
      <c r="R1310">
        <v>2389268</v>
      </c>
    </row>
    <row r="1311" spans="1:18" x14ac:dyDescent="0.25">
      <c r="A1311" s="149">
        <v>43941</v>
      </c>
      <c r="B1311" s="107">
        <v>320.39999999999998</v>
      </c>
      <c r="C1311" s="107">
        <v>311.89999999999998</v>
      </c>
      <c r="D1311" s="107">
        <v>304</v>
      </c>
      <c r="E1311" s="107">
        <v>307.05</v>
      </c>
      <c r="F1311" s="107">
        <v>311.89999999999998</v>
      </c>
      <c r="G1311">
        <v>79272</v>
      </c>
      <c r="H1311" s="107"/>
      <c r="I1311" s="107"/>
      <c r="L1311" s="149">
        <v>43941</v>
      </c>
      <c r="M1311" s="107">
        <v>311.35000000000002</v>
      </c>
      <c r="N1311" s="107">
        <v>320.7</v>
      </c>
      <c r="O1311" s="107">
        <v>303.3</v>
      </c>
      <c r="P1311" s="107">
        <v>312.5</v>
      </c>
      <c r="Q1311" s="107">
        <v>311.35000000000002</v>
      </c>
      <c r="R1311">
        <v>1221919</v>
      </c>
    </row>
    <row r="1312" spans="1:18" x14ac:dyDescent="0.25">
      <c r="A1312" s="149">
        <v>43942</v>
      </c>
      <c r="B1312" s="107">
        <v>302.55</v>
      </c>
      <c r="C1312" s="107">
        <v>290.85000000000002</v>
      </c>
      <c r="D1312" s="107">
        <v>285.5</v>
      </c>
      <c r="E1312" s="107">
        <v>302.55</v>
      </c>
      <c r="F1312" s="107">
        <v>290.85000000000002</v>
      </c>
      <c r="G1312">
        <v>73144</v>
      </c>
      <c r="H1312" s="107"/>
      <c r="I1312" s="107"/>
      <c r="L1312" s="149">
        <v>43942</v>
      </c>
      <c r="M1312" s="107">
        <v>291.3</v>
      </c>
      <c r="N1312" s="107">
        <v>302.85000000000002</v>
      </c>
      <c r="O1312" s="107">
        <v>285</v>
      </c>
      <c r="P1312" s="107">
        <v>300.2</v>
      </c>
      <c r="Q1312" s="107">
        <v>291.3</v>
      </c>
      <c r="R1312">
        <v>329873</v>
      </c>
    </row>
    <row r="1313" spans="1:18" x14ac:dyDescent="0.25">
      <c r="A1313" s="149">
        <v>43943</v>
      </c>
      <c r="B1313" s="107">
        <v>295</v>
      </c>
      <c r="C1313" s="107">
        <v>290.45</v>
      </c>
      <c r="D1313" s="107">
        <v>285.55</v>
      </c>
      <c r="E1313" s="107">
        <v>291</v>
      </c>
      <c r="F1313" s="107">
        <v>290.45</v>
      </c>
      <c r="G1313">
        <v>50003</v>
      </c>
      <c r="H1313" s="107"/>
      <c r="I1313" s="107"/>
      <c r="L1313" s="149">
        <v>43943</v>
      </c>
      <c r="M1313" s="107">
        <v>290.89999999999998</v>
      </c>
      <c r="N1313" s="107">
        <v>294.89999999999998</v>
      </c>
      <c r="O1313" s="107">
        <v>285.25</v>
      </c>
      <c r="P1313" s="107">
        <v>291.3</v>
      </c>
      <c r="Q1313" s="107">
        <v>290.89999999999998</v>
      </c>
      <c r="R1313">
        <v>186696</v>
      </c>
    </row>
    <row r="1314" spans="1:18" x14ac:dyDescent="0.25">
      <c r="A1314" s="149">
        <v>43944</v>
      </c>
      <c r="B1314" s="107">
        <v>316.89999999999998</v>
      </c>
      <c r="C1314" s="107">
        <v>312.05</v>
      </c>
      <c r="D1314" s="107">
        <v>295.7</v>
      </c>
      <c r="E1314" s="107">
        <v>295.7</v>
      </c>
      <c r="F1314" s="107">
        <v>312.05</v>
      </c>
      <c r="G1314">
        <v>82233</v>
      </c>
      <c r="H1314" s="107"/>
      <c r="I1314" s="107"/>
      <c r="L1314" s="149">
        <v>43944</v>
      </c>
      <c r="M1314" s="107">
        <v>312.25</v>
      </c>
      <c r="N1314" s="107">
        <v>317</v>
      </c>
      <c r="O1314" s="107">
        <v>293</v>
      </c>
      <c r="P1314" s="107">
        <v>293</v>
      </c>
      <c r="Q1314" s="107">
        <v>312.25</v>
      </c>
      <c r="R1314">
        <v>776685</v>
      </c>
    </row>
    <row r="1315" spans="1:18" x14ac:dyDescent="0.25">
      <c r="A1315" s="149">
        <v>43945</v>
      </c>
      <c r="B1315" s="107">
        <v>306.39999999999998</v>
      </c>
      <c r="C1315" s="107">
        <v>292.14999999999998</v>
      </c>
      <c r="D1315" s="107">
        <v>290.5</v>
      </c>
      <c r="E1315" s="107">
        <v>306.39999999999998</v>
      </c>
      <c r="F1315" s="107">
        <v>292.14999999999998</v>
      </c>
      <c r="G1315">
        <v>88783</v>
      </c>
      <c r="H1315" s="107"/>
      <c r="I1315" s="107"/>
      <c r="L1315" s="149">
        <v>43945</v>
      </c>
      <c r="M1315" s="107">
        <v>292.2</v>
      </c>
      <c r="N1315" s="107">
        <v>304.89999999999998</v>
      </c>
      <c r="O1315" s="107">
        <v>290</v>
      </c>
      <c r="P1315" s="107">
        <v>299.95</v>
      </c>
      <c r="Q1315" s="107">
        <v>292.2</v>
      </c>
      <c r="R1315">
        <v>319376</v>
      </c>
    </row>
    <row r="1316" spans="1:18" x14ac:dyDescent="0.25">
      <c r="A1316" s="149">
        <v>43948</v>
      </c>
      <c r="B1316" s="107">
        <v>299.2</v>
      </c>
      <c r="C1316" s="107">
        <v>289.60000000000002</v>
      </c>
      <c r="D1316" s="107">
        <v>288.2</v>
      </c>
      <c r="E1316" s="107">
        <v>299.14999999999998</v>
      </c>
      <c r="F1316" s="107">
        <v>289.60000000000002</v>
      </c>
      <c r="G1316">
        <v>25048</v>
      </c>
      <c r="H1316" s="107"/>
      <c r="I1316" s="107"/>
      <c r="L1316" s="149">
        <v>43948</v>
      </c>
      <c r="M1316" s="107">
        <v>289.85000000000002</v>
      </c>
      <c r="N1316" s="107">
        <v>299.5</v>
      </c>
      <c r="O1316" s="107">
        <v>287.95</v>
      </c>
      <c r="P1316" s="107">
        <v>299</v>
      </c>
      <c r="Q1316" s="107">
        <v>289.85000000000002</v>
      </c>
      <c r="R1316">
        <v>263749</v>
      </c>
    </row>
    <row r="1317" spans="1:18" x14ac:dyDescent="0.25">
      <c r="A1317" s="149">
        <v>43949</v>
      </c>
      <c r="B1317" s="107">
        <v>313.14999999999998</v>
      </c>
      <c r="C1317" s="107">
        <v>309.2</v>
      </c>
      <c r="D1317" s="107">
        <v>284.55</v>
      </c>
      <c r="E1317" s="107">
        <v>284.55</v>
      </c>
      <c r="F1317" s="107">
        <v>309.2</v>
      </c>
      <c r="G1317">
        <v>96902</v>
      </c>
      <c r="H1317" s="107"/>
      <c r="I1317" s="107"/>
      <c r="L1317" s="149">
        <v>43949</v>
      </c>
      <c r="M1317" s="107">
        <v>309.45</v>
      </c>
      <c r="N1317" s="107">
        <v>313</v>
      </c>
      <c r="O1317" s="107">
        <v>286.39999999999998</v>
      </c>
      <c r="P1317" s="107">
        <v>295</v>
      </c>
      <c r="Q1317" s="107">
        <v>309.45</v>
      </c>
      <c r="R1317">
        <v>809300</v>
      </c>
    </row>
    <row r="1318" spans="1:18" x14ac:dyDescent="0.25">
      <c r="A1318" s="149">
        <v>43950</v>
      </c>
      <c r="B1318" s="107">
        <v>325.25</v>
      </c>
      <c r="C1318" s="107">
        <v>313.45</v>
      </c>
      <c r="D1318" s="107">
        <v>307.35000000000002</v>
      </c>
      <c r="E1318" s="107">
        <v>309.7</v>
      </c>
      <c r="F1318" s="107">
        <v>313.45</v>
      </c>
      <c r="G1318">
        <v>67279</v>
      </c>
      <c r="H1318" s="107"/>
      <c r="I1318" s="107"/>
      <c r="L1318" s="149">
        <v>43950</v>
      </c>
      <c r="M1318" s="107">
        <v>313.55</v>
      </c>
      <c r="N1318" s="107">
        <v>325.8</v>
      </c>
      <c r="O1318" s="107">
        <v>306.5</v>
      </c>
      <c r="P1318" s="107">
        <v>312.5</v>
      </c>
      <c r="Q1318" s="107">
        <v>313.55</v>
      </c>
      <c r="R1318">
        <v>1043579</v>
      </c>
    </row>
    <row r="1319" spans="1:18" x14ac:dyDescent="0.25">
      <c r="A1319" s="149">
        <v>43951</v>
      </c>
      <c r="B1319" s="107">
        <v>324.89999999999998</v>
      </c>
      <c r="C1319" s="107">
        <v>319.64999999999998</v>
      </c>
      <c r="D1319" s="107">
        <v>314</v>
      </c>
      <c r="E1319" s="107">
        <v>319</v>
      </c>
      <c r="F1319" s="107">
        <v>319.64999999999998</v>
      </c>
      <c r="G1319">
        <v>106090</v>
      </c>
      <c r="H1319" s="107"/>
      <c r="I1319" s="107"/>
      <c r="L1319" s="149">
        <v>43951</v>
      </c>
      <c r="M1319" s="107">
        <v>320.10000000000002</v>
      </c>
      <c r="N1319" s="107">
        <v>324.95</v>
      </c>
      <c r="O1319" s="107">
        <v>313.5</v>
      </c>
      <c r="P1319" s="107">
        <v>322</v>
      </c>
      <c r="Q1319" s="107">
        <v>320.10000000000002</v>
      </c>
      <c r="R1319">
        <v>734522</v>
      </c>
    </row>
    <row r="1320" spans="1:18" x14ac:dyDescent="0.25">
      <c r="A1320" s="149">
        <v>43955</v>
      </c>
      <c r="B1320" s="107">
        <v>319.7</v>
      </c>
      <c r="C1320" s="107">
        <v>300.35000000000002</v>
      </c>
      <c r="D1320" s="107">
        <v>295.64999999999998</v>
      </c>
      <c r="E1320" s="107">
        <v>319.7</v>
      </c>
      <c r="F1320" s="107">
        <v>300.35000000000002</v>
      </c>
      <c r="G1320">
        <v>54095</v>
      </c>
      <c r="H1320" s="107"/>
      <c r="I1320" s="107"/>
      <c r="L1320" s="149">
        <v>43955</v>
      </c>
      <c r="M1320" s="107">
        <v>300.2</v>
      </c>
      <c r="N1320" s="107">
        <v>310</v>
      </c>
      <c r="O1320" s="107">
        <v>295.85000000000002</v>
      </c>
      <c r="P1320" s="107">
        <v>304</v>
      </c>
      <c r="Q1320" s="107">
        <v>300.2</v>
      </c>
      <c r="R1320">
        <v>290205</v>
      </c>
    </row>
    <row r="1321" spans="1:18" x14ac:dyDescent="0.25">
      <c r="A1321" s="149">
        <v>43956</v>
      </c>
      <c r="B1321" s="107">
        <v>308.45</v>
      </c>
      <c r="C1321" s="107">
        <v>291.14999999999998</v>
      </c>
      <c r="D1321" s="107">
        <v>290</v>
      </c>
      <c r="E1321" s="107">
        <v>301</v>
      </c>
      <c r="F1321" s="107">
        <v>291.14999999999998</v>
      </c>
      <c r="G1321">
        <v>119203</v>
      </c>
      <c r="H1321" s="107"/>
      <c r="I1321" s="107"/>
      <c r="L1321" s="149">
        <v>43956</v>
      </c>
      <c r="M1321" s="107">
        <v>290.75</v>
      </c>
      <c r="N1321" s="107">
        <v>308.25</v>
      </c>
      <c r="O1321" s="107">
        <v>290</v>
      </c>
      <c r="P1321" s="107">
        <v>297.05</v>
      </c>
      <c r="Q1321" s="107">
        <v>290.75</v>
      </c>
      <c r="R1321">
        <v>221646</v>
      </c>
    </row>
    <row r="1322" spans="1:18" x14ac:dyDescent="0.25">
      <c r="A1322" s="149">
        <v>43957</v>
      </c>
      <c r="B1322" s="107">
        <v>303.39999999999998</v>
      </c>
      <c r="C1322" s="107">
        <v>296.2</v>
      </c>
      <c r="D1322" s="107">
        <v>286.5</v>
      </c>
      <c r="E1322" s="107">
        <v>293.10000000000002</v>
      </c>
      <c r="F1322" s="107">
        <v>296.2</v>
      </c>
      <c r="G1322">
        <v>149438</v>
      </c>
      <c r="H1322" s="107"/>
      <c r="I1322" s="107"/>
      <c r="L1322" s="149">
        <v>43957</v>
      </c>
      <c r="M1322" s="107">
        <v>296.45</v>
      </c>
      <c r="N1322" s="107">
        <v>303.60000000000002</v>
      </c>
      <c r="O1322" s="107">
        <v>286.10000000000002</v>
      </c>
      <c r="P1322" s="107">
        <v>292.8</v>
      </c>
      <c r="Q1322" s="107">
        <v>296.45</v>
      </c>
      <c r="R1322">
        <v>370446</v>
      </c>
    </row>
    <row r="1323" spans="1:18" x14ac:dyDescent="0.25">
      <c r="A1323" s="149">
        <v>43958</v>
      </c>
      <c r="B1323" s="107">
        <v>314.8</v>
      </c>
      <c r="C1323" s="107">
        <v>302.05</v>
      </c>
      <c r="D1323" s="107">
        <v>295.10000000000002</v>
      </c>
      <c r="E1323" s="107">
        <v>295.10000000000002</v>
      </c>
      <c r="F1323" s="107">
        <v>302.05</v>
      </c>
      <c r="G1323">
        <v>89089</v>
      </c>
      <c r="H1323" s="107"/>
      <c r="I1323" s="107"/>
      <c r="L1323" s="149">
        <v>43958</v>
      </c>
      <c r="M1323" s="107">
        <v>302.8</v>
      </c>
      <c r="N1323" s="107">
        <v>314.89999999999998</v>
      </c>
      <c r="O1323" s="107">
        <v>293.10000000000002</v>
      </c>
      <c r="P1323" s="107">
        <v>297</v>
      </c>
      <c r="Q1323" s="107">
        <v>302.8</v>
      </c>
      <c r="R1323">
        <v>473717</v>
      </c>
    </row>
    <row r="1324" spans="1:18" x14ac:dyDescent="0.25">
      <c r="A1324" s="149">
        <v>43959</v>
      </c>
      <c r="B1324" s="107">
        <v>311.55</v>
      </c>
      <c r="C1324" s="107">
        <v>299.7</v>
      </c>
      <c r="D1324" s="107">
        <v>297.45</v>
      </c>
      <c r="E1324" s="107">
        <v>311.55</v>
      </c>
      <c r="F1324" s="107">
        <v>299.7</v>
      </c>
      <c r="G1324">
        <v>156374</v>
      </c>
      <c r="H1324" s="107"/>
      <c r="I1324" s="107"/>
      <c r="L1324" s="149">
        <v>43959</v>
      </c>
      <c r="M1324" s="107">
        <v>299.7</v>
      </c>
      <c r="N1324" s="107">
        <v>312.89999999999998</v>
      </c>
      <c r="O1324" s="107">
        <v>297.3</v>
      </c>
      <c r="P1324" s="107">
        <v>312.89999999999998</v>
      </c>
      <c r="Q1324" s="107">
        <v>299.7</v>
      </c>
      <c r="R1324">
        <v>251482</v>
      </c>
    </row>
    <row r="1325" spans="1:18" x14ac:dyDescent="0.25">
      <c r="A1325" s="149">
        <v>43962</v>
      </c>
      <c r="B1325" s="107">
        <v>308.64999999999998</v>
      </c>
      <c r="C1325" s="107">
        <v>307</v>
      </c>
      <c r="D1325" s="107">
        <v>298.5</v>
      </c>
      <c r="E1325" s="107">
        <v>303</v>
      </c>
      <c r="F1325" s="107">
        <v>307</v>
      </c>
      <c r="G1325">
        <v>130586</v>
      </c>
      <c r="H1325" s="107"/>
      <c r="I1325" s="107"/>
      <c r="L1325" s="149">
        <v>43962</v>
      </c>
      <c r="M1325" s="107">
        <v>307</v>
      </c>
      <c r="N1325" s="107">
        <v>308.75</v>
      </c>
      <c r="O1325" s="107">
        <v>298.25</v>
      </c>
      <c r="P1325" s="107">
        <v>308</v>
      </c>
      <c r="Q1325" s="107">
        <v>307</v>
      </c>
      <c r="R1325">
        <v>210591</v>
      </c>
    </row>
    <row r="1326" spans="1:18" x14ac:dyDescent="0.25">
      <c r="A1326" s="149">
        <v>43963</v>
      </c>
      <c r="B1326" s="107">
        <v>302.25</v>
      </c>
      <c r="C1326" s="107">
        <v>296.3</v>
      </c>
      <c r="D1326" s="107">
        <v>293.14999999999998</v>
      </c>
      <c r="E1326" s="107">
        <v>300.85000000000002</v>
      </c>
      <c r="F1326" s="107">
        <v>296.3</v>
      </c>
      <c r="G1326">
        <v>71539</v>
      </c>
      <c r="H1326" s="107"/>
      <c r="I1326" s="107"/>
      <c r="L1326" s="149">
        <v>43963</v>
      </c>
      <c r="M1326" s="107">
        <v>296</v>
      </c>
      <c r="N1326" s="107">
        <v>306</v>
      </c>
      <c r="O1326" s="107">
        <v>292.95</v>
      </c>
      <c r="P1326" s="107">
        <v>301.39999999999998</v>
      </c>
      <c r="Q1326" s="107">
        <v>296</v>
      </c>
      <c r="R1326">
        <v>200372</v>
      </c>
    </row>
    <row r="1327" spans="1:18" x14ac:dyDescent="0.25">
      <c r="A1327" s="149">
        <v>43964</v>
      </c>
      <c r="B1327" s="107">
        <v>318.95</v>
      </c>
      <c r="C1327" s="107">
        <v>308.85000000000002</v>
      </c>
      <c r="D1327" s="107">
        <v>300.35000000000002</v>
      </c>
      <c r="E1327" s="107">
        <v>318.95</v>
      </c>
      <c r="F1327" s="107">
        <v>308.85000000000002</v>
      </c>
      <c r="G1327">
        <v>120274</v>
      </c>
      <c r="H1327" s="107"/>
      <c r="I1327" s="107"/>
      <c r="L1327" s="149">
        <v>43964</v>
      </c>
      <c r="M1327" s="107">
        <v>308</v>
      </c>
      <c r="N1327" s="107">
        <v>315.8</v>
      </c>
      <c r="O1327" s="107">
        <v>300</v>
      </c>
      <c r="P1327" s="107">
        <v>309.45</v>
      </c>
      <c r="Q1327" s="107">
        <v>308</v>
      </c>
      <c r="R1327">
        <v>474491</v>
      </c>
    </row>
    <row r="1328" spans="1:18" x14ac:dyDescent="0.25">
      <c r="A1328" s="149">
        <v>43965</v>
      </c>
      <c r="B1328" s="107">
        <v>321.5</v>
      </c>
      <c r="C1328" s="107">
        <v>304.25</v>
      </c>
      <c r="D1328" s="107">
        <v>300.55</v>
      </c>
      <c r="E1328" s="107">
        <v>308.85000000000002</v>
      </c>
      <c r="F1328" s="107">
        <v>304.25</v>
      </c>
      <c r="G1328">
        <v>48528</v>
      </c>
      <c r="H1328" s="107"/>
      <c r="I1328" s="107"/>
      <c r="L1328" s="149">
        <v>43965</v>
      </c>
      <c r="M1328" s="107">
        <v>303.85000000000002</v>
      </c>
      <c r="N1328" s="107">
        <v>321.7</v>
      </c>
      <c r="O1328" s="107">
        <v>300.25</v>
      </c>
      <c r="P1328" s="107">
        <v>309</v>
      </c>
      <c r="Q1328" s="107">
        <v>303.85000000000002</v>
      </c>
      <c r="R1328">
        <v>1175355</v>
      </c>
    </row>
    <row r="1329" spans="1:18" x14ac:dyDescent="0.25">
      <c r="A1329" s="149">
        <v>43966</v>
      </c>
      <c r="B1329" s="107">
        <v>307.3</v>
      </c>
      <c r="C1329" s="107">
        <v>296.2</v>
      </c>
      <c r="D1329" s="107">
        <v>294.14999999999998</v>
      </c>
      <c r="E1329" s="107">
        <v>305</v>
      </c>
      <c r="F1329" s="107">
        <v>296.2</v>
      </c>
      <c r="G1329">
        <v>95998</v>
      </c>
      <c r="H1329" s="107"/>
      <c r="I1329" s="107"/>
      <c r="L1329" s="149">
        <v>43966</v>
      </c>
      <c r="M1329" s="107">
        <v>295.7</v>
      </c>
      <c r="N1329" s="107">
        <v>306.95</v>
      </c>
      <c r="O1329" s="107">
        <v>294</v>
      </c>
      <c r="P1329" s="107">
        <v>303.85000000000002</v>
      </c>
      <c r="Q1329" s="107">
        <v>295.7</v>
      </c>
      <c r="R1329">
        <v>297662</v>
      </c>
    </row>
    <row r="1330" spans="1:18" x14ac:dyDescent="0.25">
      <c r="A1330" s="149">
        <v>43969</v>
      </c>
      <c r="B1330" s="107">
        <v>296.55</v>
      </c>
      <c r="C1330" s="107">
        <v>276.7</v>
      </c>
      <c r="D1330" s="107">
        <v>274.14999999999998</v>
      </c>
      <c r="E1330" s="107">
        <v>295.64999999999998</v>
      </c>
      <c r="F1330" s="107">
        <v>276.7</v>
      </c>
      <c r="G1330">
        <v>105354</v>
      </c>
      <c r="H1330" s="107"/>
      <c r="I1330" s="107"/>
      <c r="L1330" s="149">
        <v>43969</v>
      </c>
      <c r="M1330" s="107">
        <v>277.05</v>
      </c>
      <c r="N1330" s="107">
        <v>296.95</v>
      </c>
      <c r="O1330" s="107">
        <v>274</v>
      </c>
      <c r="P1330" s="107">
        <v>295.7</v>
      </c>
      <c r="Q1330" s="107">
        <v>277.05</v>
      </c>
      <c r="R1330">
        <v>291334</v>
      </c>
    </row>
    <row r="1331" spans="1:18" x14ac:dyDescent="0.25">
      <c r="A1331" s="149">
        <v>43970</v>
      </c>
      <c r="B1331" s="107">
        <v>287</v>
      </c>
      <c r="C1331" s="107">
        <v>279.8</v>
      </c>
      <c r="D1331" s="107">
        <v>273.60000000000002</v>
      </c>
      <c r="E1331" s="107">
        <v>279.89999999999998</v>
      </c>
      <c r="F1331" s="107">
        <v>279.8</v>
      </c>
      <c r="G1331">
        <v>78940</v>
      </c>
      <c r="H1331" s="107"/>
      <c r="I1331" s="107"/>
      <c r="L1331" s="149">
        <v>43970</v>
      </c>
      <c r="M1331" s="107">
        <v>278.39999999999998</v>
      </c>
      <c r="N1331" s="107">
        <v>287.89999999999998</v>
      </c>
      <c r="O1331" s="107">
        <v>273.60000000000002</v>
      </c>
      <c r="P1331" s="107">
        <v>278.10000000000002</v>
      </c>
      <c r="Q1331" s="107">
        <v>278.39999999999998</v>
      </c>
      <c r="R1331">
        <v>280894</v>
      </c>
    </row>
    <row r="1332" spans="1:18" x14ac:dyDescent="0.25">
      <c r="A1332" s="149">
        <v>43971</v>
      </c>
      <c r="B1332" s="107">
        <v>285.55</v>
      </c>
      <c r="C1332" s="107">
        <v>283.85000000000002</v>
      </c>
      <c r="D1332" s="107">
        <v>275.8</v>
      </c>
      <c r="E1332" s="107">
        <v>281</v>
      </c>
      <c r="F1332" s="107">
        <v>283.85000000000002</v>
      </c>
      <c r="G1332">
        <v>102223</v>
      </c>
      <c r="H1332" s="107"/>
      <c r="I1332" s="107"/>
      <c r="L1332" s="149">
        <v>43971</v>
      </c>
      <c r="M1332" s="107">
        <v>284.25</v>
      </c>
      <c r="N1332" s="107">
        <v>285.45</v>
      </c>
      <c r="O1332" s="107">
        <v>275.25</v>
      </c>
      <c r="P1332" s="107">
        <v>278.45</v>
      </c>
      <c r="Q1332" s="107">
        <v>284.25</v>
      </c>
      <c r="R1332">
        <v>286493</v>
      </c>
    </row>
    <row r="1333" spans="1:18" x14ac:dyDescent="0.25">
      <c r="A1333" s="149">
        <v>43972</v>
      </c>
      <c r="B1333" s="107">
        <v>291.5</v>
      </c>
      <c r="C1333" s="107">
        <v>285.05</v>
      </c>
      <c r="D1333" s="107">
        <v>280.8</v>
      </c>
      <c r="E1333" s="107">
        <v>286.85000000000002</v>
      </c>
      <c r="F1333" s="107">
        <v>285.05</v>
      </c>
      <c r="G1333">
        <v>95442</v>
      </c>
      <c r="H1333" s="107"/>
      <c r="I1333" s="107"/>
      <c r="L1333" s="149">
        <v>43972</v>
      </c>
      <c r="M1333" s="107">
        <v>285</v>
      </c>
      <c r="N1333" s="107">
        <v>292</v>
      </c>
      <c r="O1333" s="107">
        <v>281.3</v>
      </c>
      <c r="P1333" s="107">
        <v>285.45</v>
      </c>
      <c r="Q1333" s="107">
        <v>285</v>
      </c>
      <c r="R1333">
        <v>246932</v>
      </c>
    </row>
    <row r="1334" spans="1:18" x14ac:dyDescent="0.25">
      <c r="A1334" s="149">
        <v>43973</v>
      </c>
      <c r="B1334" s="107">
        <v>287.35000000000002</v>
      </c>
      <c r="C1334" s="107">
        <v>274.7</v>
      </c>
      <c r="D1334" s="107">
        <v>267.60000000000002</v>
      </c>
      <c r="E1334" s="107">
        <v>286</v>
      </c>
      <c r="F1334" s="107">
        <v>274.7</v>
      </c>
      <c r="G1334">
        <v>106533</v>
      </c>
      <c r="H1334" s="107"/>
      <c r="I1334" s="107"/>
      <c r="L1334" s="149">
        <v>43973</v>
      </c>
      <c r="M1334" s="107">
        <v>274.05</v>
      </c>
      <c r="N1334" s="107">
        <v>287.60000000000002</v>
      </c>
      <c r="O1334" s="107">
        <v>267.35000000000002</v>
      </c>
      <c r="P1334" s="107">
        <v>284.5</v>
      </c>
      <c r="Q1334" s="107">
        <v>274.05</v>
      </c>
      <c r="R1334">
        <v>294130</v>
      </c>
    </row>
    <row r="1335" spans="1:18" x14ac:dyDescent="0.25">
      <c r="A1335" s="149">
        <v>43977</v>
      </c>
      <c r="B1335" s="107">
        <v>278.89999999999998</v>
      </c>
      <c r="C1335" s="107">
        <v>270.89999999999998</v>
      </c>
      <c r="D1335" s="107">
        <v>270</v>
      </c>
      <c r="E1335" s="107">
        <v>277.25</v>
      </c>
      <c r="F1335" s="107">
        <v>270.89999999999998</v>
      </c>
      <c r="G1335">
        <v>82483</v>
      </c>
      <c r="H1335" s="107"/>
      <c r="I1335" s="107"/>
      <c r="L1335" s="149">
        <v>43977</v>
      </c>
      <c r="M1335" s="107">
        <v>271.35000000000002</v>
      </c>
      <c r="N1335" s="107">
        <v>279.85000000000002</v>
      </c>
      <c r="O1335" s="107">
        <v>270.3</v>
      </c>
      <c r="P1335" s="107">
        <v>275.2</v>
      </c>
      <c r="Q1335" s="107">
        <v>271.35000000000002</v>
      </c>
      <c r="R1335">
        <v>176079</v>
      </c>
    </row>
    <row r="1336" spans="1:18" x14ac:dyDescent="0.25">
      <c r="A1336" s="149">
        <v>43978</v>
      </c>
      <c r="B1336" s="107">
        <v>278.10000000000002</v>
      </c>
      <c r="C1336" s="107">
        <v>275.55</v>
      </c>
      <c r="D1336" s="107">
        <v>268.85000000000002</v>
      </c>
      <c r="E1336" s="107">
        <v>271.7</v>
      </c>
      <c r="F1336" s="107">
        <v>275.55</v>
      </c>
      <c r="G1336">
        <v>101094</v>
      </c>
      <c r="H1336" s="107"/>
      <c r="I1336" s="107"/>
      <c r="L1336" s="149">
        <v>43978</v>
      </c>
      <c r="M1336" s="107">
        <v>275.75</v>
      </c>
      <c r="N1336" s="107">
        <v>278.39999999999998</v>
      </c>
      <c r="O1336" s="107">
        <v>268.39999999999998</v>
      </c>
      <c r="P1336" s="107">
        <v>271.7</v>
      </c>
      <c r="Q1336" s="107">
        <v>275.75</v>
      </c>
      <c r="R1336">
        <v>228875</v>
      </c>
    </row>
    <row r="1337" spans="1:18" x14ac:dyDescent="0.25">
      <c r="A1337" s="149">
        <v>43979</v>
      </c>
      <c r="B1337" s="107">
        <v>285.64999999999998</v>
      </c>
      <c r="C1337" s="107">
        <v>282.14999999999998</v>
      </c>
      <c r="D1337" s="107">
        <v>276</v>
      </c>
      <c r="E1337" s="107">
        <v>278.25</v>
      </c>
      <c r="F1337" s="107">
        <v>282.14999999999998</v>
      </c>
      <c r="G1337">
        <v>72506</v>
      </c>
      <c r="H1337" s="107"/>
      <c r="I1337" s="107"/>
      <c r="L1337" s="149">
        <v>43979</v>
      </c>
      <c r="M1337" s="107">
        <v>282.2</v>
      </c>
      <c r="N1337" s="107">
        <v>285.89999999999998</v>
      </c>
      <c r="O1337" s="107">
        <v>276.05</v>
      </c>
      <c r="P1337" s="107">
        <v>277.89999999999998</v>
      </c>
      <c r="Q1337" s="107">
        <v>282.2</v>
      </c>
      <c r="R1337">
        <v>495767</v>
      </c>
    </row>
    <row r="1338" spans="1:18" x14ac:dyDescent="0.25">
      <c r="A1338" s="149">
        <v>43980</v>
      </c>
      <c r="B1338" s="107">
        <v>289.89999999999998</v>
      </c>
      <c r="C1338" s="107">
        <v>276.45</v>
      </c>
      <c r="D1338" s="107">
        <v>272.2</v>
      </c>
      <c r="E1338" s="107">
        <v>281.14999999999998</v>
      </c>
      <c r="F1338" s="107">
        <v>276.45</v>
      </c>
      <c r="G1338">
        <v>51392</v>
      </c>
      <c r="H1338" s="107"/>
      <c r="I1338" s="107"/>
      <c r="L1338" s="149">
        <v>43980</v>
      </c>
      <c r="M1338" s="107">
        <v>277.25</v>
      </c>
      <c r="N1338" s="107">
        <v>290</v>
      </c>
      <c r="O1338" s="107">
        <v>271</v>
      </c>
      <c r="P1338" s="107">
        <v>283.39999999999998</v>
      </c>
      <c r="Q1338" s="107">
        <v>277.25</v>
      </c>
      <c r="R1338">
        <v>429095</v>
      </c>
    </row>
    <row r="1339" spans="1:18" x14ac:dyDescent="0.25">
      <c r="A1339" s="149">
        <v>43983</v>
      </c>
      <c r="B1339" s="107">
        <v>295</v>
      </c>
      <c r="C1339" s="107">
        <v>291.55</v>
      </c>
      <c r="D1339" s="107">
        <v>280.5</v>
      </c>
      <c r="E1339" s="107">
        <v>281.25</v>
      </c>
      <c r="F1339" s="107">
        <v>291.55</v>
      </c>
      <c r="G1339">
        <v>85413</v>
      </c>
      <c r="H1339" s="107"/>
      <c r="I1339" s="107"/>
      <c r="L1339" s="149">
        <v>43983</v>
      </c>
      <c r="M1339" s="107">
        <v>291.7</v>
      </c>
      <c r="N1339" s="107">
        <v>295</v>
      </c>
      <c r="O1339" s="107">
        <v>279.95</v>
      </c>
      <c r="P1339" s="107">
        <v>280</v>
      </c>
      <c r="Q1339" s="107">
        <v>291.7</v>
      </c>
      <c r="R1339">
        <v>725814</v>
      </c>
    </row>
    <row r="1340" spans="1:18" x14ac:dyDescent="0.25">
      <c r="A1340" s="149">
        <v>43984</v>
      </c>
      <c r="B1340" s="107">
        <v>308.5</v>
      </c>
      <c r="C1340" s="107">
        <v>304.35000000000002</v>
      </c>
      <c r="D1340" s="107">
        <v>290.39999999999998</v>
      </c>
      <c r="E1340" s="107">
        <v>292.3</v>
      </c>
      <c r="F1340" s="107">
        <v>304.35000000000002</v>
      </c>
      <c r="G1340">
        <v>80834</v>
      </c>
      <c r="H1340" s="107"/>
      <c r="I1340" s="107"/>
      <c r="L1340" s="149">
        <v>43984</v>
      </c>
      <c r="M1340" s="107">
        <v>305.25</v>
      </c>
      <c r="N1340" s="107">
        <v>309</v>
      </c>
      <c r="O1340" s="107">
        <v>289.10000000000002</v>
      </c>
      <c r="P1340" s="107">
        <v>292</v>
      </c>
      <c r="Q1340" s="107">
        <v>305.25</v>
      </c>
      <c r="R1340">
        <v>589982</v>
      </c>
    </row>
    <row r="1341" spans="1:18" x14ac:dyDescent="0.25">
      <c r="A1341" s="149">
        <v>43985</v>
      </c>
      <c r="B1341" s="107">
        <v>325.85000000000002</v>
      </c>
      <c r="C1341" s="107">
        <v>314.95</v>
      </c>
      <c r="D1341" s="107">
        <v>306.5</v>
      </c>
      <c r="E1341" s="107">
        <v>308.45</v>
      </c>
      <c r="F1341" s="107">
        <v>314.95</v>
      </c>
      <c r="G1341">
        <v>88817</v>
      </c>
      <c r="H1341" s="107"/>
      <c r="I1341" s="107"/>
      <c r="L1341" s="149">
        <v>43985</v>
      </c>
      <c r="M1341" s="107">
        <v>315.14999999999998</v>
      </c>
      <c r="N1341" s="107">
        <v>325.8</v>
      </c>
      <c r="O1341" s="107">
        <v>308.5</v>
      </c>
      <c r="P1341" s="107">
        <v>308.5</v>
      </c>
      <c r="Q1341" s="107">
        <v>315.14999999999998</v>
      </c>
      <c r="R1341">
        <v>1129927</v>
      </c>
    </row>
    <row r="1342" spans="1:18" x14ac:dyDescent="0.25">
      <c r="A1342" s="149">
        <v>43986</v>
      </c>
      <c r="B1342" s="107">
        <v>320.14999999999998</v>
      </c>
      <c r="C1342" s="107">
        <v>302.39999999999998</v>
      </c>
      <c r="D1342" s="107">
        <v>299.89999999999998</v>
      </c>
      <c r="E1342" s="107">
        <v>314.95</v>
      </c>
      <c r="F1342" s="107">
        <v>302.39999999999998</v>
      </c>
      <c r="G1342">
        <v>80258</v>
      </c>
      <c r="H1342" s="107"/>
      <c r="I1342" s="107"/>
      <c r="L1342" s="149">
        <v>43986</v>
      </c>
      <c r="M1342" s="107">
        <v>302.55</v>
      </c>
      <c r="N1342" s="107">
        <v>320.89999999999998</v>
      </c>
      <c r="O1342" s="107">
        <v>299.25</v>
      </c>
      <c r="P1342" s="107">
        <v>314.3</v>
      </c>
      <c r="Q1342" s="107">
        <v>302.55</v>
      </c>
      <c r="R1342">
        <v>350305</v>
      </c>
    </row>
    <row r="1343" spans="1:18" x14ac:dyDescent="0.25">
      <c r="A1343" s="149">
        <v>43987</v>
      </c>
      <c r="B1343" s="107">
        <v>315</v>
      </c>
      <c r="C1343" s="107">
        <v>312.85000000000002</v>
      </c>
      <c r="D1343" s="107">
        <v>303.85000000000002</v>
      </c>
      <c r="E1343" s="107">
        <v>305.89999999999998</v>
      </c>
      <c r="F1343" s="107">
        <v>312.85000000000002</v>
      </c>
      <c r="G1343">
        <v>62535</v>
      </c>
      <c r="H1343" s="107"/>
      <c r="I1343" s="107"/>
      <c r="L1343" s="149">
        <v>43987</v>
      </c>
      <c r="M1343" s="107">
        <v>313.5</v>
      </c>
      <c r="N1343" s="107">
        <v>316</v>
      </c>
      <c r="O1343" s="107">
        <v>303</v>
      </c>
      <c r="P1343" s="107">
        <v>305</v>
      </c>
      <c r="Q1343" s="107">
        <v>313.5</v>
      </c>
      <c r="R1343">
        <v>333189</v>
      </c>
    </row>
    <row r="1344" spans="1:18" x14ac:dyDescent="0.25">
      <c r="A1344" s="149">
        <v>43990</v>
      </c>
      <c r="B1344" s="107">
        <v>329.3</v>
      </c>
      <c r="C1344" s="107">
        <v>315.5</v>
      </c>
      <c r="D1344" s="107">
        <v>314</v>
      </c>
      <c r="E1344" s="107">
        <v>318</v>
      </c>
      <c r="F1344" s="107">
        <v>315.5</v>
      </c>
      <c r="G1344">
        <v>46992</v>
      </c>
      <c r="H1344" s="107"/>
      <c r="I1344" s="107"/>
      <c r="L1344" s="149">
        <v>43990</v>
      </c>
      <c r="M1344" s="107">
        <v>315.64999999999998</v>
      </c>
      <c r="N1344" s="107">
        <v>329.6</v>
      </c>
      <c r="O1344" s="107">
        <v>314</v>
      </c>
      <c r="P1344" s="107">
        <v>316.39999999999998</v>
      </c>
      <c r="Q1344" s="107">
        <v>315.64999999999998</v>
      </c>
      <c r="R1344">
        <v>675500</v>
      </c>
    </row>
    <row r="1345" spans="1:18" x14ac:dyDescent="0.25">
      <c r="A1345" s="149">
        <v>43991</v>
      </c>
      <c r="B1345" s="107">
        <v>320.39999999999998</v>
      </c>
      <c r="C1345" s="107">
        <v>310.14999999999998</v>
      </c>
      <c r="D1345" s="107">
        <v>307.8</v>
      </c>
      <c r="E1345" s="107">
        <v>316</v>
      </c>
      <c r="F1345" s="107">
        <v>310.14999999999998</v>
      </c>
      <c r="G1345">
        <v>80143</v>
      </c>
      <c r="H1345" s="107"/>
      <c r="I1345" s="107"/>
      <c r="L1345" s="149">
        <v>43991</v>
      </c>
      <c r="M1345" s="107">
        <v>310.5</v>
      </c>
      <c r="N1345" s="107">
        <v>320.75</v>
      </c>
      <c r="O1345" s="107">
        <v>308</v>
      </c>
      <c r="P1345" s="107">
        <v>318.7</v>
      </c>
      <c r="Q1345" s="107">
        <v>310.5</v>
      </c>
      <c r="R1345">
        <v>309696</v>
      </c>
    </row>
    <row r="1346" spans="1:18" x14ac:dyDescent="0.25">
      <c r="A1346" s="149">
        <v>43992</v>
      </c>
      <c r="B1346" s="107">
        <v>314.3</v>
      </c>
      <c r="C1346" s="107">
        <v>309.89999999999998</v>
      </c>
      <c r="D1346" s="107">
        <v>306.25</v>
      </c>
      <c r="E1346" s="107">
        <v>314.2</v>
      </c>
      <c r="F1346" s="107">
        <v>309.89999999999998</v>
      </c>
      <c r="G1346">
        <v>50813</v>
      </c>
      <c r="H1346" s="107"/>
      <c r="I1346" s="107"/>
      <c r="L1346" s="149">
        <v>43992</v>
      </c>
      <c r="M1346" s="107">
        <v>310.3</v>
      </c>
      <c r="N1346" s="107">
        <v>314.64999999999998</v>
      </c>
      <c r="O1346" s="107">
        <v>306</v>
      </c>
      <c r="P1346" s="107">
        <v>312.85000000000002</v>
      </c>
      <c r="Q1346" s="107">
        <v>310.3</v>
      </c>
      <c r="R1346">
        <v>177581</v>
      </c>
    </row>
    <row r="1347" spans="1:18" x14ac:dyDescent="0.25">
      <c r="A1347" s="149">
        <v>43993</v>
      </c>
      <c r="B1347" s="107">
        <v>324.75</v>
      </c>
      <c r="C1347" s="107">
        <v>311.64999999999998</v>
      </c>
      <c r="D1347" s="107">
        <v>307.14999999999998</v>
      </c>
      <c r="E1347" s="107">
        <v>311.39999999999998</v>
      </c>
      <c r="F1347" s="107">
        <v>311.64999999999998</v>
      </c>
      <c r="G1347">
        <v>69838</v>
      </c>
      <c r="H1347" s="107"/>
      <c r="I1347" s="107"/>
      <c r="L1347" s="149">
        <v>43993</v>
      </c>
      <c r="M1347" s="107">
        <v>311.35000000000002</v>
      </c>
      <c r="N1347" s="107">
        <v>325</v>
      </c>
      <c r="O1347" s="107">
        <v>307</v>
      </c>
      <c r="P1347" s="107">
        <v>310</v>
      </c>
      <c r="Q1347" s="107">
        <v>311.35000000000002</v>
      </c>
      <c r="R1347">
        <v>497411</v>
      </c>
    </row>
    <row r="1348" spans="1:18" x14ac:dyDescent="0.25">
      <c r="A1348" s="149">
        <v>43994</v>
      </c>
      <c r="B1348" s="107">
        <v>314.8</v>
      </c>
      <c r="C1348" s="107">
        <v>311.64999999999998</v>
      </c>
      <c r="D1348" s="107">
        <v>294.95</v>
      </c>
      <c r="E1348" s="107">
        <v>309</v>
      </c>
      <c r="F1348" s="107">
        <v>311.64999999999998</v>
      </c>
      <c r="G1348">
        <v>80246</v>
      </c>
      <c r="H1348" s="107"/>
      <c r="I1348" s="107"/>
      <c r="L1348" s="149">
        <v>43994</v>
      </c>
      <c r="M1348" s="107">
        <v>311.2</v>
      </c>
      <c r="N1348" s="107">
        <v>314.5</v>
      </c>
      <c r="O1348" s="107">
        <v>297.60000000000002</v>
      </c>
      <c r="P1348" s="107">
        <v>299.2</v>
      </c>
      <c r="Q1348" s="107">
        <v>311.2</v>
      </c>
      <c r="R1348">
        <v>316164</v>
      </c>
    </row>
    <row r="1349" spans="1:18" x14ac:dyDescent="0.25">
      <c r="A1349" s="149">
        <v>43997</v>
      </c>
      <c r="B1349" s="107">
        <v>316.05</v>
      </c>
      <c r="C1349" s="107">
        <v>303.75</v>
      </c>
      <c r="D1349" s="107">
        <v>300.39999999999998</v>
      </c>
      <c r="E1349" s="107">
        <v>314.89999999999998</v>
      </c>
      <c r="F1349" s="107">
        <v>303.75</v>
      </c>
      <c r="G1349">
        <v>53074</v>
      </c>
      <c r="H1349" s="107"/>
      <c r="I1349" s="107"/>
      <c r="L1349" s="149">
        <v>43997</v>
      </c>
      <c r="M1349" s="107">
        <v>303.5</v>
      </c>
      <c r="N1349" s="107">
        <v>315.8</v>
      </c>
      <c r="O1349" s="107">
        <v>300.55</v>
      </c>
      <c r="P1349" s="107">
        <v>312</v>
      </c>
      <c r="Q1349" s="107">
        <v>303.5</v>
      </c>
      <c r="R1349">
        <v>332099</v>
      </c>
    </row>
    <row r="1350" spans="1:18" x14ac:dyDescent="0.25">
      <c r="A1350" s="149">
        <v>43998</v>
      </c>
      <c r="B1350" s="107">
        <v>338.65</v>
      </c>
      <c r="C1350" s="107">
        <v>318.3</v>
      </c>
      <c r="D1350" s="107">
        <v>311.2</v>
      </c>
      <c r="E1350" s="107">
        <v>324</v>
      </c>
      <c r="F1350" s="107">
        <v>318.3</v>
      </c>
      <c r="G1350">
        <v>217944</v>
      </c>
      <c r="H1350" s="107"/>
      <c r="I1350" s="107"/>
      <c r="L1350" s="149">
        <v>43998</v>
      </c>
      <c r="M1350" s="107">
        <v>318.89999999999998</v>
      </c>
      <c r="N1350" s="107">
        <v>339</v>
      </c>
      <c r="O1350" s="107">
        <v>312</v>
      </c>
      <c r="P1350" s="107">
        <v>325</v>
      </c>
      <c r="Q1350" s="107">
        <v>318.89999999999998</v>
      </c>
      <c r="R1350">
        <v>3925401</v>
      </c>
    </row>
    <row r="1351" spans="1:18" x14ac:dyDescent="0.25">
      <c r="A1351" s="149">
        <v>43999</v>
      </c>
      <c r="B1351" s="107">
        <v>335</v>
      </c>
      <c r="C1351" s="107">
        <v>333</v>
      </c>
      <c r="D1351" s="107">
        <v>315.75</v>
      </c>
      <c r="E1351" s="107">
        <v>327</v>
      </c>
      <c r="F1351" s="107">
        <v>333</v>
      </c>
      <c r="G1351">
        <v>98263</v>
      </c>
      <c r="H1351" s="107"/>
      <c r="I1351" s="107"/>
      <c r="L1351" s="149">
        <v>43999</v>
      </c>
      <c r="M1351" s="107">
        <v>332.4</v>
      </c>
      <c r="N1351" s="107">
        <v>335.4</v>
      </c>
      <c r="O1351" s="107">
        <v>315.5</v>
      </c>
      <c r="P1351" s="107">
        <v>320</v>
      </c>
      <c r="Q1351" s="107">
        <v>332.4</v>
      </c>
      <c r="R1351">
        <v>1638217</v>
      </c>
    </row>
    <row r="1352" spans="1:18" x14ac:dyDescent="0.25">
      <c r="A1352" s="149">
        <v>44000</v>
      </c>
      <c r="B1352" s="107">
        <v>354.05</v>
      </c>
      <c r="C1352" s="107">
        <v>349.6</v>
      </c>
      <c r="D1352" s="107">
        <v>334.8</v>
      </c>
      <c r="E1352" s="107">
        <v>335</v>
      </c>
      <c r="F1352" s="107">
        <v>349.6</v>
      </c>
      <c r="G1352">
        <v>80005</v>
      </c>
      <c r="H1352" s="107"/>
      <c r="I1352" s="107"/>
      <c r="L1352" s="149">
        <v>44000</v>
      </c>
      <c r="M1352" s="107">
        <v>349.8</v>
      </c>
      <c r="N1352" s="107">
        <v>353.45</v>
      </c>
      <c r="O1352" s="107">
        <v>335</v>
      </c>
      <c r="P1352" s="107">
        <v>335.8</v>
      </c>
      <c r="Q1352" s="107">
        <v>349.8</v>
      </c>
      <c r="R1352">
        <v>1518072</v>
      </c>
    </row>
    <row r="1353" spans="1:18" x14ac:dyDescent="0.25">
      <c r="A1353" s="149">
        <v>44001</v>
      </c>
      <c r="B1353" s="107">
        <v>365.25</v>
      </c>
      <c r="C1353" s="107">
        <v>360</v>
      </c>
      <c r="D1353" s="107">
        <v>347.15</v>
      </c>
      <c r="E1353" s="107">
        <v>354</v>
      </c>
      <c r="F1353" s="107">
        <v>360</v>
      </c>
      <c r="G1353">
        <v>33189</v>
      </c>
      <c r="H1353" s="107"/>
      <c r="I1353" s="107"/>
      <c r="L1353" s="149">
        <v>44001</v>
      </c>
      <c r="M1353" s="107">
        <v>360.05</v>
      </c>
      <c r="N1353" s="107">
        <v>365.65</v>
      </c>
      <c r="O1353" s="107">
        <v>346.7</v>
      </c>
      <c r="P1353" s="107">
        <v>356.9</v>
      </c>
      <c r="Q1353" s="107">
        <v>360.05</v>
      </c>
      <c r="R1353">
        <v>972099</v>
      </c>
    </row>
    <row r="1354" spans="1:18" x14ac:dyDescent="0.25">
      <c r="A1354" s="149">
        <v>44004</v>
      </c>
      <c r="B1354" s="107">
        <v>374.85</v>
      </c>
      <c r="C1354" s="107">
        <v>367.9</v>
      </c>
      <c r="D1354" s="107">
        <v>349</v>
      </c>
      <c r="E1354" s="107">
        <v>369.9</v>
      </c>
      <c r="F1354" s="107">
        <v>367.9</v>
      </c>
      <c r="G1354">
        <v>138676</v>
      </c>
      <c r="H1354" s="107"/>
      <c r="I1354" s="107"/>
      <c r="L1354" s="149">
        <v>44004</v>
      </c>
      <c r="M1354" s="107">
        <v>368.5</v>
      </c>
      <c r="N1354" s="107">
        <v>375</v>
      </c>
      <c r="O1354" s="107">
        <v>361.1</v>
      </c>
      <c r="P1354" s="107">
        <v>365</v>
      </c>
      <c r="Q1354" s="107">
        <v>368.5</v>
      </c>
      <c r="R1354">
        <v>577598</v>
      </c>
    </row>
    <row r="1355" spans="1:18" x14ac:dyDescent="0.25">
      <c r="A1355" s="149">
        <v>44005</v>
      </c>
      <c r="B1355" s="107">
        <v>371.1</v>
      </c>
      <c r="C1355" s="107">
        <v>363</v>
      </c>
      <c r="D1355" s="107">
        <v>352.25</v>
      </c>
      <c r="E1355" s="107">
        <v>364.6</v>
      </c>
      <c r="F1355" s="107">
        <v>363</v>
      </c>
      <c r="G1355">
        <v>211834</v>
      </c>
      <c r="H1355" s="107"/>
      <c r="I1355" s="107"/>
      <c r="L1355" s="149">
        <v>44005</v>
      </c>
      <c r="M1355" s="107">
        <v>363.05</v>
      </c>
      <c r="N1355" s="107">
        <v>371</v>
      </c>
      <c r="O1355" s="107">
        <v>351.45</v>
      </c>
      <c r="P1355" s="107">
        <v>367.9</v>
      </c>
      <c r="Q1355" s="107">
        <v>363.05</v>
      </c>
      <c r="R1355">
        <v>644843</v>
      </c>
    </row>
    <row r="1356" spans="1:18" x14ac:dyDescent="0.25">
      <c r="A1356" s="149">
        <v>44006</v>
      </c>
      <c r="B1356" s="107">
        <v>369.8</v>
      </c>
      <c r="C1356" s="107">
        <v>367.6</v>
      </c>
      <c r="D1356" s="107">
        <v>361.2</v>
      </c>
      <c r="E1356" s="107">
        <v>367.45</v>
      </c>
      <c r="F1356" s="107">
        <v>367.6</v>
      </c>
      <c r="G1356">
        <v>108159</v>
      </c>
      <c r="H1356" s="107"/>
      <c r="I1356" s="107"/>
      <c r="L1356" s="149">
        <v>44006</v>
      </c>
      <c r="M1356" s="107">
        <v>367.7</v>
      </c>
      <c r="N1356" s="107">
        <v>370</v>
      </c>
      <c r="O1356" s="107">
        <v>361.45</v>
      </c>
      <c r="P1356" s="107">
        <v>369.8</v>
      </c>
      <c r="Q1356" s="107">
        <v>367.7</v>
      </c>
      <c r="R1356">
        <v>470636</v>
      </c>
    </row>
    <row r="1357" spans="1:18" x14ac:dyDescent="0.25">
      <c r="A1357" s="149">
        <v>44007</v>
      </c>
      <c r="B1357" s="107">
        <v>368.9</v>
      </c>
      <c r="C1357" s="107">
        <v>361.3</v>
      </c>
      <c r="D1357" s="107">
        <v>357.5</v>
      </c>
      <c r="E1357" s="107">
        <v>359.4</v>
      </c>
      <c r="F1357" s="107">
        <v>361.3</v>
      </c>
      <c r="G1357">
        <v>94362</v>
      </c>
      <c r="H1357" s="107"/>
      <c r="I1357" s="107"/>
      <c r="L1357" s="149">
        <v>44007</v>
      </c>
      <c r="M1357" s="107">
        <v>361.5</v>
      </c>
      <c r="N1357" s="107">
        <v>368.9</v>
      </c>
      <c r="O1357" s="107">
        <v>356.55</v>
      </c>
      <c r="P1357" s="107">
        <v>360.1</v>
      </c>
      <c r="Q1357" s="107">
        <v>361.5</v>
      </c>
      <c r="R1357">
        <v>420141</v>
      </c>
    </row>
    <row r="1358" spans="1:18" x14ac:dyDescent="0.25">
      <c r="A1358" s="149">
        <v>44008</v>
      </c>
      <c r="B1358" s="107">
        <v>365.1</v>
      </c>
      <c r="C1358" s="107">
        <v>353.85</v>
      </c>
      <c r="D1358" s="107">
        <v>351.6</v>
      </c>
      <c r="E1358" s="107">
        <v>360.55</v>
      </c>
      <c r="F1358" s="107">
        <v>353.85</v>
      </c>
      <c r="G1358">
        <v>118187</v>
      </c>
      <c r="H1358" s="107"/>
      <c r="I1358" s="107"/>
      <c r="L1358" s="149">
        <v>44008</v>
      </c>
      <c r="M1358" s="107">
        <v>354.4</v>
      </c>
      <c r="N1358" s="107">
        <v>365</v>
      </c>
      <c r="O1358" s="107">
        <v>351.4</v>
      </c>
      <c r="P1358" s="107">
        <v>363.9</v>
      </c>
      <c r="Q1358" s="107">
        <v>354.4</v>
      </c>
      <c r="R1358">
        <v>321865</v>
      </c>
    </row>
    <row r="1359" spans="1:18" x14ac:dyDescent="0.25">
      <c r="A1359" s="149">
        <v>44011</v>
      </c>
      <c r="B1359" s="107">
        <v>354.1</v>
      </c>
      <c r="C1359" s="107">
        <v>342.95</v>
      </c>
      <c r="D1359" s="107">
        <v>340.45</v>
      </c>
      <c r="E1359" s="107">
        <v>354.1</v>
      </c>
      <c r="F1359" s="107">
        <v>342.95</v>
      </c>
      <c r="G1359">
        <v>67553</v>
      </c>
      <c r="H1359" s="107"/>
      <c r="I1359" s="107"/>
      <c r="L1359" s="149">
        <v>44011</v>
      </c>
      <c r="M1359" s="107">
        <v>343.3</v>
      </c>
      <c r="N1359" s="107">
        <v>352.75</v>
      </c>
      <c r="O1359" s="107">
        <v>340.1</v>
      </c>
      <c r="P1359" s="107">
        <v>350</v>
      </c>
      <c r="Q1359" s="107">
        <v>343.3</v>
      </c>
      <c r="R1359">
        <v>254290</v>
      </c>
    </row>
    <row r="1360" spans="1:18" x14ac:dyDescent="0.25">
      <c r="A1360" s="149">
        <v>44012</v>
      </c>
      <c r="B1360" s="107">
        <v>359.1</v>
      </c>
      <c r="C1360" s="107">
        <v>337.85</v>
      </c>
      <c r="D1360" s="107">
        <v>333.6</v>
      </c>
      <c r="E1360" s="107">
        <v>345.75</v>
      </c>
      <c r="F1360" s="107">
        <v>337.85</v>
      </c>
      <c r="G1360">
        <v>102311</v>
      </c>
      <c r="H1360" s="107"/>
      <c r="I1360" s="107"/>
      <c r="L1360" s="149">
        <v>44012</v>
      </c>
      <c r="M1360" s="107">
        <v>337.85</v>
      </c>
      <c r="N1360" s="107">
        <v>360</v>
      </c>
      <c r="O1360" s="107">
        <v>332</v>
      </c>
      <c r="P1360" s="107">
        <v>343.45</v>
      </c>
      <c r="Q1360" s="107">
        <v>337.85</v>
      </c>
      <c r="R1360">
        <v>581889</v>
      </c>
    </row>
    <row r="1361" spans="1:18" x14ac:dyDescent="0.25">
      <c r="A1361" s="149">
        <v>44013</v>
      </c>
      <c r="B1361" s="107">
        <v>349.8</v>
      </c>
      <c r="C1361" s="107">
        <v>346.1</v>
      </c>
      <c r="D1361" s="107">
        <v>331.25</v>
      </c>
      <c r="E1361" s="107">
        <v>337.95</v>
      </c>
      <c r="F1361" s="107">
        <v>346.1</v>
      </c>
      <c r="G1361">
        <v>71890</v>
      </c>
      <c r="H1361" s="107"/>
      <c r="I1361" s="107"/>
      <c r="L1361" s="149">
        <v>44013</v>
      </c>
      <c r="M1361" s="107">
        <v>345.7</v>
      </c>
      <c r="N1361" s="107">
        <v>349.9</v>
      </c>
      <c r="O1361" s="107">
        <v>331.15</v>
      </c>
      <c r="P1361" s="107">
        <v>337.9</v>
      </c>
      <c r="Q1361" s="107">
        <v>345.7</v>
      </c>
      <c r="R1361">
        <v>506583</v>
      </c>
    </row>
    <row r="1362" spans="1:18" x14ac:dyDescent="0.25">
      <c r="A1362" s="149">
        <v>44014</v>
      </c>
      <c r="B1362" s="107">
        <v>366.45</v>
      </c>
      <c r="C1362" s="107">
        <v>358.8</v>
      </c>
      <c r="D1362" s="107">
        <v>347.15</v>
      </c>
      <c r="E1362" s="107">
        <v>349.95</v>
      </c>
      <c r="F1362" s="107">
        <v>358.8</v>
      </c>
      <c r="G1362">
        <v>112100</v>
      </c>
      <c r="H1362" s="107"/>
      <c r="I1362" s="107"/>
      <c r="L1362" s="149">
        <v>44014</v>
      </c>
      <c r="M1362" s="107">
        <v>358.6</v>
      </c>
      <c r="N1362" s="107">
        <v>366.8</v>
      </c>
      <c r="O1362" s="107">
        <v>347.25</v>
      </c>
      <c r="P1362" s="107">
        <v>349.45</v>
      </c>
      <c r="Q1362" s="107">
        <v>358.6</v>
      </c>
      <c r="R1362">
        <v>833878</v>
      </c>
    </row>
    <row r="1363" spans="1:18" x14ac:dyDescent="0.25">
      <c r="A1363" s="149">
        <v>44015</v>
      </c>
      <c r="B1363" s="107">
        <v>361.5</v>
      </c>
      <c r="C1363" s="107">
        <v>353.25</v>
      </c>
      <c r="D1363" s="107">
        <v>349.55</v>
      </c>
      <c r="E1363" s="107">
        <v>361.5</v>
      </c>
      <c r="F1363" s="107">
        <v>353.25</v>
      </c>
      <c r="G1363">
        <v>45847</v>
      </c>
      <c r="H1363" s="107"/>
      <c r="I1363" s="107"/>
      <c r="L1363" s="149">
        <v>44015</v>
      </c>
      <c r="M1363" s="107">
        <v>353.35</v>
      </c>
      <c r="N1363" s="107">
        <v>360.25</v>
      </c>
      <c r="O1363" s="107">
        <v>349.2</v>
      </c>
      <c r="P1363" s="107">
        <v>359.95</v>
      </c>
      <c r="Q1363" s="107">
        <v>353.35</v>
      </c>
      <c r="R1363">
        <v>451113</v>
      </c>
    </row>
    <row r="1364" spans="1:18" x14ac:dyDescent="0.25">
      <c r="A1364" s="149">
        <v>44018</v>
      </c>
      <c r="B1364" s="107">
        <v>375</v>
      </c>
      <c r="C1364" s="107">
        <v>370.8</v>
      </c>
      <c r="D1364" s="107">
        <v>353.65</v>
      </c>
      <c r="E1364" s="107">
        <v>355.05</v>
      </c>
      <c r="F1364" s="107">
        <v>370.8</v>
      </c>
      <c r="G1364">
        <v>66632</v>
      </c>
      <c r="H1364" s="107"/>
      <c r="I1364" s="107"/>
      <c r="L1364" s="149">
        <v>44018</v>
      </c>
      <c r="M1364" s="107">
        <v>371.05</v>
      </c>
      <c r="N1364" s="107">
        <v>375.5</v>
      </c>
      <c r="O1364" s="107">
        <v>353.35</v>
      </c>
      <c r="P1364" s="107">
        <v>354.05</v>
      </c>
      <c r="Q1364" s="107">
        <v>371.05</v>
      </c>
      <c r="R1364">
        <v>1277477</v>
      </c>
    </row>
    <row r="1365" spans="1:18" x14ac:dyDescent="0.25">
      <c r="A1365" s="149">
        <v>44019</v>
      </c>
      <c r="B1365" s="107">
        <v>377.5</v>
      </c>
      <c r="C1365" s="107">
        <v>371</v>
      </c>
      <c r="D1365" s="107">
        <v>361.8</v>
      </c>
      <c r="E1365" s="107">
        <v>369.45</v>
      </c>
      <c r="F1365" s="107">
        <v>371</v>
      </c>
      <c r="G1365">
        <v>75225</v>
      </c>
      <c r="H1365" s="107"/>
      <c r="I1365" s="107"/>
      <c r="L1365" s="149">
        <v>44019</v>
      </c>
      <c r="M1365" s="107">
        <v>371.8</v>
      </c>
      <c r="N1365" s="107">
        <v>378</v>
      </c>
      <c r="O1365" s="107">
        <v>361.05</v>
      </c>
      <c r="P1365" s="107">
        <v>369.85</v>
      </c>
      <c r="Q1365" s="107">
        <v>371.8</v>
      </c>
      <c r="R1365">
        <v>569405</v>
      </c>
    </row>
    <row r="1366" spans="1:18" x14ac:dyDescent="0.25">
      <c r="A1366" s="149">
        <v>44020</v>
      </c>
      <c r="B1366" s="107">
        <v>377.5</v>
      </c>
      <c r="C1366" s="107">
        <v>363.15</v>
      </c>
      <c r="D1366" s="107">
        <v>358.55</v>
      </c>
      <c r="E1366" s="107">
        <v>375</v>
      </c>
      <c r="F1366" s="107">
        <v>363.15</v>
      </c>
      <c r="G1366">
        <v>83460</v>
      </c>
      <c r="H1366" s="107"/>
      <c r="I1366" s="107"/>
      <c r="L1366" s="149">
        <v>44020</v>
      </c>
      <c r="M1366" s="107">
        <v>362.8</v>
      </c>
      <c r="N1366" s="107">
        <v>377.5</v>
      </c>
      <c r="O1366" s="107">
        <v>358.1</v>
      </c>
      <c r="P1366" s="107">
        <v>377</v>
      </c>
      <c r="Q1366" s="107">
        <v>362.8</v>
      </c>
      <c r="R1366">
        <v>336731</v>
      </c>
    </row>
    <row r="1367" spans="1:18" x14ac:dyDescent="0.25">
      <c r="A1367" s="149">
        <v>44021</v>
      </c>
      <c r="B1367" s="107">
        <v>377.15</v>
      </c>
      <c r="C1367" s="107">
        <v>366.9</v>
      </c>
      <c r="D1367" s="107">
        <v>365.4</v>
      </c>
      <c r="E1367" s="107">
        <v>372</v>
      </c>
      <c r="F1367" s="107">
        <v>366.9</v>
      </c>
      <c r="G1367">
        <v>44390</v>
      </c>
      <c r="H1367" s="107"/>
      <c r="I1367" s="107"/>
      <c r="L1367" s="149">
        <v>44021</v>
      </c>
      <c r="M1367" s="107">
        <v>367</v>
      </c>
      <c r="N1367" s="107">
        <v>377.75</v>
      </c>
      <c r="O1367" s="107">
        <v>365.2</v>
      </c>
      <c r="P1367" s="107">
        <v>366.4</v>
      </c>
      <c r="Q1367" s="107">
        <v>367</v>
      </c>
      <c r="R1367">
        <v>400620</v>
      </c>
    </row>
    <row r="1368" spans="1:18" x14ac:dyDescent="0.25">
      <c r="A1368" s="149">
        <v>44022</v>
      </c>
      <c r="B1368" s="107">
        <v>367.8</v>
      </c>
      <c r="C1368" s="107">
        <v>360.4</v>
      </c>
      <c r="D1368" s="107">
        <v>358</v>
      </c>
      <c r="E1368" s="107">
        <v>367</v>
      </c>
      <c r="F1368" s="107">
        <v>360.4</v>
      </c>
      <c r="G1368">
        <v>19840</v>
      </c>
      <c r="H1368" s="107"/>
      <c r="I1368" s="107"/>
      <c r="L1368" s="149">
        <v>44022</v>
      </c>
      <c r="M1368" s="107">
        <v>360.65</v>
      </c>
      <c r="N1368" s="107">
        <v>368.05</v>
      </c>
      <c r="O1368" s="107">
        <v>357.65</v>
      </c>
      <c r="P1368" s="107">
        <v>365</v>
      </c>
      <c r="Q1368" s="107">
        <v>360.65</v>
      </c>
      <c r="R1368">
        <v>186751</v>
      </c>
    </row>
    <row r="1369" spans="1:18" x14ac:dyDescent="0.25">
      <c r="A1369" s="149">
        <v>44025</v>
      </c>
      <c r="B1369" s="107">
        <v>368</v>
      </c>
      <c r="C1369" s="107">
        <v>361</v>
      </c>
      <c r="D1369" s="107">
        <v>358.2</v>
      </c>
      <c r="E1369" s="107">
        <v>368</v>
      </c>
      <c r="F1369" s="107">
        <v>361</v>
      </c>
      <c r="G1369">
        <v>52337</v>
      </c>
      <c r="H1369" s="107"/>
      <c r="I1369" s="107"/>
      <c r="L1369" s="149">
        <v>44025</v>
      </c>
      <c r="M1369" s="107">
        <v>360.3</v>
      </c>
      <c r="N1369" s="107">
        <v>367</v>
      </c>
      <c r="O1369" s="107">
        <v>358.05</v>
      </c>
      <c r="P1369" s="107">
        <v>362.25</v>
      </c>
      <c r="Q1369" s="107">
        <v>360.3</v>
      </c>
      <c r="R1369">
        <v>206810</v>
      </c>
    </row>
    <row r="1370" spans="1:18" x14ac:dyDescent="0.25">
      <c r="A1370" s="149">
        <v>44026</v>
      </c>
      <c r="B1370" s="107">
        <v>358.65</v>
      </c>
      <c r="C1370" s="107">
        <v>349.15</v>
      </c>
      <c r="D1370" s="107">
        <v>348</v>
      </c>
      <c r="E1370" s="107">
        <v>358.65</v>
      </c>
      <c r="F1370" s="107">
        <v>349.15</v>
      </c>
      <c r="G1370">
        <v>70677</v>
      </c>
      <c r="H1370" s="107"/>
      <c r="I1370" s="107"/>
      <c r="L1370" s="149">
        <v>44026</v>
      </c>
      <c r="M1370" s="107">
        <v>349.35</v>
      </c>
      <c r="N1370" s="107">
        <v>361</v>
      </c>
      <c r="O1370" s="107">
        <v>348</v>
      </c>
      <c r="P1370" s="107">
        <v>358.1</v>
      </c>
      <c r="Q1370" s="107">
        <v>349.35</v>
      </c>
      <c r="R1370">
        <v>188057</v>
      </c>
    </row>
    <row r="1371" spans="1:18" x14ac:dyDescent="0.25">
      <c r="A1371" s="149">
        <v>44027</v>
      </c>
      <c r="B1371" s="107">
        <v>368.2</v>
      </c>
      <c r="C1371" s="107">
        <v>365.3</v>
      </c>
      <c r="D1371" s="107">
        <v>350.85</v>
      </c>
      <c r="E1371" s="107">
        <v>351</v>
      </c>
      <c r="F1371" s="107">
        <v>365.3</v>
      </c>
      <c r="G1371">
        <v>42320</v>
      </c>
      <c r="H1371" s="107"/>
      <c r="I1371" s="107"/>
      <c r="L1371" s="149">
        <v>44027</v>
      </c>
      <c r="M1371" s="107">
        <v>365.4</v>
      </c>
      <c r="N1371" s="107">
        <v>368.1</v>
      </c>
      <c r="O1371" s="107">
        <v>350.65</v>
      </c>
      <c r="P1371" s="107">
        <v>351</v>
      </c>
      <c r="Q1371" s="107">
        <v>365.4</v>
      </c>
      <c r="R1371">
        <v>438861</v>
      </c>
    </row>
    <row r="1372" spans="1:18" x14ac:dyDescent="0.25">
      <c r="A1372" s="149">
        <v>44028</v>
      </c>
      <c r="B1372" s="107">
        <v>367.15</v>
      </c>
      <c r="C1372" s="107">
        <v>359.35</v>
      </c>
      <c r="D1372" s="107">
        <v>355.5</v>
      </c>
      <c r="E1372" s="107">
        <v>365.3</v>
      </c>
      <c r="F1372" s="107">
        <v>359.35</v>
      </c>
      <c r="G1372">
        <v>36254</v>
      </c>
      <c r="H1372" s="107"/>
      <c r="I1372" s="107"/>
      <c r="L1372" s="149">
        <v>44028</v>
      </c>
      <c r="M1372" s="107">
        <v>359.3</v>
      </c>
      <c r="N1372" s="107">
        <v>367.55</v>
      </c>
      <c r="O1372" s="107">
        <v>355.35</v>
      </c>
      <c r="P1372" s="107">
        <v>367.55</v>
      </c>
      <c r="Q1372" s="107">
        <v>359.3</v>
      </c>
      <c r="R1372">
        <v>214953</v>
      </c>
    </row>
    <row r="1373" spans="1:18" x14ac:dyDescent="0.25">
      <c r="A1373" s="149">
        <v>44029</v>
      </c>
      <c r="B1373" s="107">
        <v>365</v>
      </c>
      <c r="C1373" s="107">
        <v>357.35</v>
      </c>
      <c r="D1373" s="107">
        <v>354.85</v>
      </c>
      <c r="E1373" s="107">
        <v>360.25</v>
      </c>
      <c r="F1373" s="107">
        <v>357.35</v>
      </c>
      <c r="G1373">
        <v>85456</v>
      </c>
      <c r="H1373" s="107"/>
      <c r="I1373" s="107"/>
      <c r="L1373" s="149">
        <v>44029</v>
      </c>
      <c r="M1373" s="107">
        <v>357.95</v>
      </c>
      <c r="N1373" s="107">
        <v>365.95</v>
      </c>
      <c r="O1373" s="107">
        <v>354.5</v>
      </c>
      <c r="P1373" s="107">
        <v>360</v>
      </c>
      <c r="Q1373" s="107">
        <v>357.95</v>
      </c>
      <c r="R1373">
        <v>298362</v>
      </c>
    </row>
    <row r="1374" spans="1:18" x14ac:dyDescent="0.25">
      <c r="A1374" s="149">
        <v>44032</v>
      </c>
      <c r="B1374" s="107">
        <v>374.55</v>
      </c>
      <c r="C1374" s="107">
        <v>371.2</v>
      </c>
      <c r="D1374" s="107">
        <v>356.45</v>
      </c>
      <c r="E1374" s="107">
        <v>361.8</v>
      </c>
      <c r="F1374" s="107">
        <v>371.2</v>
      </c>
      <c r="G1374">
        <v>101196</v>
      </c>
      <c r="H1374" s="107"/>
      <c r="I1374" s="107"/>
      <c r="L1374" s="149">
        <v>44032</v>
      </c>
      <c r="M1374" s="107">
        <v>371.25</v>
      </c>
      <c r="N1374" s="107">
        <v>373.95</v>
      </c>
      <c r="O1374" s="107">
        <v>356.45</v>
      </c>
      <c r="P1374" s="107">
        <v>362.8</v>
      </c>
      <c r="Q1374" s="107">
        <v>371.25</v>
      </c>
      <c r="R1374">
        <v>552336</v>
      </c>
    </row>
    <row r="1375" spans="1:18" x14ac:dyDescent="0.25">
      <c r="A1375" s="149">
        <v>44033</v>
      </c>
      <c r="B1375" s="107">
        <v>376.5</v>
      </c>
      <c r="C1375" s="107">
        <v>369.9</v>
      </c>
      <c r="D1375" s="107">
        <v>365.25</v>
      </c>
      <c r="E1375" s="107">
        <v>374.15</v>
      </c>
      <c r="F1375" s="107">
        <v>369.9</v>
      </c>
      <c r="G1375">
        <v>30504</v>
      </c>
      <c r="H1375" s="107"/>
      <c r="I1375" s="107"/>
      <c r="L1375" s="149">
        <v>44033</v>
      </c>
      <c r="M1375" s="107">
        <v>370</v>
      </c>
      <c r="N1375" s="107">
        <v>376.7</v>
      </c>
      <c r="O1375" s="107">
        <v>365</v>
      </c>
      <c r="P1375" s="107">
        <v>371.5</v>
      </c>
      <c r="Q1375" s="107">
        <v>370</v>
      </c>
      <c r="R1375">
        <v>269246</v>
      </c>
    </row>
    <row r="1376" spans="1:18" x14ac:dyDescent="0.25">
      <c r="A1376" s="149">
        <v>44034</v>
      </c>
      <c r="B1376" s="107">
        <v>379.9</v>
      </c>
      <c r="C1376" s="107">
        <v>378.05</v>
      </c>
      <c r="D1376" s="107">
        <v>364</v>
      </c>
      <c r="E1376" s="107">
        <v>371.5</v>
      </c>
      <c r="F1376" s="107">
        <v>378.05</v>
      </c>
      <c r="G1376">
        <v>33919</v>
      </c>
      <c r="H1376" s="107"/>
      <c r="I1376" s="107"/>
      <c r="L1376" s="149">
        <v>44034</v>
      </c>
      <c r="M1376" s="107">
        <v>378.15</v>
      </c>
      <c r="N1376" s="107">
        <v>379.9</v>
      </c>
      <c r="O1376" s="107">
        <v>363.35</v>
      </c>
      <c r="P1376" s="107">
        <v>372.7</v>
      </c>
      <c r="Q1376" s="107">
        <v>378.15</v>
      </c>
      <c r="R1376">
        <v>658057</v>
      </c>
    </row>
    <row r="1377" spans="1:18" x14ac:dyDescent="0.25">
      <c r="A1377" s="149">
        <v>44035</v>
      </c>
      <c r="B1377" s="107">
        <v>402</v>
      </c>
      <c r="C1377" s="107">
        <v>400.4</v>
      </c>
      <c r="D1377" s="107">
        <v>383.9</v>
      </c>
      <c r="E1377" s="107">
        <v>387</v>
      </c>
      <c r="F1377" s="107">
        <v>400.4</v>
      </c>
      <c r="G1377">
        <v>51906</v>
      </c>
      <c r="H1377" s="107"/>
      <c r="I1377" s="107"/>
      <c r="L1377" s="149">
        <v>44035</v>
      </c>
      <c r="M1377" s="107">
        <v>399.5</v>
      </c>
      <c r="N1377" s="107">
        <v>402.9</v>
      </c>
      <c r="O1377" s="107">
        <v>383</v>
      </c>
      <c r="P1377" s="107">
        <v>383.95</v>
      </c>
      <c r="Q1377" s="107">
        <v>399.5</v>
      </c>
      <c r="R1377">
        <v>1300155</v>
      </c>
    </row>
    <row r="1378" spans="1:18" x14ac:dyDescent="0.25">
      <c r="A1378" s="149">
        <v>44036</v>
      </c>
      <c r="B1378" s="107">
        <v>407.35</v>
      </c>
      <c r="C1378" s="107">
        <v>396.1</v>
      </c>
      <c r="D1378" s="107">
        <v>390.1</v>
      </c>
      <c r="E1378" s="107">
        <v>403.5</v>
      </c>
      <c r="F1378" s="107">
        <v>396.1</v>
      </c>
      <c r="G1378">
        <v>75336</v>
      </c>
      <c r="H1378" s="107"/>
      <c r="I1378" s="107"/>
      <c r="L1378" s="149">
        <v>44036</v>
      </c>
      <c r="M1378" s="107">
        <v>395.8</v>
      </c>
      <c r="N1378" s="107">
        <v>407.45</v>
      </c>
      <c r="O1378" s="107">
        <v>390.1</v>
      </c>
      <c r="P1378" s="107">
        <v>402</v>
      </c>
      <c r="Q1378" s="107">
        <v>395.8</v>
      </c>
      <c r="R1378">
        <v>869114</v>
      </c>
    </row>
    <row r="1379" spans="1:18" x14ac:dyDescent="0.25">
      <c r="A1379" s="149">
        <v>44039</v>
      </c>
      <c r="B1379" s="107">
        <v>398.9</v>
      </c>
      <c r="C1379" s="107">
        <v>385.95</v>
      </c>
      <c r="D1379" s="107">
        <v>380.25</v>
      </c>
      <c r="E1379" s="107">
        <v>390.1</v>
      </c>
      <c r="F1379" s="107">
        <v>385.95</v>
      </c>
      <c r="G1379">
        <v>90286</v>
      </c>
      <c r="H1379" s="107"/>
      <c r="I1379" s="107"/>
      <c r="L1379" s="149">
        <v>44039</v>
      </c>
      <c r="M1379" s="107">
        <v>386.35</v>
      </c>
      <c r="N1379" s="107">
        <v>398.9</v>
      </c>
      <c r="O1379" s="107">
        <v>380.15</v>
      </c>
      <c r="P1379" s="107">
        <v>390.05</v>
      </c>
      <c r="Q1379" s="107">
        <v>386.35</v>
      </c>
      <c r="R1379">
        <v>351675</v>
      </c>
    </row>
    <row r="1380" spans="1:18" x14ac:dyDescent="0.25">
      <c r="A1380" s="149">
        <v>44040</v>
      </c>
      <c r="B1380" s="107">
        <v>394.2</v>
      </c>
      <c r="C1380" s="107">
        <v>375.6</v>
      </c>
      <c r="D1380" s="107">
        <v>374</v>
      </c>
      <c r="E1380" s="107">
        <v>388</v>
      </c>
      <c r="F1380" s="107">
        <v>375.6</v>
      </c>
      <c r="G1380">
        <v>67620</v>
      </c>
      <c r="H1380" s="107"/>
      <c r="I1380" s="107"/>
      <c r="L1380" s="149">
        <v>44040</v>
      </c>
      <c r="M1380" s="107">
        <v>375.95</v>
      </c>
      <c r="N1380" s="107">
        <v>394</v>
      </c>
      <c r="O1380" s="107">
        <v>374.05</v>
      </c>
      <c r="P1380" s="107">
        <v>385.05</v>
      </c>
      <c r="Q1380" s="107">
        <v>375.95</v>
      </c>
      <c r="R1380">
        <v>392865</v>
      </c>
    </row>
    <row r="1381" spans="1:18" x14ac:dyDescent="0.25">
      <c r="A1381" s="149">
        <v>44041</v>
      </c>
      <c r="B1381" s="107">
        <v>379.45</v>
      </c>
      <c r="C1381" s="107">
        <v>368.95</v>
      </c>
      <c r="D1381" s="107">
        <v>362</v>
      </c>
      <c r="E1381" s="107">
        <v>379.35</v>
      </c>
      <c r="F1381" s="107">
        <v>368.95</v>
      </c>
      <c r="G1381">
        <v>55457</v>
      </c>
      <c r="H1381" s="107"/>
      <c r="I1381" s="107"/>
      <c r="L1381" s="149">
        <v>44041</v>
      </c>
      <c r="M1381" s="107">
        <v>369.05</v>
      </c>
      <c r="N1381" s="107">
        <v>382.2</v>
      </c>
      <c r="O1381" s="107">
        <v>361.25</v>
      </c>
      <c r="P1381" s="107">
        <v>377.4</v>
      </c>
      <c r="Q1381" s="107">
        <v>369.05</v>
      </c>
      <c r="R1381">
        <v>326679</v>
      </c>
    </row>
    <row r="1382" spans="1:18" x14ac:dyDescent="0.25">
      <c r="A1382" s="149">
        <v>44042</v>
      </c>
      <c r="B1382" s="107">
        <v>376.85</v>
      </c>
      <c r="C1382" s="107">
        <v>362.4</v>
      </c>
      <c r="D1382" s="107">
        <v>357.95</v>
      </c>
      <c r="E1382" s="107">
        <v>372</v>
      </c>
      <c r="F1382" s="107">
        <v>362.4</v>
      </c>
      <c r="G1382">
        <v>23146</v>
      </c>
      <c r="H1382" s="107"/>
      <c r="I1382" s="107"/>
      <c r="L1382" s="149">
        <v>44042</v>
      </c>
      <c r="M1382" s="107">
        <v>361.8</v>
      </c>
      <c r="N1382" s="107">
        <v>377</v>
      </c>
      <c r="O1382" s="107">
        <v>358.1</v>
      </c>
      <c r="P1382" s="107">
        <v>370.65</v>
      </c>
      <c r="Q1382" s="107">
        <v>361.8</v>
      </c>
      <c r="R1382">
        <v>217927</v>
      </c>
    </row>
    <row r="1383" spans="1:18" x14ac:dyDescent="0.25">
      <c r="A1383" s="149">
        <v>44043</v>
      </c>
      <c r="B1383" s="107">
        <v>368.55</v>
      </c>
      <c r="C1383" s="107">
        <v>365.4</v>
      </c>
      <c r="D1383" s="107">
        <v>360.1</v>
      </c>
      <c r="E1383" s="107">
        <v>365</v>
      </c>
      <c r="F1383" s="107">
        <v>365.4</v>
      </c>
      <c r="G1383">
        <v>53848</v>
      </c>
      <c r="H1383" s="107"/>
      <c r="I1383" s="107"/>
      <c r="L1383" s="149">
        <v>44043</v>
      </c>
      <c r="M1383" s="107">
        <v>365.4</v>
      </c>
      <c r="N1383" s="107">
        <v>369.25</v>
      </c>
      <c r="O1383" s="107">
        <v>360</v>
      </c>
      <c r="P1383" s="107">
        <v>363</v>
      </c>
      <c r="Q1383" s="107">
        <v>365.4</v>
      </c>
      <c r="R1383">
        <v>178980</v>
      </c>
    </row>
    <row r="1384" spans="1:18" x14ac:dyDescent="0.25">
      <c r="A1384" s="149">
        <v>44046</v>
      </c>
      <c r="B1384" s="107">
        <v>373.35</v>
      </c>
      <c r="C1384" s="107">
        <v>370</v>
      </c>
      <c r="D1384" s="107">
        <v>361.2</v>
      </c>
      <c r="E1384" s="107">
        <v>361.9</v>
      </c>
      <c r="F1384" s="107">
        <v>370</v>
      </c>
      <c r="G1384">
        <v>81462</v>
      </c>
      <c r="H1384" s="107"/>
      <c r="I1384" s="107"/>
      <c r="L1384" s="149">
        <v>44046</v>
      </c>
      <c r="M1384" s="107">
        <v>370.15</v>
      </c>
      <c r="N1384" s="107">
        <v>373.25</v>
      </c>
      <c r="O1384" s="107">
        <v>361.6</v>
      </c>
      <c r="P1384" s="107">
        <v>365</v>
      </c>
      <c r="Q1384" s="107">
        <v>370.15</v>
      </c>
      <c r="R1384">
        <v>161276</v>
      </c>
    </row>
    <row r="1385" spans="1:18" x14ac:dyDescent="0.25">
      <c r="A1385" s="149">
        <v>44047</v>
      </c>
      <c r="B1385" s="107">
        <v>383.6</v>
      </c>
      <c r="C1385" s="107">
        <v>379.7</v>
      </c>
      <c r="D1385" s="107">
        <v>363</v>
      </c>
      <c r="E1385" s="107">
        <v>369.15</v>
      </c>
      <c r="F1385" s="107">
        <v>379.7</v>
      </c>
      <c r="G1385">
        <v>76091</v>
      </c>
      <c r="H1385" s="107"/>
      <c r="I1385" s="107"/>
      <c r="L1385" s="149">
        <v>44047</v>
      </c>
      <c r="M1385" s="107">
        <v>379.75</v>
      </c>
      <c r="N1385" s="107">
        <v>383.95</v>
      </c>
      <c r="O1385" s="107">
        <v>362.4</v>
      </c>
      <c r="P1385" s="107">
        <v>371</v>
      </c>
      <c r="Q1385" s="107">
        <v>379.75</v>
      </c>
      <c r="R1385">
        <v>505681</v>
      </c>
    </row>
    <row r="1386" spans="1:18" x14ac:dyDescent="0.25">
      <c r="A1386" s="149">
        <v>44048</v>
      </c>
      <c r="B1386" s="107">
        <v>384.7</v>
      </c>
      <c r="C1386" s="107">
        <v>369.6</v>
      </c>
      <c r="D1386" s="107">
        <v>368</v>
      </c>
      <c r="E1386" s="107">
        <v>383</v>
      </c>
      <c r="F1386" s="107">
        <v>369.6</v>
      </c>
      <c r="G1386">
        <v>131130</v>
      </c>
      <c r="H1386" s="107"/>
      <c r="I1386" s="107"/>
      <c r="L1386" s="149">
        <v>44048</v>
      </c>
      <c r="M1386" s="107">
        <v>369.65</v>
      </c>
      <c r="N1386" s="107">
        <v>384.9</v>
      </c>
      <c r="O1386" s="107">
        <v>368</v>
      </c>
      <c r="P1386" s="107">
        <v>381.85</v>
      </c>
      <c r="Q1386" s="107">
        <v>369.65</v>
      </c>
      <c r="R1386">
        <v>254633</v>
      </c>
    </row>
    <row r="1387" spans="1:18" x14ac:dyDescent="0.25">
      <c r="A1387" s="149">
        <v>44049</v>
      </c>
      <c r="B1387" s="107">
        <v>375.15</v>
      </c>
      <c r="C1387" s="107">
        <v>371</v>
      </c>
      <c r="D1387" s="107">
        <v>366.8</v>
      </c>
      <c r="E1387" s="107">
        <v>373.75</v>
      </c>
      <c r="F1387" s="107">
        <v>371</v>
      </c>
      <c r="G1387">
        <v>138291</v>
      </c>
      <c r="H1387" s="107"/>
      <c r="I1387" s="107"/>
      <c r="L1387" s="149">
        <v>44049</v>
      </c>
      <c r="M1387" s="107">
        <v>371</v>
      </c>
      <c r="N1387" s="107">
        <v>376</v>
      </c>
      <c r="O1387" s="107">
        <v>365.35</v>
      </c>
      <c r="P1387" s="107">
        <v>375</v>
      </c>
      <c r="Q1387" s="107">
        <v>371</v>
      </c>
      <c r="R1387">
        <v>408227</v>
      </c>
    </row>
    <row r="1388" spans="1:18" x14ac:dyDescent="0.25">
      <c r="A1388" s="149">
        <v>44050</v>
      </c>
      <c r="B1388" s="107">
        <v>377.7</v>
      </c>
      <c r="C1388" s="107">
        <v>372.75</v>
      </c>
      <c r="D1388" s="107">
        <v>367.8</v>
      </c>
      <c r="E1388" s="107">
        <v>372.2</v>
      </c>
      <c r="F1388" s="107">
        <v>372.75</v>
      </c>
      <c r="G1388">
        <v>50564</v>
      </c>
      <c r="H1388" s="107"/>
      <c r="I1388" s="107"/>
      <c r="L1388" s="149">
        <v>44050</v>
      </c>
      <c r="M1388" s="107">
        <v>372.7</v>
      </c>
      <c r="N1388" s="107">
        <v>378</v>
      </c>
      <c r="O1388" s="107">
        <v>367.2</v>
      </c>
      <c r="P1388" s="107">
        <v>371</v>
      </c>
      <c r="Q1388" s="107">
        <v>372.7</v>
      </c>
      <c r="R1388">
        <v>416232</v>
      </c>
    </row>
    <row r="1389" spans="1:18" x14ac:dyDescent="0.25">
      <c r="A1389" s="149">
        <v>44053</v>
      </c>
      <c r="B1389" s="107">
        <v>394.9</v>
      </c>
      <c r="C1389" s="107">
        <v>389.15</v>
      </c>
      <c r="D1389" s="107">
        <v>368.3</v>
      </c>
      <c r="E1389" s="107">
        <v>371</v>
      </c>
      <c r="F1389" s="107">
        <v>389.15</v>
      </c>
      <c r="G1389">
        <v>128236</v>
      </c>
      <c r="H1389" s="107"/>
      <c r="I1389" s="107"/>
      <c r="L1389" s="149">
        <v>44053</v>
      </c>
      <c r="M1389" s="107">
        <v>389.5</v>
      </c>
      <c r="N1389" s="107">
        <v>394.9</v>
      </c>
      <c r="O1389" s="107">
        <v>368.25</v>
      </c>
      <c r="P1389" s="107">
        <v>372.8</v>
      </c>
      <c r="Q1389" s="107">
        <v>389.5</v>
      </c>
      <c r="R1389">
        <v>2165478</v>
      </c>
    </row>
    <row r="1390" spans="1:18" x14ac:dyDescent="0.25">
      <c r="A1390" s="149">
        <v>44054</v>
      </c>
      <c r="B1390" s="107">
        <v>387.85</v>
      </c>
      <c r="C1390" s="107">
        <v>373.5</v>
      </c>
      <c r="D1390" s="107">
        <v>372.6</v>
      </c>
      <c r="E1390" s="107">
        <v>387.85</v>
      </c>
      <c r="F1390" s="107">
        <v>373.5</v>
      </c>
      <c r="G1390">
        <v>26013</v>
      </c>
      <c r="H1390" s="107"/>
      <c r="I1390" s="107"/>
      <c r="L1390" s="149">
        <v>44054</v>
      </c>
      <c r="M1390" s="107">
        <v>373.55</v>
      </c>
      <c r="N1390" s="107">
        <v>387</v>
      </c>
      <c r="O1390" s="107">
        <v>371.7</v>
      </c>
      <c r="P1390" s="107">
        <v>384.95</v>
      </c>
      <c r="Q1390" s="107">
        <v>373.55</v>
      </c>
      <c r="R1390">
        <v>594642</v>
      </c>
    </row>
    <row r="1391" spans="1:18" x14ac:dyDescent="0.25">
      <c r="A1391" s="149">
        <v>44055</v>
      </c>
      <c r="B1391" s="107">
        <v>379.2</v>
      </c>
      <c r="C1391" s="107">
        <v>368.8</v>
      </c>
      <c r="D1391" s="107">
        <v>365.4</v>
      </c>
      <c r="E1391" s="107">
        <v>373.05</v>
      </c>
      <c r="F1391" s="107">
        <v>368.8</v>
      </c>
      <c r="G1391">
        <v>45576</v>
      </c>
      <c r="H1391" s="107"/>
      <c r="I1391" s="107"/>
      <c r="L1391" s="149">
        <v>44055</v>
      </c>
      <c r="M1391" s="107">
        <v>369.15</v>
      </c>
      <c r="N1391" s="107">
        <v>379</v>
      </c>
      <c r="O1391" s="107">
        <v>365.35</v>
      </c>
      <c r="P1391" s="107">
        <v>372.95</v>
      </c>
      <c r="Q1391" s="107">
        <v>369.15</v>
      </c>
      <c r="R1391">
        <v>349865</v>
      </c>
    </row>
    <row r="1392" spans="1:18" x14ac:dyDescent="0.25">
      <c r="A1392" s="149">
        <v>44056</v>
      </c>
      <c r="B1392" s="107">
        <v>373.8</v>
      </c>
      <c r="C1392" s="107">
        <v>366.45</v>
      </c>
      <c r="D1392" s="107">
        <v>365.05</v>
      </c>
      <c r="E1392" s="107">
        <v>372.6</v>
      </c>
      <c r="F1392" s="107">
        <v>366.45</v>
      </c>
      <c r="G1392">
        <v>36299</v>
      </c>
      <c r="H1392" s="107"/>
      <c r="I1392" s="107"/>
      <c r="L1392" s="149">
        <v>44056</v>
      </c>
      <c r="M1392" s="107">
        <v>366.6</v>
      </c>
      <c r="N1392" s="107">
        <v>374</v>
      </c>
      <c r="O1392" s="107">
        <v>365</v>
      </c>
      <c r="P1392" s="107">
        <v>371</v>
      </c>
      <c r="Q1392" s="107">
        <v>366.6</v>
      </c>
      <c r="R1392">
        <v>234728</v>
      </c>
    </row>
    <row r="1393" spans="1:18" x14ac:dyDescent="0.25">
      <c r="A1393" s="149">
        <v>44057</v>
      </c>
      <c r="B1393" s="107">
        <v>380</v>
      </c>
      <c r="C1393" s="107">
        <v>372.95</v>
      </c>
      <c r="D1393" s="107">
        <v>368.75</v>
      </c>
      <c r="E1393" s="107">
        <v>368.75</v>
      </c>
      <c r="F1393" s="107">
        <v>372.95</v>
      </c>
      <c r="G1393">
        <v>27133</v>
      </c>
      <c r="H1393" s="107"/>
      <c r="I1393" s="107"/>
      <c r="L1393" s="149">
        <v>44057</v>
      </c>
      <c r="M1393" s="107">
        <v>373</v>
      </c>
      <c r="N1393" s="107">
        <v>380.4</v>
      </c>
      <c r="O1393" s="107">
        <v>366</v>
      </c>
      <c r="P1393" s="107">
        <v>366</v>
      </c>
      <c r="Q1393" s="107">
        <v>373</v>
      </c>
      <c r="R1393">
        <v>688790</v>
      </c>
    </row>
    <row r="1394" spans="1:18" x14ac:dyDescent="0.25">
      <c r="A1394" s="149">
        <v>44060</v>
      </c>
      <c r="B1394" s="107">
        <v>379.95</v>
      </c>
      <c r="C1394" s="107">
        <v>368.35</v>
      </c>
      <c r="D1394" s="107">
        <v>367.7</v>
      </c>
      <c r="E1394" s="107">
        <v>379.95</v>
      </c>
      <c r="F1394" s="107">
        <v>368.35</v>
      </c>
      <c r="G1394">
        <v>32542</v>
      </c>
      <c r="H1394" s="107"/>
      <c r="I1394" s="107"/>
      <c r="L1394" s="149">
        <v>44060</v>
      </c>
      <c r="M1394" s="107">
        <v>368.6</v>
      </c>
      <c r="N1394" s="107">
        <v>376.75</v>
      </c>
      <c r="O1394" s="107">
        <v>367.8</v>
      </c>
      <c r="P1394" s="107">
        <v>376.5</v>
      </c>
      <c r="Q1394" s="107">
        <v>368.6</v>
      </c>
      <c r="R1394">
        <v>235127</v>
      </c>
    </row>
    <row r="1395" spans="1:18" x14ac:dyDescent="0.25">
      <c r="A1395" s="149">
        <v>44061</v>
      </c>
      <c r="B1395" s="107">
        <v>378.95</v>
      </c>
      <c r="C1395" s="107">
        <v>372.75</v>
      </c>
      <c r="D1395" s="107">
        <v>366.6</v>
      </c>
      <c r="E1395" s="107">
        <v>369.9</v>
      </c>
      <c r="F1395" s="107">
        <v>372.75</v>
      </c>
      <c r="G1395">
        <v>50465</v>
      </c>
      <c r="H1395" s="107"/>
      <c r="I1395" s="107"/>
      <c r="L1395" s="149">
        <v>44061</v>
      </c>
      <c r="M1395" s="107">
        <v>372.75</v>
      </c>
      <c r="N1395" s="107">
        <v>379.45</v>
      </c>
      <c r="O1395" s="107">
        <v>366.05</v>
      </c>
      <c r="P1395" s="107">
        <v>370</v>
      </c>
      <c r="Q1395" s="107">
        <v>372.75</v>
      </c>
      <c r="R1395">
        <v>537469</v>
      </c>
    </row>
    <row r="1396" spans="1:18" x14ac:dyDescent="0.25">
      <c r="A1396" s="149">
        <v>44062</v>
      </c>
      <c r="B1396" s="107">
        <v>378</v>
      </c>
      <c r="C1396" s="107">
        <v>370.4</v>
      </c>
      <c r="D1396" s="107">
        <v>369.1</v>
      </c>
      <c r="E1396" s="107">
        <v>378</v>
      </c>
      <c r="F1396" s="107">
        <v>370.4</v>
      </c>
      <c r="G1396">
        <v>33180</v>
      </c>
      <c r="H1396" s="107"/>
      <c r="I1396" s="107"/>
      <c r="L1396" s="149">
        <v>44062</v>
      </c>
      <c r="M1396" s="107">
        <v>370.15</v>
      </c>
      <c r="N1396" s="107">
        <v>375.9</v>
      </c>
      <c r="O1396" s="107">
        <v>369.05</v>
      </c>
      <c r="P1396" s="107">
        <v>372.8</v>
      </c>
      <c r="Q1396" s="107">
        <v>370.15</v>
      </c>
      <c r="R1396">
        <v>314726</v>
      </c>
    </row>
    <row r="1397" spans="1:18" x14ac:dyDescent="0.25">
      <c r="A1397" s="149">
        <v>44063</v>
      </c>
      <c r="B1397" s="107">
        <v>372</v>
      </c>
      <c r="C1397" s="107">
        <v>367.2</v>
      </c>
      <c r="D1397" s="107">
        <v>366.3</v>
      </c>
      <c r="E1397" s="107">
        <v>369.15</v>
      </c>
      <c r="F1397" s="107">
        <v>367.2</v>
      </c>
      <c r="G1397">
        <v>32277</v>
      </c>
      <c r="H1397" s="107"/>
      <c r="I1397" s="107"/>
      <c r="L1397" s="149">
        <v>44063</v>
      </c>
      <c r="M1397" s="107">
        <v>366.85</v>
      </c>
      <c r="N1397" s="107">
        <v>372.7</v>
      </c>
      <c r="O1397" s="107">
        <v>366</v>
      </c>
      <c r="P1397" s="107">
        <v>370</v>
      </c>
      <c r="Q1397" s="107">
        <v>366.85</v>
      </c>
      <c r="R1397">
        <v>185560</v>
      </c>
    </row>
    <row r="1398" spans="1:18" x14ac:dyDescent="0.25">
      <c r="A1398" s="149">
        <v>44064</v>
      </c>
      <c r="B1398" s="107">
        <v>376</v>
      </c>
      <c r="C1398" s="107">
        <v>371.15</v>
      </c>
      <c r="D1398" s="107">
        <v>368</v>
      </c>
      <c r="E1398" s="107">
        <v>368</v>
      </c>
      <c r="F1398" s="107">
        <v>371.15</v>
      </c>
      <c r="G1398">
        <v>67824</v>
      </c>
      <c r="H1398" s="107"/>
      <c r="I1398" s="107"/>
      <c r="L1398" s="149">
        <v>44064</v>
      </c>
      <c r="M1398" s="107">
        <v>371.15</v>
      </c>
      <c r="N1398" s="107">
        <v>376</v>
      </c>
      <c r="O1398" s="107">
        <v>369.45</v>
      </c>
      <c r="P1398" s="107">
        <v>370</v>
      </c>
      <c r="Q1398" s="107">
        <v>371.15</v>
      </c>
      <c r="R1398">
        <v>373993</v>
      </c>
    </row>
    <row r="1399" spans="1:18" x14ac:dyDescent="0.25">
      <c r="A1399" s="149">
        <v>44067</v>
      </c>
      <c r="B1399" s="107">
        <v>384.7</v>
      </c>
      <c r="C1399" s="107">
        <v>379</v>
      </c>
      <c r="D1399" s="107">
        <v>371.15</v>
      </c>
      <c r="E1399" s="107">
        <v>371.15</v>
      </c>
      <c r="F1399" s="107">
        <v>379</v>
      </c>
      <c r="G1399">
        <v>76456</v>
      </c>
      <c r="H1399" s="107"/>
      <c r="I1399" s="107"/>
      <c r="L1399" s="149">
        <v>44067</v>
      </c>
      <c r="M1399" s="107">
        <v>378.9</v>
      </c>
      <c r="N1399" s="107">
        <v>384.9</v>
      </c>
      <c r="O1399" s="107">
        <v>372.5</v>
      </c>
      <c r="P1399" s="107">
        <v>372.5</v>
      </c>
      <c r="Q1399" s="107">
        <v>378.9</v>
      </c>
      <c r="R1399">
        <v>988087</v>
      </c>
    </row>
    <row r="1400" spans="1:18" x14ac:dyDescent="0.25">
      <c r="A1400" s="149">
        <v>44068</v>
      </c>
      <c r="B1400" s="107">
        <v>391.3</v>
      </c>
      <c r="C1400" s="107">
        <v>386</v>
      </c>
      <c r="D1400" s="107">
        <v>380</v>
      </c>
      <c r="E1400" s="107">
        <v>381</v>
      </c>
      <c r="F1400" s="107">
        <v>386</v>
      </c>
      <c r="G1400">
        <v>90874</v>
      </c>
      <c r="H1400" s="107"/>
      <c r="I1400" s="107"/>
      <c r="L1400" s="149">
        <v>44068</v>
      </c>
      <c r="M1400" s="107">
        <v>386.2</v>
      </c>
      <c r="N1400" s="107">
        <v>391.85</v>
      </c>
      <c r="O1400" s="107">
        <v>380.25</v>
      </c>
      <c r="P1400" s="107">
        <v>382.65</v>
      </c>
      <c r="Q1400" s="107">
        <v>386.2</v>
      </c>
      <c r="R1400">
        <v>1495815</v>
      </c>
    </row>
    <row r="1401" spans="1:18" x14ac:dyDescent="0.25">
      <c r="A1401" s="149">
        <v>44069</v>
      </c>
      <c r="B1401" s="107">
        <v>419.5</v>
      </c>
      <c r="C1401" s="107">
        <v>392.8</v>
      </c>
      <c r="D1401" s="107">
        <v>390.75</v>
      </c>
      <c r="E1401" s="107">
        <v>406.1</v>
      </c>
      <c r="F1401" s="107">
        <v>392.8</v>
      </c>
      <c r="G1401">
        <v>147295</v>
      </c>
      <c r="H1401" s="107"/>
      <c r="I1401" s="107"/>
      <c r="L1401" s="149">
        <v>44069</v>
      </c>
      <c r="M1401" s="107">
        <v>392.9</v>
      </c>
      <c r="N1401" s="107">
        <v>419.9</v>
      </c>
      <c r="O1401" s="107">
        <v>390</v>
      </c>
      <c r="P1401" s="107">
        <v>407.05</v>
      </c>
      <c r="Q1401" s="107">
        <v>392.9</v>
      </c>
      <c r="R1401">
        <v>3831288</v>
      </c>
    </row>
    <row r="1402" spans="1:18" x14ac:dyDescent="0.25">
      <c r="A1402" s="149">
        <v>44070</v>
      </c>
      <c r="B1402" s="107">
        <v>402.8</v>
      </c>
      <c r="C1402" s="107">
        <v>380.85</v>
      </c>
      <c r="D1402" s="107">
        <v>369.7</v>
      </c>
      <c r="E1402" s="107">
        <v>395</v>
      </c>
      <c r="F1402" s="107">
        <v>380.85</v>
      </c>
      <c r="G1402">
        <v>60368</v>
      </c>
      <c r="H1402" s="107"/>
      <c r="I1402" s="107"/>
      <c r="L1402" s="149">
        <v>44070</v>
      </c>
      <c r="M1402" s="107">
        <v>382.55</v>
      </c>
      <c r="N1402" s="107">
        <v>403</v>
      </c>
      <c r="O1402" s="107">
        <v>369.3</v>
      </c>
      <c r="P1402" s="107">
        <v>393.5</v>
      </c>
      <c r="Q1402" s="107">
        <v>382.55</v>
      </c>
      <c r="R1402">
        <v>1165301</v>
      </c>
    </row>
    <row r="1403" spans="1:18" x14ac:dyDescent="0.25">
      <c r="A1403" s="149">
        <v>44071</v>
      </c>
      <c r="B1403" s="107">
        <v>392.35</v>
      </c>
      <c r="C1403" s="107">
        <v>387.75</v>
      </c>
      <c r="D1403" s="107">
        <v>384.65</v>
      </c>
      <c r="E1403" s="107">
        <v>384.65</v>
      </c>
      <c r="F1403" s="107">
        <v>387.75</v>
      </c>
      <c r="G1403">
        <v>49867</v>
      </c>
      <c r="H1403" s="107"/>
      <c r="I1403" s="107"/>
      <c r="L1403" s="149">
        <v>44071</v>
      </c>
      <c r="M1403" s="107">
        <v>387.2</v>
      </c>
      <c r="N1403" s="107">
        <v>392.55</v>
      </c>
      <c r="O1403" s="107">
        <v>384.2</v>
      </c>
      <c r="P1403" s="107">
        <v>384.25</v>
      </c>
      <c r="Q1403" s="107">
        <v>387.2</v>
      </c>
      <c r="R1403">
        <v>847657</v>
      </c>
    </row>
    <row r="1404" spans="1:18" x14ac:dyDescent="0.25">
      <c r="A1404" s="149">
        <v>44074</v>
      </c>
      <c r="B1404" s="107">
        <v>395.15</v>
      </c>
      <c r="C1404" s="107">
        <v>371.05</v>
      </c>
      <c r="D1404" s="107">
        <v>364.9</v>
      </c>
      <c r="E1404" s="107">
        <v>392.95</v>
      </c>
      <c r="F1404" s="107">
        <v>371.05</v>
      </c>
      <c r="G1404">
        <v>149112</v>
      </c>
      <c r="H1404" s="107"/>
      <c r="I1404" s="107"/>
      <c r="L1404" s="149">
        <v>44074</v>
      </c>
      <c r="M1404" s="107">
        <v>371.2</v>
      </c>
      <c r="N1404" s="107">
        <v>395.45</v>
      </c>
      <c r="O1404" s="107">
        <v>361.35</v>
      </c>
      <c r="P1404" s="107">
        <v>395</v>
      </c>
      <c r="Q1404" s="107">
        <v>371.2</v>
      </c>
      <c r="R1404">
        <v>724362</v>
      </c>
    </row>
    <row r="1405" spans="1:18" x14ac:dyDescent="0.25">
      <c r="A1405" s="149">
        <v>44075</v>
      </c>
      <c r="B1405" s="107">
        <v>382.9</v>
      </c>
      <c r="C1405" s="107">
        <v>382</v>
      </c>
      <c r="D1405" s="107">
        <v>368</v>
      </c>
      <c r="E1405" s="107">
        <v>369</v>
      </c>
      <c r="F1405" s="107">
        <v>382</v>
      </c>
      <c r="G1405">
        <v>38689</v>
      </c>
      <c r="H1405" s="107"/>
      <c r="I1405" s="107"/>
      <c r="L1405" s="149">
        <v>44075</v>
      </c>
      <c r="M1405" s="107">
        <v>381.85</v>
      </c>
      <c r="N1405" s="107">
        <v>383</v>
      </c>
      <c r="O1405" s="107">
        <v>370.95</v>
      </c>
      <c r="P1405" s="107">
        <v>371</v>
      </c>
      <c r="Q1405" s="107">
        <v>381.85</v>
      </c>
      <c r="R1405">
        <v>444391</v>
      </c>
    </row>
    <row r="1406" spans="1:18" x14ac:dyDescent="0.25">
      <c r="A1406" s="149">
        <v>44076</v>
      </c>
      <c r="B1406" s="107">
        <v>386.65</v>
      </c>
      <c r="C1406" s="107">
        <v>384.75</v>
      </c>
      <c r="D1406" s="107">
        <v>373.85</v>
      </c>
      <c r="E1406" s="107">
        <v>376.4</v>
      </c>
      <c r="F1406" s="107">
        <v>384.75</v>
      </c>
      <c r="G1406">
        <v>123893</v>
      </c>
      <c r="H1406" s="107"/>
      <c r="I1406" s="107"/>
      <c r="L1406" s="149">
        <v>44076</v>
      </c>
      <c r="M1406" s="107">
        <v>384.7</v>
      </c>
      <c r="N1406" s="107">
        <v>387</v>
      </c>
      <c r="O1406" s="107">
        <v>379.5</v>
      </c>
      <c r="P1406" s="107">
        <v>380.1</v>
      </c>
      <c r="Q1406" s="107">
        <v>384.7</v>
      </c>
      <c r="R1406">
        <v>282187</v>
      </c>
    </row>
    <row r="1407" spans="1:18" x14ac:dyDescent="0.25">
      <c r="A1407" s="149">
        <v>44077</v>
      </c>
      <c r="B1407" s="107">
        <v>387.65</v>
      </c>
      <c r="C1407" s="107">
        <v>385.05</v>
      </c>
      <c r="D1407" s="107">
        <v>381.35</v>
      </c>
      <c r="E1407" s="107">
        <v>385.05</v>
      </c>
      <c r="F1407" s="107">
        <v>385.05</v>
      </c>
      <c r="G1407">
        <v>42547</v>
      </c>
      <c r="H1407" s="107"/>
      <c r="I1407" s="107"/>
      <c r="L1407" s="149">
        <v>44077</v>
      </c>
      <c r="M1407" s="107">
        <v>384.9</v>
      </c>
      <c r="N1407" s="107">
        <v>387.75</v>
      </c>
      <c r="O1407" s="107">
        <v>381.4</v>
      </c>
      <c r="P1407" s="107">
        <v>386.7</v>
      </c>
      <c r="Q1407" s="107">
        <v>384.9</v>
      </c>
      <c r="R1407">
        <v>180495</v>
      </c>
    </row>
    <row r="1408" spans="1:18" x14ac:dyDescent="0.25">
      <c r="A1408" s="149">
        <v>44078</v>
      </c>
      <c r="B1408" s="107">
        <v>380.75</v>
      </c>
      <c r="C1408" s="107">
        <v>375.2</v>
      </c>
      <c r="D1408" s="107">
        <v>373</v>
      </c>
      <c r="E1408" s="107">
        <v>373</v>
      </c>
      <c r="F1408" s="107">
        <v>375.2</v>
      </c>
      <c r="G1408">
        <v>23672</v>
      </c>
      <c r="H1408" s="107"/>
      <c r="I1408" s="107"/>
      <c r="L1408" s="149">
        <v>44078</v>
      </c>
      <c r="M1408" s="107">
        <v>375.25</v>
      </c>
      <c r="N1408" s="107">
        <v>380.8</v>
      </c>
      <c r="O1408" s="107">
        <v>372.75</v>
      </c>
      <c r="P1408" s="107">
        <v>375.9</v>
      </c>
      <c r="Q1408" s="107">
        <v>375.25</v>
      </c>
      <c r="R1408">
        <v>200159</v>
      </c>
    </row>
    <row r="1409" spans="1:18" x14ac:dyDescent="0.25">
      <c r="A1409" s="149">
        <v>44081</v>
      </c>
      <c r="B1409" s="107">
        <v>382.5</v>
      </c>
      <c r="C1409" s="107">
        <v>370.8</v>
      </c>
      <c r="D1409" s="107">
        <v>369.9</v>
      </c>
      <c r="E1409" s="107">
        <v>376</v>
      </c>
      <c r="F1409" s="107">
        <v>370.8</v>
      </c>
      <c r="G1409">
        <v>62716</v>
      </c>
      <c r="H1409" s="107"/>
      <c r="I1409" s="107"/>
      <c r="L1409" s="149">
        <v>44081</v>
      </c>
      <c r="M1409" s="107">
        <v>371.15</v>
      </c>
      <c r="N1409" s="107">
        <v>383.1</v>
      </c>
      <c r="O1409" s="107">
        <v>370.05</v>
      </c>
      <c r="P1409" s="107">
        <v>375</v>
      </c>
      <c r="Q1409" s="107">
        <v>371.15</v>
      </c>
      <c r="R1409">
        <v>289255</v>
      </c>
    </row>
    <row r="1410" spans="1:18" x14ac:dyDescent="0.25">
      <c r="A1410" s="149">
        <v>44082</v>
      </c>
      <c r="B1410" s="107">
        <v>377.65</v>
      </c>
      <c r="C1410" s="107">
        <v>370.8</v>
      </c>
      <c r="D1410" s="107">
        <v>366.05</v>
      </c>
      <c r="E1410" s="107">
        <v>366.05</v>
      </c>
      <c r="F1410" s="107">
        <v>370.8</v>
      </c>
      <c r="G1410">
        <v>14678</v>
      </c>
      <c r="H1410" s="107"/>
      <c r="I1410" s="107"/>
      <c r="L1410" s="149">
        <v>44082</v>
      </c>
      <c r="M1410" s="107">
        <v>370.85</v>
      </c>
      <c r="N1410" s="107">
        <v>378</v>
      </c>
      <c r="O1410" s="107">
        <v>370</v>
      </c>
      <c r="P1410" s="107">
        <v>373.3</v>
      </c>
      <c r="Q1410" s="107">
        <v>370.85</v>
      </c>
      <c r="R1410">
        <v>184374</v>
      </c>
    </row>
    <row r="1411" spans="1:18" x14ac:dyDescent="0.25">
      <c r="A1411" s="149">
        <v>44083</v>
      </c>
      <c r="B1411" s="107">
        <v>372.95</v>
      </c>
      <c r="C1411" s="107">
        <v>372.1</v>
      </c>
      <c r="D1411" s="107">
        <v>365.6</v>
      </c>
      <c r="E1411" s="107">
        <v>365.6</v>
      </c>
      <c r="F1411" s="107">
        <v>372.1</v>
      </c>
      <c r="G1411">
        <v>51486</v>
      </c>
      <c r="H1411" s="107"/>
      <c r="I1411" s="107"/>
      <c r="L1411" s="149">
        <v>44083</v>
      </c>
      <c r="M1411" s="107">
        <v>371.85</v>
      </c>
      <c r="N1411" s="107">
        <v>373</v>
      </c>
      <c r="O1411" s="107">
        <v>364.1</v>
      </c>
      <c r="P1411" s="107">
        <v>365</v>
      </c>
      <c r="Q1411" s="107">
        <v>371.85</v>
      </c>
      <c r="R1411">
        <v>323640</v>
      </c>
    </row>
    <row r="1412" spans="1:18" x14ac:dyDescent="0.25">
      <c r="A1412" s="149">
        <v>44084</v>
      </c>
      <c r="B1412" s="107">
        <v>382.75</v>
      </c>
      <c r="C1412" s="107">
        <v>380.25</v>
      </c>
      <c r="D1412" s="107">
        <v>374.35</v>
      </c>
      <c r="E1412" s="107">
        <v>375.5</v>
      </c>
      <c r="F1412" s="107">
        <v>380.25</v>
      </c>
      <c r="G1412">
        <v>84402</v>
      </c>
      <c r="H1412" s="107"/>
      <c r="I1412" s="107"/>
      <c r="L1412" s="149">
        <v>44084</v>
      </c>
      <c r="M1412" s="107">
        <v>380.55</v>
      </c>
      <c r="N1412" s="107">
        <v>383</v>
      </c>
      <c r="O1412" s="107">
        <v>372.8</v>
      </c>
      <c r="P1412" s="107">
        <v>372.8</v>
      </c>
      <c r="Q1412" s="107">
        <v>380.55</v>
      </c>
      <c r="R1412">
        <v>491249</v>
      </c>
    </row>
    <row r="1413" spans="1:18" x14ac:dyDescent="0.25">
      <c r="A1413" s="149">
        <v>44085</v>
      </c>
      <c r="B1413" s="107">
        <v>392.55</v>
      </c>
      <c r="C1413" s="107">
        <v>391.15</v>
      </c>
      <c r="D1413" s="107">
        <v>380.25</v>
      </c>
      <c r="E1413" s="107">
        <v>380.25</v>
      </c>
      <c r="F1413" s="107">
        <v>391.15</v>
      </c>
      <c r="G1413">
        <v>59409</v>
      </c>
      <c r="H1413" s="107"/>
      <c r="I1413" s="107"/>
      <c r="L1413" s="149">
        <v>44085</v>
      </c>
      <c r="M1413" s="107">
        <v>391.45</v>
      </c>
      <c r="N1413" s="107">
        <v>392.9</v>
      </c>
      <c r="O1413" s="107">
        <v>379.4</v>
      </c>
      <c r="P1413" s="107">
        <v>382</v>
      </c>
      <c r="Q1413" s="107">
        <v>391.45</v>
      </c>
      <c r="R1413">
        <v>473941</v>
      </c>
    </row>
    <row r="1414" spans="1:18" x14ac:dyDescent="0.25">
      <c r="A1414" s="149">
        <v>44088</v>
      </c>
      <c r="B1414" s="107">
        <v>438.9</v>
      </c>
      <c r="C1414" s="107">
        <v>426.05</v>
      </c>
      <c r="D1414" s="107">
        <v>401.1</v>
      </c>
      <c r="E1414" s="107">
        <v>408.45</v>
      </c>
      <c r="F1414" s="107">
        <v>426.05</v>
      </c>
      <c r="G1414">
        <v>92561</v>
      </c>
      <c r="H1414" s="107"/>
      <c r="I1414" s="107"/>
      <c r="L1414" s="149">
        <v>44088</v>
      </c>
      <c r="M1414" s="107">
        <v>425.75</v>
      </c>
      <c r="N1414" s="107">
        <v>439.6</v>
      </c>
      <c r="O1414" s="107">
        <v>400.8</v>
      </c>
      <c r="P1414" s="107">
        <v>402</v>
      </c>
      <c r="Q1414" s="107">
        <v>425.75</v>
      </c>
      <c r="R1414">
        <v>2424262</v>
      </c>
    </row>
    <row r="1415" spans="1:18" x14ac:dyDescent="0.25">
      <c r="A1415" s="149">
        <v>44089</v>
      </c>
      <c r="B1415" s="107">
        <v>438.9</v>
      </c>
      <c r="C1415" s="107">
        <v>434.45</v>
      </c>
      <c r="D1415" s="107">
        <v>417.9</v>
      </c>
      <c r="E1415" s="107">
        <v>426.2</v>
      </c>
      <c r="F1415" s="107">
        <v>434.45</v>
      </c>
      <c r="G1415">
        <v>51793</v>
      </c>
      <c r="H1415" s="107"/>
      <c r="I1415" s="107"/>
      <c r="L1415" s="149">
        <v>44089</v>
      </c>
      <c r="M1415" s="107">
        <v>434.3</v>
      </c>
      <c r="N1415" s="107">
        <v>439</v>
      </c>
      <c r="O1415" s="107">
        <v>417.75</v>
      </c>
      <c r="P1415" s="107">
        <v>428.95</v>
      </c>
      <c r="Q1415" s="107">
        <v>434.3</v>
      </c>
      <c r="R1415">
        <v>673855</v>
      </c>
    </row>
    <row r="1416" spans="1:18" x14ac:dyDescent="0.25">
      <c r="A1416" s="149">
        <v>44090</v>
      </c>
      <c r="B1416" s="107">
        <v>458.95</v>
      </c>
      <c r="C1416" s="107">
        <v>452.95</v>
      </c>
      <c r="D1416" s="107">
        <v>418.5</v>
      </c>
      <c r="E1416" s="107">
        <v>433.8</v>
      </c>
      <c r="F1416" s="107">
        <v>452.95</v>
      </c>
      <c r="G1416">
        <v>64571</v>
      </c>
      <c r="H1416" s="107"/>
      <c r="I1416" s="107"/>
      <c r="L1416" s="149">
        <v>44090</v>
      </c>
      <c r="M1416" s="107">
        <v>450.55</v>
      </c>
      <c r="N1416" s="107">
        <v>459.5</v>
      </c>
      <c r="O1416" s="107">
        <v>425.3</v>
      </c>
      <c r="P1416" s="107">
        <v>430</v>
      </c>
      <c r="Q1416" s="107">
        <v>450.55</v>
      </c>
      <c r="R1416">
        <v>1687709</v>
      </c>
    </row>
    <row r="1417" spans="1:18" x14ac:dyDescent="0.25">
      <c r="A1417" s="149">
        <v>44091</v>
      </c>
      <c r="B1417" s="107">
        <v>445.3</v>
      </c>
      <c r="C1417" s="107">
        <v>434.4</v>
      </c>
      <c r="D1417" s="107">
        <v>430.05</v>
      </c>
      <c r="E1417" s="107">
        <v>442</v>
      </c>
      <c r="F1417" s="107">
        <v>434.4</v>
      </c>
      <c r="G1417">
        <v>47303</v>
      </c>
      <c r="H1417" s="107"/>
      <c r="I1417" s="107"/>
      <c r="L1417" s="149">
        <v>44091</v>
      </c>
      <c r="M1417" s="107">
        <v>434.85</v>
      </c>
      <c r="N1417" s="107">
        <v>448</v>
      </c>
      <c r="O1417" s="107">
        <v>430.3</v>
      </c>
      <c r="P1417" s="107">
        <v>448</v>
      </c>
      <c r="Q1417" s="107">
        <v>434.85</v>
      </c>
      <c r="R1417">
        <v>903990</v>
      </c>
    </row>
    <row r="1418" spans="1:18" x14ac:dyDescent="0.25">
      <c r="A1418" s="149">
        <v>44092</v>
      </c>
      <c r="B1418" s="107">
        <v>440.15</v>
      </c>
      <c r="C1418" s="107">
        <v>420.6</v>
      </c>
      <c r="D1418" s="107">
        <v>415.65</v>
      </c>
      <c r="E1418" s="107">
        <v>435</v>
      </c>
      <c r="F1418" s="107">
        <v>420.6</v>
      </c>
      <c r="G1418">
        <v>52596</v>
      </c>
      <c r="H1418" s="107"/>
      <c r="I1418" s="107"/>
      <c r="L1418" s="149">
        <v>44092</v>
      </c>
      <c r="M1418" s="107">
        <v>420.5</v>
      </c>
      <c r="N1418" s="107">
        <v>440.95</v>
      </c>
      <c r="O1418" s="107">
        <v>416</v>
      </c>
      <c r="P1418" s="107">
        <v>438.6</v>
      </c>
      <c r="Q1418" s="107">
        <v>420.5</v>
      </c>
      <c r="R1418">
        <v>1329428</v>
      </c>
    </row>
    <row r="1419" spans="1:18" x14ac:dyDescent="0.25">
      <c r="A1419" s="149">
        <v>44095</v>
      </c>
      <c r="B1419" s="107">
        <v>423.7</v>
      </c>
      <c r="C1419" s="107">
        <v>418.4</v>
      </c>
      <c r="D1419" s="107">
        <v>415.15</v>
      </c>
      <c r="E1419" s="107">
        <v>421.5</v>
      </c>
      <c r="F1419" s="107">
        <v>418.4</v>
      </c>
      <c r="G1419">
        <v>52625</v>
      </c>
      <c r="H1419" s="107"/>
      <c r="I1419" s="107"/>
      <c r="L1419" s="149">
        <v>44095</v>
      </c>
      <c r="M1419" s="107">
        <v>418.55</v>
      </c>
      <c r="N1419" s="107">
        <v>423.9</v>
      </c>
      <c r="O1419" s="107">
        <v>415.55</v>
      </c>
      <c r="P1419" s="107">
        <v>420.5</v>
      </c>
      <c r="Q1419" s="107">
        <v>418.55</v>
      </c>
      <c r="R1419">
        <v>381487</v>
      </c>
    </row>
    <row r="1420" spans="1:18" x14ac:dyDescent="0.25">
      <c r="A1420" s="149">
        <v>44096</v>
      </c>
      <c r="B1420" s="107">
        <v>425.25</v>
      </c>
      <c r="C1420" s="107">
        <v>413.65</v>
      </c>
      <c r="D1420" s="107">
        <v>391.05</v>
      </c>
      <c r="E1420" s="107">
        <v>410</v>
      </c>
      <c r="F1420" s="107">
        <v>413.65</v>
      </c>
      <c r="G1420">
        <v>51341</v>
      </c>
      <c r="H1420" s="107"/>
      <c r="I1420" s="107"/>
      <c r="L1420" s="149">
        <v>44096</v>
      </c>
      <c r="M1420" s="107">
        <v>413.05</v>
      </c>
      <c r="N1420" s="107">
        <v>425.65</v>
      </c>
      <c r="O1420" s="107">
        <v>390.25</v>
      </c>
      <c r="P1420" s="107">
        <v>420.95</v>
      </c>
      <c r="Q1420" s="107">
        <v>413.05</v>
      </c>
      <c r="R1420">
        <v>543234</v>
      </c>
    </row>
    <row r="1421" spans="1:18" x14ac:dyDescent="0.25">
      <c r="A1421" s="149">
        <v>44097</v>
      </c>
      <c r="B1421" s="107">
        <v>422.15</v>
      </c>
      <c r="C1421" s="107">
        <v>415.75</v>
      </c>
      <c r="D1421" s="107">
        <v>411.75</v>
      </c>
      <c r="E1421" s="107">
        <v>416.95</v>
      </c>
      <c r="F1421" s="107">
        <v>415.75</v>
      </c>
      <c r="G1421">
        <v>33722</v>
      </c>
      <c r="H1421" s="107"/>
      <c r="I1421" s="107"/>
      <c r="L1421" s="149">
        <v>44097</v>
      </c>
      <c r="M1421" s="107">
        <v>415.6</v>
      </c>
      <c r="N1421" s="107">
        <v>422.35</v>
      </c>
      <c r="O1421" s="107">
        <v>411.1</v>
      </c>
      <c r="P1421" s="107">
        <v>415</v>
      </c>
      <c r="Q1421" s="107">
        <v>415.6</v>
      </c>
      <c r="R1421">
        <v>383045</v>
      </c>
    </row>
    <row r="1422" spans="1:18" x14ac:dyDescent="0.25">
      <c r="A1422" s="149">
        <v>44098</v>
      </c>
      <c r="B1422" s="107">
        <v>414</v>
      </c>
      <c r="C1422" s="107">
        <v>403.9</v>
      </c>
      <c r="D1422" s="107">
        <v>391.5</v>
      </c>
      <c r="E1422" s="107">
        <v>414</v>
      </c>
      <c r="F1422" s="107">
        <v>403.9</v>
      </c>
      <c r="G1422">
        <v>22856</v>
      </c>
      <c r="H1422" s="107"/>
      <c r="I1422" s="107"/>
      <c r="L1422" s="149">
        <v>44098</v>
      </c>
      <c r="M1422" s="107">
        <v>403.7</v>
      </c>
      <c r="N1422" s="107">
        <v>413.95</v>
      </c>
      <c r="O1422" s="107">
        <v>391.25</v>
      </c>
      <c r="P1422" s="107">
        <v>410.1</v>
      </c>
      <c r="Q1422" s="107">
        <v>403.7</v>
      </c>
      <c r="R1422">
        <v>268414</v>
      </c>
    </row>
    <row r="1423" spans="1:18" x14ac:dyDescent="0.25">
      <c r="A1423" s="149">
        <v>44099</v>
      </c>
      <c r="B1423" s="107">
        <v>416.35</v>
      </c>
      <c r="C1423" s="107">
        <v>410.4</v>
      </c>
      <c r="D1423" s="107">
        <v>397.7</v>
      </c>
      <c r="E1423" s="107">
        <v>403.1</v>
      </c>
      <c r="F1423" s="107">
        <v>410.4</v>
      </c>
      <c r="G1423">
        <v>22067</v>
      </c>
      <c r="H1423" s="107"/>
      <c r="I1423" s="107"/>
      <c r="L1423" s="149">
        <v>44099</v>
      </c>
      <c r="M1423" s="107">
        <v>409.2</v>
      </c>
      <c r="N1423" s="107">
        <v>419.8</v>
      </c>
      <c r="O1423" s="107">
        <v>397.05</v>
      </c>
      <c r="P1423" s="107">
        <v>405</v>
      </c>
      <c r="Q1423" s="107">
        <v>409.2</v>
      </c>
      <c r="R1423">
        <v>249202</v>
      </c>
    </row>
    <row r="1424" spans="1:18" x14ac:dyDescent="0.25">
      <c r="A1424" s="149">
        <v>44102</v>
      </c>
      <c r="B1424" s="107">
        <v>420.8</v>
      </c>
      <c r="C1424" s="107">
        <v>418.1</v>
      </c>
      <c r="D1424" s="107">
        <v>414.1</v>
      </c>
      <c r="E1424" s="107">
        <v>416.8</v>
      </c>
      <c r="F1424" s="107">
        <v>418.1</v>
      </c>
      <c r="G1424">
        <v>17936</v>
      </c>
      <c r="H1424" s="107"/>
      <c r="I1424" s="107"/>
      <c r="L1424" s="149">
        <v>44102</v>
      </c>
      <c r="M1424" s="107">
        <v>418.65</v>
      </c>
      <c r="N1424" s="107">
        <v>420.9</v>
      </c>
      <c r="O1424" s="107">
        <v>412</v>
      </c>
      <c r="P1424" s="107">
        <v>414</v>
      </c>
      <c r="Q1424" s="107">
        <v>418.65</v>
      </c>
      <c r="R1424">
        <v>277696</v>
      </c>
    </row>
    <row r="1425" spans="1:18" x14ac:dyDescent="0.25">
      <c r="A1425" s="149">
        <v>44103</v>
      </c>
      <c r="B1425" s="107">
        <v>427.35</v>
      </c>
      <c r="C1425" s="107">
        <v>421.35</v>
      </c>
      <c r="D1425" s="107">
        <v>418.2</v>
      </c>
      <c r="E1425" s="107">
        <v>420.55</v>
      </c>
      <c r="F1425" s="107">
        <v>421.35</v>
      </c>
      <c r="G1425">
        <v>21762</v>
      </c>
      <c r="H1425" s="107"/>
      <c r="I1425" s="107"/>
      <c r="L1425" s="149">
        <v>44103</v>
      </c>
      <c r="M1425" s="107">
        <v>422.1</v>
      </c>
      <c r="N1425" s="107">
        <v>427.35</v>
      </c>
      <c r="O1425" s="107">
        <v>416.45</v>
      </c>
      <c r="P1425" s="107">
        <v>420</v>
      </c>
      <c r="Q1425" s="107">
        <v>422.1</v>
      </c>
      <c r="R1425">
        <v>988668</v>
      </c>
    </row>
    <row r="1426" spans="1:18" x14ac:dyDescent="0.25">
      <c r="A1426" s="149">
        <v>44104</v>
      </c>
      <c r="B1426" s="107">
        <v>421.35</v>
      </c>
      <c r="C1426" s="107">
        <v>414.5</v>
      </c>
      <c r="D1426" s="107">
        <v>411.2</v>
      </c>
      <c r="E1426" s="107">
        <v>421.35</v>
      </c>
      <c r="F1426" s="107">
        <v>414.5</v>
      </c>
      <c r="G1426">
        <v>38037</v>
      </c>
      <c r="H1426" s="107"/>
      <c r="I1426" s="107"/>
      <c r="L1426" s="149">
        <v>44104</v>
      </c>
      <c r="M1426" s="107">
        <v>415.75</v>
      </c>
      <c r="N1426" s="107">
        <v>424.9</v>
      </c>
      <c r="O1426" s="107">
        <v>411.05</v>
      </c>
      <c r="P1426" s="107">
        <v>424.85</v>
      </c>
      <c r="Q1426" s="107">
        <v>415.75</v>
      </c>
      <c r="R1426">
        <v>373794</v>
      </c>
    </row>
    <row r="1427" spans="1:18" x14ac:dyDescent="0.25">
      <c r="A1427" s="149">
        <v>44105</v>
      </c>
      <c r="B1427" s="107">
        <v>427</v>
      </c>
      <c r="C1427" s="107">
        <v>415.85</v>
      </c>
      <c r="D1427" s="107">
        <v>412.4</v>
      </c>
      <c r="E1427" s="107">
        <v>424.95</v>
      </c>
      <c r="F1427" s="107">
        <v>415.85</v>
      </c>
      <c r="G1427">
        <v>127670</v>
      </c>
      <c r="H1427" s="107"/>
      <c r="I1427" s="107"/>
      <c r="L1427" s="149">
        <v>44105</v>
      </c>
      <c r="M1427" s="107">
        <v>416.45</v>
      </c>
      <c r="N1427" s="107">
        <v>432</v>
      </c>
      <c r="O1427" s="107">
        <v>412.2</v>
      </c>
      <c r="P1427" s="107">
        <v>417.85</v>
      </c>
      <c r="Q1427" s="107">
        <v>416.45</v>
      </c>
      <c r="R1427">
        <v>2686213</v>
      </c>
    </row>
    <row r="1428" spans="1:18" x14ac:dyDescent="0.25">
      <c r="A1428" s="149">
        <v>44109</v>
      </c>
      <c r="B1428" s="107">
        <v>422.55</v>
      </c>
      <c r="C1428" s="107">
        <v>418.65</v>
      </c>
      <c r="D1428" s="107">
        <v>412.35</v>
      </c>
      <c r="E1428" s="107">
        <v>419</v>
      </c>
      <c r="F1428" s="107">
        <v>418.65</v>
      </c>
      <c r="G1428">
        <v>39636</v>
      </c>
      <c r="H1428" s="107"/>
      <c r="I1428" s="107"/>
      <c r="L1428" s="149">
        <v>44109</v>
      </c>
      <c r="M1428" s="107">
        <v>419.05</v>
      </c>
      <c r="N1428" s="107">
        <v>422.7</v>
      </c>
      <c r="O1428" s="107">
        <v>411.9</v>
      </c>
      <c r="P1428" s="107">
        <v>413</v>
      </c>
      <c r="Q1428" s="107">
        <v>419.05</v>
      </c>
      <c r="R1428">
        <v>238435</v>
      </c>
    </row>
    <row r="1429" spans="1:18" x14ac:dyDescent="0.25">
      <c r="A1429" s="149">
        <v>44110</v>
      </c>
      <c r="B1429" s="107">
        <v>429</v>
      </c>
      <c r="C1429" s="107">
        <v>422.9</v>
      </c>
      <c r="D1429" s="107">
        <v>419.25</v>
      </c>
      <c r="E1429" s="107">
        <v>422.95</v>
      </c>
      <c r="F1429" s="107">
        <v>422.9</v>
      </c>
      <c r="G1429">
        <v>20511</v>
      </c>
      <c r="H1429" s="107"/>
      <c r="I1429" s="107"/>
      <c r="L1429" s="149">
        <v>44110</v>
      </c>
      <c r="M1429" s="107">
        <v>422.65</v>
      </c>
      <c r="N1429" s="107">
        <v>429.45</v>
      </c>
      <c r="O1429" s="107">
        <v>417.85</v>
      </c>
      <c r="P1429" s="107">
        <v>421.15</v>
      </c>
      <c r="Q1429" s="107">
        <v>422.65</v>
      </c>
      <c r="R1429">
        <v>712252</v>
      </c>
    </row>
    <row r="1430" spans="1:18" x14ac:dyDescent="0.25">
      <c r="A1430" s="149">
        <v>44111</v>
      </c>
      <c r="B1430" s="107">
        <v>433.5</v>
      </c>
      <c r="C1430" s="107">
        <v>429.6</v>
      </c>
      <c r="D1430" s="107">
        <v>419.25</v>
      </c>
      <c r="E1430" s="107">
        <v>426.95</v>
      </c>
      <c r="F1430" s="107">
        <v>429.6</v>
      </c>
      <c r="G1430">
        <v>22219</v>
      </c>
      <c r="H1430" s="107"/>
      <c r="I1430" s="107"/>
      <c r="L1430" s="149">
        <v>44111</v>
      </c>
      <c r="M1430" s="107">
        <v>429.75</v>
      </c>
      <c r="N1430" s="107">
        <v>433.55</v>
      </c>
      <c r="O1430" s="107">
        <v>419.6</v>
      </c>
      <c r="P1430" s="107">
        <v>424</v>
      </c>
      <c r="Q1430" s="107">
        <v>429.75</v>
      </c>
      <c r="R1430">
        <v>385282</v>
      </c>
    </row>
    <row r="1431" spans="1:18" x14ac:dyDescent="0.25">
      <c r="A1431" s="149">
        <v>44112</v>
      </c>
      <c r="B1431" s="107">
        <v>442.5</v>
      </c>
      <c r="C1431" s="107">
        <v>439.75</v>
      </c>
      <c r="D1431" s="107">
        <v>430.1</v>
      </c>
      <c r="E1431" s="107">
        <v>433.95</v>
      </c>
      <c r="F1431" s="107">
        <v>439.75</v>
      </c>
      <c r="G1431">
        <v>32775</v>
      </c>
      <c r="H1431" s="107"/>
      <c r="I1431" s="107"/>
      <c r="L1431" s="149">
        <v>44112</v>
      </c>
      <c r="M1431" s="107">
        <v>440.05</v>
      </c>
      <c r="N1431" s="107">
        <v>442.7</v>
      </c>
      <c r="O1431" s="107">
        <v>428.9</v>
      </c>
      <c r="P1431" s="107">
        <v>430.1</v>
      </c>
      <c r="Q1431" s="107">
        <v>440.05</v>
      </c>
      <c r="R1431">
        <v>829286</v>
      </c>
    </row>
    <row r="1432" spans="1:18" x14ac:dyDescent="0.25">
      <c r="A1432" s="149">
        <v>44113</v>
      </c>
      <c r="B1432" s="107">
        <v>478.4</v>
      </c>
      <c r="C1432" s="107">
        <v>463.9</v>
      </c>
      <c r="D1432" s="107">
        <v>438.7</v>
      </c>
      <c r="E1432" s="107">
        <v>439.85</v>
      </c>
      <c r="F1432" s="107">
        <v>463.9</v>
      </c>
      <c r="G1432">
        <v>78342</v>
      </c>
      <c r="H1432" s="107"/>
      <c r="I1432" s="107"/>
      <c r="L1432" s="149">
        <v>44113</v>
      </c>
      <c r="M1432" s="107">
        <v>463.7</v>
      </c>
      <c r="N1432" s="107">
        <v>478.7</v>
      </c>
      <c r="O1432" s="107">
        <v>437.5</v>
      </c>
      <c r="P1432" s="107">
        <v>441.25</v>
      </c>
      <c r="Q1432" s="107">
        <v>463.7</v>
      </c>
      <c r="R1432">
        <v>2589846</v>
      </c>
    </row>
    <row r="1433" spans="1:18" x14ac:dyDescent="0.25">
      <c r="A1433" s="149">
        <v>44116</v>
      </c>
      <c r="B1433" s="107">
        <v>479.3</v>
      </c>
      <c r="C1433" s="107">
        <v>473.05</v>
      </c>
      <c r="D1433" s="107">
        <v>460.5</v>
      </c>
      <c r="E1433" s="107">
        <v>463.9</v>
      </c>
      <c r="F1433" s="107">
        <v>473.05</v>
      </c>
      <c r="G1433">
        <v>35087</v>
      </c>
      <c r="H1433" s="107"/>
      <c r="I1433" s="107"/>
      <c r="L1433" s="149">
        <v>44116</v>
      </c>
      <c r="M1433" s="107">
        <v>474</v>
      </c>
      <c r="N1433" s="107">
        <v>479.7</v>
      </c>
      <c r="O1433" s="107">
        <v>460.3</v>
      </c>
      <c r="P1433" s="107">
        <v>464.7</v>
      </c>
      <c r="Q1433" s="107">
        <v>474</v>
      </c>
      <c r="R1433">
        <v>978375</v>
      </c>
    </row>
    <row r="1434" spans="1:18" x14ac:dyDescent="0.25">
      <c r="A1434" s="149">
        <v>44117</v>
      </c>
      <c r="B1434" s="107">
        <v>474.75</v>
      </c>
      <c r="C1434" s="107">
        <v>467.45</v>
      </c>
      <c r="D1434" s="107">
        <v>453.6</v>
      </c>
      <c r="E1434" s="107">
        <v>474.75</v>
      </c>
      <c r="F1434" s="107">
        <v>467.45</v>
      </c>
      <c r="G1434">
        <v>22398</v>
      </c>
      <c r="H1434" s="107"/>
      <c r="I1434" s="107"/>
      <c r="L1434" s="149">
        <v>44117</v>
      </c>
      <c r="M1434" s="107">
        <v>466.1</v>
      </c>
      <c r="N1434" s="107">
        <v>473.7</v>
      </c>
      <c r="O1434" s="107">
        <v>452.9</v>
      </c>
      <c r="P1434" s="107">
        <v>473.25</v>
      </c>
      <c r="Q1434" s="107">
        <v>466.1</v>
      </c>
      <c r="R1434">
        <v>419459</v>
      </c>
    </row>
    <row r="1435" spans="1:18" x14ac:dyDescent="0.25">
      <c r="A1435" s="149">
        <v>44118</v>
      </c>
      <c r="B1435" s="107">
        <v>477.65</v>
      </c>
      <c r="C1435" s="107">
        <v>470.4</v>
      </c>
      <c r="D1435" s="107">
        <v>463.5</v>
      </c>
      <c r="E1435" s="107">
        <v>464.3</v>
      </c>
      <c r="F1435" s="107">
        <v>470.4</v>
      </c>
      <c r="G1435">
        <v>16065</v>
      </c>
      <c r="H1435" s="107"/>
      <c r="I1435" s="107"/>
      <c r="L1435" s="149">
        <v>44118</v>
      </c>
      <c r="M1435" s="107">
        <v>470.5</v>
      </c>
      <c r="N1435" s="107">
        <v>477.7</v>
      </c>
      <c r="O1435" s="107">
        <v>464.55</v>
      </c>
      <c r="P1435" s="107">
        <v>466.3</v>
      </c>
      <c r="Q1435" s="107">
        <v>470.5</v>
      </c>
      <c r="R1435">
        <v>474775</v>
      </c>
    </row>
    <row r="1436" spans="1:18" x14ac:dyDescent="0.25">
      <c r="A1436" s="149">
        <v>44119</v>
      </c>
      <c r="B1436" s="107">
        <v>474.9</v>
      </c>
      <c r="C1436" s="107">
        <v>448.05</v>
      </c>
      <c r="D1436" s="107">
        <v>439.75</v>
      </c>
      <c r="E1436" s="107">
        <v>470</v>
      </c>
      <c r="F1436" s="107">
        <v>448.05</v>
      </c>
      <c r="G1436">
        <v>92716</v>
      </c>
      <c r="H1436" s="107"/>
      <c r="I1436" s="107"/>
      <c r="L1436" s="149">
        <v>44119</v>
      </c>
      <c r="M1436" s="107">
        <v>447.1</v>
      </c>
      <c r="N1436" s="107">
        <v>475</v>
      </c>
      <c r="O1436" s="107">
        <v>438</v>
      </c>
      <c r="P1436" s="107">
        <v>469.9</v>
      </c>
      <c r="Q1436" s="107">
        <v>447.1</v>
      </c>
      <c r="R1436">
        <v>261217</v>
      </c>
    </row>
    <row r="1437" spans="1:18" x14ac:dyDescent="0.25">
      <c r="A1437" s="149">
        <v>44120</v>
      </c>
      <c r="B1437" s="107">
        <v>473.9</v>
      </c>
      <c r="C1437" s="107">
        <v>469.4</v>
      </c>
      <c r="D1437" s="107">
        <v>440.05</v>
      </c>
      <c r="E1437" s="107">
        <v>440.05</v>
      </c>
      <c r="F1437" s="107">
        <v>469.4</v>
      </c>
      <c r="G1437">
        <v>31792</v>
      </c>
      <c r="H1437" s="107"/>
      <c r="I1437" s="107"/>
      <c r="L1437" s="149">
        <v>44120</v>
      </c>
      <c r="M1437" s="107">
        <v>468.35</v>
      </c>
      <c r="N1437" s="107">
        <v>475</v>
      </c>
      <c r="O1437" s="107">
        <v>440.2</v>
      </c>
      <c r="P1437" s="107">
        <v>446.25</v>
      </c>
      <c r="Q1437" s="107">
        <v>468.35</v>
      </c>
      <c r="R1437">
        <v>335168</v>
      </c>
    </row>
    <row r="1438" spans="1:18" x14ac:dyDescent="0.25">
      <c r="A1438" s="149">
        <v>44123</v>
      </c>
      <c r="B1438" s="107">
        <v>476.9</v>
      </c>
      <c r="C1438" s="107">
        <v>464.55</v>
      </c>
      <c r="D1438" s="107">
        <v>453.05</v>
      </c>
      <c r="E1438" s="107">
        <v>465.05</v>
      </c>
      <c r="F1438" s="107">
        <v>464.55</v>
      </c>
      <c r="G1438">
        <v>29263</v>
      </c>
      <c r="H1438" s="107"/>
      <c r="I1438" s="107"/>
      <c r="L1438" s="149">
        <v>44123</v>
      </c>
      <c r="M1438" s="107">
        <v>466.1</v>
      </c>
      <c r="N1438" s="107">
        <v>478</v>
      </c>
      <c r="O1438" s="107">
        <v>451.2</v>
      </c>
      <c r="P1438" s="107">
        <v>468.05</v>
      </c>
      <c r="Q1438" s="107">
        <v>466.1</v>
      </c>
      <c r="R1438">
        <v>749331</v>
      </c>
    </row>
    <row r="1439" spans="1:18" x14ac:dyDescent="0.25">
      <c r="A1439" s="149">
        <v>44124</v>
      </c>
      <c r="B1439" s="107">
        <v>471.1</v>
      </c>
      <c r="C1439" s="107">
        <v>470</v>
      </c>
      <c r="D1439" s="107">
        <v>462</v>
      </c>
      <c r="E1439" s="107">
        <v>463.75</v>
      </c>
      <c r="F1439" s="107">
        <v>470</v>
      </c>
      <c r="G1439">
        <v>28974</v>
      </c>
      <c r="H1439" s="107"/>
      <c r="I1439" s="107"/>
      <c r="L1439" s="149">
        <v>44124</v>
      </c>
      <c r="M1439" s="107">
        <v>470.2</v>
      </c>
      <c r="N1439" s="107">
        <v>472</v>
      </c>
      <c r="O1439" s="107">
        <v>461.35</v>
      </c>
      <c r="P1439" s="107">
        <v>462.9</v>
      </c>
      <c r="Q1439" s="107">
        <v>470.2</v>
      </c>
      <c r="R1439">
        <v>217680</v>
      </c>
    </row>
    <row r="1440" spans="1:18" x14ac:dyDescent="0.25">
      <c r="A1440" s="149">
        <v>44125</v>
      </c>
      <c r="B1440" s="107">
        <v>484.35</v>
      </c>
      <c r="C1440" s="107">
        <v>469</v>
      </c>
      <c r="D1440" s="107">
        <v>458</v>
      </c>
      <c r="E1440" s="107">
        <v>472.85</v>
      </c>
      <c r="F1440" s="107">
        <v>469</v>
      </c>
      <c r="G1440">
        <v>52959</v>
      </c>
      <c r="H1440" s="107"/>
      <c r="I1440" s="107"/>
      <c r="L1440" s="149">
        <v>44125</v>
      </c>
      <c r="M1440" s="107">
        <v>468.5</v>
      </c>
      <c r="N1440" s="107">
        <v>484.35</v>
      </c>
      <c r="O1440" s="107">
        <v>458</v>
      </c>
      <c r="P1440" s="107">
        <v>468</v>
      </c>
      <c r="Q1440" s="107">
        <v>468.5</v>
      </c>
      <c r="R1440">
        <v>577939</v>
      </c>
    </row>
    <row r="1441" spans="1:18" x14ac:dyDescent="0.25">
      <c r="A1441" s="149">
        <v>44126</v>
      </c>
      <c r="B1441" s="107">
        <v>472.2</v>
      </c>
      <c r="C1441" s="107">
        <v>455.6</v>
      </c>
      <c r="D1441" s="107">
        <v>449.9</v>
      </c>
      <c r="E1441" s="107">
        <v>468</v>
      </c>
      <c r="F1441" s="107">
        <v>455.6</v>
      </c>
      <c r="G1441">
        <v>18029</v>
      </c>
      <c r="H1441" s="107"/>
      <c r="I1441" s="107"/>
      <c r="L1441" s="149">
        <v>44126</v>
      </c>
      <c r="M1441" s="107">
        <v>454.15</v>
      </c>
      <c r="N1441" s="107">
        <v>472.35</v>
      </c>
      <c r="O1441" s="107">
        <v>450.1</v>
      </c>
      <c r="P1441" s="107">
        <v>465.05</v>
      </c>
      <c r="Q1441" s="107">
        <v>454.15</v>
      </c>
      <c r="R1441">
        <v>315942</v>
      </c>
    </row>
    <row r="1442" spans="1:18" x14ac:dyDescent="0.25">
      <c r="A1442" s="149">
        <v>44127</v>
      </c>
      <c r="B1442" s="107">
        <v>460.75</v>
      </c>
      <c r="C1442" s="107">
        <v>458.4</v>
      </c>
      <c r="D1442" s="107">
        <v>452</v>
      </c>
      <c r="E1442" s="107">
        <v>452</v>
      </c>
      <c r="F1442" s="107">
        <v>458.4</v>
      </c>
      <c r="G1442">
        <v>11166</v>
      </c>
      <c r="H1442" s="107"/>
      <c r="I1442" s="107"/>
      <c r="L1442" s="149">
        <v>44127</v>
      </c>
      <c r="M1442" s="107">
        <v>458.3</v>
      </c>
      <c r="N1442" s="107">
        <v>461.9</v>
      </c>
      <c r="O1442" s="107">
        <v>454.35</v>
      </c>
      <c r="P1442" s="107">
        <v>455</v>
      </c>
      <c r="Q1442" s="107">
        <v>458.3</v>
      </c>
      <c r="R1442">
        <v>157576</v>
      </c>
    </row>
    <row r="1443" spans="1:18" x14ac:dyDescent="0.25">
      <c r="A1443" s="149">
        <v>44130</v>
      </c>
      <c r="B1443" s="107">
        <v>464.3</v>
      </c>
      <c r="C1443" s="107">
        <v>445.95</v>
      </c>
      <c r="D1443" s="107">
        <v>444.65</v>
      </c>
      <c r="E1443" s="107">
        <v>458.3</v>
      </c>
      <c r="F1443" s="107">
        <v>445.95</v>
      </c>
      <c r="G1443">
        <v>31957</v>
      </c>
      <c r="H1443" s="107"/>
      <c r="I1443" s="107"/>
      <c r="L1443" s="149">
        <v>44130</v>
      </c>
      <c r="M1443" s="107">
        <v>446.45</v>
      </c>
      <c r="N1443" s="107">
        <v>465</v>
      </c>
      <c r="O1443" s="107">
        <v>444</v>
      </c>
      <c r="P1443" s="107">
        <v>460.6</v>
      </c>
      <c r="Q1443" s="107">
        <v>446.45</v>
      </c>
      <c r="R1443">
        <v>164818</v>
      </c>
    </row>
    <row r="1444" spans="1:18" x14ac:dyDescent="0.25">
      <c r="A1444" s="149">
        <v>44131</v>
      </c>
      <c r="B1444" s="107">
        <v>458.1</v>
      </c>
      <c r="C1444" s="107">
        <v>452.95</v>
      </c>
      <c r="D1444" s="107">
        <v>418.1</v>
      </c>
      <c r="E1444" s="107">
        <v>418.1</v>
      </c>
      <c r="F1444" s="107">
        <v>452.95</v>
      </c>
      <c r="G1444">
        <v>6421</v>
      </c>
      <c r="H1444" s="107"/>
      <c r="I1444" s="107"/>
      <c r="L1444" s="149">
        <v>44131</v>
      </c>
      <c r="M1444" s="107">
        <v>452.65</v>
      </c>
      <c r="N1444" s="107">
        <v>457.9</v>
      </c>
      <c r="O1444" s="107">
        <v>435.15</v>
      </c>
      <c r="P1444" s="107">
        <v>445.1</v>
      </c>
      <c r="Q1444" s="107">
        <v>452.65</v>
      </c>
      <c r="R1444">
        <v>237051</v>
      </c>
    </row>
    <row r="1445" spans="1:18" x14ac:dyDescent="0.25">
      <c r="A1445" s="149">
        <v>44132</v>
      </c>
      <c r="B1445" s="107">
        <v>459.6</v>
      </c>
      <c r="C1445" s="107">
        <v>449.45</v>
      </c>
      <c r="D1445" s="107">
        <v>441.1</v>
      </c>
      <c r="E1445" s="107">
        <v>454.5</v>
      </c>
      <c r="F1445" s="107">
        <v>449.45</v>
      </c>
      <c r="G1445">
        <v>36887</v>
      </c>
      <c r="H1445" s="107"/>
      <c r="I1445" s="107"/>
      <c r="L1445" s="149">
        <v>44132</v>
      </c>
      <c r="M1445" s="107">
        <v>449.5</v>
      </c>
      <c r="N1445" s="107">
        <v>460</v>
      </c>
      <c r="O1445" s="107">
        <v>446.05</v>
      </c>
      <c r="P1445" s="107">
        <v>455.25</v>
      </c>
      <c r="Q1445" s="107">
        <v>449.5</v>
      </c>
      <c r="R1445">
        <v>122291</v>
      </c>
    </row>
    <row r="1446" spans="1:18" x14ac:dyDescent="0.25">
      <c r="A1446" s="149">
        <v>44133</v>
      </c>
      <c r="B1446" s="107">
        <v>465.3</v>
      </c>
      <c r="C1446" s="107">
        <v>462.75</v>
      </c>
      <c r="D1446" s="107">
        <v>453.25</v>
      </c>
      <c r="E1446" s="107">
        <v>455</v>
      </c>
      <c r="F1446" s="107">
        <v>462.75</v>
      </c>
      <c r="G1446">
        <v>7905</v>
      </c>
      <c r="H1446" s="107"/>
      <c r="I1446" s="107"/>
      <c r="L1446" s="149">
        <v>44133</v>
      </c>
      <c r="M1446" s="107">
        <v>463.25</v>
      </c>
      <c r="N1446" s="107">
        <v>465</v>
      </c>
      <c r="O1446" s="107">
        <v>452</v>
      </c>
      <c r="P1446" s="107">
        <v>452</v>
      </c>
      <c r="Q1446" s="107">
        <v>463.25</v>
      </c>
      <c r="R1446">
        <v>331963</v>
      </c>
    </row>
    <row r="1447" spans="1:18" x14ac:dyDescent="0.25">
      <c r="A1447" s="149">
        <v>44134</v>
      </c>
      <c r="B1447" s="107">
        <v>470.2</v>
      </c>
      <c r="C1447" s="107">
        <v>456.9</v>
      </c>
      <c r="D1447" s="107">
        <v>453</v>
      </c>
      <c r="E1447" s="107">
        <v>464</v>
      </c>
      <c r="F1447" s="107">
        <v>456.9</v>
      </c>
      <c r="G1447">
        <v>43319</v>
      </c>
      <c r="H1447" s="107"/>
      <c r="I1447" s="107"/>
      <c r="L1447" s="149">
        <v>44134</v>
      </c>
      <c r="M1447" s="107">
        <v>457.25</v>
      </c>
      <c r="N1447" s="107">
        <v>471</v>
      </c>
      <c r="O1447" s="107">
        <v>452.75</v>
      </c>
      <c r="P1447" s="107">
        <v>467.05</v>
      </c>
      <c r="Q1447" s="107">
        <v>457.25</v>
      </c>
      <c r="R1447">
        <v>185244</v>
      </c>
    </row>
    <row r="1448" spans="1:18" x14ac:dyDescent="0.25">
      <c r="A1448" s="149">
        <v>44137</v>
      </c>
      <c r="B1448" s="107">
        <v>468.6</v>
      </c>
      <c r="C1448" s="107">
        <v>462.95</v>
      </c>
      <c r="D1448" s="107">
        <v>456</v>
      </c>
      <c r="E1448" s="107">
        <v>458.35</v>
      </c>
      <c r="F1448" s="107">
        <v>462.95</v>
      </c>
      <c r="G1448">
        <v>43904</v>
      </c>
      <c r="H1448" s="107"/>
      <c r="I1448" s="107"/>
      <c r="L1448" s="149">
        <v>44137</v>
      </c>
      <c r="M1448" s="107">
        <v>462.3</v>
      </c>
      <c r="N1448" s="107">
        <v>469.65</v>
      </c>
      <c r="O1448" s="107">
        <v>455.05</v>
      </c>
      <c r="P1448" s="107">
        <v>457.2</v>
      </c>
      <c r="Q1448" s="107">
        <v>462.3</v>
      </c>
      <c r="R1448">
        <v>173542</v>
      </c>
    </row>
    <row r="1449" spans="1:18" x14ac:dyDescent="0.25">
      <c r="A1449" s="149">
        <v>44138</v>
      </c>
      <c r="B1449" s="107">
        <v>474.3</v>
      </c>
      <c r="C1449" s="107">
        <v>463.55</v>
      </c>
      <c r="D1449" s="107">
        <v>460.05</v>
      </c>
      <c r="E1449" s="107">
        <v>473</v>
      </c>
      <c r="F1449" s="107">
        <v>463.55</v>
      </c>
      <c r="G1449">
        <v>36814</v>
      </c>
      <c r="H1449" s="107"/>
      <c r="I1449" s="107"/>
      <c r="L1449" s="149">
        <v>44138</v>
      </c>
      <c r="M1449" s="107">
        <v>462.95</v>
      </c>
      <c r="N1449" s="107">
        <v>474.5</v>
      </c>
      <c r="O1449" s="107">
        <v>460</v>
      </c>
      <c r="P1449" s="107">
        <v>469.95</v>
      </c>
      <c r="Q1449" s="107">
        <v>462.95</v>
      </c>
      <c r="R1449">
        <v>241137</v>
      </c>
    </row>
    <row r="1450" spans="1:18" x14ac:dyDescent="0.25">
      <c r="A1450" s="149">
        <v>44139</v>
      </c>
      <c r="B1450" s="107">
        <v>467</v>
      </c>
      <c r="C1450" s="107">
        <v>454.75</v>
      </c>
      <c r="D1450" s="107">
        <v>448.9</v>
      </c>
      <c r="E1450" s="107">
        <v>463</v>
      </c>
      <c r="F1450" s="107">
        <v>454.75</v>
      </c>
      <c r="G1450">
        <v>22249</v>
      </c>
      <c r="H1450" s="107"/>
      <c r="I1450" s="107"/>
      <c r="L1450" s="149">
        <v>44139</v>
      </c>
      <c r="M1450" s="107">
        <v>454.8</v>
      </c>
      <c r="N1450" s="107">
        <v>467.95</v>
      </c>
      <c r="O1450" s="107">
        <v>448.5</v>
      </c>
      <c r="P1450" s="107">
        <v>463</v>
      </c>
      <c r="Q1450" s="107">
        <v>454.8</v>
      </c>
      <c r="R1450">
        <v>229651</v>
      </c>
    </row>
    <row r="1451" spans="1:18" x14ac:dyDescent="0.25">
      <c r="A1451" s="149">
        <v>44140</v>
      </c>
      <c r="B1451" s="107">
        <v>465.5</v>
      </c>
      <c r="C1451" s="107">
        <v>463.9</v>
      </c>
      <c r="D1451" s="107">
        <v>458.35</v>
      </c>
      <c r="E1451" s="107">
        <v>460.6</v>
      </c>
      <c r="F1451" s="107">
        <v>463.9</v>
      </c>
      <c r="G1451">
        <v>16189</v>
      </c>
      <c r="H1451" s="107"/>
      <c r="I1451" s="107"/>
      <c r="L1451" s="149">
        <v>44140</v>
      </c>
      <c r="M1451" s="107">
        <v>464.15</v>
      </c>
      <c r="N1451" s="107">
        <v>465.85</v>
      </c>
      <c r="O1451" s="107">
        <v>456</v>
      </c>
      <c r="P1451" s="107">
        <v>457.1</v>
      </c>
      <c r="Q1451" s="107">
        <v>464.15</v>
      </c>
      <c r="R1451">
        <v>153681</v>
      </c>
    </row>
    <row r="1452" spans="1:18" x14ac:dyDescent="0.25">
      <c r="A1452" s="149">
        <v>44141</v>
      </c>
      <c r="B1452" s="107">
        <v>474.2</v>
      </c>
      <c r="C1452" s="107">
        <v>471.55</v>
      </c>
      <c r="D1452" s="107">
        <v>460</v>
      </c>
      <c r="E1452" s="107">
        <v>463</v>
      </c>
      <c r="F1452" s="107">
        <v>471.55</v>
      </c>
      <c r="G1452">
        <v>11028</v>
      </c>
      <c r="H1452" s="107"/>
      <c r="I1452" s="107"/>
      <c r="L1452" s="149">
        <v>44141</v>
      </c>
      <c r="M1452" s="107">
        <v>471.95</v>
      </c>
      <c r="N1452" s="107">
        <v>474.8</v>
      </c>
      <c r="O1452" s="107">
        <v>459.6</v>
      </c>
      <c r="P1452" s="107">
        <v>461.95</v>
      </c>
      <c r="Q1452" s="107">
        <v>471.95</v>
      </c>
      <c r="R1452">
        <v>206238</v>
      </c>
    </row>
    <row r="1453" spans="1:18" x14ac:dyDescent="0.25">
      <c r="A1453" s="149">
        <v>44144</v>
      </c>
      <c r="B1453" s="107">
        <v>481.95</v>
      </c>
      <c r="C1453" s="107">
        <v>476.3</v>
      </c>
      <c r="D1453" s="107">
        <v>465.45</v>
      </c>
      <c r="E1453" s="107">
        <v>472</v>
      </c>
      <c r="F1453" s="107">
        <v>476.3</v>
      </c>
      <c r="G1453">
        <v>12049</v>
      </c>
      <c r="H1453" s="107"/>
      <c r="I1453" s="107"/>
      <c r="L1453" s="149">
        <v>44144</v>
      </c>
      <c r="M1453" s="107">
        <v>476.35</v>
      </c>
      <c r="N1453" s="107">
        <v>482</v>
      </c>
      <c r="O1453" s="107">
        <v>465</v>
      </c>
      <c r="P1453" s="107">
        <v>471.95</v>
      </c>
      <c r="Q1453" s="107">
        <v>476.35</v>
      </c>
      <c r="R1453">
        <v>241404</v>
      </c>
    </row>
    <row r="1454" spans="1:18" x14ac:dyDescent="0.25">
      <c r="A1454" s="149">
        <v>44145</v>
      </c>
      <c r="B1454" s="107">
        <v>484.6</v>
      </c>
      <c r="C1454" s="107">
        <v>480.35</v>
      </c>
      <c r="D1454" s="107">
        <v>473.3</v>
      </c>
      <c r="E1454" s="107">
        <v>477</v>
      </c>
      <c r="F1454" s="107">
        <v>480.35</v>
      </c>
      <c r="G1454">
        <v>58381</v>
      </c>
      <c r="H1454" s="107"/>
      <c r="I1454" s="107"/>
      <c r="L1454" s="149">
        <v>44145</v>
      </c>
      <c r="M1454" s="107">
        <v>481.1</v>
      </c>
      <c r="N1454" s="107">
        <v>485</v>
      </c>
      <c r="O1454" s="107">
        <v>472.9</v>
      </c>
      <c r="P1454" s="107">
        <v>480</v>
      </c>
      <c r="Q1454" s="107">
        <v>481.1</v>
      </c>
      <c r="R1454">
        <v>582840</v>
      </c>
    </row>
    <row r="1455" spans="1:18" x14ac:dyDescent="0.25">
      <c r="A1455" s="149">
        <v>44146</v>
      </c>
      <c r="B1455" s="107">
        <v>487.75</v>
      </c>
      <c r="C1455" s="107">
        <v>476.95</v>
      </c>
      <c r="D1455" s="107">
        <v>475.3</v>
      </c>
      <c r="E1455" s="107">
        <v>482.85</v>
      </c>
      <c r="F1455" s="107">
        <v>476.95</v>
      </c>
      <c r="G1455">
        <v>12329</v>
      </c>
      <c r="H1455" s="107"/>
      <c r="I1455" s="107"/>
      <c r="L1455" s="149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9">
        <v>44147</v>
      </c>
      <c r="B1456" s="107">
        <v>484.6</v>
      </c>
      <c r="C1456" s="107">
        <v>479.15</v>
      </c>
      <c r="D1456" s="107">
        <v>475.75</v>
      </c>
      <c r="E1456" s="107">
        <v>477.15</v>
      </c>
      <c r="F1456" s="107">
        <v>479.15</v>
      </c>
      <c r="G1456">
        <v>19206</v>
      </c>
      <c r="H1456" s="107"/>
      <c r="I1456" s="107"/>
      <c r="L1456" s="149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9">
        <v>44148</v>
      </c>
      <c r="B1457" s="107">
        <v>480</v>
      </c>
      <c r="C1457" s="107">
        <v>473.55</v>
      </c>
      <c r="D1457" s="107">
        <v>471.4</v>
      </c>
      <c r="E1457" s="107">
        <v>478.2</v>
      </c>
      <c r="F1457" s="107">
        <v>473.55</v>
      </c>
      <c r="G1457">
        <v>12256</v>
      </c>
      <c r="H1457" s="107"/>
      <c r="I1457" s="107"/>
      <c r="L1457" s="149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9">
        <v>44149</v>
      </c>
      <c r="B1458" s="107">
        <v>481.5</v>
      </c>
      <c r="C1458" s="107">
        <v>479.75</v>
      </c>
      <c r="D1458" s="107">
        <v>476.45</v>
      </c>
      <c r="E1458" s="107">
        <v>481.5</v>
      </c>
      <c r="F1458" s="107">
        <v>479.75</v>
      </c>
      <c r="G1458">
        <v>3040</v>
      </c>
      <c r="H1458" s="107"/>
      <c r="I1458" s="107"/>
      <c r="L1458" s="149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9">
        <v>44152</v>
      </c>
      <c r="B1459" s="107">
        <v>485.5</v>
      </c>
      <c r="C1459" s="107">
        <v>484.4</v>
      </c>
      <c r="D1459" s="107">
        <v>471.7</v>
      </c>
      <c r="E1459" s="107">
        <v>480.5</v>
      </c>
      <c r="F1459" s="107">
        <v>484.4</v>
      </c>
      <c r="G1459">
        <v>53505</v>
      </c>
      <c r="H1459" s="107"/>
      <c r="I1459" s="107"/>
      <c r="L1459" s="149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9">
        <v>44153</v>
      </c>
      <c r="B1460" s="107">
        <v>484.85</v>
      </c>
      <c r="C1460" s="107">
        <v>479.2</v>
      </c>
      <c r="D1460" s="107">
        <v>476.5</v>
      </c>
      <c r="E1460" s="107">
        <v>484</v>
      </c>
      <c r="F1460" s="107">
        <v>479.2</v>
      </c>
      <c r="G1460">
        <v>7089</v>
      </c>
      <c r="H1460" s="107"/>
      <c r="I1460" s="107"/>
      <c r="L1460" s="149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9">
        <v>44154</v>
      </c>
      <c r="B1461" s="107">
        <v>478</v>
      </c>
      <c r="C1461" s="107">
        <v>459.15</v>
      </c>
      <c r="D1461" s="107">
        <v>452</v>
      </c>
      <c r="E1461" s="107">
        <v>477.15</v>
      </c>
      <c r="F1461" s="107">
        <v>459.15</v>
      </c>
      <c r="G1461">
        <v>30661</v>
      </c>
      <c r="H1461" s="107"/>
      <c r="I1461" s="107"/>
      <c r="L1461" s="149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9">
        <v>44155</v>
      </c>
      <c r="B1462" s="107">
        <v>467.4</v>
      </c>
      <c r="C1462" s="107">
        <v>463.2</v>
      </c>
      <c r="D1462" s="107">
        <v>459.45</v>
      </c>
      <c r="E1462" s="107">
        <v>462.05</v>
      </c>
      <c r="F1462" s="107">
        <v>463.2</v>
      </c>
      <c r="G1462">
        <v>14044</v>
      </c>
      <c r="H1462" s="107"/>
      <c r="I1462" s="107"/>
      <c r="L1462" s="149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9">
        <v>44158</v>
      </c>
      <c r="B1463" s="107">
        <v>476.4</v>
      </c>
      <c r="C1463" s="107">
        <v>469.65</v>
      </c>
      <c r="D1463" s="107">
        <v>467.3</v>
      </c>
      <c r="E1463" s="107">
        <v>470.85</v>
      </c>
      <c r="F1463" s="107">
        <v>469.65</v>
      </c>
      <c r="G1463">
        <v>14007</v>
      </c>
      <c r="H1463" s="107"/>
      <c r="I1463" s="107"/>
      <c r="L1463" s="149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9">
        <v>44159</v>
      </c>
      <c r="B1464" s="107">
        <v>480.4</v>
      </c>
      <c r="C1464" s="107">
        <v>480.1</v>
      </c>
      <c r="D1464" s="107">
        <v>472.9</v>
      </c>
      <c r="E1464" s="107">
        <v>474.75</v>
      </c>
      <c r="F1464" s="107">
        <v>480.1</v>
      </c>
      <c r="G1464">
        <v>7843</v>
      </c>
      <c r="H1464" s="107"/>
      <c r="I1464" s="107"/>
      <c r="L1464" s="149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9">
        <v>44160</v>
      </c>
      <c r="B1465" s="107">
        <v>484.25</v>
      </c>
      <c r="C1465" s="107">
        <v>470.6</v>
      </c>
      <c r="D1465" s="107">
        <v>469.75</v>
      </c>
      <c r="E1465" s="107">
        <v>482.85</v>
      </c>
      <c r="F1465" s="107">
        <v>470.6</v>
      </c>
      <c r="G1465">
        <v>42396</v>
      </c>
      <c r="H1465" s="107"/>
      <c r="I1465" s="107"/>
      <c r="L1465" s="149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9">
        <v>44161</v>
      </c>
      <c r="B1466" s="107">
        <v>475.1</v>
      </c>
      <c r="C1466" s="107">
        <v>469.95</v>
      </c>
      <c r="D1466" s="107">
        <v>464.85</v>
      </c>
      <c r="E1466" s="107">
        <v>475</v>
      </c>
      <c r="F1466" s="107">
        <v>469.95</v>
      </c>
      <c r="G1466">
        <v>40826</v>
      </c>
      <c r="H1466" s="107"/>
      <c r="I1466" s="107"/>
      <c r="L1466" s="149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9">
        <v>44162</v>
      </c>
      <c r="B1467" s="107">
        <v>483.75</v>
      </c>
      <c r="C1467" s="107">
        <v>481.75</v>
      </c>
      <c r="D1467" s="107">
        <v>471.85</v>
      </c>
      <c r="E1467" s="107">
        <v>471.85</v>
      </c>
      <c r="F1467" s="107">
        <v>481.75</v>
      </c>
      <c r="G1467">
        <v>27430</v>
      </c>
      <c r="H1467" s="107"/>
      <c r="I1467" s="107"/>
      <c r="L1467" s="149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9">
        <v>44166</v>
      </c>
      <c r="B1468" s="107">
        <v>495.3</v>
      </c>
      <c r="C1468" s="107">
        <v>490.8</v>
      </c>
      <c r="D1468" s="107">
        <v>480</v>
      </c>
      <c r="E1468" s="107">
        <v>487.9</v>
      </c>
      <c r="F1468" s="107">
        <v>490.8</v>
      </c>
      <c r="G1468">
        <v>23220</v>
      </c>
      <c r="H1468" s="107"/>
      <c r="I1468" s="107"/>
      <c r="L1468" s="149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9">
        <v>44167</v>
      </c>
      <c r="B1469" s="107">
        <v>492.4</v>
      </c>
      <c r="C1469" s="107">
        <v>479.25</v>
      </c>
      <c r="D1469" s="107">
        <v>476.45</v>
      </c>
      <c r="E1469" s="107">
        <v>490.8</v>
      </c>
      <c r="F1469" s="107">
        <v>479.25</v>
      </c>
      <c r="G1469">
        <v>44066</v>
      </c>
      <c r="H1469" s="107"/>
      <c r="I1469" s="107"/>
      <c r="L1469" s="149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9">
        <v>44168</v>
      </c>
      <c r="B1470" s="107">
        <v>492.05</v>
      </c>
      <c r="C1470" s="107">
        <v>490.9</v>
      </c>
      <c r="D1470" s="107">
        <v>479.25</v>
      </c>
      <c r="E1470" s="107">
        <v>479.25</v>
      </c>
      <c r="F1470" s="107">
        <v>490.9</v>
      </c>
      <c r="G1470">
        <v>51480</v>
      </c>
      <c r="H1470" s="107"/>
      <c r="I1470" s="107"/>
      <c r="L1470" s="149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9">
        <v>44169</v>
      </c>
      <c r="B1471" s="107">
        <v>494.5</v>
      </c>
      <c r="C1471" s="107">
        <v>484.85</v>
      </c>
      <c r="D1471" s="107">
        <v>482</v>
      </c>
      <c r="E1471" s="107">
        <v>494.5</v>
      </c>
      <c r="F1471" s="107">
        <v>484.85</v>
      </c>
      <c r="G1471">
        <v>28700</v>
      </c>
      <c r="H1471" s="107"/>
      <c r="I1471" s="107"/>
      <c r="L1471" s="149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9">
        <v>44172</v>
      </c>
      <c r="B1472" s="107">
        <v>502.2</v>
      </c>
      <c r="C1472" s="107">
        <v>490.9</v>
      </c>
      <c r="D1472" s="107">
        <v>481.25</v>
      </c>
      <c r="E1472" s="107">
        <v>481.25</v>
      </c>
      <c r="F1472" s="107">
        <v>490.9</v>
      </c>
      <c r="G1472">
        <v>44538</v>
      </c>
      <c r="H1472" s="107"/>
      <c r="I1472" s="107"/>
      <c r="L1472" s="149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9">
        <v>44173</v>
      </c>
      <c r="B1473" s="107">
        <v>491</v>
      </c>
      <c r="C1473" s="107">
        <v>482.5</v>
      </c>
      <c r="D1473" s="107">
        <v>480.5</v>
      </c>
      <c r="E1473" s="107">
        <v>486.1</v>
      </c>
      <c r="F1473" s="107">
        <v>482.5</v>
      </c>
      <c r="G1473">
        <v>33364</v>
      </c>
      <c r="H1473" s="107"/>
      <c r="I1473" s="107"/>
      <c r="L1473" s="149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9">
        <v>44174</v>
      </c>
      <c r="B1474" s="107">
        <v>486.75</v>
      </c>
      <c r="C1474" s="107">
        <v>480.6</v>
      </c>
      <c r="D1474" s="107">
        <v>478.1</v>
      </c>
      <c r="E1474" s="107">
        <v>483</v>
      </c>
      <c r="F1474" s="107">
        <v>480.6</v>
      </c>
      <c r="G1474">
        <v>22791</v>
      </c>
      <c r="H1474" s="107"/>
      <c r="I1474" s="107"/>
      <c r="L1474" s="149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9">
        <v>44175</v>
      </c>
      <c r="B1475" s="107">
        <v>482.85</v>
      </c>
      <c r="C1475" s="107">
        <v>468.25</v>
      </c>
      <c r="D1475" s="107">
        <v>466.2</v>
      </c>
      <c r="E1475" s="107">
        <v>482.85</v>
      </c>
      <c r="F1475" s="107">
        <v>468.25</v>
      </c>
      <c r="G1475">
        <v>23955</v>
      </c>
      <c r="H1475" s="107"/>
      <c r="I1475" s="107"/>
      <c r="L1475" s="149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9">
        <v>44176</v>
      </c>
      <c r="B1476" s="107">
        <v>492</v>
      </c>
      <c r="C1476" s="107">
        <v>488.95</v>
      </c>
      <c r="D1476" s="107">
        <v>470.25</v>
      </c>
      <c r="E1476" s="107">
        <v>474.7</v>
      </c>
      <c r="F1476" s="107">
        <v>488.95</v>
      </c>
      <c r="G1476">
        <v>46374</v>
      </c>
      <c r="H1476" s="107"/>
      <c r="I1476" s="107"/>
      <c r="L1476" s="149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9">
        <v>44179</v>
      </c>
      <c r="B1477" s="107">
        <v>513</v>
      </c>
      <c r="C1477" s="107">
        <v>488.05</v>
      </c>
      <c r="D1477" s="107">
        <v>482.7</v>
      </c>
      <c r="E1477" s="107">
        <v>497.6</v>
      </c>
      <c r="F1477" s="107">
        <v>488.05</v>
      </c>
      <c r="G1477">
        <v>31984</v>
      </c>
      <c r="H1477" s="107"/>
      <c r="I1477" s="107"/>
      <c r="L1477" s="149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9">
        <v>44180</v>
      </c>
      <c r="B1478" s="107">
        <v>489</v>
      </c>
      <c r="C1478" s="107">
        <v>485.55</v>
      </c>
      <c r="D1478" s="107">
        <v>477.05</v>
      </c>
      <c r="E1478" s="107">
        <v>487.7</v>
      </c>
      <c r="F1478" s="107">
        <v>485.55</v>
      </c>
      <c r="G1478">
        <v>33733</v>
      </c>
      <c r="H1478" s="107"/>
      <c r="I1478" s="107"/>
      <c r="L1478" s="149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9">
        <v>44181</v>
      </c>
      <c r="B1479" s="107">
        <v>491</v>
      </c>
      <c r="C1479" s="107">
        <v>477.05</v>
      </c>
      <c r="D1479" s="107">
        <v>472</v>
      </c>
      <c r="E1479" s="107">
        <v>490.5</v>
      </c>
      <c r="F1479" s="107">
        <v>477.05</v>
      </c>
      <c r="G1479">
        <v>60756</v>
      </c>
      <c r="H1479" s="107"/>
      <c r="I1479" s="107"/>
      <c r="L1479" s="149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9">
        <v>44182</v>
      </c>
      <c r="B1480" s="107">
        <v>490.6</v>
      </c>
      <c r="C1480" s="107">
        <v>488.5</v>
      </c>
      <c r="D1480" s="107">
        <v>479.85</v>
      </c>
      <c r="E1480" s="107">
        <v>481.4</v>
      </c>
      <c r="F1480" s="107">
        <v>488.5</v>
      </c>
      <c r="G1480">
        <v>21998</v>
      </c>
      <c r="H1480" s="107"/>
      <c r="I1480" s="107"/>
      <c r="L1480" s="149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9">
        <v>44183</v>
      </c>
      <c r="B1481" s="107">
        <v>493.2</v>
      </c>
      <c r="C1481" s="107">
        <v>489.95</v>
      </c>
      <c r="D1481" s="107">
        <v>481.4</v>
      </c>
      <c r="E1481" s="107">
        <v>487.7</v>
      </c>
      <c r="F1481" s="107">
        <v>489.95</v>
      </c>
      <c r="G1481">
        <v>16376</v>
      </c>
      <c r="H1481" s="107"/>
      <c r="I1481" s="107"/>
      <c r="L1481" s="149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9">
        <v>44186</v>
      </c>
      <c r="B1482" s="107">
        <v>492.05</v>
      </c>
      <c r="C1482" s="107">
        <v>463.4</v>
      </c>
      <c r="D1482" s="107">
        <v>446</v>
      </c>
      <c r="E1482" s="107">
        <v>492.05</v>
      </c>
      <c r="F1482" s="107">
        <v>463.4</v>
      </c>
      <c r="G1482">
        <v>20872</v>
      </c>
      <c r="H1482" s="107"/>
      <c r="I1482" s="107"/>
      <c r="L1482" s="149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9">
        <v>44187</v>
      </c>
      <c r="B1483" s="107">
        <v>486.75</v>
      </c>
      <c r="C1483" s="107">
        <v>462.8</v>
      </c>
      <c r="D1483" s="107">
        <v>432</v>
      </c>
      <c r="E1483" s="107">
        <v>477</v>
      </c>
      <c r="F1483" s="107">
        <v>462.8</v>
      </c>
      <c r="G1483">
        <v>27721</v>
      </c>
      <c r="H1483" s="107"/>
      <c r="I1483" s="107"/>
      <c r="L1483" s="149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9">
        <v>44188</v>
      </c>
      <c r="B1484" s="107">
        <v>483</v>
      </c>
      <c r="C1484" s="107">
        <v>480.5</v>
      </c>
      <c r="D1484" s="107">
        <v>468.9</v>
      </c>
      <c r="E1484" s="107">
        <v>472</v>
      </c>
      <c r="F1484" s="107">
        <v>480.5</v>
      </c>
      <c r="G1484">
        <v>7334</v>
      </c>
      <c r="H1484" s="107"/>
      <c r="I1484" s="107"/>
      <c r="L1484" s="149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9">
        <v>44189</v>
      </c>
      <c r="B1485" s="107">
        <v>488.8</v>
      </c>
      <c r="C1485" s="107">
        <v>487.1</v>
      </c>
      <c r="D1485" s="107">
        <v>476.2</v>
      </c>
      <c r="E1485" s="107">
        <v>478.8</v>
      </c>
      <c r="F1485" s="107">
        <v>487.1</v>
      </c>
      <c r="G1485">
        <v>17690</v>
      </c>
      <c r="H1485" s="107"/>
      <c r="I1485" s="107"/>
      <c r="L1485" s="149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9">
        <v>44193</v>
      </c>
      <c r="B1486" s="107">
        <v>489</v>
      </c>
      <c r="C1486" s="107">
        <v>486.6</v>
      </c>
      <c r="D1486" s="107">
        <v>483.05</v>
      </c>
      <c r="E1486" s="107">
        <v>489</v>
      </c>
      <c r="F1486" s="107">
        <v>486.6</v>
      </c>
      <c r="G1486">
        <v>26655</v>
      </c>
      <c r="H1486" s="107"/>
      <c r="I1486" s="107"/>
      <c r="L1486" s="149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9">
        <v>44194</v>
      </c>
      <c r="B1487" s="107">
        <v>504</v>
      </c>
      <c r="C1487" s="107">
        <v>501</v>
      </c>
      <c r="D1487" s="107">
        <v>485.4</v>
      </c>
      <c r="E1487" s="107">
        <v>489</v>
      </c>
      <c r="F1487" s="107">
        <v>501</v>
      </c>
      <c r="G1487">
        <v>77442</v>
      </c>
      <c r="H1487" s="107"/>
      <c r="I1487" s="107"/>
      <c r="L1487" s="149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9">
        <v>44195</v>
      </c>
      <c r="B1488" s="107">
        <v>505</v>
      </c>
      <c r="C1488" s="107">
        <v>495.3</v>
      </c>
      <c r="D1488" s="107">
        <v>490.05</v>
      </c>
      <c r="E1488" s="107">
        <v>505</v>
      </c>
      <c r="F1488" s="107">
        <v>495.3</v>
      </c>
      <c r="G1488">
        <v>41347</v>
      </c>
      <c r="H1488" s="107"/>
      <c r="I1488" s="107"/>
      <c r="L1488" s="149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9">
        <v>44196</v>
      </c>
      <c r="B1489" s="107">
        <v>500.65</v>
      </c>
      <c r="C1489" s="107">
        <v>499.45</v>
      </c>
      <c r="D1489" s="107">
        <v>490.9</v>
      </c>
      <c r="E1489" s="107">
        <v>493.2</v>
      </c>
      <c r="F1489" s="107">
        <v>499.45</v>
      </c>
      <c r="G1489">
        <v>33439</v>
      </c>
      <c r="H1489" s="107"/>
      <c r="I1489" s="107"/>
      <c r="L1489" s="149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9">
        <v>44197</v>
      </c>
      <c r="B1490" s="107">
        <v>510</v>
      </c>
      <c r="C1490" s="107">
        <v>496.8</v>
      </c>
      <c r="D1490" s="107">
        <v>494.05</v>
      </c>
      <c r="E1490" s="107">
        <v>498</v>
      </c>
      <c r="F1490" s="107">
        <v>496.8</v>
      </c>
      <c r="G1490">
        <v>24703</v>
      </c>
      <c r="H1490" s="107"/>
      <c r="I1490" s="107"/>
      <c r="L1490" s="149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9">
        <v>44200</v>
      </c>
      <c r="B1491" s="107">
        <v>502.95</v>
      </c>
      <c r="C1491" s="107">
        <v>492.75</v>
      </c>
      <c r="D1491" s="107">
        <v>489.9</v>
      </c>
      <c r="E1491" s="107">
        <v>500</v>
      </c>
      <c r="F1491" s="107">
        <v>492.75</v>
      </c>
      <c r="G1491">
        <v>53461</v>
      </c>
      <c r="H1491" s="107"/>
      <c r="I1491" s="107"/>
      <c r="L1491" s="149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9">
        <v>44201</v>
      </c>
      <c r="B1492" s="107">
        <v>499.3</v>
      </c>
      <c r="C1492" s="107">
        <v>483.65</v>
      </c>
      <c r="D1492" s="107">
        <v>482.55</v>
      </c>
      <c r="E1492" s="107">
        <v>485</v>
      </c>
      <c r="F1492" s="107">
        <v>483.65</v>
      </c>
      <c r="G1492">
        <v>72866</v>
      </c>
      <c r="H1492" s="107"/>
      <c r="I1492" s="107"/>
      <c r="L1492" s="149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9">
        <v>44202</v>
      </c>
      <c r="B1493" s="107">
        <v>498.95</v>
      </c>
      <c r="C1493" s="107">
        <v>482.4</v>
      </c>
      <c r="D1493" s="107">
        <v>477.6</v>
      </c>
      <c r="E1493" s="107">
        <v>495</v>
      </c>
      <c r="F1493" s="107">
        <v>482.4</v>
      </c>
      <c r="G1493">
        <v>78565</v>
      </c>
      <c r="H1493" s="107"/>
      <c r="I1493" s="107"/>
      <c r="L1493" s="149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9">
        <v>44203</v>
      </c>
      <c r="B1494" s="107">
        <v>498.9</v>
      </c>
      <c r="C1494" s="107">
        <v>493.25</v>
      </c>
      <c r="D1494" s="107">
        <v>484.1</v>
      </c>
      <c r="E1494" s="107">
        <v>490.9</v>
      </c>
      <c r="F1494" s="107">
        <v>493.25</v>
      </c>
      <c r="G1494">
        <v>48541</v>
      </c>
      <c r="H1494" s="107"/>
      <c r="I1494" s="107"/>
      <c r="L1494" s="149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9">
        <v>44204</v>
      </c>
      <c r="B1495" s="107">
        <v>509.7</v>
      </c>
      <c r="C1495" s="107">
        <v>503.25</v>
      </c>
      <c r="D1495" s="107">
        <v>491.1</v>
      </c>
      <c r="E1495" s="107">
        <v>498.8</v>
      </c>
      <c r="F1495" s="107">
        <v>503.25</v>
      </c>
      <c r="G1495">
        <v>73866</v>
      </c>
      <c r="H1495" s="107"/>
      <c r="I1495" s="107"/>
      <c r="L1495" s="149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9">
        <v>44207</v>
      </c>
      <c r="B1496" s="107">
        <v>508.95</v>
      </c>
      <c r="C1496" s="107">
        <v>506.75</v>
      </c>
      <c r="D1496" s="107">
        <v>497.85</v>
      </c>
      <c r="E1496" s="107">
        <v>503.5</v>
      </c>
      <c r="F1496" s="107">
        <v>506.75</v>
      </c>
      <c r="G1496">
        <v>67282</v>
      </c>
      <c r="H1496" s="107"/>
      <c r="I1496" s="107"/>
      <c r="L1496" s="149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9">
        <v>44208</v>
      </c>
      <c r="B1497" s="107">
        <v>506.4</v>
      </c>
      <c r="C1497" s="107">
        <v>497.55</v>
      </c>
      <c r="D1497" s="107">
        <v>496.05</v>
      </c>
      <c r="E1497" s="107">
        <v>506.4</v>
      </c>
      <c r="F1497" s="107">
        <v>497.55</v>
      </c>
      <c r="G1497">
        <v>28614</v>
      </c>
      <c r="H1497" s="107"/>
      <c r="I1497" s="107"/>
      <c r="L1497" s="149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9">
        <v>44209</v>
      </c>
      <c r="B1498" s="107">
        <v>503.1</v>
      </c>
      <c r="C1498" s="107">
        <v>495.9</v>
      </c>
      <c r="D1498" s="107">
        <v>481.7</v>
      </c>
      <c r="E1498" s="107">
        <v>497.85</v>
      </c>
      <c r="F1498" s="107">
        <v>495.9</v>
      </c>
      <c r="G1498">
        <v>43932</v>
      </c>
      <c r="H1498" s="107"/>
      <c r="I1498" s="107"/>
      <c r="L1498" s="149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9">
        <v>44210</v>
      </c>
      <c r="B1499" s="107">
        <v>506</v>
      </c>
      <c r="C1499" s="107">
        <v>500.1</v>
      </c>
      <c r="D1499" s="107">
        <v>494.7</v>
      </c>
      <c r="E1499" s="107">
        <v>495.2</v>
      </c>
      <c r="F1499" s="107">
        <v>500.1</v>
      </c>
      <c r="G1499">
        <v>33916</v>
      </c>
      <c r="H1499" s="107"/>
      <c r="I1499" s="107"/>
      <c r="L1499" s="149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9">
        <v>44211</v>
      </c>
      <c r="B1500" s="107">
        <v>505.3</v>
      </c>
      <c r="C1500" s="107">
        <v>499.35</v>
      </c>
      <c r="D1500" s="107">
        <v>485.2</v>
      </c>
      <c r="E1500" s="107">
        <v>504.5</v>
      </c>
      <c r="F1500" s="107">
        <v>499.35</v>
      </c>
      <c r="G1500">
        <v>41054</v>
      </c>
      <c r="H1500" s="107"/>
      <c r="I1500" s="107"/>
      <c r="L1500" s="149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9">
        <v>44214</v>
      </c>
      <c r="B1501" s="107">
        <v>502.15</v>
      </c>
      <c r="C1501" s="107">
        <v>500.55</v>
      </c>
      <c r="D1501" s="107">
        <v>492.7</v>
      </c>
      <c r="E1501" s="107">
        <v>500</v>
      </c>
      <c r="F1501" s="107">
        <v>500.55</v>
      </c>
      <c r="G1501">
        <v>17949</v>
      </c>
      <c r="H1501" s="107"/>
      <c r="I1501" s="107"/>
      <c r="L1501" s="149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9">
        <v>44215</v>
      </c>
      <c r="B1502" s="107">
        <v>529.20000000000005</v>
      </c>
      <c r="C1502" s="107">
        <v>519.79999999999995</v>
      </c>
      <c r="D1502" s="107">
        <v>497.05</v>
      </c>
      <c r="E1502" s="107">
        <v>500.4</v>
      </c>
      <c r="F1502" s="107">
        <v>519.79999999999995</v>
      </c>
      <c r="G1502">
        <v>42641</v>
      </c>
      <c r="H1502" s="107"/>
      <c r="I1502" s="107"/>
      <c r="L1502" s="149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9">
        <v>44216</v>
      </c>
      <c r="B1503" s="107">
        <v>525.85</v>
      </c>
      <c r="C1503" s="107">
        <v>512.45000000000005</v>
      </c>
      <c r="D1503" s="107">
        <v>508.65</v>
      </c>
      <c r="E1503" s="107">
        <v>517.20000000000005</v>
      </c>
      <c r="F1503" s="107">
        <v>512.45000000000005</v>
      </c>
      <c r="G1503">
        <v>28824</v>
      </c>
      <c r="H1503" s="107"/>
      <c r="I1503" s="107"/>
      <c r="L1503" s="149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9">
        <v>44217</v>
      </c>
      <c r="B1504" s="107">
        <v>521.95000000000005</v>
      </c>
      <c r="C1504" s="107">
        <v>509.1</v>
      </c>
      <c r="D1504" s="107">
        <v>506.4</v>
      </c>
      <c r="E1504" s="107">
        <v>521.95000000000005</v>
      </c>
      <c r="F1504" s="107">
        <v>509.1</v>
      </c>
      <c r="G1504">
        <v>31351</v>
      </c>
      <c r="H1504" s="107"/>
      <c r="I1504" s="107"/>
      <c r="L1504" s="149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9">
        <v>44218</v>
      </c>
      <c r="B1505" s="107">
        <v>508.65</v>
      </c>
      <c r="C1505" s="107">
        <v>490.75</v>
      </c>
      <c r="D1505" s="107">
        <v>483.05</v>
      </c>
      <c r="E1505" s="107">
        <v>501.9</v>
      </c>
      <c r="F1505" s="107">
        <v>490.75</v>
      </c>
      <c r="G1505">
        <v>57209</v>
      </c>
      <c r="H1505" s="107"/>
      <c r="I1505" s="107"/>
      <c r="L1505" s="149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9">
        <v>44221</v>
      </c>
      <c r="B1506" s="107">
        <v>497.1</v>
      </c>
      <c r="C1506" s="107">
        <v>481.7</v>
      </c>
      <c r="D1506" s="107">
        <v>476.05</v>
      </c>
      <c r="E1506" s="107">
        <v>497.1</v>
      </c>
      <c r="F1506" s="107">
        <v>481.7</v>
      </c>
      <c r="G1506">
        <v>62503</v>
      </c>
      <c r="H1506" s="107"/>
      <c r="I1506" s="107"/>
      <c r="L1506" s="149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9">
        <v>44223</v>
      </c>
      <c r="B1507" s="107">
        <v>502.95</v>
      </c>
      <c r="C1507" s="107">
        <v>478.95</v>
      </c>
      <c r="D1507" s="107">
        <v>455.3</v>
      </c>
      <c r="E1507" s="107">
        <v>475.2</v>
      </c>
      <c r="F1507" s="107">
        <v>478.95</v>
      </c>
      <c r="G1507">
        <v>57507</v>
      </c>
      <c r="H1507" s="107"/>
      <c r="I1507" s="107"/>
      <c r="L1507" s="149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9">
        <v>44224</v>
      </c>
      <c r="B1508" s="107">
        <v>494.7</v>
      </c>
      <c r="C1508" s="107">
        <v>479.5</v>
      </c>
      <c r="D1508" s="107">
        <v>465.05</v>
      </c>
      <c r="E1508" s="107">
        <v>465.05</v>
      </c>
      <c r="F1508" s="107">
        <v>479.5</v>
      </c>
      <c r="G1508">
        <v>24615</v>
      </c>
      <c r="H1508" s="107"/>
      <c r="I1508" s="107"/>
      <c r="L1508" s="149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9">
        <v>44225</v>
      </c>
      <c r="B1509" s="107">
        <v>488.3</v>
      </c>
      <c r="C1509" s="107">
        <v>480.6</v>
      </c>
      <c r="D1509" s="107">
        <v>477.8</v>
      </c>
      <c r="E1509" s="107">
        <v>483</v>
      </c>
      <c r="F1509" s="107">
        <v>480.6</v>
      </c>
      <c r="G1509">
        <v>41533</v>
      </c>
      <c r="H1509" s="107"/>
      <c r="I1509" s="107"/>
      <c r="L1509" s="149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9">
        <v>44228</v>
      </c>
      <c r="B1510" s="107">
        <v>496.3</v>
      </c>
      <c r="C1510" s="107">
        <v>484.15</v>
      </c>
      <c r="D1510" s="107">
        <v>477.9</v>
      </c>
      <c r="E1510" s="107">
        <v>488.8</v>
      </c>
      <c r="F1510" s="107">
        <v>484.15</v>
      </c>
      <c r="G1510">
        <v>30096</v>
      </c>
      <c r="H1510" s="107"/>
      <c r="I1510" s="107"/>
      <c r="L1510" s="149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9">
        <v>44229</v>
      </c>
      <c r="B1511" s="107">
        <v>493.1</v>
      </c>
      <c r="C1511" s="107">
        <v>488.9</v>
      </c>
      <c r="D1511" s="107">
        <v>484.15</v>
      </c>
      <c r="E1511" s="107">
        <v>484.15</v>
      </c>
      <c r="F1511" s="107">
        <v>488.9</v>
      </c>
      <c r="G1511">
        <v>26186</v>
      </c>
      <c r="H1511" s="107"/>
      <c r="I1511" s="107"/>
      <c r="L1511" s="149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9">
        <v>44230</v>
      </c>
      <c r="B1512" s="107">
        <v>497.8</v>
      </c>
      <c r="C1512" s="107">
        <v>491.3</v>
      </c>
      <c r="D1512" s="107">
        <v>489.5</v>
      </c>
      <c r="E1512" s="107">
        <v>490.05</v>
      </c>
      <c r="F1512" s="107">
        <v>491.3</v>
      </c>
      <c r="G1512">
        <v>28395</v>
      </c>
      <c r="H1512" s="107"/>
      <c r="I1512" s="107"/>
      <c r="L1512" s="149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9">
        <v>44231</v>
      </c>
      <c r="B1513" s="107">
        <v>507.7</v>
      </c>
      <c r="C1513" s="107">
        <v>504.85</v>
      </c>
      <c r="D1513" s="107">
        <v>490.8</v>
      </c>
      <c r="E1513" s="107">
        <v>492</v>
      </c>
      <c r="F1513" s="107">
        <v>504.85</v>
      </c>
      <c r="G1513">
        <v>15914</v>
      </c>
      <c r="H1513" s="107"/>
      <c r="I1513" s="107"/>
      <c r="L1513" s="149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9">
        <v>44232</v>
      </c>
      <c r="B1514" s="107">
        <v>514.25</v>
      </c>
      <c r="C1514" s="107">
        <v>499.2</v>
      </c>
      <c r="D1514" s="107">
        <v>497</v>
      </c>
      <c r="E1514" s="107">
        <v>508.1</v>
      </c>
      <c r="F1514" s="107">
        <v>499.2</v>
      </c>
      <c r="G1514">
        <v>52836</v>
      </c>
      <c r="H1514" s="107"/>
      <c r="I1514" s="107"/>
      <c r="L1514" s="149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9">
        <v>44235</v>
      </c>
      <c r="B1515" s="107">
        <v>512.65</v>
      </c>
      <c r="C1515" s="107">
        <v>509.9</v>
      </c>
      <c r="D1515" s="107">
        <v>498.6</v>
      </c>
      <c r="E1515" s="107">
        <v>505</v>
      </c>
      <c r="F1515" s="107">
        <v>509.9</v>
      </c>
      <c r="G1515">
        <v>62237</v>
      </c>
      <c r="H1515" s="107"/>
      <c r="I1515" s="107"/>
      <c r="L1515" s="149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9">
        <v>44236</v>
      </c>
      <c r="B1516" s="107">
        <v>510</v>
      </c>
      <c r="C1516" s="107">
        <v>499.7</v>
      </c>
      <c r="D1516" s="107">
        <v>496.8</v>
      </c>
      <c r="E1516" s="107">
        <v>510</v>
      </c>
      <c r="F1516" s="107">
        <v>499.7</v>
      </c>
      <c r="G1516">
        <v>18867</v>
      </c>
      <c r="H1516" s="107"/>
      <c r="I1516" s="107"/>
      <c r="L1516" s="149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9">
        <v>44237</v>
      </c>
      <c r="B1517" s="107">
        <v>502.75</v>
      </c>
      <c r="C1517" s="107">
        <v>490.85</v>
      </c>
      <c r="D1517" s="107">
        <v>486.9</v>
      </c>
      <c r="E1517" s="107">
        <v>501.25</v>
      </c>
      <c r="F1517" s="107">
        <v>490.85</v>
      </c>
      <c r="G1517">
        <v>23546</v>
      </c>
      <c r="H1517" s="107"/>
      <c r="I1517" s="107"/>
      <c r="L1517" s="149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9">
        <v>44238</v>
      </c>
      <c r="B1518" s="107">
        <v>501.85</v>
      </c>
      <c r="C1518" s="107">
        <v>489.65</v>
      </c>
      <c r="D1518" s="107">
        <v>487.05</v>
      </c>
      <c r="E1518" s="107">
        <v>490.85</v>
      </c>
      <c r="F1518" s="107">
        <v>489.65</v>
      </c>
      <c r="G1518">
        <v>7788</v>
      </c>
      <c r="H1518" s="107"/>
      <c r="I1518" s="107"/>
      <c r="L1518" s="149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9">
        <v>44239</v>
      </c>
      <c r="B1519" s="107">
        <v>519.9</v>
      </c>
      <c r="C1519" s="107">
        <v>516.9</v>
      </c>
      <c r="D1519" s="107">
        <v>491</v>
      </c>
      <c r="E1519" s="107">
        <v>491</v>
      </c>
      <c r="F1519" s="107">
        <v>516.9</v>
      </c>
      <c r="G1519">
        <v>52281</v>
      </c>
      <c r="H1519" s="107"/>
      <c r="I1519" s="107"/>
      <c r="L1519" s="149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9">
        <v>44242</v>
      </c>
      <c r="B1520" s="107">
        <v>524</v>
      </c>
      <c r="C1520" s="107">
        <v>509.2</v>
      </c>
      <c r="D1520" s="107">
        <v>506.05</v>
      </c>
      <c r="E1520" s="107">
        <v>520</v>
      </c>
      <c r="F1520" s="107">
        <v>509.2</v>
      </c>
      <c r="G1520">
        <v>41507</v>
      </c>
      <c r="H1520" s="107"/>
      <c r="I1520" s="107"/>
      <c r="L1520" s="149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9">
        <v>44243</v>
      </c>
      <c r="B1521" s="107">
        <v>524</v>
      </c>
      <c r="C1521" s="107">
        <v>513</v>
      </c>
      <c r="D1521" s="107">
        <v>511</v>
      </c>
      <c r="E1521" s="107">
        <v>512.70000000000005</v>
      </c>
      <c r="F1521" s="107">
        <v>513</v>
      </c>
      <c r="G1521">
        <v>77057</v>
      </c>
      <c r="H1521" s="107"/>
      <c r="I1521" s="107"/>
      <c r="L1521" s="149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9">
        <v>44244</v>
      </c>
      <c r="B1522" s="107">
        <v>519.5</v>
      </c>
      <c r="C1522" s="107">
        <v>507.3</v>
      </c>
      <c r="D1522" s="107">
        <v>501.1</v>
      </c>
      <c r="E1522" s="107">
        <v>514</v>
      </c>
      <c r="F1522" s="107">
        <v>507.3</v>
      </c>
      <c r="G1522">
        <v>49429</v>
      </c>
      <c r="H1522" s="107"/>
      <c r="I1522" s="107"/>
      <c r="L1522" s="149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9">
        <v>44245</v>
      </c>
      <c r="B1523" s="107">
        <v>533.85</v>
      </c>
      <c r="C1523" s="107">
        <v>511.05</v>
      </c>
      <c r="D1523" s="107">
        <v>508.2</v>
      </c>
      <c r="E1523" s="107">
        <v>514.9</v>
      </c>
      <c r="F1523" s="107">
        <v>511.05</v>
      </c>
      <c r="G1523">
        <v>128842</v>
      </c>
      <c r="H1523" s="107"/>
      <c r="I1523" s="107"/>
      <c r="L1523" s="149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9">
        <v>44246</v>
      </c>
      <c r="B1524" s="107">
        <v>522.20000000000005</v>
      </c>
      <c r="C1524" s="107">
        <v>516.20000000000005</v>
      </c>
      <c r="D1524" s="107">
        <v>507</v>
      </c>
      <c r="E1524" s="107">
        <v>512</v>
      </c>
      <c r="F1524" s="107">
        <v>516.20000000000005</v>
      </c>
      <c r="G1524">
        <v>36414</v>
      </c>
      <c r="H1524" s="107"/>
      <c r="I1524" s="107"/>
      <c r="L1524" s="149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9">
        <v>44249</v>
      </c>
      <c r="B1525" s="107">
        <v>516</v>
      </c>
      <c r="C1525" s="107">
        <v>499.7</v>
      </c>
      <c r="D1525" s="107">
        <v>492.1</v>
      </c>
      <c r="E1525" s="107">
        <v>516</v>
      </c>
      <c r="F1525" s="107">
        <v>499.7</v>
      </c>
      <c r="G1525">
        <v>33563</v>
      </c>
      <c r="H1525" s="107"/>
      <c r="I1525" s="107"/>
      <c r="L1525" s="149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9">
        <v>44250</v>
      </c>
      <c r="B1526" s="107">
        <v>503.3</v>
      </c>
      <c r="C1526" s="107">
        <v>486.05</v>
      </c>
      <c r="D1526" s="107">
        <v>484.5</v>
      </c>
      <c r="E1526" s="107">
        <v>502.5</v>
      </c>
      <c r="F1526" s="107">
        <v>486.05</v>
      </c>
      <c r="G1526">
        <v>34709</v>
      </c>
      <c r="H1526" s="107"/>
      <c r="I1526" s="107"/>
      <c r="L1526" s="149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9">
        <v>44251</v>
      </c>
      <c r="B1527" s="107">
        <v>503.6</v>
      </c>
      <c r="C1527" s="107">
        <v>496.2</v>
      </c>
      <c r="D1527" s="107">
        <v>484.25</v>
      </c>
      <c r="E1527" s="107">
        <v>491</v>
      </c>
      <c r="F1527" s="107">
        <v>496.2</v>
      </c>
      <c r="G1527">
        <v>242247</v>
      </c>
      <c r="H1527" s="107"/>
      <c r="I1527" s="107"/>
      <c r="L1527" s="149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9">
        <v>44252</v>
      </c>
      <c r="B1528" s="107">
        <v>513</v>
      </c>
      <c r="C1528" s="107">
        <v>489.2</v>
      </c>
      <c r="D1528" s="107">
        <v>488</v>
      </c>
      <c r="E1528" s="107">
        <v>497.6</v>
      </c>
      <c r="F1528" s="107">
        <v>489.2</v>
      </c>
      <c r="G1528">
        <v>38814</v>
      </c>
      <c r="H1528" s="107"/>
      <c r="I1528" s="107"/>
      <c r="L1528" s="149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9">
        <v>44253</v>
      </c>
      <c r="B1529" s="107">
        <v>488.85</v>
      </c>
      <c r="C1529" s="107">
        <v>478.7</v>
      </c>
      <c r="D1529" s="107">
        <v>475</v>
      </c>
      <c r="E1529" s="107">
        <v>488.25</v>
      </c>
      <c r="F1529" s="107">
        <v>478.7</v>
      </c>
      <c r="G1529">
        <v>29755</v>
      </c>
      <c r="H1529" s="107"/>
      <c r="I1529" s="107"/>
      <c r="L1529" s="149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9">
        <v>44256</v>
      </c>
      <c r="B1530" s="107">
        <v>490</v>
      </c>
      <c r="C1530" s="107">
        <v>474.7</v>
      </c>
      <c r="D1530" s="107">
        <v>473.45</v>
      </c>
      <c r="E1530" s="107">
        <v>480.5</v>
      </c>
      <c r="F1530" s="107">
        <v>474.7</v>
      </c>
      <c r="G1530">
        <v>27908</v>
      </c>
      <c r="H1530" s="107"/>
      <c r="I1530" s="107"/>
      <c r="L1530" s="149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9">
        <v>44257</v>
      </c>
      <c r="B1531" s="107">
        <v>487.2</v>
      </c>
      <c r="C1531" s="107">
        <v>469.15</v>
      </c>
      <c r="D1531" s="107">
        <v>468.1</v>
      </c>
      <c r="E1531" s="107">
        <v>482.8</v>
      </c>
      <c r="F1531" s="107">
        <v>469.15</v>
      </c>
      <c r="G1531">
        <v>33045</v>
      </c>
      <c r="H1531" s="107"/>
      <c r="I1531" s="107"/>
      <c r="L1531" s="149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9">
        <v>44258</v>
      </c>
      <c r="B1532" s="107">
        <v>489.9</v>
      </c>
      <c r="C1532" s="107">
        <v>485.8</v>
      </c>
      <c r="D1532" s="107">
        <v>471.1</v>
      </c>
      <c r="E1532" s="107">
        <v>475</v>
      </c>
      <c r="F1532" s="107">
        <v>485.8</v>
      </c>
      <c r="G1532">
        <v>57943</v>
      </c>
      <c r="H1532" s="107"/>
      <c r="I1532" s="107"/>
      <c r="L1532" s="149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9">
        <v>44259</v>
      </c>
      <c r="B1533" s="107">
        <v>512.4</v>
      </c>
      <c r="C1533" s="107">
        <v>505.7</v>
      </c>
      <c r="D1533" s="107">
        <v>485</v>
      </c>
      <c r="E1533" s="107">
        <v>485</v>
      </c>
      <c r="F1533" s="107">
        <v>505.7</v>
      </c>
      <c r="G1533">
        <v>52581</v>
      </c>
      <c r="H1533" s="107"/>
      <c r="I1533" s="107"/>
      <c r="L1533" s="149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9">
        <v>44260</v>
      </c>
      <c r="B1534" s="107">
        <v>517.9</v>
      </c>
      <c r="C1534" s="107">
        <v>507</v>
      </c>
      <c r="D1534" s="107">
        <v>496.85</v>
      </c>
      <c r="E1534" s="107">
        <v>504.1</v>
      </c>
      <c r="F1534" s="107">
        <v>507</v>
      </c>
      <c r="G1534">
        <v>61712</v>
      </c>
      <c r="H1534" s="107"/>
      <c r="I1534" s="107"/>
      <c r="L1534" s="149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9">
        <v>44263</v>
      </c>
      <c r="B1535" s="107">
        <v>519.9</v>
      </c>
      <c r="C1535" s="107">
        <v>510.5</v>
      </c>
      <c r="D1535" s="107">
        <v>507.65</v>
      </c>
      <c r="E1535" s="107">
        <v>519.9</v>
      </c>
      <c r="F1535" s="107">
        <v>510.5</v>
      </c>
      <c r="G1535">
        <v>70117</v>
      </c>
      <c r="H1535" s="107"/>
      <c r="I1535" s="107"/>
      <c r="L1535" s="149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9">
        <v>44264</v>
      </c>
      <c r="B1536" s="107">
        <v>544.75</v>
      </c>
      <c r="C1536" s="107">
        <v>540.85</v>
      </c>
      <c r="D1536" s="107">
        <v>514.6</v>
      </c>
      <c r="E1536" s="107">
        <v>514.70000000000005</v>
      </c>
      <c r="F1536" s="107">
        <v>540.85</v>
      </c>
      <c r="G1536">
        <v>179566</v>
      </c>
      <c r="H1536" s="107"/>
      <c r="I1536" s="107"/>
      <c r="L1536" s="149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9">
        <v>44265</v>
      </c>
      <c r="B1537" s="107">
        <v>573.20000000000005</v>
      </c>
      <c r="C1537" s="107">
        <v>561.75</v>
      </c>
      <c r="D1537" s="107">
        <v>536.35</v>
      </c>
      <c r="E1537" s="107">
        <v>542.5</v>
      </c>
      <c r="F1537" s="107">
        <v>561.75</v>
      </c>
      <c r="G1537">
        <v>228897</v>
      </c>
      <c r="H1537" s="107"/>
      <c r="I1537" s="107"/>
      <c r="L1537" s="149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9">
        <v>44267</v>
      </c>
      <c r="B1538" s="107">
        <v>607.9</v>
      </c>
      <c r="C1538" s="107">
        <v>595.9</v>
      </c>
      <c r="D1538" s="107">
        <v>556.15</v>
      </c>
      <c r="E1538" s="107">
        <v>560</v>
      </c>
      <c r="F1538" s="107">
        <v>595.9</v>
      </c>
      <c r="G1538">
        <v>149107</v>
      </c>
      <c r="H1538" s="107"/>
      <c r="I1538" s="107"/>
      <c r="L1538" s="149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9">
        <v>44270</v>
      </c>
      <c r="B1539" s="107">
        <v>600.29999999999995</v>
      </c>
      <c r="C1539" s="107">
        <v>576.1</v>
      </c>
      <c r="D1539" s="107">
        <v>571.4</v>
      </c>
      <c r="E1539" s="107">
        <v>598</v>
      </c>
      <c r="F1539" s="107">
        <v>576.1</v>
      </c>
      <c r="G1539">
        <v>36410</v>
      </c>
      <c r="H1539" s="107"/>
      <c r="I1539" s="107"/>
      <c r="L1539" s="149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9">
        <v>44271</v>
      </c>
      <c r="B1540" s="107">
        <v>596.29999999999995</v>
      </c>
      <c r="C1540" s="107">
        <v>566.79999999999995</v>
      </c>
      <c r="D1540" s="107">
        <v>564</v>
      </c>
      <c r="E1540" s="107">
        <v>570.1</v>
      </c>
      <c r="F1540" s="107">
        <v>566.79999999999995</v>
      </c>
      <c r="G1540">
        <v>42968</v>
      </c>
      <c r="H1540" s="107"/>
      <c r="I1540" s="107"/>
      <c r="L1540" s="149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9">
        <v>44272</v>
      </c>
      <c r="B1541" s="107">
        <v>584</v>
      </c>
      <c r="C1541" s="107">
        <v>574.75</v>
      </c>
      <c r="D1541" s="107">
        <v>552.20000000000005</v>
      </c>
      <c r="E1541" s="107">
        <v>570</v>
      </c>
      <c r="F1541" s="107">
        <v>574.75</v>
      </c>
      <c r="G1541">
        <v>54850</v>
      </c>
      <c r="H1541" s="107"/>
      <c r="I1541" s="107"/>
      <c r="L1541" s="149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9">
        <v>44273</v>
      </c>
      <c r="B1542" s="107">
        <v>581.45000000000005</v>
      </c>
      <c r="C1542" s="107">
        <v>568.25</v>
      </c>
      <c r="D1542" s="107">
        <v>559</v>
      </c>
      <c r="E1542" s="107">
        <v>580</v>
      </c>
      <c r="F1542" s="107">
        <v>568.25</v>
      </c>
      <c r="G1542">
        <v>28582</v>
      </c>
      <c r="H1542" s="107"/>
      <c r="I1542" s="107"/>
      <c r="L1542" s="149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9">
        <v>44274</v>
      </c>
      <c r="B1543" s="107">
        <v>586.70000000000005</v>
      </c>
      <c r="C1543" s="107">
        <v>578.6</v>
      </c>
      <c r="D1543" s="107">
        <v>556.75</v>
      </c>
      <c r="E1543" s="107">
        <v>564.75</v>
      </c>
      <c r="F1543" s="107">
        <v>578.6</v>
      </c>
      <c r="G1543">
        <v>24820</v>
      </c>
      <c r="H1543" s="107"/>
      <c r="I1543" s="107"/>
      <c r="L1543" s="149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9">
        <v>44277</v>
      </c>
      <c r="B1544" s="107">
        <v>611.04999999999995</v>
      </c>
      <c r="C1544" s="107">
        <v>602.35</v>
      </c>
      <c r="D1544" s="107">
        <v>575</v>
      </c>
      <c r="E1544" s="107">
        <v>575</v>
      </c>
      <c r="F1544" s="107">
        <v>602.35</v>
      </c>
      <c r="G1544">
        <v>51786</v>
      </c>
      <c r="H1544" s="107"/>
      <c r="I1544" s="107"/>
      <c r="L1544" s="149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9">
        <v>44278</v>
      </c>
      <c r="B1545" s="107">
        <v>619</v>
      </c>
      <c r="C1545" s="107">
        <v>602.54999999999995</v>
      </c>
      <c r="D1545" s="107">
        <v>593</v>
      </c>
      <c r="E1545" s="107">
        <v>605</v>
      </c>
      <c r="F1545" s="107">
        <v>602.54999999999995</v>
      </c>
      <c r="G1545">
        <v>48759</v>
      </c>
      <c r="H1545" s="107"/>
      <c r="I1545" s="107"/>
      <c r="L1545" s="149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9">
        <v>44279</v>
      </c>
      <c r="B1546" s="107">
        <v>600.65</v>
      </c>
      <c r="C1546" s="107">
        <v>579.1</v>
      </c>
      <c r="D1546" s="107">
        <v>575.1</v>
      </c>
      <c r="E1546" s="107">
        <v>600</v>
      </c>
      <c r="F1546" s="107">
        <v>579.1</v>
      </c>
      <c r="G1546">
        <v>20587</v>
      </c>
      <c r="H1546" s="107"/>
      <c r="I1546" s="107"/>
      <c r="L1546" s="149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9">
        <v>44280</v>
      </c>
      <c r="B1547" s="107">
        <v>578.9</v>
      </c>
      <c r="C1547" s="107">
        <v>566.95000000000005</v>
      </c>
      <c r="D1547" s="107">
        <v>556.04999999999995</v>
      </c>
      <c r="E1547" s="107">
        <v>576.04999999999995</v>
      </c>
      <c r="F1547" s="107">
        <v>566.95000000000005</v>
      </c>
      <c r="G1547">
        <v>25555</v>
      </c>
      <c r="H1547" s="107"/>
      <c r="I1547" s="107"/>
      <c r="L1547" s="149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9">
        <v>44281</v>
      </c>
      <c r="B1548" s="107">
        <v>591.4</v>
      </c>
      <c r="C1548" s="107">
        <v>575.54999999999995</v>
      </c>
      <c r="D1548" s="107">
        <v>566.15</v>
      </c>
      <c r="E1548" s="107">
        <v>571</v>
      </c>
      <c r="F1548" s="107">
        <v>575.54999999999995</v>
      </c>
      <c r="G1548">
        <v>18005</v>
      </c>
      <c r="H1548" s="107"/>
      <c r="I1548" s="107"/>
      <c r="L1548" s="149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9">
        <v>44285</v>
      </c>
      <c r="B1549" s="107">
        <v>604.20000000000005</v>
      </c>
      <c r="C1549" s="107">
        <v>600.45000000000005</v>
      </c>
      <c r="D1549" s="107">
        <v>582.04999999999995</v>
      </c>
      <c r="E1549" s="107">
        <v>584.9</v>
      </c>
      <c r="F1549" s="107">
        <v>600.45000000000005</v>
      </c>
      <c r="G1549">
        <v>19170</v>
      </c>
      <c r="H1549" s="107"/>
      <c r="I1549" s="107"/>
      <c r="L1549" s="149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9">
        <v>44286</v>
      </c>
      <c r="B1550" s="107">
        <v>619</v>
      </c>
      <c r="C1550" s="107">
        <v>612.85</v>
      </c>
      <c r="D1550" s="107">
        <v>585.4</v>
      </c>
      <c r="E1550" s="107">
        <v>601</v>
      </c>
      <c r="F1550" s="107">
        <v>612.85</v>
      </c>
      <c r="G1550">
        <v>151333</v>
      </c>
      <c r="H1550" s="107"/>
      <c r="I1550" s="107"/>
      <c r="L1550" s="149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9">
        <v>44287</v>
      </c>
      <c r="B1551" s="107">
        <v>617.54999999999995</v>
      </c>
      <c r="C1551" s="107">
        <v>612.1</v>
      </c>
      <c r="D1551" s="107">
        <v>602.5</v>
      </c>
      <c r="E1551" s="107">
        <v>615.5</v>
      </c>
      <c r="F1551" s="107">
        <v>612.1</v>
      </c>
      <c r="G1551">
        <v>24867</v>
      </c>
      <c r="H1551" s="107"/>
      <c r="I1551" s="107"/>
      <c r="L1551" s="149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9">
        <v>44291</v>
      </c>
      <c r="B1552" s="107">
        <v>605.04999999999995</v>
      </c>
      <c r="C1552" s="107">
        <v>578.85</v>
      </c>
      <c r="D1552" s="107">
        <v>572.4</v>
      </c>
      <c r="E1552" s="107">
        <v>601.35</v>
      </c>
      <c r="F1552" s="107">
        <v>578.85</v>
      </c>
      <c r="G1552">
        <v>33810</v>
      </c>
      <c r="H1552" s="107"/>
      <c r="I1552" s="107"/>
      <c r="L1552" s="149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9">
        <v>44292</v>
      </c>
      <c r="B1553" s="107">
        <v>588.85</v>
      </c>
      <c r="C1553" s="107">
        <v>566.85</v>
      </c>
      <c r="D1553" s="107">
        <v>565</v>
      </c>
      <c r="E1553" s="107">
        <v>588.85</v>
      </c>
      <c r="F1553" s="107">
        <v>566.85</v>
      </c>
      <c r="G1553">
        <v>21491</v>
      </c>
      <c r="H1553" s="107"/>
      <c r="I1553" s="107"/>
      <c r="L1553" s="149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9">
        <v>44293</v>
      </c>
      <c r="B1554" s="107">
        <v>577</v>
      </c>
      <c r="C1554" s="107">
        <v>567</v>
      </c>
      <c r="D1554" s="107">
        <v>564.65</v>
      </c>
      <c r="E1554" s="107">
        <v>574.1</v>
      </c>
      <c r="F1554" s="107">
        <v>567</v>
      </c>
      <c r="G1554">
        <v>9189</v>
      </c>
      <c r="H1554" s="107"/>
      <c r="I1554" s="107"/>
      <c r="L1554" s="149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9">
        <v>44294</v>
      </c>
      <c r="B1555" s="107">
        <v>573.1</v>
      </c>
      <c r="C1555" s="107">
        <v>567.1</v>
      </c>
      <c r="D1555" s="107">
        <v>565.5</v>
      </c>
      <c r="E1555" s="107">
        <v>568</v>
      </c>
      <c r="F1555" s="107">
        <v>567.1</v>
      </c>
      <c r="G1555">
        <v>5864</v>
      </c>
      <c r="H1555" s="107"/>
      <c r="I1555" s="107"/>
      <c r="L1555" s="149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9">
        <v>44295</v>
      </c>
      <c r="B1556" s="107">
        <v>569.15</v>
      </c>
      <c r="C1556" s="107">
        <v>552.75</v>
      </c>
      <c r="D1556" s="107">
        <v>547.79999999999995</v>
      </c>
      <c r="E1556" s="107">
        <v>561.5</v>
      </c>
      <c r="F1556" s="107">
        <v>552.75</v>
      </c>
      <c r="G1556">
        <v>49446</v>
      </c>
      <c r="H1556" s="107"/>
      <c r="I1556" s="107"/>
      <c r="L1556" s="149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9">
        <v>44298</v>
      </c>
      <c r="B1557" s="107">
        <v>548</v>
      </c>
      <c r="C1557" s="107">
        <v>511.5</v>
      </c>
      <c r="D1557" s="107">
        <v>494.15</v>
      </c>
      <c r="E1557" s="107">
        <v>548</v>
      </c>
      <c r="F1557" s="107">
        <v>511.5</v>
      </c>
      <c r="G1557">
        <v>48873</v>
      </c>
      <c r="H1557" s="107"/>
      <c r="I1557" s="107"/>
      <c r="L1557" s="149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9">
        <v>44299</v>
      </c>
      <c r="B1558" s="107">
        <v>535</v>
      </c>
      <c r="C1558" s="107">
        <v>515.5</v>
      </c>
      <c r="D1558" s="107">
        <v>495.65</v>
      </c>
      <c r="E1558" s="107">
        <v>535</v>
      </c>
      <c r="F1558" s="107">
        <v>515.5</v>
      </c>
      <c r="G1558">
        <v>16809</v>
      </c>
      <c r="H1558" s="107"/>
      <c r="I1558" s="107"/>
      <c r="L1558" s="149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9">
        <v>44301</v>
      </c>
      <c r="B1559" s="107">
        <v>527.20000000000005</v>
      </c>
      <c r="C1559" s="107">
        <v>513.15</v>
      </c>
      <c r="D1559" s="107">
        <v>502.25</v>
      </c>
      <c r="E1559" s="107">
        <v>515</v>
      </c>
      <c r="F1559" s="107">
        <v>513.15</v>
      </c>
      <c r="G1559">
        <v>12152</v>
      </c>
      <c r="H1559" s="107"/>
      <c r="I1559" s="107"/>
      <c r="L1559" s="149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9">
        <v>44302</v>
      </c>
      <c r="B1560" s="107">
        <v>531.70000000000005</v>
      </c>
      <c r="C1560" s="107">
        <v>513.20000000000005</v>
      </c>
      <c r="D1560" s="107">
        <v>510</v>
      </c>
      <c r="E1560" s="107">
        <v>513.15</v>
      </c>
      <c r="F1560" s="107">
        <v>513.20000000000005</v>
      </c>
      <c r="G1560">
        <v>21368</v>
      </c>
      <c r="H1560" s="107"/>
      <c r="I1560" s="107"/>
      <c r="L1560" s="149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9">
        <v>44305</v>
      </c>
      <c r="B1561" s="107">
        <v>513.20000000000005</v>
      </c>
      <c r="C1561" s="107">
        <v>500.05</v>
      </c>
      <c r="D1561" s="107">
        <v>490</v>
      </c>
      <c r="E1561" s="107">
        <v>513.20000000000005</v>
      </c>
      <c r="F1561" s="107">
        <v>500.05</v>
      </c>
      <c r="G1561">
        <v>16002</v>
      </c>
      <c r="H1561" s="107"/>
      <c r="I1561" s="107"/>
      <c r="L1561" s="149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9">
        <v>44306</v>
      </c>
      <c r="B1562" s="107">
        <v>515</v>
      </c>
      <c r="C1562" s="107">
        <v>512.04999999999995</v>
      </c>
      <c r="D1562" s="107">
        <v>502.2</v>
      </c>
      <c r="E1562" s="107">
        <v>508.55</v>
      </c>
      <c r="F1562" s="107">
        <v>512.04999999999995</v>
      </c>
      <c r="G1562">
        <v>12794</v>
      </c>
      <c r="H1562" s="107"/>
      <c r="I1562" s="107"/>
      <c r="L1562" s="149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9">
        <v>44308</v>
      </c>
      <c r="B1563" s="107">
        <v>515</v>
      </c>
      <c r="C1563" s="107">
        <v>507.7</v>
      </c>
      <c r="D1563" s="107">
        <v>503.6</v>
      </c>
      <c r="E1563" s="107">
        <v>507.7</v>
      </c>
      <c r="F1563" s="107">
        <v>507.7</v>
      </c>
      <c r="G1563">
        <v>12842</v>
      </c>
      <c r="H1563" s="107"/>
      <c r="I1563" s="107"/>
      <c r="L1563" s="149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9">
        <v>44309</v>
      </c>
      <c r="B1564" s="107">
        <v>528.70000000000005</v>
      </c>
      <c r="C1564" s="107">
        <v>523.85</v>
      </c>
      <c r="D1564" s="107">
        <v>508.4</v>
      </c>
      <c r="E1564" s="107">
        <v>512.25</v>
      </c>
      <c r="F1564" s="107">
        <v>523.85</v>
      </c>
      <c r="G1564">
        <v>21568</v>
      </c>
      <c r="H1564" s="107"/>
      <c r="I1564" s="107"/>
      <c r="L1564" s="149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9">
        <v>44312</v>
      </c>
      <c r="B1565" s="107">
        <v>580.04999999999995</v>
      </c>
      <c r="C1565" s="107">
        <v>568.95000000000005</v>
      </c>
      <c r="D1565" s="107">
        <v>515.04999999999995</v>
      </c>
      <c r="E1565" s="107">
        <v>515.04999999999995</v>
      </c>
      <c r="F1565" s="107">
        <v>568.95000000000005</v>
      </c>
      <c r="G1565">
        <v>112106</v>
      </c>
      <c r="H1565" s="107"/>
      <c r="I1565" s="107"/>
      <c r="L1565" s="149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9">
        <v>44313</v>
      </c>
      <c r="B1566" s="107">
        <v>578.25</v>
      </c>
      <c r="C1566" s="107">
        <v>572.20000000000005</v>
      </c>
      <c r="D1566" s="107">
        <v>566.79999999999995</v>
      </c>
      <c r="E1566" s="107">
        <v>577.9</v>
      </c>
      <c r="F1566" s="107">
        <v>572.20000000000005</v>
      </c>
      <c r="G1566">
        <v>22526</v>
      </c>
      <c r="H1566" s="107"/>
      <c r="I1566" s="107"/>
      <c r="L1566" s="149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9">
        <v>44314</v>
      </c>
      <c r="B1567" s="107">
        <v>597</v>
      </c>
      <c r="C1567" s="107">
        <v>592.65</v>
      </c>
      <c r="D1567" s="107">
        <v>571.95000000000005</v>
      </c>
      <c r="E1567" s="107">
        <v>571.95000000000005</v>
      </c>
      <c r="F1567" s="107">
        <v>592.65</v>
      </c>
      <c r="G1567">
        <v>49318</v>
      </c>
      <c r="H1567" s="107"/>
      <c r="I1567" s="107"/>
      <c r="L1567" s="149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9">
        <v>44315</v>
      </c>
      <c r="B1568" s="107">
        <v>604.79999999999995</v>
      </c>
      <c r="C1568" s="107">
        <v>580.20000000000005</v>
      </c>
      <c r="D1568" s="107">
        <v>576</v>
      </c>
      <c r="E1568" s="107">
        <v>599.9</v>
      </c>
      <c r="F1568" s="107">
        <v>580.20000000000005</v>
      </c>
      <c r="G1568">
        <v>125698</v>
      </c>
      <c r="H1568" s="107"/>
      <c r="I1568" s="107"/>
      <c r="L1568" s="149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9">
        <v>44316</v>
      </c>
      <c r="B1569" s="107">
        <v>589.6</v>
      </c>
      <c r="C1569" s="107">
        <v>579.35</v>
      </c>
      <c r="D1569" s="107">
        <v>564.85</v>
      </c>
      <c r="E1569" s="107">
        <v>564.85</v>
      </c>
      <c r="F1569" s="107">
        <v>579.35</v>
      </c>
      <c r="G1569">
        <v>60375</v>
      </c>
      <c r="H1569" s="107"/>
      <c r="I1569" s="107"/>
      <c r="L1569" s="149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9">
        <v>44319</v>
      </c>
      <c r="B1570" s="107">
        <v>578</v>
      </c>
      <c r="C1570" s="107">
        <v>547.4</v>
      </c>
      <c r="D1570" s="107">
        <v>545.75</v>
      </c>
      <c r="E1570" s="107">
        <v>578</v>
      </c>
      <c r="F1570" s="107">
        <v>547.4</v>
      </c>
      <c r="G1570">
        <v>26872</v>
      </c>
      <c r="H1570" s="107"/>
      <c r="I1570" s="107"/>
      <c r="L1570" s="149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9">
        <v>44320</v>
      </c>
      <c r="B1571" s="107">
        <v>560</v>
      </c>
      <c r="C1571" s="107">
        <v>526.15</v>
      </c>
      <c r="D1571" s="107">
        <v>522.70000000000005</v>
      </c>
      <c r="E1571" s="107">
        <v>555.6</v>
      </c>
      <c r="F1571" s="107">
        <v>526.15</v>
      </c>
      <c r="G1571">
        <v>46097</v>
      </c>
      <c r="H1571" s="107"/>
      <c r="I1571" s="107"/>
      <c r="L1571" s="149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9">
        <v>44321</v>
      </c>
      <c r="B1572" s="107">
        <v>537.9</v>
      </c>
      <c r="C1572" s="107">
        <v>532.4</v>
      </c>
      <c r="D1572" s="107">
        <v>530.9</v>
      </c>
      <c r="E1572" s="107">
        <v>537.85</v>
      </c>
      <c r="F1572" s="107">
        <v>532.4</v>
      </c>
      <c r="G1572">
        <v>10309</v>
      </c>
      <c r="H1572" s="107"/>
      <c r="I1572" s="107"/>
      <c r="L1572" s="149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9">
        <v>44322</v>
      </c>
      <c r="B1573" s="107">
        <v>535.5</v>
      </c>
      <c r="C1573" s="107">
        <v>524.45000000000005</v>
      </c>
      <c r="D1573" s="107">
        <v>521.9</v>
      </c>
      <c r="E1573" s="107">
        <v>533.1</v>
      </c>
      <c r="F1573" s="107">
        <v>524.45000000000005</v>
      </c>
      <c r="G1573">
        <v>10811</v>
      </c>
      <c r="H1573" s="107"/>
      <c r="I1573" s="107"/>
      <c r="L1573" s="149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9">
        <v>44323</v>
      </c>
      <c r="B1574" s="107">
        <v>532</v>
      </c>
      <c r="C1574" s="107">
        <v>522.70000000000005</v>
      </c>
      <c r="D1574" s="107">
        <v>521.04999999999995</v>
      </c>
      <c r="E1574" s="107">
        <v>523</v>
      </c>
      <c r="F1574" s="107">
        <v>522.70000000000005</v>
      </c>
      <c r="G1574">
        <v>14823</v>
      </c>
      <c r="H1574" s="107"/>
      <c r="I1574" s="107"/>
      <c r="L1574" s="149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9">
        <v>44326</v>
      </c>
      <c r="B1575" s="107">
        <v>528.25</v>
      </c>
      <c r="C1575" s="107">
        <v>511.9</v>
      </c>
      <c r="D1575" s="107">
        <v>510.4</v>
      </c>
      <c r="E1575" s="107">
        <v>525.85</v>
      </c>
      <c r="F1575" s="107">
        <v>511.9</v>
      </c>
      <c r="G1575">
        <v>13014</v>
      </c>
      <c r="H1575" s="107"/>
      <c r="I1575" s="107"/>
      <c r="L1575" s="149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9">
        <v>44327</v>
      </c>
      <c r="B1576" s="107">
        <v>519.79999999999995</v>
      </c>
      <c r="C1576" s="107">
        <v>512.6</v>
      </c>
      <c r="D1576" s="107">
        <v>507.85</v>
      </c>
      <c r="E1576" s="107">
        <v>512</v>
      </c>
      <c r="F1576" s="107">
        <v>512.6</v>
      </c>
      <c r="G1576">
        <v>13191</v>
      </c>
      <c r="H1576" s="107"/>
      <c r="I1576" s="107"/>
      <c r="L1576" s="149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9">
        <v>44328</v>
      </c>
      <c r="B1577" s="107">
        <v>519.5</v>
      </c>
      <c r="C1577" s="107">
        <v>507.7</v>
      </c>
      <c r="D1577" s="107">
        <v>505.55</v>
      </c>
      <c r="E1577" s="107">
        <v>517</v>
      </c>
      <c r="F1577" s="107">
        <v>507.7</v>
      </c>
      <c r="G1577">
        <v>26355</v>
      </c>
      <c r="H1577" s="107"/>
      <c r="I1577" s="107"/>
      <c r="L1577" s="149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9">
        <v>44330</v>
      </c>
      <c r="B1578" s="107">
        <v>525.70000000000005</v>
      </c>
      <c r="C1578" s="107">
        <v>509.6</v>
      </c>
      <c r="D1578" s="107">
        <v>502.5</v>
      </c>
      <c r="E1578" s="107">
        <v>508.3</v>
      </c>
      <c r="F1578" s="107">
        <v>509.6</v>
      </c>
      <c r="G1578">
        <v>51640</v>
      </c>
      <c r="H1578" s="107"/>
      <c r="I1578" s="107"/>
      <c r="L1578" s="149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9">
        <v>44333</v>
      </c>
      <c r="B1579" s="107">
        <v>518.4</v>
      </c>
      <c r="C1579" s="107">
        <v>511.95</v>
      </c>
      <c r="D1579" s="107">
        <v>506.95</v>
      </c>
      <c r="E1579" s="107">
        <v>512</v>
      </c>
      <c r="F1579" s="107">
        <v>511.95</v>
      </c>
      <c r="G1579">
        <v>60408</v>
      </c>
      <c r="H1579" s="107"/>
      <c r="I1579" s="107"/>
      <c r="L1579" s="149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9">
        <v>44334</v>
      </c>
      <c r="B1580" s="107">
        <v>528.5</v>
      </c>
      <c r="C1580" s="107">
        <v>526.65</v>
      </c>
      <c r="D1580" s="107">
        <v>510</v>
      </c>
      <c r="E1580" s="107">
        <v>510</v>
      </c>
      <c r="F1580" s="107">
        <v>526.65</v>
      </c>
      <c r="G1580">
        <v>65930</v>
      </c>
      <c r="H1580" s="107"/>
      <c r="I1580" s="107"/>
      <c r="L1580" s="149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9">
        <v>44335</v>
      </c>
      <c r="B1581" s="107">
        <v>534.54999999999995</v>
      </c>
      <c r="C1581" s="107">
        <v>521.9</v>
      </c>
      <c r="D1581" s="107">
        <v>520.70000000000005</v>
      </c>
      <c r="E1581" s="107">
        <v>533.95000000000005</v>
      </c>
      <c r="F1581" s="107">
        <v>521.9</v>
      </c>
      <c r="G1581">
        <v>31371</v>
      </c>
      <c r="H1581" s="107"/>
      <c r="I1581" s="107"/>
      <c r="L1581" s="149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9">
        <v>44336</v>
      </c>
      <c r="B1582" s="107">
        <v>527.20000000000005</v>
      </c>
      <c r="C1582" s="107">
        <v>516.70000000000005</v>
      </c>
      <c r="D1582" s="107">
        <v>514.25</v>
      </c>
      <c r="E1582" s="107">
        <v>521.9</v>
      </c>
      <c r="F1582" s="107">
        <v>516.70000000000005</v>
      </c>
      <c r="G1582">
        <v>16777</v>
      </c>
      <c r="H1582" s="107"/>
      <c r="I1582" s="107"/>
      <c r="L1582" s="149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9">
        <v>44337</v>
      </c>
      <c r="B1583" s="107">
        <v>523.25</v>
      </c>
      <c r="C1583" s="107">
        <v>511.45</v>
      </c>
      <c r="D1583" s="107">
        <v>508</v>
      </c>
      <c r="E1583" s="107">
        <v>521.04999999999995</v>
      </c>
      <c r="F1583" s="107">
        <v>511.45</v>
      </c>
      <c r="G1583">
        <v>21779</v>
      </c>
      <c r="H1583" s="107"/>
      <c r="I1583" s="107"/>
      <c r="L1583" s="149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9">
        <v>44340</v>
      </c>
      <c r="B1584" s="107">
        <v>540</v>
      </c>
      <c r="C1584" s="107">
        <v>536.25</v>
      </c>
      <c r="D1584" s="107">
        <v>512.79999999999995</v>
      </c>
      <c r="E1584" s="107">
        <v>512.79999999999995</v>
      </c>
      <c r="F1584" s="107">
        <v>536.25</v>
      </c>
      <c r="G1584">
        <v>27731</v>
      </c>
      <c r="H1584" s="107"/>
      <c r="I1584" s="107"/>
      <c r="L1584" s="149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9">
        <v>44341</v>
      </c>
      <c r="B1585" s="107">
        <v>560.75</v>
      </c>
      <c r="C1585" s="107">
        <v>527.45000000000005</v>
      </c>
      <c r="D1585" s="107">
        <v>517.35</v>
      </c>
      <c r="E1585" s="107">
        <v>548.85</v>
      </c>
      <c r="F1585" s="107">
        <v>527.45000000000005</v>
      </c>
      <c r="G1585">
        <v>80157</v>
      </c>
      <c r="H1585" s="107"/>
      <c r="I1585" s="107"/>
      <c r="L1585" s="149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9">
        <v>44342</v>
      </c>
      <c r="B1586" s="107">
        <v>540.95000000000005</v>
      </c>
      <c r="C1586" s="107">
        <v>537.95000000000005</v>
      </c>
      <c r="D1586" s="107">
        <v>522.1</v>
      </c>
      <c r="E1586" s="107">
        <v>527.6</v>
      </c>
      <c r="F1586" s="107">
        <v>537.95000000000005</v>
      </c>
      <c r="G1586">
        <v>61136</v>
      </c>
      <c r="H1586" s="107"/>
      <c r="I1586" s="107"/>
      <c r="L1586" s="149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9">
        <v>44343</v>
      </c>
      <c r="B1587" s="107">
        <v>552.6</v>
      </c>
      <c r="C1587" s="107">
        <v>547.65</v>
      </c>
      <c r="D1587" s="107">
        <v>542.35</v>
      </c>
      <c r="E1587" s="107">
        <v>545</v>
      </c>
      <c r="F1587" s="107">
        <v>547.65</v>
      </c>
      <c r="G1587">
        <v>22109</v>
      </c>
      <c r="H1587" s="107"/>
      <c r="I1587" s="107"/>
      <c r="L1587" s="149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9">
        <v>44344</v>
      </c>
      <c r="B1588" s="107">
        <v>551.5</v>
      </c>
      <c r="C1588" s="107">
        <v>531.54999999999995</v>
      </c>
      <c r="D1588" s="107">
        <v>528.79999999999995</v>
      </c>
      <c r="E1588" s="107">
        <v>540.04999999999995</v>
      </c>
      <c r="F1588" s="107">
        <v>531.54999999999995</v>
      </c>
      <c r="G1588">
        <v>16069</v>
      </c>
      <c r="H1588" s="107"/>
      <c r="I1588" s="107"/>
      <c r="L1588" s="149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9">
        <v>44347</v>
      </c>
      <c r="B1589" s="107">
        <v>596</v>
      </c>
      <c r="C1589" s="107">
        <v>548</v>
      </c>
      <c r="D1589" s="107">
        <v>526.35</v>
      </c>
      <c r="E1589" s="107">
        <v>536.9</v>
      </c>
      <c r="F1589" s="107">
        <v>548</v>
      </c>
      <c r="G1589">
        <v>212117</v>
      </c>
      <c r="H1589" s="107"/>
      <c r="I1589" s="107"/>
      <c r="L1589" s="149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9">
        <v>44348</v>
      </c>
      <c r="B1590" s="107">
        <v>570</v>
      </c>
      <c r="C1590" s="107">
        <v>556.95000000000005</v>
      </c>
      <c r="D1590" s="107">
        <v>548.5</v>
      </c>
      <c r="E1590" s="107">
        <v>548.5</v>
      </c>
      <c r="F1590" s="107">
        <v>556.95000000000005</v>
      </c>
      <c r="G1590">
        <v>47889</v>
      </c>
      <c r="H1590" s="107"/>
      <c r="I1590" s="107"/>
      <c r="L1590" s="149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9">
        <v>44349</v>
      </c>
      <c r="B1591" s="107">
        <v>560.04999999999995</v>
      </c>
      <c r="C1591" s="107">
        <v>555.15</v>
      </c>
      <c r="D1591" s="107">
        <v>550.79999999999995</v>
      </c>
      <c r="E1591" s="107">
        <v>554.79999999999995</v>
      </c>
      <c r="F1591" s="107">
        <v>555.15</v>
      </c>
      <c r="G1591">
        <v>69335</v>
      </c>
      <c r="H1591" s="107"/>
      <c r="I1591" s="107"/>
      <c r="L1591" s="149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9">
        <v>44350</v>
      </c>
      <c r="B1592" s="107">
        <v>564.25</v>
      </c>
      <c r="C1592" s="107">
        <v>542.4</v>
      </c>
      <c r="D1592" s="107">
        <v>540.65</v>
      </c>
      <c r="E1592" s="107">
        <v>562.5</v>
      </c>
      <c r="F1592" s="107">
        <v>542.4</v>
      </c>
      <c r="G1592">
        <v>43513</v>
      </c>
      <c r="H1592" s="107"/>
      <c r="I1592" s="107"/>
      <c r="L1592" s="149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9">
        <v>44351</v>
      </c>
      <c r="B1593" s="107">
        <v>561.95000000000005</v>
      </c>
      <c r="C1593" s="107">
        <v>550.4</v>
      </c>
      <c r="D1593" s="107">
        <v>542.25</v>
      </c>
      <c r="E1593" s="107">
        <v>545</v>
      </c>
      <c r="F1593" s="107">
        <v>550.4</v>
      </c>
      <c r="G1593">
        <v>69693</v>
      </c>
      <c r="H1593" s="107"/>
      <c r="I1593" s="107"/>
      <c r="L1593" s="149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9">
        <v>44354</v>
      </c>
      <c r="B1594" s="107">
        <v>560.04999999999995</v>
      </c>
      <c r="C1594" s="107">
        <v>544.04999999999995</v>
      </c>
      <c r="D1594" s="107">
        <v>542</v>
      </c>
      <c r="E1594" s="107">
        <v>560</v>
      </c>
      <c r="F1594" s="107">
        <v>544.04999999999995</v>
      </c>
      <c r="G1594">
        <v>37326</v>
      </c>
      <c r="H1594" s="107"/>
      <c r="I1594" s="107"/>
      <c r="L1594" s="149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9">
        <v>44355</v>
      </c>
      <c r="B1595" s="107">
        <v>548.20000000000005</v>
      </c>
      <c r="C1595" s="107">
        <v>543.20000000000005</v>
      </c>
      <c r="D1595" s="107">
        <v>541.25</v>
      </c>
      <c r="E1595" s="107">
        <v>544</v>
      </c>
      <c r="F1595" s="107">
        <v>543.20000000000005</v>
      </c>
      <c r="G1595">
        <v>21279</v>
      </c>
      <c r="H1595" s="107"/>
      <c r="I1595" s="107"/>
      <c r="L1595" s="149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9">
        <v>44356</v>
      </c>
      <c r="B1596" s="107">
        <v>546.65</v>
      </c>
      <c r="C1596" s="107">
        <v>529.54999999999995</v>
      </c>
      <c r="D1596" s="107">
        <v>524</v>
      </c>
      <c r="E1596" s="107">
        <v>543.5</v>
      </c>
      <c r="F1596" s="107">
        <v>529.54999999999995</v>
      </c>
      <c r="G1596">
        <v>28359</v>
      </c>
      <c r="H1596" s="107"/>
      <c r="I1596" s="107"/>
      <c r="L1596" s="149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9">
        <v>44357</v>
      </c>
      <c r="B1597" s="107">
        <v>533.79999999999995</v>
      </c>
      <c r="C1597" s="107">
        <v>520.5</v>
      </c>
      <c r="D1597" s="107">
        <v>519.29999999999995</v>
      </c>
      <c r="E1597" s="107">
        <v>533.79999999999995</v>
      </c>
      <c r="F1597" s="107">
        <v>520.5</v>
      </c>
      <c r="G1597">
        <v>75675</v>
      </c>
      <c r="H1597" s="107"/>
      <c r="I1597" s="107"/>
      <c r="L1597" s="149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9">
        <v>44358</v>
      </c>
      <c r="B1598" s="107">
        <v>566.29999999999995</v>
      </c>
      <c r="C1598" s="107">
        <v>526.6</v>
      </c>
      <c r="D1598" s="107">
        <v>522</v>
      </c>
      <c r="E1598" s="107">
        <v>522.79999999999995</v>
      </c>
      <c r="F1598" s="107">
        <v>526.6</v>
      </c>
      <c r="G1598">
        <v>173534</v>
      </c>
      <c r="H1598" s="107"/>
      <c r="I1598" s="107"/>
      <c r="L1598" s="149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9">
        <v>44361</v>
      </c>
      <c r="B1599" s="107">
        <v>529.15</v>
      </c>
      <c r="C1599" s="107">
        <v>522.5</v>
      </c>
      <c r="D1599" s="107">
        <v>515.70000000000005</v>
      </c>
      <c r="E1599" s="107">
        <v>528.75</v>
      </c>
      <c r="F1599" s="107">
        <v>522.5</v>
      </c>
      <c r="G1599">
        <v>23472</v>
      </c>
      <c r="H1599" s="107"/>
      <c r="I1599" s="107"/>
      <c r="L1599" s="149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9">
        <v>44362</v>
      </c>
      <c r="B1600" s="107">
        <v>531.45000000000005</v>
      </c>
      <c r="C1600" s="107">
        <v>522.95000000000005</v>
      </c>
      <c r="D1600" s="107">
        <v>521.54999999999995</v>
      </c>
      <c r="E1600" s="107">
        <v>524</v>
      </c>
      <c r="F1600" s="107">
        <v>522.95000000000005</v>
      </c>
      <c r="G1600">
        <v>41811</v>
      </c>
      <c r="H1600" s="107"/>
      <c r="I1600" s="107"/>
      <c r="L1600" s="149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9">
        <v>44363</v>
      </c>
      <c r="B1601" s="107">
        <v>528.4</v>
      </c>
      <c r="C1601" s="107">
        <v>518.25</v>
      </c>
      <c r="D1601" s="107">
        <v>516.15</v>
      </c>
      <c r="E1601" s="107">
        <v>524</v>
      </c>
      <c r="F1601" s="107">
        <v>518.25</v>
      </c>
      <c r="G1601">
        <v>37375</v>
      </c>
      <c r="H1601" s="107"/>
      <c r="I1601" s="107"/>
      <c r="L1601" s="149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9">
        <v>44364</v>
      </c>
      <c r="B1602" s="107">
        <v>524.95000000000005</v>
      </c>
      <c r="C1602" s="107">
        <v>514.9</v>
      </c>
      <c r="D1602" s="107">
        <v>511.55</v>
      </c>
      <c r="E1602" s="107">
        <v>515</v>
      </c>
      <c r="F1602" s="107">
        <v>514.9</v>
      </c>
      <c r="G1602">
        <v>106564</v>
      </c>
      <c r="H1602" s="107"/>
      <c r="I1602" s="107"/>
      <c r="L1602" s="149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9">
        <v>44365</v>
      </c>
      <c r="B1603" s="107">
        <v>518.95000000000005</v>
      </c>
      <c r="C1603" s="107">
        <v>513.20000000000005</v>
      </c>
      <c r="D1603" s="107">
        <v>501.4</v>
      </c>
      <c r="E1603" s="107">
        <v>515</v>
      </c>
      <c r="F1603" s="107">
        <v>513.20000000000005</v>
      </c>
      <c r="G1603">
        <v>84539</v>
      </c>
      <c r="H1603" s="107"/>
      <c r="I1603" s="107"/>
      <c r="L1603" s="149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9">
        <v>44368</v>
      </c>
      <c r="B1604" s="107">
        <v>519.75</v>
      </c>
      <c r="C1604" s="107">
        <v>510</v>
      </c>
      <c r="D1604" s="107">
        <v>508.6</v>
      </c>
      <c r="E1604" s="107">
        <v>511.9</v>
      </c>
      <c r="F1604" s="107">
        <v>510</v>
      </c>
      <c r="G1604">
        <v>26704</v>
      </c>
      <c r="H1604" s="107"/>
      <c r="I1604" s="107"/>
      <c r="L1604" s="149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9">
        <v>44369</v>
      </c>
      <c r="B1605" s="107">
        <v>530.54999999999995</v>
      </c>
      <c r="C1605" s="107">
        <v>524.04999999999995</v>
      </c>
      <c r="D1605" s="107">
        <v>514.65</v>
      </c>
      <c r="E1605" s="107">
        <v>515</v>
      </c>
      <c r="F1605" s="107">
        <v>524.04999999999995</v>
      </c>
      <c r="G1605">
        <v>42170</v>
      </c>
      <c r="H1605" s="107"/>
      <c r="I1605" s="107"/>
      <c r="L1605" s="149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9">
        <v>44370</v>
      </c>
      <c r="B1606" s="107">
        <v>527.75</v>
      </c>
      <c r="C1606" s="107">
        <v>514.29999999999995</v>
      </c>
      <c r="D1606" s="107">
        <v>511.5</v>
      </c>
      <c r="E1606" s="107">
        <v>527.75</v>
      </c>
      <c r="F1606" s="107">
        <v>514.29999999999995</v>
      </c>
      <c r="G1606">
        <v>16142</v>
      </c>
      <c r="H1606" s="107"/>
      <c r="I1606" s="107"/>
      <c r="L1606" s="149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9">
        <v>44371</v>
      </c>
      <c r="B1607" s="107">
        <v>523.20000000000005</v>
      </c>
      <c r="C1607" s="107">
        <v>520</v>
      </c>
      <c r="D1607" s="107">
        <v>516.70000000000005</v>
      </c>
      <c r="E1607" s="107">
        <v>517.25</v>
      </c>
      <c r="F1607" s="107">
        <v>520</v>
      </c>
      <c r="G1607">
        <v>48690</v>
      </c>
      <c r="H1607" s="107"/>
      <c r="I1607" s="107"/>
      <c r="L1607" s="149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9">
        <v>44372</v>
      </c>
      <c r="B1608" s="107">
        <v>527.6</v>
      </c>
      <c r="C1608" s="107">
        <v>522.15</v>
      </c>
      <c r="D1608" s="107">
        <v>516.04999999999995</v>
      </c>
      <c r="E1608" s="107">
        <v>516.04999999999995</v>
      </c>
      <c r="F1608" s="107">
        <v>522.15</v>
      </c>
      <c r="G1608">
        <v>46553</v>
      </c>
      <c r="H1608" s="107"/>
      <c r="I1608" s="107"/>
      <c r="L1608" s="149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9">
        <v>44375</v>
      </c>
      <c r="B1609" s="107">
        <v>525</v>
      </c>
      <c r="C1609" s="107">
        <v>520.15</v>
      </c>
      <c r="D1609" s="107">
        <v>518.4</v>
      </c>
      <c r="E1609" s="107">
        <v>524.70000000000005</v>
      </c>
      <c r="F1609" s="107">
        <v>520.15</v>
      </c>
      <c r="G1609">
        <v>40099</v>
      </c>
      <c r="H1609" s="107"/>
      <c r="I1609" s="107"/>
      <c r="L1609" s="149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9">
        <v>44376</v>
      </c>
      <c r="B1610" s="107">
        <v>526.4</v>
      </c>
      <c r="C1610" s="107">
        <v>519.9</v>
      </c>
      <c r="D1610" s="107">
        <v>514.6</v>
      </c>
      <c r="E1610" s="107">
        <v>520.15</v>
      </c>
      <c r="F1610" s="107">
        <v>519.9</v>
      </c>
      <c r="G1610">
        <v>21078</v>
      </c>
      <c r="H1610" s="107"/>
      <c r="I1610" s="107"/>
      <c r="L1610" s="149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9">
        <v>44377</v>
      </c>
      <c r="B1611" s="107">
        <v>525</v>
      </c>
      <c r="C1611" s="107">
        <v>522.79999999999995</v>
      </c>
      <c r="D1611" s="107">
        <v>518.85</v>
      </c>
      <c r="E1611" s="107">
        <v>522</v>
      </c>
      <c r="F1611" s="107">
        <v>522.79999999999995</v>
      </c>
      <c r="G1611">
        <v>16920</v>
      </c>
      <c r="H1611" s="107"/>
      <c r="I1611" s="107"/>
      <c r="L1611" s="149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9">
        <v>44378</v>
      </c>
      <c r="B1612" s="107">
        <v>525.29999999999995</v>
      </c>
      <c r="C1612" s="107">
        <v>522</v>
      </c>
      <c r="D1612" s="107">
        <v>519.25</v>
      </c>
      <c r="E1612" s="107">
        <v>522.70000000000005</v>
      </c>
      <c r="F1612" s="107">
        <v>522</v>
      </c>
      <c r="G1612">
        <v>13704</v>
      </c>
      <c r="H1612" s="107"/>
      <c r="I1612" s="107"/>
      <c r="L1612" s="149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9">
        <v>44379</v>
      </c>
      <c r="B1613" s="107">
        <v>525.20000000000005</v>
      </c>
      <c r="C1613" s="107">
        <v>518.15</v>
      </c>
      <c r="D1613" s="107">
        <v>517.1</v>
      </c>
      <c r="E1613" s="107">
        <v>523.25</v>
      </c>
      <c r="F1613" s="107">
        <v>518.15</v>
      </c>
      <c r="G1613">
        <v>25111</v>
      </c>
      <c r="H1613" s="107"/>
      <c r="I1613" s="107"/>
      <c r="L1613" s="149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9">
        <v>44382</v>
      </c>
      <c r="B1614" s="107">
        <v>522</v>
      </c>
      <c r="C1614" s="107">
        <v>517.04999999999995</v>
      </c>
      <c r="D1614" s="107">
        <v>515</v>
      </c>
      <c r="E1614" s="107">
        <v>516.20000000000005</v>
      </c>
      <c r="F1614" s="107">
        <v>517.04999999999995</v>
      </c>
      <c r="G1614">
        <v>11759</v>
      </c>
      <c r="H1614" s="107"/>
      <c r="I1614" s="107"/>
      <c r="L1614" s="149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9">
        <v>44383</v>
      </c>
      <c r="B1615" s="107">
        <v>529</v>
      </c>
      <c r="C1615" s="107">
        <v>513.54999999999995</v>
      </c>
      <c r="D1615" s="107">
        <v>512.1</v>
      </c>
      <c r="E1615" s="107">
        <v>519.6</v>
      </c>
      <c r="F1615" s="107">
        <v>513.54999999999995</v>
      </c>
      <c r="G1615">
        <v>36268</v>
      </c>
      <c r="H1615" s="107"/>
      <c r="I1615" s="107"/>
      <c r="L1615" s="149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9">
        <v>44384</v>
      </c>
      <c r="B1616" s="107">
        <v>517.9</v>
      </c>
      <c r="C1616" s="107">
        <v>514.15</v>
      </c>
      <c r="D1616" s="107">
        <v>512</v>
      </c>
      <c r="E1616" s="107">
        <v>512.5</v>
      </c>
      <c r="F1616" s="107">
        <v>514.15</v>
      </c>
      <c r="G1616">
        <v>18939</v>
      </c>
      <c r="H1616" s="107"/>
      <c r="I1616" s="107"/>
      <c r="L1616" s="149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9">
        <v>44385</v>
      </c>
      <c r="B1617" s="107">
        <v>515.45000000000005</v>
      </c>
      <c r="C1617" s="107">
        <v>512.20000000000005</v>
      </c>
      <c r="D1617" s="107">
        <v>508.9</v>
      </c>
      <c r="E1617" s="107">
        <v>514.9</v>
      </c>
      <c r="F1617" s="107">
        <v>512.20000000000005</v>
      </c>
      <c r="G1617">
        <v>24385</v>
      </c>
      <c r="H1617" s="107"/>
      <c r="I1617" s="107"/>
      <c r="L1617" s="149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9">
        <v>44386</v>
      </c>
      <c r="B1618" s="107">
        <v>519</v>
      </c>
      <c r="C1618" s="107">
        <v>513.70000000000005</v>
      </c>
      <c r="D1618" s="107">
        <v>510.35</v>
      </c>
      <c r="E1618" s="107">
        <v>513.1</v>
      </c>
      <c r="F1618" s="107">
        <v>513.70000000000005</v>
      </c>
      <c r="G1618">
        <v>26906</v>
      </c>
      <c r="H1618" s="107"/>
      <c r="I1618" s="107"/>
      <c r="L1618" s="149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9">
        <v>44389</v>
      </c>
      <c r="B1619" s="107">
        <v>522.6</v>
      </c>
      <c r="C1619" s="107">
        <v>521.04999999999995</v>
      </c>
      <c r="D1619" s="107">
        <v>512.79999999999995</v>
      </c>
      <c r="E1619" s="107">
        <v>520</v>
      </c>
      <c r="F1619" s="107">
        <v>521.04999999999995</v>
      </c>
      <c r="G1619">
        <v>15783</v>
      </c>
      <c r="H1619" s="107"/>
      <c r="I1619" s="107"/>
      <c r="L1619" s="149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9">
        <v>44390</v>
      </c>
      <c r="B1620" s="107">
        <v>555</v>
      </c>
      <c r="C1620" s="107">
        <v>552</v>
      </c>
      <c r="D1620" s="107">
        <v>521.65</v>
      </c>
      <c r="E1620" s="107">
        <v>521.65</v>
      </c>
      <c r="F1620" s="107">
        <v>552</v>
      </c>
      <c r="G1620">
        <v>118230</v>
      </c>
      <c r="H1620" s="107"/>
      <c r="I1620" s="107"/>
      <c r="L1620" s="149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9">
        <v>44391</v>
      </c>
      <c r="B1621" s="107">
        <v>553</v>
      </c>
      <c r="C1621" s="107">
        <v>548.4</v>
      </c>
      <c r="D1621" s="107">
        <v>540.6</v>
      </c>
      <c r="E1621" s="107">
        <v>553</v>
      </c>
      <c r="F1621" s="107">
        <v>548.4</v>
      </c>
      <c r="G1621">
        <v>31864</v>
      </c>
      <c r="H1621" s="107"/>
      <c r="I1621" s="107"/>
      <c r="L1621" s="149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9">
        <v>44392</v>
      </c>
      <c r="B1622" s="107">
        <v>549.20000000000005</v>
      </c>
      <c r="C1622" s="107">
        <v>542.15</v>
      </c>
      <c r="D1622" s="107">
        <v>535.35</v>
      </c>
      <c r="E1622" s="107">
        <v>542.79999999999995</v>
      </c>
      <c r="F1622" s="107">
        <v>542.15</v>
      </c>
      <c r="G1622">
        <v>18513</v>
      </c>
      <c r="H1622" s="107"/>
      <c r="I1622" s="107"/>
      <c r="L1622" s="149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9">
        <v>44393</v>
      </c>
      <c r="B1623" s="107">
        <v>554</v>
      </c>
      <c r="C1623" s="107">
        <v>540.95000000000005</v>
      </c>
      <c r="D1623" s="107">
        <v>536.29999999999995</v>
      </c>
      <c r="E1623" s="107">
        <v>542</v>
      </c>
      <c r="F1623" s="107">
        <v>540.95000000000005</v>
      </c>
      <c r="G1623">
        <v>63310</v>
      </c>
      <c r="H1623" s="107"/>
      <c r="I1623" s="107"/>
      <c r="L1623" s="149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9">
        <v>44396</v>
      </c>
      <c r="B1624" s="107">
        <v>541.5</v>
      </c>
      <c r="C1624" s="107">
        <v>532.65</v>
      </c>
      <c r="D1624" s="107">
        <v>530.45000000000005</v>
      </c>
      <c r="E1624" s="107">
        <v>535.5</v>
      </c>
      <c r="F1624" s="107">
        <v>532.65</v>
      </c>
      <c r="G1624">
        <v>23954</v>
      </c>
      <c r="H1624" s="107"/>
      <c r="I1624" s="107"/>
      <c r="L1624" s="149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9">
        <v>44397</v>
      </c>
      <c r="B1625" s="107">
        <v>535</v>
      </c>
      <c r="C1625" s="107">
        <v>528.1</v>
      </c>
      <c r="D1625" s="107">
        <v>523.6</v>
      </c>
      <c r="E1625" s="107">
        <v>535</v>
      </c>
      <c r="F1625" s="107">
        <v>528.1</v>
      </c>
      <c r="G1625">
        <v>61346</v>
      </c>
      <c r="H1625" s="107"/>
      <c r="I1625" s="107"/>
      <c r="L1625" s="149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9">
        <v>44399</v>
      </c>
      <c r="B1626" s="107">
        <v>549.4</v>
      </c>
      <c r="C1626" s="107">
        <v>543.70000000000005</v>
      </c>
      <c r="D1626" s="107">
        <v>532.75</v>
      </c>
      <c r="E1626" s="107">
        <v>536</v>
      </c>
      <c r="F1626" s="107">
        <v>543.70000000000005</v>
      </c>
      <c r="G1626">
        <v>123873</v>
      </c>
      <c r="H1626" s="107"/>
      <c r="I1626" s="107"/>
      <c r="L1626" s="149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9">
        <v>44400</v>
      </c>
      <c r="B1627" s="107">
        <v>550.4</v>
      </c>
      <c r="C1627" s="107">
        <v>531.70000000000005</v>
      </c>
      <c r="D1627" s="107">
        <v>529.20000000000005</v>
      </c>
      <c r="E1627" s="107">
        <v>550</v>
      </c>
      <c r="F1627" s="107">
        <v>531.70000000000005</v>
      </c>
      <c r="G1627">
        <v>28964</v>
      </c>
      <c r="H1627" s="107"/>
      <c r="I1627" s="107"/>
      <c r="L1627" s="149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9">
        <v>44403</v>
      </c>
      <c r="B1628" s="107">
        <v>564</v>
      </c>
      <c r="C1628" s="107">
        <v>558.04999999999995</v>
      </c>
      <c r="D1628" s="107">
        <v>532</v>
      </c>
      <c r="E1628" s="107">
        <v>532</v>
      </c>
      <c r="F1628" s="107">
        <v>558.04999999999995</v>
      </c>
      <c r="G1628">
        <v>92957</v>
      </c>
      <c r="H1628" s="107"/>
      <c r="I1628" s="107"/>
      <c r="L1628" s="149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9">
        <v>44404</v>
      </c>
      <c r="B1629" s="107">
        <v>568.79999999999995</v>
      </c>
      <c r="C1629" s="107">
        <v>550.75</v>
      </c>
      <c r="D1629" s="107">
        <v>542.5</v>
      </c>
      <c r="E1629" s="107">
        <v>562</v>
      </c>
      <c r="F1629" s="107">
        <v>550.75</v>
      </c>
      <c r="G1629">
        <v>37681</v>
      </c>
      <c r="H1629" s="107"/>
      <c r="I1629" s="107"/>
      <c r="L1629" s="149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9">
        <v>44405</v>
      </c>
      <c r="B1630" s="107">
        <v>565</v>
      </c>
      <c r="C1630" s="107">
        <v>554.15</v>
      </c>
      <c r="D1630" s="107">
        <v>546.9</v>
      </c>
      <c r="E1630" s="107">
        <v>561</v>
      </c>
      <c r="F1630" s="107">
        <v>554.15</v>
      </c>
      <c r="G1630">
        <v>79968</v>
      </c>
      <c r="H1630" s="107"/>
      <c r="I1630" s="107"/>
      <c r="L1630" s="149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9">
        <v>44406</v>
      </c>
      <c r="B1631" s="107">
        <v>558.20000000000005</v>
      </c>
      <c r="C1631" s="107">
        <v>547.45000000000005</v>
      </c>
      <c r="D1631" s="107">
        <v>544.95000000000005</v>
      </c>
      <c r="E1631" s="107">
        <v>557.85</v>
      </c>
      <c r="F1631" s="107">
        <v>547.45000000000005</v>
      </c>
      <c r="G1631">
        <v>40742</v>
      </c>
      <c r="H1631" s="107"/>
      <c r="I1631" s="107"/>
      <c r="L1631" s="149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9">
        <v>44407</v>
      </c>
      <c r="B1632" s="107">
        <v>550.79999999999995</v>
      </c>
      <c r="C1632" s="107">
        <v>539.9</v>
      </c>
      <c r="D1632" s="107">
        <v>538.6</v>
      </c>
      <c r="E1632" s="107">
        <v>548</v>
      </c>
      <c r="F1632" s="107">
        <v>539.9</v>
      </c>
      <c r="G1632">
        <v>19698</v>
      </c>
      <c r="H1632" s="107"/>
      <c r="I1632" s="107"/>
      <c r="L1632" s="149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9">
        <v>44410</v>
      </c>
      <c r="B1633" s="107">
        <v>565</v>
      </c>
      <c r="C1633" s="107">
        <v>554.35</v>
      </c>
      <c r="D1633" s="107">
        <v>541.25</v>
      </c>
      <c r="E1633" s="107">
        <v>541.25</v>
      </c>
      <c r="F1633" s="107">
        <v>554.35</v>
      </c>
      <c r="G1633">
        <v>74312</v>
      </c>
      <c r="H1633" s="107"/>
      <c r="I1633" s="107"/>
      <c r="L1633" s="149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9">
        <v>44411</v>
      </c>
      <c r="B1634" s="107">
        <v>559.15</v>
      </c>
      <c r="C1634" s="107">
        <v>551.95000000000005</v>
      </c>
      <c r="D1634" s="107">
        <v>545.35</v>
      </c>
      <c r="E1634" s="107">
        <v>554</v>
      </c>
      <c r="F1634" s="107">
        <v>551.95000000000005</v>
      </c>
      <c r="G1634">
        <v>18835</v>
      </c>
      <c r="H1634" s="107"/>
      <c r="I1634" s="107"/>
      <c r="L1634" s="149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9">
        <v>44412</v>
      </c>
      <c r="B1635" s="107">
        <v>577.4</v>
      </c>
      <c r="C1635" s="107">
        <v>565.35</v>
      </c>
      <c r="D1635" s="107">
        <v>551</v>
      </c>
      <c r="E1635" s="107">
        <v>553.54999999999995</v>
      </c>
      <c r="F1635" s="107">
        <v>565.35</v>
      </c>
      <c r="G1635">
        <v>86532</v>
      </c>
      <c r="H1635" s="107"/>
      <c r="I1635" s="107"/>
      <c r="L1635" s="149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9">
        <v>44413</v>
      </c>
      <c r="B1636" s="107">
        <v>575.65</v>
      </c>
      <c r="C1636" s="107">
        <v>569</v>
      </c>
      <c r="D1636" s="107">
        <v>558.9</v>
      </c>
      <c r="E1636" s="107">
        <v>566</v>
      </c>
      <c r="F1636" s="107">
        <v>569</v>
      </c>
      <c r="G1636">
        <v>39262</v>
      </c>
      <c r="H1636" s="107"/>
      <c r="I1636" s="107"/>
      <c r="L1636" s="149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9">
        <v>44414</v>
      </c>
      <c r="B1637" s="107">
        <v>574</v>
      </c>
      <c r="C1637" s="107">
        <v>554.79999999999995</v>
      </c>
      <c r="D1637" s="107">
        <v>551</v>
      </c>
      <c r="E1637" s="107">
        <v>574</v>
      </c>
      <c r="F1637" s="107">
        <v>554.79999999999995</v>
      </c>
      <c r="G1637">
        <v>29886</v>
      </c>
      <c r="H1637" s="107"/>
      <c r="I1637" s="107"/>
      <c r="L1637" s="149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9">
        <v>44417</v>
      </c>
      <c r="B1638" s="107">
        <v>555.79999999999995</v>
      </c>
      <c r="C1638" s="107">
        <v>542.70000000000005</v>
      </c>
      <c r="D1638" s="107">
        <v>539</v>
      </c>
      <c r="E1638" s="107">
        <v>551.1</v>
      </c>
      <c r="F1638" s="107">
        <v>542.70000000000005</v>
      </c>
      <c r="G1638">
        <v>27090</v>
      </c>
      <c r="H1638" s="107"/>
      <c r="I1638" s="107"/>
      <c r="L1638" s="149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9">
        <v>44418</v>
      </c>
      <c r="B1639" s="107">
        <v>562</v>
      </c>
      <c r="C1639" s="107">
        <v>523.25</v>
      </c>
      <c r="D1639" s="107">
        <v>518.4</v>
      </c>
      <c r="E1639" s="107">
        <v>550.20000000000005</v>
      </c>
      <c r="F1639" s="107">
        <v>523.25</v>
      </c>
      <c r="G1639">
        <v>62044</v>
      </c>
      <c r="H1639" s="107"/>
      <c r="I1639" s="107"/>
      <c r="L1639" s="149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9">
        <v>44419</v>
      </c>
      <c r="B1640" s="107">
        <v>532.5</v>
      </c>
      <c r="C1640" s="107">
        <v>523.29999999999995</v>
      </c>
      <c r="D1640" s="107">
        <v>512.79999999999995</v>
      </c>
      <c r="E1640" s="107">
        <v>528.5</v>
      </c>
      <c r="F1640" s="107">
        <v>523.29999999999995</v>
      </c>
      <c r="G1640">
        <v>26382</v>
      </c>
      <c r="H1640" s="107"/>
      <c r="I1640" s="107"/>
      <c r="L1640" s="149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9">
        <v>44420</v>
      </c>
      <c r="B1641" s="107">
        <v>536</v>
      </c>
      <c r="C1641" s="107">
        <v>528.85</v>
      </c>
      <c r="D1641" s="107">
        <v>523.29999999999995</v>
      </c>
      <c r="E1641" s="107">
        <v>523.29999999999995</v>
      </c>
      <c r="F1641" s="107">
        <v>528.85</v>
      </c>
      <c r="G1641">
        <v>16174</v>
      </c>
      <c r="H1641" s="107"/>
      <c r="I1641" s="107"/>
      <c r="L1641" s="149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9">
        <v>44421</v>
      </c>
      <c r="B1642" s="107">
        <v>529.5</v>
      </c>
      <c r="C1642" s="107">
        <v>524.35</v>
      </c>
      <c r="D1642" s="107">
        <v>523.6</v>
      </c>
      <c r="E1642" s="107">
        <v>529.5</v>
      </c>
      <c r="F1642" s="107">
        <v>524.35</v>
      </c>
      <c r="G1642">
        <v>9885</v>
      </c>
      <c r="H1642" s="107"/>
      <c r="I1642" s="107"/>
      <c r="L1642" s="149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9">
        <v>44424</v>
      </c>
      <c r="B1643" s="107">
        <v>530.04999999999995</v>
      </c>
      <c r="C1643" s="107">
        <v>519.65</v>
      </c>
      <c r="D1643" s="107">
        <v>516.6</v>
      </c>
      <c r="E1643" s="107">
        <v>523.65</v>
      </c>
      <c r="F1643" s="107">
        <v>519.65</v>
      </c>
      <c r="G1643">
        <v>27284</v>
      </c>
      <c r="H1643" s="107"/>
      <c r="I1643" s="107"/>
      <c r="L1643" s="149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9">
        <v>44425</v>
      </c>
      <c r="B1644" s="107">
        <v>524.85</v>
      </c>
      <c r="C1644" s="107">
        <v>519.45000000000005</v>
      </c>
      <c r="D1644" s="107">
        <v>515</v>
      </c>
      <c r="E1644" s="107">
        <v>515</v>
      </c>
      <c r="F1644" s="107">
        <v>519.45000000000005</v>
      </c>
      <c r="G1644">
        <v>17285</v>
      </c>
      <c r="H1644" s="107"/>
      <c r="I1644" s="107"/>
      <c r="L1644" s="149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9">
        <v>44426</v>
      </c>
      <c r="B1645" s="107">
        <v>527.20000000000005</v>
      </c>
      <c r="C1645" s="107">
        <v>515.75</v>
      </c>
      <c r="D1645" s="107">
        <v>508.2</v>
      </c>
      <c r="E1645" s="107">
        <v>519</v>
      </c>
      <c r="F1645" s="107">
        <v>515.75</v>
      </c>
      <c r="G1645">
        <v>32234</v>
      </c>
      <c r="H1645" s="107"/>
      <c r="I1645" s="107"/>
      <c r="L1645" s="149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9">
        <v>44428</v>
      </c>
      <c r="B1646" s="107">
        <v>511.55</v>
      </c>
      <c r="C1646" s="107">
        <v>500.7</v>
      </c>
      <c r="D1646" s="107">
        <v>496.35</v>
      </c>
      <c r="E1646" s="107">
        <v>510</v>
      </c>
      <c r="F1646" s="107">
        <v>500.7</v>
      </c>
      <c r="G1646">
        <v>45426</v>
      </c>
      <c r="H1646" s="107"/>
      <c r="I1646" s="107"/>
      <c r="L1646" s="149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9">
        <v>44431</v>
      </c>
      <c r="B1647" s="107">
        <v>512.5</v>
      </c>
      <c r="C1647" s="107">
        <v>502.7</v>
      </c>
      <c r="D1647" s="107">
        <v>492.05</v>
      </c>
      <c r="E1647" s="107">
        <v>498.15</v>
      </c>
      <c r="F1647" s="107">
        <v>502.7</v>
      </c>
      <c r="G1647">
        <v>26685</v>
      </c>
      <c r="H1647" s="107"/>
      <c r="I1647" s="107"/>
      <c r="L1647" s="149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9">
        <v>44432</v>
      </c>
      <c r="B1648" s="107">
        <v>514.1</v>
      </c>
      <c r="C1648" s="107">
        <v>503.3</v>
      </c>
      <c r="D1648" s="107">
        <v>497.7</v>
      </c>
      <c r="E1648" s="107">
        <v>500</v>
      </c>
      <c r="F1648" s="107">
        <v>503.3</v>
      </c>
      <c r="G1648">
        <v>17118</v>
      </c>
      <c r="H1648" s="107"/>
      <c r="I1648" s="107"/>
      <c r="L1648" s="149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9">
        <v>44433</v>
      </c>
      <c r="B1649" s="107">
        <v>517.45000000000005</v>
      </c>
      <c r="C1649" s="107">
        <v>506.4</v>
      </c>
      <c r="D1649" s="107">
        <v>503.4</v>
      </c>
      <c r="E1649" s="107">
        <v>503.4</v>
      </c>
      <c r="F1649" s="107">
        <v>506.4</v>
      </c>
      <c r="G1649">
        <v>16047</v>
      </c>
      <c r="H1649" s="107"/>
      <c r="I1649" s="107"/>
      <c r="L1649" s="149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9">
        <v>44434</v>
      </c>
      <c r="B1650" s="107">
        <v>522.75</v>
      </c>
      <c r="C1650" s="107">
        <v>516.15</v>
      </c>
      <c r="D1650" s="107">
        <v>508</v>
      </c>
      <c r="E1650" s="107">
        <v>508</v>
      </c>
      <c r="F1650" s="107">
        <v>516.15</v>
      </c>
      <c r="G1650">
        <v>28798</v>
      </c>
      <c r="H1650" s="107"/>
      <c r="I1650" s="107"/>
      <c r="L1650" s="149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9">
        <v>44435</v>
      </c>
      <c r="B1651" s="107">
        <v>529.5</v>
      </c>
      <c r="C1651" s="107">
        <v>525.29999999999995</v>
      </c>
      <c r="D1651" s="107">
        <v>516.15</v>
      </c>
      <c r="E1651" s="107">
        <v>519.9</v>
      </c>
      <c r="F1651" s="107">
        <v>525.29999999999995</v>
      </c>
      <c r="G1651">
        <v>41309</v>
      </c>
      <c r="H1651" s="107"/>
      <c r="I1651" s="107"/>
      <c r="L1651" s="149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9">
        <v>44438</v>
      </c>
      <c r="B1652" s="107">
        <v>573.20000000000005</v>
      </c>
      <c r="C1652" s="107">
        <v>566.25</v>
      </c>
      <c r="D1652" s="107">
        <v>525.95000000000005</v>
      </c>
      <c r="E1652" s="107">
        <v>528.95000000000005</v>
      </c>
      <c r="F1652" s="107">
        <v>566.25</v>
      </c>
      <c r="G1652">
        <v>198475</v>
      </c>
      <c r="H1652" s="107"/>
      <c r="I1652" s="107"/>
      <c r="L1652" s="149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9">
        <v>44439</v>
      </c>
      <c r="B1653" s="107">
        <v>599.9</v>
      </c>
      <c r="C1653" s="107">
        <v>570.79999999999995</v>
      </c>
      <c r="D1653" s="107">
        <v>561.29999999999995</v>
      </c>
      <c r="E1653" s="107">
        <v>570.4</v>
      </c>
      <c r="F1653" s="107">
        <v>570.79999999999995</v>
      </c>
      <c r="G1653">
        <v>128413</v>
      </c>
      <c r="H1653" s="107"/>
      <c r="I1653" s="107"/>
      <c r="L1653" s="149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9">
        <v>44440</v>
      </c>
      <c r="B1654" s="107">
        <v>598.6</v>
      </c>
      <c r="C1654" s="107">
        <v>581.54999999999995</v>
      </c>
      <c r="D1654" s="107">
        <v>550.9</v>
      </c>
      <c r="E1654" s="107">
        <v>573.85</v>
      </c>
      <c r="F1654" s="107">
        <v>581.54999999999995</v>
      </c>
      <c r="G1654">
        <v>79693</v>
      </c>
      <c r="H1654" s="107"/>
      <c r="I1654" s="107"/>
      <c r="L1654" s="149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9">
        <v>44441</v>
      </c>
      <c r="B1655" s="107">
        <v>594.5</v>
      </c>
      <c r="C1655" s="107">
        <v>586.6</v>
      </c>
      <c r="D1655" s="107">
        <v>577.20000000000005</v>
      </c>
      <c r="E1655" s="107">
        <v>582</v>
      </c>
      <c r="F1655" s="107">
        <v>586.6</v>
      </c>
      <c r="G1655">
        <v>52152</v>
      </c>
      <c r="H1655" s="107"/>
      <c r="I1655" s="107"/>
      <c r="L1655" s="149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9">
        <v>44442</v>
      </c>
      <c r="B1656" s="107">
        <v>598.45000000000005</v>
      </c>
      <c r="C1656" s="107">
        <v>585.35</v>
      </c>
      <c r="D1656" s="107">
        <v>579.85</v>
      </c>
      <c r="E1656" s="107">
        <v>588</v>
      </c>
      <c r="F1656" s="107">
        <v>585.35</v>
      </c>
      <c r="G1656">
        <v>62409</v>
      </c>
      <c r="H1656" s="107"/>
      <c r="I1656" s="107"/>
      <c r="L1656" s="149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9">
        <v>44445</v>
      </c>
      <c r="B1657" s="107">
        <v>598</v>
      </c>
      <c r="C1657" s="107">
        <v>591.20000000000005</v>
      </c>
      <c r="D1657" s="107">
        <v>578.29999999999995</v>
      </c>
      <c r="E1657" s="107">
        <v>588</v>
      </c>
      <c r="F1657" s="107">
        <v>591.20000000000005</v>
      </c>
      <c r="G1657">
        <v>34771</v>
      </c>
      <c r="H1657" s="107"/>
      <c r="I1657" s="107"/>
      <c r="L1657" s="149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9">
        <v>44446</v>
      </c>
      <c r="B1658" s="107">
        <v>634.85</v>
      </c>
      <c r="C1658" s="107">
        <v>615.20000000000005</v>
      </c>
      <c r="D1658" s="107">
        <v>600</v>
      </c>
      <c r="E1658" s="107">
        <v>600</v>
      </c>
      <c r="F1658" s="107">
        <v>615.20000000000005</v>
      </c>
      <c r="G1658">
        <v>246445</v>
      </c>
      <c r="H1658" s="107"/>
      <c r="I1658" s="107"/>
      <c r="L1658" s="149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9">
        <v>44447</v>
      </c>
      <c r="B1659" s="107">
        <v>650.9</v>
      </c>
      <c r="C1659" s="107">
        <v>640.20000000000005</v>
      </c>
      <c r="D1659" s="107">
        <v>616.20000000000005</v>
      </c>
      <c r="E1659" s="107">
        <v>621.79999999999995</v>
      </c>
      <c r="F1659" s="107">
        <v>640.20000000000005</v>
      </c>
      <c r="G1659">
        <v>170985</v>
      </c>
      <c r="H1659" s="107"/>
      <c r="I1659" s="107"/>
      <c r="L1659" s="149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9">
        <v>44448</v>
      </c>
      <c r="B1660" s="107">
        <v>652.29999999999995</v>
      </c>
      <c r="C1660" s="107">
        <v>624.79999999999995</v>
      </c>
      <c r="D1660" s="107">
        <v>622.95000000000005</v>
      </c>
      <c r="E1660" s="107">
        <v>640</v>
      </c>
      <c r="F1660" s="107">
        <v>624.79999999999995</v>
      </c>
      <c r="G1660">
        <v>145112</v>
      </c>
      <c r="H1660" s="107"/>
      <c r="I1660" s="107"/>
      <c r="L1660" s="149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9">
        <v>44452</v>
      </c>
      <c r="B1661" s="107">
        <v>641</v>
      </c>
      <c r="C1661" s="107">
        <v>631.65</v>
      </c>
      <c r="D1661" s="107">
        <v>623</v>
      </c>
      <c r="E1661" s="107">
        <v>623</v>
      </c>
      <c r="F1661" s="107">
        <v>631.65</v>
      </c>
      <c r="G1661">
        <v>107683</v>
      </c>
      <c r="H1661" s="107"/>
      <c r="I1661" s="107"/>
      <c r="L1661" s="149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9">
        <v>44453</v>
      </c>
      <c r="B1662" s="107">
        <v>641.20000000000005</v>
      </c>
      <c r="C1662" s="107">
        <v>629.85</v>
      </c>
      <c r="D1662" s="107">
        <v>627.85</v>
      </c>
      <c r="E1662" s="107">
        <v>635.95000000000005</v>
      </c>
      <c r="F1662" s="107">
        <v>629.85</v>
      </c>
      <c r="G1662">
        <v>38480</v>
      </c>
      <c r="H1662" s="107"/>
      <c r="I1662" s="107"/>
      <c r="L1662" s="149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9">
        <v>44454</v>
      </c>
      <c r="B1663" s="107">
        <v>642.5</v>
      </c>
      <c r="C1663" s="107">
        <v>627.15</v>
      </c>
      <c r="D1663" s="107">
        <v>625</v>
      </c>
      <c r="E1663" s="107">
        <v>633.70000000000005</v>
      </c>
      <c r="F1663" s="107">
        <v>627.15</v>
      </c>
      <c r="G1663">
        <v>58089</v>
      </c>
      <c r="H1663" s="107"/>
      <c r="I1663" s="107"/>
      <c r="L1663" s="149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9">
        <v>44455</v>
      </c>
      <c r="B1664" s="107">
        <v>633</v>
      </c>
      <c r="C1664" s="107">
        <v>623.4</v>
      </c>
      <c r="D1664" s="107">
        <v>620.75</v>
      </c>
      <c r="E1664" s="107">
        <v>629</v>
      </c>
      <c r="F1664" s="107">
        <v>623.4</v>
      </c>
      <c r="G1664">
        <v>64414</v>
      </c>
      <c r="H1664" s="107"/>
      <c r="I1664" s="107"/>
      <c r="L1664" s="149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9">
        <v>44456</v>
      </c>
      <c r="B1665" s="107">
        <v>628.75</v>
      </c>
      <c r="C1665" s="107">
        <v>607.4</v>
      </c>
      <c r="D1665" s="107">
        <v>594.15</v>
      </c>
      <c r="E1665" s="107">
        <v>624.20000000000005</v>
      </c>
      <c r="F1665" s="107">
        <v>607.4</v>
      </c>
      <c r="G1665">
        <v>74709</v>
      </c>
      <c r="H1665" s="107"/>
      <c r="I1665" s="107"/>
      <c r="L1665" s="149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9">
        <v>44459</v>
      </c>
      <c r="B1666" s="107">
        <v>620.95000000000005</v>
      </c>
      <c r="C1666" s="107">
        <v>598.9</v>
      </c>
      <c r="D1666" s="107">
        <v>594.95000000000005</v>
      </c>
      <c r="E1666" s="107">
        <v>604.9</v>
      </c>
      <c r="F1666" s="107">
        <v>598.9</v>
      </c>
      <c r="G1666">
        <v>34889</v>
      </c>
      <c r="H1666" s="107"/>
      <c r="I1666" s="107"/>
      <c r="L1666" s="149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9">
        <v>44460</v>
      </c>
      <c r="B1667" s="107">
        <v>629</v>
      </c>
      <c r="C1667" s="107">
        <v>626.20000000000005</v>
      </c>
      <c r="D1667" s="107">
        <v>588.25</v>
      </c>
      <c r="E1667" s="107">
        <v>598.5</v>
      </c>
      <c r="F1667" s="107">
        <v>626.20000000000005</v>
      </c>
      <c r="G1667">
        <v>76161</v>
      </c>
      <c r="H1667" s="107"/>
      <c r="I1667" s="107"/>
      <c r="L1667" s="149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9">
        <v>44461</v>
      </c>
      <c r="B1668" s="107">
        <v>664.8</v>
      </c>
      <c r="C1668" s="107">
        <v>653.54999999999995</v>
      </c>
      <c r="D1668" s="107">
        <v>627.29999999999995</v>
      </c>
      <c r="E1668" s="107">
        <v>628</v>
      </c>
      <c r="F1668" s="107">
        <v>653.54999999999995</v>
      </c>
      <c r="G1668">
        <v>210937</v>
      </c>
      <c r="H1668" s="107"/>
      <c r="I1668" s="107"/>
      <c r="L1668" s="149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9">
        <v>44462</v>
      </c>
      <c r="B1669" s="107">
        <v>691</v>
      </c>
      <c r="C1669" s="107">
        <v>681.5</v>
      </c>
      <c r="D1669" s="107">
        <v>654.5</v>
      </c>
      <c r="E1669" s="107">
        <v>659.9</v>
      </c>
      <c r="F1669" s="107">
        <v>681.5</v>
      </c>
      <c r="G1669">
        <v>190461</v>
      </c>
      <c r="H1669" s="107"/>
      <c r="I1669" s="107"/>
      <c r="L1669" s="149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9">
        <v>44463</v>
      </c>
      <c r="B1670" s="107">
        <v>685.1</v>
      </c>
      <c r="C1670" s="107">
        <v>657.25</v>
      </c>
      <c r="D1670" s="107">
        <v>651.04999999999995</v>
      </c>
      <c r="E1670" s="107">
        <v>680.55</v>
      </c>
      <c r="F1670" s="107">
        <v>657.25</v>
      </c>
      <c r="G1670">
        <v>88582</v>
      </c>
      <c r="H1670" s="107"/>
      <c r="I1670" s="107"/>
      <c r="L1670" s="149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9">
        <v>44466</v>
      </c>
      <c r="B1671" s="107">
        <v>684.45</v>
      </c>
      <c r="C1671" s="107">
        <v>669.1</v>
      </c>
      <c r="D1671" s="107">
        <v>656.45</v>
      </c>
      <c r="E1671" s="107">
        <v>658.6</v>
      </c>
      <c r="F1671" s="107">
        <v>669.1</v>
      </c>
      <c r="G1671">
        <v>94365</v>
      </c>
      <c r="H1671" s="107"/>
      <c r="I1671" s="107"/>
      <c r="L1671" s="149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9">
        <v>44467</v>
      </c>
      <c r="B1672" s="107">
        <v>678</v>
      </c>
      <c r="C1672" s="107">
        <v>654.9</v>
      </c>
      <c r="D1672" s="107">
        <v>641.70000000000005</v>
      </c>
      <c r="E1672" s="107">
        <v>678</v>
      </c>
      <c r="F1672" s="107">
        <v>654.9</v>
      </c>
      <c r="G1672">
        <v>72259</v>
      </c>
      <c r="H1672" s="107"/>
      <c r="I1672" s="107"/>
      <c r="L1672" s="149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9">
        <v>44468</v>
      </c>
      <c r="B1673" s="107">
        <v>667.6</v>
      </c>
      <c r="C1673" s="107">
        <v>652.29999999999995</v>
      </c>
      <c r="D1673" s="107">
        <v>642</v>
      </c>
      <c r="E1673" s="107">
        <v>642</v>
      </c>
      <c r="F1673" s="107">
        <v>652.29999999999995</v>
      </c>
      <c r="G1673">
        <v>76330</v>
      </c>
      <c r="H1673" s="107"/>
      <c r="I1673" s="107"/>
      <c r="L1673" s="149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9">
        <v>44469</v>
      </c>
      <c r="B1674" s="107">
        <v>690.5</v>
      </c>
      <c r="C1674" s="107">
        <v>686.25</v>
      </c>
      <c r="D1674" s="107">
        <v>652.35</v>
      </c>
      <c r="E1674" s="107">
        <v>654</v>
      </c>
      <c r="F1674" s="107">
        <v>686.25</v>
      </c>
      <c r="G1674">
        <v>114286</v>
      </c>
      <c r="H1674" s="107"/>
      <c r="I1674" s="107"/>
      <c r="L1674" s="149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9">
        <v>44470</v>
      </c>
      <c r="B1675" s="107">
        <v>695</v>
      </c>
      <c r="C1675" s="107">
        <v>670.8</v>
      </c>
      <c r="D1675" s="107">
        <v>665.3</v>
      </c>
      <c r="E1675" s="107">
        <v>686.25</v>
      </c>
      <c r="F1675" s="107">
        <v>670.8</v>
      </c>
      <c r="G1675">
        <v>100923</v>
      </c>
      <c r="H1675" s="107"/>
      <c r="I1675" s="107"/>
      <c r="L1675" s="149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9">
        <v>44473</v>
      </c>
      <c r="B1676" s="107">
        <v>720</v>
      </c>
      <c r="C1676" s="107">
        <v>710.55</v>
      </c>
      <c r="D1676" s="107">
        <v>671.85</v>
      </c>
      <c r="E1676" s="107">
        <v>679.75</v>
      </c>
      <c r="F1676" s="107">
        <v>710.55</v>
      </c>
      <c r="G1676">
        <v>190493</v>
      </c>
      <c r="H1676" s="107"/>
      <c r="I1676" s="107"/>
      <c r="L1676" s="149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9">
        <v>44474</v>
      </c>
      <c r="B1677" s="107">
        <v>714.8</v>
      </c>
      <c r="C1677" s="107">
        <v>699.65</v>
      </c>
      <c r="D1677" s="107">
        <v>695.9</v>
      </c>
      <c r="E1677" s="107">
        <v>710.55</v>
      </c>
      <c r="F1677" s="107">
        <v>699.65</v>
      </c>
      <c r="G1677">
        <v>102768</v>
      </c>
      <c r="H1677" s="107"/>
      <c r="I1677" s="107"/>
      <c r="L1677" s="149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9">
        <v>44475</v>
      </c>
      <c r="B1678" s="107">
        <v>711.15</v>
      </c>
      <c r="C1678" s="107">
        <v>670.4</v>
      </c>
      <c r="D1678" s="107">
        <v>667.15</v>
      </c>
      <c r="E1678" s="107">
        <v>707.9</v>
      </c>
      <c r="F1678" s="107">
        <v>670.4</v>
      </c>
      <c r="G1678">
        <v>99063</v>
      </c>
      <c r="H1678" s="107"/>
      <c r="I1678" s="107"/>
      <c r="L1678" s="149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9">
        <v>44476</v>
      </c>
      <c r="B1679" s="107">
        <v>706.85</v>
      </c>
      <c r="C1679" s="107">
        <v>690</v>
      </c>
      <c r="D1679" s="107">
        <v>677.7</v>
      </c>
      <c r="E1679" s="107">
        <v>682</v>
      </c>
      <c r="F1679" s="107">
        <v>690</v>
      </c>
      <c r="G1679">
        <v>133987</v>
      </c>
      <c r="H1679" s="107"/>
      <c r="I1679" s="107"/>
      <c r="L1679" s="149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9">
        <v>44477</v>
      </c>
      <c r="B1680" s="107">
        <v>699.65</v>
      </c>
      <c r="C1680" s="107">
        <v>683.25</v>
      </c>
      <c r="D1680" s="107">
        <v>681.1</v>
      </c>
      <c r="E1680" s="107">
        <v>693</v>
      </c>
      <c r="F1680" s="107">
        <v>683.25</v>
      </c>
      <c r="G1680">
        <v>77741</v>
      </c>
      <c r="H1680" s="107"/>
      <c r="I1680" s="107"/>
      <c r="L1680" s="149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9">
        <v>44480</v>
      </c>
      <c r="B1681" s="107">
        <v>720.7</v>
      </c>
      <c r="C1681" s="107">
        <v>694.95</v>
      </c>
      <c r="D1681" s="107">
        <v>682.2</v>
      </c>
      <c r="E1681" s="107">
        <v>683.5</v>
      </c>
      <c r="F1681" s="107">
        <v>694.95</v>
      </c>
      <c r="G1681">
        <v>184095</v>
      </c>
      <c r="H1681" s="107"/>
      <c r="I1681" s="107"/>
      <c r="L1681" s="149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9">
        <v>44481</v>
      </c>
      <c r="B1682" s="107">
        <v>708.45</v>
      </c>
      <c r="C1682" s="107">
        <v>697.5</v>
      </c>
      <c r="D1682" s="107">
        <v>692.65</v>
      </c>
      <c r="E1682" s="107">
        <v>698.9</v>
      </c>
      <c r="F1682" s="107">
        <v>697.5</v>
      </c>
      <c r="G1682">
        <v>53613</v>
      </c>
      <c r="H1682" s="107"/>
      <c r="I1682" s="107"/>
      <c r="L1682" s="149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9">
        <v>44482</v>
      </c>
      <c r="B1683" s="107">
        <v>707.9</v>
      </c>
      <c r="C1683" s="107">
        <v>690.15</v>
      </c>
      <c r="D1683" s="107">
        <v>687.55</v>
      </c>
      <c r="E1683" s="107">
        <v>703</v>
      </c>
      <c r="F1683" s="107">
        <v>690.15</v>
      </c>
      <c r="G1683">
        <v>46198</v>
      </c>
      <c r="H1683" s="107"/>
      <c r="I1683" s="107"/>
      <c r="L1683" s="149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9">
        <v>44483</v>
      </c>
      <c r="B1684" s="107">
        <v>705.4</v>
      </c>
      <c r="C1684" s="107">
        <v>698.7</v>
      </c>
      <c r="D1684" s="107">
        <v>688</v>
      </c>
      <c r="E1684" s="107">
        <v>691</v>
      </c>
      <c r="F1684" s="107">
        <v>698.7</v>
      </c>
      <c r="G1684">
        <v>52012</v>
      </c>
      <c r="H1684" s="107"/>
      <c r="I1684" s="107"/>
      <c r="L1684" s="149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9">
        <v>44487</v>
      </c>
      <c r="B1685" s="107">
        <v>721.25</v>
      </c>
      <c r="C1685" s="107">
        <v>701.6</v>
      </c>
      <c r="D1685" s="107">
        <v>699.45</v>
      </c>
      <c r="E1685" s="107">
        <v>705</v>
      </c>
      <c r="F1685" s="107">
        <v>701.6</v>
      </c>
      <c r="G1685">
        <v>50513</v>
      </c>
      <c r="H1685" s="107"/>
      <c r="I1685" s="107"/>
      <c r="L1685" s="149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9">
        <v>44488</v>
      </c>
      <c r="B1686" s="107">
        <v>714.7</v>
      </c>
      <c r="C1686" s="107">
        <v>682.95</v>
      </c>
      <c r="D1686" s="107">
        <v>675.6</v>
      </c>
      <c r="E1686" s="107">
        <v>702.05</v>
      </c>
      <c r="F1686" s="107">
        <v>682.95</v>
      </c>
      <c r="G1686">
        <v>72702</v>
      </c>
      <c r="H1686" s="107"/>
      <c r="I1686" s="107"/>
      <c r="L1686" s="149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9">
        <v>44489</v>
      </c>
      <c r="B1687" s="107">
        <v>697</v>
      </c>
      <c r="C1687" s="107">
        <v>683.25</v>
      </c>
      <c r="D1687" s="107">
        <v>668.5</v>
      </c>
      <c r="E1687" s="107">
        <v>677.25</v>
      </c>
      <c r="F1687" s="107">
        <v>683.25</v>
      </c>
      <c r="G1687">
        <v>78721</v>
      </c>
      <c r="H1687" s="107"/>
      <c r="I1687" s="107"/>
      <c r="L1687" s="149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9">
        <v>44490</v>
      </c>
      <c r="B1688" s="107">
        <v>702.65</v>
      </c>
      <c r="C1688" s="107">
        <v>698.95</v>
      </c>
      <c r="D1688" s="107">
        <v>671</v>
      </c>
      <c r="E1688" s="107">
        <v>690</v>
      </c>
      <c r="F1688" s="107">
        <v>698.95</v>
      </c>
      <c r="G1688">
        <v>65478</v>
      </c>
      <c r="H1688" s="107"/>
      <c r="I1688" s="107"/>
      <c r="L1688" s="149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9">
        <v>44491</v>
      </c>
      <c r="B1689" s="107">
        <v>697.45</v>
      </c>
      <c r="C1689" s="107">
        <v>657.3</v>
      </c>
      <c r="D1689" s="107">
        <v>634</v>
      </c>
      <c r="E1689" s="107">
        <v>694.9</v>
      </c>
      <c r="F1689" s="107">
        <v>657.3</v>
      </c>
      <c r="G1689">
        <v>183724</v>
      </c>
      <c r="H1689" s="107"/>
      <c r="I1689" s="107"/>
      <c r="L1689" s="149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9">
        <v>44494</v>
      </c>
      <c r="B1690" s="107">
        <v>668</v>
      </c>
      <c r="C1690" s="107">
        <v>652.04999999999995</v>
      </c>
      <c r="D1690" s="107">
        <v>639.70000000000005</v>
      </c>
      <c r="E1690" s="107">
        <v>656.05</v>
      </c>
      <c r="F1690" s="107">
        <v>652.04999999999995</v>
      </c>
      <c r="G1690">
        <v>50490</v>
      </c>
      <c r="H1690" s="107"/>
      <c r="I1690" s="107"/>
      <c r="L1690" s="149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9">
        <v>44495</v>
      </c>
      <c r="B1691" s="107">
        <v>669.55</v>
      </c>
      <c r="C1691" s="107">
        <v>656.5</v>
      </c>
      <c r="D1691" s="107">
        <v>647.9</v>
      </c>
      <c r="E1691" s="107">
        <v>648.25</v>
      </c>
      <c r="F1691" s="107">
        <v>656.5</v>
      </c>
      <c r="G1691">
        <v>30239</v>
      </c>
      <c r="H1691" s="107"/>
      <c r="I1691" s="107"/>
      <c r="L1691" s="149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9">
        <v>44496</v>
      </c>
      <c r="B1692" s="107">
        <v>663.4</v>
      </c>
      <c r="C1692" s="107">
        <v>644.15</v>
      </c>
      <c r="D1692" s="107">
        <v>636.4</v>
      </c>
      <c r="E1692" s="107">
        <v>659.95</v>
      </c>
      <c r="F1692" s="107">
        <v>644.15</v>
      </c>
      <c r="G1692">
        <v>34429</v>
      </c>
      <c r="H1692" s="107"/>
      <c r="I1692" s="107"/>
      <c r="L1692" s="149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9">
        <v>44497</v>
      </c>
      <c r="B1693" s="107">
        <v>649.15</v>
      </c>
      <c r="C1693" s="107">
        <v>629.75</v>
      </c>
      <c r="D1693" s="107">
        <v>621.75</v>
      </c>
      <c r="E1693" s="107">
        <v>641.15</v>
      </c>
      <c r="F1693" s="107">
        <v>629.75</v>
      </c>
      <c r="G1693">
        <v>53334</v>
      </c>
      <c r="H1693" s="107"/>
      <c r="I1693" s="107"/>
      <c r="L1693" s="149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9">
        <v>44498</v>
      </c>
      <c r="B1694" s="107">
        <v>634.6</v>
      </c>
      <c r="C1694" s="107">
        <v>626.6</v>
      </c>
      <c r="D1694" s="107">
        <v>613.70000000000005</v>
      </c>
      <c r="E1694" s="107">
        <v>629</v>
      </c>
      <c r="F1694" s="107">
        <v>626.6</v>
      </c>
      <c r="G1694">
        <v>49266</v>
      </c>
      <c r="H1694" s="107"/>
      <c r="I1694" s="107"/>
      <c r="L1694" s="149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9">
        <v>44501</v>
      </c>
      <c r="B1695" s="107">
        <v>643.75</v>
      </c>
      <c r="C1695" s="107">
        <v>636.70000000000005</v>
      </c>
      <c r="D1695" s="107">
        <v>622.85</v>
      </c>
      <c r="E1695" s="107">
        <v>625.95000000000005</v>
      </c>
      <c r="F1695" s="107">
        <v>636.70000000000005</v>
      </c>
      <c r="G1695">
        <v>56686</v>
      </c>
      <c r="H1695" s="107"/>
      <c r="I1695" s="107"/>
      <c r="L1695" s="149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9">
        <v>44502</v>
      </c>
      <c r="B1696" s="107">
        <v>660.55</v>
      </c>
      <c r="C1696" s="107">
        <v>655.25</v>
      </c>
      <c r="D1696" s="107">
        <v>638.6</v>
      </c>
      <c r="E1696" s="107">
        <v>639.70000000000005</v>
      </c>
      <c r="F1696" s="107">
        <v>655.25</v>
      </c>
      <c r="G1696">
        <v>54448</v>
      </c>
      <c r="H1696" s="107"/>
      <c r="I1696" s="107"/>
      <c r="L1696" s="149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9">
        <v>44503</v>
      </c>
      <c r="B1697" s="107">
        <v>662.05</v>
      </c>
      <c r="C1697" s="107">
        <v>645.9</v>
      </c>
      <c r="D1697" s="107">
        <v>641.15</v>
      </c>
      <c r="E1697" s="107">
        <v>653.4</v>
      </c>
      <c r="F1697" s="107">
        <v>645.9</v>
      </c>
      <c r="G1697">
        <v>39725</v>
      </c>
      <c r="H1697" s="107"/>
      <c r="I1697" s="107"/>
      <c r="L1697" s="149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9">
        <v>44504</v>
      </c>
      <c r="B1698" s="107">
        <v>651.35</v>
      </c>
      <c r="C1698" s="107">
        <v>648.85</v>
      </c>
      <c r="D1698" s="107">
        <v>642.5</v>
      </c>
      <c r="E1698" s="107">
        <v>649.85</v>
      </c>
      <c r="F1698" s="107">
        <v>648.85</v>
      </c>
      <c r="G1698">
        <v>8737</v>
      </c>
      <c r="H1698" s="107"/>
      <c r="I1698" s="107"/>
      <c r="L1698" s="149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9">
        <v>44508</v>
      </c>
      <c r="B1699" s="107">
        <v>659.8</v>
      </c>
      <c r="C1699" s="107">
        <v>654.65</v>
      </c>
      <c r="D1699" s="107">
        <v>640.45000000000005</v>
      </c>
      <c r="E1699" s="107">
        <v>650</v>
      </c>
      <c r="F1699" s="107">
        <v>654.65</v>
      </c>
      <c r="G1699">
        <v>26434</v>
      </c>
      <c r="H1699" s="107"/>
      <c r="I1699" s="107"/>
      <c r="L1699" s="149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9">
        <v>44509</v>
      </c>
      <c r="B1700" s="107">
        <v>658.15</v>
      </c>
      <c r="C1700" s="107">
        <v>652</v>
      </c>
      <c r="D1700" s="107">
        <v>646.79999999999995</v>
      </c>
      <c r="E1700" s="107">
        <v>654.6</v>
      </c>
      <c r="F1700" s="107">
        <v>652</v>
      </c>
      <c r="G1700">
        <v>32810</v>
      </c>
      <c r="H1700" s="107"/>
      <c r="I1700" s="107"/>
      <c r="L1700" s="149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9">
        <v>44510</v>
      </c>
      <c r="B1701" s="107">
        <v>659.6</v>
      </c>
      <c r="C1701" s="107">
        <v>646.75</v>
      </c>
      <c r="D1701" s="107">
        <v>644.20000000000005</v>
      </c>
      <c r="E1701" s="107">
        <v>651.65</v>
      </c>
      <c r="F1701" s="107">
        <v>646.75</v>
      </c>
      <c r="G1701">
        <v>21327</v>
      </c>
      <c r="H1701" s="107"/>
      <c r="I1701" s="107"/>
      <c r="L1701" s="149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9">
        <v>44511</v>
      </c>
      <c r="B1702" s="107">
        <v>649.15</v>
      </c>
      <c r="C1702" s="107">
        <v>639</v>
      </c>
      <c r="D1702" s="107">
        <v>633.54999999999995</v>
      </c>
      <c r="E1702" s="107">
        <v>643</v>
      </c>
      <c r="F1702" s="107">
        <v>639</v>
      </c>
      <c r="G1702">
        <v>19673</v>
      </c>
      <c r="H1702" s="107"/>
      <c r="I1702" s="107"/>
      <c r="L1702" s="149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9">
        <v>44512</v>
      </c>
      <c r="B1703" s="107">
        <v>655</v>
      </c>
      <c r="C1703" s="107">
        <v>650.4</v>
      </c>
      <c r="D1703" s="107">
        <v>639.95000000000005</v>
      </c>
      <c r="E1703" s="107">
        <v>644</v>
      </c>
      <c r="F1703" s="107">
        <v>650.4</v>
      </c>
      <c r="G1703">
        <v>16423</v>
      </c>
      <c r="H1703" s="107"/>
      <c r="I1703" s="107"/>
      <c r="L1703" s="149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9">
        <v>44515</v>
      </c>
      <c r="B1704" s="107">
        <v>673</v>
      </c>
      <c r="C1704" s="107">
        <v>667.55</v>
      </c>
      <c r="D1704" s="107">
        <v>638.15</v>
      </c>
      <c r="E1704" s="107">
        <v>651</v>
      </c>
      <c r="F1704" s="107">
        <v>667.55</v>
      </c>
      <c r="G1704">
        <v>50274</v>
      </c>
      <c r="H1704" s="107"/>
      <c r="I1704" s="107"/>
      <c r="L1704" s="149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9">
        <v>44516</v>
      </c>
      <c r="B1705" s="107">
        <v>675</v>
      </c>
      <c r="C1705" s="107">
        <v>652.4</v>
      </c>
      <c r="D1705" s="107">
        <v>647.04999999999995</v>
      </c>
      <c r="E1705" s="107">
        <v>675</v>
      </c>
      <c r="F1705" s="107">
        <v>652.4</v>
      </c>
      <c r="G1705">
        <v>37532</v>
      </c>
      <c r="H1705" s="107"/>
      <c r="I1705" s="107"/>
      <c r="L1705" s="149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9">
        <v>44517</v>
      </c>
      <c r="B1706" s="107">
        <v>672.2</v>
      </c>
      <c r="C1706" s="107">
        <v>661.55</v>
      </c>
      <c r="D1706" s="107">
        <v>643.20000000000005</v>
      </c>
      <c r="E1706" s="107">
        <v>648.5</v>
      </c>
      <c r="F1706" s="107">
        <v>661.55</v>
      </c>
      <c r="G1706">
        <v>57796</v>
      </c>
      <c r="H1706" s="107"/>
      <c r="I1706" s="107"/>
      <c r="L1706" s="149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9">
        <v>44518</v>
      </c>
      <c r="B1707" s="107">
        <v>666</v>
      </c>
      <c r="C1707" s="107">
        <v>647.29999999999995</v>
      </c>
      <c r="D1707" s="107">
        <v>641.29999999999995</v>
      </c>
      <c r="E1707" s="107">
        <v>661.4</v>
      </c>
      <c r="F1707" s="107">
        <v>647.29999999999995</v>
      </c>
      <c r="G1707">
        <v>34805</v>
      </c>
      <c r="H1707" s="107"/>
      <c r="I1707" s="107"/>
      <c r="L1707" s="149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9">
        <v>44522</v>
      </c>
      <c r="B1708" s="107">
        <v>645</v>
      </c>
      <c r="C1708" s="107">
        <v>621.85</v>
      </c>
      <c r="D1708" s="107">
        <v>604.5</v>
      </c>
      <c r="E1708" s="107">
        <v>645</v>
      </c>
      <c r="F1708" s="107">
        <v>621.85</v>
      </c>
      <c r="G1708">
        <v>82472</v>
      </c>
      <c r="H1708" s="107"/>
      <c r="I1708" s="107"/>
      <c r="L1708" s="149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9">
        <v>44523</v>
      </c>
      <c r="B1709" s="107">
        <v>630.5</v>
      </c>
      <c r="C1709" s="107">
        <v>626.65</v>
      </c>
      <c r="D1709" s="107">
        <v>612.1</v>
      </c>
      <c r="E1709" s="107">
        <v>620.1</v>
      </c>
      <c r="F1709" s="107">
        <v>626.65</v>
      </c>
      <c r="G1709">
        <v>22207</v>
      </c>
      <c r="H1709" s="107"/>
      <c r="I1709" s="107"/>
      <c r="L1709" s="149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9">
        <v>44524</v>
      </c>
      <c r="B1710" s="107">
        <v>634.79999999999995</v>
      </c>
      <c r="C1710" s="107">
        <v>623.65</v>
      </c>
      <c r="D1710" s="107">
        <v>619</v>
      </c>
      <c r="E1710" s="107">
        <v>626.04999999999995</v>
      </c>
      <c r="F1710" s="107">
        <v>623.65</v>
      </c>
      <c r="G1710">
        <v>21934</v>
      </c>
      <c r="H1710" s="107"/>
      <c r="I1710" s="107"/>
      <c r="L1710" s="149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9">
        <v>44525</v>
      </c>
      <c r="B1711" s="107">
        <v>622</v>
      </c>
      <c r="C1711" s="107">
        <v>614.79999999999995</v>
      </c>
      <c r="D1711" s="107">
        <v>608.29999999999995</v>
      </c>
      <c r="E1711" s="107">
        <v>619.5</v>
      </c>
      <c r="F1711" s="107">
        <v>614.79999999999995</v>
      </c>
      <c r="G1711">
        <v>40661</v>
      </c>
      <c r="H1711" s="107"/>
      <c r="I1711" s="107"/>
      <c r="L1711" s="149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9">
        <v>44526</v>
      </c>
      <c r="B1712" s="107">
        <v>614</v>
      </c>
      <c r="C1712" s="107">
        <v>587.9</v>
      </c>
      <c r="D1712" s="107">
        <v>582.25</v>
      </c>
      <c r="E1712" s="107">
        <v>607.85</v>
      </c>
      <c r="F1712" s="107">
        <v>587.9</v>
      </c>
      <c r="G1712">
        <v>56313</v>
      </c>
      <c r="H1712" s="107"/>
      <c r="I1712" s="107"/>
      <c r="L1712" s="149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9">
        <v>44529</v>
      </c>
      <c r="B1713" s="107">
        <v>595</v>
      </c>
      <c r="C1713" s="107">
        <v>583.04999999999995</v>
      </c>
      <c r="D1713" s="107">
        <v>570</v>
      </c>
      <c r="E1713" s="107">
        <v>570</v>
      </c>
      <c r="F1713" s="107">
        <v>583.04999999999995</v>
      </c>
      <c r="G1713">
        <v>47512</v>
      </c>
      <c r="H1713" s="107"/>
      <c r="I1713" s="107"/>
      <c r="L1713" s="149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9">
        <v>44530</v>
      </c>
      <c r="B1714" s="107">
        <v>596</v>
      </c>
      <c r="C1714" s="107">
        <v>590</v>
      </c>
      <c r="D1714" s="107">
        <v>574.04999999999995</v>
      </c>
      <c r="E1714" s="107">
        <v>578.15</v>
      </c>
      <c r="F1714" s="107">
        <v>590</v>
      </c>
      <c r="G1714">
        <v>49699</v>
      </c>
      <c r="H1714" s="107"/>
      <c r="I1714" s="107"/>
      <c r="L1714" s="149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9">
        <v>44531</v>
      </c>
      <c r="B1715" s="107">
        <v>596.75</v>
      </c>
      <c r="C1715" s="107">
        <v>593.35</v>
      </c>
      <c r="D1715" s="107">
        <v>581.25</v>
      </c>
      <c r="E1715" s="107">
        <v>594.04999999999995</v>
      </c>
      <c r="F1715" s="107">
        <v>593.35</v>
      </c>
      <c r="G1715">
        <v>21415</v>
      </c>
      <c r="H1715" s="107"/>
      <c r="I1715" s="107"/>
      <c r="L1715" s="149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9">
        <v>44532</v>
      </c>
      <c r="B1716" s="107">
        <v>596.4</v>
      </c>
      <c r="C1716" s="107">
        <v>588.54999999999995</v>
      </c>
      <c r="D1716" s="107">
        <v>584</v>
      </c>
      <c r="E1716" s="107">
        <v>588.15</v>
      </c>
      <c r="F1716" s="107">
        <v>588.54999999999995</v>
      </c>
      <c r="G1716">
        <v>19582</v>
      </c>
      <c r="H1716" s="107"/>
      <c r="I1716" s="107"/>
      <c r="L1716" s="149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9">
        <v>44533</v>
      </c>
      <c r="B1717" s="107">
        <v>595</v>
      </c>
      <c r="C1717" s="107">
        <v>583.65</v>
      </c>
      <c r="D1717" s="107">
        <v>574.45000000000005</v>
      </c>
      <c r="E1717" s="107">
        <v>588.15</v>
      </c>
      <c r="F1717" s="107">
        <v>583.65</v>
      </c>
      <c r="G1717">
        <v>85130</v>
      </c>
      <c r="H1717" s="107"/>
      <c r="I1717" s="107"/>
      <c r="L1717" s="149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9">
        <v>44536</v>
      </c>
      <c r="B1718" s="107">
        <v>580.6</v>
      </c>
      <c r="C1718" s="107">
        <v>571.25</v>
      </c>
      <c r="D1718" s="107">
        <v>565.75</v>
      </c>
      <c r="E1718" s="107">
        <v>576.45000000000005</v>
      </c>
      <c r="F1718" s="107">
        <v>571.25</v>
      </c>
      <c r="G1718">
        <v>38878</v>
      </c>
      <c r="H1718" s="107"/>
      <c r="I1718" s="107"/>
      <c r="L1718" s="149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9">
        <v>44537</v>
      </c>
      <c r="B1719" s="107">
        <v>588.04999999999995</v>
      </c>
      <c r="C1719" s="107">
        <v>582.5</v>
      </c>
      <c r="D1719" s="107">
        <v>569.1</v>
      </c>
      <c r="E1719" s="107">
        <v>569.1</v>
      </c>
      <c r="F1719" s="107">
        <v>582.5</v>
      </c>
      <c r="G1719">
        <v>141740</v>
      </c>
      <c r="H1719" s="107"/>
      <c r="I1719" s="107"/>
      <c r="L1719" s="149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9">
        <v>44538</v>
      </c>
      <c r="B1720" s="107">
        <v>593.6</v>
      </c>
      <c r="C1720" s="107">
        <v>587.79999999999995</v>
      </c>
      <c r="D1720" s="107">
        <v>581.9</v>
      </c>
      <c r="E1720" s="107">
        <v>593.6</v>
      </c>
      <c r="F1720" s="107">
        <v>587.79999999999995</v>
      </c>
      <c r="G1720">
        <v>22244</v>
      </c>
      <c r="H1720" s="107"/>
      <c r="I1720" s="107"/>
      <c r="L1720" s="149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9">
        <v>44539</v>
      </c>
      <c r="B1721" s="107">
        <v>619.5</v>
      </c>
      <c r="C1721" s="107">
        <v>609.35</v>
      </c>
      <c r="D1721" s="107">
        <v>597</v>
      </c>
      <c r="E1721" s="107">
        <v>597.85</v>
      </c>
      <c r="F1721" s="107">
        <v>609.35</v>
      </c>
      <c r="G1721">
        <v>122980</v>
      </c>
      <c r="H1721" s="107"/>
      <c r="I1721" s="107"/>
      <c r="L1721" s="149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9">
        <v>44540</v>
      </c>
      <c r="B1722" s="107">
        <v>609.35</v>
      </c>
      <c r="C1722" s="107">
        <v>602.9</v>
      </c>
      <c r="D1722" s="107">
        <v>600.15</v>
      </c>
      <c r="E1722" s="107">
        <v>609.35</v>
      </c>
      <c r="F1722" s="107">
        <v>602.9</v>
      </c>
      <c r="G1722">
        <v>38806</v>
      </c>
      <c r="H1722" s="107"/>
      <c r="I1722" s="107"/>
      <c r="L1722" s="149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9">
        <v>44543</v>
      </c>
      <c r="B1723" s="107">
        <v>610.54999999999995</v>
      </c>
      <c r="C1723" s="107">
        <v>600.1</v>
      </c>
      <c r="D1723" s="107">
        <v>595.65</v>
      </c>
      <c r="E1723" s="107">
        <v>609.95000000000005</v>
      </c>
      <c r="F1723" s="107">
        <v>600.1</v>
      </c>
      <c r="G1723">
        <v>26176</v>
      </c>
      <c r="H1723" s="107"/>
      <c r="I1723" s="107"/>
      <c r="L1723" s="149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9">
        <v>44544</v>
      </c>
      <c r="B1724" s="107">
        <v>601.20000000000005</v>
      </c>
      <c r="C1724" s="107">
        <v>598.4</v>
      </c>
      <c r="D1724" s="107">
        <v>589.70000000000005</v>
      </c>
      <c r="E1724" s="107">
        <v>600.1</v>
      </c>
      <c r="F1724" s="107">
        <v>598.4</v>
      </c>
      <c r="G1724">
        <v>27657</v>
      </c>
      <c r="H1724" s="107"/>
      <c r="I1724" s="107"/>
      <c r="L1724" s="149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9">
        <v>44545</v>
      </c>
      <c r="B1725" s="107">
        <v>605.79999999999995</v>
      </c>
      <c r="C1725" s="107">
        <v>599.35</v>
      </c>
      <c r="D1725" s="107">
        <v>593</v>
      </c>
      <c r="E1725" s="107">
        <v>605.79999999999995</v>
      </c>
      <c r="F1725" s="107">
        <v>599.35</v>
      </c>
      <c r="G1725">
        <v>31245</v>
      </c>
      <c r="H1725" s="107"/>
      <c r="I1725" s="107"/>
      <c r="L1725" s="149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9">
        <v>44546</v>
      </c>
      <c r="B1726" s="107">
        <v>604.95000000000005</v>
      </c>
      <c r="C1726" s="107">
        <v>587.85</v>
      </c>
      <c r="D1726" s="107">
        <v>583.1</v>
      </c>
      <c r="E1726" s="107">
        <v>602.6</v>
      </c>
      <c r="F1726" s="107">
        <v>587.85</v>
      </c>
      <c r="G1726">
        <v>29386</v>
      </c>
      <c r="H1726" s="107"/>
      <c r="I1726" s="107"/>
      <c r="L1726" s="149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9">
        <v>44547</v>
      </c>
      <c r="B1727" s="107">
        <v>586</v>
      </c>
      <c r="C1727" s="107">
        <v>549.75</v>
      </c>
      <c r="D1727" s="107">
        <v>546.1</v>
      </c>
      <c r="E1727" s="107">
        <v>585.95000000000005</v>
      </c>
      <c r="F1727" s="107">
        <v>549.75</v>
      </c>
      <c r="G1727">
        <v>56349</v>
      </c>
      <c r="H1727" s="107"/>
      <c r="I1727" s="107"/>
      <c r="L1727" s="149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9">
        <v>44550</v>
      </c>
      <c r="B1728" s="107">
        <v>549</v>
      </c>
      <c r="C1728" s="107">
        <v>534.54999999999995</v>
      </c>
      <c r="D1728" s="107">
        <v>518.54999999999995</v>
      </c>
      <c r="E1728" s="107">
        <v>549</v>
      </c>
      <c r="F1728" s="107">
        <v>534.54999999999995</v>
      </c>
      <c r="G1728">
        <v>33450</v>
      </c>
      <c r="H1728" s="107"/>
      <c r="I1728" s="107"/>
      <c r="L1728" s="149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9">
        <v>44551</v>
      </c>
      <c r="B1729" s="107">
        <v>549.15</v>
      </c>
      <c r="C1729" s="107">
        <v>532.25</v>
      </c>
      <c r="D1729" s="107">
        <v>527.65</v>
      </c>
      <c r="E1729" s="107">
        <v>536</v>
      </c>
      <c r="F1729" s="107">
        <v>532.25</v>
      </c>
      <c r="G1729">
        <v>38041</v>
      </c>
      <c r="H1729" s="107"/>
      <c r="I1729" s="107"/>
      <c r="L1729" s="149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9">
        <v>44552</v>
      </c>
      <c r="B1730" s="107">
        <v>546.1</v>
      </c>
      <c r="C1730" s="107">
        <v>542.70000000000005</v>
      </c>
      <c r="D1730" s="107">
        <v>536.4</v>
      </c>
      <c r="E1730" s="107">
        <v>542</v>
      </c>
      <c r="F1730" s="107">
        <v>542.70000000000005</v>
      </c>
      <c r="G1730">
        <v>20150</v>
      </c>
      <c r="H1730" s="107"/>
      <c r="I1730" s="107"/>
      <c r="L1730" s="149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9">
        <v>44553</v>
      </c>
      <c r="B1731" s="107">
        <v>559.70000000000005</v>
      </c>
      <c r="C1731" s="107">
        <v>555.04999999999995</v>
      </c>
      <c r="D1731" s="107">
        <v>541.79999999999995</v>
      </c>
      <c r="E1731" s="107">
        <v>546.5</v>
      </c>
      <c r="F1731" s="107">
        <v>555.04999999999995</v>
      </c>
      <c r="G1731">
        <v>53920</v>
      </c>
      <c r="H1731" s="107"/>
      <c r="I1731" s="107"/>
      <c r="L1731" s="149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9">
        <v>44554</v>
      </c>
      <c r="B1732" s="107">
        <v>564.20000000000005</v>
      </c>
      <c r="C1732" s="107">
        <v>552.04999999999995</v>
      </c>
      <c r="D1732" s="107">
        <v>548.20000000000005</v>
      </c>
      <c r="E1732" s="107">
        <v>560</v>
      </c>
      <c r="F1732" s="107">
        <v>552.04999999999995</v>
      </c>
      <c r="G1732">
        <v>20032</v>
      </c>
      <c r="H1732" s="107"/>
      <c r="I1732" s="107"/>
      <c r="L1732" s="149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9">
        <v>44557</v>
      </c>
      <c r="B1733" s="107">
        <v>562</v>
      </c>
      <c r="C1733" s="107">
        <v>555.9</v>
      </c>
      <c r="D1733" s="107">
        <v>528.04999999999995</v>
      </c>
      <c r="E1733" s="107">
        <v>549.54999999999995</v>
      </c>
      <c r="F1733" s="107">
        <v>555.9</v>
      </c>
      <c r="G1733">
        <v>53884</v>
      </c>
      <c r="H1733" s="107"/>
      <c r="I1733" s="107"/>
      <c r="L1733" s="149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9">
        <v>44558</v>
      </c>
      <c r="B1734" s="107">
        <v>569</v>
      </c>
      <c r="C1734" s="107">
        <v>565.35</v>
      </c>
      <c r="D1734" s="107">
        <v>557.45000000000005</v>
      </c>
      <c r="E1734" s="107">
        <v>559.54999999999995</v>
      </c>
      <c r="F1734" s="107">
        <v>565.35</v>
      </c>
      <c r="G1734">
        <v>18508</v>
      </c>
      <c r="H1734" s="107"/>
      <c r="I1734" s="107"/>
      <c r="L1734" s="149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9">
        <v>44559</v>
      </c>
      <c r="B1735" s="107">
        <v>568.15</v>
      </c>
      <c r="C1735" s="107">
        <v>554.5</v>
      </c>
      <c r="D1735" s="107">
        <v>551</v>
      </c>
      <c r="E1735" s="107">
        <v>560.4</v>
      </c>
      <c r="F1735" s="107">
        <v>554.5</v>
      </c>
      <c r="G1735">
        <v>19255</v>
      </c>
      <c r="H1735" s="107"/>
      <c r="I1735" s="107"/>
      <c r="L1735" s="149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9">
        <v>44560</v>
      </c>
      <c r="B1736" s="107">
        <v>559.4</v>
      </c>
      <c r="C1736" s="107">
        <v>554.04999999999995</v>
      </c>
      <c r="D1736" s="107">
        <v>550.04999999999995</v>
      </c>
      <c r="E1736" s="107">
        <v>554.75</v>
      </c>
      <c r="F1736" s="107">
        <v>554.04999999999995</v>
      </c>
      <c r="G1736">
        <v>34131</v>
      </c>
      <c r="H1736" s="107"/>
      <c r="I1736" s="107"/>
      <c r="L1736" s="149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9">
        <v>44561</v>
      </c>
      <c r="B1737" s="107">
        <v>562.25</v>
      </c>
      <c r="C1737" s="107">
        <v>553.6</v>
      </c>
      <c r="D1737" s="107">
        <v>552.1</v>
      </c>
      <c r="E1737" s="107">
        <v>553</v>
      </c>
      <c r="F1737" s="107">
        <v>553.6</v>
      </c>
      <c r="G1737">
        <v>8869</v>
      </c>
      <c r="H1737" s="107"/>
      <c r="I1737" s="107"/>
      <c r="L1737" s="149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9">
        <v>44564</v>
      </c>
      <c r="B1738" s="107">
        <v>577.6</v>
      </c>
      <c r="C1738" s="107">
        <v>573.85</v>
      </c>
      <c r="D1738" s="107">
        <v>555.65</v>
      </c>
      <c r="E1738" s="107">
        <v>558.79999999999995</v>
      </c>
      <c r="F1738" s="107">
        <v>573.85</v>
      </c>
      <c r="G1738">
        <v>38400</v>
      </c>
      <c r="H1738" s="107"/>
      <c r="I1738" s="107"/>
      <c r="L1738" s="149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9">
        <v>44565</v>
      </c>
      <c r="B1739" s="107">
        <v>582.85</v>
      </c>
      <c r="C1739" s="107">
        <v>581.45000000000005</v>
      </c>
      <c r="D1739" s="107">
        <v>568.65</v>
      </c>
      <c r="E1739" s="107">
        <v>573.9</v>
      </c>
      <c r="F1739" s="107">
        <v>581.45000000000005</v>
      </c>
      <c r="G1739">
        <v>13967</v>
      </c>
      <c r="H1739" s="107"/>
      <c r="I1739" s="107"/>
      <c r="L1739" s="149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9">
        <v>44566</v>
      </c>
      <c r="B1740" s="107">
        <v>595.54999999999995</v>
      </c>
      <c r="C1740" s="107">
        <v>592.65</v>
      </c>
      <c r="D1740" s="107">
        <v>575.95000000000005</v>
      </c>
      <c r="E1740" s="107">
        <v>575.95000000000005</v>
      </c>
      <c r="F1740" s="107">
        <v>592.65</v>
      </c>
      <c r="G1740">
        <v>25533</v>
      </c>
      <c r="H1740" s="107"/>
      <c r="I1740" s="107"/>
      <c r="L1740" s="149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9">
        <v>44567</v>
      </c>
      <c r="B1741" s="107">
        <v>590.04999999999995</v>
      </c>
      <c r="C1741" s="107">
        <v>588.35</v>
      </c>
      <c r="D1741" s="107">
        <v>577.5</v>
      </c>
      <c r="E1741" s="107">
        <v>583.15</v>
      </c>
      <c r="F1741" s="107">
        <v>588.35</v>
      </c>
      <c r="G1741">
        <v>17634</v>
      </c>
      <c r="H1741" s="107"/>
      <c r="I1741" s="107"/>
      <c r="L1741" s="149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9">
        <v>44568</v>
      </c>
      <c r="B1742" s="107">
        <v>602</v>
      </c>
      <c r="C1742" s="107">
        <v>584.25</v>
      </c>
      <c r="D1742" s="107">
        <v>580.75</v>
      </c>
      <c r="E1742" s="107">
        <v>588.35</v>
      </c>
      <c r="F1742" s="107">
        <v>584.25</v>
      </c>
      <c r="G1742">
        <v>14285</v>
      </c>
      <c r="H1742" s="107"/>
      <c r="I1742" s="107"/>
      <c r="L1742" s="149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9">
        <v>44571</v>
      </c>
      <c r="B1743" s="107">
        <v>601.5</v>
      </c>
      <c r="C1743" s="107">
        <v>597.54999999999995</v>
      </c>
      <c r="D1743" s="107">
        <v>581.9</v>
      </c>
      <c r="E1743" s="107">
        <v>581.9</v>
      </c>
      <c r="F1743" s="107">
        <v>597.54999999999995</v>
      </c>
      <c r="G1743">
        <v>32174</v>
      </c>
      <c r="H1743" s="107"/>
      <c r="I1743" s="107"/>
      <c r="L1743" s="149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9">
        <v>44572</v>
      </c>
      <c r="B1744" s="107">
        <v>604.95000000000005</v>
      </c>
      <c r="C1744" s="107">
        <v>595.25</v>
      </c>
      <c r="D1744" s="107">
        <v>588</v>
      </c>
      <c r="E1744" s="107">
        <v>598</v>
      </c>
      <c r="F1744" s="107">
        <v>595.25</v>
      </c>
      <c r="G1744">
        <v>46711</v>
      </c>
      <c r="H1744" s="107"/>
      <c r="I1744" s="107"/>
      <c r="L1744" s="149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9">
        <v>44573</v>
      </c>
      <c r="B1745" s="107">
        <v>616.45000000000005</v>
      </c>
      <c r="C1745" s="107">
        <v>607</v>
      </c>
      <c r="D1745" s="107">
        <v>599.04999999999995</v>
      </c>
      <c r="E1745" s="107">
        <v>603.45000000000005</v>
      </c>
      <c r="F1745" s="107">
        <v>607</v>
      </c>
      <c r="G1745">
        <v>23652</v>
      </c>
      <c r="H1745" s="107"/>
      <c r="I1745" s="107"/>
      <c r="L1745" s="149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9">
        <v>44574</v>
      </c>
      <c r="B1746" s="107">
        <v>613.5</v>
      </c>
      <c r="C1746" s="107">
        <v>604.5</v>
      </c>
      <c r="D1746" s="107">
        <v>600.6</v>
      </c>
      <c r="E1746" s="107">
        <v>609.79999999999995</v>
      </c>
      <c r="F1746" s="107">
        <v>604.5</v>
      </c>
      <c r="G1746">
        <v>37820</v>
      </c>
      <c r="H1746" s="107"/>
      <c r="I1746" s="107"/>
      <c r="L1746" s="149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9">
        <v>44575</v>
      </c>
      <c r="B1747" s="107">
        <v>610.70000000000005</v>
      </c>
      <c r="C1747" s="107">
        <v>605.15</v>
      </c>
      <c r="D1747" s="107">
        <v>594</v>
      </c>
      <c r="E1747" s="107">
        <v>601.1</v>
      </c>
      <c r="F1747" s="107">
        <v>605.15</v>
      </c>
      <c r="G1747">
        <v>17290</v>
      </c>
      <c r="H1747" s="107"/>
      <c r="I1747" s="107"/>
      <c r="L1747" s="149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9">
        <v>44578</v>
      </c>
      <c r="B1748" s="107">
        <v>632.70000000000005</v>
      </c>
      <c r="C1748" s="107">
        <v>628.04999999999995</v>
      </c>
      <c r="D1748" s="107">
        <v>605.15</v>
      </c>
      <c r="E1748" s="107">
        <v>605.15</v>
      </c>
      <c r="F1748" s="107">
        <v>628.04999999999995</v>
      </c>
      <c r="G1748">
        <v>42558</v>
      </c>
      <c r="H1748" s="107"/>
      <c r="I1748" s="107"/>
      <c r="L1748" s="149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9">
        <v>44579</v>
      </c>
      <c r="B1749" s="107">
        <v>639</v>
      </c>
      <c r="C1749" s="107">
        <v>616.1</v>
      </c>
      <c r="D1749" s="107">
        <v>611.70000000000005</v>
      </c>
      <c r="E1749" s="107">
        <v>634.85</v>
      </c>
      <c r="F1749" s="107">
        <v>616.1</v>
      </c>
      <c r="G1749">
        <v>58287</v>
      </c>
      <c r="H1749" s="107"/>
      <c r="I1749" s="107"/>
      <c r="L1749" s="149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9">
        <v>44580</v>
      </c>
      <c r="B1750" s="107">
        <v>617</v>
      </c>
      <c r="C1750" s="107">
        <v>612.45000000000005</v>
      </c>
      <c r="D1750" s="107">
        <v>596.6</v>
      </c>
      <c r="E1750" s="107">
        <v>617</v>
      </c>
      <c r="F1750" s="107">
        <v>612.45000000000005</v>
      </c>
      <c r="G1750">
        <v>19560</v>
      </c>
      <c r="H1750" s="107"/>
      <c r="I1750" s="107"/>
      <c r="L1750" s="149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9">
        <v>44581</v>
      </c>
      <c r="B1751" s="107">
        <v>631.75</v>
      </c>
      <c r="C1751" s="107">
        <v>617.70000000000005</v>
      </c>
      <c r="D1751" s="107">
        <v>607.54999999999995</v>
      </c>
      <c r="E1751" s="107">
        <v>609</v>
      </c>
      <c r="F1751" s="107">
        <v>617.70000000000005</v>
      </c>
      <c r="G1751">
        <v>35073</v>
      </c>
      <c r="H1751" s="107"/>
      <c r="I1751" s="107"/>
      <c r="L1751" s="149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9">
        <v>44582</v>
      </c>
      <c r="B1752" s="107">
        <v>616.25</v>
      </c>
      <c r="C1752" s="107">
        <v>594.4</v>
      </c>
      <c r="D1752" s="107">
        <v>589</v>
      </c>
      <c r="E1752" s="107">
        <v>608.20000000000005</v>
      </c>
      <c r="F1752" s="107">
        <v>594.4</v>
      </c>
      <c r="G1752">
        <v>41817</v>
      </c>
      <c r="H1752" s="107"/>
      <c r="I1752" s="107"/>
      <c r="L1752" s="149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9">
        <v>44585</v>
      </c>
      <c r="B1753" s="107">
        <v>598.9</v>
      </c>
      <c r="C1753" s="107">
        <v>572.15</v>
      </c>
      <c r="D1753" s="107">
        <v>567.6</v>
      </c>
      <c r="E1753" s="107">
        <v>598.9</v>
      </c>
      <c r="F1753" s="107">
        <v>572.15</v>
      </c>
      <c r="G1753">
        <v>180119</v>
      </c>
      <c r="H1753" s="107"/>
      <c r="I1753" s="107"/>
      <c r="L1753" s="149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9">
        <v>44586</v>
      </c>
      <c r="B1754" s="107">
        <v>605</v>
      </c>
      <c r="C1754" s="107">
        <v>601.04999999999995</v>
      </c>
      <c r="D1754" s="107">
        <v>555</v>
      </c>
      <c r="E1754" s="107">
        <v>555</v>
      </c>
      <c r="F1754" s="107">
        <v>601.04999999999995</v>
      </c>
      <c r="G1754">
        <v>25539</v>
      </c>
      <c r="H1754" s="107"/>
      <c r="I1754" s="107"/>
      <c r="L1754" s="149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9">
        <v>44588</v>
      </c>
      <c r="B1755" s="107">
        <v>615.20000000000005</v>
      </c>
      <c r="C1755" s="107">
        <v>575.85</v>
      </c>
      <c r="D1755" s="107">
        <v>570.5</v>
      </c>
      <c r="E1755" s="107">
        <v>580.04999999999995</v>
      </c>
      <c r="F1755" s="107">
        <v>575.85</v>
      </c>
      <c r="G1755">
        <v>68759</v>
      </c>
      <c r="H1755" s="107"/>
      <c r="I1755" s="107"/>
      <c r="L1755" s="149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9">
        <v>44589</v>
      </c>
      <c r="B1756" s="107">
        <v>641.1</v>
      </c>
      <c r="C1756" s="107">
        <v>616.85</v>
      </c>
      <c r="D1756" s="107">
        <v>580.15</v>
      </c>
      <c r="E1756" s="107">
        <v>584</v>
      </c>
      <c r="F1756" s="107">
        <v>616.85</v>
      </c>
      <c r="G1756">
        <v>145839</v>
      </c>
      <c r="H1756" s="107"/>
      <c r="I1756" s="107"/>
      <c r="L1756" s="149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9">
        <v>44592</v>
      </c>
      <c r="B1757" s="107">
        <v>626.75</v>
      </c>
      <c r="C1757" s="107">
        <v>616.15</v>
      </c>
      <c r="D1757" s="107">
        <v>605.6</v>
      </c>
      <c r="E1757" s="107">
        <v>626.75</v>
      </c>
      <c r="F1757" s="107">
        <v>616.15</v>
      </c>
      <c r="G1757">
        <v>38869</v>
      </c>
      <c r="H1757" s="107"/>
      <c r="I1757" s="107"/>
      <c r="L1757" s="149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9">
        <v>44593</v>
      </c>
      <c r="B1758" s="107">
        <v>637.95000000000005</v>
      </c>
      <c r="C1758" s="107">
        <v>624.35</v>
      </c>
      <c r="D1758" s="107">
        <v>614</v>
      </c>
      <c r="E1758" s="107">
        <v>618</v>
      </c>
      <c r="F1758" s="107">
        <v>624.35</v>
      </c>
      <c r="G1758">
        <v>72922</v>
      </c>
      <c r="H1758" s="107"/>
      <c r="I1758" s="107"/>
      <c r="L1758" s="149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9">
        <v>44594</v>
      </c>
      <c r="B1759" s="107">
        <v>669.9</v>
      </c>
      <c r="C1759" s="107">
        <v>667.15</v>
      </c>
      <c r="D1759" s="107">
        <v>628.79999999999995</v>
      </c>
      <c r="E1759" s="107">
        <v>631.9</v>
      </c>
      <c r="F1759" s="107">
        <v>667.15</v>
      </c>
      <c r="G1759">
        <v>167928</v>
      </c>
      <c r="H1759" s="107"/>
      <c r="I1759" s="107"/>
      <c r="L1759" s="149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9">
        <v>44595</v>
      </c>
      <c r="B1760" s="107">
        <v>668.7</v>
      </c>
      <c r="C1760" s="107">
        <v>658.75</v>
      </c>
      <c r="D1760" s="107">
        <v>655.04999999999995</v>
      </c>
      <c r="E1760" s="107">
        <v>668.7</v>
      </c>
      <c r="F1760" s="107">
        <v>658.75</v>
      </c>
      <c r="G1760">
        <v>53420</v>
      </c>
      <c r="H1760" s="107"/>
      <c r="I1760" s="107"/>
      <c r="L1760" s="149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9">
        <v>44596</v>
      </c>
      <c r="B1761" s="107">
        <v>661.2</v>
      </c>
      <c r="C1761" s="107">
        <v>642.4</v>
      </c>
      <c r="D1761" s="107">
        <v>640</v>
      </c>
      <c r="E1761" s="107">
        <v>660</v>
      </c>
      <c r="F1761" s="107">
        <v>642.4</v>
      </c>
      <c r="G1761">
        <v>48543</v>
      </c>
      <c r="H1761" s="107"/>
      <c r="I1761" s="107"/>
      <c r="L1761" s="149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9">
        <v>44599</v>
      </c>
      <c r="B1762" s="107">
        <v>642.9</v>
      </c>
      <c r="C1762" s="107">
        <v>632.70000000000005</v>
      </c>
      <c r="D1762" s="107">
        <v>628.85</v>
      </c>
      <c r="E1762" s="107">
        <v>642.25</v>
      </c>
      <c r="F1762" s="107">
        <v>632.70000000000005</v>
      </c>
      <c r="G1762">
        <v>27685</v>
      </c>
      <c r="H1762" s="107"/>
      <c r="I1762" s="107"/>
      <c r="L1762" s="149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9">
        <v>44600</v>
      </c>
      <c r="B1763" s="107">
        <v>636.70000000000005</v>
      </c>
      <c r="C1763" s="107">
        <v>627.54999999999995</v>
      </c>
      <c r="D1763" s="107">
        <v>613.65</v>
      </c>
      <c r="E1763" s="107">
        <v>632</v>
      </c>
      <c r="F1763" s="107">
        <v>627.54999999999995</v>
      </c>
      <c r="G1763">
        <v>39888</v>
      </c>
      <c r="H1763" s="107"/>
      <c r="I1763" s="107"/>
      <c r="L1763" s="149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9">
        <v>44601</v>
      </c>
      <c r="B1764" s="107">
        <v>638.35</v>
      </c>
      <c r="C1764" s="107">
        <v>628.4</v>
      </c>
      <c r="D1764" s="107">
        <v>624.4</v>
      </c>
      <c r="E1764" s="107">
        <v>638.35</v>
      </c>
      <c r="F1764" s="107">
        <v>628.4</v>
      </c>
      <c r="G1764">
        <v>12719</v>
      </c>
      <c r="H1764" s="107"/>
      <c r="I1764" s="107"/>
      <c r="L1764" s="149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9">
        <v>44602</v>
      </c>
      <c r="B1765" s="107">
        <v>653.29999999999995</v>
      </c>
      <c r="C1765" s="107">
        <v>639.95000000000005</v>
      </c>
      <c r="D1765" s="107">
        <v>628.20000000000005</v>
      </c>
      <c r="E1765" s="107">
        <v>631.65</v>
      </c>
      <c r="F1765" s="107">
        <v>639.95000000000005</v>
      </c>
      <c r="G1765">
        <v>43652</v>
      </c>
      <c r="H1765" s="107"/>
      <c r="I1765" s="107"/>
      <c r="L1765" s="149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9">
        <v>44603</v>
      </c>
      <c r="B1766" s="107">
        <v>637.20000000000005</v>
      </c>
      <c r="C1766" s="107">
        <v>620.70000000000005</v>
      </c>
      <c r="D1766" s="107">
        <v>616.70000000000005</v>
      </c>
      <c r="E1766" s="107">
        <v>631</v>
      </c>
      <c r="F1766" s="107">
        <v>620.70000000000005</v>
      </c>
      <c r="G1766">
        <v>23233</v>
      </c>
      <c r="H1766" s="107"/>
      <c r="I1766" s="107"/>
      <c r="L1766" s="149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9">
        <v>44606</v>
      </c>
      <c r="B1767" s="107">
        <v>619.1</v>
      </c>
      <c r="C1767" s="107">
        <v>592.79999999999995</v>
      </c>
      <c r="D1767" s="107">
        <v>589.5</v>
      </c>
      <c r="E1767" s="107">
        <v>615</v>
      </c>
      <c r="F1767" s="107">
        <v>592.79999999999995</v>
      </c>
      <c r="G1767">
        <v>31635</v>
      </c>
      <c r="H1767" s="107"/>
      <c r="I1767" s="107"/>
      <c r="L1767" s="149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9">
        <v>44607</v>
      </c>
      <c r="B1768" s="107">
        <v>628.9</v>
      </c>
      <c r="C1768" s="107">
        <v>624.9</v>
      </c>
      <c r="D1768" s="107">
        <v>580</v>
      </c>
      <c r="E1768" s="107">
        <v>598.9</v>
      </c>
      <c r="F1768" s="107">
        <v>624.9</v>
      </c>
      <c r="G1768">
        <v>50543</v>
      </c>
      <c r="H1768" s="107"/>
      <c r="I1768" s="107"/>
      <c r="L1768" s="149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9">
        <v>44608</v>
      </c>
      <c r="B1769" s="107">
        <v>641.95000000000005</v>
      </c>
      <c r="C1769" s="107">
        <v>615.95000000000005</v>
      </c>
      <c r="D1769" s="107">
        <v>612.95000000000005</v>
      </c>
      <c r="E1769" s="107">
        <v>624</v>
      </c>
      <c r="F1769" s="107">
        <v>615.95000000000005</v>
      </c>
      <c r="G1769">
        <v>55403</v>
      </c>
      <c r="H1769" s="107"/>
      <c r="I1769" s="107"/>
      <c r="L1769" s="149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9">
        <v>44609</v>
      </c>
      <c r="B1770" s="107">
        <v>626</v>
      </c>
      <c r="C1770" s="107">
        <v>606.85</v>
      </c>
      <c r="D1770" s="107">
        <v>603.85</v>
      </c>
      <c r="E1770" s="107">
        <v>626</v>
      </c>
      <c r="F1770" s="107">
        <v>606.85</v>
      </c>
      <c r="G1770">
        <v>14238</v>
      </c>
      <c r="H1770" s="107"/>
      <c r="I1770" s="107"/>
      <c r="L1770" s="149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9">
        <v>44610</v>
      </c>
      <c r="B1771" s="107">
        <v>612.79999999999995</v>
      </c>
      <c r="C1771" s="107">
        <v>599.45000000000005</v>
      </c>
      <c r="D1771" s="107">
        <v>595.85</v>
      </c>
      <c r="E1771" s="107">
        <v>606.1</v>
      </c>
      <c r="F1771" s="107">
        <v>599.45000000000005</v>
      </c>
      <c r="G1771">
        <v>31910</v>
      </c>
      <c r="H1771" s="107"/>
      <c r="I1771" s="107"/>
      <c r="L1771" s="149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9">
        <v>44613</v>
      </c>
      <c r="B1772" s="107">
        <v>606.20000000000005</v>
      </c>
      <c r="C1772" s="107">
        <v>592.95000000000005</v>
      </c>
      <c r="D1772" s="107">
        <v>586.65</v>
      </c>
      <c r="E1772" s="107">
        <v>597.75</v>
      </c>
      <c r="F1772" s="107">
        <v>592.95000000000005</v>
      </c>
      <c r="G1772">
        <v>30633</v>
      </c>
      <c r="H1772" s="107"/>
      <c r="I1772" s="107"/>
      <c r="L1772" s="149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9">
        <v>44614</v>
      </c>
      <c r="B1773" s="107">
        <v>588.79999999999995</v>
      </c>
      <c r="C1773" s="107">
        <v>585.65</v>
      </c>
      <c r="D1773" s="107">
        <v>571.9</v>
      </c>
      <c r="E1773" s="107">
        <v>579.95000000000005</v>
      </c>
      <c r="F1773" s="107">
        <v>585.65</v>
      </c>
      <c r="G1773">
        <v>39760</v>
      </c>
      <c r="H1773" s="107"/>
      <c r="I1773" s="107"/>
      <c r="L1773" s="149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9">
        <v>44615</v>
      </c>
      <c r="B1774" s="107">
        <v>606.79999999999995</v>
      </c>
      <c r="C1774" s="107">
        <v>590</v>
      </c>
      <c r="D1774" s="107">
        <v>587</v>
      </c>
      <c r="E1774" s="107">
        <v>606.79999999999995</v>
      </c>
      <c r="F1774" s="107">
        <v>590</v>
      </c>
      <c r="G1774">
        <v>15621</v>
      </c>
      <c r="H1774" s="107"/>
      <c r="I1774" s="107"/>
      <c r="L1774" s="149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9">
        <v>44616</v>
      </c>
      <c r="B1775" s="107">
        <v>582.54999999999995</v>
      </c>
      <c r="C1775" s="107">
        <v>546.95000000000005</v>
      </c>
      <c r="D1775" s="107">
        <v>541.75</v>
      </c>
      <c r="E1775" s="107">
        <v>570</v>
      </c>
      <c r="F1775" s="107">
        <v>546.95000000000005</v>
      </c>
      <c r="G1775">
        <v>76186</v>
      </c>
      <c r="H1775" s="107"/>
      <c r="I1775" s="107"/>
      <c r="L1775" s="149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9">
        <v>44617</v>
      </c>
      <c r="B1776" s="107">
        <v>578.25</v>
      </c>
      <c r="C1776" s="107">
        <v>571.54999999999995</v>
      </c>
      <c r="D1776" s="107">
        <v>557.65</v>
      </c>
      <c r="E1776" s="107">
        <v>558</v>
      </c>
      <c r="F1776" s="107">
        <v>571.54999999999995</v>
      </c>
      <c r="G1776">
        <v>39183</v>
      </c>
      <c r="H1776" s="107"/>
      <c r="I1776" s="107"/>
      <c r="L1776" s="149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9">
        <v>44620</v>
      </c>
      <c r="B1777" s="107">
        <v>583.15</v>
      </c>
      <c r="C1777" s="107">
        <v>580</v>
      </c>
      <c r="D1777" s="107">
        <v>561.4</v>
      </c>
      <c r="E1777" s="107">
        <v>573</v>
      </c>
      <c r="F1777" s="107">
        <v>580</v>
      </c>
      <c r="G1777">
        <v>17547</v>
      </c>
      <c r="H1777" s="107"/>
      <c r="I1777" s="107"/>
      <c r="L1777" s="149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9">
        <v>44622</v>
      </c>
      <c r="B1778" s="107">
        <v>582.1</v>
      </c>
      <c r="C1778" s="107">
        <v>573.45000000000005</v>
      </c>
      <c r="D1778" s="107">
        <v>562.70000000000005</v>
      </c>
      <c r="E1778" s="107">
        <v>572.6</v>
      </c>
      <c r="F1778" s="107">
        <v>573.45000000000005</v>
      </c>
      <c r="G1778">
        <v>17833</v>
      </c>
      <c r="H1778" s="107"/>
      <c r="I1778" s="107"/>
      <c r="L1778" s="149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9">
        <v>44623</v>
      </c>
      <c r="B1779" s="107">
        <v>580.75</v>
      </c>
      <c r="C1779" s="107">
        <v>559.95000000000005</v>
      </c>
      <c r="D1779" s="107">
        <v>555.1</v>
      </c>
      <c r="E1779" s="107">
        <v>578</v>
      </c>
      <c r="F1779" s="107">
        <v>559.95000000000005</v>
      </c>
      <c r="G1779">
        <v>16669</v>
      </c>
      <c r="H1779" s="107"/>
      <c r="I1779" s="107"/>
      <c r="L1779" s="149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9">
        <v>44624</v>
      </c>
      <c r="B1780" s="107">
        <v>573.45000000000005</v>
      </c>
      <c r="C1780" s="107">
        <v>560.70000000000005</v>
      </c>
      <c r="D1780" s="107">
        <v>544.6</v>
      </c>
      <c r="E1780" s="107">
        <v>556.79999999999995</v>
      </c>
      <c r="F1780" s="107">
        <v>560.70000000000005</v>
      </c>
      <c r="G1780">
        <v>25700</v>
      </c>
      <c r="H1780" s="107"/>
      <c r="I1780" s="107"/>
      <c r="L1780" s="149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9">
        <v>44627</v>
      </c>
      <c r="B1781" s="107">
        <v>555</v>
      </c>
      <c r="C1781" s="107">
        <v>542.45000000000005</v>
      </c>
      <c r="D1781" s="107">
        <v>520.25</v>
      </c>
      <c r="E1781" s="107">
        <v>555</v>
      </c>
      <c r="F1781" s="107">
        <v>542.45000000000005</v>
      </c>
      <c r="G1781">
        <v>40356</v>
      </c>
      <c r="H1781" s="107"/>
      <c r="I1781" s="107"/>
      <c r="L1781" s="149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9">
        <v>44628</v>
      </c>
      <c r="B1782" s="107">
        <v>563</v>
      </c>
      <c r="C1782" s="107">
        <v>558.1</v>
      </c>
      <c r="D1782" s="107">
        <v>539</v>
      </c>
      <c r="E1782" s="107">
        <v>539</v>
      </c>
      <c r="F1782" s="107">
        <v>558.1</v>
      </c>
      <c r="G1782">
        <v>38905</v>
      </c>
      <c r="H1782" s="107"/>
      <c r="I1782" s="107"/>
      <c r="L1782" s="149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9">
        <v>44629</v>
      </c>
      <c r="B1783" s="107">
        <v>584</v>
      </c>
      <c r="C1783" s="107">
        <v>573.5</v>
      </c>
      <c r="D1783" s="107">
        <v>561.45000000000005</v>
      </c>
      <c r="E1783" s="107">
        <v>566</v>
      </c>
      <c r="F1783" s="107">
        <v>573.5</v>
      </c>
      <c r="G1783">
        <v>15694</v>
      </c>
      <c r="H1783" s="107"/>
      <c r="I1783" s="107"/>
      <c r="L1783" s="149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9">
        <v>44630</v>
      </c>
      <c r="B1784" s="107">
        <v>606.9</v>
      </c>
      <c r="C1784" s="107">
        <v>590.79999999999995</v>
      </c>
      <c r="D1784" s="107">
        <v>579</v>
      </c>
      <c r="E1784" s="107">
        <v>579</v>
      </c>
      <c r="F1784" s="107">
        <v>590.79999999999995</v>
      </c>
      <c r="G1784">
        <v>37831</v>
      </c>
      <c r="H1784" s="107"/>
      <c r="I1784" s="107"/>
      <c r="L1784" s="149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9">
        <v>44631</v>
      </c>
      <c r="B1785" s="107">
        <v>597</v>
      </c>
      <c r="C1785" s="107">
        <v>586.25</v>
      </c>
      <c r="D1785" s="107">
        <v>578.20000000000005</v>
      </c>
      <c r="E1785" s="107">
        <v>583.70000000000005</v>
      </c>
      <c r="F1785" s="107">
        <v>586.25</v>
      </c>
      <c r="G1785">
        <v>13699</v>
      </c>
      <c r="H1785" s="107"/>
      <c r="I1785" s="107"/>
      <c r="L1785" s="149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9">
        <v>44634</v>
      </c>
      <c r="B1786" s="107">
        <v>596</v>
      </c>
      <c r="C1786" s="107">
        <v>592.75</v>
      </c>
      <c r="D1786" s="107">
        <v>579.65</v>
      </c>
      <c r="E1786" s="107">
        <v>585.15</v>
      </c>
      <c r="F1786" s="107">
        <v>592.75</v>
      </c>
      <c r="G1786">
        <v>11923</v>
      </c>
      <c r="H1786" s="107"/>
      <c r="I1786" s="107"/>
      <c r="L1786" s="149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9">
        <v>44635</v>
      </c>
      <c r="B1787" s="107">
        <v>608.15</v>
      </c>
      <c r="C1787" s="107">
        <v>578.75</v>
      </c>
      <c r="D1787" s="107">
        <v>565.65</v>
      </c>
      <c r="E1787" s="107">
        <v>590</v>
      </c>
      <c r="F1787" s="107">
        <v>578.75</v>
      </c>
      <c r="G1787">
        <v>27183</v>
      </c>
      <c r="H1787" s="107"/>
      <c r="I1787" s="107"/>
      <c r="L1787" s="149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9">
        <v>44636</v>
      </c>
      <c r="B1788" s="107">
        <v>601.1</v>
      </c>
      <c r="C1788" s="107">
        <v>600.35</v>
      </c>
      <c r="D1788" s="107">
        <v>582.04999999999995</v>
      </c>
      <c r="E1788" s="107">
        <v>582.04999999999995</v>
      </c>
      <c r="F1788" s="107">
        <v>600.35</v>
      </c>
      <c r="G1788">
        <v>15292</v>
      </c>
      <c r="H1788" s="107"/>
      <c r="I1788" s="107"/>
      <c r="L1788" s="149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9">
        <v>44637</v>
      </c>
      <c r="B1789" s="107">
        <v>621.95000000000005</v>
      </c>
      <c r="C1789" s="107">
        <v>609.25</v>
      </c>
      <c r="D1789" s="107">
        <v>601.85</v>
      </c>
      <c r="E1789" s="107">
        <v>607</v>
      </c>
      <c r="F1789" s="107">
        <v>609.25</v>
      </c>
      <c r="G1789">
        <v>33483</v>
      </c>
      <c r="H1789" s="107"/>
      <c r="I1789" s="107"/>
      <c r="L1789" s="149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9">
        <v>44641</v>
      </c>
      <c r="B1790" s="107">
        <v>614.04999999999995</v>
      </c>
      <c r="C1790" s="107">
        <v>600</v>
      </c>
      <c r="D1790" s="107">
        <v>592.6</v>
      </c>
      <c r="E1790" s="107">
        <v>610</v>
      </c>
      <c r="F1790" s="107">
        <v>600</v>
      </c>
      <c r="G1790">
        <v>15504</v>
      </c>
      <c r="H1790" s="107"/>
      <c r="I1790" s="107"/>
      <c r="L1790" s="149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9">
        <v>44642</v>
      </c>
      <c r="B1791" s="107">
        <v>611</v>
      </c>
      <c r="C1791" s="107">
        <v>602.1</v>
      </c>
      <c r="D1791" s="107">
        <v>594.65</v>
      </c>
      <c r="E1791" s="107">
        <v>604.65</v>
      </c>
      <c r="F1791" s="107">
        <v>602.1</v>
      </c>
      <c r="G1791">
        <v>14868</v>
      </c>
      <c r="H1791" s="107"/>
      <c r="I1791" s="107"/>
      <c r="L1791" s="149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9">
        <v>44643</v>
      </c>
      <c r="B1792" s="107">
        <v>611.65</v>
      </c>
      <c r="C1792" s="107">
        <v>604.70000000000005</v>
      </c>
      <c r="D1792" s="107">
        <v>596.6</v>
      </c>
      <c r="E1792" s="107">
        <v>603.54999999999995</v>
      </c>
      <c r="F1792" s="107">
        <v>604.70000000000005</v>
      </c>
      <c r="G1792">
        <v>22305</v>
      </c>
      <c r="H1792" s="107"/>
      <c r="I1792" s="107"/>
      <c r="L1792" s="149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9">
        <v>44644</v>
      </c>
      <c r="B1793" s="107">
        <v>608.5</v>
      </c>
      <c r="C1793" s="107">
        <v>600.04999999999995</v>
      </c>
      <c r="D1793" s="107">
        <v>594.70000000000005</v>
      </c>
      <c r="E1793" s="107">
        <v>608.5</v>
      </c>
      <c r="F1793" s="107">
        <v>600.04999999999995</v>
      </c>
      <c r="G1793">
        <v>20019</v>
      </c>
      <c r="H1793" s="107"/>
      <c r="I1793" s="107"/>
      <c r="L1793" s="149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9">
        <v>44645</v>
      </c>
      <c r="B1794" s="107">
        <v>604.54999999999995</v>
      </c>
      <c r="C1794" s="107">
        <v>601.1</v>
      </c>
      <c r="D1794" s="107">
        <v>596.9</v>
      </c>
      <c r="E1794" s="107">
        <v>602.25</v>
      </c>
      <c r="F1794" s="107">
        <v>601.1</v>
      </c>
      <c r="G1794">
        <v>17369</v>
      </c>
      <c r="H1794" s="107"/>
      <c r="I1794" s="107"/>
      <c r="L1794" s="149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9">
        <v>44648</v>
      </c>
      <c r="B1795" s="107">
        <v>603.4</v>
      </c>
      <c r="C1795" s="107">
        <v>599.04999999999995</v>
      </c>
      <c r="D1795" s="107">
        <v>588.85</v>
      </c>
      <c r="E1795" s="107">
        <v>601</v>
      </c>
      <c r="F1795" s="107">
        <v>599.04999999999995</v>
      </c>
      <c r="G1795">
        <v>10089</v>
      </c>
      <c r="H1795" s="107"/>
      <c r="I1795" s="107"/>
      <c r="L1795" s="149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9">
        <v>44649</v>
      </c>
      <c r="B1796" s="107">
        <v>608.1</v>
      </c>
      <c r="C1796" s="107">
        <v>605.20000000000005</v>
      </c>
      <c r="D1796" s="107">
        <v>593</v>
      </c>
      <c r="E1796" s="107">
        <v>600.6</v>
      </c>
      <c r="F1796" s="107">
        <v>605.20000000000005</v>
      </c>
      <c r="G1796">
        <v>9430</v>
      </c>
      <c r="H1796" s="107"/>
      <c r="I1796" s="107"/>
      <c r="L1796" s="149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9">
        <v>44650</v>
      </c>
      <c r="B1797" s="107">
        <v>617.70000000000005</v>
      </c>
      <c r="C1797" s="107">
        <v>611.20000000000005</v>
      </c>
      <c r="D1797" s="107">
        <v>601.79999999999995</v>
      </c>
      <c r="E1797" s="107">
        <v>605.79999999999995</v>
      </c>
      <c r="F1797" s="107">
        <v>611.20000000000005</v>
      </c>
      <c r="G1797">
        <v>28755</v>
      </c>
      <c r="H1797" s="107"/>
      <c r="I1797" s="107"/>
      <c r="L1797" s="149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9">
        <v>44651</v>
      </c>
      <c r="B1798" s="107">
        <v>634.04999999999995</v>
      </c>
      <c r="C1798" s="107">
        <v>631.4</v>
      </c>
      <c r="D1798" s="107">
        <v>611.25</v>
      </c>
      <c r="E1798" s="107">
        <v>616.65</v>
      </c>
      <c r="F1798" s="107">
        <v>631.4</v>
      </c>
      <c r="G1798">
        <v>24847</v>
      </c>
      <c r="H1798" s="107"/>
      <c r="I1798" s="107"/>
      <c r="L1798" s="149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9">
        <v>44652</v>
      </c>
      <c r="B1799" s="107">
        <v>659.65</v>
      </c>
      <c r="C1799" s="107">
        <v>655.8</v>
      </c>
      <c r="D1799" s="107">
        <v>631</v>
      </c>
      <c r="E1799" s="107">
        <v>631</v>
      </c>
      <c r="F1799" s="107">
        <v>655.8</v>
      </c>
      <c r="G1799">
        <v>56516</v>
      </c>
      <c r="H1799" s="107"/>
      <c r="I1799" s="107"/>
      <c r="L1799" s="149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9">
        <v>44655</v>
      </c>
      <c r="B1800" s="107">
        <v>670</v>
      </c>
      <c r="C1800" s="107">
        <v>661.3</v>
      </c>
      <c r="D1800" s="107">
        <v>654</v>
      </c>
      <c r="E1800" s="107">
        <v>654</v>
      </c>
      <c r="F1800" s="107">
        <v>661.3</v>
      </c>
      <c r="G1800">
        <v>43947</v>
      </c>
      <c r="H1800" s="107"/>
      <c r="I1800" s="107"/>
      <c r="L1800" s="149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9">
        <v>44656</v>
      </c>
      <c r="B1801" s="107">
        <v>668.95</v>
      </c>
      <c r="C1801" s="107">
        <v>647.95000000000005</v>
      </c>
      <c r="D1801" s="107">
        <v>646.79999999999995</v>
      </c>
      <c r="E1801" s="107">
        <v>668.95</v>
      </c>
      <c r="F1801" s="107">
        <v>647.95000000000005</v>
      </c>
      <c r="G1801">
        <v>13845</v>
      </c>
      <c r="H1801" s="107"/>
      <c r="I1801" s="107"/>
      <c r="L1801" s="149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9">
        <v>44657</v>
      </c>
      <c r="B1802" s="107">
        <v>658.4</v>
      </c>
      <c r="C1802" s="107">
        <v>654.20000000000005</v>
      </c>
      <c r="D1802" s="107">
        <v>643.45000000000005</v>
      </c>
      <c r="E1802" s="107">
        <v>643.5</v>
      </c>
      <c r="F1802" s="107">
        <v>654.20000000000005</v>
      </c>
      <c r="G1802">
        <v>11786</v>
      </c>
      <c r="H1802" s="107"/>
      <c r="I1802" s="107"/>
      <c r="L1802" s="149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9">
        <v>44658</v>
      </c>
      <c r="B1803" s="107">
        <v>685</v>
      </c>
      <c r="C1803" s="107">
        <v>669.95</v>
      </c>
      <c r="D1803" s="107">
        <v>646</v>
      </c>
      <c r="E1803" s="107">
        <v>646</v>
      </c>
      <c r="F1803" s="107">
        <v>669.95</v>
      </c>
      <c r="G1803">
        <v>29617</v>
      </c>
      <c r="H1803" s="107"/>
      <c r="I1803" s="107"/>
      <c r="L1803" s="149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9">
        <v>44659</v>
      </c>
      <c r="B1804" s="107">
        <v>675</v>
      </c>
      <c r="C1804" s="107">
        <v>658.75</v>
      </c>
      <c r="D1804" s="107">
        <v>653.1</v>
      </c>
      <c r="E1804" s="107">
        <v>675</v>
      </c>
      <c r="F1804" s="107">
        <v>658.75</v>
      </c>
      <c r="G1804">
        <v>31998</v>
      </c>
      <c r="H1804" s="107"/>
      <c r="I1804" s="107"/>
      <c r="L1804" s="149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9">
        <v>44662</v>
      </c>
      <c r="B1805" s="107">
        <v>672.2</v>
      </c>
      <c r="C1805" s="107">
        <v>662.75</v>
      </c>
      <c r="D1805" s="107">
        <v>657.85</v>
      </c>
      <c r="E1805" s="107">
        <v>658.5</v>
      </c>
      <c r="F1805" s="107">
        <v>662.75</v>
      </c>
      <c r="G1805">
        <v>20159</v>
      </c>
      <c r="H1805" s="107"/>
      <c r="I1805" s="107"/>
      <c r="L1805" s="149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9">
        <v>44663</v>
      </c>
      <c r="B1806" s="107">
        <v>661.85</v>
      </c>
      <c r="C1806" s="107">
        <v>655.35</v>
      </c>
      <c r="D1806" s="107">
        <v>641.1</v>
      </c>
      <c r="E1806" s="107">
        <v>661.85</v>
      </c>
      <c r="F1806" s="107">
        <v>655.35</v>
      </c>
      <c r="G1806">
        <v>12929</v>
      </c>
      <c r="H1806" s="107"/>
      <c r="I1806" s="107"/>
      <c r="L1806" s="149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9">
        <v>44664</v>
      </c>
      <c r="B1807" s="107">
        <v>662.1</v>
      </c>
      <c r="C1807" s="107">
        <v>634.29999999999995</v>
      </c>
      <c r="D1807" s="107">
        <v>628.20000000000005</v>
      </c>
      <c r="E1807" s="107">
        <v>658.75</v>
      </c>
      <c r="F1807" s="107">
        <v>634.29999999999995</v>
      </c>
      <c r="G1807">
        <v>18510</v>
      </c>
      <c r="H1807" s="107"/>
      <c r="I1807" s="107"/>
      <c r="L1807" s="149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9">
        <v>44669</v>
      </c>
      <c r="B1808" s="107">
        <v>635.35</v>
      </c>
      <c r="C1808" s="107">
        <v>625.85</v>
      </c>
      <c r="D1808" s="107">
        <v>612.54999999999995</v>
      </c>
      <c r="E1808" s="107">
        <v>635.35</v>
      </c>
      <c r="F1808" s="107">
        <v>625.85</v>
      </c>
      <c r="G1808">
        <v>20269</v>
      </c>
      <c r="H1808" s="107"/>
      <c r="I1808" s="107"/>
      <c r="L1808" s="149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9">
        <v>44670</v>
      </c>
      <c r="B1809" s="107">
        <v>642.25</v>
      </c>
      <c r="C1809" s="107">
        <v>620.20000000000005</v>
      </c>
      <c r="D1809" s="107">
        <v>614.29999999999995</v>
      </c>
      <c r="E1809" s="107">
        <v>627</v>
      </c>
      <c r="F1809" s="107">
        <v>620.20000000000005</v>
      </c>
      <c r="G1809">
        <v>11552</v>
      </c>
      <c r="H1809" s="107"/>
      <c r="I1809" s="107"/>
      <c r="L1809" s="149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9">
        <v>44671</v>
      </c>
      <c r="B1810" s="107">
        <v>645.45000000000005</v>
      </c>
      <c r="C1810" s="107">
        <v>637.4</v>
      </c>
      <c r="D1810" s="107">
        <v>622.79999999999995</v>
      </c>
      <c r="E1810" s="107">
        <v>623.85</v>
      </c>
      <c r="F1810" s="107">
        <v>637.4</v>
      </c>
      <c r="G1810">
        <v>15625</v>
      </c>
      <c r="H1810" s="107"/>
      <c r="I1810" s="107"/>
      <c r="L1810" s="149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9">
        <v>44672</v>
      </c>
      <c r="B1811" s="107">
        <v>651.15</v>
      </c>
      <c r="C1811" s="107">
        <v>637.79999999999995</v>
      </c>
      <c r="D1811" s="107">
        <v>635.54999999999995</v>
      </c>
      <c r="E1811" s="107">
        <v>644.20000000000005</v>
      </c>
      <c r="F1811" s="107">
        <v>637.79999999999995</v>
      </c>
      <c r="G1811">
        <v>11538</v>
      </c>
      <c r="H1811" s="107"/>
      <c r="I1811" s="107"/>
      <c r="L1811" s="149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9">
        <v>44673</v>
      </c>
      <c r="B1812" s="107">
        <v>644.70000000000005</v>
      </c>
      <c r="C1812" s="107">
        <v>634.9</v>
      </c>
      <c r="D1812" s="107">
        <v>627.25</v>
      </c>
      <c r="E1812" s="107">
        <v>637.5</v>
      </c>
      <c r="F1812" s="107">
        <v>634.9</v>
      </c>
      <c r="G1812">
        <v>6284</v>
      </c>
      <c r="H1812" s="107"/>
      <c r="I1812" s="107"/>
      <c r="L1812" s="149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9">
        <v>44676</v>
      </c>
      <c r="B1813" s="107">
        <v>633.70000000000005</v>
      </c>
      <c r="C1813" s="107">
        <v>626.9</v>
      </c>
      <c r="D1813" s="107">
        <v>620.65</v>
      </c>
      <c r="E1813" s="107">
        <v>628</v>
      </c>
      <c r="F1813" s="107">
        <v>626.9</v>
      </c>
      <c r="G1813">
        <v>13257</v>
      </c>
      <c r="H1813" s="107"/>
      <c r="I1813" s="107"/>
      <c r="L1813" s="149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9">
        <v>44677</v>
      </c>
      <c r="B1814" s="107">
        <v>646.29999999999995</v>
      </c>
      <c r="C1814" s="107">
        <v>638.95000000000005</v>
      </c>
      <c r="D1814" s="107">
        <v>629.85</v>
      </c>
      <c r="E1814" s="107">
        <v>638.70000000000005</v>
      </c>
      <c r="F1814" s="107">
        <v>638.95000000000005</v>
      </c>
      <c r="G1814">
        <v>18881</v>
      </c>
      <c r="H1814" s="107"/>
      <c r="I1814" s="107"/>
      <c r="L1814" s="149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9">
        <v>44678</v>
      </c>
      <c r="B1815" s="107">
        <v>644</v>
      </c>
      <c r="C1815" s="107">
        <v>639.70000000000005</v>
      </c>
      <c r="D1815" s="107">
        <v>629.04999999999995</v>
      </c>
      <c r="E1815" s="107">
        <v>631</v>
      </c>
      <c r="F1815" s="107">
        <v>639.70000000000005</v>
      </c>
      <c r="G1815">
        <v>8714</v>
      </c>
      <c r="H1815" s="107"/>
      <c r="I1815" s="107"/>
      <c r="L1815" s="149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9">
        <v>44679</v>
      </c>
      <c r="B1816" s="107">
        <v>647.54999999999995</v>
      </c>
      <c r="C1816" s="107">
        <v>635.5</v>
      </c>
      <c r="D1816" s="107">
        <v>625.20000000000005</v>
      </c>
      <c r="E1816" s="107">
        <v>642.54999999999995</v>
      </c>
      <c r="F1816" s="107">
        <v>635.5</v>
      </c>
      <c r="G1816">
        <v>12749</v>
      </c>
      <c r="H1816" s="107"/>
      <c r="I1816" s="107"/>
      <c r="L1816" s="149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9">
        <v>44680</v>
      </c>
      <c r="B1817" s="107">
        <v>640</v>
      </c>
      <c r="C1817" s="107">
        <v>593.1</v>
      </c>
      <c r="D1817" s="107">
        <v>590</v>
      </c>
      <c r="E1817" s="107">
        <v>640</v>
      </c>
      <c r="F1817" s="107">
        <v>593.1</v>
      </c>
      <c r="G1817">
        <v>45249</v>
      </c>
      <c r="H1817" s="107"/>
      <c r="I1817" s="107"/>
      <c r="L1817" s="149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9">
        <v>44683</v>
      </c>
      <c r="B1818" s="107">
        <v>649.35</v>
      </c>
      <c r="C1818" s="107">
        <v>642.5</v>
      </c>
      <c r="D1818" s="107">
        <v>606</v>
      </c>
      <c r="E1818" s="107">
        <v>606</v>
      </c>
      <c r="F1818" s="107">
        <v>642.5</v>
      </c>
      <c r="G1818">
        <v>154550</v>
      </c>
      <c r="H1818" s="107"/>
      <c r="I1818" s="107"/>
      <c r="L1818" s="149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9">
        <v>44685</v>
      </c>
      <c r="B1819" s="107">
        <v>644.85</v>
      </c>
      <c r="C1819" s="107">
        <v>605.6</v>
      </c>
      <c r="D1819" s="107">
        <v>595.54999999999995</v>
      </c>
      <c r="E1819" s="107">
        <v>640</v>
      </c>
      <c r="F1819" s="107">
        <v>605.6</v>
      </c>
      <c r="G1819">
        <v>44496</v>
      </c>
      <c r="H1819" s="107"/>
      <c r="I1819" s="107"/>
      <c r="L1819" s="149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9">
        <v>44686</v>
      </c>
      <c r="B1820" s="107">
        <v>620.85</v>
      </c>
      <c r="C1820" s="107">
        <v>573.29999999999995</v>
      </c>
      <c r="D1820" s="107">
        <v>571.20000000000005</v>
      </c>
      <c r="E1820" s="107">
        <v>614.85</v>
      </c>
      <c r="F1820" s="107">
        <v>573.29999999999995</v>
      </c>
      <c r="G1820">
        <v>90644</v>
      </c>
      <c r="H1820" s="107"/>
      <c r="I1820" s="107"/>
      <c r="L1820" s="149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9">
        <v>44687</v>
      </c>
      <c r="B1821" s="107">
        <v>574.25</v>
      </c>
      <c r="C1821" s="107">
        <v>545.5</v>
      </c>
      <c r="D1821" s="107">
        <v>520.04999999999995</v>
      </c>
      <c r="E1821" s="107">
        <v>564</v>
      </c>
      <c r="F1821" s="107">
        <v>545.5</v>
      </c>
      <c r="G1821">
        <v>112977</v>
      </c>
      <c r="H1821" s="107"/>
      <c r="I1821" s="107"/>
      <c r="L1821" s="149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9">
        <v>44690</v>
      </c>
      <c r="B1822" s="107">
        <v>561.45000000000005</v>
      </c>
      <c r="C1822" s="107">
        <v>520.04999999999995</v>
      </c>
      <c r="D1822" s="107">
        <v>466.55</v>
      </c>
      <c r="E1822" s="107">
        <v>545</v>
      </c>
      <c r="F1822" s="107">
        <v>520.04999999999995</v>
      </c>
      <c r="G1822">
        <v>220227</v>
      </c>
      <c r="H1822" s="107"/>
      <c r="I1822" s="107"/>
      <c r="L1822" s="149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9">
        <v>44691</v>
      </c>
      <c r="B1823" s="107">
        <v>522.95000000000005</v>
      </c>
      <c r="C1823" s="107">
        <v>503.65</v>
      </c>
      <c r="D1823" s="107">
        <v>495.5</v>
      </c>
      <c r="E1823" s="107">
        <v>512</v>
      </c>
      <c r="F1823" s="107">
        <v>503.65</v>
      </c>
      <c r="G1823">
        <v>68493</v>
      </c>
      <c r="H1823" s="107"/>
      <c r="I1823" s="107"/>
      <c r="L1823" s="149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9">
        <v>44692</v>
      </c>
      <c r="B1824" s="107">
        <v>506.4</v>
      </c>
      <c r="C1824" s="107">
        <v>481.6</v>
      </c>
      <c r="D1824" s="107">
        <v>453.3</v>
      </c>
      <c r="E1824" s="107">
        <v>503.65</v>
      </c>
      <c r="F1824" s="107">
        <v>481.6</v>
      </c>
      <c r="G1824">
        <v>81222</v>
      </c>
      <c r="H1824" s="107"/>
      <c r="I1824" s="107"/>
      <c r="L1824" s="149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9">
        <v>44693</v>
      </c>
      <c r="B1825" s="107">
        <v>479.95</v>
      </c>
      <c r="C1825" s="107">
        <v>471</v>
      </c>
      <c r="D1825" s="107">
        <v>461.05</v>
      </c>
      <c r="E1825" s="107">
        <v>475.05</v>
      </c>
      <c r="F1825" s="107">
        <v>471</v>
      </c>
      <c r="G1825">
        <v>33861</v>
      </c>
      <c r="H1825" s="107"/>
      <c r="I1825" s="107"/>
      <c r="L1825" s="149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9">
        <v>44694</v>
      </c>
      <c r="B1826" s="107">
        <v>509.45</v>
      </c>
      <c r="C1826" s="107">
        <v>495.3</v>
      </c>
      <c r="D1826" s="107">
        <v>466</v>
      </c>
      <c r="E1826" s="107">
        <v>476</v>
      </c>
      <c r="F1826" s="107">
        <v>495.3</v>
      </c>
      <c r="G1826">
        <v>61874</v>
      </c>
      <c r="H1826" s="107"/>
      <c r="I1826" s="107"/>
      <c r="L1826" s="149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9">
        <v>44697</v>
      </c>
      <c r="B1827" s="107">
        <v>501.75</v>
      </c>
      <c r="C1827" s="107">
        <v>485.4</v>
      </c>
      <c r="D1827" s="107">
        <v>477.7</v>
      </c>
      <c r="E1827" s="107">
        <v>495.7</v>
      </c>
      <c r="F1827" s="107">
        <v>485.4</v>
      </c>
      <c r="G1827">
        <v>46010</v>
      </c>
      <c r="H1827" s="107"/>
      <c r="I1827" s="107"/>
      <c r="L1827" s="149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9">
        <v>44698</v>
      </c>
      <c r="B1828" s="107">
        <v>495</v>
      </c>
      <c r="C1828" s="107">
        <v>489.35</v>
      </c>
      <c r="D1828" s="107">
        <v>477.7</v>
      </c>
      <c r="E1828" s="107">
        <v>487.5</v>
      </c>
      <c r="F1828" s="107">
        <v>489.35</v>
      </c>
      <c r="G1828">
        <v>25153</v>
      </c>
      <c r="H1828" s="107"/>
      <c r="I1828" s="107"/>
      <c r="L1828" s="149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9">
        <v>44699</v>
      </c>
      <c r="B1829" s="107">
        <v>511.9</v>
      </c>
      <c r="C1829" s="107">
        <v>477.7</v>
      </c>
      <c r="D1829" s="107">
        <v>469.4</v>
      </c>
      <c r="E1829" s="107">
        <v>495.15</v>
      </c>
      <c r="F1829" s="107">
        <v>477.7</v>
      </c>
      <c r="G1829">
        <v>52946</v>
      </c>
      <c r="H1829" s="107"/>
      <c r="I1829" s="107"/>
      <c r="L1829" s="149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9">
        <v>44700</v>
      </c>
      <c r="B1830" s="107">
        <v>473.65</v>
      </c>
      <c r="C1830" s="107">
        <v>452.95</v>
      </c>
      <c r="D1830" s="107">
        <v>449</v>
      </c>
      <c r="E1830" s="107">
        <v>470</v>
      </c>
      <c r="F1830" s="107">
        <v>452.95</v>
      </c>
      <c r="G1830">
        <v>30051</v>
      </c>
      <c r="H1830" s="107"/>
      <c r="I1830" s="107"/>
      <c r="L1830" s="149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9">
        <v>44701</v>
      </c>
      <c r="B1831" s="107">
        <v>474</v>
      </c>
      <c r="C1831" s="107">
        <v>470.85</v>
      </c>
      <c r="D1831" s="107">
        <v>457</v>
      </c>
      <c r="E1831" s="107">
        <v>457</v>
      </c>
      <c r="F1831" s="107">
        <v>470.85</v>
      </c>
      <c r="G1831">
        <v>62200</v>
      </c>
      <c r="H1831" s="107"/>
      <c r="I1831" s="107"/>
      <c r="L1831" s="149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9">
        <v>44704</v>
      </c>
      <c r="B1832" s="107">
        <v>487.45</v>
      </c>
      <c r="C1832" s="107">
        <v>473.55</v>
      </c>
      <c r="D1832" s="107">
        <v>467.15</v>
      </c>
      <c r="E1832" s="107">
        <v>474.25</v>
      </c>
      <c r="F1832" s="107">
        <v>473.55</v>
      </c>
      <c r="G1832">
        <v>22089</v>
      </c>
      <c r="H1832" s="107"/>
      <c r="I1832" s="107"/>
      <c r="L1832" s="149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9">
        <v>44705</v>
      </c>
      <c r="B1833" s="107">
        <v>483.95</v>
      </c>
      <c r="C1833" s="107">
        <v>464.45</v>
      </c>
      <c r="D1833" s="107">
        <v>463.05</v>
      </c>
      <c r="E1833" s="107">
        <v>483.95</v>
      </c>
      <c r="F1833" s="107">
        <v>464.45</v>
      </c>
      <c r="G1833">
        <v>17367</v>
      </c>
      <c r="H1833" s="107"/>
      <c r="I1833" s="107"/>
      <c r="L1833" s="149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9">
        <v>44706</v>
      </c>
      <c r="B1834" s="107">
        <v>472.5</v>
      </c>
      <c r="C1834" s="107">
        <v>451.35</v>
      </c>
      <c r="D1834" s="107">
        <v>449.55</v>
      </c>
      <c r="E1834" s="107">
        <v>461.65</v>
      </c>
      <c r="F1834" s="107">
        <v>451.35</v>
      </c>
      <c r="G1834">
        <v>33111</v>
      </c>
      <c r="H1834" s="107"/>
      <c r="I1834" s="107"/>
      <c r="L1834" s="149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9">
        <v>44707</v>
      </c>
      <c r="B1835" s="107">
        <v>460</v>
      </c>
      <c r="C1835" s="107">
        <v>457.35</v>
      </c>
      <c r="D1835" s="107">
        <v>441.15</v>
      </c>
      <c r="E1835" s="107">
        <v>455.55</v>
      </c>
      <c r="F1835" s="107">
        <v>457.35</v>
      </c>
      <c r="G1835">
        <v>20250</v>
      </c>
      <c r="H1835" s="107"/>
      <c r="I1835" s="107"/>
      <c r="L1835" s="149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9">
        <v>44708</v>
      </c>
      <c r="B1836" s="107">
        <v>469.9</v>
      </c>
      <c r="C1836" s="107">
        <v>468</v>
      </c>
      <c r="D1836" s="107">
        <v>459</v>
      </c>
      <c r="E1836" s="107">
        <v>468</v>
      </c>
      <c r="F1836" s="107">
        <v>468</v>
      </c>
      <c r="G1836">
        <v>12644</v>
      </c>
      <c r="H1836" s="107"/>
      <c r="I1836" s="107"/>
      <c r="L1836" s="149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9">
        <v>44711</v>
      </c>
      <c r="B1837" s="107">
        <v>483.05</v>
      </c>
      <c r="C1837" s="107">
        <v>479.3</v>
      </c>
      <c r="D1837" s="107">
        <v>467.15</v>
      </c>
      <c r="E1837" s="107">
        <v>467.15</v>
      </c>
      <c r="F1837" s="107">
        <v>479.3</v>
      </c>
      <c r="G1837">
        <v>18693</v>
      </c>
      <c r="H1837" s="107"/>
      <c r="I1837" s="107"/>
      <c r="L1837" s="149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9">
        <v>44712</v>
      </c>
      <c r="B1838" s="107">
        <v>488.6</v>
      </c>
      <c r="C1838" s="107">
        <v>483.8</v>
      </c>
      <c r="D1838" s="107">
        <v>468</v>
      </c>
      <c r="E1838" s="107">
        <v>469.35</v>
      </c>
      <c r="F1838" s="107">
        <v>483.8</v>
      </c>
      <c r="G1838">
        <v>18768</v>
      </c>
      <c r="H1838" s="107"/>
      <c r="I1838" s="107"/>
      <c r="L1838" s="149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9">
        <v>44713</v>
      </c>
      <c r="B1839" s="107">
        <v>498</v>
      </c>
      <c r="C1839" s="107">
        <v>479.25</v>
      </c>
      <c r="D1839" s="107">
        <v>475.5</v>
      </c>
      <c r="E1839" s="107">
        <v>483</v>
      </c>
      <c r="F1839" s="107">
        <v>479.25</v>
      </c>
      <c r="G1839">
        <v>28584</v>
      </c>
      <c r="H1839" s="107"/>
      <c r="I1839" s="107"/>
      <c r="L1839" s="149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9">
        <v>44714</v>
      </c>
      <c r="B1840" s="107">
        <v>484.3</v>
      </c>
      <c r="C1840" s="107">
        <v>482.4</v>
      </c>
      <c r="D1840" s="107">
        <v>471.8</v>
      </c>
      <c r="E1840" s="107">
        <v>477.65</v>
      </c>
      <c r="F1840" s="107">
        <v>482.4</v>
      </c>
      <c r="G1840">
        <v>18909</v>
      </c>
      <c r="H1840" s="107"/>
      <c r="I1840" s="107"/>
      <c r="L1840" s="149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9">
        <v>44715</v>
      </c>
      <c r="B1841" s="107">
        <v>489.65</v>
      </c>
      <c r="C1841" s="107">
        <v>468.8</v>
      </c>
      <c r="D1841" s="107">
        <v>466.2</v>
      </c>
      <c r="E1841" s="107">
        <v>489.65</v>
      </c>
      <c r="F1841" s="107">
        <v>468.8</v>
      </c>
      <c r="G1841">
        <v>23328</v>
      </c>
      <c r="H1841" s="107"/>
      <c r="I1841" s="107"/>
      <c r="L1841" s="149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9">
        <v>44718</v>
      </c>
      <c r="B1842" s="107">
        <v>474.65</v>
      </c>
      <c r="C1842" s="107">
        <v>472.5</v>
      </c>
      <c r="D1842" s="107">
        <v>456</v>
      </c>
      <c r="E1842" s="107">
        <v>466.05</v>
      </c>
      <c r="F1842" s="107">
        <v>472.5</v>
      </c>
      <c r="G1842">
        <v>19570</v>
      </c>
      <c r="H1842" s="107"/>
      <c r="I1842" s="107"/>
      <c r="L1842" s="149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9">
        <v>44719</v>
      </c>
      <c r="B1843" s="107">
        <v>471.05</v>
      </c>
      <c r="C1843" s="107">
        <v>464.75</v>
      </c>
      <c r="D1843" s="107">
        <v>460.45</v>
      </c>
      <c r="E1843" s="107">
        <v>471.05</v>
      </c>
      <c r="F1843" s="107">
        <v>464.75</v>
      </c>
      <c r="G1843">
        <v>12703</v>
      </c>
      <c r="H1843" s="107"/>
      <c r="I1843" s="107"/>
      <c r="L1843" s="149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9">
        <v>44720</v>
      </c>
      <c r="B1844" s="107">
        <v>474.6</v>
      </c>
      <c r="C1844" s="107">
        <v>457</v>
      </c>
      <c r="D1844" s="107">
        <v>455.05</v>
      </c>
      <c r="E1844" s="107">
        <v>466.35</v>
      </c>
      <c r="F1844" s="107">
        <v>457</v>
      </c>
      <c r="G1844">
        <v>12942</v>
      </c>
      <c r="H1844" s="107"/>
      <c r="I1844" s="107"/>
      <c r="L1844" s="149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9">
        <v>44721</v>
      </c>
      <c r="B1845" s="107">
        <v>464.25</v>
      </c>
      <c r="C1845" s="107">
        <v>456.75</v>
      </c>
      <c r="D1845" s="107">
        <v>452.45</v>
      </c>
      <c r="E1845" s="107">
        <v>460</v>
      </c>
      <c r="F1845" s="107">
        <v>456.75</v>
      </c>
      <c r="G1845">
        <v>25086</v>
      </c>
      <c r="H1845" s="107"/>
      <c r="I1845" s="107"/>
      <c r="L1845" s="149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9">
        <v>44722</v>
      </c>
      <c r="B1846" s="107">
        <v>458.9</v>
      </c>
      <c r="C1846" s="107">
        <v>454.35</v>
      </c>
      <c r="D1846" s="107">
        <v>451.25</v>
      </c>
      <c r="E1846" s="107">
        <v>458.9</v>
      </c>
      <c r="F1846" s="107">
        <v>454.35</v>
      </c>
      <c r="G1846">
        <v>9214</v>
      </c>
      <c r="H1846" s="107"/>
      <c r="I1846" s="107"/>
      <c r="L1846" s="149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9">
        <v>44725</v>
      </c>
      <c r="B1847" s="107">
        <v>449</v>
      </c>
      <c r="C1847" s="107">
        <v>439.05</v>
      </c>
      <c r="D1847" s="107">
        <v>426.05</v>
      </c>
      <c r="E1847" s="107">
        <v>442</v>
      </c>
      <c r="F1847" s="107">
        <v>439.05</v>
      </c>
      <c r="G1847">
        <v>27062</v>
      </c>
      <c r="H1847" s="107"/>
      <c r="I1847" s="107"/>
      <c r="L1847" s="149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9">
        <v>44726</v>
      </c>
      <c r="B1848" s="107">
        <v>448.75</v>
      </c>
      <c r="C1848" s="107">
        <v>443.05</v>
      </c>
      <c r="D1848" s="107">
        <v>435</v>
      </c>
      <c r="E1848" s="107">
        <v>435</v>
      </c>
      <c r="F1848" s="107">
        <v>443.05</v>
      </c>
      <c r="G1848">
        <v>9788</v>
      </c>
      <c r="H1848" s="107"/>
      <c r="I1848" s="107"/>
      <c r="L1848" s="149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9">
        <v>44727</v>
      </c>
      <c r="B1849" s="107">
        <v>450</v>
      </c>
      <c r="C1849" s="107">
        <v>446.45</v>
      </c>
      <c r="D1849" s="107">
        <v>442.1</v>
      </c>
      <c r="E1849" s="107">
        <v>445.85</v>
      </c>
      <c r="F1849" s="107">
        <v>446.45</v>
      </c>
      <c r="G1849">
        <v>8735</v>
      </c>
      <c r="H1849" s="107"/>
      <c r="I1849" s="107"/>
      <c r="L1849" s="149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9">
        <v>44728</v>
      </c>
      <c r="B1850" s="107">
        <v>456.15</v>
      </c>
      <c r="C1850" s="107">
        <v>424.35</v>
      </c>
      <c r="D1850" s="107">
        <v>421.75</v>
      </c>
      <c r="E1850" s="107">
        <v>453</v>
      </c>
      <c r="F1850" s="107">
        <v>424.35</v>
      </c>
      <c r="G1850">
        <v>17559</v>
      </c>
      <c r="H1850" s="107"/>
      <c r="I1850" s="107"/>
      <c r="L1850" s="149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9">
        <v>44729</v>
      </c>
      <c r="B1851" s="107">
        <v>430.5</v>
      </c>
      <c r="C1851" s="107">
        <v>418.4</v>
      </c>
      <c r="D1851" s="107">
        <v>415</v>
      </c>
      <c r="E1851" s="107">
        <v>424.95</v>
      </c>
      <c r="F1851" s="107">
        <v>418.4</v>
      </c>
      <c r="G1851">
        <v>22031</v>
      </c>
      <c r="H1851" s="107"/>
      <c r="I1851" s="107"/>
      <c r="L1851" s="149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9">
        <v>44732</v>
      </c>
      <c r="B1852" s="107">
        <v>428.7</v>
      </c>
      <c r="C1852" s="107">
        <v>414.95</v>
      </c>
      <c r="D1852" s="107">
        <v>408</v>
      </c>
      <c r="E1852" s="107">
        <v>423.5</v>
      </c>
      <c r="F1852" s="107">
        <v>414.95</v>
      </c>
      <c r="G1852">
        <v>22081</v>
      </c>
      <c r="H1852" s="107"/>
      <c r="I1852" s="107"/>
      <c r="L1852" s="149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9">
        <v>44733</v>
      </c>
      <c r="B1853" s="107">
        <v>425.95</v>
      </c>
      <c r="C1853" s="107">
        <v>420.6</v>
      </c>
      <c r="D1853" s="107">
        <v>418.4</v>
      </c>
      <c r="E1853" s="107">
        <v>421</v>
      </c>
      <c r="F1853" s="107">
        <v>420.6</v>
      </c>
      <c r="G1853">
        <v>11410</v>
      </c>
      <c r="H1853" s="107"/>
      <c r="I1853" s="107"/>
      <c r="L1853" s="149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9">
        <v>44734</v>
      </c>
      <c r="B1854" s="107">
        <v>423.6</v>
      </c>
      <c r="C1854" s="107">
        <v>422.45</v>
      </c>
      <c r="D1854" s="107">
        <v>408.1</v>
      </c>
      <c r="E1854" s="107">
        <v>421.2</v>
      </c>
      <c r="F1854" s="107">
        <v>422.45</v>
      </c>
      <c r="G1854">
        <v>19394</v>
      </c>
      <c r="H1854" s="107"/>
      <c r="I1854" s="107"/>
      <c r="L1854" s="149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9">
        <v>44735</v>
      </c>
      <c r="B1855" s="107">
        <v>428.75</v>
      </c>
      <c r="C1855" s="107">
        <v>426.05</v>
      </c>
      <c r="D1855" s="107">
        <v>414</v>
      </c>
      <c r="E1855" s="107">
        <v>420.3</v>
      </c>
      <c r="F1855" s="107">
        <v>426.05</v>
      </c>
      <c r="G1855">
        <v>11586</v>
      </c>
      <c r="H1855" s="107"/>
      <c r="I1855" s="107"/>
      <c r="L1855" s="149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9">
        <v>44736</v>
      </c>
      <c r="B1856" s="107">
        <v>438</v>
      </c>
      <c r="C1856" s="107">
        <v>433.65</v>
      </c>
      <c r="D1856" s="107">
        <v>428</v>
      </c>
      <c r="E1856" s="107">
        <v>428</v>
      </c>
      <c r="F1856" s="107">
        <v>433.65</v>
      </c>
      <c r="G1856">
        <v>13072</v>
      </c>
      <c r="H1856" s="107"/>
      <c r="I1856" s="107"/>
      <c r="L1856" s="149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9">
        <v>44739</v>
      </c>
      <c r="B1857" s="107">
        <v>444.45</v>
      </c>
      <c r="C1857" s="107">
        <v>442.3</v>
      </c>
      <c r="D1857" s="107">
        <v>435.15</v>
      </c>
      <c r="E1857" s="107">
        <v>438.15</v>
      </c>
      <c r="F1857" s="107">
        <v>442.3</v>
      </c>
      <c r="G1857">
        <v>31635</v>
      </c>
      <c r="H1857" s="107"/>
      <c r="I1857" s="107"/>
      <c r="L1857" s="149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9">
        <v>44740</v>
      </c>
      <c r="B1858" s="107">
        <v>444</v>
      </c>
      <c r="C1858" s="107">
        <v>431.9</v>
      </c>
      <c r="D1858" s="107">
        <v>430.25</v>
      </c>
      <c r="E1858" s="107">
        <v>444</v>
      </c>
      <c r="F1858" s="107">
        <v>431.9</v>
      </c>
      <c r="G1858">
        <v>22062</v>
      </c>
      <c r="H1858" s="107"/>
      <c r="I1858" s="107"/>
      <c r="L1858" s="149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9">
        <v>44741</v>
      </c>
      <c r="B1859" s="107">
        <v>435.95</v>
      </c>
      <c r="C1859" s="107">
        <v>432.55</v>
      </c>
      <c r="D1859" s="107">
        <v>421</v>
      </c>
      <c r="E1859" s="107">
        <v>430</v>
      </c>
      <c r="F1859" s="107">
        <v>432.55</v>
      </c>
      <c r="G1859">
        <v>14326</v>
      </c>
      <c r="H1859" s="107"/>
      <c r="I1859" s="107"/>
      <c r="L1859" s="149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9">
        <v>44742</v>
      </c>
      <c r="B1860" s="107">
        <v>440.55</v>
      </c>
      <c r="C1860" s="107">
        <v>426.6</v>
      </c>
      <c r="D1860" s="107">
        <v>423.2</v>
      </c>
      <c r="E1860" s="107">
        <v>431.35</v>
      </c>
      <c r="F1860" s="107">
        <v>426.6</v>
      </c>
      <c r="G1860">
        <v>16737</v>
      </c>
      <c r="H1860" s="107"/>
      <c r="I1860" s="107"/>
      <c r="L1860" s="149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9">
        <v>44743</v>
      </c>
      <c r="B1861" s="107">
        <v>443</v>
      </c>
      <c r="C1861" s="107">
        <v>439.45</v>
      </c>
      <c r="D1861" s="107">
        <v>425</v>
      </c>
      <c r="E1861" s="107">
        <v>429.65</v>
      </c>
      <c r="F1861" s="107">
        <v>439.45</v>
      </c>
      <c r="G1861">
        <v>27377</v>
      </c>
      <c r="H1861" s="107"/>
      <c r="I1861" s="107"/>
      <c r="L1861" s="149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9">
        <v>44746</v>
      </c>
      <c r="B1862" s="107">
        <v>443.7</v>
      </c>
      <c r="C1862" s="107">
        <v>441.95</v>
      </c>
      <c r="D1862" s="107">
        <v>437.6</v>
      </c>
      <c r="E1862" s="107">
        <v>440.25</v>
      </c>
      <c r="F1862" s="107">
        <v>441.95</v>
      </c>
      <c r="G1862">
        <v>15524</v>
      </c>
      <c r="H1862" s="107"/>
      <c r="I1862" s="107"/>
      <c r="L1862" s="149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9">
        <v>44747</v>
      </c>
      <c r="B1863" s="107">
        <v>450.85</v>
      </c>
      <c r="C1863" s="107">
        <v>447.3</v>
      </c>
      <c r="D1863" s="107">
        <v>443.25</v>
      </c>
      <c r="E1863" s="107">
        <v>444.4</v>
      </c>
      <c r="F1863" s="107">
        <v>447.3</v>
      </c>
      <c r="G1863">
        <v>13902</v>
      </c>
      <c r="H1863" s="107"/>
      <c r="I1863" s="107"/>
      <c r="L1863" s="149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9">
        <v>44748</v>
      </c>
      <c r="B1864" s="107">
        <v>451.95</v>
      </c>
      <c r="C1864" s="107">
        <v>450.35</v>
      </c>
      <c r="D1864" s="107">
        <v>445.65</v>
      </c>
      <c r="E1864" s="107">
        <v>448.05</v>
      </c>
      <c r="F1864" s="107">
        <v>450.35</v>
      </c>
      <c r="G1864">
        <v>11373</v>
      </c>
      <c r="H1864" s="107"/>
      <c r="I1864" s="107"/>
      <c r="L1864" s="149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9">
        <v>44749</v>
      </c>
      <c r="B1865" s="107">
        <v>464.65</v>
      </c>
      <c r="C1865" s="107">
        <v>463.3</v>
      </c>
      <c r="D1865" s="107">
        <v>453.1</v>
      </c>
      <c r="E1865" s="107">
        <v>455.5</v>
      </c>
      <c r="F1865" s="107">
        <v>463.3</v>
      </c>
      <c r="G1865">
        <v>25686</v>
      </c>
      <c r="H1865" s="107"/>
      <c r="I1865" s="107"/>
      <c r="L1865" s="149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9">
        <v>44750</v>
      </c>
      <c r="B1866" s="107">
        <v>469.5</v>
      </c>
      <c r="C1866" s="107">
        <v>463.7</v>
      </c>
      <c r="D1866" s="107">
        <v>459.25</v>
      </c>
      <c r="E1866" s="107">
        <v>469.3</v>
      </c>
      <c r="F1866" s="107">
        <v>463.7</v>
      </c>
      <c r="G1866">
        <v>7848</v>
      </c>
      <c r="H1866" s="107"/>
      <c r="I1866" s="107"/>
      <c r="L1866" s="149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9">
        <v>44753</v>
      </c>
      <c r="B1867" s="107">
        <v>472.55</v>
      </c>
      <c r="C1867" s="107">
        <v>470.75</v>
      </c>
      <c r="D1867" s="107">
        <v>460</v>
      </c>
      <c r="E1867" s="107">
        <v>461.35</v>
      </c>
      <c r="F1867" s="107">
        <v>470.75</v>
      </c>
      <c r="G1867">
        <v>12969</v>
      </c>
      <c r="H1867" s="107"/>
      <c r="I1867" s="107"/>
      <c r="L1867" s="149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9">
        <v>44754</v>
      </c>
      <c r="B1868" s="107">
        <v>485.8</v>
      </c>
      <c r="C1868" s="107">
        <v>477.2</v>
      </c>
      <c r="D1868" s="107">
        <v>465.3</v>
      </c>
      <c r="E1868" s="107">
        <v>484</v>
      </c>
      <c r="F1868" s="107">
        <v>477.2</v>
      </c>
      <c r="G1868">
        <v>15721</v>
      </c>
      <c r="H1868" s="107"/>
      <c r="I1868" s="107"/>
      <c r="L1868" s="149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9">
        <v>44755</v>
      </c>
      <c r="B1869" s="107">
        <v>483.2</v>
      </c>
      <c r="C1869" s="107">
        <v>480.1</v>
      </c>
      <c r="D1869" s="107">
        <v>476.15</v>
      </c>
      <c r="E1869" s="107">
        <v>478</v>
      </c>
      <c r="F1869" s="107">
        <v>480.1</v>
      </c>
      <c r="G1869">
        <v>11250</v>
      </c>
      <c r="H1869" s="107"/>
      <c r="I1869" s="107"/>
      <c r="L1869" s="149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9">
        <v>44756</v>
      </c>
      <c r="B1870" s="107">
        <v>484.85</v>
      </c>
      <c r="C1870" s="107">
        <v>471.65</v>
      </c>
      <c r="D1870" s="107">
        <v>468.65</v>
      </c>
      <c r="E1870" s="107">
        <v>478</v>
      </c>
      <c r="F1870" s="107">
        <v>471.65</v>
      </c>
      <c r="G1870">
        <v>8204</v>
      </c>
      <c r="H1870" s="107"/>
      <c r="I1870" s="107"/>
      <c r="L1870" s="149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9">
        <v>44757</v>
      </c>
      <c r="B1871" s="107">
        <v>485.35</v>
      </c>
      <c r="C1871" s="107">
        <v>481.45</v>
      </c>
      <c r="D1871" s="107">
        <v>469.9</v>
      </c>
      <c r="E1871" s="107">
        <v>474.65</v>
      </c>
      <c r="F1871" s="107">
        <v>481.45</v>
      </c>
      <c r="G1871">
        <v>10075</v>
      </c>
      <c r="H1871" s="107"/>
      <c r="I1871" s="107"/>
      <c r="L1871" s="149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9">
        <v>44760</v>
      </c>
      <c r="B1872" s="107">
        <v>506.95</v>
      </c>
      <c r="C1872" s="107">
        <v>505.55</v>
      </c>
      <c r="D1872" s="107">
        <v>484.3</v>
      </c>
      <c r="E1872" s="107">
        <v>485</v>
      </c>
      <c r="F1872" s="107">
        <v>505.55</v>
      </c>
      <c r="G1872">
        <v>25257</v>
      </c>
      <c r="H1872" s="107"/>
      <c r="I1872" s="107"/>
      <c r="L1872" s="149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9">
        <v>44761</v>
      </c>
      <c r="B1873" s="107">
        <v>510.25</v>
      </c>
      <c r="C1873" s="107">
        <v>507.45</v>
      </c>
      <c r="D1873" s="107">
        <v>500.5</v>
      </c>
      <c r="E1873" s="107">
        <v>506.5</v>
      </c>
      <c r="F1873" s="107">
        <v>507.45</v>
      </c>
      <c r="G1873">
        <v>14390</v>
      </c>
      <c r="H1873" s="107"/>
      <c r="I1873" s="107"/>
      <c r="L1873" s="149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9">
        <v>44762</v>
      </c>
      <c r="B1874" s="107">
        <v>526.4</v>
      </c>
      <c r="C1874" s="107">
        <v>520.70000000000005</v>
      </c>
      <c r="D1874" s="107">
        <v>510</v>
      </c>
      <c r="E1874" s="107">
        <v>514.95000000000005</v>
      </c>
      <c r="F1874" s="107">
        <v>520.70000000000005</v>
      </c>
      <c r="G1874">
        <v>29446</v>
      </c>
      <c r="H1874" s="107"/>
      <c r="I1874" s="107"/>
      <c r="L1874" s="149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9">
        <v>44763</v>
      </c>
      <c r="B1875" s="107">
        <v>543.9</v>
      </c>
      <c r="C1875" s="107">
        <v>540.70000000000005</v>
      </c>
      <c r="D1875" s="107">
        <v>517.20000000000005</v>
      </c>
      <c r="E1875" s="107">
        <v>518.65</v>
      </c>
      <c r="F1875" s="107">
        <v>540.70000000000005</v>
      </c>
      <c r="G1875">
        <v>35331</v>
      </c>
      <c r="H1875" s="107"/>
      <c r="I1875" s="107"/>
      <c r="L1875" s="149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9">
        <v>44764</v>
      </c>
      <c r="B1876" s="107">
        <v>589.70000000000005</v>
      </c>
      <c r="C1876" s="107">
        <v>538.15</v>
      </c>
      <c r="D1876" s="107">
        <v>534.15</v>
      </c>
      <c r="E1876" s="107">
        <v>557.79999999999995</v>
      </c>
      <c r="F1876" s="107">
        <v>538.15</v>
      </c>
      <c r="G1876">
        <v>174371</v>
      </c>
      <c r="H1876" s="107"/>
      <c r="I1876" s="107"/>
      <c r="L1876" s="149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9">
        <v>44767</v>
      </c>
      <c r="B1877" s="107">
        <v>552.95000000000005</v>
      </c>
      <c r="C1877" s="107">
        <v>551.04999999999995</v>
      </c>
      <c r="D1877" s="107">
        <v>530.45000000000005</v>
      </c>
      <c r="E1877" s="107">
        <v>532.65</v>
      </c>
      <c r="F1877" s="107">
        <v>551.04999999999995</v>
      </c>
      <c r="G1877">
        <v>58704</v>
      </c>
      <c r="H1877" s="107"/>
      <c r="I1877" s="107"/>
      <c r="L1877" s="149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9">
        <v>44768</v>
      </c>
      <c r="B1878" s="107">
        <v>562.5</v>
      </c>
      <c r="C1878" s="107">
        <v>546.04999999999995</v>
      </c>
      <c r="D1878" s="107">
        <v>543.54999999999995</v>
      </c>
      <c r="E1878" s="107">
        <v>555</v>
      </c>
      <c r="F1878" s="107">
        <v>546.04999999999995</v>
      </c>
      <c r="G1878">
        <v>37567</v>
      </c>
      <c r="H1878" s="107"/>
      <c r="I1878" s="107"/>
      <c r="L1878" s="149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9">
        <v>44769</v>
      </c>
      <c r="B1879" s="107">
        <v>569.70000000000005</v>
      </c>
      <c r="C1879" s="107">
        <v>567.20000000000005</v>
      </c>
      <c r="D1879" s="107">
        <v>545.75</v>
      </c>
      <c r="E1879" s="107">
        <v>550.54999999999995</v>
      </c>
      <c r="F1879" s="107">
        <v>567.20000000000005</v>
      </c>
      <c r="G1879">
        <v>29337</v>
      </c>
      <c r="H1879" s="107"/>
      <c r="I1879" s="107"/>
      <c r="L1879" s="149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9">
        <v>44770</v>
      </c>
      <c r="B1880" s="107">
        <v>585.9</v>
      </c>
      <c r="C1880" s="107">
        <v>583.20000000000005</v>
      </c>
      <c r="D1880" s="107">
        <v>563.4</v>
      </c>
      <c r="E1880" s="107">
        <v>567.20000000000005</v>
      </c>
      <c r="F1880" s="107">
        <v>583.20000000000005</v>
      </c>
      <c r="G1880">
        <v>56908</v>
      </c>
      <c r="H1880" s="107"/>
      <c r="I1880" s="107"/>
      <c r="L1880" s="149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9">
        <v>44771</v>
      </c>
      <c r="B1881" s="107">
        <v>598</v>
      </c>
      <c r="C1881" s="107">
        <v>595.85</v>
      </c>
      <c r="D1881" s="107">
        <v>584.95000000000005</v>
      </c>
      <c r="E1881" s="107">
        <v>588</v>
      </c>
      <c r="F1881" s="107">
        <v>595.85</v>
      </c>
      <c r="G1881">
        <v>42131</v>
      </c>
      <c r="H1881" s="107"/>
      <c r="I1881" s="107"/>
      <c r="L1881" s="149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9">
        <v>44774</v>
      </c>
      <c r="B1882" s="107">
        <v>611.70000000000005</v>
      </c>
      <c r="C1882" s="107">
        <v>607.85</v>
      </c>
      <c r="D1882" s="107">
        <v>591.6</v>
      </c>
      <c r="E1882" s="107">
        <v>595.35</v>
      </c>
      <c r="F1882" s="107">
        <v>607.85</v>
      </c>
      <c r="G1882">
        <v>18573</v>
      </c>
      <c r="H1882" s="107"/>
      <c r="I1882" s="107"/>
      <c r="L1882" s="149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9">
        <v>44775</v>
      </c>
      <c r="B1883" s="107">
        <v>619.5</v>
      </c>
      <c r="C1883" s="107">
        <v>610.45000000000005</v>
      </c>
      <c r="D1883" s="107">
        <v>603.4</v>
      </c>
      <c r="E1883" s="107">
        <v>607</v>
      </c>
      <c r="F1883" s="107">
        <v>610.45000000000005</v>
      </c>
      <c r="G1883">
        <v>34837</v>
      </c>
      <c r="H1883" s="107"/>
      <c r="I1883" s="107"/>
      <c r="L1883" s="149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9">
        <v>44776</v>
      </c>
      <c r="B1884" s="107">
        <v>614.1</v>
      </c>
      <c r="C1884" s="107">
        <v>600.65</v>
      </c>
      <c r="D1884" s="107">
        <v>591.9</v>
      </c>
      <c r="E1884" s="107">
        <v>611</v>
      </c>
      <c r="F1884" s="107">
        <v>600.65</v>
      </c>
      <c r="G1884">
        <v>19552</v>
      </c>
      <c r="H1884" s="107"/>
      <c r="I1884" s="107"/>
      <c r="L1884" s="149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9">
        <v>44777</v>
      </c>
      <c r="B1885" s="107">
        <v>606.6</v>
      </c>
      <c r="C1885" s="107">
        <v>580.5</v>
      </c>
      <c r="D1885" s="107">
        <v>575.79999999999995</v>
      </c>
      <c r="E1885" s="107">
        <v>600.70000000000005</v>
      </c>
      <c r="F1885" s="107">
        <v>580.5</v>
      </c>
      <c r="G1885">
        <v>15946</v>
      </c>
      <c r="H1885" s="107"/>
      <c r="I1885" s="107"/>
      <c r="L1885" s="149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9">
        <v>44778</v>
      </c>
      <c r="B1886" s="107">
        <v>597.20000000000005</v>
      </c>
      <c r="C1886" s="107">
        <v>588.4</v>
      </c>
      <c r="D1886" s="107">
        <v>570</v>
      </c>
      <c r="E1886" s="107">
        <v>570</v>
      </c>
      <c r="F1886" s="107">
        <v>588.4</v>
      </c>
      <c r="G1886">
        <v>19040</v>
      </c>
      <c r="H1886" s="107"/>
      <c r="I1886" s="107"/>
      <c r="L1886" s="149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9">
        <v>44781</v>
      </c>
      <c r="B1887" s="107">
        <v>600.75</v>
      </c>
      <c r="C1887" s="107">
        <v>594.95000000000005</v>
      </c>
      <c r="D1887" s="107">
        <v>591.45000000000005</v>
      </c>
      <c r="E1887" s="107">
        <v>591.65</v>
      </c>
      <c r="F1887" s="107">
        <v>594.95000000000005</v>
      </c>
      <c r="G1887">
        <v>13547</v>
      </c>
      <c r="H1887" s="107"/>
      <c r="I1887" s="107"/>
      <c r="L1887" s="149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9">
        <v>44783</v>
      </c>
      <c r="B1888" s="107">
        <v>603.35</v>
      </c>
      <c r="C1888" s="107">
        <v>584.65</v>
      </c>
      <c r="D1888" s="107">
        <v>582.5</v>
      </c>
      <c r="E1888" s="107">
        <v>598.4</v>
      </c>
      <c r="F1888" s="107">
        <v>584.65</v>
      </c>
      <c r="G1888">
        <v>15300</v>
      </c>
      <c r="H1888" s="107"/>
      <c r="I1888" s="107"/>
      <c r="L1888" s="149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9">
        <v>44784</v>
      </c>
      <c r="B1889" s="107">
        <v>600.20000000000005</v>
      </c>
      <c r="C1889" s="107">
        <v>593.29999999999995</v>
      </c>
      <c r="D1889" s="107">
        <v>587.29999999999995</v>
      </c>
      <c r="E1889" s="107">
        <v>590</v>
      </c>
      <c r="F1889" s="107">
        <v>593.29999999999995</v>
      </c>
      <c r="G1889">
        <v>9586</v>
      </c>
      <c r="H1889" s="107"/>
      <c r="I1889" s="107"/>
      <c r="L1889" s="149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9">
        <v>44785</v>
      </c>
      <c r="B1890" s="107">
        <v>605.9</v>
      </c>
      <c r="C1890" s="107">
        <v>600.45000000000005</v>
      </c>
      <c r="D1890" s="107">
        <v>589</v>
      </c>
      <c r="E1890" s="107">
        <v>593.79999999999995</v>
      </c>
      <c r="F1890" s="107">
        <v>600.45000000000005</v>
      </c>
      <c r="G1890">
        <v>12151</v>
      </c>
      <c r="H1890" s="107"/>
      <c r="I1890" s="107"/>
      <c r="L1890" s="149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9">
        <v>44789</v>
      </c>
      <c r="B1891" s="107">
        <v>621.54999999999995</v>
      </c>
      <c r="C1891" s="107">
        <v>616.25</v>
      </c>
      <c r="D1891" s="107">
        <v>600</v>
      </c>
      <c r="E1891" s="107">
        <v>600</v>
      </c>
      <c r="F1891" s="107">
        <v>616.25</v>
      </c>
      <c r="G1891">
        <v>47412</v>
      </c>
      <c r="H1891" s="107"/>
      <c r="I1891" s="107"/>
      <c r="L1891" s="149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9">
        <v>44790</v>
      </c>
      <c r="B1892" s="107">
        <v>626.79999999999995</v>
      </c>
      <c r="C1892" s="107">
        <v>623</v>
      </c>
      <c r="D1892" s="107">
        <v>610.54999999999995</v>
      </c>
      <c r="E1892" s="107">
        <v>622</v>
      </c>
      <c r="F1892" s="107">
        <v>623</v>
      </c>
      <c r="G1892">
        <v>37708</v>
      </c>
      <c r="H1892" s="107"/>
      <c r="I1892" s="107"/>
      <c r="L1892" s="149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9">
        <v>44791</v>
      </c>
      <c r="B1893" s="107">
        <v>629</v>
      </c>
      <c r="C1893" s="107">
        <v>624.4</v>
      </c>
      <c r="D1893" s="107">
        <v>620.1</v>
      </c>
      <c r="E1893" s="107">
        <v>625</v>
      </c>
      <c r="F1893" s="107">
        <v>624.4</v>
      </c>
      <c r="G1893">
        <v>15334</v>
      </c>
      <c r="H1893" s="107"/>
      <c r="I1893" s="107"/>
      <c r="L1893" s="149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9">
        <v>44792</v>
      </c>
      <c r="B1894" s="107">
        <v>629.45000000000005</v>
      </c>
      <c r="C1894" s="107">
        <v>608.79999999999995</v>
      </c>
      <c r="D1894" s="107">
        <v>603.20000000000005</v>
      </c>
      <c r="E1894" s="107">
        <v>627.15</v>
      </c>
      <c r="F1894" s="107">
        <v>608.79999999999995</v>
      </c>
      <c r="G1894">
        <v>22936</v>
      </c>
      <c r="H1894" s="107"/>
      <c r="I1894" s="107"/>
      <c r="L1894" s="149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9">
        <v>44795</v>
      </c>
      <c r="B1895" s="107">
        <v>602.5</v>
      </c>
      <c r="C1895" s="107">
        <v>590.70000000000005</v>
      </c>
      <c r="D1895" s="107">
        <v>571.6</v>
      </c>
      <c r="E1895" s="107">
        <v>602.35</v>
      </c>
      <c r="F1895" s="107">
        <v>590.70000000000005</v>
      </c>
      <c r="G1895">
        <v>30919</v>
      </c>
      <c r="H1895" s="107"/>
      <c r="I1895" s="107"/>
      <c r="L1895" s="149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9">
        <v>44796</v>
      </c>
      <c r="B1896" s="107">
        <v>599.1</v>
      </c>
      <c r="C1896" s="107">
        <v>596.79999999999995</v>
      </c>
      <c r="D1896" s="107">
        <v>580.9</v>
      </c>
      <c r="E1896" s="107">
        <v>584.35</v>
      </c>
      <c r="F1896" s="107">
        <v>596.79999999999995</v>
      </c>
      <c r="G1896">
        <v>18180</v>
      </c>
      <c r="H1896" s="107"/>
      <c r="I1896" s="107"/>
      <c r="L1896" s="149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9">
        <v>44797</v>
      </c>
      <c r="B1897" s="107">
        <v>642.35</v>
      </c>
      <c r="C1897" s="107">
        <v>636.54999999999995</v>
      </c>
      <c r="D1897" s="107">
        <v>591.6</v>
      </c>
      <c r="E1897" s="107">
        <v>591.6</v>
      </c>
      <c r="F1897" s="107">
        <v>636.54999999999995</v>
      </c>
      <c r="G1897">
        <v>62061</v>
      </c>
      <c r="H1897" s="107"/>
      <c r="I1897" s="107"/>
      <c r="L1897" s="149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9">
        <v>44798</v>
      </c>
      <c r="B1898" s="107">
        <v>641.54999999999995</v>
      </c>
      <c r="C1898" s="107">
        <v>629.85</v>
      </c>
      <c r="D1898" s="107">
        <v>625.79999999999995</v>
      </c>
      <c r="E1898" s="107">
        <v>637</v>
      </c>
      <c r="F1898" s="107">
        <v>629.85</v>
      </c>
      <c r="G1898">
        <v>55505</v>
      </c>
      <c r="H1898" s="107"/>
      <c r="I1898" s="107"/>
      <c r="L1898" s="149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9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218756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HDB Financial Services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0</v>
      </c>
      <c r="D5" s="126" cm="1">
        <f t="array" ref="D5">_xll.EQNXTDZ($A$1,$B5,D$1,$B$1)</f>
        <v>0</v>
      </c>
      <c r="E5" s="126" cm="1">
        <f t="array" ref="E5">_xll.EQNXTDZ($A$1,$B5,E$1,$B$1)</f>
        <v>0</v>
      </c>
      <c r="F5" s="126" cm="1">
        <f t="array" ref="F5">_xll.EQNXTDZ($A$1,$B5,F$1,$B$1)</f>
        <v>0</v>
      </c>
      <c r="G5" s="126" cm="1">
        <f t="array" ref="G5">_xll.EQNXTDZ($A$1,$B5,G$1,$B$1)</f>
        <v>0</v>
      </c>
      <c r="H5" s="126" cm="1">
        <f t="array" ref="H5">_xll.EQNXTDZ($A$1,$B5,H$1,$B$1)</f>
        <v>0</v>
      </c>
      <c r="I5" s="126" cm="1">
        <f t="array" ref="I5">_xll.EQNXTDZ($A$1,$B5,I$1,$B$1)</f>
        <v>0</v>
      </c>
      <c r="J5" s="126" cm="1">
        <f t="array" ref="J5">_xll.EQNXTDZ($A$1,$B5,J$1,$B$1)</f>
        <v>12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0</v>
      </c>
      <c r="D6" s="126" cm="1">
        <f t="array" ref="D6">_xll.EQNXTDZ($A$1,$B6,D$1,$B$1)</f>
        <v>0</v>
      </c>
      <c r="E6" s="126" cm="1">
        <f t="array" ref="E6">_xll.EQNXTDZ($A$1,$B6,E$1,$B$1)</f>
        <v>0</v>
      </c>
      <c r="F6" s="126" cm="1">
        <f t="array" ref="F6">_xll.EQNXTDZ($A$1,$B6,F$1,$B$1)</f>
        <v>0</v>
      </c>
      <c r="G6" s="126" cm="1">
        <f t="array" ref="G6">_xll.EQNXTDZ($A$1,$B6,G$1,$B$1)</f>
        <v>0</v>
      </c>
      <c r="H6" s="126" cm="1">
        <f t="array" ref="H6">_xll.EQNXTDZ($A$1,$B6,H$1,$B$1)</f>
        <v>0</v>
      </c>
      <c r="I6" s="126" cm="1">
        <f t="array" ref="I6">_xll.EQNXTDZ($A$1,$B6,I$1,$B$1)</f>
        <v>0</v>
      </c>
      <c r="J6" s="126" cm="1">
        <f t="array" ref="J6">_xll.EQNXTDZ($A$1,$B6,J$1,$B$1)</f>
        <v>39538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0</v>
      </c>
      <c r="D9" s="126" cm="1">
        <f t="array" ref="D9">_xll.EQNXTDZ($A$1,$B9,D$1,$B$1)</f>
        <v>0</v>
      </c>
      <c r="E9" s="126" cm="1">
        <f t="array" ref="E9">_xll.EQNXTDZ($A$1,$B9,E$1,$B$1)</f>
        <v>0</v>
      </c>
      <c r="F9" s="126" cm="1">
        <f t="array" ref="F9">_xll.EQNXTDZ($A$1,$B9,F$1,$B$1)</f>
        <v>0</v>
      </c>
      <c r="G9" s="126" cm="1">
        <f t="array" ref="G9">_xll.EQNXTDZ($A$1,$B9,G$1,$B$1)</f>
        <v>0</v>
      </c>
      <c r="H9" s="126" cm="1">
        <f t="array" ref="H9">_xll.EQNXTDZ($A$1,$B9,H$1,$B$1)</f>
        <v>0</v>
      </c>
      <c r="I9" s="126" cm="1">
        <f t="array" ref="I9">_xll.EQNXTDZ($A$1,$B9,I$1,$B$1)</f>
        <v>0</v>
      </c>
      <c r="J9" s="126" cm="1">
        <f t="array" ref="J9">_xll.EQNXTDZ($A$1,$B9,J$1,$B$1)</f>
        <v>200803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cm="1">
        <f t="array" ref="C10">_xll.EQNXTDZ($A$1,$B10,C$1,$B$1)</f>
        <v>0</v>
      </c>
      <c r="D10" s="126" cm="1">
        <f t="array" ref="D10">_xll.EQNXTDZ($A$1,$B10,D$1,$B$1)</f>
        <v>0</v>
      </c>
      <c r="E10" s="126" cm="1">
        <f t="array" ref="E10">_xll.EQNXTDZ($A$1,$B10,E$1,$B$1)</f>
        <v>0</v>
      </c>
      <c r="F10" s="126" cm="1">
        <f t="array" ref="F10">_xll.EQNXTDZ($A$1,$B10,F$1,$B$1)</f>
        <v>0</v>
      </c>
      <c r="G10" s="126" cm="1">
        <f t="array" ref="G10">_xll.EQNXTDZ($A$1,$B10,G$1,$B$1)</f>
        <v>0</v>
      </c>
      <c r="H10" s="126" cm="1">
        <f t="array" ref="H10">_xll.EQNXTDZ($A$1,$B10,H$1,$B$1)</f>
        <v>0</v>
      </c>
      <c r="I10" s="126" cm="1">
        <f t="array" ref="I10">_xll.EQNXTDZ($A$1,$B10,I$1,$B$1)</f>
        <v>0</v>
      </c>
      <c r="J10" s="126" t="str" cm="1">
        <f t="array" ref="J10">_xll.EQNXTDZ($A$1,$B10,J$1,$B$1)</f>
        <v>2008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0</v>
      </c>
      <c r="D11" s="126" cm="1">
        <f t="array" ref="D11">_xll.EQNXTDZ($A$1,$B11,D$1,$B$1)</f>
        <v>0</v>
      </c>
      <c r="E11" s="126" cm="1">
        <f t="array" ref="E11">_xll.EQNXTDZ($A$1,$B11,E$1,$B$1)</f>
        <v>0</v>
      </c>
      <c r="F11" s="126" cm="1">
        <f t="array" ref="F11">_xll.EQNXTDZ($A$1,$B11,F$1,$B$1)</f>
        <v>0</v>
      </c>
      <c r="G11" s="126" cm="1">
        <f t="array" ref="G11">_xll.EQNXTDZ($A$1,$B11,G$1,$B$1)</f>
        <v>0</v>
      </c>
      <c r="H11" s="126" cm="1">
        <f t="array" ref="H11">_xll.EQNXTDZ($A$1,$B11,H$1,$B$1)</f>
        <v>0</v>
      </c>
      <c r="I11" s="126" cm="1">
        <f t="array" ref="I11">_xll.EQNXTDZ($A$1,$B11,I$1,$B$1)</f>
        <v>0</v>
      </c>
      <c r="J11" s="126" cm="1">
        <f t="array" ref="J11">_xll.EQNXTDZ($A$1,$B11,J$1,$B$1)</f>
        <v>39538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0</v>
      </c>
      <c r="D12" s="126" cm="1">
        <f t="array" ref="D12">_xll.EQNXTDZ($A$1,$B12,D$1,$B$1)</f>
        <v>0</v>
      </c>
      <c r="E12" s="126" cm="1">
        <f t="array" ref="E12">_xll.EQNXTDZ($A$1,$B12,E$1,$B$1)</f>
        <v>0</v>
      </c>
      <c r="F12" s="126" cm="1">
        <f t="array" ref="F12">_xll.EQNXTDZ($A$1,$B12,F$1,$B$1)</f>
        <v>0</v>
      </c>
      <c r="G12" s="126" cm="1">
        <f t="array" ref="G12">_xll.EQNXTDZ($A$1,$B12,G$1,$B$1)</f>
        <v>0</v>
      </c>
      <c r="H12" s="126" cm="1">
        <f t="array" ref="H12">_xll.EQNXTDZ($A$1,$B12,H$1,$B$1)</f>
        <v>0</v>
      </c>
      <c r="I12" s="126" cm="1">
        <f t="array" ref="I12">_xll.EQNXTDZ($A$1,$B12,I$1,$B$1)</f>
        <v>0</v>
      </c>
      <c r="J12" s="126" cm="1">
        <f t="array" ref="J12">_xll.EQNXTDZ($A$1,$B12,J$1,$B$1)</f>
        <v>12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0</v>
      </c>
      <c r="D13" s="126" cm="1">
        <f t="array" ref="D13">_xll.EQNXTDZ($A$1,$B13,D$1,$B$1)</f>
        <v>0</v>
      </c>
      <c r="E13" s="126" cm="1">
        <f t="array" ref="E13">_xll.EQNXTDZ($A$1,$B13,E$1,$B$1)</f>
        <v>0</v>
      </c>
      <c r="F13" s="126" cm="1">
        <f t="array" ref="F13">_xll.EQNXTDZ($A$1,$B13,F$1,$B$1)</f>
        <v>0</v>
      </c>
      <c r="G13" s="126" cm="1">
        <f t="array" ref="G13">_xll.EQNXTDZ($A$1,$B13,G$1,$B$1)</f>
        <v>0</v>
      </c>
      <c r="H13" s="126" cm="1">
        <f t="array" ref="H13">_xll.EQNXTDZ($A$1,$B13,H$1,$B$1)</f>
        <v>0</v>
      </c>
      <c r="I13" s="126" cm="1">
        <f t="array" ref="I13">_xll.EQNXTDZ($A$1,$B13,I$1,$B$1)</f>
        <v>0</v>
      </c>
      <c r="J13" s="126" cm="1">
        <f t="array" ref="J13">_xll.EQNXTDZ($A$1,$B13,J$1,$B$1)</f>
        <v>0.48229759999999999</v>
      </c>
      <c r="K13" s="126" cm="1">
        <f t="array" ref="K13">_xll.EQNXTDZ($A$1,$B13,K$1,$B$1)</f>
        <v>23.3930015</v>
      </c>
      <c r="L13" s="126" cm="1">
        <f t="array" ref="L13">_xll.EQNXTDZ($A$1,$B13,L$1,$B$1)</f>
        <v>97.617619199999993</v>
      </c>
      <c r="M13" s="126" cm="1">
        <f t="array" ref="M13">_xll.EQNXTDZ($A$1,$B13,M$1,$B$1)</f>
        <v>178.45517369999999</v>
      </c>
      <c r="N13" s="126" cm="1">
        <f t="array" ref="N13">_xll.EQNXTDZ($A$1,$B13,N$1,$B$1)</f>
        <v>431.4</v>
      </c>
      <c r="O13" s="126" cm="1">
        <f t="array" ref="O13">_xll.EQNXTDZ($A$1,$B13,O$1,$B$1)</f>
        <v>963.54</v>
      </c>
      <c r="P13" s="126" cm="1">
        <f t="array" ref="P13">_xll.EQNXTDZ($A$1,$B13,P$1,$B$1)</f>
        <v>1686.7</v>
      </c>
      <c r="Q13" s="126" cm="1">
        <f t="array" ref="Q13">_xll.EQNXTDZ($A$1,$B13,Q$1,$B$1)</f>
        <v>2521.63</v>
      </c>
      <c r="R13" s="126" cm="1">
        <f t="array" ref="R13">_xll.EQNXTDZ($A$1,$B13,R$1,$B$1)</f>
        <v>3297.77</v>
      </c>
      <c r="S13" s="126" cm="1">
        <f t="array" ref="S13">_xll.EQNXTDZ($A$1,$B13,S$1,$B$1)</f>
        <v>5711.35</v>
      </c>
      <c r="T13" s="126" cm="1">
        <f t="array" ref="T13">_xll.EQNXTDZ($A$1,$B13,T$1,$B$1)</f>
        <v>7027.12</v>
      </c>
      <c r="U13" s="126" cm="1">
        <f t="array" ref="U13">_xll.EQNXTDZ($A$1,$B13,U$1,$B$1)</f>
        <v>8724.81</v>
      </c>
      <c r="V13" s="126" cm="1">
        <f t="array" ref="V13">_xll.EQNXTDZ($A$1,$B13,V$1,$B$1)</f>
        <v>10756.47</v>
      </c>
      <c r="W13" s="126" cm="1">
        <f t="array" ref="W13">_xll.EQNXTDZ($A$1,$B13,W$1,$B$1)</f>
        <v>10944.78</v>
      </c>
      <c r="X13" s="126" cm="1">
        <f t="array" ref="X13">_xll.EQNXTDZ($A$1,$B13,X$1,$B$1)</f>
        <v>11306.29</v>
      </c>
      <c r="Y13" s="126" cm="1">
        <f t="array" ref="Y13">_xll.EQNXTDZ($A$1,$B13,Y$1,$B$1)</f>
        <v>12402.88</v>
      </c>
      <c r="Z13" s="126" cm="1">
        <f t="array" ref="Z13">_xll.EQNXTDZ($A$1,$B13,Z$1,$B$1)</f>
        <v>14173.07</v>
      </c>
      <c r="AA13" s="126" cm="1">
        <f t="array" ref="AA13">_xll.EQNXTDZ($A$1,$B13,AA$1,$B$1)</f>
        <v>16300.28</v>
      </c>
      <c r="AB13" s="126" cm="1">
        <f t="array" ref="AB13">_xll.EQNXTDZ($A$1,$B13,AB$1,$B$1)</f>
        <v>18429.669999999998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0</v>
      </c>
      <c r="D14" s="126" cm="1">
        <f t="array" ref="D14">_xll.EQNXTDZ($A$1,$B14,D$1,$B$1)</f>
        <v>0</v>
      </c>
      <c r="E14" s="126" cm="1">
        <f t="array" ref="E14">_xll.EQNXTDZ($A$1,$B14,E$1,$B$1)</f>
        <v>0</v>
      </c>
      <c r="F14" s="126" cm="1">
        <f t="array" ref="F14">_xll.EQNXTDZ($A$1,$B14,F$1,$B$1)</f>
        <v>0</v>
      </c>
      <c r="G14" s="126" cm="1">
        <f t="array" ref="G14">_xll.EQNXTDZ($A$1,$B14,G$1,$B$1)</f>
        <v>0</v>
      </c>
      <c r="H14" s="126" cm="1">
        <f t="array" ref="H14">_xll.EQNXTDZ($A$1,$B14,H$1,$B$1)</f>
        <v>0</v>
      </c>
      <c r="I14" s="126" cm="1">
        <f t="array" ref="I14">_xll.EQNXTDZ($A$1,$B14,I$1,$B$1)</f>
        <v>0</v>
      </c>
      <c r="J14" s="126" cm="1">
        <f t="array" ref="J14">_xll.EQNXTDZ($A$1,$B14,J$1,$B$1)</f>
        <v>0.48229759999999999</v>
      </c>
      <c r="K14" s="126" cm="1">
        <f t="array" ref="K14">_xll.EQNXTDZ($A$1,$B14,K$1,$B$1)</f>
        <v>23.3930015</v>
      </c>
      <c r="L14" s="126" cm="1">
        <f t="array" ref="L14">_xll.EQNXTDZ($A$1,$B14,L$1,$B$1)</f>
        <v>97.617619199999993</v>
      </c>
      <c r="M14" s="126" cm="1">
        <f t="array" ref="M14">_xll.EQNXTDZ($A$1,$B14,M$1,$B$1)</f>
        <v>178.45517369999999</v>
      </c>
      <c r="N14" s="126" cm="1">
        <f t="array" ref="N14">_xll.EQNXTDZ($A$1,$B14,N$1,$B$1)</f>
        <v>431.4</v>
      </c>
      <c r="O14" s="126" cm="1">
        <f t="array" ref="O14">_xll.EQNXTDZ($A$1,$B14,O$1,$B$1)</f>
        <v>963.54</v>
      </c>
      <c r="P14" s="126" cm="1">
        <f t="array" ref="P14">_xll.EQNXTDZ($A$1,$B14,P$1,$B$1)</f>
        <v>1686.7</v>
      </c>
      <c r="Q14" s="126" cm="1">
        <f t="array" ref="Q14">_xll.EQNXTDZ($A$1,$B14,Q$1,$B$1)</f>
        <v>2521.63</v>
      </c>
      <c r="R14" s="126" cm="1">
        <f t="array" ref="R14">_xll.EQNXTDZ($A$1,$B14,R$1,$B$1)</f>
        <v>3297.77</v>
      </c>
      <c r="S14" s="126" cm="1">
        <f t="array" ref="S14">_xll.EQNXTDZ($A$1,$B14,S$1,$B$1)</f>
        <v>5711.35</v>
      </c>
      <c r="T14" s="126" cm="1">
        <f t="array" ref="T14">_xll.EQNXTDZ($A$1,$B14,T$1,$B$1)</f>
        <v>7027.12</v>
      </c>
      <c r="U14" s="126" cm="1">
        <f t="array" ref="U14">_xll.EQNXTDZ($A$1,$B14,U$1,$B$1)</f>
        <v>8724.81</v>
      </c>
      <c r="V14" s="126" cm="1">
        <f t="array" ref="V14">_xll.EQNXTDZ($A$1,$B14,V$1,$B$1)</f>
        <v>10756.47</v>
      </c>
      <c r="W14" s="126" cm="1">
        <f t="array" ref="W14">_xll.EQNXTDZ($A$1,$B14,W$1,$B$1)</f>
        <v>10944.78</v>
      </c>
      <c r="X14" s="126" cm="1">
        <f t="array" ref="X14">_xll.EQNXTDZ($A$1,$B14,X$1,$B$1)</f>
        <v>11306.29</v>
      </c>
      <c r="Y14" s="126" cm="1">
        <f t="array" ref="Y14">_xll.EQNXTDZ($A$1,$B14,Y$1,$B$1)</f>
        <v>12402.88</v>
      </c>
      <c r="Z14" s="126" cm="1">
        <f t="array" ref="Z14">_xll.EQNXTDZ($A$1,$B14,Z$1,$B$1)</f>
        <v>14173.07</v>
      </c>
      <c r="AA14" s="126" cm="1">
        <f t="array" ref="AA14">_xll.EQNXTDZ($A$1,$B14,AA$1,$B$1)</f>
        <v>16300.28</v>
      </c>
      <c r="AB14" s="126" cm="1">
        <f t="array" ref="AB14">_xll.EQNXTDZ($A$1,$B14,AB$1,$B$1)</f>
        <v>18429.669999999998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</v>
      </c>
      <c r="P15" s="126" cm="1">
        <f t="array" ref="P15">_xll.EQNXTDZ($A$1,$B15,P$1,$B$1)</f>
        <v>0</v>
      </c>
      <c r="Q15" s="126" cm="1">
        <f t="array" ref="Q15">_xll.EQNXTDZ($A$1,$B15,Q$1,$B$1)</f>
        <v>0</v>
      </c>
      <c r="R15" s="126" cm="1">
        <f t="array" ref="R15">_xll.EQNXTDZ($A$1,$B15,R$1,$B$1)</f>
        <v>0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0</v>
      </c>
      <c r="L16" s="126" cm="1">
        <f t="array" ref="L16">_xll.EQNXTDZ($A$1,$B16,L$1,$B$1)</f>
        <v>0</v>
      </c>
      <c r="M16" s="126" cm="1">
        <f t="array" ref="M16">_xll.EQNXTDZ($A$1,$B16,M$1,$B$1)</f>
        <v>0</v>
      </c>
      <c r="N16" s="126" cm="1">
        <f t="array" ref="N16">_xll.EQNXTDZ($A$1,$B16,N$1,$B$1)</f>
        <v>0</v>
      </c>
      <c r="O16" s="126" cm="1">
        <f t="array" ref="O16">_xll.EQNXTDZ($A$1,$B16,O$1,$B$1)</f>
        <v>0</v>
      </c>
      <c r="P16" s="126" cm="1">
        <f t="array" ref="P16">_xll.EQNXTDZ($A$1,$B16,P$1,$B$1)</f>
        <v>0</v>
      </c>
      <c r="Q16" s="126" cm="1">
        <f t="array" ref="Q16">_xll.EQNXTDZ($A$1,$B16,Q$1,$B$1)</f>
        <v>0</v>
      </c>
      <c r="R16" s="126" cm="1">
        <f t="array" ref="R16">_xll.EQNXTDZ($A$1,$B16,R$1,$B$1)</f>
        <v>0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</v>
      </c>
      <c r="D17" s="126" cm="1">
        <f t="array" ref="D17">_xll.EQNXTDZ($A$1,$B17,D$1,$B$1)</f>
        <v>0</v>
      </c>
      <c r="E17" s="126" cm="1">
        <f t="array" ref="E17">_xll.EQNXTDZ($A$1,$B17,E$1,$B$1)</f>
        <v>0</v>
      </c>
      <c r="F17" s="126" cm="1">
        <f t="array" ref="F17">_xll.EQNXTDZ($A$1,$B17,F$1,$B$1)</f>
        <v>0</v>
      </c>
      <c r="G17" s="126" cm="1">
        <f t="array" ref="G17">_xll.EQNXTDZ($A$1,$B17,G$1,$B$1)</f>
        <v>0</v>
      </c>
      <c r="H17" s="126" cm="1">
        <f t="array" ref="H17">_xll.EQNXTDZ($A$1,$B17,H$1,$B$1)</f>
        <v>0</v>
      </c>
      <c r="I17" s="126" cm="1">
        <f t="array" ref="I17">_xll.EQNXTDZ($A$1,$B17,I$1,$B$1)</f>
        <v>0</v>
      </c>
      <c r="J17" s="126" cm="1">
        <f t="array" ref="J17">_xll.EQNXTDZ($A$1,$B17,J$1,$B$1)</f>
        <v>0</v>
      </c>
      <c r="K17" s="126" cm="1">
        <f t="array" ref="K17">_xll.EQNXTDZ($A$1,$B17,K$1,$B$1)</f>
        <v>0.54368419999999995</v>
      </c>
      <c r="L17" s="126" cm="1">
        <f t="array" ref="L17">_xll.EQNXTDZ($A$1,$B17,L$1,$B$1)</f>
        <v>1.0979808</v>
      </c>
      <c r="M17" s="126" cm="1">
        <f t="array" ref="M17">_xll.EQNXTDZ($A$1,$B17,M$1,$B$1)</f>
        <v>1.5241146999999999</v>
      </c>
      <c r="N17" s="126" cm="1">
        <f t="array" ref="N17">_xll.EQNXTDZ($A$1,$B17,N$1,$B$1)</f>
        <v>2.2400000000000002</v>
      </c>
      <c r="O17" s="126" cm="1">
        <f t="array" ref="O17">_xll.EQNXTDZ($A$1,$B17,O$1,$B$1)</f>
        <v>3.64</v>
      </c>
      <c r="P17" s="126" cm="1">
        <f t="array" ref="P17">_xll.EQNXTDZ($A$1,$B17,P$1,$B$1)</f>
        <v>5.51</v>
      </c>
      <c r="Q17" s="126" cm="1">
        <f t="array" ref="Q17">_xll.EQNXTDZ($A$1,$B17,Q$1,$B$1)</f>
        <v>7.27</v>
      </c>
      <c r="R17" s="126" cm="1">
        <f t="array" ref="R17">_xll.EQNXTDZ($A$1,$B17,R$1,$B$1)</f>
        <v>10.75</v>
      </c>
      <c r="S17" s="126" cm="1">
        <f t="array" ref="S17">_xll.EQNXTDZ($A$1,$B17,S$1,$B$1)</f>
        <v>20.190000000000001</v>
      </c>
      <c r="T17" s="126" cm="1">
        <f t="array" ref="T17">_xll.EQNXTDZ($A$1,$B17,T$1,$B$1)</f>
        <v>23.29</v>
      </c>
      <c r="U17" s="126" cm="1">
        <f t="array" ref="U17">_xll.EQNXTDZ($A$1,$B17,U$1,$B$1)</f>
        <v>21.63</v>
      </c>
      <c r="V17" s="126" cm="1">
        <f t="array" ref="V17">_xll.EQNXTDZ($A$1,$B17,V$1,$B$1)</f>
        <v>27.45</v>
      </c>
      <c r="W17" s="126" cm="1">
        <f t="array" ref="W17">_xll.EQNXTDZ($A$1,$B17,W$1,$B$1)</f>
        <v>20.03</v>
      </c>
      <c r="X17" s="126" cm="1">
        <f t="array" ref="X17">_xll.EQNXTDZ($A$1,$B17,X$1,$B$1)</f>
        <v>24.5</v>
      </c>
      <c r="Y17" s="126" cm="1">
        <f t="array" ref="Y17">_xll.EQNXTDZ($A$1,$B17,Y$1,$B$1)</f>
        <v>32.69</v>
      </c>
      <c r="Z17" s="126" cm="1">
        <f t="array" ref="Z17">_xll.EQNXTDZ($A$1,$B17,Z$1,$B$1)</f>
        <v>34.409999999999997</v>
      </c>
      <c r="AA17" s="126" cm="1">
        <f t="array" ref="AA17">_xll.EQNXTDZ($A$1,$B17,AA$1,$B$1)</f>
        <v>40.9</v>
      </c>
      <c r="AB17" s="126" cm="1">
        <f t="array" ref="AB17">_xll.EQNXTDZ($A$1,$B17,AB$1,$B$1)</f>
        <v>44.06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0</v>
      </c>
      <c r="D18" s="126" cm="1">
        <f t="array" ref="D18">_xll.EQNXTDZ($A$1,$B18,D$1,$B$1)</f>
        <v>0</v>
      </c>
      <c r="E18" s="126" cm="1">
        <f t="array" ref="E18">_xll.EQNXTDZ($A$1,$B18,E$1,$B$1)</f>
        <v>0</v>
      </c>
      <c r="F18" s="126" cm="1">
        <f t="array" ref="F18">_xll.EQNXTDZ($A$1,$B18,F$1,$B$1)</f>
        <v>0</v>
      </c>
      <c r="G18" s="126" cm="1">
        <f t="array" ref="G18">_xll.EQNXTDZ($A$1,$B18,G$1,$B$1)</f>
        <v>0</v>
      </c>
      <c r="H18" s="126" cm="1">
        <f t="array" ref="H18">_xll.EQNXTDZ($A$1,$B18,H$1,$B$1)</f>
        <v>0</v>
      </c>
      <c r="I18" s="126" cm="1">
        <f t="array" ref="I18">_xll.EQNXTDZ($A$1,$B18,I$1,$B$1)</f>
        <v>0</v>
      </c>
      <c r="J18" s="126" cm="1">
        <f t="array" ref="J18">_xll.EQNXTDZ($A$1,$B18,J$1,$B$1)</f>
        <v>1.3858446</v>
      </c>
      <c r="K18" s="126" cm="1">
        <f t="array" ref="K18">_xll.EQNXTDZ($A$1,$B18,K$1,$B$1)</f>
        <v>18.824250800000002</v>
      </c>
      <c r="L18" s="126" cm="1">
        <f t="array" ref="L18">_xll.EQNXTDZ($A$1,$B18,L$1,$B$1)</f>
        <v>41.787497799999997</v>
      </c>
      <c r="M18" s="126" cm="1">
        <f t="array" ref="M18">_xll.EQNXTDZ($A$1,$B18,M$1,$B$1)</f>
        <v>60.122644299999997</v>
      </c>
      <c r="N18" s="126" cm="1">
        <f t="array" ref="N18">_xll.EQNXTDZ($A$1,$B18,N$1,$B$1)</f>
        <v>100.34</v>
      </c>
      <c r="O18" s="126" cm="1">
        <f t="array" ref="O18">_xll.EQNXTDZ($A$1,$B18,O$1,$B$1)</f>
        <v>160.61000000000001</v>
      </c>
      <c r="P18" s="126" cm="1">
        <f t="array" ref="P18">_xll.EQNXTDZ($A$1,$B18,P$1,$B$1)</f>
        <v>234.99</v>
      </c>
      <c r="Q18" s="126" cm="1">
        <f t="array" ref="Q18">_xll.EQNXTDZ($A$1,$B18,Q$1,$B$1)</f>
        <v>312.22000000000003</v>
      </c>
      <c r="R18" s="126" cm="1">
        <f t="array" ref="R18">_xll.EQNXTDZ($A$1,$B18,R$1,$B$1)</f>
        <v>493.76</v>
      </c>
      <c r="S18" s="126" cm="1">
        <f t="array" ref="S18">_xll.EQNXTDZ($A$1,$B18,S$1,$B$1)</f>
        <v>1896.65</v>
      </c>
      <c r="T18" s="126" cm="1">
        <f t="array" ref="T18">_xll.EQNXTDZ($A$1,$B18,T$1,$B$1)</f>
        <v>2228.29</v>
      </c>
      <c r="U18" s="126" cm="1">
        <f t="array" ref="U18">_xll.EQNXTDZ($A$1,$B18,U$1,$B$1)</f>
        <v>2551.7399999999998</v>
      </c>
      <c r="V18" s="126" cm="1">
        <f t="array" ref="V18">_xll.EQNXTDZ($A$1,$B18,V$1,$B$1)</f>
        <v>3195.57</v>
      </c>
      <c r="W18" s="126" cm="1">
        <f t="array" ref="W18">_xll.EQNXTDZ($A$1,$B18,W$1,$B$1)</f>
        <v>2955.59</v>
      </c>
      <c r="X18" s="126" cm="1">
        <f t="array" ref="X18">_xll.EQNXTDZ($A$1,$B18,X$1,$B$1)</f>
        <v>3500.41</v>
      </c>
      <c r="Y18" s="126" cm="1">
        <f t="array" ref="Y18">_xll.EQNXTDZ($A$1,$B18,Y$1,$B$1)</f>
        <v>4057.57</v>
      </c>
      <c r="Z18" s="126" cm="1">
        <f t="array" ref="Z18">_xll.EQNXTDZ($A$1,$B18,Z$1,$B$1)</f>
        <v>3850.75</v>
      </c>
      <c r="AA18" s="126" cm="1">
        <f t="array" ref="AA18">_xll.EQNXTDZ($A$1,$B18,AA$1,$B$1)</f>
        <v>3619.57</v>
      </c>
      <c r="AB18" s="126" cm="1">
        <f t="array" ref="AB18">_xll.EQNXTDZ($A$1,$B18,AB$1,$B$1)</f>
        <v>3913.61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0</v>
      </c>
      <c r="D19" s="126" cm="1">
        <f t="array" ref="D19">_xll.EQNXTDZ($A$1,$B19,D$1,$B$1)</f>
        <v>0</v>
      </c>
      <c r="E19" s="126" cm="1">
        <f t="array" ref="E19">_xll.EQNXTDZ($A$1,$B19,E$1,$B$1)</f>
        <v>0</v>
      </c>
      <c r="F19" s="126" cm="1">
        <f t="array" ref="F19">_xll.EQNXTDZ($A$1,$B19,F$1,$B$1)</f>
        <v>0</v>
      </c>
      <c r="G19" s="126" cm="1">
        <f t="array" ref="G19">_xll.EQNXTDZ($A$1,$B19,G$1,$B$1)</f>
        <v>0</v>
      </c>
      <c r="H19" s="126" cm="1">
        <f t="array" ref="H19">_xll.EQNXTDZ($A$1,$B19,H$1,$B$1)</f>
        <v>0</v>
      </c>
      <c r="I19" s="126" cm="1">
        <f t="array" ref="I19">_xll.EQNXTDZ($A$1,$B19,I$1,$B$1)</f>
        <v>0</v>
      </c>
      <c r="J19" s="126" cm="1">
        <f t="array" ref="J19">_xll.EQNXTDZ($A$1,$B19,J$1,$B$1)</f>
        <v>0.36237009999999997</v>
      </c>
      <c r="K19" s="126" cm="1">
        <f t="array" ref="K19">_xll.EQNXTDZ($A$1,$B19,K$1,$B$1)</f>
        <v>6.53491</v>
      </c>
      <c r="L19" s="126" cm="1">
        <f t="array" ref="L19">_xll.EQNXTDZ($A$1,$B19,L$1,$B$1)</f>
        <v>6.8136684000000001</v>
      </c>
      <c r="M19" s="126" cm="1">
        <f t="array" ref="M19">_xll.EQNXTDZ($A$1,$B19,M$1,$B$1)</f>
        <v>4.9458747000000001</v>
      </c>
      <c r="N19" s="126" cm="1">
        <f t="array" ref="N19">_xll.EQNXTDZ($A$1,$B19,N$1,$B$1)</f>
        <v>6.68</v>
      </c>
      <c r="O19" s="126" cm="1">
        <f t="array" ref="O19">_xll.EQNXTDZ($A$1,$B19,O$1,$B$1)</f>
        <v>9.9</v>
      </c>
      <c r="P19" s="126" cm="1">
        <f t="array" ref="P19">_xll.EQNXTDZ($A$1,$B19,P$1,$B$1)</f>
        <v>13.57</v>
      </c>
      <c r="Q19" s="126" cm="1">
        <f t="array" ref="Q19">_xll.EQNXTDZ($A$1,$B19,Q$1,$B$1)</f>
        <v>20.18</v>
      </c>
      <c r="R19" s="126" cm="1">
        <f t="array" ref="R19">_xll.EQNXTDZ($A$1,$B19,R$1,$B$1)</f>
        <v>29</v>
      </c>
      <c r="S19" s="126" cm="1">
        <f t="array" ref="S19">_xll.EQNXTDZ($A$1,$B19,S$1,$B$1)</f>
        <v>56.25</v>
      </c>
      <c r="T19" s="126" cm="1">
        <f t="array" ref="T19">_xll.EQNXTDZ($A$1,$B19,T$1,$B$1)</f>
        <v>66.73</v>
      </c>
      <c r="U19" s="126" cm="1">
        <f t="array" ref="U19">_xll.EQNXTDZ($A$1,$B19,U$1,$B$1)</f>
        <v>62.2</v>
      </c>
      <c r="V19" s="126" cm="1">
        <f t="array" ref="V19">_xll.EQNXTDZ($A$1,$B19,V$1,$B$1)</f>
        <v>17.5</v>
      </c>
      <c r="W19" s="126" cm="1">
        <f t="array" ref="W19">_xll.EQNXTDZ($A$1,$B19,W$1,$B$1)</f>
        <v>14.7</v>
      </c>
      <c r="X19" s="126" cm="1">
        <f t="array" ref="X19">_xll.EQNXTDZ($A$1,$B19,X$1,$B$1)</f>
        <v>16.28</v>
      </c>
      <c r="Y19" s="126" cm="1">
        <f t="array" ref="Y19">_xll.EQNXTDZ($A$1,$B19,Y$1,$B$1)</f>
        <v>21.2</v>
      </c>
      <c r="Z19" s="126" cm="1">
        <f t="array" ref="Z19">_xll.EQNXTDZ($A$1,$B19,Z$1,$B$1)</f>
        <v>146.66</v>
      </c>
      <c r="AA19" s="126" cm="1">
        <f t="array" ref="AA19">_xll.EQNXTDZ($A$1,$B19,AA$1,$B$1)</f>
        <v>162.41</v>
      </c>
      <c r="AB19" s="126" cm="1">
        <f t="array" ref="AB19">_xll.EQNXTDZ($A$1,$B19,AB$1,$B$1)</f>
        <v>216.87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0</v>
      </c>
      <c r="D21" s="126" cm="1">
        <f t="array" ref="D21">_xll.EQNXTDZ($A$1,$B21,D$1,$B$1)</f>
        <v>0</v>
      </c>
      <c r="E21" s="126" cm="1">
        <f t="array" ref="E21">_xll.EQNXTDZ($A$1,$B21,E$1,$B$1)</f>
        <v>0</v>
      </c>
      <c r="F21" s="126" cm="1">
        <f t="array" ref="F21">_xll.EQNXTDZ($A$1,$B21,F$1,$B$1)</f>
        <v>0</v>
      </c>
      <c r="G21" s="126" cm="1">
        <f t="array" ref="G21">_xll.EQNXTDZ($A$1,$B21,G$1,$B$1)</f>
        <v>0</v>
      </c>
      <c r="H21" s="126" cm="1">
        <f t="array" ref="H21">_xll.EQNXTDZ($A$1,$B21,H$1,$B$1)</f>
        <v>0</v>
      </c>
      <c r="I21" s="126" cm="1">
        <f t="array" ref="I21">_xll.EQNXTDZ($A$1,$B21,I$1,$B$1)</f>
        <v>0</v>
      </c>
      <c r="J21" s="126" cm="1">
        <f t="array" ref="J21">_xll.EQNXTDZ($A$1,$B21,J$1,$B$1)</f>
        <v>0.20859849999999999</v>
      </c>
      <c r="K21" s="126" cm="1">
        <f t="array" ref="K21">_xll.EQNXTDZ($A$1,$B21,K$1,$B$1)</f>
        <v>3.4073826999999999</v>
      </c>
      <c r="L21" s="126" cm="1">
        <f t="array" ref="L21">_xll.EQNXTDZ($A$1,$B21,L$1,$B$1)</f>
        <v>5.7507188999999999</v>
      </c>
      <c r="M21" s="126" cm="1">
        <f t="array" ref="M21">_xll.EQNXTDZ($A$1,$B21,M$1,$B$1)</f>
        <v>11.9769729</v>
      </c>
      <c r="N21" s="126" cm="1">
        <f t="array" ref="N21">_xll.EQNXTDZ($A$1,$B21,N$1,$B$1)</f>
        <v>21.17</v>
      </c>
      <c r="O21" s="126" cm="1">
        <f t="array" ref="O21">_xll.EQNXTDZ($A$1,$B21,O$1,$B$1)</f>
        <v>30.44</v>
      </c>
      <c r="P21" s="126" cm="1">
        <f t="array" ref="P21">_xll.EQNXTDZ($A$1,$B21,P$1,$B$1)</f>
        <v>48.52</v>
      </c>
      <c r="Q21" s="126" cm="1">
        <f t="array" ref="Q21">_xll.EQNXTDZ($A$1,$B21,Q$1,$B$1)</f>
        <v>63.8</v>
      </c>
      <c r="R21" s="126" cm="1">
        <f t="array" ref="R21">_xll.EQNXTDZ($A$1,$B21,R$1,$B$1)</f>
        <v>97.61</v>
      </c>
      <c r="S21" s="126" cm="1">
        <f t="array" ref="S21">_xll.EQNXTDZ($A$1,$B21,S$1,$B$1)</f>
        <v>180.9</v>
      </c>
      <c r="T21" s="126" cm="1">
        <f t="array" ref="T21">_xll.EQNXTDZ($A$1,$B21,T$1,$B$1)</f>
        <v>239.64</v>
      </c>
      <c r="U21" s="126" cm="1">
        <f t="array" ref="U21">_xll.EQNXTDZ($A$1,$B21,U$1,$B$1)</f>
        <v>307.06</v>
      </c>
      <c r="V21" s="126" cm="1">
        <f t="array" ref="V21">_xll.EQNXTDZ($A$1,$B21,V$1,$B$1)</f>
        <v>387.72</v>
      </c>
      <c r="W21" s="126" cm="1">
        <f t="array" ref="W21">_xll.EQNXTDZ($A$1,$B21,W$1,$B$1)</f>
        <v>359.3</v>
      </c>
      <c r="X21" s="126" cm="1">
        <f t="array" ref="X21">_xll.EQNXTDZ($A$1,$B21,X$1,$B$1)</f>
        <v>499.04</v>
      </c>
      <c r="Y21" s="126" cm="1">
        <f t="array" ref="Y21">_xll.EQNXTDZ($A$1,$B21,Y$1,$B$1)</f>
        <v>686.61</v>
      </c>
      <c r="Z21" s="126" cm="1">
        <f t="array" ref="Z21">_xll.EQNXTDZ($A$1,$B21,Z$1,$B$1)</f>
        <v>684.42</v>
      </c>
      <c r="AA21" s="126" cm="1">
        <f t="array" ref="AA21">_xll.EQNXTDZ($A$1,$B21,AA$1,$B$1)</f>
        <v>762.02</v>
      </c>
      <c r="AB21" s="126" cm="1">
        <f t="array" ref="AB21">_xll.EQNXTDZ($A$1,$B21,AB$1,$B$1)</f>
        <v>930.51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0</v>
      </c>
      <c r="D22" s="126" cm="1">
        <f t="array" ref="D22">_xll.EQNXTDZ($A$1,$B22,D$1,$B$1)</f>
        <v>0</v>
      </c>
      <c r="E22" s="126" cm="1">
        <f t="array" ref="E22">_xll.EQNXTDZ($A$1,$B22,E$1,$B$1)</f>
        <v>0</v>
      </c>
      <c r="F22" s="126" cm="1">
        <f t="array" ref="F22">_xll.EQNXTDZ($A$1,$B22,F$1,$B$1)</f>
        <v>0</v>
      </c>
      <c r="G22" s="126" cm="1">
        <f t="array" ref="G22">_xll.EQNXTDZ($A$1,$B22,G$1,$B$1)</f>
        <v>0</v>
      </c>
      <c r="H22" s="126" cm="1">
        <f t="array" ref="H22">_xll.EQNXTDZ($A$1,$B22,H$1,$B$1)</f>
        <v>0</v>
      </c>
      <c r="I22" s="126" cm="1">
        <f t="array" ref="I22">_xll.EQNXTDZ($A$1,$B22,I$1,$B$1)</f>
        <v>0</v>
      </c>
      <c r="J22" s="126" cm="1">
        <f t="array" ref="J22">_xll.EQNXTDZ($A$1,$B22,J$1,$B$1)</f>
        <v>1.4659999999999999E-2</v>
      </c>
      <c r="K22" s="126" cm="1">
        <f t="array" ref="K22">_xll.EQNXTDZ($A$1,$B22,K$1,$B$1)</f>
        <v>0.44419940000000002</v>
      </c>
      <c r="L22" s="126" cm="1">
        <f t="array" ref="L22">_xll.EQNXTDZ($A$1,$B22,L$1,$B$1)</f>
        <v>0.94779880000000005</v>
      </c>
      <c r="M22" s="126" cm="1">
        <f t="array" ref="M22">_xll.EQNXTDZ($A$1,$B22,M$1,$B$1)</f>
        <v>4.8753744000000001</v>
      </c>
      <c r="N22" s="126" cm="1">
        <f t="array" ref="N22">_xll.EQNXTDZ($A$1,$B22,N$1,$B$1)</f>
        <v>17.5</v>
      </c>
      <c r="O22" s="126" cm="1">
        <f t="array" ref="O22">_xll.EQNXTDZ($A$1,$B22,O$1,$B$1)</f>
        <v>30.31</v>
      </c>
      <c r="P22" s="126" cm="1">
        <f t="array" ref="P22">_xll.EQNXTDZ($A$1,$B22,P$1,$B$1)</f>
        <v>43.35</v>
      </c>
      <c r="Q22" s="126" cm="1">
        <f t="array" ref="Q22">_xll.EQNXTDZ($A$1,$B22,Q$1,$B$1)</f>
        <v>60.54</v>
      </c>
      <c r="R22" s="126" cm="1">
        <f t="array" ref="R22">_xll.EQNXTDZ($A$1,$B22,R$1,$B$1)</f>
        <v>67.37</v>
      </c>
      <c r="S22" s="126" cm="1">
        <f t="array" ref="S22">_xll.EQNXTDZ($A$1,$B22,S$1,$B$1)</f>
        <v>69.67</v>
      </c>
      <c r="T22" s="126" cm="1">
        <f t="array" ref="T22">_xll.EQNXTDZ($A$1,$B22,T$1,$B$1)</f>
        <v>2.31</v>
      </c>
      <c r="U22" s="126" cm="1">
        <f t="array" ref="U22">_xll.EQNXTDZ($A$1,$B22,U$1,$B$1)</f>
        <v>3</v>
      </c>
      <c r="V22" s="126" cm="1">
        <f t="array" ref="V22">_xll.EQNXTDZ($A$1,$B22,V$1,$B$1)</f>
        <v>3.02</v>
      </c>
      <c r="W22" s="126" cm="1">
        <f t="array" ref="W22">_xll.EQNXTDZ($A$1,$B22,W$1,$B$1)</f>
        <v>2.2200000000000002</v>
      </c>
      <c r="X22" s="126" cm="1">
        <f t="array" ref="X22">_xll.EQNXTDZ($A$1,$B22,X$1,$B$1)</f>
        <v>2.56</v>
      </c>
      <c r="Y22" s="126" cm="1">
        <f t="array" ref="Y22">_xll.EQNXTDZ($A$1,$B22,Y$1,$B$1)</f>
        <v>2.48</v>
      </c>
      <c r="Z22" s="126" cm="1">
        <f t="array" ref="Z22">_xll.EQNXTDZ($A$1,$B22,Z$1,$B$1)</f>
        <v>0.5</v>
      </c>
      <c r="AA22" s="126" cm="1">
        <f t="array" ref="AA22">_xll.EQNXTDZ($A$1,$B22,AA$1,$B$1)</f>
        <v>0.09</v>
      </c>
      <c r="AB22" s="126" cm="1">
        <f t="array" ref="AB22">_xll.EQNXTDZ($A$1,$B22,AB$1,$B$1)</f>
        <v>0.01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0</v>
      </c>
      <c r="D23" s="126" cm="1">
        <f t="array" ref="D23">_xll.EQNXTDZ($A$1,$B23,D$1,$B$1)</f>
        <v>0</v>
      </c>
      <c r="E23" s="126" cm="1">
        <f t="array" ref="E23">_xll.EQNXTDZ($A$1,$B23,E$1,$B$1)</f>
        <v>0</v>
      </c>
      <c r="F23" s="126" cm="1">
        <f t="array" ref="F23">_xll.EQNXTDZ($A$1,$B23,F$1,$B$1)</f>
        <v>0</v>
      </c>
      <c r="G23" s="126" cm="1">
        <f t="array" ref="G23">_xll.EQNXTDZ($A$1,$B23,G$1,$B$1)</f>
        <v>0</v>
      </c>
      <c r="H23" s="126" cm="1">
        <f t="array" ref="H23">_xll.EQNXTDZ($A$1,$B23,H$1,$B$1)</f>
        <v>0</v>
      </c>
      <c r="I23" s="126" cm="1">
        <f t="array" ref="I23">_xll.EQNXTDZ($A$1,$B23,I$1,$B$1)</f>
        <v>0</v>
      </c>
      <c r="J23" s="126" cm="1">
        <f t="array" ref="J23">_xll.EQNXTDZ($A$1,$B23,J$1,$B$1)</f>
        <v>2.0770582000000002</v>
      </c>
      <c r="K23" s="126" cm="1">
        <f t="array" ref="K23">_xll.EQNXTDZ($A$1,$B23,K$1,$B$1)</f>
        <v>7.0564E-3</v>
      </c>
      <c r="L23" s="126" cm="1">
        <f t="array" ref="L23">_xll.EQNXTDZ($A$1,$B23,L$1,$B$1)</f>
        <v>4.0799703000000003</v>
      </c>
      <c r="M23" s="126" cm="1">
        <f t="array" ref="M23">_xll.EQNXTDZ($A$1,$B23,M$1,$B$1)</f>
        <v>21.932169699999999</v>
      </c>
      <c r="N23" s="126" cm="1">
        <f t="array" ref="N23">_xll.EQNXTDZ($A$1,$B23,N$1,$B$1)</f>
        <v>43.48</v>
      </c>
      <c r="O23" s="126" cm="1">
        <f t="array" ref="O23">_xll.EQNXTDZ($A$1,$B23,O$1,$B$1)</f>
        <v>65.650000000000006</v>
      </c>
      <c r="P23" s="126" cm="1">
        <f t="array" ref="P23">_xll.EQNXTDZ($A$1,$B23,P$1,$B$1)</f>
        <v>138.68</v>
      </c>
      <c r="Q23" s="126" cm="1">
        <f t="array" ref="Q23">_xll.EQNXTDZ($A$1,$B23,Q$1,$B$1)</f>
        <v>204.77</v>
      </c>
      <c r="R23" s="126" cm="1">
        <f t="array" ref="R23">_xll.EQNXTDZ($A$1,$B23,R$1,$B$1)</f>
        <v>248.1</v>
      </c>
      <c r="S23" s="126" cm="1">
        <f t="array" ref="S23">_xll.EQNXTDZ($A$1,$B23,S$1,$B$1)</f>
        <v>419.1</v>
      </c>
      <c r="T23" s="126" cm="1">
        <f t="array" ref="T23">_xll.EQNXTDZ($A$1,$B23,T$1,$B$1)</f>
        <v>536.37</v>
      </c>
      <c r="U23" s="126" cm="1">
        <f t="array" ref="U23">_xll.EQNXTDZ($A$1,$B23,U$1,$B$1)</f>
        <v>664.66</v>
      </c>
      <c r="V23" s="126" cm="1">
        <f t="array" ref="V23">_xll.EQNXTDZ($A$1,$B23,V$1,$B$1)</f>
        <v>1469.84</v>
      </c>
      <c r="W23" s="126" cm="1">
        <f t="array" ref="W23">_xll.EQNXTDZ($A$1,$B23,W$1,$B$1)</f>
        <v>3104.26</v>
      </c>
      <c r="X23" s="126" cm="1">
        <f t="array" ref="X23">_xll.EQNXTDZ($A$1,$B23,X$1,$B$1)</f>
        <v>2492.8200000000002</v>
      </c>
      <c r="Y23" s="126" cm="1">
        <f t="array" ref="Y23">_xll.EQNXTDZ($A$1,$B23,Y$1,$B$1)</f>
        <v>1352.18</v>
      </c>
      <c r="Z23" s="126" cm="1">
        <f t="array" ref="Z23">_xll.EQNXTDZ($A$1,$B23,Z$1,$B$1)</f>
        <v>1100.6400000000001</v>
      </c>
      <c r="AA23" s="126" cm="1">
        <f t="array" ref="AA23">_xll.EQNXTDZ($A$1,$B23,AA$1,$B$1)</f>
        <v>2160.9499999999998</v>
      </c>
      <c r="AB23" s="126" cm="1">
        <f t="array" ref="AB23">_xll.EQNXTDZ($A$1,$B23,AB$1,$B$1)</f>
        <v>2873.7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0</v>
      </c>
      <c r="D25" s="126" cm="1">
        <f t="array" ref="D25">_xll.EQNXTDZ($A$1,$B25,D$1,$B$1)</f>
        <v>0</v>
      </c>
      <c r="E25" s="126" cm="1">
        <f t="array" ref="E25">_xll.EQNXTDZ($A$1,$B25,E$1,$B$1)</f>
        <v>0</v>
      </c>
      <c r="F25" s="126" cm="1">
        <f t="array" ref="F25">_xll.EQNXTDZ($A$1,$B25,F$1,$B$1)</f>
        <v>0</v>
      </c>
      <c r="G25" s="126" cm="1">
        <f t="array" ref="G25">_xll.EQNXTDZ($A$1,$B25,G$1,$B$1)</f>
        <v>0</v>
      </c>
      <c r="H25" s="126" cm="1">
        <f t="array" ref="H25">_xll.EQNXTDZ($A$1,$B25,H$1,$B$1)</f>
        <v>0</v>
      </c>
      <c r="I25" s="126" cm="1">
        <f t="array" ref="I25">_xll.EQNXTDZ($A$1,$B25,I$1,$B$1)</f>
        <v>0</v>
      </c>
      <c r="J25" s="126" cm="1">
        <f t="array" ref="J25">_xll.EQNXTDZ($A$1,$B25,J$1,$B$1)</f>
        <v>4.0485313999999999</v>
      </c>
      <c r="K25" s="126" cm="1">
        <f t="array" ref="K25">_xll.EQNXTDZ($A$1,$B25,K$1,$B$1)</f>
        <v>29.761483500000001</v>
      </c>
      <c r="L25" s="126" cm="1">
        <f t="array" ref="L25">_xll.EQNXTDZ($A$1,$B25,L$1,$B$1)</f>
        <v>60.477634999999999</v>
      </c>
      <c r="M25" s="126" cm="1">
        <f t="array" ref="M25">_xll.EQNXTDZ($A$1,$B25,M$1,$B$1)</f>
        <v>105.3771507</v>
      </c>
      <c r="N25" s="126" cm="1">
        <f t="array" ref="N25">_xll.EQNXTDZ($A$1,$B25,N$1,$B$1)</f>
        <v>191.41</v>
      </c>
      <c r="O25" s="126" cm="1">
        <f t="array" ref="O25">_xll.EQNXTDZ($A$1,$B25,O$1,$B$1)</f>
        <v>300.55</v>
      </c>
      <c r="P25" s="126" cm="1">
        <f t="array" ref="P25">_xll.EQNXTDZ($A$1,$B25,P$1,$B$1)</f>
        <v>484.62</v>
      </c>
      <c r="Q25" s="126" cm="1">
        <f t="array" ref="Q25">_xll.EQNXTDZ($A$1,$B25,Q$1,$B$1)</f>
        <v>668.78</v>
      </c>
      <c r="R25" s="126" cm="1">
        <f t="array" ref="R25">_xll.EQNXTDZ($A$1,$B25,R$1,$B$1)</f>
        <v>946.59</v>
      </c>
      <c r="S25" s="126" cm="1">
        <f t="array" ref="S25">_xll.EQNXTDZ($A$1,$B25,S$1,$B$1)</f>
        <v>2642.76</v>
      </c>
      <c r="T25" s="126" cm="1">
        <f t="array" ref="T25">_xll.EQNXTDZ($A$1,$B25,T$1,$B$1)</f>
        <v>3096.63</v>
      </c>
      <c r="U25" s="126" cm="1">
        <f t="array" ref="U25">_xll.EQNXTDZ($A$1,$B25,U$1,$B$1)</f>
        <v>3610.29</v>
      </c>
      <c r="V25" s="126" cm="1">
        <f t="array" ref="V25">_xll.EQNXTDZ($A$1,$B25,V$1,$B$1)</f>
        <v>5101.1000000000004</v>
      </c>
      <c r="W25" s="126" cm="1">
        <f t="array" ref="W25">_xll.EQNXTDZ($A$1,$B25,W$1,$B$1)</f>
        <v>6456.1</v>
      </c>
      <c r="X25" s="126" cm="1">
        <f t="array" ref="X25">_xll.EQNXTDZ($A$1,$B25,X$1,$B$1)</f>
        <v>6535.61</v>
      </c>
      <c r="Y25" s="126" cm="1">
        <f t="array" ref="Y25">_xll.EQNXTDZ($A$1,$B25,Y$1,$B$1)</f>
        <v>6152.73</v>
      </c>
      <c r="Z25" s="126" cm="1">
        <f t="array" ref="Z25">_xll.EQNXTDZ($A$1,$B25,Z$1,$B$1)</f>
        <v>5817.38</v>
      </c>
      <c r="AA25" s="126" cm="1">
        <f t="array" ref="AA25">_xll.EQNXTDZ($A$1,$B25,AA$1,$B$1)</f>
        <v>6745.94</v>
      </c>
      <c r="AB25" s="126" cm="1">
        <f t="array" ref="AB25">_xll.EQNXTDZ($A$1,$B25,AB$1,$B$1)</f>
        <v>7978.76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0</v>
      </c>
      <c r="D26" s="126" cm="1">
        <f t="array" ref="D26">_xll.EQNXTDZ($A$1,$B26,D$1,$B$1)</f>
        <v>0</v>
      </c>
      <c r="E26" s="126" cm="1">
        <f t="array" ref="E26">_xll.EQNXTDZ($A$1,$B26,E$1,$B$1)</f>
        <v>0</v>
      </c>
      <c r="F26" s="126" cm="1">
        <f t="array" ref="F26">_xll.EQNXTDZ($A$1,$B26,F$1,$B$1)</f>
        <v>0</v>
      </c>
      <c r="G26" s="126" cm="1">
        <f t="array" ref="G26">_xll.EQNXTDZ($A$1,$B26,G$1,$B$1)</f>
        <v>0</v>
      </c>
      <c r="H26" s="126" cm="1">
        <f t="array" ref="H26">_xll.EQNXTDZ($A$1,$B26,H$1,$B$1)</f>
        <v>0</v>
      </c>
      <c r="I26" s="126" cm="1">
        <f t="array" ref="I26">_xll.EQNXTDZ($A$1,$B26,I$1,$B$1)</f>
        <v>0</v>
      </c>
      <c r="J26" s="126" cm="1">
        <f t="array" ref="J26">_xll.EQNXTDZ($A$1,$B26,J$1,$B$1)</f>
        <v>-3.5662338</v>
      </c>
      <c r="K26" s="126" cm="1">
        <f t="array" ref="K26">_xll.EQNXTDZ($A$1,$B26,K$1,$B$1)</f>
        <v>-6.3684820000000002</v>
      </c>
      <c r="L26" s="126" cm="1">
        <f t="array" ref="L26">_xll.EQNXTDZ($A$1,$B26,L$1,$B$1)</f>
        <v>37.139984200000001</v>
      </c>
      <c r="M26" s="126" cm="1">
        <f t="array" ref="M26">_xll.EQNXTDZ($A$1,$B26,M$1,$B$1)</f>
        <v>73.078023000000002</v>
      </c>
      <c r="N26" s="126" cm="1">
        <f t="array" ref="N26">_xll.EQNXTDZ($A$1,$B26,N$1,$B$1)</f>
        <v>239.99</v>
      </c>
      <c r="O26" s="126" cm="1">
        <f t="array" ref="O26">_xll.EQNXTDZ($A$1,$B26,O$1,$B$1)</f>
        <v>662.99</v>
      </c>
      <c r="P26" s="126" cm="1">
        <f t="array" ref="P26">_xll.EQNXTDZ($A$1,$B26,P$1,$B$1)</f>
        <v>1202.08</v>
      </c>
      <c r="Q26" s="126" cm="1">
        <f t="array" ref="Q26">_xll.EQNXTDZ($A$1,$B26,Q$1,$B$1)</f>
        <v>1852.85</v>
      </c>
      <c r="R26" s="126" cm="1">
        <f t="array" ref="R26">_xll.EQNXTDZ($A$1,$B26,R$1,$B$1)</f>
        <v>2351.1799999999998</v>
      </c>
      <c r="S26" s="126" cm="1">
        <f t="array" ref="S26">_xll.EQNXTDZ($A$1,$B26,S$1,$B$1)</f>
        <v>3068.59</v>
      </c>
      <c r="T26" s="126" cm="1">
        <f t="array" ref="T26">_xll.EQNXTDZ($A$1,$B26,T$1,$B$1)</f>
        <v>3930.49</v>
      </c>
      <c r="U26" s="126" cm="1">
        <f t="array" ref="U26">_xll.EQNXTDZ($A$1,$B26,U$1,$B$1)</f>
        <v>5114.5200000000004</v>
      </c>
      <c r="V26" s="126" cm="1">
        <f t="array" ref="V26">_xll.EQNXTDZ($A$1,$B26,V$1,$B$1)</f>
        <v>5655.37</v>
      </c>
      <c r="W26" s="126" cm="1">
        <f t="array" ref="W26">_xll.EQNXTDZ($A$1,$B26,W$1,$B$1)</f>
        <v>4488.68</v>
      </c>
      <c r="X26" s="126" cm="1">
        <f t="array" ref="X26">_xll.EQNXTDZ($A$1,$B26,X$1,$B$1)</f>
        <v>4770.68</v>
      </c>
      <c r="Y26" s="126" cm="1">
        <f t="array" ref="Y26">_xll.EQNXTDZ($A$1,$B26,Y$1,$B$1)</f>
        <v>6250.15</v>
      </c>
      <c r="Z26" s="126" cm="1">
        <f t="array" ref="Z26">_xll.EQNXTDZ($A$1,$B26,Z$1,$B$1)</f>
        <v>8355.69</v>
      </c>
      <c r="AA26" s="126" cm="1">
        <f t="array" ref="AA26">_xll.EQNXTDZ($A$1,$B26,AA$1,$B$1)</f>
        <v>9554.34</v>
      </c>
      <c r="AB26" s="126" cm="1">
        <f t="array" ref="AB26">_xll.EQNXTDZ($A$1,$B26,AB$1,$B$1)</f>
        <v>10450.91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0</v>
      </c>
      <c r="D27" s="126" cm="1">
        <f t="array" ref="D27">_xll.EQNXTDZ($A$1,$B27,D$1,$B$1)</f>
        <v>0</v>
      </c>
      <c r="E27" s="126" cm="1">
        <f t="array" ref="E27">_xll.EQNXTDZ($A$1,$B27,E$1,$B$1)</f>
        <v>0</v>
      </c>
      <c r="F27" s="126" cm="1">
        <f t="array" ref="F27">_xll.EQNXTDZ($A$1,$B27,F$1,$B$1)</f>
        <v>0</v>
      </c>
      <c r="G27" s="126" cm="1">
        <f t="array" ref="G27">_xll.EQNXTDZ($A$1,$B27,G$1,$B$1)</f>
        <v>0</v>
      </c>
      <c r="H27" s="126" cm="1">
        <f t="array" ref="H27">_xll.EQNXTDZ($A$1,$B27,H$1,$B$1)</f>
        <v>0</v>
      </c>
      <c r="I27" s="126" cm="1">
        <f t="array" ref="I27">_xll.EQNXTDZ($A$1,$B27,I$1,$B$1)</f>
        <v>0</v>
      </c>
      <c r="J27" s="126" cm="1">
        <f t="array" ref="J27">_xll.EQNXTDZ($A$1,$B27,J$1,$B$1)</f>
        <v>0</v>
      </c>
      <c r="K27" s="126" cm="1">
        <f t="array" ref="K27">_xll.EQNXTDZ($A$1,$B27,K$1,$B$1)</f>
        <v>0.1505117</v>
      </c>
      <c r="L27" s="126" cm="1">
        <f t="array" ref="L27">_xll.EQNXTDZ($A$1,$B27,L$1,$B$1)</f>
        <v>3.5168499999999998E-2</v>
      </c>
      <c r="M27" s="126" cm="1">
        <f t="array" ref="M27">_xll.EQNXTDZ($A$1,$B27,M$1,$B$1)</f>
        <v>1.6483110000000001</v>
      </c>
      <c r="N27" s="126" cm="1">
        <f t="array" ref="N27">_xll.EQNXTDZ($A$1,$B27,N$1,$B$1)</f>
        <v>4.2300000000000004</v>
      </c>
      <c r="O27" s="126" cm="1">
        <f t="array" ref="O27">_xll.EQNXTDZ($A$1,$B27,O$1,$B$1)</f>
        <v>4.5999999999999996</v>
      </c>
      <c r="P27" s="126" cm="1">
        <f t="array" ref="P27">_xll.EQNXTDZ($A$1,$B27,P$1,$B$1)</f>
        <v>14.4</v>
      </c>
      <c r="Q27" s="126" cm="1">
        <f t="array" ref="Q27">_xll.EQNXTDZ($A$1,$B27,Q$1,$B$1)</f>
        <v>38.56</v>
      </c>
      <c r="R27" s="126" cm="1">
        <f t="array" ref="R27">_xll.EQNXTDZ($A$1,$B27,R$1,$B$1)</f>
        <v>58.05</v>
      </c>
      <c r="S27" s="126" cm="1">
        <f t="array" ref="S27">_xll.EQNXTDZ($A$1,$B27,S$1,$B$1)</f>
        <v>78.540000000000006</v>
      </c>
      <c r="T27" s="126" cm="1">
        <f t="array" ref="T27">_xll.EQNXTDZ($A$1,$B27,T$1,$B$1)</f>
        <v>0</v>
      </c>
      <c r="U27" s="126" cm="1">
        <f t="array" ref="U27">_xll.EQNXTDZ($A$1,$B27,U$1,$B$1)</f>
        <v>4.79</v>
      </c>
      <c r="V27" s="126" cm="1">
        <f t="array" ref="V27">_xll.EQNXTDZ($A$1,$B27,V$1,$B$1)</f>
        <v>0.19</v>
      </c>
      <c r="W27" s="126" cm="1">
        <f t="array" ref="W27">_xll.EQNXTDZ($A$1,$B27,W$1,$B$1)</f>
        <v>28.22</v>
      </c>
      <c r="X27" s="126" cm="1">
        <f t="array" ref="X27">_xll.EQNXTDZ($A$1,$B27,X$1,$B$1)</f>
        <v>21</v>
      </c>
      <c r="Y27" s="126" cm="1">
        <f t="array" ref="Y27">_xll.EQNXTDZ($A$1,$B27,Y$1,$B$1)</f>
        <v>22.24</v>
      </c>
      <c r="Z27" s="126" cm="1">
        <f t="array" ref="Z27">_xll.EQNXTDZ($A$1,$B27,Z$1,$B$1)</f>
        <v>0.85</v>
      </c>
      <c r="AA27" s="126" cm="1">
        <f t="array" ref="AA27">_xll.EQNXTDZ($A$1,$B27,AA$1,$B$1)</f>
        <v>1.24</v>
      </c>
      <c r="AB27" s="126" cm="1">
        <f t="array" ref="AB27">_xll.EQNXTDZ($A$1,$B27,AB$1,$B$1)</f>
        <v>0.99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0</v>
      </c>
      <c r="D28" s="126" cm="1">
        <f t="array" ref="D28">_xll.EQNXTDZ($A$1,$B28,D$1,$B$1)</f>
        <v>0</v>
      </c>
      <c r="E28" s="126" cm="1">
        <f t="array" ref="E28">_xll.EQNXTDZ($A$1,$B28,E$1,$B$1)</f>
        <v>0</v>
      </c>
      <c r="F28" s="126" cm="1">
        <f t="array" ref="F28">_xll.EQNXTDZ($A$1,$B28,F$1,$B$1)</f>
        <v>0</v>
      </c>
      <c r="G28" s="126" cm="1">
        <f t="array" ref="G28">_xll.EQNXTDZ($A$1,$B28,G$1,$B$1)</f>
        <v>0</v>
      </c>
      <c r="H28" s="126" cm="1">
        <f t="array" ref="H28">_xll.EQNXTDZ($A$1,$B28,H$1,$B$1)</f>
        <v>0</v>
      </c>
      <c r="I28" s="126" cm="1">
        <f t="array" ref="I28">_xll.EQNXTDZ($A$1,$B28,I$1,$B$1)</f>
        <v>0</v>
      </c>
      <c r="J28" s="126" cm="1">
        <f t="array" ref="J28">_xll.EQNXTDZ($A$1,$B28,J$1,$B$1)</f>
        <v>-3.5662338</v>
      </c>
      <c r="K28" s="126" cm="1">
        <f t="array" ref="K28">_xll.EQNXTDZ($A$1,$B28,K$1,$B$1)</f>
        <v>-6.2179703000000002</v>
      </c>
      <c r="L28" s="126" cm="1">
        <f t="array" ref="L28">_xll.EQNXTDZ($A$1,$B28,L$1,$B$1)</f>
        <v>37.175152699999998</v>
      </c>
      <c r="M28" s="126" cm="1">
        <f t="array" ref="M28">_xll.EQNXTDZ($A$1,$B28,M$1,$B$1)</f>
        <v>74.726333999999994</v>
      </c>
      <c r="N28" s="126" cm="1">
        <f t="array" ref="N28">_xll.EQNXTDZ($A$1,$B28,N$1,$B$1)</f>
        <v>244.22</v>
      </c>
      <c r="O28" s="126" cm="1">
        <f t="array" ref="O28">_xll.EQNXTDZ($A$1,$B28,O$1,$B$1)</f>
        <v>667.59</v>
      </c>
      <c r="P28" s="126" cm="1">
        <f t="array" ref="P28">_xll.EQNXTDZ($A$1,$B28,P$1,$B$1)</f>
        <v>1216.48</v>
      </c>
      <c r="Q28" s="126" cm="1">
        <f t="array" ref="Q28">_xll.EQNXTDZ($A$1,$B28,Q$1,$B$1)</f>
        <v>1891.41</v>
      </c>
      <c r="R28" s="126" cm="1">
        <f t="array" ref="R28">_xll.EQNXTDZ($A$1,$B28,R$1,$B$1)</f>
        <v>2409.23</v>
      </c>
      <c r="S28" s="126" cm="1">
        <f t="array" ref="S28">_xll.EQNXTDZ($A$1,$B28,S$1,$B$1)</f>
        <v>3147.13</v>
      </c>
      <c r="T28" s="126" cm="1">
        <f t="array" ref="T28">_xll.EQNXTDZ($A$1,$B28,T$1,$B$1)</f>
        <v>3930.49</v>
      </c>
      <c r="U28" s="126" cm="1">
        <f t="array" ref="U28">_xll.EQNXTDZ($A$1,$B28,U$1,$B$1)</f>
        <v>5119.3100000000004</v>
      </c>
      <c r="V28" s="126" cm="1">
        <f t="array" ref="V28">_xll.EQNXTDZ($A$1,$B28,V$1,$B$1)</f>
        <v>5655.56</v>
      </c>
      <c r="W28" s="126" cm="1">
        <f t="array" ref="W28">_xll.EQNXTDZ($A$1,$B28,W$1,$B$1)</f>
        <v>4516.8999999999996</v>
      </c>
      <c r="X28" s="126" cm="1">
        <f t="array" ref="X28">_xll.EQNXTDZ($A$1,$B28,X$1,$B$1)</f>
        <v>4791.68</v>
      </c>
      <c r="Y28" s="126" cm="1">
        <f t="array" ref="Y28">_xll.EQNXTDZ($A$1,$B28,Y$1,$B$1)</f>
        <v>6272.39</v>
      </c>
      <c r="Z28" s="126" cm="1">
        <f t="array" ref="Z28">_xll.EQNXTDZ($A$1,$B28,Z$1,$B$1)</f>
        <v>8356.5400000000009</v>
      </c>
      <c r="AA28" s="126" cm="1">
        <f t="array" ref="AA28">_xll.EQNXTDZ($A$1,$B28,AA$1,$B$1)</f>
        <v>9555.58</v>
      </c>
      <c r="AB28" s="126" cm="1">
        <f t="array" ref="AB28">_xll.EQNXTDZ($A$1,$B28,AB$1,$B$1)</f>
        <v>10451.9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0</v>
      </c>
      <c r="D29" s="126" cm="1">
        <f t="array" ref="D29">_xll.EQNXTDZ($A$1,$B29,D$1,$B$1)</f>
        <v>0</v>
      </c>
      <c r="E29" s="126" cm="1">
        <f t="array" ref="E29">_xll.EQNXTDZ($A$1,$B29,E$1,$B$1)</f>
        <v>0</v>
      </c>
      <c r="F29" s="126" cm="1">
        <f t="array" ref="F29">_xll.EQNXTDZ($A$1,$B29,F$1,$B$1)</f>
        <v>0</v>
      </c>
      <c r="G29" s="126" cm="1">
        <f t="array" ref="G29">_xll.EQNXTDZ($A$1,$B29,G$1,$B$1)</f>
        <v>0</v>
      </c>
      <c r="H29" s="126" cm="1">
        <f t="array" ref="H29">_xll.EQNXTDZ($A$1,$B29,H$1,$B$1)</f>
        <v>0</v>
      </c>
      <c r="I29" s="126" cm="1">
        <f t="array" ref="I29">_xll.EQNXTDZ($A$1,$B29,I$1,$B$1)</f>
        <v>0</v>
      </c>
      <c r="J29" s="126" cm="1">
        <f t="array" ref="J29">_xll.EQNXTDZ($A$1,$B29,J$1,$B$1)</f>
        <v>0</v>
      </c>
      <c r="K29" s="126" cm="1">
        <f t="array" ref="K29">_xll.EQNXTDZ($A$1,$B29,K$1,$B$1)</f>
        <v>1.5725804000000001</v>
      </c>
      <c r="L29" s="126" cm="1">
        <f t="array" ref="L29">_xll.EQNXTDZ($A$1,$B29,L$1,$B$1)</f>
        <v>23.147796899999999</v>
      </c>
      <c r="M29" s="126" cm="1">
        <f t="array" ref="M29">_xll.EQNXTDZ($A$1,$B29,M$1,$B$1)</f>
        <v>46.904532699999997</v>
      </c>
      <c r="N29" s="126" cm="1">
        <f t="array" ref="N29">_xll.EQNXTDZ($A$1,$B29,N$1,$B$1)</f>
        <v>169.96</v>
      </c>
      <c r="O29" s="126" cm="1">
        <f t="array" ref="O29">_xll.EQNXTDZ($A$1,$B29,O$1,$B$1)</f>
        <v>513.19000000000005</v>
      </c>
      <c r="P29" s="126" cm="1">
        <f t="array" ref="P29">_xll.EQNXTDZ($A$1,$B29,P$1,$B$1)</f>
        <v>890.82</v>
      </c>
      <c r="Q29" s="126" cm="1">
        <f t="array" ref="Q29">_xll.EQNXTDZ($A$1,$B29,Q$1,$B$1)</f>
        <v>1347.28</v>
      </c>
      <c r="R29" s="126" cm="1">
        <f t="array" ref="R29">_xll.EQNXTDZ($A$1,$B29,R$1,$B$1)</f>
        <v>1571.53</v>
      </c>
      <c r="S29" s="126" cm="1">
        <f t="array" ref="S29">_xll.EQNXTDZ($A$1,$B29,S$1,$B$1)</f>
        <v>2049.92</v>
      </c>
      <c r="T29" s="126" cm="1">
        <f t="array" ref="T29">_xll.EQNXTDZ($A$1,$B29,T$1,$B$1)</f>
        <v>2449.0700000000002</v>
      </c>
      <c r="U29" s="126" cm="1">
        <f t="array" ref="U29">_xll.EQNXTDZ($A$1,$B29,U$1,$B$1)</f>
        <v>3333.33</v>
      </c>
      <c r="V29" s="126" cm="1">
        <f t="array" ref="V29">_xll.EQNXTDZ($A$1,$B29,V$1,$B$1)</f>
        <v>4081.42</v>
      </c>
      <c r="W29" s="126" cm="1">
        <f t="array" ref="W29">_xll.EQNXTDZ($A$1,$B29,W$1,$B$1)</f>
        <v>3908.4</v>
      </c>
      <c r="X29" s="126" cm="1">
        <f t="array" ref="X29">_xll.EQNXTDZ($A$1,$B29,X$1,$B$1)</f>
        <v>3345.18</v>
      </c>
      <c r="Y29" s="126" cm="1">
        <f t="array" ref="Y29">_xll.EQNXTDZ($A$1,$B29,Y$1,$B$1)</f>
        <v>3533.15</v>
      </c>
      <c r="Z29" s="126" cm="1">
        <f t="array" ref="Z29">_xll.EQNXTDZ($A$1,$B29,Z$1,$B$1)</f>
        <v>4906.7299999999996</v>
      </c>
      <c r="AA29" s="126" cm="1">
        <f t="array" ref="AA29">_xll.EQNXTDZ($A$1,$B29,AA$1,$B$1)</f>
        <v>6433.36</v>
      </c>
      <c r="AB29" s="126" cm="1">
        <f t="array" ref="AB29">_xll.EQNXTDZ($A$1,$B29,AB$1,$B$1)</f>
        <v>6856.35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0</v>
      </c>
      <c r="D30" s="126" cm="1">
        <f t="array" ref="D30">_xll.EQNXTDZ($A$1,$B30,D$1,$B$1)</f>
        <v>0</v>
      </c>
      <c r="E30" s="126" cm="1">
        <f t="array" ref="E30">_xll.EQNXTDZ($A$1,$B30,E$1,$B$1)</f>
        <v>0</v>
      </c>
      <c r="F30" s="126" cm="1">
        <f t="array" ref="F30">_xll.EQNXTDZ($A$1,$B30,F$1,$B$1)</f>
        <v>0</v>
      </c>
      <c r="G30" s="126" cm="1">
        <f t="array" ref="G30">_xll.EQNXTDZ($A$1,$B30,G$1,$B$1)</f>
        <v>0</v>
      </c>
      <c r="H30" s="126" cm="1">
        <f t="array" ref="H30">_xll.EQNXTDZ($A$1,$B30,H$1,$B$1)</f>
        <v>0</v>
      </c>
      <c r="I30" s="126" cm="1">
        <f t="array" ref="I30">_xll.EQNXTDZ($A$1,$B30,I$1,$B$1)</f>
        <v>0</v>
      </c>
      <c r="J30" s="126" cm="1">
        <f t="array" ref="J30">_xll.EQNXTDZ($A$1,$B30,J$1,$B$1)</f>
        <v>-3.5662338</v>
      </c>
      <c r="K30" s="126" cm="1">
        <f t="array" ref="K30">_xll.EQNXTDZ($A$1,$B30,K$1,$B$1)</f>
        <v>-7.7905506999999998</v>
      </c>
      <c r="L30" s="126" cm="1">
        <f t="array" ref="L30">_xll.EQNXTDZ($A$1,$B30,L$1,$B$1)</f>
        <v>14.0273558</v>
      </c>
      <c r="M30" s="126" cm="1">
        <f t="array" ref="M30">_xll.EQNXTDZ($A$1,$B30,M$1,$B$1)</f>
        <v>27.821801300000001</v>
      </c>
      <c r="N30" s="126" cm="1">
        <f t="array" ref="N30">_xll.EQNXTDZ($A$1,$B30,N$1,$B$1)</f>
        <v>74.260000000000005</v>
      </c>
      <c r="O30" s="126" cm="1">
        <f t="array" ref="O30">_xll.EQNXTDZ($A$1,$B30,O$1,$B$1)</f>
        <v>154.4</v>
      </c>
      <c r="P30" s="126" cm="1">
        <f t="array" ref="P30">_xll.EQNXTDZ($A$1,$B30,P$1,$B$1)</f>
        <v>325.66000000000003</v>
      </c>
      <c r="Q30" s="126" cm="1">
        <f t="array" ref="Q30">_xll.EQNXTDZ($A$1,$B30,Q$1,$B$1)</f>
        <v>544.13</v>
      </c>
      <c r="R30" s="126" cm="1">
        <f t="array" ref="R30">_xll.EQNXTDZ($A$1,$B30,R$1,$B$1)</f>
        <v>837.7</v>
      </c>
      <c r="S30" s="126" cm="1">
        <f t="array" ref="S30">_xll.EQNXTDZ($A$1,$B30,S$1,$B$1)</f>
        <v>1097.21</v>
      </c>
      <c r="T30" s="126" cm="1">
        <f t="array" ref="T30">_xll.EQNXTDZ($A$1,$B30,T$1,$B$1)</f>
        <v>1481.42</v>
      </c>
      <c r="U30" s="126" cm="1">
        <f t="array" ref="U30">_xll.EQNXTDZ($A$1,$B30,U$1,$B$1)</f>
        <v>1785.98</v>
      </c>
      <c r="V30" s="126" cm="1">
        <f t="array" ref="V30">_xll.EQNXTDZ($A$1,$B30,V$1,$B$1)</f>
        <v>1574.14</v>
      </c>
      <c r="W30" s="126" cm="1">
        <f t="array" ref="W30">_xll.EQNXTDZ($A$1,$B30,W$1,$B$1)</f>
        <v>608.5</v>
      </c>
      <c r="X30" s="126" cm="1">
        <f t="array" ref="X30">_xll.EQNXTDZ($A$1,$B30,X$1,$B$1)</f>
        <v>1446.5</v>
      </c>
      <c r="Y30" s="126" cm="1">
        <f t="array" ref="Y30">_xll.EQNXTDZ($A$1,$B30,Y$1,$B$1)</f>
        <v>2739.24</v>
      </c>
      <c r="Z30" s="126" cm="1">
        <f t="array" ref="Z30">_xll.EQNXTDZ($A$1,$B30,Z$1,$B$1)</f>
        <v>3449.81</v>
      </c>
      <c r="AA30" s="126" cm="1">
        <f t="array" ref="AA30">_xll.EQNXTDZ($A$1,$B30,AA$1,$B$1)</f>
        <v>3122.22</v>
      </c>
      <c r="AB30" s="126" cm="1">
        <f t="array" ref="AB30">_xll.EQNXTDZ($A$1,$B30,AB$1,$B$1)</f>
        <v>3595.55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0</v>
      </c>
      <c r="D31" s="126" cm="1">
        <f t="array" ref="D31">_xll.EQNXTDZ($A$1,$B31,D$1,$B$1)</f>
        <v>0</v>
      </c>
      <c r="E31" s="126" cm="1">
        <f t="array" ref="E31">_xll.EQNXTDZ($A$1,$B31,E$1,$B$1)</f>
        <v>0</v>
      </c>
      <c r="F31" s="126" cm="1">
        <f t="array" ref="F31">_xll.EQNXTDZ($A$1,$B31,F$1,$B$1)</f>
        <v>0</v>
      </c>
      <c r="G31" s="126" cm="1">
        <f t="array" ref="G31">_xll.EQNXTDZ($A$1,$B31,G$1,$B$1)</f>
        <v>0</v>
      </c>
      <c r="H31" s="126" cm="1">
        <f t="array" ref="H31">_xll.EQNXTDZ($A$1,$B31,H$1,$B$1)</f>
        <v>0</v>
      </c>
      <c r="I31" s="126" cm="1">
        <f t="array" ref="I31">_xll.EQNXTDZ($A$1,$B31,I$1,$B$1)</f>
        <v>0</v>
      </c>
      <c r="J31" s="126" cm="1">
        <f t="array" ref="J31">_xll.EQNXTDZ($A$1,$B31,J$1,$B$1)</f>
        <v>2.71798E-2</v>
      </c>
      <c r="K31" s="126" cm="1">
        <f t="array" ref="K31">_xll.EQNXTDZ($A$1,$B31,K$1,$B$1)</f>
        <v>1.3996854000000001</v>
      </c>
      <c r="L31" s="126" cm="1">
        <f t="array" ref="L31">_xll.EQNXTDZ($A$1,$B31,L$1,$B$1)</f>
        <v>1.7089407000000001</v>
      </c>
      <c r="M31" s="126" cm="1">
        <f t="array" ref="M31">_xll.EQNXTDZ($A$1,$B31,M$1,$B$1)</f>
        <v>3.2444142</v>
      </c>
      <c r="N31" s="126" cm="1">
        <f t="array" ref="N31">_xll.EQNXTDZ($A$1,$B31,N$1,$B$1)</f>
        <v>3.61</v>
      </c>
      <c r="O31" s="126" cm="1">
        <f t="array" ref="O31">_xll.EQNXTDZ($A$1,$B31,O$1,$B$1)</f>
        <v>4.2699999999999996</v>
      </c>
      <c r="P31" s="126" cm="1">
        <f t="array" ref="P31">_xll.EQNXTDZ($A$1,$B31,P$1,$B$1)</f>
        <v>7.59</v>
      </c>
      <c r="Q31" s="126" cm="1">
        <f t="array" ref="Q31">_xll.EQNXTDZ($A$1,$B31,Q$1,$B$1)</f>
        <v>13.85</v>
      </c>
      <c r="R31" s="126" cm="1">
        <f t="array" ref="R31">_xll.EQNXTDZ($A$1,$B31,R$1,$B$1)</f>
        <v>19.89</v>
      </c>
      <c r="S31" s="126" cm="1">
        <f t="array" ref="S31">_xll.EQNXTDZ($A$1,$B31,S$1,$B$1)</f>
        <v>38.619999999999997</v>
      </c>
      <c r="T31" s="126" cm="1">
        <f t="array" ref="T31">_xll.EQNXTDZ($A$1,$B31,T$1,$B$1)</f>
        <v>45.31</v>
      </c>
      <c r="U31" s="126" cm="1">
        <f t="array" ref="U31">_xll.EQNXTDZ($A$1,$B31,U$1,$B$1)</f>
        <v>61.92</v>
      </c>
      <c r="V31" s="126" cm="1">
        <f t="array" ref="V31">_xll.EQNXTDZ($A$1,$B31,V$1,$B$1)</f>
        <v>109.66</v>
      </c>
      <c r="W31" s="126" cm="1">
        <f t="array" ref="W31">_xll.EQNXTDZ($A$1,$B31,W$1,$B$1)</f>
        <v>107.79</v>
      </c>
      <c r="X31" s="126" cm="1">
        <f t="array" ref="X31">_xll.EQNXTDZ($A$1,$B31,X$1,$B$1)</f>
        <v>98.94</v>
      </c>
      <c r="Y31" s="126" cm="1">
        <f t="array" ref="Y31">_xll.EQNXTDZ($A$1,$B31,Y$1,$B$1)</f>
        <v>111.84</v>
      </c>
      <c r="Z31" s="126" cm="1">
        <f t="array" ref="Z31">_xll.EQNXTDZ($A$1,$B31,Z$1,$B$1)</f>
        <v>145.13999999999999</v>
      </c>
      <c r="AA31" s="126" cm="1">
        <f t="array" ref="AA31">_xll.EQNXTDZ($A$1,$B31,AA$1,$B$1)</f>
        <v>194.42</v>
      </c>
      <c r="AB31" s="126" cm="1">
        <f t="array" ref="AB31">_xll.EQNXTDZ($A$1,$B31,AB$1,$B$1)</f>
        <v>209.27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0</v>
      </c>
      <c r="D32" s="126" cm="1">
        <f t="array" ref="D32">_xll.EQNXTDZ($A$1,$B32,D$1,$B$1)</f>
        <v>0</v>
      </c>
      <c r="E32" s="126" cm="1">
        <f t="array" ref="E32">_xll.EQNXTDZ($A$1,$B32,E$1,$B$1)</f>
        <v>0</v>
      </c>
      <c r="F32" s="126" cm="1">
        <f t="array" ref="F32">_xll.EQNXTDZ($A$1,$B32,F$1,$B$1)</f>
        <v>0</v>
      </c>
      <c r="G32" s="126" cm="1">
        <f t="array" ref="G32">_xll.EQNXTDZ($A$1,$B32,G$1,$B$1)</f>
        <v>0</v>
      </c>
      <c r="H32" s="126" cm="1">
        <f t="array" ref="H32">_xll.EQNXTDZ($A$1,$B32,H$1,$B$1)</f>
        <v>0</v>
      </c>
      <c r="I32" s="126" cm="1">
        <f t="array" ref="I32">_xll.EQNXTDZ($A$1,$B32,I$1,$B$1)</f>
        <v>0</v>
      </c>
      <c r="J32" s="126" cm="1">
        <f t="array" ref="J32">_xll.EQNXTDZ($A$1,$B32,J$1,$B$1)</f>
        <v>-3.5934135999999999</v>
      </c>
      <c r="K32" s="126" cm="1">
        <f t="array" ref="K32">_xll.EQNXTDZ($A$1,$B32,K$1,$B$1)</f>
        <v>-9.1902360999999999</v>
      </c>
      <c r="L32" s="126" cm="1">
        <f t="array" ref="L32">_xll.EQNXTDZ($A$1,$B32,L$1,$B$1)</f>
        <v>12.318415099999999</v>
      </c>
      <c r="M32" s="126" cm="1">
        <f t="array" ref="M32">_xll.EQNXTDZ($A$1,$B32,M$1,$B$1)</f>
        <v>24.577387099999999</v>
      </c>
      <c r="N32" s="126" cm="1">
        <f t="array" ref="N32">_xll.EQNXTDZ($A$1,$B32,N$1,$B$1)</f>
        <v>70.650000000000006</v>
      </c>
      <c r="O32" s="126" cm="1">
        <f t="array" ref="O32">_xll.EQNXTDZ($A$1,$B32,O$1,$B$1)</f>
        <v>150.13</v>
      </c>
      <c r="P32" s="126" cm="1">
        <f t="array" ref="P32">_xll.EQNXTDZ($A$1,$B32,P$1,$B$1)</f>
        <v>318.07</v>
      </c>
      <c r="Q32" s="126" cm="1">
        <f t="array" ref="Q32">_xll.EQNXTDZ($A$1,$B32,Q$1,$B$1)</f>
        <v>530.28</v>
      </c>
      <c r="R32" s="126" cm="1">
        <f t="array" ref="R32">_xll.EQNXTDZ($A$1,$B32,R$1,$B$1)</f>
        <v>817.81</v>
      </c>
      <c r="S32" s="126" cm="1">
        <f t="array" ref="S32">_xll.EQNXTDZ($A$1,$B32,S$1,$B$1)</f>
        <v>1058.5899999999999</v>
      </c>
      <c r="T32" s="126" cm="1">
        <f t="array" ref="T32">_xll.EQNXTDZ($A$1,$B32,T$1,$B$1)</f>
        <v>1436.11</v>
      </c>
      <c r="U32" s="126" cm="1">
        <f t="array" ref="U32">_xll.EQNXTDZ($A$1,$B32,U$1,$B$1)</f>
        <v>1724.06</v>
      </c>
      <c r="V32" s="126" cm="1">
        <f t="array" ref="V32">_xll.EQNXTDZ($A$1,$B32,V$1,$B$1)</f>
        <v>1464.48</v>
      </c>
      <c r="W32" s="126" cm="1">
        <f t="array" ref="W32">_xll.EQNXTDZ($A$1,$B32,W$1,$B$1)</f>
        <v>500.71</v>
      </c>
      <c r="X32" s="126" cm="1">
        <f t="array" ref="X32">_xll.EQNXTDZ($A$1,$B32,X$1,$B$1)</f>
        <v>1347.56</v>
      </c>
      <c r="Y32" s="126" cm="1">
        <f t="array" ref="Y32">_xll.EQNXTDZ($A$1,$B32,Y$1,$B$1)</f>
        <v>2627.4</v>
      </c>
      <c r="Z32" s="126" cm="1">
        <f t="array" ref="Z32">_xll.EQNXTDZ($A$1,$B32,Z$1,$B$1)</f>
        <v>3304.67</v>
      </c>
      <c r="AA32" s="126" cm="1">
        <f t="array" ref="AA32">_xll.EQNXTDZ($A$1,$B32,AA$1,$B$1)</f>
        <v>2927.8</v>
      </c>
      <c r="AB32" s="126" cm="1">
        <f t="array" ref="AB32">_xll.EQNXTDZ($A$1,$B32,AB$1,$B$1)</f>
        <v>3386.28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0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0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0</v>
      </c>
      <c r="T34" s="126" cm="1">
        <f t="array" ref="T34">_xll.EQNXTDZ($A$1,$B34,T$1,$B$1)</f>
        <v>0</v>
      </c>
      <c r="U34" s="126" cm="1">
        <f t="array" ref="U34">_xll.EQNXTDZ($A$1,$B34,U$1,$B$1)</f>
        <v>0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0</v>
      </c>
      <c r="Y34" s="126" cm="1">
        <f t="array" ref="Y34">_xll.EQNXTDZ($A$1,$B34,Y$1,$B$1)</f>
        <v>0</v>
      </c>
      <c r="Z34" s="126" cm="1">
        <f t="array" ref="Z34">_xll.EQNXTDZ($A$1,$B34,Z$1,$B$1)</f>
        <v>0</v>
      </c>
      <c r="AA34" s="126" cm="1">
        <f t="array" ref="AA34">_xll.EQNXTDZ($A$1,$B34,AA$1,$B$1)</f>
        <v>0</v>
      </c>
      <c r="AB34" s="126" cm="1">
        <f t="array" ref="AB34">_xll.EQNXTDZ($A$1,$B34,AB$1,$B$1)</f>
        <v>0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0</v>
      </c>
      <c r="D35" s="126" cm="1">
        <f t="array" ref="D35">_xll.EQNXTDZ($A$1,$B35,D$1,$B$1)</f>
        <v>0</v>
      </c>
      <c r="E35" s="126" cm="1">
        <f t="array" ref="E35">_xll.EQNXTDZ($A$1,$B35,E$1,$B$1)</f>
        <v>0</v>
      </c>
      <c r="F35" s="126" cm="1">
        <f t="array" ref="F35">_xll.EQNXTDZ($A$1,$B35,F$1,$B$1)</f>
        <v>0</v>
      </c>
      <c r="G35" s="126" cm="1">
        <f t="array" ref="G35">_xll.EQNXTDZ($A$1,$B35,G$1,$B$1)</f>
        <v>0</v>
      </c>
      <c r="H35" s="126" cm="1">
        <f t="array" ref="H35">_xll.EQNXTDZ($A$1,$B35,H$1,$B$1)</f>
        <v>0</v>
      </c>
      <c r="I35" s="126" cm="1">
        <f t="array" ref="I35">_xll.EQNXTDZ($A$1,$B35,I$1,$B$1)</f>
        <v>0</v>
      </c>
      <c r="J35" s="126" cm="1">
        <f t="array" ref="J35">_xll.EQNXTDZ($A$1,$B35,J$1,$B$1)</f>
        <v>-3.5934135999999999</v>
      </c>
      <c r="K35" s="126" cm="1">
        <f t="array" ref="K35">_xll.EQNXTDZ($A$1,$B35,K$1,$B$1)</f>
        <v>-9.1902360999999999</v>
      </c>
      <c r="L35" s="126" cm="1">
        <f t="array" ref="L35">_xll.EQNXTDZ($A$1,$B35,L$1,$B$1)</f>
        <v>12.318415099999999</v>
      </c>
      <c r="M35" s="126" cm="1">
        <f t="array" ref="M35">_xll.EQNXTDZ($A$1,$B35,M$1,$B$1)</f>
        <v>24.577387099999999</v>
      </c>
      <c r="N35" s="126" cm="1">
        <f t="array" ref="N35">_xll.EQNXTDZ($A$1,$B35,N$1,$B$1)</f>
        <v>70.650000000000006</v>
      </c>
      <c r="O35" s="126" cm="1">
        <f t="array" ref="O35">_xll.EQNXTDZ($A$1,$B35,O$1,$B$1)</f>
        <v>150.13</v>
      </c>
      <c r="P35" s="126" cm="1">
        <f t="array" ref="P35">_xll.EQNXTDZ($A$1,$B35,P$1,$B$1)</f>
        <v>318.07</v>
      </c>
      <c r="Q35" s="126" cm="1">
        <f t="array" ref="Q35">_xll.EQNXTDZ($A$1,$B35,Q$1,$B$1)</f>
        <v>530.28</v>
      </c>
      <c r="R35" s="126" cm="1">
        <f t="array" ref="R35">_xll.EQNXTDZ($A$1,$B35,R$1,$B$1)</f>
        <v>817.81</v>
      </c>
      <c r="S35" s="126" cm="1">
        <f t="array" ref="S35">_xll.EQNXTDZ($A$1,$B35,S$1,$B$1)</f>
        <v>1058.5899999999999</v>
      </c>
      <c r="T35" s="126" cm="1">
        <f t="array" ref="T35">_xll.EQNXTDZ($A$1,$B35,T$1,$B$1)</f>
        <v>1436.11</v>
      </c>
      <c r="U35" s="126" cm="1">
        <f t="array" ref="U35">_xll.EQNXTDZ($A$1,$B35,U$1,$B$1)</f>
        <v>1724.06</v>
      </c>
      <c r="V35" s="126" cm="1">
        <f t="array" ref="V35">_xll.EQNXTDZ($A$1,$B35,V$1,$B$1)</f>
        <v>1464.48</v>
      </c>
      <c r="W35" s="126" cm="1">
        <f t="array" ref="W35">_xll.EQNXTDZ($A$1,$B35,W$1,$B$1)</f>
        <v>500.71</v>
      </c>
      <c r="X35" s="126" cm="1">
        <f t="array" ref="X35">_xll.EQNXTDZ($A$1,$B35,X$1,$B$1)</f>
        <v>1347.56</v>
      </c>
      <c r="Y35" s="126" cm="1">
        <f t="array" ref="Y35">_xll.EQNXTDZ($A$1,$B35,Y$1,$B$1)</f>
        <v>2627.4</v>
      </c>
      <c r="Z35" s="126" cm="1">
        <f t="array" ref="Z35">_xll.EQNXTDZ($A$1,$B35,Z$1,$B$1)</f>
        <v>3304.67</v>
      </c>
      <c r="AA35" s="126" cm="1">
        <f t="array" ref="AA35">_xll.EQNXTDZ($A$1,$B35,AA$1,$B$1)</f>
        <v>2927.8</v>
      </c>
      <c r="AB35" s="126" cm="1">
        <f t="array" ref="AB35">_xll.EQNXTDZ($A$1,$B35,AB$1,$B$1)</f>
        <v>3386.28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0</v>
      </c>
      <c r="D36" s="126" cm="1">
        <f t="array" ref="D36">_xll.EQNXTDZ($A$1,$B36,D$1,$B$1)</f>
        <v>0</v>
      </c>
      <c r="E36" s="126" cm="1">
        <f t="array" ref="E36">_xll.EQNXTDZ($A$1,$B36,E$1,$B$1)</f>
        <v>0</v>
      </c>
      <c r="F36" s="126" cm="1">
        <f t="array" ref="F36">_xll.EQNXTDZ($A$1,$B36,F$1,$B$1)</f>
        <v>0</v>
      </c>
      <c r="G36" s="126" cm="1">
        <f t="array" ref="G36">_xll.EQNXTDZ($A$1,$B36,G$1,$B$1)</f>
        <v>0</v>
      </c>
      <c r="H36" s="126" cm="1">
        <f t="array" ref="H36">_xll.EQNXTDZ($A$1,$B36,H$1,$B$1)</f>
        <v>0</v>
      </c>
      <c r="I36" s="126" cm="1">
        <f t="array" ref="I36">_xll.EQNXTDZ($A$1,$B36,I$1,$B$1)</f>
        <v>0</v>
      </c>
      <c r="J36" s="126" cm="1">
        <f t="array" ref="J36">_xll.EQNXTDZ($A$1,$B36,J$1,$B$1)</f>
        <v>3.3E-3</v>
      </c>
      <c r="K36" s="126" cm="1">
        <f t="array" ref="K36">_xll.EQNXTDZ($A$1,$B36,K$1,$B$1)</f>
        <v>9.2499999999999999E-2</v>
      </c>
      <c r="L36" s="126" cm="1">
        <f t="array" ref="L36">_xll.EQNXTDZ($A$1,$B36,L$1,$B$1)</f>
        <v>2.4</v>
      </c>
      <c r="M36" s="126" cm="1">
        <f t="array" ref="M36">_xll.EQNXTDZ($A$1,$B36,M$1,$B$1)</f>
        <v>8.5169955999999996</v>
      </c>
      <c r="N36" s="126" cm="1">
        <f t="array" ref="N36">_xll.EQNXTDZ($A$1,$B36,N$1,$B$1)</f>
        <v>19.54</v>
      </c>
      <c r="O36" s="126" cm="1">
        <f t="array" ref="O36">_xll.EQNXTDZ($A$1,$B36,O$1,$B$1)</f>
        <v>47.68</v>
      </c>
      <c r="P36" s="126" cm="1">
        <f t="array" ref="P36">_xll.EQNXTDZ($A$1,$B36,P$1,$B$1)</f>
        <v>108.83</v>
      </c>
      <c r="Q36" s="126" cm="1">
        <f t="array" ref="Q36">_xll.EQNXTDZ($A$1,$B36,Q$1,$B$1)</f>
        <v>180.83</v>
      </c>
      <c r="R36" s="126" cm="1">
        <f t="array" ref="R36">_xll.EQNXTDZ($A$1,$B36,R$1,$B$1)</f>
        <v>283.39999999999998</v>
      </c>
      <c r="S36" s="126" cm="1">
        <f t="array" ref="S36">_xll.EQNXTDZ($A$1,$B36,S$1,$B$1)</f>
        <v>374.37</v>
      </c>
      <c r="T36" s="126" cm="1">
        <f t="array" ref="T36">_xll.EQNXTDZ($A$1,$B36,T$1,$B$1)</f>
        <v>503.09</v>
      </c>
      <c r="U36" s="126" cm="1">
        <f t="array" ref="U36">_xll.EQNXTDZ($A$1,$B36,U$1,$B$1)</f>
        <v>570.82000000000005</v>
      </c>
      <c r="V36" s="126" cm="1">
        <f t="array" ref="V36">_xll.EQNXTDZ($A$1,$B36,V$1,$B$1)</f>
        <v>459.63</v>
      </c>
      <c r="W36" s="126" cm="1">
        <f t="array" ref="W36">_xll.EQNXTDZ($A$1,$B36,W$1,$B$1)</f>
        <v>109.24</v>
      </c>
      <c r="X36" s="126" cm="1">
        <f t="array" ref="X36">_xll.EQNXTDZ($A$1,$B36,X$1,$B$1)</f>
        <v>336.16</v>
      </c>
      <c r="Y36" s="126" cm="1">
        <f t="array" ref="Y36">_xll.EQNXTDZ($A$1,$B36,Y$1,$B$1)</f>
        <v>668.05</v>
      </c>
      <c r="Z36" s="126" cm="1">
        <f t="array" ref="Z36">_xll.EQNXTDZ($A$1,$B36,Z$1,$B$1)</f>
        <v>843.83</v>
      </c>
      <c r="AA36" s="126" cm="1">
        <f t="array" ref="AA36">_xll.EQNXTDZ($A$1,$B36,AA$1,$B$1)</f>
        <v>751.88</v>
      </c>
      <c r="AB36" s="126" cm="1">
        <f t="array" ref="AB36">_xll.EQNXTDZ($A$1,$B36,AB$1,$B$1)</f>
        <v>842.45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0</v>
      </c>
      <c r="D37" s="126" cm="1">
        <f t="array" ref="D37">_xll.EQNXTDZ($A$1,$B37,D$1,$B$1)</f>
        <v>0</v>
      </c>
      <c r="E37" s="126" cm="1">
        <f t="array" ref="E37">_xll.EQNXTDZ($A$1,$B37,E$1,$B$1)</f>
        <v>0</v>
      </c>
      <c r="F37" s="126" cm="1">
        <f t="array" ref="F37">_xll.EQNXTDZ($A$1,$B37,F$1,$B$1)</f>
        <v>0</v>
      </c>
      <c r="G37" s="126" cm="1">
        <f t="array" ref="G37">_xll.EQNXTDZ($A$1,$B37,G$1,$B$1)</f>
        <v>0</v>
      </c>
      <c r="H37" s="126" cm="1">
        <f t="array" ref="H37">_xll.EQNXTDZ($A$1,$B37,H$1,$B$1)</f>
        <v>0</v>
      </c>
      <c r="I37" s="126" cm="1">
        <f t="array" ref="I37">_xll.EQNXTDZ($A$1,$B37,I$1,$B$1)</f>
        <v>0</v>
      </c>
      <c r="J37" s="126" cm="1">
        <f t="array" ref="J37">_xll.EQNXTDZ($A$1,$B37,J$1,$B$1)</f>
        <v>-3.5967136000000002</v>
      </c>
      <c r="K37" s="126" cm="1">
        <f t="array" ref="K37">_xll.EQNXTDZ($A$1,$B37,K$1,$B$1)</f>
        <v>-9.2827360999999993</v>
      </c>
      <c r="L37" s="126" cm="1">
        <f t="array" ref="L37">_xll.EQNXTDZ($A$1,$B37,L$1,$B$1)</f>
        <v>9.9184151000000007</v>
      </c>
      <c r="M37" s="126" cm="1">
        <f t="array" ref="M37">_xll.EQNXTDZ($A$1,$B37,M$1,$B$1)</f>
        <v>16.060391500000001</v>
      </c>
      <c r="N37" s="126" cm="1">
        <f t="array" ref="N37">_xll.EQNXTDZ($A$1,$B37,N$1,$B$1)</f>
        <v>51.11</v>
      </c>
      <c r="O37" s="126" cm="1">
        <f t="array" ref="O37">_xll.EQNXTDZ($A$1,$B37,O$1,$B$1)</f>
        <v>102.45</v>
      </c>
      <c r="P37" s="126" cm="1">
        <f t="array" ref="P37">_xll.EQNXTDZ($A$1,$B37,P$1,$B$1)</f>
        <v>209.24</v>
      </c>
      <c r="Q37" s="126" cm="1">
        <f t="array" ref="Q37">_xll.EQNXTDZ($A$1,$B37,Q$1,$B$1)</f>
        <v>349.45</v>
      </c>
      <c r="R37" s="126" cm="1">
        <f t="array" ref="R37">_xll.EQNXTDZ($A$1,$B37,R$1,$B$1)</f>
        <v>534.41</v>
      </c>
      <c r="S37" s="126" cm="1">
        <f t="array" ref="S37">_xll.EQNXTDZ($A$1,$B37,S$1,$B$1)</f>
        <v>684.22</v>
      </c>
      <c r="T37" s="126" cm="1">
        <f t="array" ref="T37">_xll.EQNXTDZ($A$1,$B37,T$1,$B$1)</f>
        <v>933.02</v>
      </c>
      <c r="U37" s="126" cm="1">
        <f t="array" ref="U37">_xll.EQNXTDZ($A$1,$B37,U$1,$B$1)</f>
        <v>1153.24</v>
      </c>
      <c r="V37" s="126" cm="1">
        <f t="array" ref="V37">_xll.EQNXTDZ($A$1,$B37,V$1,$B$1)</f>
        <v>1004.85</v>
      </c>
      <c r="W37" s="126" cm="1">
        <f t="array" ref="W37">_xll.EQNXTDZ($A$1,$B37,W$1,$B$1)</f>
        <v>391.47</v>
      </c>
      <c r="X37" s="126" cm="1">
        <f t="array" ref="X37">_xll.EQNXTDZ($A$1,$B37,X$1,$B$1)</f>
        <v>1011.4</v>
      </c>
      <c r="Y37" s="126" cm="1">
        <f t="array" ref="Y37">_xll.EQNXTDZ($A$1,$B37,Y$1,$B$1)</f>
        <v>1959.35</v>
      </c>
      <c r="Z37" s="126" cm="1">
        <f t="array" ref="Z37">_xll.EQNXTDZ($A$1,$B37,Z$1,$B$1)</f>
        <v>2460.84</v>
      </c>
      <c r="AA37" s="126" cm="1">
        <f t="array" ref="AA37">_xll.EQNXTDZ($A$1,$B37,AA$1,$B$1)</f>
        <v>2175.92</v>
      </c>
      <c r="AB37" s="126" cm="1">
        <f t="array" ref="AB37">_xll.EQNXTDZ($A$1,$B37,AB$1,$B$1)</f>
        <v>2543.83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0</v>
      </c>
      <c r="L41" s="126" cm="1">
        <f t="array" ref="L41">_xll.EQNXTDZ($A$1,$B41,L$1,$B$1)</f>
        <v>0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-0.25263580000000002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0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0</v>
      </c>
      <c r="D45" s="126" cm="1">
        <f t="array" ref="D45">_xll.EQNXTDZ($A$1,$B45,D$1,$B$1)</f>
        <v>0</v>
      </c>
      <c r="E45" s="126" cm="1">
        <f t="array" ref="E45">_xll.EQNXTDZ($A$1,$B45,E$1,$B$1)</f>
        <v>0</v>
      </c>
      <c r="F45" s="126" cm="1">
        <f t="array" ref="F45">_xll.EQNXTDZ($A$1,$B45,F$1,$B$1)</f>
        <v>0</v>
      </c>
      <c r="G45" s="126" cm="1">
        <f t="array" ref="G45">_xll.EQNXTDZ($A$1,$B45,G$1,$B$1)</f>
        <v>0</v>
      </c>
      <c r="H45" s="126" cm="1">
        <f t="array" ref="H45">_xll.EQNXTDZ($A$1,$B45,H$1,$B$1)</f>
        <v>0</v>
      </c>
      <c r="I45" s="126" cm="1">
        <f t="array" ref="I45">_xll.EQNXTDZ($A$1,$B45,I$1,$B$1)</f>
        <v>0</v>
      </c>
      <c r="J45" s="126" cm="1">
        <f t="array" ref="J45">_xll.EQNXTDZ($A$1,$B45,J$1,$B$1)</f>
        <v>-3.5967136000000002</v>
      </c>
      <c r="K45" s="126" cm="1">
        <f t="array" ref="K45">_xll.EQNXTDZ($A$1,$B45,K$1,$B$1)</f>
        <v>-9.2827360999999993</v>
      </c>
      <c r="L45" s="126" cm="1">
        <f t="array" ref="L45">_xll.EQNXTDZ($A$1,$B45,L$1,$B$1)</f>
        <v>9.9184151000000007</v>
      </c>
      <c r="M45" s="126" cm="1">
        <f t="array" ref="M45">_xll.EQNXTDZ($A$1,$B45,M$1,$B$1)</f>
        <v>16.060391500000001</v>
      </c>
      <c r="N45" s="126" cm="1">
        <f t="array" ref="N45">_xll.EQNXTDZ($A$1,$B45,N$1,$B$1)</f>
        <v>51.11</v>
      </c>
      <c r="O45" s="126" cm="1">
        <f t="array" ref="O45">_xll.EQNXTDZ($A$1,$B45,O$1,$B$1)</f>
        <v>102.45</v>
      </c>
      <c r="P45" s="126" cm="1">
        <f t="array" ref="P45">_xll.EQNXTDZ($A$1,$B45,P$1,$B$1)</f>
        <v>209.24</v>
      </c>
      <c r="Q45" s="126" cm="1">
        <f t="array" ref="Q45">_xll.EQNXTDZ($A$1,$B45,Q$1,$B$1)</f>
        <v>349.45</v>
      </c>
      <c r="R45" s="126" cm="1">
        <f t="array" ref="R45">_xll.EQNXTDZ($A$1,$B45,R$1,$B$1)</f>
        <v>534.41</v>
      </c>
      <c r="S45" s="126" cm="1">
        <f t="array" ref="S45">_xll.EQNXTDZ($A$1,$B45,S$1,$B$1)</f>
        <v>684.22</v>
      </c>
      <c r="T45" s="126" cm="1">
        <f t="array" ref="T45">_xll.EQNXTDZ($A$1,$B45,T$1,$B$1)</f>
        <v>933.02</v>
      </c>
      <c r="U45" s="126" cm="1">
        <f t="array" ref="U45">_xll.EQNXTDZ($A$1,$B45,U$1,$B$1)</f>
        <v>1153.24</v>
      </c>
      <c r="V45" s="126" cm="1">
        <f t="array" ref="V45">_xll.EQNXTDZ($A$1,$B45,V$1,$B$1)</f>
        <v>1004.85</v>
      </c>
      <c r="W45" s="126" cm="1">
        <f t="array" ref="W45">_xll.EQNXTDZ($A$1,$B45,W$1,$B$1)</f>
        <v>391.47</v>
      </c>
      <c r="X45" s="126" cm="1">
        <f t="array" ref="X45">_xll.EQNXTDZ($A$1,$B45,X$1,$B$1)</f>
        <v>1011.4</v>
      </c>
      <c r="Y45" s="126" cm="1">
        <f t="array" ref="Y45">_xll.EQNXTDZ($A$1,$B45,Y$1,$B$1)</f>
        <v>1959.35</v>
      </c>
      <c r="Z45" s="126" cm="1">
        <f t="array" ref="Z45">_xll.EQNXTDZ($A$1,$B45,Z$1,$B$1)</f>
        <v>2460.84</v>
      </c>
      <c r="AA45" s="126" cm="1">
        <f t="array" ref="AA45">_xll.EQNXTDZ($A$1,$B45,AA$1,$B$1)</f>
        <v>2175.92</v>
      </c>
      <c r="AB45" s="126" cm="1">
        <f t="array" ref="AB45">_xll.EQNXTDZ($A$1,$B45,AB$1,$B$1)</f>
        <v>2543.83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0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0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0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0</v>
      </c>
      <c r="D47" s="126" cm="1">
        <f t="array" ref="D47">_xll.EQNXTDZ($A$1,$B47,D$1,$B$1)</f>
        <v>0</v>
      </c>
      <c r="E47" s="126" cm="1">
        <f t="array" ref="E47">_xll.EQNXTDZ($A$1,$B47,E$1,$B$1)</f>
        <v>0</v>
      </c>
      <c r="F47" s="126" cm="1">
        <f t="array" ref="F47">_xll.EQNXTDZ($A$1,$B47,F$1,$B$1)</f>
        <v>0</v>
      </c>
      <c r="G47" s="126" cm="1">
        <f t="array" ref="G47">_xll.EQNXTDZ($A$1,$B47,G$1,$B$1)</f>
        <v>0</v>
      </c>
      <c r="H47" s="126" cm="1">
        <f t="array" ref="H47">_xll.EQNXTDZ($A$1,$B47,H$1,$B$1)</f>
        <v>0</v>
      </c>
      <c r="I47" s="126" cm="1">
        <f t="array" ref="I47">_xll.EQNXTDZ($A$1,$B47,I$1,$B$1)</f>
        <v>0</v>
      </c>
      <c r="J47" s="126" cm="1">
        <f t="array" ref="J47">_xll.EQNXTDZ($A$1,$B47,J$1,$B$1)</f>
        <v>0</v>
      </c>
      <c r="K47" s="126" cm="1">
        <f t="array" ref="K47">_xll.EQNXTDZ($A$1,$B47,K$1,$B$1)</f>
        <v>-3.5967136000000002</v>
      </c>
      <c r="L47" s="126" cm="1">
        <f t="array" ref="L47">_xll.EQNXTDZ($A$1,$B47,L$1,$B$1)</f>
        <v>-12.8794497</v>
      </c>
      <c r="M47" s="126" cm="1">
        <f t="array" ref="M47">_xll.EQNXTDZ($A$1,$B47,M$1,$B$1)</f>
        <v>-2.9610346000000001</v>
      </c>
      <c r="N47" s="126" cm="1">
        <f t="array" ref="N47">_xll.EQNXTDZ($A$1,$B47,N$1,$B$1)</f>
        <v>7.55</v>
      </c>
      <c r="O47" s="126" cm="1">
        <f t="array" ref="O47">_xll.EQNXTDZ($A$1,$B47,O$1,$B$1)</f>
        <v>48.41</v>
      </c>
      <c r="P47" s="126" cm="1">
        <f t="array" ref="P47">_xll.EQNXTDZ($A$1,$B47,P$1,$B$1)</f>
        <v>130.36000000000001</v>
      </c>
      <c r="Q47" s="126" cm="1">
        <f t="array" ref="Q47">_xll.EQNXTDZ($A$1,$B47,Q$1,$B$1)</f>
        <v>267.70999999999998</v>
      </c>
      <c r="R47" s="126" cm="1">
        <f t="array" ref="R47">_xll.EQNXTDZ($A$1,$B47,R$1,$B$1)</f>
        <v>488.29</v>
      </c>
      <c r="S47" s="126" cm="1">
        <f t="array" ref="S47">_xll.EQNXTDZ($A$1,$B47,S$1,$B$1)</f>
        <v>814.69</v>
      </c>
      <c r="T47" s="126" cm="1">
        <f t="array" ref="T47">_xll.EQNXTDZ($A$1,$B47,T$1,$B$1)</f>
        <v>1194.33</v>
      </c>
      <c r="U47" s="126" cm="1">
        <f t="array" ref="U47">_xll.EQNXTDZ($A$1,$B47,U$1,$B$1)</f>
        <v>1799.59</v>
      </c>
      <c r="V47" s="126" cm="1">
        <f t="array" ref="V47">_xll.EQNXTDZ($A$1,$B47,V$1,$B$1)</f>
        <v>2656.1</v>
      </c>
      <c r="W47" s="126" cm="1">
        <f t="array" ref="W47">_xll.EQNXTDZ($A$1,$B47,W$1,$B$1)</f>
        <v>3304.8</v>
      </c>
      <c r="X47" s="126" cm="1">
        <f t="array" ref="X47">_xll.EQNXTDZ($A$1,$B47,X$1,$B$1)</f>
        <v>3617.98</v>
      </c>
      <c r="Y47" s="126" cm="1">
        <f t="array" ref="Y47">_xll.EQNXTDZ($A$1,$B47,Y$1,$B$1)</f>
        <v>4427.1000000000004</v>
      </c>
      <c r="Z47" s="126" cm="1">
        <f t="array" ref="Z47">_xll.EQNXTDZ($A$1,$B47,Z$1,$B$1)</f>
        <v>5844.33</v>
      </c>
      <c r="AA47" s="126" cm="1">
        <f t="array" ref="AA47">_xll.EQNXTDZ($A$1,$B47,AA$1,$B$1)</f>
        <v>7567.62</v>
      </c>
      <c r="AB47" s="126" cm="1">
        <f t="array" ref="AB47">_xll.EQNXTDZ($A$1,$B47,AB$1,$B$1)</f>
        <v>9070.26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0</v>
      </c>
      <c r="G49" s="126" cm="1">
        <f t="array" ref="G49">_xll.EQNXTDZ($A$1,$B49,G$1,$B$1)</f>
        <v>0</v>
      </c>
      <c r="H49" s="126" cm="1">
        <f t="array" ref="H49">_xll.EQNXTDZ($A$1,$B49,H$1,$B$1)</f>
        <v>0</v>
      </c>
      <c r="I49" s="126" cm="1">
        <f t="array" ref="I49">_xll.EQNXTDZ($A$1,$B49,I$1,$B$1)</f>
        <v>0</v>
      </c>
      <c r="J49" s="126" cm="1">
        <f t="array" ref="J49">_xll.EQNXTDZ($A$1,$B49,J$1,$B$1)</f>
        <v>0</v>
      </c>
      <c r="K49" s="126" cm="1">
        <f t="array" ref="K49">_xll.EQNXTDZ($A$1,$B49,K$1,$B$1)</f>
        <v>0</v>
      </c>
      <c r="L49" s="126" cm="1">
        <f t="array" ref="L49">_xll.EQNXTDZ($A$1,$B49,L$1,$B$1)</f>
        <v>0</v>
      </c>
      <c r="M49" s="126" cm="1">
        <f t="array" ref="M49">_xll.EQNXTDZ($A$1,$B49,M$1,$B$1)</f>
        <v>0</v>
      </c>
      <c r="N49" s="126" cm="1">
        <f t="array" ref="N49">_xll.EQNXTDZ($A$1,$B49,N$1,$B$1)</f>
        <v>0</v>
      </c>
      <c r="O49" s="126" cm="1">
        <f t="array" ref="O49">_xll.EQNXTDZ($A$1,$B49,O$1,$B$1)</f>
        <v>0</v>
      </c>
      <c r="P49" s="126" cm="1">
        <f t="array" ref="P49">_xll.EQNXTDZ($A$1,$B49,P$1,$B$1)</f>
        <v>0</v>
      </c>
      <c r="Q49" s="126" cm="1">
        <f t="array" ref="Q49">_xll.EQNXTDZ($A$1,$B49,Q$1,$B$1)</f>
        <v>0</v>
      </c>
      <c r="R49" s="126" cm="1">
        <f t="array" ref="R49">_xll.EQNXTDZ($A$1,$B49,R$1,$B$1)</f>
        <v>0</v>
      </c>
      <c r="S49" s="126" cm="1">
        <f t="array" ref="S49">_xll.EQNXTDZ($A$1,$B49,S$1,$B$1)</f>
        <v>0</v>
      </c>
      <c r="T49" s="126" cm="1">
        <f t="array" ref="T49">_xll.EQNXTDZ($A$1,$B49,T$1,$B$1)</f>
        <v>933.02</v>
      </c>
      <c r="U49" s="126" cm="1">
        <f t="array" ref="U49">_xll.EQNXTDZ($A$1,$B49,U$1,$B$1)</f>
        <v>1153.24</v>
      </c>
      <c r="V49" s="126" cm="1">
        <f t="array" ref="V49">_xll.EQNXTDZ($A$1,$B49,V$1,$B$1)</f>
        <v>1004.85</v>
      </c>
      <c r="W49" s="126" cm="1">
        <f t="array" ref="W49">_xll.EQNXTDZ($A$1,$B49,W$1,$B$1)</f>
        <v>391.47</v>
      </c>
      <c r="X49" s="126" cm="1">
        <f t="array" ref="X49">_xll.EQNXTDZ($A$1,$B49,X$1,$B$1)</f>
        <v>1011.4</v>
      </c>
      <c r="Y49" s="126" cm="1">
        <f t="array" ref="Y49">_xll.EQNXTDZ($A$1,$B49,Y$1,$B$1)</f>
        <v>1959.35</v>
      </c>
      <c r="Z49" s="126" cm="1">
        <f t="array" ref="Z49">_xll.EQNXTDZ($A$1,$B49,Z$1,$B$1)</f>
        <v>2460.84</v>
      </c>
      <c r="AA49" s="126" cm="1">
        <f t="array" ref="AA49">_xll.EQNXTDZ($A$1,$B49,AA$1,$B$1)</f>
        <v>2175.92</v>
      </c>
      <c r="AB49" s="126" cm="1">
        <f t="array" ref="AB49">_xll.EQNXTDZ($A$1,$B49,AB$1,$B$1)</f>
        <v>0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0</v>
      </c>
      <c r="D52" s="126" cm="1">
        <f t="array" ref="D52">_xll.EQNXTDZ($A$1,$B52,D$1,$B$1)</f>
        <v>0</v>
      </c>
      <c r="E52" s="126" cm="1">
        <f t="array" ref="E52">_xll.EQNXTDZ($A$1,$B52,E$1,$B$1)</f>
        <v>0</v>
      </c>
      <c r="F52" s="126" cm="1">
        <f t="array" ref="F52">_xll.EQNXTDZ($A$1,$B52,F$1,$B$1)</f>
        <v>0</v>
      </c>
      <c r="G52" s="126" cm="1">
        <f t="array" ref="G52">_xll.EQNXTDZ($A$1,$B52,G$1,$B$1)</f>
        <v>0</v>
      </c>
      <c r="H52" s="126" cm="1">
        <f t="array" ref="H52">_xll.EQNXTDZ($A$1,$B52,H$1,$B$1)</f>
        <v>0</v>
      </c>
      <c r="I52" s="126" cm="1">
        <f t="array" ref="I52">_xll.EQNXTDZ($A$1,$B52,I$1,$B$1)</f>
        <v>0</v>
      </c>
      <c r="J52" s="126" cm="1">
        <f t="array" ref="J52">_xll.EQNXTDZ($A$1,$B52,J$1,$B$1)</f>
        <v>104.94199999999999</v>
      </c>
      <c r="K52" s="126" cm="1">
        <f t="array" ref="K52">_xll.EQNXTDZ($A$1,$B52,K$1,$B$1)</f>
        <v>105.00700000000001</v>
      </c>
      <c r="L52" s="126" cm="1">
        <f t="array" ref="L52">_xll.EQNXTDZ($A$1,$B52,L$1,$B$1)</f>
        <v>105.00700000000001</v>
      </c>
      <c r="M52" s="126" cm="1">
        <f t="array" ref="M52">_xll.EQNXTDZ($A$1,$B52,M$1,$B$1)</f>
        <v>410.26400000000001</v>
      </c>
      <c r="N52" s="126" cm="1">
        <f t="array" ref="N52">_xll.EQNXTDZ($A$1,$B52,N$1,$B$1)</f>
        <v>410.61</v>
      </c>
      <c r="O52" s="126" cm="1">
        <f t="array" ref="O52">_xll.EQNXTDZ($A$1,$B52,O$1,$B$1)</f>
        <v>410.77</v>
      </c>
      <c r="P52" s="126" cm="1">
        <f t="array" ref="P52">_xll.EQNXTDZ($A$1,$B52,P$1,$B$1)</f>
        <v>513.75</v>
      </c>
      <c r="Q52" s="126" cm="1">
        <f t="array" ref="Q52">_xll.EQNXTDZ($A$1,$B52,Q$1,$B$1)</f>
        <v>699.47</v>
      </c>
      <c r="R52" s="126" cm="1">
        <f t="array" ref="R52">_xll.EQNXTDZ($A$1,$B52,R$1,$B$1)</f>
        <v>700.17</v>
      </c>
      <c r="S52" s="126" cm="1">
        <f t="array" ref="S52">_xll.EQNXTDZ($A$1,$B52,S$1,$B$1)</f>
        <v>780.24</v>
      </c>
      <c r="T52" s="126" cm="1">
        <f t="array" ref="T52">_xll.EQNXTDZ($A$1,$B52,T$1,$B$1)</f>
        <v>782.94</v>
      </c>
      <c r="U52" s="126" cm="1">
        <f t="array" ref="U52">_xll.EQNXTDZ($A$1,$B52,U$1,$B$1)</f>
        <v>785.7</v>
      </c>
      <c r="V52" s="126" cm="1">
        <f t="array" ref="V52">_xll.EQNXTDZ($A$1,$B52,V$1,$B$1)</f>
        <v>787.58</v>
      </c>
      <c r="W52" s="126" cm="1">
        <f t="array" ref="W52">_xll.EQNXTDZ($A$1,$B52,W$1,$B$1)</f>
        <v>789.19</v>
      </c>
      <c r="X52" s="126" cm="1">
        <f t="array" ref="X52">_xll.EQNXTDZ($A$1,$B52,X$1,$B$1)</f>
        <v>790.44</v>
      </c>
      <c r="Y52" s="126" cm="1">
        <f t="array" ref="Y52">_xll.EQNXTDZ($A$1,$B52,Y$1,$B$1)</f>
        <v>791.4</v>
      </c>
      <c r="Z52" s="126" cm="1">
        <f t="array" ref="Z52">_xll.EQNXTDZ($A$1,$B52,Z$1,$B$1)</f>
        <v>793.08</v>
      </c>
      <c r="AA52" s="126" cm="1">
        <f t="array" ref="AA52">_xll.EQNXTDZ($A$1,$B52,AA$1,$B$1)</f>
        <v>795.78</v>
      </c>
      <c r="AB52" s="126" cm="1">
        <f t="array" ref="AB52">_xll.EQNXTDZ($A$1,$B52,AB$1,$B$1)</f>
        <v>830.33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0</v>
      </c>
      <c r="D53" s="126" cm="1">
        <f t="array" ref="D53">_xll.EQNXTDZ($A$1,$B53,D$1,$B$1)</f>
        <v>0</v>
      </c>
      <c r="E53" s="126" cm="1">
        <f t="array" ref="E53">_xll.EQNXTDZ($A$1,$B53,E$1,$B$1)</f>
        <v>0</v>
      </c>
      <c r="F53" s="126" cm="1">
        <f t="array" ref="F53">_xll.EQNXTDZ($A$1,$B53,F$1,$B$1)</f>
        <v>0</v>
      </c>
      <c r="G53" s="126" cm="1">
        <f t="array" ref="G53">_xll.EQNXTDZ($A$1,$B53,G$1,$B$1)</f>
        <v>0</v>
      </c>
      <c r="H53" s="126" cm="1">
        <f t="array" ref="H53">_xll.EQNXTDZ($A$1,$B53,H$1,$B$1)</f>
        <v>0</v>
      </c>
      <c r="I53" s="126" cm="1">
        <f t="array" ref="I53">_xll.EQNXTDZ($A$1,$B53,I$1,$B$1)</f>
        <v>0</v>
      </c>
      <c r="J53" s="126" cm="1">
        <f t="array" ref="J53">_xll.EQNXTDZ($A$1,$B53,J$1,$B$1)</f>
        <v>-3.5967136000000002</v>
      </c>
      <c r="K53" s="126" cm="1">
        <f t="array" ref="K53">_xll.EQNXTDZ($A$1,$B53,K$1,$B$1)</f>
        <v>-12.8794497</v>
      </c>
      <c r="L53" s="126" cm="1">
        <f t="array" ref="L53">_xll.EQNXTDZ($A$1,$B53,L$1,$B$1)</f>
        <v>-2.9610346000000001</v>
      </c>
      <c r="M53" s="126" cm="1">
        <f t="array" ref="M53">_xll.EQNXTDZ($A$1,$B53,M$1,$B$1)</f>
        <v>309.0051211</v>
      </c>
      <c r="N53" s="126" cm="1">
        <f t="array" ref="N53">_xll.EQNXTDZ($A$1,$B53,N$1,$B$1)</f>
        <v>360.18</v>
      </c>
      <c r="O53" s="126" cm="1">
        <f t="array" ref="O53">_xll.EQNXTDZ($A$1,$B53,O$1,$B$1)</f>
        <v>462.76</v>
      </c>
      <c r="P53" s="126" cm="1">
        <f t="array" ref="P53">_xll.EQNXTDZ($A$1,$B53,P$1,$B$1)</f>
        <v>1114.75</v>
      </c>
      <c r="Q53" s="126" cm="1">
        <f t="array" ref="Q53">_xll.EQNXTDZ($A$1,$B53,Q$1,$B$1)</f>
        <v>2425.66</v>
      </c>
      <c r="R53" s="126" cm="1">
        <f t="array" ref="R53">_xll.EQNXTDZ($A$1,$B53,R$1,$B$1)</f>
        <v>2861.63</v>
      </c>
      <c r="S53" s="126" cm="1">
        <f t="array" ref="S53">_xll.EQNXTDZ($A$1,$B53,S$1,$B$1)</f>
        <v>4582.6499999999996</v>
      </c>
      <c r="T53" s="126" cm="1">
        <f t="array" ref="T53">_xll.EQNXTDZ($A$1,$B53,T$1,$B$1)</f>
        <v>5234.54</v>
      </c>
      <c r="U53" s="126" cm="1">
        <f t="array" ref="U53">_xll.EQNXTDZ($A$1,$B53,U$1,$B$1)</f>
        <v>6354.54</v>
      </c>
      <c r="V53" s="126" cm="1">
        <f t="array" ref="V53">_xll.EQNXTDZ($A$1,$B53,V$1,$B$1)</f>
        <v>7180.8</v>
      </c>
      <c r="W53" s="126" cm="1">
        <f t="array" ref="W53">_xll.EQNXTDZ($A$1,$B53,W$1,$B$1)</f>
        <v>7594.08</v>
      </c>
      <c r="X53" s="126" cm="1">
        <f t="array" ref="X53">_xll.EQNXTDZ($A$1,$B53,X$1,$B$1)</f>
        <v>8713.76</v>
      </c>
      <c r="Y53" s="126" cm="1">
        <f t="array" ref="Y53">_xll.EQNXTDZ($A$1,$B53,Y$1,$B$1)</f>
        <v>10605.96</v>
      </c>
      <c r="Z53" s="126" cm="1">
        <f t="array" ref="Z53">_xll.EQNXTDZ($A$1,$B53,Z$1,$B$1)</f>
        <v>12880.41</v>
      </c>
      <c r="AA53" s="126" cm="1">
        <f t="array" ref="AA53">_xll.EQNXTDZ($A$1,$B53,AA$1,$B$1)</f>
        <v>14918.62</v>
      </c>
      <c r="AB53" s="126" cm="1">
        <f t="array" ref="AB53">_xll.EQNXTDZ($A$1,$B53,AB$1,$B$1)</f>
        <v>19693.439999999999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0</v>
      </c>
      <c r="D54" s="126" cm="1">
        <f t="array" ref="D54">_xll.EQNXTDZ($A$1,$B54,D$1,$B$1)</f>
        <v>0</v>
      </c>
      <c r="E54" s="126" cm="1">
        <f t="array" ref="E54">_xll.EQNXTDZ($A$1,$B54,E$1,$B$1)</f>
        <v>0</v>
      </c>
      <c r="F54" s="126" cm="1">
        <f t="array" ref="F54">_xll.EQNXTDZ($A$1,$B54,F$1,$B$1)</f>
        <v>0</v>
      </c>
      <c r="G54" s="126" cm="1">
        <f t="array" ref="G54">_xll.EQNXTDZ($A$1,$B54,G$1,$B$1)</f>
        <v>0</v>
      </c>
      <c r="H54" s="126" cm="1">
        <f t="array" ref="H54">_xll.EQNXTDZ($A$1,$B54,H$1,$B$1)</f>
        <v>0</v>
      </c>
      <c r="I54" s="126" cm="1">
        <f t="array" ref="I54">_xll.EQNXTDZ($A$1,$B54,I$1,$B$1)</f>
        <v>0</v>
      </c>
      <c r="J54" s="126" cm="1">
        <f t="array" ref="J54">_xll.EQNXTDZ($A$1,$B54,J$1,$B$1)</f>
        <v>101.34528640000001</v>
      </c>
      <c r="K54" s="126" cm="1">
        <f t="array" ref="K54">_xll.EQNXTDZ($A$1,$B54,K$1,$B$1)</f>
        <v>92.127550299999996</v>
      </c>
      <c r="L54" s="126" cm="1">
        <f t="array" ref="L54">_xll.EQNXTDZ($A$1,$B54,L$1,$B$1)</f>
        <v>102.0459654</v>
      </c>
      <c r="M54" s="126" cm="1">
        <f t="array" ref="M54">_xll.EQNXTDZ($A$1,$B54,M$1,$B$1)</f>
        <v>719.26912110000001</v>
      </c>
      <c r="N54" s="126" cm="1">
        <f t="array" ref="N54">_xll.EQNXTDZ($A$1,$B54,N$1,$B$1)</f>
        <v>770.79</v>
      </c>
      <c r="O54" s="126" cm="1">
        <f t="array" ref="O54">_xll.EQNXTDZ($A$1,$B54,O$1,$B$1)</f>
        <v>873.53</v>
      </c>
      <c r="P54" s="126" cm="1">
        <f t="array" ref="P54">_xll.EQNXTDZ($A$1,$B54,P$1,$B$1)</f>
        <v>1628.5</v>
      </c>
      <c r="Q54" s="126" cm="1">
        <f t="array" ref="Q54">_xll.EQNXTDZ($A$1,$B54,Q$1,$B$1)</f>
        <v>3125.13</v>
      </c>
      <c r="R54" s="126" cm="1">
        <f t="array" ref="R54">_xll.EQNXTDZ($A$1,$B54,R$1,$B$1)</f>
        <v>3561.8</v>
      </c>
      <c r="S54" s="126" cm="1">
        <f t="array" ref="S54">_xll.EQNXTDZ($A$1,$B54,S$1,$B$1)</f>
        <v>5362.89</v>
      </c>
      <c r="T54" s="126" cm="1">
        <f t="array" ref="T54">_xll.EQNXTDZ($A$1,$B54,T$1,$B$1)</f>
        <v>6017.48</v>
      </c>
      <c r="U54" s="126" cm="1">
        <f t="array" ref="U54">_xll.EQNXTDZ($A$1,$B54,U$1,$B$1)</f>
        <v>7140.24</v>
      </c>
      <c r="V54" s="126" cm="1">
        <f t="array" ref="V54">_xll.EQNXTDZ($A$1,$B54,V$1,$B$1)</f>
        <v>7968.38</v>
      </c>
      <c r="W54" s="126" cm="1">
        <f t="array" ref="W54">_xll.EQNXTDZ($A$1,$B54,W$1,$B$1)</f>
        <v>8383.27</v>
      </c>
      <c r="X54" s="126" cm="1">
        <f t="array" ref="X54">_xll.EQNXTDZ($A$1,$B54,X$1,$B$1)</f>
        <v>9504.2000000000007</v>
      </c>
      <c r="Y54" s="126" cm="1">
        <f t="array" ref="Y54">_xll.EQNXTDZ($A$1,$B54,Y$1,$B$1)</f>
        <v>11397.36</v>
      </c>
      <c r="Z54" s="126" cm="1">
        <f t="array" ref="Z54">_xll.EQNXTDZ($A$1,$B54,Z$1,$B$1)</f>
        <v>13673.49</v>
      </c>
      <c r="AA54" s="126" cm="1">
        <f t="array" ref="AA54">_xll.EQNXTDZ($A$1,$B54,AA$1,$B$1)</f>
        <v>15714.4</v>
      </c>
      <c r="AB54" s="126" cm="1">
        <f t="array" ref="AB54">_xll.EQNXTDZ($A$1,$B54,AB$1,$B$1)</f>
        <v>20523.77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0</v>
      </c>
      <c r="D55" s="126" cm="1">
        <f t="array" ref="D55">_xll.EQNXTDZ($A$1,$B55,D$1,$B$1)</f>
        <v>0</v>
      </c>
      <c r="E55" s="126" cm="1">
        <f t="array" ref="E55">_xll.EQNXTDZ($A$1,$B55,E$1,$B$1)</f>
        <v>0</v>
      </c>
      <c r="F55" s="126" cm="1">
        <f t="array" ref="F55">_xll.EQNXTDZ($A$1,$B55,F$1,$B$1)</f>
        <v>0</v>
      </c>
      <c r="G55" s="126" cm="1">
        <f t="array" ref="G55">_xll.EQNXTDZ($A$1,$B55,G$1,$B$1)</f>
        <v>0</v>
      </c>
      <c r="H55" s="126" cm="1">
        <f t="array" ref="H55">_xll.EQNXTDZ($A$1,$B55,H$1,$B$1)</f>
        <v>0</v>
      </c>
      <c r="I55" s="126" cm="1">
        <f t="array" ref="I55">_xll.EQNXTDZ($A$1,$B55,I$1,$B$1)</f>
        <v>0</v>
      </c>
      <c r="J55" s="126" cm="1">
        <f t="array" ref="J55">_xll.EQNXTDZ($A$1,$B55,J$1,$B$1)</f>
        <v>0</v>
      </c>
      <c r="K55" s="126" cm="1">
        <f t="array" ref="K55">_xll.EQNXTDZ($A$1,$B55,K$1,$B$1)</f>
        <v>90</v>
      </c>
      <c r="L55" s="126" cm="1">
        <f t="array" ref="L55">_xll.EQNXTDZ($A$1,$B55,L$1,$B$1)</f>
        <v>450.10510859999999</v>
      </c>
      <c r="M55" s="126" cm="1">
        <f t="array" ref="M55">_xll.EQNXTDZ($A$1,$B55,M$1,$B$1)</f>
        <v>668.46222969999997</v>
      </c>
      <c r="N55" s="126" cm="1">
        <f t="array" ref="N55">_xll.EQNXTDZ($A$1,$B55,N$1,$B$1)</f>
        <v>3034.27</v>
      </c>
      <c r="O55" s="126" cm="1">
        <f t="array" ref="O55">_xll.EQNXTDZ($A$1,$B55,O$1,$B$1)</f>
        <v>7153.51</v>
      </c>
      <c r="P55" s="126" cm="1">
        <f t="array" ref="P55">_xll.EQNXTDZ($A$1,$B55,P$1,$B$1)</f>
        <v>11075</v>
      </c>
      <c r="Q55" s="126" cm="1">
        <f t="array" ref="Q55">_xll.EQNXTDZ($A$1,$B55,Q$1,$B$1)</f>
        <v>15277.97</v>
      </c>
      <c r="R55" s="126" cm="1">
        <f t="array" ref="R55">_xll.EQNXTDZ($A$1,$B55,R$1,$B$1)</f>
        <v>19612.150000000001</v>
      </c>
      <c r="S55" s="126" cm="1">
        <f t="array" ref="S55">_xll.EQNXTDZ($A$1,$B55,S$1,$B$1)</f>
        <v>25587.05</v>
      </c>
      <c r="T55" s="126" cm="1">
        <f t="array" ref="T55">_xll.EQNXTDZ($A$1,$B55,T$1,$B$1)</f>
        <v>35753.449999999997</v>
      </c>
      <c r="U55" s="126" cm="1">
        <f t="array" ref="U55">_xll.EQNXTDZ($A$1,$B55,U$1,$B$1)</f>
        <v>45105.1</v>
      </c>
      <c r="V55" s="126" cm="1">
        <f t="array" ref="V55">_xll.EQNXTDZ($A$1,$B55,V$1,$B$1)</f>
        <v>49804.09</v>
      </c>
      <c r="W55" s="126" cm="1">
        <f t="array" ref="W55">_xll.EQNXTDZ($A$1,$B55,W$1,$B$1)</f>
        <v>50358.75</v>
      </c>
      <c r="X55" s="126" cm="1">
        <f t="array" ref="X55">_xll.EQNXTDZ($A$1,$B55,X$1,$B$1)</f>
        <v>48973.08</v>
      </c>
      <c r="Y55" s="126" cm="1">
        <f t="array" ref="Y55">_xll.EQNXTDZ($A$1,$B55,Y$1,$B$1)</f>
        <v>54865.31</v>
      </c>
      <c r="Z55" s="126" cm="1">
        <f t="array" ref="Z55">_xll.EQNXTDZ($A$1,$B55,Z$1,$B$1)</f>
        <v>74330.67</v>
      </c>
      <c r="AA55" s="126" cm="1">
        <f t="array" ref="AA55">_xll.EQNXTDZ($A$1,$B55,AA$1,$B$1)</f>
        <v>89682.37</v>
      </c>
      <c r="AB55" s="126" cm="1">
        <f t="array" ref="AB55">_xll.EQNXTDZ($A$1,$B55,AB$1,$B$1)</f>
        <v>99230.05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0</v>
      </c>
      <c r="D58" s="126" cm="1">
        <f t="array" ref="D58">_xll.EQNXTDZ($A$1,$B58,D$1,$B$1)</f>
        <v>0</v>
      </c>
      <c r="E58" s="126" cm="1">
        <f t="array" ref="E58">_xll.EQNXTDZ($A$1,$B58,E$1,$B$1)</f>
        <v>0</v>
      </c>
      <c r="F58" s="126" cm="1">
        <f t="array" ref="F58">_xll.EQNXTDZ($A$1,$B58,F$1,$B$1)</f>
        <v>0</v>
      </c>
      <c r="G58" s="126" cm="1">
        <f t="array" ref="G58">_xll.EQNXTDZ($A$1,$B58,G$1,$B$1)</f>
        <v>0</v>
      </c>
      <c r="H58" s="126" cm="1">
        <f t="array" ref="H58">_xll.EQNXTDZ($A$1,$B58,H$1,$B$1)</f>
        <v>0</v>
      </c>
      <c r="I58" s="126" cm="1">
        <f t="array" ref="I58">_xll.EQNXTDZ($A$1,$B58,I$1,$B$1)</f>
        <v>0</v>
      </c>
      <c r="J58" s="126" cm="1">
        <f t="array" ref="J58">_xll.EQNXTDZ($A$1,$B58,J$1,$B$1)</f>
        <v>0</v>
      </c>
      <c r="K58" s="126" cm="1">
        <f t="array" ref="K58">_xll.EQNXTDZ($A$1,$B58,K$1,$B$1)</f>
        <v>0</v>
      </c>
      <c r="L58" s="126" cm="1">
        <f t="array" ref="L58">_xll.EQNXTDZ($A$1,$B58,L$1,$B$1)</f>
        <v>0</v>
      </c>
      <c r="M58" s="126" cm="1">
        <f t="array" ref="M58">_xll.EQNXTDZ($A$1,$B58,M$1,$B$1)</f>
        <v>0</v>
      </c>
      <c r="N58" s="126" cm="1">
        <f t="array" ref="N58">_xll.EQNXTDZ($A$1,$B58,N$1,$B$1)</f>
        <v>0</v>
      </c>
      <c r="O58" s="126" cm="1">
        <f t="array" ref="O58">_xll.EQNXTDZ($A$1,$B58,O$1,$B$1)</f>
        <v>0</v>
      </c>
      <c r="P58" s="126" cm="1">
        <f t="array" ref="P58">_xll.EQNXTDZ($A$1,$B58,P$1,$B$1)</f>
        <v>0</v>
      </c>
      <c r="Q58" s="126" cm="1">
        <f t="array" ref="Q58">_xll.EQNXTDZ($A$1,$B58,Q$1,$B$1)</f>
        <v>0</v>
      </c>
      <c r="R58" s="126" cm="1">
        <f t="array" ref="R58">_xll.EQNXTDZ($A$1,$B58,R$1,$B$1)</f>
        <v>0</v>
      </c>
      <c r="S58" s="126" cm="1">
        <f t="array" ref="S58">_xll.EQNXTDZ($A$1,$B58,S$1,$B$1)</f>
        <v>0</v>
      </c>
      <c r="T58" s="126" cm="1">
        <f t="array" ref="T58">_xll.EQNXTDZ($A$1,$B58,T$1,$B$1)</f>
        <v>0</v>
      </c>
      <c r="U58" s="126" cm="1">
        <f t="array" ref="U58">_xll.EQNXTDZ($A$1,$B58,U$1,$B$1)</f>
        <v>0</v>
      </c>
      <c r="V58" s="126" cm="1">
        <f t="array" ref="V58">_xll.EQNXTDZ($A$1,$B58,V$1,$B$1)</f>
        <v>0</v>
      </c>
      <c r="W58" s="126" cm="1">
        <f t="array" ref="W58">_xll.EQNXTDZ($A$1,$B58,W$1,$B$1)</f>
        <v>0</v>
      </c>
      <c r="X58" s="126" cm="1">
        <f t="array" ref="X58">_xll.EQNXTDZ($A$1,$B58,X$1,$B$1)</f>
        <v>0</v>
      </c>
      <c r="Y58" s="126" cm="1">
        <f t="array" ref="Y58">_xll.EQNXTDZ($A$1,$B58,Y$1,$B$1)</f>
        <v>0</v>
      </c>
      <c r="Z58" s="126" cm="1">
        <f t="array" ref="Z58">_xll.EQNXTDZ($A$1,$B58,Z$1,$B$1)</f>
        <v>0</v>
      </c>
      <c r="AA58" s="126" cm="1">
        <f t="array" ref="AA58">_xll.EQNXTDZ($A$1,$B58,AA$1,$B$1)</f>
        <v>0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0</v>
      </c>
      <c r="D59" s="126" cm="1">
        <f t="array" ref="D59">_xll.EQNXTDZ($A$1,$B59,D$1,$B$1)</f>
        <v>0</v>
      </c>
      <c r="E59" s="126" cm="1">
        <f t="array" ref="E59">_xll.EQNXTDZ($A$1,$B59,E$1,$B$1)</f>
        <v>0</v>
      </c>
      <c r="F59" s="126" cm="1">
        <f t="array" ref="F59">_xll.EQNXTDZ($A$1,$B59,F$1,$B$1)</f>
        <v>0</v>
      </c>
      <c r="G59" s="126" cm="1">
        <f t="array" ref="G59">_xll.EQNXTDZ($A$1,$B59,G$1,$B$1)</f>
        <v>0</v>
      </c>
      <c r="H59" s="126" cm="1">
        <f t="array" ref="H59">_xll.EQNXTDZ($A$1,$B59,H$1,$B$1)</f>
        <v>0</v>
      </c>
      <c r="I59" s="126" cm="1">
        <f t="array" ref="I59">_xll.EQNXTDZ($A$1,$B59,I$1,$B$1)</f>
        <v>0</v>
      </c>
      <c r="J59" s="126" cm="1">
        <f t="array" ref="J59">_xll.EQNXTDZ($A$1,$B59,J$1,$B$1)</f>
        <v>0</v>
      </c>
      <c r="K59" s="126" cm="1">
        <f t="array" ref="K59">_xll.EQNXTDZ($A$1,$B59,K$1,$B$1)</f>
        <v>0</v>
      </c>
      <c r="L59" s="126" cm="1">
        <f t="array" ref="L59">_xll.EQNXTDZ($A$1,$B59,L$1,$B$1)</f>
        <v>0</v>
      </c>
      <c r="M59" s="126" cm="1">
        <f t="array" ref="M59">_xll.EQNXTDZ($A$1,$B59,M$1,$B$1)</f>
        <v>0</v>
      </c>
      <c r="N59" s="126" cm="1">
        <f t="array" ref="N59">_xll.EQNXTDZ($A$1,$B59,N$1,$B$1)</f>
        <v>0</v>
      </c>
      <c r="O59" s="126" cm="1">
        <f t="array" ref="O59">_xll.EQNXTDZ($A$1,$B59,O$1,$B$1)</f>
        <v>0</v>
      </c>
      <c r="P59" s="126" cm="1">
        <f t="array" ref="P59">_xll.EQNXTDZ($A$1,$B59,P$1,$B$1)</f>
        <v>0</v>
      </c>
      <c r="Q59" s="126" cm="1">
        <f t="array" ref="Q59">_xll.EQNXTDZ($A$1,$B59,Q$1,$B$1)</f>
        <v>0</v>
      </c>
      <c r="R59" s="126" cm="1">
        <f t="array" ref="R59">_xll.EQNXTDZ($A$1,$B59,R$1,$B$1)</f>
        <v>0</v>
      </c>
      <c r="S59" s="126" cm="1">
        <f t="array" ref="S59">_xll.EQNXTDZ($A$1,$B59,S$1,$B$1)</f>
        <v>0</v>
      </c>
      <c r="T59" s="126" cm="1">
        <f t="array" ref="T59">_xll.EQNXTDZ($A$1,$B59,T$1,$B$1)</f>
        <v>0</v>
      </c>
      <c r="U59" s="126" cm="1">
        <f t="array" ref="U59">_xll.EQNXTDZ($A$1,$B59,U$1,$B$1)</f>
        <v>0</v>
      </c>
      <c r="V59" s="126" cm="1">
        <f t="array" ref="V59">_xll.EQNXTDZ($A$1,$B59,V$1,$B$1)</f>
        <v>0</v>
      </c>
      <c r="W59" s="126" cm="1">
        <f t="array" ref="W59">_xll.EQNXTDZ($A$1,$B59,W$1,$B$1)</f>
        <v>0</v>
      </c>
      <c r="X59" s="126" cm="1">
        <f t="array" ref="X59">_xll.EQNXTDZ($A$1,$B59,X$1,$B$1)</f>
        <v>0</v>
      </c>
      <c r="Y59" s="126" cm="1">
        <f t="array" ref="Y59">_xll.EQNXTDZ($A$1,$B59,Y$1,$B$1)</f>
        <v>0</v>
      </c>
      <c r="Z59" s="126" cm="1">
        <f t="array" ref="Z59">_xll.EQNXTDZ($A$1,$B59,Z$1,$B$1)</f>
        <v>0</v>
      </c>
      <c r="AA59" s="126" cm="1">
        <f t="array" ref="AA59">_xll.EQNXTDZ($A$1,$B59,AA$1,$B$1)</f>
        <v>0</v>
      </c>
      <c r="AB59" s="126" cm="1">
        <f t="array" ref="AB59">_xll.EQNXTDZ($A$1,$B59,AB$1,$B$1)</f>
        <v>560.04999999999995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0</v>
      </c>
      <c r="D60" s="126" cm="1">
        <f t="array" ref="D60">_xll.EQNXTDZ($A$1,$B60,D$1,$B$1)</f>
        <v>0</v>
      </c>
      <c r="E60" s="126" cm="1">
        <f t="array" ref="E60">_xll.EQNXTDZ($A$1,$B60,E$1,$B$1)</f>
        <v>0</v>
      </c>
      <c r="F60" s="126" cm="1">
        <f t="array" ref="F60">_xll.EQNXTDZ($A$1,$B60,F$1,$B$1)</f>
        <v>0</v>
      </c>
      <c r="G60" s="126" cm="1">
        <f t="array" ref="G60">_xll.EQNXTDZ($A$1,$B60,G$1,$B$1)</f>
        <v>0</v>
      </c>
      <c r="H60" s="126" cm="1">
        <f t="array" ref="H60">_xll.EQNXTDZ($A$1,$B60,H$1,$B$1)</f>
        <v>0</v>
      </c>
      <c r="I60" s="126" cm="1">
        <f t="array" ref="I60">_xll.EQNXTDZ($A$1,$B60,I$1,$B$1)</f>
        <v>0</v>
      </c>
      <c r="J60" s="126" cm="1">
        <f t="array" ref="J60">_xll.EQNXTDZ($A$1,$B60,J$1,$B$1)</f>
        <v>0</v>
      </c>
      <c r="K60" s="126" cm="1">
        <f t="array" ref="K60">_xll.EQNXTDZ($A$1,$B60,K$1,$B$1)</f>
        <v>0</v>
      </c>
      <c r="L60" s="126" cm="1">
        <f t="array" ref="L60">_xll.EQNXTDZ($A$1,$B60,L$1,$B$1)</f>
        <v>0</v>
      </c>
      <c r="M60" s="126" cm="1">
        <f t="array" ref="M60">_xll.EQNXTDZ($A$1,$B60,M$1,$B$1)</f>
        <v>0</v>
      </c>
      <c r="N60" s="126" cm="1">
        <f t="array" ref="N60">_xll.EQNXTDZ($A$1,$B60,N$1,$B$1)</f>
        <v>0</v>
      </c>
      <c r="O60" s="126" cm="1">
        <f t="array" ref="O60">_xll.EQNXTDZ($A$1,$B60,O$1,$B$1)</f>
        <v>0</v>
      </c>
      <c r="P60" s="126" cm="1">
        <f t="array" ref="P60">_xll.EQNXTDZ($A$1,$B60,P$1,$B$1)</f>
        <v>0</v>
      </c>
      <c r="Q60" s="126" cm="1">
        <f t="array" ref="Q60">_xll.EQNXTDZ($A$1,$B60,Q$1,$B$1)</f>
        <v>0</v>
      </c>
      <c r="R60" s="126" cm="1">
        <f t="array" ref="R60">_xll.EQNXTDZ($A$1,$B60,R$1,$B$1)</f>
        <v>0</v>
      </c>
      <c r="S60" s="126" cm="1">
        <f t="array" ref="S60">_xll.EQNXTDZ($A$1,$B60,S$1,$B$1)</f>
        <v>0</v>
      </c>
      <c r="T60" s="126" cm="1">
        <f t="array" ref="T60">_xll.EQNXTDZ($A$1,$B60,T$1,$B$1)</f>
        <v>0</v>
      </c>
      <c r="U60" s="126" cm="1">
        <f t="array" ref="U60">_xll.EQNXTDZ($A$1,$B60,U$1,$B$1)</f>
        <v>0</v>
      </c>
      <c r="V60" s="126" cm="1">
        <f t="array" ref="V60">_xll.EQNXTDZ($A$1,$B60,V$1,$B$1)</f>
        <v>0</v>
      </c>
      <c r="W60" s="126" cm="1">
        <f t="array" ref="W60">_xll.EQNXTDZ($A$1,$B60,W$1,$B$1)</f>
        <v>0</v>
      </c>
      <c r="X60" s="126" cm="1">
        <f t="array" ref="X60">_xll.EQNXTDZ($A$1,$B60,X$1,$B$1)</f>
        <v>0</v>
      </c>
      <c r="Y60" s="126" cm="1">
        <f t="array" ref="Y60">_xll.EQNXTDZ($A$1,$B60,Y$1,$B$1)</f>
        <v>0</v>
      </c>
      <c r="Z60" s="126" cm="1">
        <f t="array" ref="Z60">_xll.EQNXTDZ($A$1,$B60,Z$1,$B$1)</f>
        <v>0</v>
      </c>
      <c r="AA60" s="126" cm="1">
        <f t="array" ref="AA60">_xll.EQNXTDZ($A$1,$B60,AA$1,$B$1)</f>
        <v>0</v>
      </c>
      <c r="AB60" s="126" cm="1">
        <f t="array" ref="AB60">_xll.EQNXTDZ($A$1,$B60,AB$1,$B$1)</f>
        <v>891.65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0</v>
      </c>
      <c r="D61" s="126" cm="1">
        <f t="array" ref="D61">_xll.EQNXTDZ($A$1,$B61,D$1,$B$1)</f>
        <v>0</v>
      </c>
      <c r="E61" s="126" cm="1">
        <f t="array" ref="E61">_xll.EQNXTDZ($A$1,$B61,E$1,$B$1)</f>
        <v>0</v>
      </c>
      <c r="F61" s="126" cm="1">
        <f t="array" ref="F61">_xll.EQNXTDZ($A$1,$B61,F$1,$B$1)</f>
        <v>0</v>
      </c>
      <c r="G61" s="126" cm="1">
        <f t="array" ref="G61">_xll.EQNXTDZ($A$1,$B61,G$1,$B$1)</f>
        <v>0</v>
      </c>
      <c r="H61" s="126" cm="1">
        <f t="array" ref="H61">_xll.EQNXTDZ($A$1,$B61,H$1,$B$1)</f>
        <v>0</v>
      </c>
      <c r="I61" s="126" cm="1">
        <f t="array" ref="I61">_xll.EQNXTDZ($A$1,$B61,I$1,$B$1)</f>
        <v>0</v>
      </c>
      <c r="J61" s="126" cm="1">
        <f t="array" ref="J61">_xll.EQNXTDZ($A$1,$B61,J$1,$B$1)</f>
        <v>0</v>
      </c>
      <c r="K61" s="126" cm="1">
        <f t="array" ref="K61">_xll.EQNXTDZ($A$1,$B61,K$1,$B$1)</f>
        <v>0</v>
      </c>
      <c r="L61" s="126" cm="1">
        <f t="array" ref="L61">_xll.EQNXTDZ($A$1,$B61,L$1,$B$1)</f>
        <v>0</v>
      </c>
      <c r="M61" s="126" cm="1">
        <f t="array" ref="M61">_xll.EQNXTDZ($A$1,$B61,M$1,$B$1)</f>
        <v>0</v>
      </c>
      <c r="N61" s="126" cm="1">
        <f t="array" ref="N61">_xll.EQNXTDZ($A$1,$B61,N$1,$B$1)</f>
        <v>0</v>
      </c>
      <c r="O61" s="126" cm="1">
        <f t="array" ref="O61">_xll.EQNXTDZ($A$1,$B61,O$1,$B$1)</f>
        <v>0</v>
      </c>
      <c r="P61" s="126" cm="1">
        <f t="array" ref="P61">_xll.EQNXTDZ($A$1,$B61,P$1,$B$1)</f>
        <v>0</v>
      </c>
      <c r="Q61" s="126" cm="1">
        <f t="array" ref="Q61">_xll.EQNXTDZ($A$1,$B61,Q$1,$B$1)</f>
        <v>0</v>
      </c>
      <c r="R61" s="126" cm="1">
        <f t="array" ref="R61">_xll.EQNXTDZ($A$1,$B61,R$1,$B$1)</f>
        <v>0</v>
      </c>
      <c r="S61" s="126" cm="1">
        <f t="array" ref="S61">_xll.EQNXTDZ($A$1,$B61,S$1,$B$1)</f>
        <v>0</v>
      </c>
      <c r="T61" s="126" cm="1">
        <f t="array" ref="T61">_xll.EQNXTDZ($A$1,$B61,T$1,$B$1)</f>
        <v>0</v>
      </c>
      <c r="U61" s="126" cm="1">
        <f t="array" ref="U61">_xll.EQNXTDZ($A$1,$B61,U$1,$B$1)</f>
        <v>0</v>
      </c>
      <c r="V61" s="126" cm="1">
        <f t="array" ref="V61">_xll.EQNXTDZ($A$1,$B61,V$1,$B$1)</f>
        <v>0</v>
      </c>
      <c r="W61" s="126" cm="1">
        <f t="array" ref="W61">_xll.EQNXTDZ($A$1,$B61,W$1,$B$1)</f>
        <v>0</v>
      </c>
      <c r="X61" s="126" cm="1">
        <f t="array" ref="X61">_xll.EQNXTDZ($A$1,$B61,X$1,$B$1)</f>
        <v>0</v>
      </c>
      <c r="Y61" s="126" cm="1">
        <f t="array" ref="Y61">_xll.EQNXTDZ($A$1,$B61,Y$1,$B$1)</f>
        <v>0</v>
      </c>
      <c r="Z61" s="126" cm="1">
        <f t="array" ref="Z61">_xll.EQNXTDZ($A$1,$B61,Z$1,$B$1)</f>
        <v>0</v>
      </c>
      <c r="AA61" s="126" cm="1">
        <f t="array" ref="AA61">_xll.EQNXTDZ($A$1,$B61,AA$1,$B$1)</f>
        <v>0</v>
      </c>
      <c r="AB61" s="126" cm="1">
        <f t="array" ref="AB61">_xll.EQNXTDZ($A$1,$B61,AB$1,$B$1)</f>
        <v>557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0</v>
      </c>
      <c r="D62" s="126" cm="1">
        <f t="array" ref="D62">_xll.EQNXTDZ($A$1,$B62,D$1,$B$1)</f>
        <v>0</v>
      </c>
      <c r="E62" s="126" cm="1">
        <f t="array" ref="E62">_xll.EQNXTDZ($A$1,$B62,E$1,$B$1)</f>
        <v>0</v>
      </c>
      <c r="F62" s="126" cm="1">
        <f t="array" ref="F62">_xll.EQNXTDZ($A$1,$B62,F$1,$B$1)</f>
        <v>0</v>
      </c>
      <c r="G62" s="126" cm="1">
        <f t="array" ref="G62">_xll.EQNXTDZ($A$1,$B62,G$1,$B$1)</f>
        <v>0</v>
      </c>
      <c r="H62" s="126" cm="1">
        <f t="array" ref="H62">_xll.EQNXTDZ($A$1,$B62,H$1,$B$1)</f>
        <v>0</v>
      </c>
      <c r="I62" s="126" cm="1">
        <f t="array" ref="I62">_xll.EQNXTDZ($A$1,$B62,I$1,$B$1)</f>
        <v>0</v>
      </c>
      <c r="J62" s="126" cm="1">
        <f t="array" ref="J62">_xll.EQNXTDZ($A$1,$B62,J$1,$B$1)</f>
        <v>0</v>
      </c>
      <c r="K62" s="126" cm="1">
        <f t="array" ref="K62">_xll.EQNXTDZ($A$1,$B62,K$1,$B$1)</f>
        <v>0</v>
      </c>
      <c r="L62" s="126" cm="1">
        <f t="array" ref="L62">_xll.EQNXTDZ($A$1,$B62,L$1,$B$1)</f>
        <v>0</v>
      </c>
      <c r="M62" s="126" cm="1">
        <f t="array" ref="M62">_xll.EQNXTDZ($A$1,$B62,M$1,$B$1)</f>
        <v>0</v>
      </c>
      <c r="N62" s="126" cm="1">
        <f t="array" ref="N62">_xll.EQNXTDZ($A$1,$B62,N$1,$B$1)</f>
        <v>0</v>
      </c>
      <c r="O62" s="126" cm="1">
        <f t="array" ref="O62">_xll.EQNXTDZ($A$1,$B62,O$1,$B$1)</f>
        <v>0</v>
      </c>
      <c r="P62" s="126" cm="1">
        <f t="array" ref="P62">_xll.EQNXTDZ($A$1,$B62,P$1,$B$1)</f>
        <v>0</v>
      </c>
      <c r="Q62" s="126" cm="1">
        <f t="array" ref="Q62">_xll.EQNXTDZ($A$1,$B62,Q$1,$B$1)</f>
        <v>0</v>
      </c>
      <c r="R62" s="126" cm="1">
        <f t="array" ref="R62">_xll.EQNXTDZ($A$1,$B62,R$1,$B$1)</f>
        <v>0</v>
      </c>
      <c r="S62" s="126" cm="1">
        <f t="array" ref="S62">_xll.EQNXTDZ($A$1,$B62,S$1,$B$1)</f>
        <v>0</v>
      </c>
      <c r="T62" s="126" cm="1">
        <f t="array" ref="T62">_xll.EQNXTDZ($A$1,$B62,T$1,$B$1)</f>
        <v>0</v>
      </c>
      <c r="U62" s="126" cm="1">
        <f t="array" ref="U62">_xll.EQNXTDZ($A$1,$B62,U$1,$B$1)</f>
        <v>0</v>
      </c>
      <c r="V62" s="126" cm="1">
        <f t="array" ref="V62">_xll.EQNXTDZ($A$1,$B62,V$1,$B$1)</f>
        <v>0</v>
      </c>
      <c r="W62" s="126" cm="1">
        <f t="array" ref="W62">_xll.EQNXTDZ($A$1,$B62,W$1,$B$1)</f>
        <v>0</v>
      </c>
      <c r="X62" s="126" cm="1">
        <f t="array" ref="X62">_xll.EQNXTDZ($A$1,$B62,X$1,$B$1)</f>
        <v>0</v>
      </c>
      <c r="Y62" s="126" cm="1">
        <f t="array" ref="Y62">_xll.EQNXTDZ($A$1,$B62,Y$1,$B$1)</f>
        <v>0</v>
      </c>
      <c r="Z62" s="126" cm="1">
        <f t="array" ref="Z62">_xll.EQNXTDZ($A$1,$B62,Z$1,$B$1)</f>
        <v>0</v>
      </c>
      <c r="AA62" s="126" cm="1">
        <f t="array" ref="AA62">_xll.EQNXTDZ($A$1,$B62,AA$1,$B$1)</f>
        <v>0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0</v>
      </c>
      <c r="D63" s="126" cm="1">
        <f t="array" ref="D63">_xll.EQNXTDZ($A$1,$B63,D$1,$B$1)</f>
        <v>0</v>
      </c>
      <c r="E63" s="126" cm="1">
        <f t="array" ref="E63">_xll.EQNXTDZ($A$1,$B63,E$1,$B$1)</f>
        <v>0</v>
      </c>
      <c r="F63" s="126" cm="1">
        <f t="array" ref="F63">_xll.EQNXTDZ($A$1,$B63,F$1,$B$1)</f>
        <v>0</v>
      </c>
      <c r="G63" s="126" cm="1">
        <f t="array" ref="G63">_xll.EQNXTDZ($A$1,$B63,G$1,$B$1)</f>
        <v>0</v>
      </c>
      <c r="H63" s="126" cm="1">
        <f t="array" ref="H63">_xll.EQNXTDZ($A$1,$B63,H$1,$B$1)</f>
        <v>0</v>
      </c>
      <c r="I63" s="126" cm="1">
        <f t="array" ref="I63">_xll.EQNXTDZ($A$1,$B63,I$1,$B$1)</f>
        <v>0</v>
      </c>
      <c r="J63" s="126" cm="1">
        <f t="array" ref="J63">_xll.EQNXTDZ($A$1,$B63,J$1,$B$1)</f>
        <v>0</v>
      </c>
      <c r="K63" s="126" cm="1">
        <f t="array" ref="K63">_xll.EQNXTDZ($A$1,$B63,K$1,$B$1)</f>
        <v>0</v>
      </c>
      <c r="L63" s="126" cm="1">
        <f t="array" ref="L63">_xll.EQNXTDZ($A$1,$B63,L$1,$B$1)</f>
        <v>0</v>
      </c>
      <c r="M63" s="126" cm="1">
        <f t="array" ref="M63">_xll.EQNXTDZ($A$1,$B63,M$1,$B$1)</f>
        <v>0</v>
      </c>
      <c r="N63" s="126" cm="1">
        <f t="array" ref="N63">_xll.EQNXTDZ($A$1,$B63,N$1,$B$1)</f>
        <v>0</v>
      </c>
      <c r="O63" s="126" cm="1">
        <f t="array" ref="O63">_xll.EQNXTDZ($A$1,$B63,O$1,$B$1)</f>
        <v>0</v>
      </c>
      <c r="P63" s="126" cm="1">
        <f t="array" ref="P63">_xll.EQNXTDZ($A$1,$B63,P$1,$B$1)</f>
        <v>0</v>
      </c>
      <c r="Q63" s="126" cm="1">
        <f t="array" ref="Q63">_xll.EQNXTDZ($A$1,$B63,Q$1,$B$1)</f>
        <v>0</v>
      </c>
      <c r="R63" s="126" cm="1">
        <f t="array" ref="R63">_xll.EQNXTDZ($A$1,$B63,R$1,$B$1)</f>
        <v>0</v>
      </c>
      <c r="S63" s="126" cm="1">
        <f t="array" ref="S63">_xll.EQNXTDZ($A$1,$B63,S$1,$B$1)</f>
        <v>0</v>
      </c>
      <c r="T63" s="126" cm="1">
        <f t="array" ref="T63">_xll.EQNXTDZ($A$1,$B63,T$1,$B$1)</f>
        <v>0</v>
      </c>
      <c r="U63" s="126" cm="1">
        <f t="array" ref="U63">_xll.EQNXTDZ($A$1,$B63,U$1,$B$1)</f>
        <v>0</v>
      </c>
      <c r="V63" s="126" cm="1">
        <f t="array" ref="V63">_xll.EQNXTDZ($A$1,$B63,V$1,$B$1)</f>
        <v>0</v>
      </c>
      <c r="W63" s="126" cm="1">
        <f t="array" ref="W63">_xll.EQNXTDZ($A$1,$B63,W$1,$B$1)</f>
        <v>0</v>
      </c>
      <c r="X63" s="126" cm="1">
        <f t="array" ref="X63">_xll.EQNXTDZ($A$1,$B63,X$1,$B$1)</f>
        <v>0</v>
      </c>
      <c r="Y63" s="126" cm="1">
        <f t="array" ref="Y63">_xll.EQNXTDZ($A$1,$B63,Y$1,$B$1)</f>
        <v>0</v>
      </c>
      <c r="Z63" s="126" cm="1">
        <f t="array" ref="Z63">_xll.EQNXTDZ($A$1,$B63,Z$1,$B$1)</f>
        <v>0</v>
      </c>
      <c r="AA63" s="126" cm="1">
        <f t="array" ref="AA63">_xll.EQNXTDZ($A$1,$B63,AA$1,$B$1)</f>
        <v>0</v>
      </c>
      <c r="AB63" s="126" cm="1">
        <f t="array" ref="AB63">_xll.EQNXTDZ($A$1,$B63,AB$1,$B$1)</f>
        <v>4722.1040000000003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10</v>
      </c>
      <c r="D64" s="126" cm="1">
        <f t="array" ref="D64">_xll.EQNXTDZ($A$1,$B64,D$1,$B$1)</f>
        <v>10</v>
      </c>
      <c r="E64" s="126" cm="1">
        <f t="array" ref="E64">_xll.EQNXTDZ($A$1,$B64,E$1,$B$1)</f>
        <v>10</v>
      </c>
      <c r="F64" s="126" cm="1">
        <f t="array" ref="F64">_xll.EQNXTDZ($A$1,$B64,F$1,$B$1)</f>
        <v>10</v>
      </c>
      <c r="G64" s="126" cm="1">
        <f t="array" ref="G64">_xll.EQNXTDZ($A$1,$B64,G$1,$B$1)</f>
        <v>10</v>
      </c>
      <c r="H64" s="126" cm="1">
        <f t="array" ref="H64">_xll.EQNXTDZ($A$1,$B64,H$1,$B$1)</f>
        <v>10</v>
      </c>
      <c r="I64" s="126" cm="1">
        <f t="array" ref="I64">_xll.EQNXTDZ($A$1,$B64,I$1,$B$1)</f>
        <v>10</v>
      </c>
      <c r="J64" s="126" cm="1">
        <f t="array" ref="J64">_xll.EQNXTDZ($A$1,$B64,J$1,$B$1)</f>
        <v>10</v>
      </c>
      <c r="K64" s="126" cm="1">
        <f t="array" ref="K64">_xll.EQNXTDZ($A$1,$B64,K$1,$B$1)</f>
        <v>10</v>
      </c>
      <c r="L64" s="126" cm="1">
        <f t="array" ref="L64">_xll.EQNXTDZ($A$1,$B64,L$1,$B$1)</f>
        <v>10</v>
      </c>
      <c r="M64" s="126" cm="1">
        <f t="array" ref="M64">_xll.EQNXTDZ($A$1,$B64,M$1,$B$1)</f>
        <v>10</v>
      </c>
      <c r="N64" s="126" cm="1">
        <f t="array" ref="N64">_xll.EQNXTDZ($A$1,$B64,N$1,$B$1)</f>
        <v>10</v>
      </c>
      <c r="O64" s="126" cm="1">
        <f t="array" ref="O64">_xll.EQNXTDZ($A$1,$B64,O$1,$B$1)</f>
        <v>10</v>
      </c>
      <c r="P64" s="126" cm="1">
        <f t="array" ref="P64">_xll.EQNXTDZ($A$1,$B64,P$1,$B$1)</f>
        <v>10</v>
      </c>
      <c r="Q64" s="126" cm="1">
        <f t="array" ref="Q64">_xll.EQNXTDZ($A$1,$B64,Q$1,$B$1)</f>
        <v>10</v>
      </c>
      <c r="R64" s="126" cm="1">
        <f t="array" ref="R64">_xll.EQNXTDZ($A$1,$B64,R$1,$B$1)</f>
        <v>10</v>
      </c>
      <c r="S64" s="126" cm="1">
        <f t="array" ref="S64">_xll.EQNXTDZ($A$1,$B64,S$1,$B$1)</f>
        <v>10</v>
      </c>
      <c r="T64" s="126" cm="1">
        <f t="array" ref="T64">_xll.EQNXTDZ($A$1,$B64,T$1,$B$1)</f>
        <v>10</v>
      </c>
      <c r="U64" s="126" cm="1">
        <f t="array" ref="U64">_xll.EQNXTDZ($A$1,$B64,U$1,$B$1)</f>
        <v>10</v>
      </c>
      <c r="V64" s="126" cm="1">
        <f t="array" ref="V64">_xll.EQNXTDZ($A$1,$B64,V$1,$B$1)</f>
        <v>10</v>
      </c>
      <c r="W64" s="126" cm="1">
        <f t="array" ref="W64">_xll.EQNXTDZ($A$1,$B64,W$1,$B$1)</f>
        <v>10</v>
      </c>
      <c r="X64" s="126" cm="1">
        <f t="array" ref="X64">_xll.EQNXTDZ($A$1,$B64,X$1,$B$1)</f>
        <v>10</v>
      </c>
      <c r="Y64" s="126" cm="1">
        <f t="array" ref="Y64">_xll.EQNXTDZ($A$1,$B64,Y$1,$B$1)</f>
        <v>10</v>
      </c>
      <c r="Z64" s="126" cm="1">
        <f t="array" ref="Z64">_xll.EQNXTDZ($A$1,$B64,Z$1,$B$1)</f>
        <v>10</v>
      </c>
      <c r="AA64" s="126" cm="1">
        <f t="array" ref="AA64">_xll.EQNXTDZ($A$1,$B64,AA$1,$B$1)</f>
        <v>10</v>
      </c>
      <c r="AB64" s="126" cm="1">
        <f t="array" ref="AB64">_xll.EQNXTDZ($A$1,$B64,AB$1,$B$1)</f>
        <v>10</v>
      </c>
      <c r="AC64" s="126" cm="1">
        <f t="array" ref="AC64">_xll.EQNXTDZ($A$1,$B64,AC$1,$B$1)</f>
        <v>10</v>
      </c>
      <c r="AD64" s="126" cm="1">
        <f t="array" ref="AD64">_xll.EQNXTDZ($A$1,$B64,AD$1,$B$1)</f>
        <v>10</v>
      </c>
      <c r="AE64" s="126" cm="1">
        <f t="array" ref="AE64">_xll.EQNXTDZ($A$1,$B64,AE$1,$B$1)</f>
        <v>10</v>
      </c>
      <c r="AF64" s="126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0</v>
      </c>
      <c r="D65" s="126" cm="1">
        <f t="array" ref="D65">_xll.EQNXTDZ($A$1,$B65,D$1,$B$1)</f>
        <v>0</v>
      </c>
      <c r="E65" s="126" cm="1">
        <f t="array" ref="E65">_xll.EQNXTDZ($A$1,$B65,E$1,$B$1)</f>
        <v>0</v>
      </c>
      <c r="F65" s="126" cm="1">
        <f t="array" ref="F65">_xll.EQNXTDZ($A$1,$B65,F$1,$B$1)</f>
        <v>0</v>
      </c>
      <c r="G65" s="126" cm="1">
        <f t="array" ref="G65">_xll.EQNXTDZ($A$1,$B65,G$1,$B$1)</f>
        <v>0</v>
      </c>
      <c r="H65" s="126" cm="1">
        <f t="array" ref="H65">_xll.EQNXTDZ($A$1,$B65,H$1,$B$1)</f>
        <v>0</v>
      </c>
      <c r="I65" s="126" cm="1">
        <f t="array" ref="I65">_xll.EQNXTDZ($A$1,$B65,I$1,$B$1)</f>
        <v>0</v>
      </c>
      <c r="J65" s="126" cm="1">
        <f t="array" ref="J65">_xll.EQNXTDZ($A$1,$B65,J$1,$B$1)</f>
        <v>0</v>
      </c>
      <c r="K65" s="126" cm="1">
        <f t="array" ref="K65">_xll.EQNXTDZ($A$1,$B65,K$1,$B$1)</f>
        <v>0</v>
      </c>
      <c r="L65" s="126" cm="1">
        <f t="array" ref="L65">_xll.EQNXTDZ($A$1,$B65,L$1,$B$1)</f>
        <v>0</v>
      </c>
      <c r="M65" s="126" cm="1">
        <f t="array" ref="M65">_xll.EQNXTDZ($A$1,$B65,M$1,$B$1)</f>
        <v>0</v>
      </c>
      <c r="N65" s="126" cm="1">
        <f t="array" ref="N65">_xll.EQNXTDZ($A$1,$B65,N$1,$B$1)</f>
        <v>0</v>
      </c>
      <c r="O65" s="126" cm="1">
        <f t="array" ref="O65">_xll.EQNXTDZ($A$1,$B65,O$1,$B$1)</f>
        <v>0</v>
      </c>
      <c r="P65" s="126" cm="1">
        <f t="array" ref="P65">_xll.EQNXTDZ($A$1,$B65,P$1,$B$1)</f>
        <v>0</v>
      </c>
      <c r="Q65" s="126" cm="1">
        <f t="array" ref="Q65">_xll.EQNXTDZ($A$1,$B65,Q$1,$B$1)</f>
        <v>0</v>
      </c>
      <c r="R65" s="126" cm="1">
        <f t="array" ref="R65">_xll.EQNXTDZ($A$1,$B65,R$1,$B$1)</f>
        <v>0</v>
      </c>
      <c r="S65" s="126" cm="1">
        <f t="array" ref="S65">_xll.EQNXTDZ($A$1,$B65,S$1,$B$1)</f>
        <v>0</v>
      </c>
      <c r="T65" s="126" cm="1">
        <f t="array" ref="T65">_xll.EQNXTDZ($A$1,$B65,T$1,$B$1)</f>
        <v>0</v>
      </c>
      <c r="U65" s="126" cm="1">
        <f t="array" ref="U65">_xll.EQNXTDZ($A$1,$B65,U$1,$B$1)</f>
        <v>0</v>
      </c>
      <c r="V65" s="126" cm="1">
        <f t="array" ref="V65">_xll.EQNXTDZ($A$1,$B65,V$1,$B$1)</f>
        <v>0</v>
      </c>
      <c r="W65" s="126" cm="1">
        <f t="array" ref="W65">_xll.EQNXTDZ($A$1,$B65,W$1,$B$1)</f>
        <v>0</v>
      </c>
      <c r="X65" s="126" cm="1">
        <f t="array" ref="X65">_xll.EQNXTDZ($A$1,$B65,X$1,$B$1)</f>
        <v>0</v>
      </c>
      <c r="Y65" s="126" cm="1">
        <f t="array" ref="Y65">_xll.EQNXTDZ($A$1,$B65,Y$1,$B$1)</f>
        <v>0</v>
      </c>
      <c r="Z65" s="126" cm="1">
        <f t="array" ref="Z65">_xll.EQNXTDZ($A$1,$B65,Z$1,$B$1)</f>
        <v>0</v>
      </c>
      <c r="AA65" s="126" cm="1">
        <f t="array" ref="AA65">_xll.EQNXTDZ($A$1,$B65,AA$1,$B$1)</f>
        <v>0</v>
      </c>
      <c r="AB65" s="126" cm="1">
        <f t="array" ref="AB65">_xll.EQNXTDZ($A$1,$B65,AB$1,$B$1)</f>
        <v>46502.631650000003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1.4E-2</v>
      </c>
      <c r="L66" s="126" cm="1">
        <f t="array" ref="L66">_xll.EQNXTDZ($A$1,$B66,L$1,$B$1)</f>
        <v>5.0952999999999999</v>
      </c>
      <c r="M66" s="126" cm="1">
        <f t="array" ref="M66">_xll.EQNXTDZ($A$1,$B66,M$1,$B$1)</f>
        <v>4.1377740000000003</v>
      </c>
      <c r="N66" s="126" cm="1">
        <f t="array" ref="N66">_xll.EQNXTDZ($A$1,$B66,N$1,$B$1)</f>
        <v>3.77</v>
      </c>
      <c r="O66" s="126" cm="1">
        <f t="array" ref="O66">_xll.EQNXTDZ($A$1,$B66,O$1,$B$1)</f>
        <v>35.770000000000003</v>
      </c>
      <c r="P66" s="126" cm="1">
        <f t="array" ref="P66">_xll.EQNXTDZ($A$1,$B66,P$1,$B$1)</f>
        <v>107.97</v>
      </c>
      <c r="Q66" s="126" cm="1">
        <f t="array" ref="Q66">_xll.EQNXTDZ($A$1,$B66,Q$1,$B$1)</f>
        <v>160.04</v>
      </c>
      <c r="R66" s="126" cm="1">
        <f t="array" ref="R66">_xll.EQNXTDZ($A$1,$B66,R$1,$B$1)</f>
        <v>299.69</v>
      </c>
      <c r="S66" s="126" cm="1">
        <f t="array" ref="S66">_xll.EQNXTDZ($A$1,$B66,S$1,$B$1)</f>
        <v>468.72</v>
      </c>
      <c r="T66" s="126" cm="1">
        <f t="array" ref="T66">_xll.EQNXTDZ($A$1,$B66,T$1,$B$1)</f>
        <v>737.6</v>
      </c>
      <c r="U66" s="126" cm="1">
        <f t="array" ref="U66">_xll.EQNXTDZ($A$1,$B66,U$1,$B$1)</f>
        <v>1000.39</v>
      </c>
      <c r="V66" s="126" cm="1">
        <f t="array" ref="V66">_xll.EQNXTDZ($A$1,$B66,V$1,$B$1)</f>
        <v>2259.13</v>
      </c>
      <c r="W66" s="126" cm="1">
        <f t="array" ref="W66">_xll.EQNXTDZ($A$1,$B66,W$1,$B$1)</f>
        <v>2760.86</v>
      </c>
      <c r="X66" s="126" cm="1">
        <f t="array" ref="X66">_xll.EQNXTDZ($A$1,$B66,X$1,$B$1)</f>
        <v>3058.76</v>
      </c>
      <c r="Y66" s="126" cm="1">
        <f t="array" ref="Y66">_xll.EQNXTDZ($A$1,$B66,Y$1,$B$1)</f>
        <v>1914.85</v>
      </c>
      <c r="Z66" s="126" cm="1">
        <f t="array" ref="Z66">_xll.EQNXTDZ($A$1,$B66,Z$1,$B$1)</f>
        <v>1711.82</v>
      </c>
      <c r="AA66" s="126" cm="1">
        <f t="array" ref="AA66">_xll.EQNXTDZ($A$1,$B66,AA$1,$B$1)</f>
        <v>2413.71</v>
      </c>
      <c r="AB66" s="126" cm="1">
        <f t="array" ref="AB66">_xll.EQNXTDZ($A$1,$B66,AB$1,$B$1)</f>
        <v>2895.52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7.0000000000000001E-3</v>
      </c>
      <c r="L67" s="126" cm="1">
        <f t="array" ref="L67">_xll.EQNXTDZ($A$1,$B67,L$1,$B$1)</f>
        <v>2.5476000000000001</v>
      </c>
      <c r="M67" s="126" cm="1">
        <f t="array" ref="M67">_xll.EQNXTDZ($A$1,$B67,M$1,$B$1)</f>
        <v>2.2108148000000001</v>
      </c>
      <c r="N67" s="126" cm="1">
        <f t="array" ref="N67">_xll.EQNXTDZ($A$1,$B67,N$1,$B$1)</f>
        <v>1.87</v>
      </c>
      <c r="O67" s="126" cm="1">
        <f t="array" ref="O67">_xll.EQNXTDZ($A$1,$B67,O$1,$B$1)</f>
        <v>20.07</v>
      </c>
      <c r="P67" s="126" cm="1">
        <f t="array" ref="P67">_xll.EQNXTDZ($A$1,$B67,P$1,$B$1)</f>
        <v>56.36</v>
      </c>
      <c r="Q67" s="126" cm="1">
        <f t="array" ref="Q67">_xll.EQNXTDZ($A$1,$B67,Q$1,$B$1)</f>
        <v>90.21</v>
      </c>
      <c r="R67" s="126" cm="1">
        <f t="array" ref="R67">_xll.EQNXTDZ($A$1,$B67,R$1,$B$1)</f>
        <v>176.55</v>
      </c>
      <c r="S67" s="126" cm="1">
        <f t="array" ref="S67">_xll.EQNXTDZ($A$1,$B67,S$1,$B$1)</f>
        <v>269.86</v>
      </c>
      <c r="T67" s="126" cm="1">
        <f t="array" ref="T67">_xll.EQNXTDZ($A$1,$B67,T$1,$B$1)</f>
        <v>493.72</v>
      </c>
      <c r="U67" s="126" cm="1">
        <f t="array" ref="U67">_xll.EQNXTDZ($A$1,$B67,U$1,$B$1)</f>
        <v>678.7</v>
      </c>
      <c r="V67" s="126" cm="1">
        <f t="array" ref="V67">_xll.EQNXTDZ($A$1,$B67,V$1,$B$1)</f>
        <v>1820.53</v>
      </c>
      <c r="W67" s="126" cm="1">
        <f t="array" ref="W67">_xll.EQNXTDZ($A$1,$B67,W$1,$B$1)</f>
        <v>1886.12</v>
      </c>
      <c r="X67" s="126" cm="1">
        <f t="array" ref="X67">_xll.EQNXTDZ($A$1,$B67,X$1,$B$1)</f>
        <v>1402.95</v>
      </c>
      <c r="Y67" s="126" cm="1">
        <f t="array" ref="Y67">_xll.EQNXTDZ($A$1,$B67,Y$1,$B$1)</f>
        <v>668.25</v>
      </c>
      <c r="Z67" s="126" cm="1">
        <f t="array" ref="Z67">_xll.EQNXTDZ($A$1,$B67,Z$1,$B$1)</f>
        <v>567.99</v>
      </c>
      <c r="AA67" s="126" cm="1">
        <f t="array" ref="AA67">_xll.EQNXTDZ($A$1,$B67,AA$1,$B$1)</f>
        <v>1063.1300000000001</v>
      </c>
      <c r="AB67" s="126" cm="1">
        <f t="array" ref="AB67">_xll.EQNXTDZ($A$1,$B67,AB$1,$B$1)</f>
        <v>1287.53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0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0</v>
      </c>
      <c r="Q68" s="126" cm="1">
        <f t="array" ref="Q68">_xll.EQNXTDZ($A$1,$B68,Q$1,$B$1)</f>
        <v>0</v>
      </c>
      <c r="R68" s="126" cm="1">
        <f t="array" ref="R68">_xll.EQNXTDZ($A$1,$B68,R$1,$B$1)</f>
        <v>0</v>
      </c>
      <c r="S68" s="126" cm="1">
        <f t="array" ref="S68">_xll.EQNXTDZ($A$1,$B68,S$1,$B$1)</f>
        <v>0</v>
      </c>
      <c r="T68" s="126" cm="1">
        <f t="array" ref="T68">_xll.EQNXTDZ($A$1,$B68,T$1,$B$1)</f>
        <v>0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7.56</v>
      </c>
      <c r="AB68" s="126" cm="1">
        <f t="array" ref="AB68">_xll.EQNXTDZ($A$1,$B68,AB$1,$B$1)</f>
        <v>7.96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0</v>
      </c>
      <c r="D70" s="126">
        <f t="shared" si="0"/>
        <v>0</v>
      </c>
      <c r="E70" s="126">
        <f t="shared" si="0"/>
        <v>0</v>
      </c>
      <c r="F70" s="126">
        <f t="shared" si="0"/>
        <v>0</v>
      </c>
      <c r="G70" s="126">
        <f t="shared" si="0"/>
        <v>0</v>
      </c>
      <c r="H70" s="126">
        <f t="shared" si="0"/>
        <v>0</v>
      </c>
      <c r="I70" s="126">
        <f t="shared" si="0"/>
        <v>0</v>
      </c>
      <c r="J70" s="126">
        <f t="shared" si="0"/>
        <v>103.809515</v>
      </c>
      <c r="K70" s="126">
        <f t="shared" si="0"/>
        <v>196.02056869999998</v>
      </c>
      <c r="L70" s="126">
        <f t="shared" si="0"/>
        <v>575.7351582</v>
      </c>
      <c r="M70" s="126">
        <f t="shared" si="0"/>
        <v>1495.3180166000002</v>
      </c>
      <c r="N70" s="126">
        <f t="shared" si="0"/>
        <v>4053.93</v>
      </c>
      <c r="O70" s="126">
        <f t="shared" si="0"/>
        <v>8379.4599999999991</v>
      </c>
      <c r="P70" s="126">
        <f t="shared" si="0"/>
        <v>13865.44</v>
      </c>
      <c r="Q70" s="126">
        <f>+Q85+Q104+Q106-Q107-Q108+Q110+Q111+Q113+Q114+Q115+Q116+Q117+Q119+Q120+Q121+Q122+Q123+Q124+Q125+Q105+Q112</f>
        <v>20064.46</v>
      </c>
      <c r="R70" s="126">
        <f t="shared" ref="R70:AA70" si="1">+R85+R104+R106-R107-R108+R110+R111+R113+R114+R115+R116+R117+R119+R120+R121+R122+R123+R124+R125+R105+R112</f>
        <v>25671.72</v>
      </c>
      <c r="S70" s="126">
        <f t="shared" si="1"/>
        <v>33991.919999999998</v>
      </c>
      <c r="T70" s="126">
        <f t="shared" si="1"/>
        <v>45150.75</v>
      </c>
      <c r="U70" s="126">
        <f t="shared" si="1"/>
        <v>56424.01</v>
      </c>
      <c r="V70" s="126">
        <f t="shared" si="1"/>
        <v>61007.62</v>
      </c>
      <c r="W70" s="126">
        <f t="shared" si="1"/>
        <v>62510.16</v>
      </c>
      <c r="X70" s="126">
        <f t="shared" si="1"/>
        <v>62078.170000000006</v>
      </c>
      <c r="Y70" s="126">
        <f t="shared" si="1"/>
        <v>70075.820000000007</v>
      </c>
      <c r="Z70" s="126">
        <f t="shared" si="1"/>
        <v>92952.23</v>
      </c>
      <c r="AA70" s="126">
        <f t="shared" si="1"/>
        <v>109074.23</v>
      </c>
      <c r="AB70" s="126">
        <f t="shared" ref="AB70:AF70" si="2">+AB85+AB104+AB106-AB107-AB108+AB110+AB111+AB113+AB114+AB115+AB116+AB117+AB119+AB120+AB121+AB122+AB123+AB124+AB125+AB105+AB112</f>
        <v>124373.5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0</v>
      </c>
      <c r="D71" s="126">
        <f t="shared" si="3"/>
        <v>0</v>
      </c>
      <c r="E71" s="126">
        <f t="shared" si="3"/>
        <v>0</v>
      </c>
      <c r="F71" s="126">
        <f t="shared" si="3"/>
        <v>0</v>
      </c>
      <c r="G71" s="126">
        <f t="shared" si="3"/>
        <v>0</v>
      </c>
      <c r="H71" s="126">
        <f t="shared" si="3"/>
        <v>0</v>
      </c>
      <c r="I71" s="126">
        <f t="shared" si="3"/>
        <v>0</v>
      </c>
      <c r="J71" s="126">
        <f t="shared" si="3"/>
        <v>103.80951499999999</v>
      </c>
      <c r="K71" s="126">
        <f t="shared" si="3"/>
        <v>195.87599779999999</v>
      </c>
      <c r="L71" s="126">
        <f t="shared" si="3"/>
        <v>575.08213489999991</v>
      </c>
      <c r="M71" s="126">
        <f t="shared" si="3"/>
        <v>1495.3180165999997</v>
      </c>
      <c r="N71" s="126">
        <f t="shared" si="3"/>
        <v>4053.9300000000003</v>
      </c>
      <c r="O71" s="126">
        <f t="shared" si="3"/>
        <v>8379.4600000000009</v>
      </c>
      <c r="P71" s="126">
        <f t="shared" si="3"/>
        <v>13865.44</v>
      </c>
      <c r="Q71" s="126">
        <f>+Q77+Q78+Q79+Q81+Q82+Q83+Q84+Q86+Q87+Q88+Q89+Q90+Q91+Q93+Q94+Q99+Q100+Q101</f>
        <v>20064.459999999995</v>
      </c>
      <c r="R71" s="126">
        <f t="shared" ref="R71:AA71" si="4">+R77+R78+R79+R81+R82+R83+R84+R86+R87+R88+R89+R90+R91+R93+R94+R99+R100+R101</f>
        <v>25671.72</v>
      </c>
      <c r="S71" s="126">
        <f t="shared" si="4"/>
        <v>33991.920000000006</v>
      </c>
      <c r="T71" s="126">
        <f t="shared" si="4"/>
        <v>45150.750000000007</v>
      </c>
      <c r="U71" s="126">
        <f t="shared" si="4"/>
        <v>56424.01</v>
      </c>
      <c r="V71" s="126">
        <f t="shared" si="4"/>
        <v>61007.62</v>
      </c>
      <c r="W71" s="126">
        <f t="shared" si="4"/>
        <v>62510.16</v>
      </c>
      <c r="X71" s="126">
        <f t="shared" si="4"/>
        <v>62078.170000000006</v>
      </c>
      <c r="Y71" s="126">
        <f t="shared" si="4"/>
        <v>70075.820000000007</v>
      </c>
      <c r="Z71" s="126">
        <f t="shared" si="4"/>
        <v>92952.23</v>
      </c>
      <c r="AA71" s="126">
        <f t="shared" si="4"/>
        <v>109074.23000000003</v>
      </c>
      <c r="AB71" s="126">
        <f t="shared" ref="AB71:AF71" si="5">+AB77+AB78+AB79+AB81+AB82+AB83+AB84+AB86+AB87+AB88+AB89+AB90+AB91+AB93+AB94+AB99+AB100+AB101</f>
        <v>124373.5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0</v>
      </c>
      <c r="D73" s="148" cm="1">
        <f t="array" ref="D73">_xll.EQNXTDZ($A$1,$B73,D$1,$B$1)</f>
        <v>0</v>
      </c>
      <c r="E73" s="148" cm="1">
        <f t="array" ref="E73">_xll.EQNXTDZ($A$1,$B73,E$1,$B$1)</f>
        <v>0</v>
      </c>
      <c r="F73" s="148" cm="1">
        <f t="array" ref="F73">_xll.EQNXTDZ($A$1,$B73,F$1,$B$1)</f>
        <v>0</v>
      </c>
      <c r="G73" s="148" cm="1">
        <f t="array" ref="G73">_xll.EQNXTDZ($A$1,$B73,G$1,$B$1)</f>
        <v>0</v>
      </c>
      <c r="H73" s="148" cm="1">
        <f t="array" ref="H73">_xll.EQNXTDZ($A$1,$B73,H$1,$B$1)</f>
        <v>0</v>
      </c>
      <c r="I73" s="148" cm="1">
        <f t="array" ref="I73">_xll.EQNXTDZ($A$1,$B73,I$1,$B$1)</f>
        <v>0</v>
      </c>
      <c r="J73" s="148" cm="1">
        <f t="array" ref="J73">_xll.EQNXTDZ($A$1,$B73,J$1,$B$1)</f>
        <v>200803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cm="1">
        <f t="array" ref="C74">_xll.EQNXTDZ($A$1,$B74,C$1,$B$1)</f>
        <v>0</v>
      </c>
      <c r="D74" s="126" cm="1">
        <f t="array" ref="D74">_xll.EQNXTDZ($A$1,$B74,D$1,$B$1)</f>
        <v>0</v>
      </c>
      <c r="E74" s="126" cm="1">
        <f t="array" ref="E74">_xll.EQNXTDZ($A$1,$B74,E$1,$B$1)</f>
        <v>0</v>
      </c>
      <c r="F74" s="126" cm="1">
        <f t="array" ref="F74">_xll.EQNXTDZ($A$1,$B74,F$1,$B$1)</f>
        <v>0</v>
      </c>
      <c r="G74" s="126" cm="1">
        <f t="array" ref="G74">_xll.EQNXTDZ($A$1,$B74,G$1,$B$1)</f>
        <v>0</v>
      </c>
      <c r="H74" s="126" cm="1">
        <f t="array" ref="H74">_xll.EQNXTDZ($A$1,$B74,H$1,$B$1)</f>
        <v>0</v>
      </c>
      <c r="I74" s="126" cm="1">
        <f t="array" ref="I74">_xll.EQNXTDZ($A$1,$B74,I$1,$B$1)</f>
        <v>0</v>
      </c>
      <c r="J74" s="126" t="str" cm="1">
        <f t="array" ref="J74">_xll.EQNXTDZ($A$1,$B74,J$1,$B$1)</f>
        <v>2008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0</v>
      </c>
      <c r="D75" s="126" cm="1">
        <f t="array" ref="D75">_xll.EQNXTDZ($A$1,$B75,D$1,$B$1)</f>
        <v>0</v>
      </c>
      <c r="E75" s="126" cm="1">
        <f t="array" ref="E75">_xll.EQNXTDZ($A$1,$B75,E$1,$B$1)</f>
        <v>0</v>
      </c>
      <c r="F75" s="126" cm="1">
        <f t="array" ref="F75">_xll.EQNXTDZ($A$1,$B75,F$1,$B$1)</f>
        <v>0</v>
      </c>
      <c r="G75" s="126" cm="1">
        <f t="array" ref="G75">_xll.EQNXTDZ($A$1,$B75,G$1,$B$1)</f>
        <v>0</v>
      </c>
      <c r="H75" s="126" cm="1">
        <f t="array" ref="H75">_xll.EQNXTDZ($A$1,$B75,H$1,$B$1)</f>
        <v>0</v>
      </c>
      <c r="I75" s="126" cm="1">
        <f t="array" ref="I75">_xll.EQNXTDZ($A$1,$B75,I$1,$B$1)</f>
        <v>0</v>
      </c>
      <c r="J75" s="126" cm="1">
        <f t="array" ref="J75">_xll.EQNXTDZ($A$1,$B75,J$1,$B$1)</f>
        <v>12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0</v>
      </c>
      <c r="D76" s="126" cm="1">
        <f t="array" ref="D76">_xll.EQNXTDZ($A$1,$B76,D$1,$B$1)</f>
        <v>0</v>
      </c>
      <c r="E76" s="126" cm="1">
        <f t="array" ref="E76">_xll.EQNXTDZ($A$1,$B76,E$1,$B$1)</f>
        <v>0</v>
      </c>
      <c r="F76" s="126" cm="1">
        <f t="array" ref="F76">_xll.EQNXTDZ($A$1,$B76,F$1,$B$1)</f>
        <v>0</v>
      </c>
      <c r="G76" s="126" cm="1">
        <f t="array" ref="G76">_xll.EQNXTDZ($A$1,$B76,G$1,$B$1)</f>
        <v>0</v>
      </c>
      <c r="H76" s="126" cm="1">
        <f t="array" ref="H76">_xll.EQNXTDZ($A$1,$B76,H$1,$B$1)</f>
        <v>0</v>
      </c>
      <c r="I76" s="126" cm="1">
        <f t="array" ref="I76">_xll.EQNXTDZ($A$1,$B76,I$1,$B$1)</f>
        <v>0</v>
      </c>
      <c r="J76" s="126" cm="1">
        <f t="array" ref="J76">_xll.EQNXTDZ($A$1,$B76,J$1,$B$1)</f>
        <v>39538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0</v>
      </c>
      <c r="D77" s="126" cm="1">
        <f t="array" ref="D77">_xll.EQNXTDZ($A$1,$B77,D$1,$B$1)</f>
        <v>0</v>
      </c>
      <c r="E77" s="126" cm="1">
        <f t="array" ref="E77">_xll.EQNXTDZ($A$1,$B77,E$1,$B$1)</f>
        <v>0</v>
      </c>
      <c r="F77" s="126" cm="1">
        <f t="array" ref="F77">_xll.EQNXTDZ($A$1,$B77,F$1,$B$1)</f>
        <v>0</v>
      </c>
      <c r="G77" s="126" cm="1">
        <f t="array" ref="G77">_xll.EQNXTDZ($A$1,$B77,G$1,$B$1)</f>
        <v>0</v>
      </c>
      <c r="H77" s="126" cm="1">
        <f t="array" ref="H77">_xll.EQNXTDZ($A$1,$B77,H$1,$B$1)</f>
        <v>0</v>
      </c>
      <c r="I77" s="126" cm="1">
        <f t="array" ref="I77">_xll.EQNXTDZ($A$1,$B77,I$1,$B$1)</f>
        <v>0</v>
      </c>
      <c r="J77" s="126" cm="1">
        <f t="array" ref="J77">_xll.EQNXTDZ($A$1,$B77,J$1,$B$1)</f>
        <v>104.94199999999999</v>
      </c>
      <c r="K77" s="126" cm="1">
        <f t="array" ref="K77">_xll.EQNXTDZ($A$1,$B77,K$1,$B$1)</f>
        <v>105.00700000000001</v>
      </c>
      <c r="L77" s="126" cm="1">
        <f t="array" ref="L77">_xll.EQNXTDZ($A$1,$B77,L$1,$B$1)</f>
        <v>105.00700000000001</v>
      </c>
      <c r="M77" s="126" cm="1">
        <f t="array" ref="M77">_xll.EQNXTDZ($A$1,$B77,M$1,$B$1)</f>
        <v>410.26400000000001</v>
      </c>
      <c r="N77" s="126" cm="1">
        <f t="array" ref="N77">_xll.EQNXTDZ($A$1,$B77,N$1,$B$1)</f>
        <v>410.61</v>
      </c>
      <c r="O77" s="126" cm="1">
        <f t="array" ref="O77">_xll.EQNXTDZ($A$1,$B77,O$1,$B$1)</f>
        <v>410.77</v>
      </c>
      <c r="P77" s="126" cm="1">
        <f t="array" ref="P77">_xll.EQNXTDZ($A$1,$B77,P$1,$B$1)</f>
        <v>513.75</v>
      </c>
      <c r="Q77" s="126" cm="1">
        <f t="array" ref="Q77">_xll.EQNXTDZ($A$1,$B77,Q$1,$B$1)</f>
        <v>699.47</v>
      </c>
      <c r="R77" s="126" cm="1">
        <f t="array" ref="R77">_xll.EQNXTDZ($A$1,$B77,R$1,$B$1)</f>
        <v>700.17</v>
      </c>
      <c r="S77" s="126" cm="1">
        <f t="array" ref="S77">_xll.EQNXTDZ($A$1,$B77,S$1,$B$1)</f>
        <v>780.24</v>
      </c>
      <c r="T77" s="126" cm="1">
        <f t="array" ref="T77">_xll.EQNXTDZ($A$1,$B77,T$1,$B$1)</f>
        <v>782.94</v>
      </c>
      <c r="U77" s="126" cm="1">
        <f t="array" ref="U77">_xll.EQNXTDZ($A$1,$B77,U$1,$B$1)</f>
        <v>785.7</v>
      </c>
      <c r="V77" s="126" cm="1">
        <f t="array" ref="V77">_xll.EQNXTDZ($A$1,$B77,V$1,$B$1)</f>
        <v>787.58</v>
      </c>
      <c r="W77" s="126" cm="1">
        <f t="array" ref="W77">_xll.EQNXTDZ($A$1,$B77,W$1,$B$1)</f>
        <v>789.19</v>
      </c>
      <c r="X77" s="126" cm="1">
        <f t="array" ref="X77">_xll.EQNXTDZ($A$1,$B77,X$1,$B$1)</f>
        <v>790.44</v>
      </c>
      <c r="Y77" s="126" cm="1">
        <f t="array" ref="Y77">_xll.EQNXTDZ($A$1,$B77,Y$1,$B$1)</f>
        <v>791.4</v>
      </c>
      <c r="Z77" s="126" cm="1">
        <f t="array" ref="Z77">_xll.EQNXTDZ($A$1,$B77,Z$1,$B$1)</f>
        <v>793.08</v>
      </c>
      <c r="AA77" s="126" cm="1">
        <f t="array" ref="AA77">_xll.EQNXTDZ($A$1,$B77,AA$1,$B$1)</f>
        <v>795.78</v>
      </c>
      <c r="AB77" s="126" cm="1">
        <f t="array" ref="AB77">_xll.EQNXTDZ($A$1,$B77,AB$1,$B$1)</f>
        <v>830.33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0</v>
      </c>
      <c r="I78" s="126" cm="1">
        <f t="array" ref="I78">_xll.EQNXTDZ($A$1,$B78,I$1,$B$1)</f>
        <v>0</v>
      </c>
      <c r="J78" s="126" cm="1">
        <f t="array" ref="J78">_xll.EQNXTDZ($A$1,$B78,J$1,$B$1)</f>
        <v>0</v>
      </c>
      <c r="K78" s="126" cm="1">
        <f t="array" ref="K78">_xll.EQNXTDZ($A$1,$B78,K$1,$B$1)</f>
        <v>0</v>
      </c>
      <c r="L78" s="126" cm="1">
        <f t="array" ref="L78">_xll.EQNXTDZ($A$1,$B78,L$1,$B$1)</f>
        <v>0</v>
      </c>
      <c r="M78" s="126" cm="1">
        <f t="array" ref="M78">_xll.EQNXTDZ($A$1,$B78,M$1,$B$1)</f>
        <v>0</v>
      </c>
      <c r="N78" s="126" cm="1">
        <f t="array" ref="N78">_xll.EQNXTDZ($A$1,$B78,N$1,$B$1)</f>
        <v>0</v>
      </c>
      <c r="O78" s="126" cm="1">
        <f t="array" ref="O78">_xll.EQNXTDZ($A$1,$B78,O$1,$B$1)</f>
        <v>0</v>
      </c>
      <c r="P78" s="126" cm="1">
        <f t="array" ref="P78">_xll.EQNXTDZ($A$1,$B78,P$1,$B$1)</f>
        <v>0</v>
      </c>
      <c r="Q78" s="126" cm="1">
        <f t="array" ref="Q78">_xll.EQNXTDZ($A$1,$B78,Q$1,$B$1)</f>
        <v>0</v>
      </c>
      <c r="R78" s="126" cm="1">
        <f t="array" ref="R78">_xll.EQNXTDZ($A$1,$B78,R$1,$B$1)</f>
        <v>0</v>
      </c>
      <c r="S78" s="126" cm="1">
        <f t="array" ref="S78">_xll.EQNXTDZ($A$1,$B78,S$1,$B$1)</f>
        <v>0</v>
      </c>
      <c r="T78" s="126" cm="1">
        <f t="array" ref="T78">_xll.EQNXTDZ($A$1,$B78,T$1,$B$1)</f>
        <v>22.87</v>
      </c>
      <c r="U78" s="126" cm="1">
        <f t="array" ref="U78">_xll.EQNXTDZ($A$1,$B78,U$1,$B$1)</f>
        <v>38.229999999999997</v>
      </c>
      <c r="V78" s="126" cm="1">
        <f t="array" ref="V78">_xll.EQNXTDZ($A$1,$B78,V$1,$B$1)</f>
        <v>49.42</v>
      </c>
      <c r="W78" s="126" cm="1">
        <f t="array" ref="W78">_xll.EQNXTDZ($A$1,$B78,W$1,$B$1)</f>
        <v>62.97</v>
      </c>
      <c r="X78" s="126" cm="1">
        <f t="array" ref="X78">_xll.EQNXTDZ($A$1,$B78,X$1,$B$1)</f>
        <v>35.53</v>
      </c>
      <c r="Y78" s="126" cm="1">
        <f t="array" ref="Y78">_xll.EQNXTDZ($A$1,$B78,Y$1,$B$1)</f>
        <v>39.61</v>
      </c>
      <c r="Z78" s="126" cm="1">
        <f t="array" ref="Z78">_xll.EQNXTDZ($A$1,$B78,Z$1,$B$1)</f>
        <v>69.22</v>
      </c>
      <c r="AA78" s="126" cm="1">
        <f t="array" ref="AA78">_xll.EQNXTDZ($A$1,$B78,AA$1,$B$1)</f>
        <v>105.35</v>
      </c>
      <c r="AB78" s="126" cm="1">
        <f t="array" ref="AB78">_xll.EQNXTDZ($A$1,$B78,AB$1,$B$1)</f>
        <v>140.28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0</v>
      </c>
      <c r="D79" s="126" cm="1">
        <f t="array" ref="D79">_xll.EQNXTDZ($A$1,$B79,D$1,$B$1)</f>
        <v>0</v>
      </c>
      <c r="E79" s="126" cm="1">
        <f t="array" ref="E79">_xll.EQNXTDZ($A$1,$B79,E$1,$B$1)</f>
        <v>0</v>
      </c>
      <c r="F79" s="126" cm="1">
        <f t="array" ref="F79">_xll.EQNXTDZ($A$1,$B79,F$1,$B$1)</f>
        <v>0</v>
      </c>
      <c r="G79" s="126" cm="1">
        <f t="array" ref="G79">_xll.EQNXTDZ($A$1,$B79,G$1,$B$1)</f>
        <v>0</v>
      </c>
      <c r="H79" s="126" cm="1">
        <f t="array" ref="H79">_xll.EQNXTDZ($A$1,$B79,H$1,$B$1)</f>
        <v>0</v>
      </c>
      <c r="I79" s="126" cm="1">
        <f t="array" ref="I79">_xll.EQNXTDZ($A$1,$B79,I$1,$B$1)</f>
        <v>0</v>
      </c>
      <c r="J79" s="126" cm="1">
        <f t="array" ref="J79">_xll.EQNXTDZ($A$1,$B79,J$1,$B$1)</f>
        <v>-3.5967136000000002</v>
      </c>
      <c r="K79" s="126" cm="1">
        <f t="array" ref="K79">_xll.EQNXTDZ($A$1,$B79,K$1,$B$1)</f>
        <v>-12.8794497</v>
      </c>
      <c r="L79" s="126" cm="1">
        <f t="array" ref="L79">_xll.EQNXTDZ($A$1,$B79,L$1,$B$1)</f>
        <v>-2.9610346000000001</v>
      </c>
      <c r="M79" s="126" cm="1">
        <f t="array" ref="M79">_xll.EQNXTDZ($A$1,$B79,M$1,$B$1)</f>
        <v>309.0051211</v>
      </c>
      <c r="N79" s="126" cm="1">
        <f t="array" ref="N79">_xll.EQNXTDZ($A$1,$B79,N$1,$B$1)</f>
        <v>360.18</v>
      </c>
      <c r="O79" s="126" cm="1">
        <f t="array" ref="O79">_xll.EQNXTDZ($A$1,$B79,O$1,$B$1)</f>
        <v>462.76</v>
      </c>
      <c r="P79" s="126" cm="1">
        <f t="array" ref="P79">_xll.EQNXTDZ($A$1,$B79,P$1,$B$1)</f>
        <v>1114.75</v>
      </c>
      <c r="Q79" s="126" cm="1">
        <f t="array" ref="Q79">_xll.EQNXTDZ($A$1,$B79,Q$1,$B$1)</f>
        <v>2425.66</v>
      </c>
      <c r="R79" s="126" cm="1">
        <f t="array" ref="R79">_xll.EQNXTDZ($A$1,$B79,R$1,$B$1)</f>
        <v>2861.63</v>
      </c>
      <c r="S79" s="126" cm="1">
        <f t="array" ref="S79">_xll.EQNXTDZ($A$1,$B79,S$1,$B$1)</f>
        <v>4582.6499999999996</v>
      </c>
      <c r="T79" s="126" cm="1">
        <f t="array" ref="T79">_xll.EQNXTDZ($A$1,$B79,T$1,$B$1)</f>
        <v>5234.54</v>
      </c>
      <c r="U79" s="126" cm="1">
        <f t="array" ref="U79">_xll.EQNXTDZ($A$1,$B79,U$1,$B$1)</f>
        <v>6354.54</v>
      </c>
      <c r="V79" s="126" cm="1">
        <f t="array" ref="V79">_xll.EQNXTDZ($A$1,$B79,V$1,$B$1)</f>
        <v>7180.8</v>
      </c>
      <c r="W79" s="126" cm="1">
        <f t="array" ref="W79">_xll.EQNXTDZ($A$1,$B79,W$1,$B$1)</f>
        <v>7594.08</v>
      </c>
      <c r="X79" s="126" cm="1">
        <f t="array" ref="X79">_xll.EQNXTDZ($A$1,$B79,X$1,$B$1)</f>
        <v>8713.76</v>
      </c>
      <c r="Y79" s="126" cm="1">
        <f t="array" ref="Y79">_xll.EQNXTDZ($A$1,$B79,Y$1,$B$1)</f>
        <v>10605.96</v>
      </c>
      <c r="Z79" s="126" cm="1">
        <f t="array" ref="Z79">_xll.EQNXTDZ($A$1,$B79,Z$1,$B$1)</f>
        <v>12880.41</v>
      </c>
      <c r="AA79" s="126" cm="1">
        <f t="array" ref="AA79">_xll.EQNXTDZ($A$1,$B79,AA$1,$B$1)</f>
        <v>14918.62</v>
      </c>
      <c r="AB79" s="126" cm="1">
        <f t="array" ref="AB79">_xll.EQNXTDZ($A$1,$B79,AB$1,$B$1)</f>
        <v>19693.439999999999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0</v>
      </c>
      <c r="D80" s="126" cm="1">
        <f t="array" ref="D80">_xll.EQNXTDZ($A$1,$B80,D$1,$B$1)</f>
        <v>0</v>
      </c>
      <c r="E80" s="126" cm="1">
        <f t="array" ref="E80">_xll.EQNXTDZ($A$1,$B80,E$1,$B$1)</f>
        <v>0</v>
      </c>
      <c r="F80" s="126" cm="1">
        <f t="array" ref="F80">_xll.EQNXTDZ($A$1,$B80,F$1,$B$1)</f>
        <v>0</v>
      </c>
      <c r="G80" s="126" cm="1">
        <f t="array" ref="G80">_xll.EQNXTDZ($A$1,$B80,G$1,$B$1)</f>
        <v>0</v>
      </c>
      <c r="H80" s="126" cm="1">
        <f t="array" ref="H80">_xll.EQNXTDZ($A$1,$B80,H$1,$B$1)</f>
        <v>0</v>
      </c>
      <c r="I80" s="126" cm="1">
        <f t="array" ref="I80">_xll.EQNXTDZ($A$1,$B80,I$1,$B$1)</f>
        <v>0</v>
      </c>
      <c r="J80" s="126" cm="1">
        <f t="array" ref="J80">_xll.EQNXTDZ($A$1,$B80,J$1,$B$1)</f>
        <v>101.34528640000001</v>
      </c>
      <c r="K80" s="126" cm="1">
        <f t="array" ref="K80">_xll.EQNXTDZ($A$1,$B80,K$1,$B$1)</f>
        <v>92.127550299999996</v>
      </c>
      <c r="L80" s="126" cm="1">
        <f t="array" ref="L80">_xll.EQNXTDZ($A$1,$B80,L$1,$B$1)</f>
        <v>102.0459654</v>
      </c>
      <c r="M80" s="126" cm="1">
        <f t="array" ref="M80">_xll.EQNXTDZ($A$1,$B80,M$1,$B$1)</f>
        <v>719.26912110000001</v>
      </c>
      <c r="N80" s="126" cm="1">
        <f t="array" ref="N80">_xll.EQNXTDZ($A$1,$B80,N$1,$B$1)</f>
        <v>770.79</v>
      </c>
      <c r="O80" s="126" cm="1">
        <f t="array" ref="O80">_xll.EQNXTDZ($A$1,$B80,O$1,$B$1)</f>
        <v>873.53</v>
      </c>
      <c r="P80" s="126" cm="1">
        <f t="array" ref="P80">_xll.EQNXTDZ($A$1,$B80,P$1,$B$1)</f>
        <v>1628.5</v>
      </c>
      <c r="Q80" s="126" cm="1">
        <f t="array" ref="Q80">_xll.EQNXTDZ($A$1,$B80,Q$1,$B$1)</f>
        <v>3125.13</v>
      </c>
      <c r="R80" s="126" cm="1">
        <f t="array" ref="R80">_xll.EQNXTDZ($A$1,$B80,R$1,$B$1)</f>
        <v>3561.8</v>
      </c>
      <c r="S80" s="126" cm="1">
        <f t="array" ref="S80">_xll.EQNXTDZ($A$1,$B80,S$1,$B$1)</f>
        <v>5362.89</v>
      </c>
      <c r="T80" s="126" cm="1">
        <f t="array" ref="T80">_xll.EQNXTDZ($A$1,$B80,T$1,$B$1)</f>
        <v>6040.35</v>
      </c>
      <c r="U80" s="126" cm="1">
        <f t="array" ref="U80">_xll.EQNXTDZ($A$1,$B80,U$1,$B$1)</f>
        <v>7178.47</v>
      </c>
      <c r="V80" s="126" cm="1">
        <f t="array" ref="V80">_xll.EQNXTDZ($A$1,$B80,V$1,$B$1)</f>
        <v>8017.8</v>
      </c>
      <c r="W80" s="126" cm="1">
        <f t="array" ref="W80">_xll.EQNXTDZ($A$1,$B80,W$1,$B$1)</f>
        <v>8446.24</v>
      </c>
      <c r="X80" s="126" cm="1">
        <f t="array" ref="X80">_xll.EQNXTDZ($A$1,$B80,X$1,$B$1)</f>
        <v>9539.73</v>
      </c>
      <c r="Y80" s="126" cm="1">
        <f t="array" ref="Y80">_xll.EQNXTDZ($A$1,$B80,Y$1,$B$1)</f>
        <v>11436.97</v>
      </c>
      <c r="Z80" s="126" cm="1">
        <f t="array" ref="Z80">_xll.EQNXTDZ($A$1,$B80,Z$1,$B$1)</f>
        <v>13742.71</v>
      </c>
      <c r="AA80" s="126" cm="1">
        <f t="array" ref="AA80">_xll.EQNXTDZ($A$1,$B80,AA$1,$B$1)</f>
        <v>15819.75</v>
      </c>
      <c r="AB80" s="126" cm="1">
        <f t="array" ref="AB80">_xll.EQNXTDZ($A$1,$B80,AB$1,$B$1)</f>
        <v>20664.05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0</v>
      </c>
      <c r="D83" s="126" cm="1">
        <f t="array" ref="D83">_xll.EQNXTDZ($A$1,$B83,D$1,$B$1)</f>
        <v>0</v>
      </c>
      <c r="E83" s="126" cm="1">
        <f t="array" ref="E83">_xll.EQNXTDZ($A$1,$B83,E$1,$B$1)</f>
        <v>0</v>
      </c>
      <c r="F83" s="126" cm="1">
        <f t="array" ref="F83">_xll.EQNXTDZ($A$1,$B83,F$1,$B$1)</f>
        <v>0</v>
      </c>
      <c r="G83" s="126" cm="1">
        <f t="array" ref="G83">_xll.EQNXTDZ($A$1,$B83,G$1,$B$1)</f>
        <v>0</v>
      </c>
      <c r="H83" s="126" cm="1">
        <f t="array" ref="H83">_xll.EQNXTDZ($A$1,$B83,H$1,$B$1)</f>
        <v>0</v>
      </c>
      <c r="I83" s="126" cm="1">
        <f t="array" ref="I83">_xll.EQNXTDZ($A$1,$B83,I$1,$B$1)</f>
        <v>0</v>
      </c>
      <c r="J83" s="126" cm="1">
        <f t="array" ref="J83">_xll.EQNXTDZ($A$1,$B83,J$1,$B$1)</f>
        <v>0</v>
      </c>
      <c r="K83" s="126" cm="1">
        <f t="array" ref="K83">_xll.EQNXTDZ($A$1,$B83,K$1,$B$1)</f>
        <v>90</v>
      </c>
      <c r="L83" s="126" cm="1">
        <f t="array" ref="L83">_xll.EQNXTDZ($A$1,$B83,L$1,$B$1)</f>
        <v>410.10510859999999</v>
      </c>
      <c r="M83" s="126" cm="1">
        <f t="array" ref="M83">_xll.EQNXTDZ($A$1,$B83,M$1,$B$1)</f>
        <v>334.17464469999999</v>
      </c>
      <c r="N83" s="126" cm="1">
        <f t="array" ref="N83">_xll.EQNXTDZ($A$1,$B83,N$1,$B$1)</f>
        <v>1784.75</v>
      </c>
      <c r="O83" s="126" cm="1">
        <f t="array" ref="O83">_xll.EQNXTDZ($A$1,$B83,O$1,$B$1)</f>
        <v>4455.37</v>
      </c>
      <c r="P83" s="126" cm="1">
        <f t="array" ref="P83">_xll.EQNXTDZ($A$1,$B83,P$1,$B$1)</f>
        <v>7015.71</v>
      </c>
      <c r="Q83" s="126" cm="1">
        <f t="array" ref="Q83">_xll.EQNXTDZ($A$1,$B83,Q$1,$B$1)</f>
        <v>9170.06</v>
      </c>
      <c r="R83" s="126" cm="1">
        <f t="array" ref="R83">_xll.EQNXTDZ($A$1,$B83,R$1,$B$1)</f>
        <v>12140.45</v>
      </c>
      <c r="S83" s="126" cm="1">
        <f t="array" ref="S83">_xll.EQNXTDZ($A$1,$B83,S$1,$B$1)</f>
        <v>17040.22</v>
      </c>
      <c r="T83" s="126" cm="1">
        <f t="array" ref="T83">_xll.EQNXTDZ($A$1,$B83,T$1,$B$1)</f>
        <v>20176.689999999999</v>
      </c>
      <c r="U83" s="126" cm="1">
        <f t="array" ref="U83">_xll.EQNXTDZ($A$1,$B83,U$1,$B$1)</f>
        <v>26245.22</v>
      </c>
      <c r="V83" s="126" cm="1">
        <f t="array" ref="V83">_xll.EQNXTDZ($A$1,$B83,V$1,$B$1)</f>
        <v>28283.32</v>
      </c>
      <c r="W83" s="126" cm="1">
        <f t="array" ref="W83">_xll.EQNXTDZ($A$1,$B83,W$1,$B$1)</f>
        <v>30887.43</v>
      </c>
      <c r="X83" s="126" cm="1">
        <f t="array" ref="X83">_xll.EQNXTDZ($A$1,$B83,X$1,$B$1)</f>
        <v>28078.16</v>
      </c>
      <c r="Y83" s="126" cm="1">
        <f t="array" ref="Y83">_xll.EQNXTDZ($A$1,$B83,Y$1,$B$1)</f>
        <v>32040.07</v>
      </c>
      <c r="Z83" s="126" cm="1">
        <f t="array" ref="Z83">_xll.EQNXTDZ($A$1,$B83,Z$1,$B$1)</f>
        <v>43614.94</v>
      </c>
      <c r="AA83" s="126" cm="1">
        <f t="array" ref="AA83">_xll.EQNXTDZ($A$1,$B83,AA$1,$B$1)</f>
        <v>44957.23</v>
      </c>
      <c r="AB83" s="126" cm="1">
        <f t="array" ref="AB83">_xll.EQNXTDZ($A$1,$B83,AB$1,$B$1)</f>
        <v>58682.48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0</v>
      </c>
      <c r="D84" s="126" cm="1">
        <f t="array" ref="D84">_xll.EQNXTDZ($A$1,$B84,D$1,$B$1)</f>
        <v>0</v>
      </c>
      <c r="E84" s="126" cm="1">
        <f t="array" ref="E84">_xll.EQNXTDZ($A$1,$B84,E$1,$B$1)</f>
        <v>0</v>
      </c>
      <c r="F84" s="126" cm="1">
        <f t="array" ref="F84">_xll.EQNXTDZ($A$1,$B84,F$1,$B$1)</f>
        <v>0</v>
      </c>
      <c r="G84" s="126" cm="1">
        <f t="array" ref="G84">_xll.EQNXTDZ($A$1,$B84,G$1,$B$1)</f>
        <v>0</v>
      </c>
      <c r="H84" s="126" cm="1">
        <f t="array" ref="H84">_xll.EQNXTDZ($A$1,$B84,H$1,$B$1)</f>
        <v>0</v>
      </c>
      <c r="I84" s="126" cm="1">
        <f t="array" ref="I84">_xll.EQNXTDZ($A$1,$B84,I$1,$B$1)</f>
        <v>0</v>
      </c>
      <c r="J84" s="126" cm="1">
        <f t="array" ref="J84">_xll.EQNXTDZ($A$1,$B84,J$1,$B$1)</f>
        <v>0</v>
      </c>
      <c r="K84" s="126" cm="1">
        <f t="array" ref="K84">_xll.EQNXTDZ($A$1,$B84,K$1,$B$1)</f>
        <v>0</v>
      </c>
      <c r="L84" s="126" cm="1">
        <f t="array" ref="L84">_xll.EQNXTDZ($A$1,$B84,L$1,$B$1)</f>
        <v>40</v>
      </c>
      <c r="M84" s="126" cm="1">
        <f t="array" ref="M84">_xll.EQNXTDZ($A$1,$B84,M$1,$B$1)</f>
        <v>0</v>
      </c>
      <c r="N84" s="126" cm="1">
        <f t="array" ref="N84">_xll.EQNXTDZ($A$1,$B84,N$1,$B$1)</f>
        <v>0</v>
      </c>
      <c r="O84" s="126" cm="1">
        <f t="array" ref="O84">_xll.EQNXTDZ($A$1,$B84,O$1,$B$1)</f>
        <v>600</v>
      </c>
      <c r="P84" s="126" cm="1">
        <f t="array" ref="P84">_xll.EQNXTDZ($A$1,$B84,P$1,$B$1)</f>
        <v>830</v>
      </c>
      <c r="Q84" s="126" cm="1">
        <f t="array" ref="Q84">_xll.EQNXTDZ($A$1,$B84,Q$1,$B$1)</f>
        <v>1330</v>
      </c>
      <c r="R84" s="126" cm="1">
        <f t="array" ref="R84">_xll.EQNXTDZ($A$1,$B84,R$1,$B$1)</f>
        <v>1330</v>
      </c>
      <c r="S84" s="126" cm="1">
        <f t="array" ref="S84">_xll.EQNXTDZ($A$1,$B84,S$1,$B$1)</f>
        <v>1720</v>
      </c>
      <c r="T84" s="126" cm="1">
        <f t="array" ref="T84">_xll.EQNXTDZ($A$1,$B84,T$1,$B$1)</f>
        <v>1992.5</v>
      </c>
      <c r="U84" s="126" cm="1">
        <f t="array" ref="U84">_xll.EQNXTDZ($A$1,$B84,U$1,$B$1)</f>
        <v>2889.78</v>
      </c>
      <c r="V84" s="126" cm="1">
        <f t="array" ref="V84">_xll.EQNXTDZ($A$1,$B84,V$1,$B$1)</f>
        <v>3630.55</v>
      </c>
      <c r="W84" s="126" cm="1">
        <f t="array" ref="W84">_xll.EQNXTDZ($A$1,$B84,W$1,$B$1)</f>
        <v>3987.61</v>
      </c>
      <c r="X84" s="126" cm="1">
        <f t="array" ref="X84">_xll.EQNXTDZ($A$1,$B84,X$1,$B$1)</f>
        <v>3539.82</v>
      </c>
      <c r="Y84" s="126" cm="1">
        <f t="array" ref="Y84">_xll.EQNXTDZ($A$1,$B84,Y$1,$B$1)</f>
        <v>3311.68</v>
      </c>
      <c r="Z84" s="126" cm="1">
        <f t="array" ref="Z84">_xll.EQNXTDZ($A$1,$B84,Z$1,$B$1)</f>
        <v>5148.29</v>
      </c>
      <c r="AA84" s="126" cm="1">
        <f t="array" ref="AA84">_xll.EQNXTDZ($A$1,$B84,AA$1,$B$1)</f>
        <v>6003.71</v>
      </c>
      <c r="AB84" s="126" cm="1">
        <f t="array" ref="AB84">_xll.EQNXTDZ($A$1,$B84,AB$1,$B$1)</f>
        <v>6314.8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0</v>
      </c>
      <c r="E88" s="126" cm="1">
        <f t="array" ref="E88">_xll.EQNXTDZ($A$1,$B88,E$1,$B$1)</f>
        <v>0</v>
      </c>
      <c r="F88" s="126" cm="1">
        <f t="array" ref="F88">_xll.EQNXTDZ($A$1,$B88,F$1,$B$1)</f>
        <v>0</v>
      </c>
      <c r="G88" s="126" cm="1">
        <f t="array" ref="G88">_xll.EQNXTDZ($A$1,$B88,G$1,$B$1)</f>
        <v>0</v>
      </c>
      <c r="H88" s="126" cm="1">
        <f t="array" ref="H88">_xll.EQNXTDZ($A$1,$B88,H$1,$B$1)</f>
        <v>0</v>
      </c>
      <c r="I88" s="126" cm="1">
        <f t="array" ref="I88">_xll.EQNXTDZ($A$1,$B88,I$1,$B$1)</f>
        <v>0</v>
      </c>
      <c r="J88" s="126" cm="1">
        <f t="array" ref="J88">_xll.EQNXTDZ($A$1,$B88,J$1,$B$1)</f>
        <v>0</v>
      </c>
      <c r="K88" s="126" cm="1">
        <f t="array" ref="K88">_xll.EQNXTDZ($A$1,$B88,K$1,$B$1)</f>
        <v>0</v>
      </c>
      <c r="L88" s="126" cm="1">
        <f t="array" ref="L88">_xll.EQNXTDZ($A$1,$B88,L$1,$B$1)</f>
        <v>0</v>
      </c>
      <c r="M88" s="126" cm="1">
        <f t="array" ref="M88">_xll.EQNXTDZ($A$1,$B88,M$1,$B$1)</f>
        <v>0</v>
      </c>
      <c r="N88" s="126" cm="1">
        <f t="array" ref="N88">_xll.EQNXTDZ($A$1,$B88,N$1,$B$1)</f>
        <v>-14.16</v>
      </c>
      <c r="O88" s="126" cm="1">
        <f t="array" ref="O88">_xll.EQNXTDZ($A$1,$B88,O$1,$B$1)</f>
        <v>-32.869999999999997</v>
      </c>
      <c r="P88" s="126" cm="1">
        <f t="array" ref="P88">_xll.EQNXTDZ($A$1,$B88,P$1,$B$1)</f>
        <v>-58.96</v>
      </c>
      <c r="Q88" s="126" cm="1">
        <f t="array" ref="Q88">_xll.EQNXTDZ($A$1,$B88,Q$1,$B$1)</f>
        <v>-81.239999999999995</v>
      </c>
      <c r="R88" s="126" cm="1">
        <f t="array" ref="R88">_xll.EQNXTDZ($A$1,$B88,R$1,$B$1)</f>
        <v>-110.48</v>
      </c>
      <c r="S88" s="126" cm="1">
        <f t="array" ref="S88">_xll.EQNXTDZ($A$1,$B88,S$1,$B$1)</f>
        <v>-138.44999999999999</v>
      </c>
      <c r="T88" s="126" cm="1">
        <f t="array" ref="T88">_xll.EQNXTDZ($A$1,$B88,T$1,$B$1)</f>
        <v>-295.77</v>
      </c>
      <c r="U88" s="126" cm="1">
        <f t="array" ref="U88">_xll.EQNXTDZ($A$1,$B88,U$1,$B$1)</f>
        <v>-384.96</v>
      </c>
      <c r="V88" s="126" cm="1">
        <f t="array" ref="V88">_xll.EQNXTDZ($A$1,$B88,V$1,$B$1)</f>
        <v>-415.62</v>
      </c>
      <c r="W88" s="126" cm="1">
        <f t="array" ref="W88">_xll.EQNXTDZ($A$1,$B88,W$1,$B$1)</f>
        <v>-729.99</v>
      </c>
      <c r="X88" s="126" cm="1">
        <f t="array" ref="X88">_xll.EQNXTDZ($A$1,$B88,X$1,$B$1)</f>
        <v>-1051.17</v>
      </c>
      <c r="Y88" s="126" cm="1">
        <f t="array" ref="Y88">_xll.EQNXTDZ($A$1,$B88,Y$1,$B$1)</f>
        <v>-1000.87</v>
      </c>
      <c r="Z88" s="126" cm="1">
        <f t="array" ref="Z88">_xll.EQNXTDZ($A$1,$B88,Z$1,$B$1)</f>
        <v>-939.95</v>
      </c>
      <c r="AA88" s="126" cm="1">
        <f t="array" ref="AA88">_xll.EQNXTDZ($A$1,$B88,AA$1,$B$1)</f>
        <v>-883.25</v>
      </c>
      <c r="AB88" s="126" cm="1">
        <f t="array" ref="AB88">_xll.EQNXTDZ($A$1,$B88,AB$1,$B$1)</f>
        <v>-943.08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10.8233836</v>
      </c>
      <c r="N89" s="126" cm="1">
        <f t="array" ref="N89">_xll.EQNXTDZ($A$1,$B89,N$1,$B$1)</f>
        <v>13.06</v>
      </c>
      <c r="O89" s="126" cm="1">
        <f t="array" ref="O89">_xll.EQNXTDZ($A$1,$B89,O$1,$B$1)</f>
        <v>42.24</v>
      </c>
      <c r="P89" s="126" cm="1">
        <f t="array" ref="P89">_xll.EQNXTDZ($A$1,$B89,P$1,$B$1)</f>
        <v>65.7</v>
      </c>
      <c r="Q89" s="126" cm="1">
        <f t="array" ref="Q89">_xll.EQNXTDZ($A$1,$B89,Q$1,$B$1)</f>
        <v>104.56</v>
      </c>
      <c r="R89" s="126" cm="1">
        <f t="array" ref="R89">_xll.EQNXTDZ($A$1,$B89,R$1,$B$1)</f>
        <v>113.35</v>
      </c>
      <c r="S89" s="126" cm="1">
        <f t="array" ref="S89">_xll.EQNXTDZ($A$1,$B89,S$1,$B$1)</f>
        <v>159.74</v>
      </c>
      <c r="T89" s="126" cm="1">
        <f t="array" ref="T89">_xll.EQNXTDZ($A$1,$B89,T$1,$B$1)</f>
        <v>145.72</v>
      </c>
      <c r="U89" s="126" cm="1">
        <f t="array" ref="U89">_xll.EQNXTDZ($A$1,$B89,U$1,$B$1)</f>
        <v>335.85</v>
      </c>
      <c r="V89" s="126" cm="1">
        <f t="array" ref="V89">_xll.EQNXTDZ($A$1,$B89,V$1,$B$1)</f>
        <v>283.54000000000002</v>
      </c>
      <c r="W89" s="126" cm="1">
        <f t="array" ref="W89">_xll.EQNXTDZ($A$1,$B89,W$1,$B$1)</f>
        <v>553.08000000000004</v>
      </c>
      <c r="X89" s="126" cm="1">
        <f t="array" ref="X89">_xll.EQNXTDZ($A$1,$B89,X$1,$B$1)</f>
        <v>364.25</v>
      </c>
      <c r="Y89" s="126" cm="1">
        <f t="array" ref="Y89">_xll.EQNXTDZ($A$1,$B89,Y$1,$B$1)</f>
        <v>467.57</v>
      </c>
      <c r="Z89" s="126" cm="1">
        <f t="array" ref="Z89">_xll.EQNXTDZ($A$1,$B89,Z$1,$B$1)</f>
        <v>553.46</v>
      </c>
      <c r="AA89" s="126" cm="1">
        <f t="array" ref="AA89">_xll.EQNXTDZ($A$1,$B89,AA$1,$B$1)</f>
        <v>583.13</v>
      </c>
      <c r="AB89" s="126" cm="1">
        <f t="array" ref="AB89">_xll.EQNXTDZ($A$1,$B89,AB$1,$B$1)</f>
        <v>1465.11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0</v>
      </c>
      <c r="W90" s="126" cm="1">
        <f t="array" ref="W90">_xll.EQNXTDZ($A$1,$B90,W$1,$B$1)</f>
        <v>0</v>
      </c>
      <c r="X90" s="126" cm="1">
        <f t="array" ref="X90">_xll.EQNXTDZ($A$1,$B90,X$1,$B$1)</f>
        <v>0</v>
      </c>
      <c r="Y90" s="126" cm="1">
        <f t="array" ref="Y90">_xll.EQNXTDZ($A$1,$B90,Y$1,$B$1)</f>
        <v>0</v>
      </c>
      <c r="Z90" s="126" cm="1">
        <f t="array" ref="Z90">_xll.EQNXTDZ($A$1,$B90,Z$1,$B$1)</f>
        <v>105.73</v>
      </c>
      <c r="AA90" s="126" cm="1">
        <f t="array" ref="AA90">_xll.EQNXTDZ($A$1,$B90,AA$1,$B$1)</f>
        <v>13.84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5.8421586000000003</v>
      </c>
      <c r="N91" s="126" cm="1">
        <f t="array" ref="N91">_xll.EQNXTDZ($A$1,$B91,N$1,$B$1)</f>
        <v>32.35</v>
      </c>
      <c r="O91" s="126" cm="1">
        <f t="array" ref="O91">_xll.EQNXTDZ($A$1,$B91,O$1,$B$1)</f>
        <v>59.94</v>
      </c>
      <c r="P91" s="126" cm="1">
        <f t="array" ref="P91">_xll.EQNXTDZ($A$1,$B91,P$1,$B$1)</f>
        <v>91.68</v>
      </c>
      <c r="Q91" s="126" cm="1">
        <f t="array" ref="Q91">_xll.EQNXTDZ($A$1,$B91,Q$1,$B$1)</f>
        <v>128.30000000000001</v>
      </c>
      <c r="R91" s="126" cm="1">
        <f t="array" ref="R91">_xll.EQNXTDZ($A$1,$B91,R$1,$B$1)</f>
        <v>487.28</v>
      </c>
      <c r="S91" s="126" cm="1">
        <f t="array" ref="S91">_xll.EQNXTDZ($A$1,$B91,S$1,$B$1)</f>
        <v>601.77</v>
      </c>
      <c r="T91" s="126" cm="1">
        <f t="array" ref="T91">_xll.EQNXTDZ($A$1,$B91,T$1,$B$1)</f>
        <v>726.9</v>
      </c>
      <c r="U91" s="126" cm="1">
        <f t="array" ref="U91">_xll.EQNXTDZ($A$1,$B91,U$1,$B$1)</f>
        <v>30.14</v>
      </c>
      <c r="V91" s="126" cm="1">
        <f t="array" ref="V91">_xll.EQNXTDZ($A$1,$B91,V$1,$B$1)</f>
        <v>127.37</v>
      </c>
      <c r="W91" s="126" cm="1">
        <f t="array" ref="W91">_xll.EQNXTDZ($A$1,$B91,W$1,$B$1)</f>
        <v>37.61</v>
      </c>
      <c r="X91" s="126" cm="1">
        <f t="array" ref="X91">_xll.EQNXTDZ($A$1,$B91,X$1,$B$1)</f>
        <v>50.14</v>
      </c>
      <c r="Y91" s="126" cm="1">
        <f t="array" ref="Y91">_xll.EQNXTDZ($A$1,$B91,Y$1,$B$1)</f>
        <v>54.62</v>
      </c>
      <c r="Z91" s="126" cm="1">
        <f t="array" ref="Z91">_xll.EQNXTDZ($A$1,$B91,Z$1,$B$1)</f>
        <v>74.42</v>
      </c>
      <c r="AA91" s="126" cm="1">
        <f t="array" ref="AA91">_xll.EQNXTDZ($A$1,$B91,AA$1,$B$1)</f>
        <v>46.53</v>
      </c>
      <c r="AB91" s="126" cm="1">
        <f t="array" ref="AB91">_xll.EQNXTDZ($A$1,$B91,AB$1,$B$1)</f>
        <v>84.39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0</v>
      </c>
      <c r="D92" s="126" cm="1">
        <f t="array" ref="D92">_xll.EQNXTDZ($A$1,$B92,D$1,$B$1)</f>
        <v>0</v>
      </c>
      <c r="E92" s="126" cm="1">
        <f t="array" ref="E92">_xll.EQNXTDZ($A$1,$B92,E$1,$B$1)</f>
        <v>0</v>
      </c>
      <c r="F92" s="126" cm="1">
        <f t="array" ref="F92">_xll.EQNXTDZ($A$1,$B92,F$1,$B$1)</f>
        <v>0</v>
      </c>
      <c r="G92" s="126" cm="1">
        <f t="array" ref="G92">_xll.EQNXTDZ($A$1,$B92,G$1,$B$1)</f>
        <v>0</v>
      </c>
      <c r="H92" s="126" cm="1">
        <f t="array" ref="H92">_xll.EQNXTDZ($A$1,$B92,H$1,$B$1)</f>
        <v>0</v>
      </c>
      <c r="I92" s="126" cm="1">
        <f t="array" ref="I92">_xll.EQNXTDZ($A$1,$B92,I$1,$B$1)</f>
        <v>0</v>
      </c>
      <c r="J92" s="126" cm="1">
        <f t="array" ref="J92">_xll.EQNXTDZ($A$1,$B92,J$1,$B$1)</f>
        <v>0</v>
      </c>
      <c r="K92" s="126" cm="1">
        <f t="array" ref="K92">_xll.EQNXTDZ($A$1,$B92,K$1,$B$1)</f>
        <v>90</v>
      </c>
      <c r="L92" s="126" cm="1">
        <f t="array" ref="L92">_xll.EQNXTDZ($A$1,$B92,L$1,$B$1)</f>
        <v>450.10510859999999</v>
      </c>
      <c r="M92" s="126" cm="1">
        <f t="array" ref="M92">_xll.EQNXTDZ($A$1,$B92,M$1,$B$1)</f>
        <v>350.84018689999999</v>
      </c>
      <c r="N92" s="126" cm="1">
        <f t="array" ref="N92">_xll.EQNXTDZ($A$1,$B92,N$1,$B$1)</f>
        <v>1816</v>
      </c>
      <c r="O92" s="126" cm="1">
        <f t="array" ref="O92">_xll.EQNXTDZ($A$1,$B92,O$1,$B$1)</f>
        <v>5124.68</v>
      </c>
      <c r="P92" s="126" cm="1">
        <f t="array" ref="P92">_xll.EQNXTDZ($A$1,$B92,P$1,$B$1)</f>
        <v>7944.13</v>
      </c>
      <c r="Q92" s="126" cm="1">
        <f t="array" ref="Q92">_xll.EQNXTDZ($A$1,$B92,Q$1,$B$1)</f>
        <v>10651.68</v>
      </c>
      <c r="R92" s="126" cm="1">
        <f t="array" ref="R92">_xll.EQNXTDZ($A$1,$B92,R$1,$B$1)</f>
        <v>13960.6</v>
      </c>
      <c r="S92" s="126" cm="1">
        <f t="array" ref="S92">_xll.EQNXTDZ($A$1,$B92,S$1,$B$1)</f>
        <v>19383.28</v>
      </c>
      <c r="T92" s="126" cm="1">
        <f t="array" ref="T92">_xll.EQNXTDZ($A$1,$B92,T$1,$B$1)</f>
        <v>22746.04</v>
      </c>
      <c r="U92" s="126" cm="1">
        <f t="array" ref="U92">_xll.EQNXTDZ($A$1,$B92,U$1,$B$1)</f>
        <v>29116.03</v>
      </c>
      <c r="V92" s="126" cm="1">
        <f t="array" ref="V92">_xll.EQNXTDZ($A$1,$B92,V$1,$B$1)</f>
        <v>31909.16</v>
      </c>
      <c r="W92" s="126" cm="1">
        <f t="array" ref="W92">_xll.EQNXTDZ($A$1,$B92,W$1,$B$1)</f>
        <v>34735.74</v>
      </c>
      <c r="X92" s="126" cm="1">
        <f t="array" ref="X92">_xll.EQNXTDZ($A$1,$B92,X$1,$B$1)</f>
        <v>30981.200000000001</v>
      </c>
      <c r="Y92" s="126" cm="1">
        <f t="array" ref="Y92">_xll.EQNXTDZ($A$1,$B92,Y$1,$B$1)</f>
        <v>34873.07</v>
      </c>
      <c r="Z92" s="126" cm="1">
        <f t="array" ref="Z92">_xll.EQNXTDZ($A$1,$B92,Z$1,$B$1)</f>
        <v>48556.89</v>
      </c>
      <c r="AA92" s="126" cm="1">
        <f t="array" ref="AA92">_xll.EQNXTDZ($A$1,$B92,AA$1,$B$1)</f>
        <v>50721.19</v>
      </c>
      <c r="AB92" s="126" cm="1">
        <f t="array" ref="AB92">_xll.EQNXTDZ($A$1,$B92,AB$1,$B$1)</f>
        <v>65603.7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0</v>
      </c>
      <c r="D93" s="126" cm="1">
        <f t="array" ref="D93">_xll.EQNXTDZ($A$1,$B93,D$1,$B$1)</f>
        <v>0</v>
      </c>
      <c r="E93" s="126" cm="1">
        <f t="array" ref="E93">_xll.EQNXTDZ($A$1,$B93,E$1,$B$1)</f>
        <v>0</v>
      </c>
      <c r="F93" s="126" cm="1">
        <f t="array" ref="F93">_xll.EQNXTDZ($A$1,$B93,F$1,$B$1)</f>
        <v>0</v>
      </c>
      <c r="G93" s="126" cm="1">
        <f t="array" ref="G93">_xll.EQNXTDZ($A$1,$B93,G$1,$B$1)</f>
        <v>0</v>
      </c>
      <c r="H93" s="126" cm="1">
        <f t="array" ref="H93">_xll.EQNXTDZ($A$1,$B93,H$1,$B$1)</f>
        <v>0</v>
      </c>
      <c r="I93" s="126" cm="1">
        <f t="array" ref="I93">_xll.EQNXTDZ($A$1,$B93,I$1,$B$1)</f>
        <v>0</v>
      </c>
      <c r="J93" s="126" cm="1">
        <f t="array" ref="J93">_xll.EQNXTDZ($A$1,$B93,J$1,$B$1)</f>
        <v>2.0558025</v>
      </c>
      <c r="K93" s="126" cm="1">
        <f t="array" ref="K93">_xll.EQNXTDZ($A$1,$B93,K$1,$B$1)</f>
        <v>4.9697630999999998</v>
      </c>
      <c r="L93" s="126" cm="1">
        <f t="array" ref="L93">_xll.EQNXTDZ($A$1,$B93,L$1,$B$1)</f>
        <v>8.5266605999999996</v>
      </c>
      <c r="M93" s="126" cm="1">
        <f t="array" ref="M93">_xll.EQNXTDZ($A$1,$B93,M$1,$B$1)</f>
        <v>63.123159200000003</v>
      </c>
      <c r="N93" s="126" cm="1">
        <f t="array" ref="N93">_xll.EQNXTDZ($A$1,$B93,N$1,$B$1)</f>
        <v>11.17</v>
      </c>
      <c r="O93" s="126" cm="1">
        <f t="array" ref="O93">_xll.EQNXTDZ($A$1,$B93,O$1,$B$1)</f>
        <v>17.809999999999999</v>
      </c>
      <c r="P93" s="126" cm="1">
        <f t="array" ref="P93">_xll.EQNXTDZ($A$1,$B93,P$1,$B$1)</f>
        <v>22.98</v>
      </c>
      <c r="Q93" s="126" cm="1">
        <f t="array" ref="Q93">_xll.EQNXTDZ($A$1,$B93,Q$1,$B$1)</f>
        <v>51.96</v>
      </c>
      <c r="R93" s="126" cm="1">
        <f t="array" ref="R93">_xll.EQNXTDZ($A$1,$B93,R$1,$B$1)</f>
        <v>204.59</v>
      </c>
      <c r="S93" s="126" cm="1">
        <f t="array" ref="S93">_xll.EQNXTDZ($A$1,$B93,S$1,$B$1)</f>
        <v>283.27</v>
      </c>
      <c r="T93" s="126" cm="1">
        <f t="array" ref="T93">_xll.EQNXTDZ($A$1,$B93,T$1,$B$1)</f>
        <v>279.5</v>
      </c>
      <c r="U93" s="126" cm="1">
        <f t="array" ref="U93">_xll.EQNXTDZ($A$1,$B93,U$1,$B$1)</f>
        <v>394.91</v>
      </c>
      <c r="V93" s="126" cm="1">
        <f t="array" ref="V93">_xll.EQNXTDZ($A$1,$B93,V$1,$B$1)</f>
        <v>149.99</v>
      </c>
      <c r="W93" s="126" cm="1">
        <f t="array" ref="W93">_xll.EQNXTDZ($A$1,$B93,W$1,$B$1)</f>
        <v>334.26</v>
      </c>
      <c r="X93" s="126" cm="1">
        <f t="array" ref="X93">_xll.EQNXTDZ($A$1,$B93,X$1,$B$1)</f>
        <v>246.91</v>
      </c>
      <c r="Y93" s="126" cm="1">
        <f t="array" ref="Y93">_xll.EQNXTDZ($A$1,$B93,Y$1,$B$1)</f>
        <v>291.83999999999997</v>
      </c>
      <c r="Z93" s="126" cm="1">
        <f t="array" ref="Z93">_xll.EQNXTDZ($A$1,$B93,Z$1,$B$1)</f>
        <v>403.27</v>
      </c>
      <c r="AA93" s="126" cm="1">
        <f t="array" ref="AA93">_xll.EQNXTDZ($A$1,$B93,AA$1,$B$1)</f>
        <v>425.46</v>
      </c>
      <c r="AB93" s="126" cm="1">
        <f t="array" ref="AB93">_xll.EQNXTDZ($A$1,$B93,AB$1,$B$1)</f>
        <v>179.88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0</v>
      </c>
      <c r="D94" s="126" cm="1">
        <f t="array" ref="D94">_xll.EQNXTDZ($A$1,$B94,D$1,$B$1)</f>
        <v>0</v>
      </c>
      <c r="E94" s="126" cm="1">
        <f t="array" ref="E94">_xll.EQNXTDZ($A$1,$B94,E$1,$B$1)</f>
        <v>0</v>
      </c>
      <c r="F94" s="126" cm="1">
        <f t="array" ref="F94">_xll.EQNXTDZ($A$1,$B94,F$1,$B$1)</f>
        <v>0</v>
      </c>
      <c r="G94" s="126" cm="1">
        <f t="array" ref="G94">_xll.EQNXTDZ($A$1,$B94,G$1,$B$1)</f>
        <v>0</v>
      </c>
      <c r="H94" s="126" cm="1">
        <f t="array" ref="H94">_xll.EQNXTDZ($A$1,$B94,H$1,$B$1)</f>
        <v>0</v>
      </c>
      <c r="I94" s="126" cm="1">
        <f t="array" ref="I94">_xll.EQNXTDZ($A$1,$B94,I$1,$B$1)</f>
        <v>0</v>
      </c>
      <c r="J94" s="126" cm="1">
        <f t="array" ref="J94">_xll.EQNXTDZ($A$1,$B94,J$1,$B$1)</f>
        <v>0.36741109999999999</v>
      </c>
      <c r="K94" s="126" cm="1">
        <f t="array" ref="K94">_xll.EQNXTDZ($A$1,$B94,K$1,$B$1)</f>
        <v>8.3413568999999992</v>
      </c>
      <c r="L94" s="126" cm="1">
        <f t="array" ref="L94">_xll.EQNXTDZ($A$1,$B94,L$1,$B$1)</f>
        <v>8.0825741999999998</v>
      </c>
      <c r="M94" s="126" cm="1">
        <f t="array" ref="M94">_xll.EQNXTDZ($A$1,$B94,M$1,$B$1)</f>
        <v>334.91697950000002</v>
      </c>
      <c r="N94" s="126" cm="1">
        <f t="array" ref="N94">_xll.EQNXTDZ($A$1,$B94,N$1,$B$1)</f>
        <v>1327.44</v>
      </c>
      <c r="O94" s="126" cm="1">
        <f t="array" ref="O94">_xll.EQNXTDZ($A$1,$B94,O$1,$B$1)</f>
        <v>2027</v>
      </c>
      <c r="P94" s="126" cm="1">
        <f t="array" ref="P94">_xll.EQNXTDZ($A$1,$B94,P$1,$B$1)</f>
        <v>3458.91</v>
      </c>
      <c r="Q94" s="126" cm="1">
        <f t="array" ref="Q94">_xll.EQNXTDZ($A$1,$B94,Q$1,$B$1)</f>
        <v>5249.28</v>
      </c>
      <c r="R94" s="126" cm="1">
        <f t="array" ref="R94">_xll.EQNXTDZ($A$1,$B94,R$1,$B$1)</f>
        <v>6410.26</v>
      </c>
      <c r="S94" s="126" cm="1">
        <f t="array" ref="S94">_xll.EQNXTDZ($A$1,$B94,S$1,$B$1)</f>
        <v>6092.29</v>
      </c>
      <c r="T94" s="126" cm="1">
        <f t="array" ref="T94">_xll.EQNXTDZ($A$1,$B94,T$1,$B$1)</f>
        <v>2145.59</v>
      </c>
      <c r="U94" s="126" cm="1">
        <f t="array" ref="U94">_xll.EQNXTDZ($A$1,$B94,U$1,$B$1)</f>
        <v>2303.29</v>
      </c>
      <c r="V94" s="126" cm="1">
        <f t="array" ref="V94">_xll.EQNXTDZ($A$1,$B94,V$1,$B$1)</f>
        <v>1986.95</v>
      </c>
      <c r="W94" s="126" cm="1">
        <f t="array" ref="W94">_xll.EQNXTDZ($A$1,$B94,W$1,$B$1)</f>
        <v>2334.5700000000002</v>
      </c>
      <c r="X94" s="126" cm="1">
        <f t="array" ref="X94">_xll.EQNXTDZ($A$1,$B94,X$1,$B$1)</f>
        <v>2344.4699999999998</v>
      </c>
      <c r="Y94" s="126" cm="1">
        <f t="array" ref="Y94">_xll.EQNXTDZ($A$1,$B94,Y$1,$B$1)</f>
        <v>2310.86</v>
      </c>
      <c r="Z94" s="126" cm="1">
        <f t="array" ref="Z94">_xll.EQNXTDZ($A$1,$B94,Z$1,$B$1)</f>
        <v>2859.08</v>
      </c>
      <c r="AA94" s="126" cm="1">
        <f t="array" ref="AA94">_xll.EQNXTDZ($A$1,$B94,AA$1,$B$1)</f>
        <v>1508.57</v>
      </c>
      <c r="AB94" s="126" cm="1">
        <f t="array" ref="AB94">_xll.EQNXTDZ($A$1,$B94,AB$1,$B$1)</f>
        <v>1304.75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0</v>
      </c>
      <c r="N95" s="126" cm="1">
        <f t="array" ref="N95">_xll.EQNXTDZ($A$1,$B95,N$1,$B$1)</f>
        <v>0</v>
      </c>
      <c r="O95" s="126" cm="1">
        <f t="array" ref="O95">_xll.EQNXTDZ($A$1,$B95,O$1,$B$1)</f>
        <v>60</v>
      </c>
      <c r="P95" s="126" cm="1">
        <f t="array" ref="P95">_xll.EQNXTDZ($A$1,$B95,P$1,$B$1)</f>
        <v>339</v>
      </c>
      <c r="Q95" s="126" cm="1">
        <f t="array" ref="Q95">_xll.EQNXTDZ($A$1,$B95,Q$1,$B$1)</f>
        <v>1157</v>
      </c>
      <c r="R95" s="126" cm="1">
        <f t="array" ref="R95">_xll.EQNXTDZ($A$1,$B95,R$1,$B$1)</f>
        <v>2100.1999999999998</v>
      </c>
      <c r="S95" s="126" cm="1">
        <f t="array" ref="S95">_xll.EQNXTDZ($A$1,$B95,S$1,$B$1)</f>
        <v>1963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333.56999990000003</v>
      </c>
      <c r="N96" s="126" cm="1">
        <f t="array" ref="N96">_xll.EQNXTDZ($A$1,$B96,N$1,$B$1)</f>
        <v>1199.52</v>
      </c>
      <c r="O96" s="126" cm="1">
        <f t="array" ref="O96">_xll.EQNXTDZ($A$1,$B96,O$1,$B$1)</f>
        <v>1888.14</v>
      </c>
      <c r="P96" s="126" cm="1">
        <f t="array" ref="P96">_xll.EQNXTDZ($A$1,$B96,P$1,$B$1)</f>
        <v>2485.29</v>
      </c>
      <c r="Q96" s="126" cm="1">
        <f t="array" ref="Q96">_xll.EQNXTDZ($A$1,$B96,Q$1,$B$1)</f>
        <v>3270.63</v>
      </c>
      <c r="R96" s="126" cm="1">
        <f t="array" ref="R96">_xll.EQNXTDZ($A$1,$B96,R$1,$B$1)</f>
        <v>3131.12</v>
      </c>
      <c r="S96" s="126" cm="1">
        <f t="array" ref="S96">_xll.EQNXTDZ($A$1,$B96,S$1,$B$1)</f>
        <v>2783.83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0</v>
      </c>
      <c r="N97" s="126" cm="1">
        <f t="array" ref="N97">_xll.EQNXTDZ($A$1,$B97,N$1,$B$1)</f>
        <v>0</v>
      </c>
      <c r="O97" s="126" cm="1">
        <f t="array" ref="O97">_xll.EQNXTDZ($A$1,$B97,O$1,$B$1)</f>
        <v>0</v>
      </c>
      <c r="P97" s="126" cm="1">
        <f t="array" ref="P97">_xll.EQNXTDZ($A$1,$B97,P$1,$B$1)</f>
        <v>0</v>
      </c>
      <c r="Q97" s="126" cm="1">
        <f t="array" ref="Q97">_xll.EQNXTDZ($A$1,$B97,Q$1,$B$1)</f>
        <v>0</v>
      </c>
      <c r="R97" s="126" cm="1">
        <f t="array" ref="R97">_xll.EQNXTDZ($A$1,$B97,R$1,$B$1)</f>
        <v>0</v>
      </c>
      <c r="S97" s="126" cm="1">
        <f t="array" ref="S97">_xll.EQNXTDZ($A$1,$B97,S$1,$B$1)</f>
        <v>0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0.71758509999999998</v>
      </c>
      <c r="N99" s="126" cm="1">
        <f t="array" ref="N99">_xll.EQNXTDZ($A$1,$B99,N$1,$B$1)</f>
        <v>50</v>
      </c>
      <c r="O99" s="126" cm="1">
        <f t="array" ref="O99">_xll.EQNXTDZ($A$1,$B99,O$1,$B$1)</f>
        <v>150</v>
      </c>
      <c r="P99" s="126" cm="1">
        <f t="array" ref="P99">_xll.EQNXTDZ($A$1,$B99,P$1,$B$1)</f>
        <v>405</v>
      </c>
      <c r="Q99" s="126" cm="1">
        <f t="array" ref="Q99">_xll.EQNXTDZ($A$1,$B99,Q$1,$B$1)</f>
        <v>350.28</v>
      </c>
      <c r="R99" s="126" cm="1">
        <f t="array" ref="R99">_xll.EQNXTDZ($A$1,$B99,R$1,$B$1)</f>
        <v>910.38</v>
      </c>
      <c r="S99" s="126" cm="1">
        <f t="array" ref="S99">_xll.EQNXTDZ($A$1,$B99,S$1,$B$1)</f>
        <v>2080</v>
      </c>
      <c r="T99" s="126" cm="1">
        <f t="array" ref="T99">_xll.EQNXTDZ($A$1,$B99,T$1,$B$1)</f>
        <v>13584.26</v>
      </c>
      <c r="U99" s="126" cm="1">
        <f t="array" ref="U99">_xll.EQNXTDZ($A$1,$B99,U$1,$B$1)</f>
        <v>15970.1</v>
      </c>
      <c r="V99" s="126" cm="1">
        <f t="array" ref="V99">_xll.EQNXTDZ($A$1,$B99,V$1,$B$1)</f>
        <v>17890.22</v>
      </c>
      <c r="W99" s="126" cm="1">
        <f t="array" ref="W99">_xll.EQNXTDZ($A$1,$B99,W$1,$B$1)</f>
        <v>15483.71</v>
      </c>
      <c r="X99" s="126" cm="1">
        <f t="array" ref="X99">_xll.EQNXTDZ($A$1,$B99,X$1,$B$1)</f>
        <v>17355.099999999999</v>
      </c>
      <c r="Y99" s="126" cm="1">
        <f t="array" ref="Y99">_xll.EQNXTDZ($A$1,$B99,Y$1,$B$1)</f>
        <v>19513.560000000001</v>
      </c>
      <c r="Z99" s="126" cm="1">
        <f t="array" ref="Z99">_xll.EQNXTDZ($A$1,$B99,Z$1,$B$1)</f>
        <v>25567.439999999999</v>
      </c>
      <c r="AA99" s="126" cm="1">
        <f t="array" ref="AA99">_xll.EQNXTDZ($A$1,$B99,AA$1,$B$1)</f>
        <v>38721.43</v>
      </c>
      <c r="AB99" s="126" cm="1">
        <f t="array" ref="AB99">_xll.EQNXTDZ($A$1,$B99,AB$1,$B$1)</f>
        <v>34232.769999999997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0</v>
      </c>
      <c r="D100" s="126" cm="1">
        <f t="array" ref="D100">_xll.EQNXTDZ($A$1,$B100,D$1,$B$1)</f>
        <v>0</v>
      </c>
      <c r="E100" s="126" cm="1">
        <f t="array" ref="E100">_xll.EQNXTDZ($A$1,$B100,E$1,$B$1)</f>
        <v>0</v>
      </c>
      <c r="F100" s="126" cm="1">
        <f t="array" ref="F100">_xll.EQNXTDZ($A$1,$B100,F$1,$B$1)</f>
        <v>0</v>
      </c>
      <c r="G100" s="126" cm="1">
        <f t="array" ref="G100">_xll.EQNXTDZ($A$1,$B100,G$1,$B$1)</f>
        <v>0</v>
      </c>
      <c r="H100" s="126" cm="1">
        <f t="array" ref="H100">_xll.EQNXTDZ($A$1,$B100,H$1,$B$1)</f>
        <v>0</v>
      </c>
      <c r="I100" s="126" cm="1">
        <f t="array" ref="I100">_xll.EQNXTDZ($A$1,$B100,I$1,$B$1)</f>
        <v>0</v>
      </c>
      <c r="J100" s="126" cm="1">
        <f t="array" ref="J100">_xll.EQNXTDZ($A$1,$B100,J$1,$B$1)</f>
        <v>4.1015000000000003E-2</v>
      </c>
      <c r="K100" s="126" cm="1">
        <f t="array" ref="K100">_xll.EQNXTDZ($A$1,$B100,K$1,$B$1)</f>
        <v>0.43732749999999998</v>
      </c>
      <c r="L100" s="126" cm="1">
        <f t="array" ref="L100">_xll.EQNXTDZ($A$1,$B100,L$1,$B$1)</f>
        <v>6.3218261</v>
      </c>
      <c r="M100" s="126" cm="1">
        <f t="array" ref="M100">_xll.EQNXTDZ($A$1,$B100,M$1,$B$1)</f>
        <v>26.450984800000001</v>
      </c>
      <c r="N100" s="126" cm="1">
        <f t="array" ref="N100">_xll.EQNXTDZ($A$1,$B100,N$1,$B$1)</f>
        <v>78.53</v>
      </c>
      <c r="O100" s="126" cm="1">
        <f t="array" ref="O100">_xll.EQNXTDZ($A$1,$B100,O$1,$B$1)</f>
        <v>186.44</v>
      </c>
      <c r="P100" s="126" cm="1">
        <f t="array" ref="P100">_xll.EQNXTDZ($A$1,$B100,P$1,$B$1)</f>
        <v>405.92</v>
      </c>
      <c r="Q100" s="126" cm="1">
        <f t="array" ref="Q100">_xll.EQNXTDZ($A$1,$B100,Q$1,$B$1)</f>
        <v>636.13</v>
      </c>
      <c r="R100" s="126" cm="1">
        <f t="array" ref="R100">_xll.EQNXTDZ($A$1,$B100,R$1,$B$1)</f>
        <v>624.09</v>
      </c>
      <c r="S100" s="126" cm="1">
        <f t="array" ref="S100">_xll.EQNXTDZ($A$1,$B100,S$1,$B$1)</f>
        <v>790.19</v>
      </c>
      <c r="T100" s="126" cm="1">
        <f t="array" ref="T100">_xll.EQNXTDZ($A$1,$B100,T$1,$B$1)</f>
        <v>355.01</v>
      </c>
      <c r="U100" s="126" cm="1">
        <f t="array" ref="U100">_xll.EQNXTDZ($A$1,$B100,U$1,$B$1)</f>
        <v>1461.21</v>
      </c>
      <c r="V100" s="126" cm="1">
        <f t="array" ref="V100">_xll.EQNXTDZ($A$1,$B100,V$1,$B$1)</f>
        <v>1053.5</v>
      </c>
      <c r="W100" s="126" cm="1">
        <f t="array" ref="W100">_xll.EQNXTDZ($A$1,$B100,W$1,$B$1)</f>
        <v>1175.6400000000001</v>
      </c>
      <c r="X100" s="126" cm="1">
        <f t="array" ref="X100">_xll.EQNXTDZ($A$1,$B100,X$1,$B$1)</f>
        <v>1610.76</v>
      </c>
      <c r="Y100" s="126" cm="1">
        <f t="array" ref="Y100">_xll.EQNXTDZ($A$1,$B100,Y$1,$B$1)</f>
        <v>1649.52</v>
      </c>
      <c r="Z100" s="126" cm="1">
        <f t="array" ref="Z100">_xll.EQNXTDZ($A$1,$B100,Z$1,$B$1)</f>
        <v>1822.84</v>
      </c>
      <c r="AA100" s="126" cm="1">
        <f t="array" ref="AA100">_xll.EQNXTDZ($A$1,$B100,AA$1,$B$1)</f>
        <v>1877.83</v>
      </c>
      <c r="AB100" s="126" cm="1">
        <f t="array" ref="AB100">_xll.EQNXTDZ($A$1,$B100,AB$1,$B$1)</f>
        <v>2388.35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0</v>
      </c>
      <c r="D102" s="126" cm="1">
        <f t="array" ref="D102">_xll.EQNXTDZ($A$1,$B102,D$1,$B$1)</f>
        <v>0</v>
      </c>
      <c r="E102" s="126" cm="1">
        <f t="array" ref="E102">_xll.EQNXTDZ($A$1,$B102,E$1,$B$1)</f>
        <v>0</v>
      </c>
      <c r="F102" s="126" cm="1">
        <f t="array" ref="F102">_xll.EQNXTDZ($A$1,$B102,F$1,$B$1)</f>
        <v>0</v>
      </c>
      <c r="G102" s="126" cm="1">
        <f t="array" ref="G102">_xll.EQNXTDZ($A$1,$B102,G$1,$B$1)</f>
        <v>0</v>
      </c>
      <c r="H102" s="126" cm="1">
        <f t="array" ref="H102">_xll.EQNXTDZ($A$1,$B102,H$1,$B$1)</f>
        <v>0</v>
      </c>
      <c r="I102" s="126" cm="1">
        <f t="array" ref="I102">_xll.EQNXTDZ($A$1,$B102,I$1,$B$1)</f>
        <v>0</v>
      </c>
      <c r="J102" s="126" cm="1">
        <f t="array" ref="J102">_xll.EQNXTDZ($A$1,$B102,J$1,$B$1)</f>
        <v>2.4642286000000002</v>
      </c>
      <c r="K102" s="126" cm="1">
        <f t="array" ref="K102">_xll.EQNXTDZ($A$1,$B102,K$1,$B$1)</f>
        <v>13.748447499999999</v>
      </c>
      <c r="L102" s="126" cm="1">
        <f t="array" ref="L102">_xll.EQNXTDZ($A$1,$B102,L$1,$B$1)</f>
        <v>22.931060899999999</v>
      </c>
      <c r="M102" s="126" cm="1">
        <f t="array" ref="M102">_xll.EQNXTDZ($A$1,$B102,M$1,$B$1)</f>
        <v>425.20870860000002</v>
      </c>
      <c r="N102" s="126" cm="1">
        <f t="array" ref="N102">_xll.EQNXTDZ($A$1,$B102,N$1,$B$1)</f>
        <v>1467.14</v>
      </c>
      <c r="O102" s="126" cm="1">
        <f t="array" ref="O102">_xll.EQNXTDZ($A$1,$B102,O$1,$B$1)</f>
        <v>2381.25</v>
      </c>
      <c r="P102" s="126" cm="1">
        <f t="array" ref="P102">_xll.EQNXTDZ($A$1,$B102,P$1,$B$1)</f>
        <v>4292.8100000000004</v>
      </c>
      <c r="Q102" s="126" cm="1">
        <f t="array" ref="Q102">_xll.EQNXTDZ($A$1,$B102,Q$1,$B$1)</f>
        <v>6287.65</v>
      </c>
      <c r="R102" s="126" cm="1">
        <f t="array" ref="R102">_xll.EQNXTDZ($A$1,$B102,R$1,$B$1)</f>
        <v>8149.32</v>
      </c>
      <c r="S102" s="126" cm="1">
        <f t="array" ref="S102">_xll.EQNXTDZ($A$1,$B102,S$1,$B$1)</f>
        <v>9245.75</v>
      </c>
      <c r="T102" s="126" cm="1">
        <f t="array" ref="T102">_xll.EQNXTDZ($A$1,$B102,T$1,$B$1)</f>
        <v>16364.36</v>
      </c>
      <c r="U102" s="126" cm="1">
        <f t="array" ref="U102">_xll.EQNXTDZ($A$1,$B102,U$1,$B$1)</f>
        <v>20129.509999999998</v>
      </c>
      <c r="V102" s="126" cm="1">
        <f t="array" ref="V102">_xll.EQNXTDZ($A$1,$B102,V$1,$B$1)</f>
        <v>21080.66</v>
      </c>
      <c r="W102" s="126" cm="1">
        <f t="array" ref="W102">_xll.EQNXTDZ($A$1,$B102,W$1,$B$1)</f>
        <v>19328.18</v>
      </c>
      <c r="X102" s="126" cm="1">
        <f t="array" ref="X102">_xll.EQNXTDZ($A$1,$B102,X$1,$B$1)</f>
        <v>21557.24</v>
      </c>
      <c r="Y102" s="126" cm="1">
        <f t="array" ref="Y102">_xll.EQNXTDZ($A$1,$B102,Y$1,$B$1)</f>
        <v>23765.78</v>
      </c>
      <c r="Z102" s="126" cm="1">
        <f t="array" ref="Z102">_xll.EQNXTDZ($A$1,$B102,Z$1,$B$1)</f>
        <v>30652.63</v>
      </c>
      <c r="AA102" s="126" cm="1">
        <f t="array" ref="AA102">_xll.EQNXTDZ($A$1,$B102,AA$1,$B$1)</f>
        <v>42533.29</v>
      </c>
      <c r="AB102" s="126" cm="1">
        <f t="array" ref="AB102">_xll.EQNXTDZ($A$1,$B102,AB$1,$B$1)</f>
        <v>38105.75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0</v>
      </c>
      <c r="D103" s="126" cm="1">
        <f t="array" ref="D103">_xll.EQNXTDZ($A$1,$B103,D$1,$B$1)</f>
        <v>0</v>
      </c>
      <c r="E103" s="126" cm="1">
        <f t="array" ref="E103">_xll.EQNXTDZ($A$1,$B103,E$1,$B$1)</f>
        <v>0</v>
      </c>
      <c r="F103" s="126" cm="1">
        <f t="array" ref="F103">_xll.EQNXTDZ($A$1,$B103,F$1,$B$1)</f>
        <v>0</v>
      </c>
      <c r="G103" s="126" cm="1">
        <f t="array" ref="G103">_xll.EQNXTDZ($A$1,$B103,G$1,$B$1)</f>
        <v>0</v>
      </c>
      <c r="H103" s="126" cm="1">
        <f t="array" ref="H103">_xll.EQNXTDZ($A$1,$B103,H$1,$B$1)</f>
        <v>0</v>
      </c>
      <c r="I103" s="126" cm="1">
        <f t="array" ref="I103">_xll.EQNXTDZ($A$1,$B103,I$1,$B$1)</f>
        <v>0</v>
      </c>
      <c r="J103" s="126" cm="1">
        <f t="array" ref="J103">_xll.EQNXTDZ($A$1,$B103,J$1,$B$1)</f>
        <v>103.809515</v>
      </c>
      <c r="K103" s="126" cm="1">
        <f t="array" ref="K103">_xll.EQNXTDZ($A$1,$B103,K$1,$B$1)</f>
        <v>195.87599779999999</v>
      </c>
      <c r="L103" s="126" cm="1">
        <f t="array" ref="L103">_xll.EQNXTDZ($A$1,$B103,L$1,$B$1)</f>
        <v>575.08213490000003</v>
      </c>
      <c r="M103" s="126" cm="1">
        <f t="array" ref="M103">_xll.EQNXTDZ($A$1,$B103,M$1,$B$1)</f>
        <v>1495.3180166</v>
      </c>
      <c r="N103" s="126" cm="1">
        <f t="array" ref="N103">_xll.EQNXTDZ($A$1,$B103,N$1,$B$1)</f>
        <v>4053.93</v>
      </c>
      <c r="O103" s="126" cm="1">
        <f t="array" ref="O103">_xll.EQNXTDZ($A$1,$B103,O$1,$B$1)</f>
        <v>8379.4599999999991</v>
      </c>
      <c r="P103" s="126" cm="1">
        <f t="array" ref="P103">_xll.EQNXTDZ($A$1,$B103,P$1,$B$1)</f>
        <v>13865.44</v>
      </c>
      <c r="Q103" s="126" cm="1">
        <f t="array" ref="Q103">_xll.EQNXTDZ($A$1,$B103,Q$1,$B$1)</f>
        <v>20064.46</v>
      </c>
      <c r="R103" s="126" cm="1">
        <f t="array" ref="R103">_xll.EQNXTDZ($A$1,$B103,R$1,$B$1)</f>
        <v>25671.72</v>
      </c>
      <c r="S103" s="126" cm="1">
        <f t="array" ref="S103">_xll.EQNXTDZ($A$1,$B103,S$1,$B$1)</f>
        <v>33991.919999999998</v>
      </c>
      <c r="T103" s="126" cm="1">
        <f t="array" ref="T103">_xll.EQNXTDZ($A$1,$B103,T$1,$B$1)</f>
        <v>45150.75</v>
      </c>
      <c r="U103" s="126" cm="1">
        <f t="array" ref="U103">_xll.EQNXTDZ($A$1,$B103,U$1,$B$1)</f>
        <v>56424.01</v>
      </c>
      <c r="V103" s="126" cm="1">
        <f t="array" ref="V103">_xll.EQNXTDZ($A$1,$B103,V$1,$B$1)</f>
        <v>61007.62</v>
      </c>
      <c r="W103" s="126" cm="1">
        <f t="array" ref="W103">_xll.EQNXTDZ($A$1,$B103,W$1,$B$1)</f>
        <v>62510.16</v>
      </c>
      <c r="X103" s="126" cm="1">
        <f t="array" ref="X103">_xll.EQNXTDZ($A$1,$B103,X$1,$B$1)</f>
        <v>62078.17</v>
      </c>
      <c r="Y103" s="126" cm="1">
        <f t="array" ref="Y103">_xll.EQNXTDZ($A$1,$B103,Y$1,$B$1)</f>
        <v>70075.820000000007</v>
      </c>
      <c r="Z103" s="126" cm="1">
        <f t="array" ref="Z103">_xll.EQNXTDZ($A$1,$B103,Z$1,$B$1)</f>
        <v>92952.23</v>
      </c>
      <c r="AA103" s="126" cm="1">
        <f t="array" ref="AA103">_xll.EQNXTDZ($A$1,$B103,AA$1,$B$1)</f>
        <v>109074.23</v>
      </c>
      <c r="AB103" s="126" cm="1">
        <f t="array" ref="AB103">_xll.EQNXTDZ($A$1,$B103,AB$1,$B$1)</f>
        <v>124373.5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0</v>
      </c>
      <c r="D105" s="126" cm="1">
        <f t="array" ref="D105">_xll.EQNXTDZ($A$1,$B105,D$1,$B$1)</f>
        <v>0</v>
      </c>
      <c r="E105" s="126" cm="1">
        <f t="array" ref="E105">_xll.EQNXTDZ($A$1,$B105,E$1,$B$1)</f>
        <v>0</v>
      </c>
      <c r="F105" s="126" cm="1">
        <f t="array" ref="F105">_xll.EQNXTDZ($A$1,$B105,F$1,$B$1)</f>
        <v>0</v>
      </c>
      <c r="G105" s="126" cm="1">
        <f t="array" ref="G105">_xll.EQNXTDZ($A$1,$B105,G$1,$B$1)</f>
        <v>0</v>
      </c>
      <c r="H105" s="126" cm="1">
        <f t="array" ref="H105">_xll.EQNXTDZ($A$1,$B105,H$1,$B$1)</f>
        <v>0</v>
      </c>
      <c r="I105" s="126" cm="1">
        <f t="array" ref="I105">_xll.EQNXTDZ($A$1,$B105,I$1,$B$1)</f>
        <v>0</v>
      </c>
      <c r="J105" s="126" cm="1">
        <f t="array" ref="J105">_xll.EQNXTDZ($A$1,$B105,J$1,$B$1)</f>
        <v>0</v>
      </c>
      <c r="K105" s="126" cm="1">
        <f t="array" ref="K105">_xll.EQNXTDZ($A$1,$B105,K$1,$B$1)</f>
        <v>0</v>
      </c>
      <c r="L105" s="126" cm="1">
        <f t="array" ref="L105">_xll.EQNXTDZ($A$1,$B105,L$1,$B$1)</f>
        <v>0</v>
      </c>
      <c r="M105" s="126" cm="1">
        <f t="array" ref="M105">_xll.EQNXTDZ($A$1,$B105,M$1,$B$1)</f>
        <v>925.4516476</v>
      </c>
      <c r="N105" s="126" cm="1">
        <f t="array" ref="N105">_xll.EQNXTDZ($A$1,$B105,N$1,$B$1)</f>
        <v>3081.24</v>
      </c>
      <c r="O105" s="126" cm="1">
        <f t="array" ref="O105">_xll.EQNXTDZ($A$1,$B105,O$1,$B$1)</f>
        <v>6203.95</v>
      </c>
      <c r="P105" s="126" cm="1">
        <f t="array" ref="P105">_xll.EQNXTDZ($A$1,$B105,P$1,$B$1)</f>
        <v>10192.94</v>
      </c>
      <c r="Q105" s="126" cm="1">
        <f t="array" ref="Q105">_xll.EQNXTDZ($A$1,$B105,Q$1,$B$1)</f>
        <v>14504.12</v>
      </c>
      <c r="R105" s="126" cm="1">
        <f t="array" ref="R105">_xll.EQNXTDZ($A$1,$B105,R$1,$B$1)</f>
        <v>18742.41</v>
      </c>
      <c r="S105" s="126" cm="1">
        <f t="array" ref="S105">_xll.EQNXTDZ($A$1,$B105,S$1,$B$1)</f>
        <v>24066.58</v>
      </c>
      <c r="T105" s="126" cm="1">
        <f t="array" ref="T105">_xll.EQNXTDZ($A$1,$B105,T$1,$B$1)</f>
        <v>31351.15</v>
      </c>
      <c r="U105" s="126" cm="1">
        <f t="array" ref="U105">_xll.EQNXTDZ($A$1,$B105,U$1,$B$1)</f>
        <v>36556.410000000003</v>
      </c>
      <c r="V105" s="126" cm="1">
        <f t="array" ref="V105">_xll.EQNXTDZ($A$1,$B105,V$1,$B$1)</f>
        <v>39415.870000000003</v>
      </c>
      <c r="W105" s="126" cm="1">
        <f t="array" ref="W105">_xll.EQNXTDZ($A$1,$B105,W$1,$B$1)</f>
        <v>40101.1</v>
      </c>
      <c r="X105" s="126" cm="1">
        <f t="array" ref="X105">_xll.EQNXTDZ($A$1,$B105,X$1,$B$1)</f>
        <v>35862.69</v>
      </c>
      <c r="Y105" s="126" cm="1">
        <f t="array" ref="Y105">_xll.EQNXTDZ($A$1,$B105,Y$1,$B$1)</f>
        <v>41963.91</v>
      </c>
      <c r="Z105" s="126" cm="1">
        <f t="array" ref="Z105">_xll.EQNXTDZ($A$1,$B105,Z$1,$B$1)</f>
        <v>55244.89</v>
      </c>
      <c r="AA105" s="126" cm="1">
        <f t="array" ref="AA105">_xll.EQNXTDZ($A$1,$B105,AA$1,$B$1)</f>
        <v>103343.03999999999</v>
      </c>
      <c r="AB105" s="126" cm="1">
        <f t="array" ref="AB105">_xll.EQNXTDZ($A$1,$B105,AB$1,$B$1)</f>
        <v>114689.55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0</v>
      </c>
      <c r="D106" s="126" cm="1">
        <f t="array" ref="D106">_xll.EQNXTDZ($A$1,$B106,D$1,$B$1)</f>
        <v>0</v>
      </c>
      <c r="E106" s="126" cm="1">
        <f t="array" ref="E106">_xll.EQNXTDZ($A$1,$B106,E$1,$B$1)</f>
        <v>0</v>
      </c>
      <c r="F106" s="126" cm="1">
        <f t="array" ref="F106">_xll.EQNXTDZ($A$1,$B106,F$1,$B$1)</f>
        <v>0</v>
      </c>
      <c r="G106" s="126" cm="1">
        <f t="array" ref="G106">_xll.EQNXTDZ($A$1,$B106,G$1,$B$1)</f>
        <v>0</v>
      </c>
      <c r="H106" s="126" cm="1">
        <f t="array" ref="H106">_xll.EQNXTDZ($A$1,$B106,H$1,$B$1)</f>
        <v>0</v>
      </c>
      <c r="I106" s="126" cm="1">
        <f t="array" ref="I106">_xll.EQNXTDZ($A$1,$B106,I$1,$B$1)</f>
        <v>0</v>
      </c>
      <c r="J106" s="126" cm="1">
        <f t="array" ref="J106">_xll.EQNXTDZ($A$1,$B106,J$1,$B$1)</f>
        <v>2.8768859999999998</v>
      </c>
      <c r="K106" s="126" cm="1">
        <f t="array" ref="K106">_xll.EQNXTDZ($A$1,$B106,K$1,$B$1)</f>
        <v>9.9550842999999993</v>
      </c>
      <c r="L106" s="126" cm="1">
        <f t="array" ref="L106">_xll.EQNXTDZ($A$1,$B106,L$1,$B$1)</f>
        <v>12.3257397</v>
      </c>
      <c r="M106" s="126" cm="1">
        <f t="array" ref="M106">_xll.EQNXTDZ($A$1,$B106,M$1,$B$1)</f>
        <v>16.525175900000001</v>
      </c>
      <c r="N106" s="126" cm="1">
        <f t="array" ref="N106">_xll.EQNXTDZ($A$1,$B106,N$1,$B$1)</f>
        <v>21.68</v>
      </c>
      <c r="O106" s="126" cm="1">
        <f t="array" ref="O106">_xll.EQNXTDZ($A$1,$B106,O$1,$B$1)</f>
        <v>34.32</v>
      </c>
      <c r="P106" s="126" cm="1">
        <f t="array" ref="P106">_xll.EQNXTDZ($A$1,$B106,P$1,$B$1)</f>
        <v>61.15</v>
      </c>
      <c r="Q106" s="126" cm="1">
        <f t="array" ref="Q106">_xll.EQNXTDZ($A$1,$B106,Q$1,$B$1)</f>
        <v>87.53</v>
      </c>
      <c r="R106" s="126" cm="1">
        <f t="array" ref="R106">_xll.EQNXTDZ($A$1,$B106,R$1,$B$1)</f>
        <v>137.78</v>
      </c>
      <c r="S106" s="126" cm="1">
        <f t="array" ref="S106">_xll.EQNXTDZ($A$1,$B106,S$1,$B$1)</f>
        <v>248.12</v>
      </c>
      <c r="T106" s="126" cm="1">
        <f t="array" ref="T106">_xll.EQNXTDZ($A$1,$B106,T$1,$B$1)</f>
        <v>297.18</v>
      </c>
      <c r="U106" s="126" cm="1">
        <f t="array" ref="U106">_xll.EQNXTDZ($A$1,$B106,U$1,$B$1)</f>
        <v>341.22</v>
      </c>
      <c r="V106" s="126" cm="1">
        <f t="array" ref="V106">_xll.EQNXTDZ($A$1,$B106,V$1,$B$1)</f>
        <v>625.49</v>
      </c>
      <c r="W106" s="126" cm="1">
        <f t="array" ref="W106">_xll.EQNXTDZ($A$1,$B106,W$1,$B$1)</f>
        <v>594.44000000000005</v>
      </c>
      <c r="X106" s="126" cm="1">
        <f t="array" ref="X106">_xll.EQNXTDZ($A$1,$B106,X$1,$B$1)</f>
        <v>611.05999999999995</v>
      </c>
      <c r="Y106" s="126" cm="1">
        <f t="array" ref="Y106">_xll.EQNXTDZ($A$1,$B106,Y$1,$B$1)</f>
        <v>736.41</v>
      </c>
      <c r="Z106" s="126" cm="1">
        <f t="array" ref="Z106">_xll.EQNXTDZ($A$1,$B106,Z$1,$B$1)</f>
        <v>640.58000000000004</v>
      </c>
      <c r="AA106" s="126" cm="1">
        <f t="array" ref="AA106">_xll.EQNXTDZ($A$1,$B106,AA$1,$B$1)</f>
        <v>1263.94</v>
      </c>
      <c r="AB106" s="126" cm="1">
        <f t="array" ref="AB106">_xll.EQNXTDZ($A$1,$B106,AB$1,$B$1)</f>
        <v>1388.34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0</v>
      </c>
      <c r="D107" s="126" cm="1">
        <f t="array" ref="D107">_xll.EQNXTDZ($A$1,$B107,D$1,$B$1)</f>
        <v>0</v>
      </c>
      <c r="E107" s="126" cm="1">
        <f t="array" ref="E107">_xll.EQNXTDZ($A$1,$B107,E$1,$B$1)</f>
        <v>0</v>
      </c>
      <c r="F107" s="126" cm="1">
        <f t="array" ref="F107">_xll.EQNXTDZ($A$1,$B107,F$1,$B$1)</f>
        <v>0</v>
      </c>
      <c r="G107" s="126" cm="1">
        <f t="array" ref="G107">_xll.EQNXTDZ($A$1,$B107,G$1,$B$1)</f>
        <v>0</v>
      </c>
      <c r="H107" s="126" cm="1">
        <f t="array" ref="H107">_xll.EQNXTDZ($A$1,$B107,H$1,$B$1)</f>
        <v>0</v>
      </c>
      <c r="I107" s="126" cm="1">
        <f t="array" ref="I107">_xll.EQNXTDZ($A$1,$B107,I$1,$B$1)</f>
        <v>0</v>
      </c>
      <c r="J107" s="126" cm="1">
        <f t="array" ref="J107">_xll.EQNXTDZ($A$1,$B107,J$1,$B$1)</f>
        <v>2.71798E-2</v>
      </c>
      <c r="K107" s="126" cm="1">
        <f t="array" ref="K107">_xll.EQNXTDZ($A$1,$B107,K$1,$B$1)</f>
        <v>1.4268651999999999</v>
      </c>
      <c r="L107" s="126" cm="1">
        <f t="array" ref="L107">_xll.EQNXTDZ($A$1,$B107,L$1,$B$1)</f>
        <v>3.1358060000000001</v>
      </c>
      <c r="M107" s="126" cm="1">
        <f t="array" ref="M107">_xll.EQNXTDZ($A$1,$B107,M$1,$B$1)</f>
        <v>6.3346162000000001</v>
      </c>
      <c r="N107" s="126" cm="1">
        <f t="array" ref="N107">_xll.EQNXTDZ($A$1,$B107,N$1,$B$1)</f>
        <v>9.94</v>
      </c>
      <c r="O107" s="126" cm="1">
        <f t="array" ref="O107">_xll.EQNXTDZ($A$1,$B107,O$1,$B$1)</f>
        <v>14.18</v>
      </c>
      <c r="P107" s="126" cm="1">
        <f t="array" ref="P107">_xll.EQNXTDZ($A$1,$B107,P$1,$B$1)</f>
        <v>21.73</v>
      </c>
      <c r="Q107" s="126" cm="1">
        <f t="array" ref="Q107">_xll.EQNXTDZ($A$1,$B107,Q$1,$B$1)</f>
        <v>35.130000000000003</v>
      </c>
      <c r="R107" s="126" cm="1">
        <f t="array" ref="R107">_xll.EQNXTDZ($A$1,$B107,R$1,$B$1)</f>
        <v>54.95</v>
      </c>
      <c r="S107" s="126" cm="1">
        <f t="array" ref="S107">_xll.EQNXTDZ($A$1,$B107,S$1,$B$1)</f>
        <v>117.15</v>
      </c>
      <c r="T107" s="126" cm="1">
        <f t="array" ref="T107">_xll.EQNXTDZ($A$1,$B107,T$1,$B$1)</f>
        <v>160.16</v>
      </c>
      <c r="U107" s="126" cm="1">
        <f t="array" ref="U107">_xll.EQNXTDZ($A$1,$B107,U$1,$B$1)</f>
        <v>218.19</v>
      </c>
      <c r="V107" s="126" cm="1">
        <f t="array" ref="V107">_xll.EQNXTDZ($A$1,$B107,V$1,$B$1)</f>
        <v>277.14999999999998</v>
      </c>
      <c r="W107" s="126" cm="1">
        <f t="array" ref="W107">_xll.EQNXTDZ($A$1,$B107,W$1,$B$1)</f>
        <v>324.93</v>
      </c>
      <c r="X107" s="126" cm="1">
        <f t="array" ref="X107">_xll.EQNXTDZ($A$1,$B107,X$1,$B$1)</f>
        <v>367.42</v>
      </c>
      <c r="Y107" s="126" cm="1">
        <f t="array" ref="Y107">_xll.EQNXTDZ($A$1,$B107,Y$1,$B$1)</f>
        <v>403.39</v>
      </c>
      <c r="Z107" s="126" cm="1">
        <f t="array" ref="Z107">_xll.EQNXTDZ($A$1,$B107,Z$1,$B$1)</f>
        <v>455.9</v>
      </c>
      <c r="AA107" s="126" cm="1">
        <f t="array" ref="AA107">_xll.EQNXTDZ($A$1,$B107,AA$1,$B$1)</f>
        <v>528.85</v>
      </c>
      <c r="AB107" s="126" cm="1">
        <f t="array" ref="AB107">_xll.EQNXTDZ($A$1,$B107,AB$1,$B$1)</f>
        <v>614.85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0</v>
      </c>
      <c r="D109" s="126" cm="1">
        <f t="array" ref="D109">_xll.EQNXTDZ($A$1,$B109,D$1,$B$1)</f>
        <v>0</v>
      </c>
      <c r="E109" s="126" cm="1">
        <f t="array" ref="E109">_xll.EQNXTDZ($A$1,$B109,E$1,$B$1)</f>
        <v>0</v>
      </c>
      <c r="F109" s="126" cm="1">
        <f t="array" ref="F109">_xll.EQNXTDZ($A$1,$B109,F$1,$B$1)</f>
        <v>0</v>
      </c>
      <c r="G109" s="126" cm="1">
        <f t="array" ref="G109">_xll.EQNXTDZ($A$1,$B109,G$1,$B$1)</f>
        <v>0</v>
      </c>
      <c r="H109" s="126" cm="1">
        <f t="array" ref="H109">_xll.EQNXTDZ($A$1,$B109,H$1,$B$1)</f>
        <v>0</v>
      </c>
      <c r="I109" s="126" cm="1">
        <f t="array" ref="I109">_xll.EQNXTDZ($A$1,$B109,I$1,$B$1)</f>
        <v>0</v>
      </c>
      <c r="J109" s="126" cm="1">
        <f t="array" ref="J109">_xll.EQNXTDZ($A$1,$B109,J$1,$B$1)</f>
        <v>2.8497062</v>
      </c>
      <c r="K109" s="126" cm="1">
        <f t="array" ref="K109">_xll.EQNXTDZ($A$1,$B109,K$1,$B$1)</f>
        <v>8.5282190999999994</v>
      </c>
      <c r="L109" s="126" cm="1">
        <f t="array" ref="L109">_xll.EQNXTDZ($A$1,$B109,L$1,$B$1)</f>
        <v>9.1899336999999992</v>
      </c>
      <c r="M109" s="126" cm="1">
        <f t="array" ref="M109">_xll.EQNXTDZ($A$1,$B109,M$1,$B$1)</f>
        <v>10.1905597</v>
      </c>
      <c r="N109" s="126" cm="1">
        <f t="array" ref="N109">_xll.EQNXTDZ($A$1,$B109,N$1,$B$1)</f>
        <v>11.74</v>
      </c>
      <c r="O109" s="126" cm="1">
        <f t="array" ref="O109">_xll.EQNXTDZ($A$1,$B109,O$1,$B$1)</f>
        <v>20.14</v>
      </c>
      <c r="P109" s="126" cm="1">
        <f t="array" ref="P109">_xll.EQNXTDZ($A$1,$B109,P$1,$B$1)</f>
        <v>39.42</v>
      </c>
      <c r="Q109" s="126" cm="1">
        <f t="array" ref="Q109">_xll.EQNXTDZ($A$1,$B109,Q$1,$B$1)</f>
        <v>52.4</v>
      </c>
      <c r="R109" s="126" cm="1">
        <f t="array" ref="R109">_xll.EQNXTDZ($A$1,$B109,R$1,$B$1)</f>
        <v>82.83</v>
      </c>
      <c r="S109" s="126" cm="1">
        <f t="array" ref="S109">_xll.EQNXTDZ($A$1,$B109,S$1,$B$1)</f>
        <v>130.97</v>
      </c>
      <c r="T109" s="126" cm="1">
        <f t="array" ref="T109">_xll.EQNXTDZ($A$1,$B109,T$1,$B$1)</f>
        <v>137.02000000000001</v>
      </c>
      <c r="U109" s="126" cm="1">
        <f t="array" ref="U109">_xll.EQNXTDZ($A$1,$B109,U$1,$B$1)</f>
        <v>123.03</v>
      </c>
      <c r="V109" s="126" cm="1">
        <f t="array" ref="V109">_xll.EQNXTDZ($A$1,$B109,V$1,$B$1)</f>
        <v>348.34</v>
      </c>
      <c r="W109" s="126" cm="1">
        <f t="array" ref="W109">_xll.EQNXTDZ($A$1,$B109,W$1,$B$1)</f>
        <v>269.51</v>
      </c>
      <c r="X109" s="126" cm="1">
        <f t="array" ref="X109">_xll.EQNXTDZ($A$1,$B109,X$1,$B$1)</f>
        <v>243.64</v>
      </c>
      <c r="Y109" s="126" cm="1">
        <f t="array" ref="Y109">_xll.EQNXTDZ($A$1,$B109,Y$1,$B$1)</f>
        <v>333.02</v>
      </c>
      <c r="Z109" s="126" cm="1">
        <f t="array" ref="Z109">_xll.EQNXTDZ($A$1,$B109,Z$1,$B$1)</f>
        <v>184.68</v>
      </c>
      <c r="AA109" s="126" cm="1">
        <f t="array" ref="AA109">_xll.EQNXTDZ($A$1,$B109,AA$1,$B$1)</f>
        <v>735.09</v>
      </c>
      <c r="AB109" s="126" cm="1">
        <f t="array" ref="AB109">_xll.EQNXTDZ($A$1,$B109,AB$1,$B$1)</f>
        <v>773.49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0</v>
      </c>
      <c r="I111" s="126" cm="1">
        <f t="array" ref="I111">_xll.EQNXTDZ($A$1,$B111,I$1,$B$1)</f>
        <v>0</v>
      </c>
      <c r="J111" s="126" cm="1">
        <f t="array" ref="J111">_xll.EQNXTDZ($A$1,$B111,J$1,$B$1)</f>
        <v>0</v>
      </c>
      <c r="K111" s="126" cm="1">
        <f t="array" ref="K111">_xll.EQNXTDZ($A$1,$B111,K$1,$B$1)</f>
        <v>0.1445709</v>
      </c>
      <c r="L111" s="126" cm="1">
        <f t="array" ref="L111">_xll.EQNXTDZ($A$1,$B111,L$1,$B$1)</f>
        <v>0.65302329999999997</v>
      </c>
      <c r="M111" s="126" cm="1">
        <f t="array" ref="M111">_xll.EQNXTDZ($A$1,$B111,M$1,$B$1)</f>
        <v>0</v>
      </c>
      <c r="N111" s="126" cm="1">
        <f t="array" ref="N111">_xll.EQNXTDZ($A$1,$B111,N$1,$B$1)</f>
        <v>0.11</v>
      </c>
      <c r="O111" s="126" cm="1">
        <f t="array" ref="O111">_xll.EQNXTDZ($A$1,$B111,O$1,$B$1)</f>
        <v>0</v>
      </c>
      <c r="P111" s="126" cm="1">
        <f t="array" ref="P111">_xll.EQNXTDZ($A$1,$B111,P$1,$B$1)</f>
        <v>0</v>
      </c>
      <c r="Q111" s="126" cm="1">
        <f t="array" ref="Q111">_xll.EQNXTDZ($A$1,$B111,Q$1,$B$1)</f>
        <v>0</v>
      </c>
      <c r="R111" s="126" cm="1">
        <f t="array" ref="R111">_xll.EQNXTDZ($A$1,$B111,R$1,$B$1)</f>
        <v>0</v>
      </c>
      <c r="S111" s="126" cm="1">
        <f t="array" ref="S111">_xll.EQNXTDZ($A$1,$B111,S$1,$B$1)</f>
        <v>0.24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0.06</v>
      </c>
      <c r="W111" s="126" cm="1">
        <f t="array" ref="W111">_xll.EQNXTDZ($A$1,$B111,W$1,$B$1)</f>
        <v>0</v>
      </c>
      <c r="X111" s="126" cm="1">
        <f t="array" ref="X111">_xll.EQNXTDZ($A$1,$B111,X$1,$B$1)</f>
        <v>0</v>
      </c>
      <c r="Y111" s="126" cm="1">
        <f t="array" ref="Y111">_xll.EQNXTDZ($A$1,$B111,Y$1,$B$1)</f>
        <v>0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0</v>
      </c>
      <c r="S112" s="126" cm="1">
        <f t="array" ref="S112">_xll.EQNXTDZ($A$1,$B112,S$1,$B$1)</f>
        <v>0</v>
      </c>
      <c r="T112" s="126" cm="1">
        <f t="array" ref="T112">_xll.EQNXTDZ($A$1,$B112,T$1,$B$1)</f>
        <v>0</v>
      </c>
      <c r="U112" s="126" cm="1">
        <f t="array" ref="U112">_xll.EQNXTDZ($A$1,$B112,U$1,$B$1)</f>
        <v>0</v>
      </c>
      <c r="V112" s="126" cm="1">
        <f t="array" ref="V112">_xll.EQNXTDZ($A$1,$B112,V$1,$B$1)</f>
        <v>0</v>
      </c>
      <c r="W112" s="126" cm="1">
        <f t="array" ref="W112">_xll.EQNXTDZ($A$1,$B112,W$1,$B$1)</f>
        <v>0</v>
      </c>
      <c r="X112" s="126" cm="1">
        <f t="array" ref="X112">_xll.EQNXTDZ($A$1,$B112,X$1,$B$1)</f>
        <v>0</v>
      </c>
      <c r="Y112" s="126" cm="1">
        <f t="array" ref="Y112">_xll.EQNXTDZ($A$1,$B112,Y$1,$B$1)</f>
        <v>0</v>
      </c>
      <c r="Z112" s="126" cm="1">
        <f t="array" ref="Z112">_xll.EQNXTDZ($A$1,$B112,Z$1,$B$1)</f>
        <v>0</v>
      </c>
      <c r="AA112" s="126" cm="1">
        <f t="array" ref="AA112">_xll.EQNXTDZ($A$1,$B112,AA$1,$B$1)</f>
        <v>0</v>
      </c>
      <c r="AB112" s="126" cm="1">
        <f t="array" ref="AB112">_xll.EQNXTDZ($A$1,$B112,AB$1,$B$1)</f>
        <v>0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0</v>
      </c>
      <c r="T114" s="126" cm="1">
        <f t="array" ref="T114">_xll.EQNXTDZ($A$1,$B114,T$1,$B$1)</f>
        <v>0</v>
      </c>
      <c r="U114" s="126" cm="1">
        <f t="array" ref="U114">_xll.EQNXTDZ($A$1,$B114,U$1,$B$1)</f>
        <v>0</v>
      </c>
      <c r="V114" s="126" cm="1">
        <f t="array" ref="V114">_xll.EQNXTDZ($A$1,$B114,V$1,$B$1)</f>
        <v>0</v>
      </c>
      <c r="W114" s="126" cm="1">
        <f t="array" ref="W114">_xll.EQNXTDZ($A$1,$B114,W$1,$B$1)</f>
        <v>0</v>
      </c>
      <c r="X114" s="126" cm="1">
        <f t="array" ref="X114">_xll.EQNXTDZ($A$1,$B114,X$1,$B$1)</f>
        <v>0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0</v>
      </c>
      <c r="AB114" s="126" cm="1">
        <f t="array" ref="AB114">_xll.EQNXTDZ($A$1,$B114,AB$1,$B$1)</f>
        <v>0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0</v>
      </c>
      <c r="D115" s="126" cm="1">
        <f t="array" ref="D115">_xll.EQNXTDZ($A$1,$B115,D$1,$B$1)</f>
        <v>0</v>
      </c>
      <c r="E115" s="126" cm="1">
        <f t="array" ref="E115">_xll.EQNXTDZ($A$1,$B115,E$1,$B$1)</f>
        <v>0</v>
      </c>
      <c r="F115" s="126" cm="1">
        <f t="array" ref="F115">_xll.EQNXTDZ($A$1,$B115,F$1,$B$1)</f>
        <v>0</v>
      </c>
      <c r="G115" s="126" cm="1">
        <f t="array" ref="G115">_xll.EQNXTDZ($A$1,$B115,G$1,$B$1)</f>
        <v>0</v>
      </c>
      <c r="H115" s="126" cm="1">
        <f t="array" ref="H115">_xll.EQNXTDZ($A$1,$B115,H$1,$B$1)</f>
        <v>0</v>
      </c>
      <c r="I115" s="126" cm="1">
        <f t="array" ref="I115">_xll.EQNXTDZ($A$1,$B115,I$1,$B$1)</f>
        <v>0</v>
      </c>
      <c r="J115" s="126" cm="1">
        <f t="array" ref="J115">_xll.EQNXTDZ($A$1,$B115,J$1,$B$1)</f>
        <v>0</v>
      </c>
      <c r="K115" s="126" cm="1">
        <f t="array" ref="K115">_xll.EQNXTDZ($A$1,$B115,K$1,$B$1)</f>
        <v>0</v>
      </c>
      <c r="L115" s="126" cm="1">
        <f t="array" ref="L115">_xll.EQNXTDZ($A$1,$B115,L$1,$B$1)</f>
        <v>3.4999996000000002</v>
      </c>
      <c r="M115" s="126" cm="1">
        <f t="array" ref="M115">_xll.EQNXTDZ($A$1,$B115,M$1,$B$1)</f>
        <v>3.4999996000000002</v>
      </c>
      <c r="N115" s="126" cm="1">
        <f t="array" ref="N115">_xll.EQNXTDZ($A$1,$B115,N$1,$B$1)</f>
        <v>3.5</v>
      </c>
      <c r="O115" s="126" cm="1">
        <f t="array" ref="O115">_xll.EQNXTDZ($A$1,$B115,O$1,$B$1)</f>
        <v>2.56</v>
      </c>
      <c r="P115" s="126" cm="1">
        <f t="array" ref="P115">_xll.EQNXTDZ($A$1,$B115,P$1,$B$1)</f>
        <v>2.34</v>
      </c>
      <c r="Q115" s="126" cm="1">
        <f t="array" ref="Q115">_xll.EQNXTDZ($A$1,$B115,Q$1,$B$1)</f>
        <v>8.43</v>
      </c>
      <c r="R115" s="126" cm="1">
        <f t="array" ref="R115">_xll.EQNXTDZ($A$1,$B115,R$1,$B$1)</f>
        <v>49.42</v>
      </c>
      <c r="S115" s="126" cm="1">
        <f t="array" ref="S115">_xll.EQNXTDZ($A$1,$B115,S$1,$B$1)</f>
        <v>65.06</v>
      </c>
      <c r="T115" s="126" cm="1">
        <f t="array" ref="T115">_xll.EQNXTDZ($A$1,$B115,T$1,$B$1)</f>
        <v>0.95</v>
      </c>
      <c r="U115" s="126" cm="1">
        <f t="array" ref="U115">_xll.EQNXTDZ($A$1,$B115,U$1,$B$1)</f>
        <v>0.95</v>
      </c>
      <c r="V115" s="126" cm="1">
        <f t="array" ref="V115">_xll.EQNXTDZ($A$1,$B115,V$1,$B$1)</f>
        <v>0.95</v>
      </c>
      <c r="W115" s="126" cm="1">
        <f t="array" ref="W115">_xll.EQNXTDZ($A$1,$B115,W$1,$B$1)</f>
        <v>137.87</v>
      </c>
      <c r="X115" s="126" cm="1">
        <f t="array" ref="X115">_xll.EQNXTDZ($A$1,$B115,X$1,$B$1)</f>
        <v>89.49</v>
      </c>
      <c r="Y115" s="126" cm="1">
        <f t="array" ref="Y115">_xll.EQNXTDZ($A$1,$B115,Y$1,$B$1)</f>
        <v>57.94</v>
      </c>
      <c r="Z115" s="126" cm="1">
        <f t="array" ref="Z115">_xll.EQNXTDZ($A$1,$B115,Z$1,$B$1)</f>
        <v>39.630000000000003</v>
      </c>
      <c r="AA115" s="126" cm="1">
        <f t="array" ref="AA115">_xll.EQNXTDZ($A$1,$B115,AA$1,$B$1)</f>
        <v>16.04</v>
      </c>
      <c r="AB115" s="126" cm="1">
        <f t="array" ref="AB115">_xll.EQNXTDZ($A$1,$B115,AB$1,$B$1)</f>
        <v>5.45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0.1445709</v>
      </c>
      <c r="L116" s="126" cm="1">
        <f t="array" ref="L116">_xll.EQNXTDZ($A$1,$B116,L$1,$B$1)</f>
        <v>0.65302329999999997</v>
      </c>
      <c r="M116" s="126" cm="1">
        <f t="array" ref="M116">_xll.EQNXTDZ($A$1,$B116,M$1,$B$1)</f>
        <v>2.3641201000000001</v>
      </c>
      <c r="N116" s="126" cm="1">
        <f t="array" ref="N116">_xll.EQNXTDZ($A$1,$B116,N$1,$B$1)</f>
        <v>3.67</v>
      </c>
      <c r="O116" s="126" cm="1">
        <f t="array" ref="O116">_xll.EQNXTDZ($A$1,$B116,O$1,$B$1)</f>
        <v>4.83</v>
      </c>
      <c r="P116" s="126" cm="1">
        <f t="array" ref="P116">_xll.EQNXTDZ($A$1,$B116,P$1,$B$1)</f>
        <v>6.16</v>
      </c>
      <c r="Q116" s="126" cm="1">
        <f t="array" ref="Q116">_xll.EQNXTDZ($A$1,$B116,Q$1,$B$1)</f>
        <v>8.64</v>
      </c>
      <c r="R116" s="126" cm="1">
        <f t="array" ref="R116">_xll.EQNXTDZ($A$1,$B116,R$1,$B$1)</f>
        <v>376.21</v>
      </c>
      <c r="S116" s="126" cm="1">
        <f t="array" ref="S116">_xll.EQNXTDZ($A$1,$B116,S$1,$B$1)</f>
        <v>439.56</v>
      </c>
      <c r="T116" s="126" cm="1">
        <f t="array" ref="T116">_xll.EQNXTDZ($A$1,$B116,T$1,$B$1)</f>
        <v>25.85</v>
      </c>
      <c r="U116" s="126" cm="1">
        <f t="array" ref="U116">_xll.EQNXTDZ($A$1,$B116,U$1,$B$1)</f>
        <v>25.96</v>
      </c>
      <c r="V116" s="126" cm="1">
        <f t="array" ref="V116">_xll.EQNXTDZ($A$1,$B116,V$1,$B$1)</f>
        <v>32.31</v>
      </c>
      <c r="W116" s="126" cm="1">
        <f t="array" ref="W116">_xll.EQNXTDZ($A$1,$B116,W$1,$B$1)</f>
        <v>28.62</v>
      </c>
      <c r="X116" s="126" cm="1">
        <f t="array" ref="X116">_xll.EQNXTDZ($A$1,$B116,X$1,$B$1)</f>
        <v>251.53</v>
      </c>
      <c r="Y116" s="126" cm="1">
        <f t="array" ref="Y116">_xll.EQNXTDZ($A$1,$B116,Y$1,$B$1)</f>
        <v>72.930000000000007</v>
      </c>
      <c r="Z116" s="126" cm="1">
        <f t="array" ref="Z116">_xll.EQNXTDZ($A$1,$B116,Z$1,$B$1)</f>
        <v>66.510000000000005</v>
      </c>
      <c r="AA116" s="126" cm="1">
        <f t="array" ref="AA116">_xll.EQNXTDZ($A$1,$B116,AA$1,$B$1)</f>
        <v>71.12</v>
      </c>
      <c r="AB116" s="126" cm="1">
        <f t="array" ref="AB116">_xll.EQNXTDZ($A$1,$B116,AB$1,$B$1)</f>
        <v>41.27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0</v>
      </c>
      <c r="N117" s="126" cm="1">
        <f t="array" ref="N117">_xll.EQNXTDZ($A$1,$B117,N$1,$B$1)</f>
        <v>0</v>
      </c>
      <c r="O117" s="126" cm="1">
        <f t="array" ref="O117">_xll.EQNXTDZ($A$1,$B117,O$1,$B$1)</f>
        <v>0</v>
      </c>
      <c r="P117" s="126" cm="1">
        <f t="array" ref="P117">_xll.EQNXTDZ($A$1,$B117,P$1,$B$1)</f>
        <v>0</v>
      </c>
      <c r="Q117" s="126" cm="1">
        <f t="array" ref="Q117">_xll.EQNXTDZ($A$1,$B117,Q$1,$B$1)</f>
        <v>0</v>
      </c>
      <c r="R117" s="126" cm="1">
        <f t="array" ref="R117">_xll.EQNXTDZ($A$1,$B117,R$1,$B$1)</f>
        <v>0</v>
      </c>
      <c r="S117" s="126" cm="1">
        <f t="array" ref="S117">_xll.EQNXTDZ($A$1,$B117,S$1,$B$1)</f>
        <v>0</v>
      </c>
      <c r="T117" s="126" cm="1">
        <f t="array" ref="T117">_xll.EQNXTDZ($A$1,$B117,T$1,$B$1)</f>
        <v>0</v>
      </c>
      <c r="U117" s="126" cm="1">
        <f t="array" ref="U117">_xll.EQNXTDZ($A$1,$B117,U$1,$B$1)</f>
        <v>43.29</v>
      </c>
      <c r="V117" s="126" cm="1">
        <f t="array" ref="V117">_xll.EQNXTDZ($A$1,$B117,V$1,$B$1)</f>
        <v>15.87</v>
      </c>
      <c r="W117" s="126" cm="1">
        <f t="array" ref="W117">_xll.EQNXTDZ($A$1,$B117,W$1,$B$1)</f>
        <v>13.34</v>
      </c>
      <c r="X117" s="126" cm="1">
        <f t="array" ref="X117">_xll.EQNXTDZ($A$1,$B117,X$1,$B$1)</f>
        <v>167.1</v>
      </c>
      <c r="Y117" s="126" cm="1">
        <f t="array" ref="Y117">_xll.EQNXTDZ($A$1,$B117,Y$1,$B$1)</f>
        <v>3.19</v>
      </c>
      <c r="Z117" s="126" cm="1">
        <f t="array" ref="Z117">_xll.EQNXTDZ($A$1,$B117,Z$1,$B$1)</f>
        <v>279.69</v>
      </c>
      <c r="AA117" s="126" cm="1">
        <f t="array" ref="AA117">_xll.EQNXTDZ($A$1,$B117,AA$1,$B$1)</f>
        <v>155.16999999999999</v>
      </c>
      <c r="AB117" s="126" cm="1">
        <f t="array" ref="AB117">_xll.EQNXTDZ($A$1,$B117,AB$1,$B$1)</f>
        <v>1400.85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0</v>
      </c>
      <c r="D118" s="126" cm="1">
        <f t="array" ref="D118">_xll.EQNXTDZ($A$1,$B118,D$1,$B$1)</f>
        <v>0</v>
      </c>
      <c r="E118" s="126" cm="1">
        <f t="array" ref="E118">_xll.EQNXTDZ($A$1,$B118,E$1,$B$1)</f>
        <v>0</v>
      </c>
      <c r="F118" s="126" cm="1">
        <f t="array" ref="F118">_xll.EQNXTDZ($A$1,$B118,F$1,$B$1)</f>
        <v>0</v>
      </c>
      <c r="G118" s="126" cm="1">
        <f t="array" ref="G118">_xll.EQNXTDZ($A$1,$B118,G$1,$B$1)</f>
        <v>0</v>
      </c>
      <c r="H118" s="126" cm="1">
        <f t="array" ref="H118">_xll.EQNXTDZ($A$1,$B118,H$1,$B$1)</f>
        <v>0</v>
      </c>
      <c r="I118" s="126" cm="1">
        <f t="array" ref="I118">_xll.EQNXTDZ($A$1,$B118,I$1,$B$1)</f>
        <v>0</v>
      </c>
      <c r="J118" s="126" cm="1">
        <f t="array" ref="J118">_xll.EQNXTDZ($A$1,$B118,J$1,$B$1)</f>
        <v>2.8497062</v>
      </c>
      <c r="K118" s="126" cm="1">
        <f t="array" ref="K118">_xll.EQNXTDZ($A$1,$B118,K$1,$B$1)</f>
        <v>8.8173609000000006</v>
      </c>
      <c r="L118" s="126" cm="1">
        <f t="array" ref="L118">_xll.EQNXTDZ($A$1,$B118,L$1,$B$1)</f>
        <v>13.9959799</v>
      </c>
      <c r="M118" s="126" cm="1">
        <f t="array" ref="M118">_xll.EQNXTDZ($A$1,$B118,M$1,$B$1)</f>
        <v>941.50632700000006</v>
      </c>
      <c r="N118" s="126" cm="1">
        <f t="array" ref="N118">_xll.EQNXTDZ($A$1,$B118,N$1,$B$1)</f>
        <v>3100.26</v>
      </c>
      <c r="O118" s="126" cm="1">
        <f t="array" ref="O118">_xll.EQNXTDZ($A$1,$B118,O$1,$B$1)</f>
        <v>6231.48</v>
      </c>
      <c r="P118" s="126" cm="1">
        <f t="array" ref="P118">_xll.EQNXTDZ($A$1,$B118,P$1,$B$1)</f>
        <v>10240.86</v>
      </c>
      <c r="Q118" s="126" cm="1">
        <f t="array" ref="Q118">_xll.EQNXTDZ($A$1,$B118,Q$1,$B$1)</f>
        <v>14573.59</v>
      </c>
      <c r="R118" s="126" cm="1">
        <f t="array" ref="R118">_xll.EQNXTDZ($A$1,$B118,R$1,$B$1)</f>
        <v>19250.87</v>
      </c>
      <c r="S118" s="126" cm="1">
        <f t="array" ref="S118">_xll.EQNXTDZ($A$1,$B118,S$1,$B$1)</f>
        <v>24702.41</v>
      </c>
      <c r="T118" s="126" cm="1">
        <f t="array" ref="T118">_xll.EQNXTDZ($A$1,$B118,T$1,$B$1)</f>
        <v>31514.97</v>
      </c>
      <c r="U118" s="126" cm="1">
        <f t="array" ref="U118">_xll.EQNXTDZ($A$1,$B118,U$1,$B$1)</f>
        <v>36749.64</v>
      </c>
      <c r="V118" s="126" cm="1">
        <f t="array" ref="V118">_xll.EQNXTDZ($A$1,$B118,V$1,$B$1)</f>
        <v>39813.4</v>
      </c>
      <c r="W118" s="126" cm="1">
        <f t="array" ref="W118">_xll.EQNXTDZ($A$1,$B118,W$1,$B$1)</f>
        <v>40550.44</v>
      </c>
      <c r="X118" s="126" cm="1">
        <f t="array" ref="X118">_xll.EQNXTDZ($A$1,$B118,X$1,$B$1)</f>
        <v>36614.449999999997</v>
      </c>
      <c r="Y118" s="126" cm="1">
        <f t="array" ref="Y118">_xll.EQNXTDZ($A$1,$B118,Y$1,$B$1)</f>
        <v>42430.99</v>
      </c>
      <c r="Z118" s="126" cm="1">
        <f t="array" ref="Z118">_xll.EQNXTDZ($A$1,$B118,Z$1,$B$1)</f>
        <v>55815.4</v>
      </c>
      <c r="AA118" s="126" cm="1">
        <f t="array" ref="AA118">_xll.EQNXTDZ($A$1,$B118,AA$1,$B$1)</f>
        <v>104320.46</v>
      </c>
      <c r="AB118" s="126" cm="1">
        <f t="array" ref="AB118">_xll.EQNXTDZ($A$1,$B118,AB$1,$B$1)</f>
        <v>116910.61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0</v>
      </c>
      <c r="D119" s="126" cm="1">
        <f t="array" ref="D119">_xll.EQNXTDZ($A$1,$B119,D$1,$B$1)</f>
        <v>0</v>
      </c>
      <c r="E119" s="126" cm="1">
        <f t="array" ref="E119">_xll.EQNXTDZ($A$1,$B119,E$1,$B$1)</f>
        <v>0</v>
      </c>
      <c r="F119" s="126" cm="1">
        <f t="array" ref="F119">_xll.EQNXTDZ($A$1,$B119,F$1,$B$1)</f>
        <v>0</v>
      </c>
      <c r="G119" s="126" cm="1">
        <f t="array" ref="G119">_xll.EQNXTDZ($A$1,$B119,G$1,$B$1)</f>
        <v>0</v>
      </c>
      <c r="H119" s="126" cm="1">
        <f t="array" ref="H119">_xll.EQNXTDZ($A$1,$B119,H$1,$B$1)</f>
        <v>0</v>
      </c>
      <c r="I119" s="126" cm="1">
        <f t="array" ref="I119">_xll.EQNXTDZ($A$1,$B119,I$1,$B$1)</f>
        <v>0</v>
      </c>
      <c r="J119" s="126" cm="1">
        <f t="array" ref="J119">_xll.EQNXTDZ($A$1,$B119,J$1,$B$1)</f>
        <v>0</v>
      </c>
      <c r="K119" s="126" cm="1">
        <f t="array" ref="K119">_xll.EQNXTDZ($A$1,$B119,K$1,$B$1)</f>
        <v>0</v>
      </c>
      <c r="L119" s="126" cm="1">
        <f t="array" ref="L119">_xll.EQNXTDZ($A$1,$B119,L$1,$B$1)</f>
        <v>0</v>
      </c>
      <c r="M119" s="126" cm="1">
        <f t="array" ref="M119">_xll.EQNXTDZ($A$1,$B119,M$1,$B$1)</f>
        <v>30</v>
      </c>
      <c r="N119" s="126" cm="1">
        <f t="array" ref="N119">_xll.EQNXTDZ($A$1,$B119,N$1,$B$1)</f>
        <v>0</v>
      </c>
      <c r="O119" s="126" cm="1">
        <f t="array" ref="O119">_xll.EQNXTDZ($A$1,$B119,O$1,$B$1)</f>
        <v>0</v>
      </c>
      <c r="P119" s="126" cm="1">
        <f t="array" ref="P119">_xll.EQNXTDZ($A$1,$B119,P$1,$B$1)</f>
        <v>0</v>
      </c>
      <c r="Q119" s="126" cm="1">
        <f t="array" ref="Q119">_xll.EQNXTDZ($A$1,$B119,Q$1,$B$1)</f>
        <v>425</v>
      </c>
      <c r="R119" s="126" cm="1">
        <f t="array" ref="R119">_xll.EQNXTDZ($A$1,$B119,R$1,$B$1)</f>
        <v>300</v>
      </c>
      <c r="S119" s="126" cm="1">
        <f t="array" ref="S119">_xll.EQNXTDZ($A$1,$B119,S$1,$B$1)</f>
        <v>400</v>
      </c>
      <c r="T119" s="126" cm="1">
        <f t="array" ref="T119">_xll.EQNXTDZ($A$1,$B119,T$1,$B$1)</f>
        <v>400.55</v>
      </c>
      <c r="U119" s="126" cm="1">
        <f t="array" ref="U119">_xll.EQNXTDZ($A$1,$B119,U$1,$B$1)</f>
        <v>567.41</v>
      </c>
      <c r="V119" s="126" cm="1">
        <f t="array" ref="V119">_xll.EQNXTDZ($A$1,$B119,V$1,$B$1)</f>
        <v>1744.81</v>
      </c>
      <c r="W119" s="126" cm="1">
        <f t="array" ref="W119">_xll.EQNXTDZ($A$1,$B119,W$1,$B$1)</f>
        <v>1455.03</v>
      </c>
      <c r="X119" s="126" cm="1">
        <f t="array" ref="X119">_xll.EQNXTDZ($A$1,$B119,X$1,$B$1)</f>
        <v>2144.02</v>
      </c>
      <c r="Y119" s="126" cm="1">
        <f t="array" ref="Y119">_xll.EQNXTDZ($A$1,$B119,Y$1,$B$1)</f>
        <v>1185.31</v>
      </c>
      <c r="Z119" s="126" cm="1">
        <f t="array" ref="Z119">_xll.EQNXTDZ($A$1,$B119,Z$1,$B$1)</f>
        <v>3340.7</v>
      </c>
      <c r="AA119" s="126" cm="1">
        <f t="array" ref="AA119">_xll.EQNXTDZ($A$1,$B119,AA$1,$B$1)</f>
        <v>2044.09</v>
      </c>
      <c r="AB119" s="126" cm="1">
        <f t="array" ref="AB119">_xll.EQNXTDZ($A$1,$B119,AB$1,$B$1)</f>
        <v>3742.21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0</v>
      </c>
      <c r="D120" s="126" cm="1">
        <f t="array" ref="D120">_xll.EQNXTDZ($A$1,$B120,D$1,$B$1)</f>
        <v>0</v>
      </c>
      <c r="E120" s="126" cm="1">
        <f t="array" ref="E120">_xll.EQNXTDZ($A$1,$B120,E$1,$B$1)</f>
        <v>0</v>
      </c>
      <c r="F120" s="126" cm="1">
        <f t="array" ref="F120">_xll.EQNXTDZ($A$1,$B120,F$1,$B$1)</f>
        <v>0</v>
      </c>
      <c r="G120" s="126" cm="1">
        <f t="array" ref="G120">_xll.EQNXTDZ($A$1,$B120,G$1,$B$1)</f>
        <v>0</v>
      </c>
      <c r="H120" s="126" cm="1">
        <f t="array" ref="H120">_xll.EQNXTDZ($A$1,$B120,H$1,$B$1)</f>
        <v>0</v>
      </c>
      <c r="I120" s="126" cm="1">
        <f t="array" ref="I120">_xll.EQNXTDZ($A$1,$B120,I$1,$B$1)</f>
        <v>0</v>
      </c>
      <c r="J120" s="126" cm="1">
        <f t="array" ref="J120">_xll.EQNXTDZ($A$1,$B120,J$1,$B$1)</f>
        <v>0</v>
      </c>
      <c r="K120" s="126" cm="1">
        <f t="array" ref="K120">_xll.EQNXTDZ($A$1,$B120,K$1,$B$1)</f>
        <v>0</v>
      </c>
      <c r="L120" s="126" cm="1">
        <f t="array" ref="L120">_xll.EQNXTDZ($A$1,$B120,L$1,$B$1)</f>
        <v>0</v>
      </c>
      <c r="M120" s="126" cm="1">
        <f t="array" ref="M120">_xll.EQNXTDZ($A$1,$B120,M$1,$B$1)</f>
        <v>0</v>
      </c>
      <c r="N120" s="126" cm="1">
        <f t="array" ref="N120">_xll.EQNXTDZ($A$1,$B120,N$1,$B$1)</f>
        <v>0</v>
      </c>
      <c r="O120" s="126" cm="1">
        <f t="array" ref="O120">_xll.EQNXTDZ($A$1,$B120,O$1,$B$1)</f>
        <v>0</v>
      </c>
      <c r="P120" s="126" cm="1">
        <f t="array" ref="P120">_xll.EQNXTDZ($A$1,$B120,P$1,$B$1)</f>
        <v>0</v>
      </c>
      <c r="Q120" s="126" cm="1">
        <f t="array" ref="Q120">_xll.EQNXTDZ($A$1,$B120,Q$1,$B$1)</f>
        <v>0</v>
      </c>
      <c r="R120" s="126" cm="1">
        <f t="array" ref="R120">_xll.EQNXTDZ($A$1,$B120,R$1,$B$1)</f>
        <v>0</v>
      </c>
      <c r="S120" s="126" cm="1">
        <f t="array" ref="S120">_xll.EQNXTDZ($A$1,$B120,S$1,$B$1)</f>
        <v>0</v>
      </c>
      <c r="T120" s="126" cm="1">
        <f t="array" ref="T120">_xll.EQNXTDZ($A$1,$B120,T$1,$B$1)</f>
        <v>0</v>
      </c>
      <c r="U120" s="126" cm="1">
        <f t="array" ref="U120">_xll.EQNXTDZ($A$1,$B120,U$1,$B$1)</f>
        <v>0</v>
      </c>
      <c r="V120" s="126" cm="1">
        <f t="array" ref="V120">_xll.EQNXTDZ($A$1,$B120,V$1,$B$1)</f>
        <v>0</v>
      </c>
      <c r="W120" s="126" cm="1">
        <f t="array" ref="W120">_xll.EQNXTDZ($A$1,$B120,W$1,$B$1)</f>
        <v>0</v>
      </c>
      <c r="X120" s="126" cm="1">
        <f t="array" ref="X120">_xll.EQNXTDZ($A$1,$B120,X$1,$B$1)</f>
        <v>0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0</v>
      </c>
      <c r="D121" s="126" cm="1">
        <f t="array" ref="D121">_xll.EQNXTDZ($A$1,$B121,D$1,$B$1)</f>
        <v>0</v>
      </c>
      <c r="E121" s="126" cm="1">
        <f t="array" ref="E121">_xll.EQNXTDZ($A$1,$B121,E$1,$B$1)</f>
        <v>0</v>
      </c>
      <c r="F121" s="126" cm="1">
        <f t="array" ref="F121">_xll.EQNXTDZ($A$1,$B121,F$1,$B$1)</f>
        <v>0</v>
      </c>
      <c r="G121" s="126" cm="1">
        <f t="array" ref="G121">_xll.EQNXTDZ($A$1,$B121,G$1,$B$1)</f>
        <v>0</v>
      </c>
      <c r="H121" s="126" cm="1">
        <f t="array" ref="H121">_xll.EQNXTDZ($A$1,$B121,H$1,$B$1)</f>
        <v>0</v>
      </c>
      <c r="I121" s="126" cm="1">
        <f t="array" ref="I121">_xll.EQNXTDZ($A$1,$B121,I$1,$B$1)</f>
        <v>0</v>
      </c>
      <c r="J121" s="126" cm="1">
        <f t="array" ref="J121">_xll.EQNXTDZ($A$1,$B121,J$1,$B$1)</f>
        <v>0</v>
      </c>
      <c r="K121" s="126" cm="1">
        <f t="array" ref="K121">_xll.EQNXTDZ($A$1,$B121,K$1,$B$1)</f>
        <v>4.804818</v>
      </c>
      <c r="L121" s="126" cm="1">
        <f t="array" ref="L121">_xll.EQNXTDZ($A$1,$B121,L$1,$B$1)</f>
        <v>3.6663309000000002</v>
      </c>
      <c r="M121" s="126" cm="1">
        <f t="array" ref="M121">_xll.EQNXTDZ($A$1,$B121,M$1,$B$1)</f>
        <v>7.3593394999999999</v>
      </c>
      <c r="N121" s="126" cm="1">
        <f t="array" ref="N121">_xll.EQNXTDZ($A$1,$B121,N$1,$B$1)</f>
        <v>4.84</v>
      </c>
      <c r="O121" s="126" cm="1">
        <f t="array" ref="O121">_xll.EQNXTDZ($A$1,$B121,O$1,$B$1)</f>
        <v>11.95</v>
      </c>
      <c r="P121" s="126" cm="1">
        <f t="array" ref="P121">_xll.EQNXTDZ($A$1,$B121,P$1,$B$1)</f>
        <v>19.510000000000002</v>
      </c>
      <c r="Q121" s="126" cm="1">
        <f t="array" ref="Q121">_xll.EQNXTDZ($A$1,$B121,Q$1,$B$1)</f>
        <v>14.46</v>
      </c>
      <c r="R121" s="126" cm="1">
        <f t="array" ref="R121">_xll.EQNXTDZ($A$1,$B121,R$1,$B$1)</f>
        <v>23.5</v>
      </c>
      <c r="S121" s="126" cm="1">
        <f t="array" ref="S121">_xll.EQNXTDZ($A$1,$B121,S$1,$B$1)</f>
        <v>115.42</v>
      </c>
      <c r="T121" s="126" cm="1">
        <f t="array" ref="T121">_xll.EQNXTDZ($A$1,$B121,T$1,$B$1)</f>
        <v>126.44</v>
      </c>
      <c r="U121" s="126" cm="1">
        <f t="array" ref="U121">_xll.EQNXTDZ($A$1,$B121,U$1,$B$1)</f>
        <v>114.42</v>
      </c>
      <c r="V121" s="126" cm="1">
        <f t="array" ref="V121">_xll.EQNXTDZ($A$1,$B121,V$1,$B$1)</f>
        <v>181.18</v>
      </c>
      <c r="W121" s="126" cm="1">
        <f t="array" ref="W121">_xll.EQNXTDZ($A$1,$B121,W$1,$B$1)</f>
        <v>117.32</v>
      </c>
      <c r="X121" s="126" cm="1">
        <f t="array" ref="X121">_xll.EQNXTDZ($A$1,$B121,X$1,$B$1)</f>
        <v>141.82</v>
      </c>
      <c r="Y121" s="126" cm="1">
        <f t="array" ref="Y121">_xll.EQNXTDZ($A$1,$B121,Y$1,$B$1)</f>
        <v>65.760000000000005</v>
      </c>
      <c r="Z121" s="126" cm="1">
        <f t="array" ref="Z121">_xll.EQNXTDZ($A$1,$B121,Z$1,$B$1)</f>
        <v>124.61</v>
      </c>
      <c r="AA121" s="126" cm="1">
        <f t="array" ref="AA121">_xll.EQNXTDZ($A$1,$B121,AA$1,$B$1)</f>
        <v>225.17</v>
      </c>
      <c r="AB121" s="126" cm="1">
        <f t="array" ref="AB121">_xll.EQNXTDZ($A$1,$B121,AB$1,$B$1)</f>
        <v>295.95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0</v>
      </c>
      <c r="D122" s="126" cm="1">
        <f t="array" ref="D122">_xll.EQNXTDZ($A$1,$B122,D$1,$B$1)</f>
        <v>0</v>
      </c>
      <c r="E122" s="126" cm="1">
        <f t="array" ref="E122">_xll.EQNXTDZ($A$1,$B122,E$1,$B$1)</f>
        <v>0</v>
      </c>
      <c r="F122" s="126" cm="1">
        <f t="array" ref="F122">_xll.EQNXTDZ($A$1,$B122,F$1,$B$1)</f>
        <v>0</v>
      </c>
      <c r="G122" s="126" cm="1">
        <f t="array" ref="G122">_xll.EQNXTDZ($A$1,$B122,G$1,$B$1)</f>
        <v>0</v>
      </c>
      <c r="H122" s="126" cm="1">
        <f t="array" ref="H122">_xll.EQNXTDZ($A$1,$B122,H$1,$B$1)</f>
        <v>0</v>
      </c>
      <c r="I122" s="126" cm="1">
        <f t="array" ref="I122">_xll.EQNXTDZ($A$1,$B122,I$1,$B$1)</f>
        <v>0</v>
      </c>
      <c r="J122" s="126" cm="1">
        <f t="array" ref="J122">_xll.EQNXTDZ($A$1,$B122,J$1,$B$1)</f>
        <v>97.988853800000001</v>
      </c>
      <c r="K122" s="126" cm="1">
        <f t="array" ref="K122">_xll.EQNXTDZ($A$1,$B122,K$1,$B$1)</f>
        <v>35.005566299999998</v>
      </c>
      <c r="L122" s="126" cm="1">
        <f t="array" ref="L122">_xll.EQNXTDZ($A$1,$B122,L$1,$B$1)</f>
        <v>12.911572899999999</v>
      </c>
      <c r="M122" s="126" cm="1">
        <f t="array" ref="M122">_xll.EQNXTDZ($A$1,$B122,M$1,$B$1)</f>
        <v>168.33586460000001</v>
      </c>
      <c r="N122" s="126" cm="1">
        <f t="array" ref="N122">_xll.EQNXTDZ($A$1,$B122,N$1,$B$1)</f>
        <v>17.649999999999999</v>
      </c>
      <c r="O122" s="126" cm="1">
        <f t="array" ref="O122">_xll.EQNXTDZ($A$1,$B122,O$1,$B$1)</f>
        <v>11.56</v>
      </c>
      <c r="P122" s="126" cm="1">
        <f t="array" ref="P122">_xll.EQNXTDZ($A$1,$B122,P$1,$B$1)</f>
        <v>139.82</v>
      </c>
      <c r="Q122" s="126" cm="1">
        <f t="array" ref="Q122">_xll.EQNXTDZ($A$1,$B122,Q$1,$B$1)</f>
        <v>123.27</v>
      </c>
      <c r="R122" s="126" cm="1">
        <f t="array" ref="R122">_xll.EQNXTDZ($A$1,$B122,R$1,$B$1)</f>
        <v>135.04</v>
      </c>
      <c r="S122" s="126" cm="1">
        <f t="array" ref="S122">_xll.EQNXTDZ($A$1,$B122,S$1,$B$1)</f>
        <v>188.7</v>
      </c>
      <c r="T122" s="126" cm="1">
        <f t="array" ref="T122">_xll.EQNXTDZ($A$1,$B122,T$1,$B$1)</f>
        <v>137.4</v>
      </c>
      <c r="U122" s="126" cm="1">
        <f t="array" ref="U122">_xll.EQNXTDZ($A$1,$B122,U$1,$B$1)</f>
        <v>488.51</v>
      </c>
      <c r="V122" s="126" cm="1">
        <f t="array" ref="V122">_xll.EQNXTDZ($A$1,$B122,V$1,$B$1)</f>
        <v>563.17999999999995</v>
      </c>
      <c r="W122" s="126" cm="1">
        <f t="array" ref="W122">_xll.EQNXTDZ($A$1,$B122,W$1,$B$1)</f>
        <v>974.01</v>
      </c>
      <c r="X122" s="126" cm="1">
        <f t="array" ref="X122">_xll.EQNXTDZ($A$1,$B122,X$1,$B$1)</f>
        <v>653.39</v>
      </c>
      <c r="Y122" s="126" cm="1">
        <f t="array" ref="Y122">_xll.EQNXTDZ($A$1,$B122,Y$1,$B$1)</f>
        <v>653.82000000000005</v>
      </c>
      <c r="Z122" s="126" cm="1">
        <f t="array" ref="Z122">_xll.EQNXTDZ($A$1,$B122,Z$1,$B$1)</f>
        <v>696.13</v>
      </c>
      <c r="AA122" s="126" cm="1">
        <f t="array" ref="AA122">_xll.EQNXTDZ($A$1,$B122,AA$1,$B$1)</f>
        <v>953.3</v>
      </c>
      <c r="AB122" s="126" cm="1">
        <f t="array" ref="AB122">_xll.EQNXTDZ($A$1,$B122,AB$1,$B$1)</f>
        <v>1342.96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</v>
      </c>
      <c r="D123" s="126" cm="1">
        <f t="array" ref="D123">_xll.EQNXTDZ($A$1,$B123,D$1,$B$1)</f>
        <v>0</v>
      </c>
      <c r="E123" s="126" cm="1">
        <f t="array" ref="E123">_xll.EQNXTDZ($A$1,$B123,E$1,$B$1)</f>
        <v>0</v>
      </c>
      <c r="F123" s="126" cm="1">
        <f t="array" ref="F123">_xll.EQNXTDZ($A$1,$B123,F$1,$B$1)</f>
        <v>0</v>
      </c>
      <c r="G123" s="126" cm="1">
        <f t="array" ref="G123">_xll.EQNXTDZ($A$1,$B123,G$1,$B$1)</f>
        <v>0</v>
      </c>
      <c r="H123" s="126" cm="1">
        <f t="array" ref="H123">_xll.EQNXTDZ($A$1,$B123,H$1,$B$1)</f>
        <v>0</v>
      </c>
      <c r="I123" s="126" cm="1">
        <f t="array" ref="I123">_xll.EQNXTDZ($A$1,$B123,I$1,$B$1)</f>
        <v>0</v>
      </c>
      <c r="J123" s="126" cm="1">
        <f t="array" ref="J123">_xll.EQNXTDZ($A$1,$B123,J$1,$B$1)</f>
        <v>0.25334329999999999</v>
      </c>
      <c r="K123" s="126" cm="1">
        <f t="array" ref="K123">_xll.EQNXTDZ($A$1,$B123,K$1,$B$1)</f>
        <v>1.2602800000000001E-2</v>
      </c>
      <c r="L123" s="126" cm="1">
        <f t="array" ref="L123">_xll.EQNXTDZ($A$1,$B123,L$1,$B$1)</f>
        <v>0</v>
      </c>
      <c r="M123" s="126" cm="1">
        <f t="array" ref="M123">_xll.EQNXTDZ($A$1,$B123,M$1,$B$1)</f>
        <v>2.73972E-2</v>
      </c>
      <c r="N123" s="126" cm="1">
        <f t="array" ref="N123">_xll.EQNXTDZ($A$1,$B123,N$1,$B$1)</f>
        <v>0.86</v>
      </c>
      <c r="O123" s="126" cm="1">
        <f t="array" ref="O123">_xll.EQNXTDZ($A$1,$B123,O$1,$B$1)</f>
        <v>8.42</v>
      </c>
      <c r="P123" s="126" cm="1">
        <f t="array" ref="P123">_xll.EQNXTDZ($A$1,$B123,P$1,$B$1)</f>
        <v>21.19</v>
      </c>
      <c r="Q123" s="126" cm="1">
        <f t="array" ref="Q123">_xll.EQNXTDZ($A$1,$B123,Q$1,$B$1)</f>
        <v>7.55</v>
      </c>
      <c r="R123" s="126" cm="1">
        <f t="array" ref="R123">_xll.EQNXTDZ($A$1,$B123,R$1,$B$1)</f>
        <v>35.520000000000003</v>
      </c>
      <c r="S123" s="126" cm="1">
        <f t="array" ref="S123">_xll.EQNXTDZ($A$1,$B123,S$1,$B$1)</f>
        <v>61.03</v>
      </c>
      <c r="T123" s="126" cm="1">
        <f t="array" ref="T123">_xll.EQNXTDZ($A$1,$B123,T$1,$B$1)</f>
        <v>0</v>
      </c>
      <c r="U123" s="126" cm="1">
        <f t="array" ref="U123">_xll.EQNXTDZ($A$1,$B123,U$1,$B$1)</f>
        <v>0</v>
      </c>
      <c r="V123" s="126" cm="1">
        <f t="array" ref="V123">_xll.EQNXTDZ($A$1,$B123,V$1,$B$1)</f>
        <v>124.67</v>
      </c>
      <c r="W123" s="126" cm="1">
        <f t="array" ref="W123">_xll.EQNXTDZ($A$1,$B123,W$1,$B$1)</f>
        <v>47.39</v>
      </c>
      <c r="X123" s="126" cm="1">
        <f t="array" ref="X123">_xll.EQNXTDZ($A$1,$B123,X$1,$B$1)</f>
        <v>49</v>
      </c>
      <c r="Y123" s="126" cm="1">
        <f t="array" ref="Y123">_xll.EQNXTDZ($A$1,$B123,Y$1,$B$1)</f>
        <v>219.37</v>
      </c>
      <c r="Z123" s="126" cm="1">
        <f t="array" ref="Z123">_xll.EQNXTDZ($A$1,$B123,Z$1,$B$1)</f>
        <v>66.39</v>
      </c>
      <c r="AA123" s="126" cm="1">
        <f t="array" ref="AA123">_xll.EQNXTDZ($A$1,$B123,AA$1,$B$1)</f>
        <v>0</v>
      </c>
      <c r="AB123" s="126" cm="1">
        <f t="array" ref="AB123">_xll.EQNXTDZ($A$1,$B123,AB$1,$B$1)</f>
        <v>289.45999999999998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0</v>
      </c>
      <c r="D124" s="126" cm="1">
        <f t="array" ref="D124">_xll.EQNXTDZ($A$1,$B124,D$1,$B$1)</f>
        <v>0</v>
      </c>
      <c r="E124" s="126" cm="1">
        <f t="array" ref="E124">_xll.EQNXTDZ($A$1,$B124,E$1,$B$1)</f>
        <v>0</v>
      </c>
      <c r="F124" s="126" cm="1">
        <f t="array" ref="F124">_xll.EQNXTDZ($A$1,$B124,F$1,$B$1)</f>
        <v>0</v>
      </c>
      <c r="G124" s="126" cm="1">
        <f t="array" ref="G124">_xll.EQNXTDZ($A$1,$B124,G$1,$B$1)</f>
        <v>0</v>
      </c>
      <c r="H124" s="126" cm="1">
        <f t="array" ref="H124">_xll.EQNXTDZ($A$1,$B124,H$1,$B$1)</f>
        <v>0</v>
      </c>
      <c r="I124" s="126" cm="1">
        <f t="array" ref="I124">_xll.EQNXTDZ($A$1,$B124,I$1,$B$1)</f>
        <v>0</v>
      </c>
      <c r="J124" s="126" cm="1">
        <f t="array" ref="J124">_xll.EQNXTDZ($A$1,$B124,J$1,$B$1)</f>
        <v>2.7176117</v>
      </c>
      <c r="K124" s="126" cm="1">
        <f t="array" ref="K124">_xll.EQNXTDZ($A$1,$B124,K$1,$B$1)</f>
        <v>147.3802207</v>
      </c>
      <c r="L124" s="126" cm="1">
        <f t="array" ref="L124">_xll.EQNXTDZ($A$1,$B124,L$1,$B$1)</f>
        <v>545.16127449999999</v>
      </c>
      <c r="M124" s="126" cm="1">
        <f t="array" ref="M124">_xll.EQNXTDZ($A$1,$B124,M$1,$B$1)</f>
        <v>348.08908830000001</v>
      </c>
      <c r="N124" s="126" cm="1">
        <f t="array" ref="N124">_xll.EQNXTDZ($A$1,$B124,N$1,$B$1)</f>
        <v>930.32</v>
      </c>
      <c r="O124" s="126" cm="1">
        <f t="array" ref="O124">_xll.EQNXTDZ($A$1,$B124,O$1,$B$1)</f>
        <v>2116.0500000000002</v>
      </c>
      <c r="P124" s="126" cm="1">
        <f t="array" ref="P124">_xll.EQNXTDZ($A$1,$B124,P$1,$B$1)</f>
        <v>3444.06</v>
      </c>
      <c r="Q124" s="126" cm="1">
        <f t="array" ref="Q124">_xll.EQNXTDZ($A$1,$B124,Q$1,$B$1)</f>
        <v>4920.59</v>
      </c>
      <c r="R124" s="126" cm="1">
        <f t="array" ref="R124">_xll.EQNXTDZ($A$1,$B124,R$1,$B$1)</f>
        <v>5926.79</v>
      </c>
      <c r="S124" s="126" cm="1">
        <f t="array" ref="S124">_xll.EQNXTDZ($A$1,$B124,S$1,$B$1)</f>
        <v>8524.36</v>
      </c>
      <c r="T124" s="126" cm="1">
        <f t="array" ref="T124">_xll.EQNXTDZ($A$1,$B124,T$1,$B$1)</f>
        <v>12971.39</v>
      </c>
      <c r="U124" s="126" cm="1">
        <f t="array" ref="U124">_xll.EQNXTDZ($A$1,$B124,U$1,$B$1)</f>
        <v>18504.03</v>
      </c>
      <c r="V124" s="126" cm="1">
        <f t="array" ref="V124">_xll.EQNXTDZ($A$1,$B124,V$1,$B$1)</f>
        <v>18580.38</v>
      </c>
      <c r="W124" s="126" cm="1">
        <f t="array" ref="W124">_xll.EQNXTDZ($A$1,$B124,W$1,$B$1)</f>
        <v>19365.97</v>
      </c>
      <c r="X124" s="126" cm="1">
        <f t="array" ref="X124">_xll.EQNXTDZ($A$1,$B124,X$1,$B$1)</f>
        <v>22475.49</v>
      </c>
      <c r="Y124" s="126" cm="1">
        <f t="array" ref="Y124">_xll.EQNXTDZ($A$1,$B124,Y$1,$B$1)</f>
        <v>25520.57</v>
      </c>
      <c r="Z124" s="126" cm="1">
        <f t="array" ref="Z124">_xll.EQNXTDZ($A$1,$B124,Z$1,$B$1)</f>
        <v>32909</v>
      </c>
      <c r="AA124" s="126" cm="1">
        <f t="array" ref="AA124">_xll.EQNXTDZ($A$1,$B124,AA$1,$B$1)</f>
        <v>1531.21</v>
      </c>
      <c r="AB124" s="126" cm="1">
        <f t="array" ref="AB124">_xll.EQNXTDZ($A$1,$B124,AB$1,$B$1)</f>
        <v>1792.31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0</v>
      </c>
      <c r="Z125" s="126" cm="1">
        <f t="array" ref="Z125">_xll.EQNXTDZ($A$1,$B125,Z$1,$B$1)</f>
        <v>0</v>
      </c>
      <c r="AA125" s="126" cm="1">
        <f t="array" ref="AA125">_xll.EQNXTDZ($A$1,$B125,AA$1,$B$1)</f>
        <v>0</v>
      </c>
      <c r="AB125" s="126" cm="1">
        <f t="array" ref="AB125">_xll.EQNXTDZ($A$1,$B125,AB$1,$B$1)</f>
        <v>0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0</v>
      </c>
      <c r="D126" s="126" cm="1">
        <f t="array" ref="D126">_xll.EQNXTDZ($A$1,$B126,D$1,$B$1)</f>
        <v>0</v>
      </c>
      <c r="E126" s="126" cm="1">
        <f t="array" ref="E126">_xll.EQNXTDZ($A$1,$B126,E$1,$B$1)</f>
        <v>0</v>
      </c>
      <c r="F126" s="126" cm="1">
        <f t="array" ref="F126">_xll.EQNXTDZ($A$1,$B126,F$1,$B$1)</f>
        <v>0</v>
      </c>
      <c r="G126" s="126" cm="1">
        <f t="array" ref="G126">_xll.EQNXTDZ($A$1,$B126,G$1,$B$1)</f>
        <v>0</v>
      </c>
      <c r="H126" s="126" cm="1">
        <f t="array" ref="H126">_xll.EQNXTDZ($A$1,$B126,H$1,$B$1)</f>
        <v>0</v>
      </c>
      <c r="I126" s="126" cm="1">
        <f t="array" ref="I126">_xll.EQNXTDZ($A$1,$B126,I$1,$B$1)</f>
        <v>0</v>
      </c>
      <c r="J126" s="126" cm="1">
        <f t="array" ref="J126">_xll.EQNXTDZ($A$1,$B126,J$1,$B$1)</f>
        <v>100.9598088</v>
      </c>
      <c r="K126" s="126" cm="1">
        <f t="array" ref="K126">_xll.EQNXTDZ($A$1,$B126,K$1,$B$1)</f>
        <v>187.2032078</v>
      </c>
      <c r="L126" s="126" cm="1">
        <f t="array" ref="L126">_xll.EQNXTDZ($A$1,$B126,L$1,$B$1)</f>
        <v>561.73917830000005</v>
      </c>
      <c r="M126" s="126" cm="1">
        <f t="array" ref="M126">_xll.EQNXTDZ($A$1,$B126,M$1,$B$1)</f>
        <v>553.81168960000002</v>
      </c>
      <c r="N126" s="126" cm="1">
        <f t="array" ref="N126">_xll.EQNXTDZ($A$1,$B126,N$1,$B$1)</f>
        <v>953.67</v>
      </c>
      <c r="O126" s="126" cm="1">
        <f t="array" ref="O126">_xll.EQNXTDZ($A$1,$B126,O$1,$B$1)</f>
        <v>2147.98</v>
      </c>
      <c r="P126" s="126" cm="1">
        <f t="array" ref="P126">_xll.EQNXTDZ($A$1,$B126,P$1,$B$1)</f>
        <v>3624.58</v>
      </c>
      <c r="Q126" s="126" cm="1">
        <f t="array" ref="Q126">_xll.EQNXTDZ($A$1,$B126,Q$1,$B$1)</f>
        <v>5490.87</v>
      </c>
      <c r="R126" s="126" cm="1">
        <f t="array" ref="R126">_xll.EQNXTDZ($A$1,$B126,R$1,$B$1)</f>
        <v>6420.85</v>
      </c>
      <c r="S126" s="126" cm="1">
        <f t="array" ref="S126">_xll.EQNXTDZ($A$1,$B126,S$1,$B$1)</f>
        <v>9289.51</v>
      </c>
      <c r="T126" s="126" cm="1">
        <f t="array" ref="T126">_xll.EQNXTDZ($A$1,$B126,T$1,$B$1)</f>
        <v>13635.78</v>
      </c>
      <c r="U126" s="126" cm="1">
        <f t="array" ref="U126">_xll.EQNXTDZ($A$1,$B126,U$1,$B$1)</f>
        <v>19674.37</v>
      </c>
      <c r="V126" s="126" cm="1">
        <f t="array" ref="V126">_xll.EQNXTDZ($A$1,$B126,V$1,$B$1)</f>
        <v>21194.22</v>
      </c>
      <c r="W126" s="126" cm="1">
        <f t="array" ref="W126">_xll.EQNXTDZ($A$1,$B126,W$1,$B$1)</f>
        <v>21959.72</v>
      </c>
      <c r="X126" s="126" cm="1">
        <f t="array" ref="X126">_xll.EQNXTDZ($A$1,$B126,X$1,$B$1)</f>
        <v>25463.72</v>
      </c>
      <c r="Y126" s="126" cm="1">
        <f t="array" ref="Y126">_xll.EQNXTDZ($A$1,$B126,Y$1,$B$1)</f>
        <v>27644.83</v>
      </c>
      <c r="Z126" s="126" cm="1">
        <f t="array" ref="Z126">_xll.EQNXTDZ($A$1,$B126,Z$1,$B$1)</f>
        <v>37136.83</v>
      </c>
      <c r="AA126" s="126" cm="1">
        <f t="array" ref="AA126">_xll.EQNXTDZ($A$1,$B126,AA$1,$B$1)</f>
        <v>4753.7700000000004</v>
      </c>
      <c r="AB126" s="126" cm="1">
        <f t="array" ref="AB126">_xll.EQNXTDZ($A$1,$B126,AB$1,$B$1)</f>
        <v>7462.89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0</v>
      </c>
      <c r="D127" s="126" cm="1">
        <f t="array" ref="D127">_xll.EQNXTDZ($A$1,$B127,D$1,$B$1)</f>
        <v>0</v>
      </c>
      <c r="E127" s="126" cm="1">
        <f t="array" ref="E127">_xll.EQNXTDZ($A$1,$B127,E$1,$B$1)</f>
        <v>0</v>
      </c>
      <c r="F127" s="126" cm="1">
        <f t="array" ref="F127">_xll.EQNXTDZ($A$1,$B127,F$1,$B$1)</f>
        <v>0</v>
      </c>
      <c r="G127" s="126" cm="1">
        <f t="array" ref="G127">_xll.EQNXTDZ($A$1,$B127,G$1,$B$1)</f>
        <v>0</v>
      </c>
      <c r="H127" s="126" cm="1">
        <f t="array" ref="H127">_xll.EQNXTDZ($A$1,$B127,H$1,$B$1)</f>
        <v>0</v>
      </c>
      <c r="I127" s="126" cm="1">
        <f t="array" ref="I127">_xll.EQNXTDZ($A$1,$B127,I$1,$B$1)</f>
        <v>0</v>
      </c>
      <c r="J127" s="126" cm="1">
        <f t="array" ref="J127">_xll.EQNXTDZ($A$1,$B127,J$1,$B$1)</f>
        <v>98.495580200000006</v>
      </c>
      <c r="K127" s="126" cm="1">
        <f t="array" ref="K127">_xll.EQNXTDZ($A$1,$B127,K$1,$B$1)</f>
        <v>173.4547603</v>
      </c>
      <c r="L127" s="126" cm="1">
        <f t="array" ref="L127">_xll.EQNXTDZ($A$1,$B127,L$1,$B$1)</f>
        <v>538.80811740000001</v>
      </c>
      <c r="M127" s="126" cm="1">
        <f t="array" ref="M127">_xll.EQNXTDZ($A$1,$B127,M$1,$B$1)</f>
        <v>128.602981</v>
      </c>
      <c r="N127" s="126" cm="1">
        <f t="array" ref="N127">_xll.EQNXTDZ($A$1,$B127,N$1,$B$1)</f>
        <v>-513.47</v>
      </c>
      <c r="O127" s="126" cm="1">
        <f t="array" ref="O127">_xll.EQNXTDZ($A$1,$B127,O$1,$B$1)</f>
        <v>-233.27</v>
      </c>
      <c r="P127" s="126" cm="1">
        <f t="array" ref="P127">_xll.EQNXTDZ($A$1,$B127,P$1,$B$1)</f>
        <v>-668.23</v>
      </c>
      <c r="Q127" s="126" cm="1">
        <f t="array" ref="Q127">_xll.EQNXTDZ($A$1,$B127,Q$1,$B$1)</f>
        <v>-796.78</v>
      </c>
      <c r="R127" s="126" cm="1">
        <f t="array" ref="R127">_xll.EQNXTDZ($A$1,$B127,R$1,$B$1)</f>
        <v>-1728.47</v>
      </c>
      <c r="S127" s="126" cm="1">
        <f t="array" ref="S127">_xll.EQNXTDZ($A$1,$B127,S$1,$B$1)</f>
        <v>43.760000000000197</v>
      </c>
      <c r="T127" s="126" cm="1">
        <f t="array" ref="T127">_xll.EQNXTDZ($A$1,$B127,T$1,$B$1)</f>
        <v>-2728.58</v>
      </c>
      <c r="U127" s="126" cm="1">
        <f t="array" ref="U127">_xll.EQNXTDZ($A$1,$B127,U$1,$B$1)</f>
        <v>-455.13999999999902</v>
      </c>
      <c r="V127" s="126" cm="1">
        <f t="array" ref="V127">_xll.EQNXTDZ($A$1,$B127,V$1,$B$1)</f>
        <v>113.560000000001</v>
      </c>
      <c r="W127" s="126" cm="1">
        <f t="array" ref="W127">_xll.EQNXTDZ($A$1,$B127,W$1,$B$1)</f>
        <v>2631.54</v>
      </c>
      <c r="X127" s="126" cm="1">
        <f t="array" ref="X127">_xll.EQNXTDZ($A$1,$B127,X$1,$B$1)</f>
        <v>3906.48</v>
      </c>
      <c r="Y127" s="126" cm="1">
        <f t="array" ref="Y127">_xll.EQNXTDZ($A$1,$B127,Y$1,$B$1)</f>
        <v>3879.05</v>
      </c>
      <c r="Z127" s="126" cm="1">
        <f t="array" ref="Z127">_xll.EQNXTDZ($A$1,$B127,Z$1,$B$1)</f>
        <v>6484.2</v>
      </c>
      <c r="AA127" s="126" cm="1">
        <f t="array" ref="AA127">_xll.EQNXTDZ($A$1,$B127,AA$1,$B$1)</f>
        <v>-37779.519999999997</v>
      </c>
      <c r="AB127" s="126" cm="1">
        <f t="array" ref="AB127">_xll.EQNXTDZ($A$1,$B127,AB$1,$B$1)</f>
        <v>-30642.86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0</v>
      </c>
      <c r="D128" s="126" cm="1">
        <f t="array" ref="D128">_xll.EQNXTDZ($A$1,$B128,D$1,$B$1)</f>
        <v>0</v>
      </c>
      <c r="E128" s="126" cm="1">
        <f t="array" ref="E128">_xll.EQNXTDZ($A$1,$B128,E$1,$B$1)</f>
        <v>0</v>
      </c>
      <c r="F128" s="126" cm="1">
        <f t="array" ref="F128">_xll.EQNXTDZ($A$1,$B128,F$1,$B$1)</f>
        <v>0</v>
      </c>
      <c r="G128" s="126" cm="1">
        <f t="array" ref="G128">_xll.EQNXTDZ($A$1,$B128,G$1,$B$1)</f>
        <v>0</v>
      </c>
      <c r="H128" s="126" cm="1">
        <f t="array" ref="H128">_xll.EQNXTDZ($A$1,$B128,H$1,$B$1)</f>
        <v>0</v>
      </c>
      <c r="I128" s="126" cm="1">
        <f t="array" ref="I128">_xll.EQNXTDZ($A$1,$B128,I$1,$B$1)</f>
        <v>0</v>
      </c>
      <c r="J128" s="126" cm="1">
        <f t="array" ref="J128">_xll.EQNXTDZ($A$1,$B128,J$1,$B$1)</f>
        <v>100.9598088</v>
      </c>
      <c r="K128" s="126" cm="1">
        <f t="array" ref="K128">_xll.EQNXTDZ($A$1,$B128,K$1,$B$1)</f>
        <v>187.2032078</v>
      </c>
      <c r="L128" s="126" cm="1">
        <f t="array" ref="L128">_xll.EQNXTDZ($A$1,$B128,L$1,$B$1)</f>
        <v>561.73917830000005</v>
      </c>
      <c r="M128" s="126" cm="1">
        <f t="array" ref="M128">_xll.EQNXTDZ($A$1,$B128,M$1,$B$1)</f>
        <v>523.81168960000002</v>
      </c>
      <c r="N128" s="126" cm="1">
        <f t="array" ref="N128">_xll.EQNXTDZ($A$1,$B128,N$1,$B$1)</f>
        <v>953.67</v>
      </c>
      <c r="O128" s="126" cm="1">
        <f t="array" ref="O128">_xll.EQNXTDZ($A$1,$B128,O$1,$B$1)</f>
        <v>2147.98</v>
      </c>
      <c r="P128" s="126" cm="1">
        <f t="array" ref="P128">_xll.EQNXTDZ($A$1,$B128,P$1,$B$1)</f>
        <v>3624.58</v>
      </c>
      <c r="Q128" s="126" cm="1">
        <f t="array" ref="Q128">_xll.EQNXTDZ($A$1,$B128,Q$1,$B$1)</f>
        <v>5065.87</v>
      </c>
      <c r="R128" s="126" cm="1">
        <f t="array" ref="R128">_xll.EQNXTDZ($A$1,$B128,R$1,$B$1)</f>
        <v>6120.85</v>
      </c>
      <c r="S128" s="126" cm="1">
        <f t="array" ref="S128">_xll.EQNXTDZ($A$1,$B128,S$1,$B$1)</f>
        <v>8889.51</v>
      </c>
      <c r="T128" s="126" cm="1">
        <f t="array" ref="T128">_xll.EQNXTDZ($A$1,$B128,T$1,$B$1)</f>
        <v>13235.23</v>
      </c>
      <c r="U128" s="126" cm="1">
        <f t="array" ref="U128">_xll.EQNXTDZ($A$1,$B128,U$1,$B$1)</f>
        <v>19106.96</v>
      </c>
      <c r="V128" s="126" cm="1">
        <f t="array" ref="V128">_xll.EQNXTDZ($A$1,$B128,V$1,$B$1)</f>
        <v>19449.41</v>
      </c>
      <c r="W128" s="126" cm="1">
        <f t="array" ref="W128">_xll.EQNXTDZ($A$1,$B128,W$1,$B$1)</f>
        <v>20504.689999999999</v>
      </c>
      <c r="X128" s="126" cm="1">
        <f t="array" ref="X128">_xll.EQNXTDZ($A$1,$B128,X$1,$B$1)</f>
        <v>23319.7</v>
      </c>
      <c r="Y128" s="126" cm="1">
        <f t="array" ref="Y128">_xll.EQNXTDZ($A$1,$B128,Y$1,$B$1)</f>
        <v>26459.52</v>
      </c>
      <c r="Z128" s="126" cm="1">
        <f t="array" ref="Z128">_xll.EQNXTDZ($A$1,$B128,Z$1,$B$1)</f>
        <v>33796.129999999997</v>
      </c>
      <c r="AA128" s="126" cm="1">
        <f t="array" ref="AA128">_xll.EQNXTDZ($A$1,$B128,AA$1,$B$1)</f>
        <v>2709.68</v>
      </c>
      <c r="AB128" s="126" cm="1">
        <f t="array" ref="AB128">_xll.EQNXTDZ($A$1,$B128,AB$1,$B$1)</f>
        <v>3720.68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0</v>
      </c>
      <c r="D129" s="126" cm="1">
        <f t="array" ref="D129">_xll.EQNXTDZ($A$1,$B129,D$1,$B$1)</f>
        <v>0</v>
      </c>
      <c r="E129" s="126" cm="1">
        <f t="array" ref="E129">_xll.EQNXTDZ($A$1,$B129,E$1,$B$1)</f>
        <v>0</v>
      </c>
      <c r="F129" s="126" cm="1">
        <f t="array" ref="F129">_xll.EQNXTDZ($A$1,$B129,F$1,$B$1)</f>
        <v>0</v>
      </c>
      <c r="G129" s="126" cm="1">
        <f t="array" ref="G129">_xll.EQNXTDZ($A$1,$B129,G$1,$B$1)</f>
        <v>0</v>
      </c>
      <c r="H129" s="126" cm="1">
        <f t="array" ref="H129">_xll.EQNXTDZ($A$1,$B129,H$1,$B$1)</f>
        <v>0</v>
      </c>
      <c r="I129" s="126" cm="1">
        <f t="array" ref="I129">_xll.EQNXTDZ($A$1,$B129,I$1,$B$1)</f>
        <v>0</v>
      </c>
      <c r="J129" s="126" cm="1">
        <f t="array" ref="J129">_xll.EQNXTDZ($A$1,$B129,J$1,$B$1)</f>
        <v>0</v>
      </c>
      <c r="K129" s="126" cm="1">
        <f t="array" ref="K129">_xll.EQNXTDZ($A$1,$B129,K$1,$B$1)</f>
        <v>0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0</v>
      </c>
      <c r="D132" s="126" cm="1">
        <f t="array" ref="D132">_xll.EQNXTDZ($A$1,$B132,D$1,$B$1)</f>
        <v>0</v>
      </c>
      <c r="E132" s="126" cm="1">
        <f t="array" ref="E132">_xll.EQNXTDZ($A$1,$B132,E$1,$B$1)</f>
        <v>0</v>
      </c>
      <c r="F132" s="126" cm="1">
        <f t="array" ref="F132">_xll.EQNXTDZ($A$1,$B132,F$1,$B$1)</f>
        <v>0</v>
      </c>
      <c r="G132" s="126" cm="1">
        <f t="array" ref="G132">_xll.EQNXTDZ($A$1,$B132,G$1,$B$1)</f>
        <v>0</v>
      </c>
      <c r="H132" s="126" cm="1">
        <f t="array" ref="H132">_xll.EQNXTDZ($A$1,$B132,H$1,$B$1)</f>
        <v>0</v>
      </c>
      <c r="I132" s="126" cm="1">
        <f t="array" ref="I132">_xll.EQNXTDZ($A$1,$B132,I$1,$B$1)</f>
        <v>0</v>
      </c>
      <c r="J132" s="126" cm="1">
        <f t="array" ref="J132">_xll.EQNXTDZ($A$1,$B132,J$1,$B$1)</f>
        <v>0</v>
      </c>
      <c r="K132" s="126" cm="1">
        <f t="array" ref="K132">_xll.EQNXTDZ($A$1,$B132,K$1,$B$1)</f>
        <v>0</v>
      </c>
      <c r="L132" s="126" cm="1">
        <f t="array" ref="L132">_xll.EQNXTDZ($A$1,$B132,L$1,$B$1)</f>
        <v>3.4999996000000002</v>
      </c>
      <c r="M132" s="126" cm="1">
        <f t="array" ref="M132">_xll.EQNXTDZ($A$1,$B132,M$1,$B$1)</f>
        <v>35.864119700000003</v>
      </c>
      <c r="N132" s="126" cm="1">
        <f t="array" ref="N132">_xll.EQNXTDZ($A$1,$B132,N$1,$B$1)</f>
        <v>7.17</v>
      </c>
      <c r="O132" s="126" cm="1">
        <f t="array" ref="O132">_xll.EQNXTDZ($A$1,$B132,O$1,$B$1)</f>
        <v>7.39</v>
      </c>
      <c r="P132" s="126" cm="1">
        <f t="array" ref="P132">_xll.EQNXTDZ($A$1,$B132,P$1,$B$1)</f>
        <v>8.5</v>
      </c>
      <c r="Q132" s="126" cm="1">
        <f t="array" ref="Q132">_xll.EQNXTDZ($A$1,$B132,Q$1,$B$1)</f>
        <v>442.07</v>
      </c>
      <c r="R132" s="126" cm="1">
        <f t="array" ref="R132">_xll.EQNXTDZ($A$1,$B132,R$1,$B$1)</f>
        <v>725.63</v>
      </c>
      <c r="S132" s="126" cm="1">
        <f t="array" ref="S132">_xll.EQNXTDZ($A$1,$B132,S$1,$B$1)</f>
        <v>904.62</v>
      </c>
      <c r="T132" s="126" cm="1">
        <f t="array" ref="T132">_xll.EQNXTDZ($A$1,$B132,T$1,$B$1)</f>
        <v>427.35</v>
      </c>
      <c r="U132" s="126" cm="1">
        <f t="array" ref="U132">_xll.EQNXTDZ($A$1,$B132,U$1,$B$1)</f>
        <v>637.61</v>
      </c>
      <c r="V132" s="126" cm="1">
        <f t="array" ref="V132">_xll.EQNXTDZ($A$1,$B132,V$1,$B$1)</f>
        <v>1793.94</v>
      </c>
      <c r="W132" s="126" cm="1">
        <f t="array" ref="W132">_xll.EQNXTDZ($A$1,$B132,W$1,$B$1)</f>
        <v>1634.86</v>
      </c>
      <c r="X132" s="126" cm="1">
        <f t="array" ref="X132">_xll.EQNXTDZ($A$1,$B132,X$1,$B$1)</f>
        <v>2652.14</v>
      </c>
      <c r="Y132" s="126" cm="1">
        <f t="array" ref="Y132">_xll.EQNXTDZ($A$1,$B132,Y$1,$B$1)</f>
        <v>1319.37</v>
      </c>
      <c r="Z132" s="126" cm="1">
        <f t="array" ref="Z132">_xll.EQNXTDZ($A$1,$B132,Z$1,$B$1)</f>
        <v>3726.53</v>
      </c>
      <c r="AA132" s="126" cm="1">
        <f t="array" ref="AA132">_xll.EQNXTDZ($A$1,$B132,AA$1,$B$1)</f>
        <v>2286.42</v>
      </c>
      <c r="AB132" s="126" cm="1">
        <f t="array" ref="AB132">_xll.EQNXTDZ($A$1,$B132,AB$1,$B$1)</f>
        <v>5189.78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0</v>
      </c>
      <c r="D135" s="126" cm="1">
        <f t="array" ref="D135">_xll.EQNXTDZ($A$1,$B135,D$1,$B$1)</f>
        <v>0</v>
      </c>
      <c r="E135" s="126" cm="1">
        <f t="array" ref="E135">_xll.EQNXTDZ($A$1,$B135,E$1,$B$1)</f>
        <v>0</v>
      </c>
      <c r="F135" s="126" cm="1">
        <f t="array" ref="F135">_xll.EQNXTDZ($A$1,$B135,F$1,$B$1)</f>
        <v>0</v>
      </c>
      <c r="G135" s="126" cm="1">
        <f t="array" ref="G135">_xll.EQNXTDZ($A$1,$B135,G$1,$B$1)</f>
        <v>0</v>
      </c>
      <c r="H135" s="126" cm="1">
        <f t="array" ref="H135">_xll.EQNXTDZ($A$1,$B135,H$1,$B$1)</f>
        <v>0</v>
      </c>
      <c r="I135" s="126" cm="1">
        <f t="array" ref="I135">_xll.EQNXTDZ($A$1,$B135,I$1,$B$1)</f>
        <v>0</v>
      </c>
      <c r="J135" s="126" cm="1">
        <f t="array" ref="J135">_xll.EQNXTDZ($A$1,$B135,J$1,$B$1)</f>
        <v>103.809515</v>
      </c>
      <c r="K135" s="126" cm="1">
        <f t="array" ref="K135">_xll.EQNXTDZ($A$1,$B135,K$1,$B$1)</f>
        <v>195.87599779999999</v>
      </c>
      <c r="L135" s="126" cm="1">
        <f t="array" ref="L135">_xll.EQNXTDZ($A$1,$B135,L$1,$B$1)</f>
        <v>575.08213490000003</v>
      </c>
      <c r="M135" s="126" cm="1">
        <f t="array" ref="M135">_xll.EQNXTDZ($A$1,$B135,M$1,$B$1)</f>
        <v>1495.3180166</v>
      </c>
      <c r="N135" s="126" cm="1">
        <f t="array" ref="N135">_xll.EQNXTDZ($A$1,$B135,N$1,$B$1)</f>
        <v>4053.93</v>
      </c>
      <c r="O135" s="126" cm="1">
        <f t="array" ref="O135">_xll.EQNXTDZ($A$1,$B135,O$1,$B$1)</f>
        <v>8379.4599999999991</v>
      </c>
      <c r="P135" s="126" cm="1">
        <f t="array" ref="P135">_xll.EQNXTDZ($A$1,$B135,P$1,$B$1)</f>
        <v>13865.44</v>
      </c>
      <c r="Q135" s="126" cm="1">
        <f t="array" ref="Q135">_xll.EQNXTDZ($A$1,$B135,Q$1,$B$1)</f>
        <v>20064.46</v>
      </c>
      <c r="R135" s="126" cm="1">
        <f t="array" ref="R135">_xll.EQNXTDZ($A$1,$B135,R$1,$B$1)</f>
        <v>25671.72</v>
      </c>
      <c r="S135" s="126" cm="1">
        <f t="array" ref="S135">_xll.EQNXTDZ($A$1,$B135,S$1,$B$1)</f>
        <v>33991.919999999998</v>
      </c>
      <c r="T135" s="126" cm="1">
        <f t="array" ref="T135">_xll.EQNXTDZ($A$1,$B135,T$1,$B$1)</f>
        <v>45150.75</v>
      </c>
      <c r="U135" s="126" cm="1">
        <f t="array" ref="U135">_xll.EQNXTDZ($A$1,$B135,U$1,$B$1)</f>
        <v>56424.01</v>
      </c>
      <c r="V135" s="126" cm="1">
        <f t="array" ref="V135">_xll.EQNXTDZ($A$1,$B135,V$1,$B$1)</f>
        <v>61007.62</v>
      </c>
      <c r="W135" s="126" cm="1">
        <f t="array" ref="W135">_xll.EQNXTDZ($A$1,$B135,W$1,$B$1)</f>
        <v>62510.16</v>
      </c>
      <c r="X135" s="126" cm="1">
        <f t="array" ref="X135">_xll.EQNXTDZ($A$1,$B135,X$1,$B$1)</f>
        <v>62078.17</v>
      </c>
      <c r="Y135" s="126" cm="1">
        <f t="array" ref="Y135">_xll.EQNXTDZ($A$1,$B135,Y$1,$B$1)</f>
        <v>70075.820000000007</v>
      </c>
      <c r="Z135" s="126" cm="1">
        <f t="array" ref="Z135">_xll.EQNXTDZ($A$1,$B135,Z$1,$B$1)</f>
        <v>92952.23</v>
      </c>
      <c r="AA135" s="126" cm="1">
        <f t="array" ref="AA135">_xll.EQNXTDZ($A$1,$B135,AA$1,$B$1)</f>
        <v>109074.23</v>
      </c>
      <c r="AB135" s="126" cm="1">
        <f t="array" ref="AB135">_xll.EQNXTDZ($A$1,$B135,AB$1,$B$1)</f>
        <v>124373.5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0</v>
      </c>
      <c r="D136" s="126" cm="1">
        <f t="array" ref="D136">_xll.EQNXTDZ($A$1,$B136,D$1,$B$1)</f>
        <v>0</v>
      </c>
      <c r="E136" s="126" cm="1">
        <f t="array" ref="E136">_xll.EQNXTDZ($A$1,$B136,E$1,$B$1)</f>
        <v>0</v>
      </c>
      <c r="F136" s="126" cm="1">
        <f t="array" ref="F136">_xll.EQNXTDZ($A$1,$B136,F$1,$B$1)</f>
        <v>0</v>
      </c>
      <c r="G136" s="126" cm="1">
        <f t="array" ref="G136">_xll.EQNXTDZ($A$1,$B136,G$1,$B$1)</f>
        <v>0</v>
      </c>
      <c r="H136" s="126" cm="1">
        <f t="array" ref="H136">_xll.EQNXTDZ($A$1,$B136,H$1,$B$1)</f>
        <v>0</v>
      </c>
      <c r="I136" s="126" cm="1">
        <f t="array" ref="I136">_xll.EQNXTDZ($A$1,$B136,I$1,$B$1)</f>
        <v>0</v>
      </c>
      <c r="J136" s="126" cm="1">
        <f t="array" ref="J136">_xll.EQNXTDZ($A$1,$B136,J$1,$B$1)</f>
        <v>0</v>
      </c>
      <c r="K136" s="126" cm="1">
        <f t="array" ref="K136">_xll.EQNXTDZ($A$1,$B136,K$1,$B$1)</f>
        <v>0</v>
      </c>
      <c r="L136" s="126" cm="1">
        <f t="array" ref="L136">_xll.EQNXTDZ($A$1,$B136,L$1,$B$1)</f>
        <v>0</v>
      </c>
      <c r="M136" s="126" cm="1">
        <f t="array" ref="M136">_xll.EQNXTDZ($A$1,$B136,M$1,$B$1)</f>
        <v>0</v>
      </c>
      <c r="N136" s="126" cm="1">
        <f t="array" ref="N136">_xll.EQNXTDZ($A$1,$B136,N$1,$B$1)</f>
        <v>0</v>
      </c>
      <c r="O136" s="126" cm="1">
        <f t="array" ref="O136">_xll.EQNXTDZ($A$1,$B136,O$1,$B$1)</f>
        <v>0</v>
      </c>
      <c r="P136" s="126" cm="1">
        <f t="array" ref="P136">_xll.EQNXTDZ($A$1,$B136,P$1,$B$1)</f>
        <v>0</v>
      </c>
      <c r="Q136" s="126" cm="1">
        <f t="array" ref="Q136">_xll.EQNXTDZ($A$1,$B136,Q$1,$B$1)</f>
        <v>85.18</v>
      </c>
      <c r="R136" s="126" cm="1">
        <f t="array" ref="R136">_xll.EQNXTDZ($A$1,$B136,R$1,$B$1)</f>
        <v>83.48</v>
      </c>
      <c r="S136" s="126" cm="1">
        <f t="array" ref="S136">_xll.EQNXTDZ($A$1,$B136,S$1,$B$1)</f>
        <v>348.31</v>
      </c>
      <c r="T136" s="126" cm="1">
        <f t="array" ref="T136">_xll.EQNXTDZ($A$1,$B136,T$1,$B$1)</f>
        <v>210.27</v>
      </c>
      <c r="U136" s="126" cm="1">
        <f t="array" ref="U136">_xll.EQNXTDZ($A$1,$B136,U$1,$B$1)</f>
        <v>144.96</v>
      </c>
      <c r="V136" s="126" cm="1">
        <f t="array" ref="V136">_xll.EQNXTDZ($A$1,$B136,V$1,$B$1)</f>
        <v>195.58</v>
      </c>
      <c r="W136" s="126" cm="1">
        <f t="array" ref="W136">_xll.EQNXTDZ($A$1,$B136,W$1,$B$1)</f>
        <v>128.84</v>
      </c>
      <c r="X136" s="126" cm="1">
        <f t="array" ref="X136">_xll.EQNXTDZ($A$1,$B136,X$1,$B$1)</f>
        <v>163.26</v>
      </c>
      <c r="Y136" s="126" cm="1">
        <f t="array" ref="Y136">_xll.EQNXTDZ($A$1,$B136,Y$1,$B$1)</f>
        <v>278.83999999999997</v>
      </c>
      <c r="Z136" s="126" cm="1">
        <f t="array" ref="Z136">_xll.EQNXTDZ($A$1,$B136,Z$1,$B$1)</f>
        <v>0</v>
      </c>
      <c r="AA136" s="126" cm="1">
        <f t="array" ref="AA136">_xll.EQNXTDZ($A$1,$B136,AA$1,$B$1)</f>
        <v>787.74</v>
      </c>
      <c r="AB136" s="126" cm="1">
        <f t="array" ref="AB136">_xll.EQNXTDZ($A$1,$B136,AB$1,$B$1)</f>
        <v>627.78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0</v>
      </c>
      <c r="D137" s="126" cm="1">
        <f t="array" ref="D137">_xll.EQNXTDZ($A$1,$B137,D$1,$B$1)</f>
        <v>0</v>
      </c>
      <c r="E137" s="126" cm="1">
        <f t="array" ref="E137">_xll.EQNXTDZ($A$1,$B137,E$1,$B$1)</f>
        <v>0</v>
      </c>
      <c r="F137" s="126" cm="1">
        <f t="array" ref="F137">_xll.EQNXTDZ($A$1,$B137,F$1,$B$1)</f>
        <v>0</v>
      </c>
      <c r="G137" s="126" cm="1">
        <f t="array" ref="G137">_xll.EQNXTDZ($A$1,$B137,G$1,$B$1)</f>
        <v>0</v>
      </c>
      <c r="H137" s="126" cm="1">
        <f t="array" ref="H137">_xll.EQNXTDZ($A$1,$B137,H$1,$B$1)</f>
        <v>0</v>
      </c>
      <c r="I137" s="126" cm="1">
        <f t="array" ref="I137">_xll.EQNXTDZ($A$1,$B137,I$1,$B$1)</f>
        <v>0</v>
      </c>
      <c r="J137" s="126" cm="1">
        <f t="array" ref="J137">_xll.EQNXTDZ($A$1,$B137,J$1,$B$1)</f>
        <v>9.6572665281774697</v>
      </c>
      <c r="K137" s="126" cm="1">
        <f t="array" ref="K137">_xll.EQNXTDZ($A$1,$B137,K$1,$B$1)</f>
        <v>8.7734675116897005</v>
      </c>
      <c r="L137" s="126" cm="1">
        <f t="array" ref="L137">_xll.EQNXTDZ($A$1,$B137,L$1,$B$1)</f>
        <v>9.7180155037283207</v>
      </c>
      <c r="M137" s="126" cm="1">
        <f t="array" ref="M137">_xll.EQNXTDZ($A$1,$B137,M$1,$B$1)</f>
        <v>17.531860487393502</v>
      </c>
      <c r="N137" s="126" cm="1">
        <f t="array" ref="N137">_xll.EQNXTDZ($A$1,$B137,N$1,$B$1)</f>
        <v>18.771827281361901</v>
      </c>
      <c r="O137" s="126" cm="1">
        <f t="array" ref="O137">_xll.EQNXTDZ($A$1,$B137,O$1,$B$1)</f>
        <v>21.265671787131499</v>
      </c>
      <c r="P137" s="126" cm="1">
        <f t="array" ref="P137">_xll.EQNXTDZ($A$1,$B137,P$1,$B$1)</f>
        <v>31.698296836983001</v>
      </c>
      <c r="Q137" s="126" cm="1">
        <f t="array" ref="Q137">_xll.EQNXTDZ($A$1,$B137,Q$1,$B$1)</f>
        <v>44.678542324903098</v>
      </c>
      <c r="R137" s="126" cm="1">
        <f t="array" ref="R137">_xll.EQNXTDZ($A$1,$B137,R$1,$B$1)</f>
        <v>50.870502877872497</v>
      </c>
      <c r="S137" s="126" cm="1">
        <f t="array" ref="S137">_xll.EQNXTDZ($A$1,$B137,S$1,$B$1)</f>
        <v>68.733851122731494</v>
      </c>
      <c r="T137" s="126" cm="1">
        <f t="array" ref="T137">_xll.EQNXTDZ($A$1,$B137,T$1,$B$1)</f>
        <v>76.857485886530199</v>
      </c>
      <c r="U137" s="126" cm="1">
        <f t="array" ref="U137">_xll.EQNXTDZ($A$1,$B137,U$1,$B$1)</f>
        <v>90.877434135166098</v>
      </c>
      <c r="V137" s="126" cm="1">
        <f t="array" ref="V137">_xll.EQNXTDZ($A$1,$B137,V$1,$B$1)</f>
        <v>101.175499631783</v>
      </c>
      <c r="W137" s="126" cm="1">
        <f t="array" ref="W137">_xll.EQNXTDZ($A$1,$B137,W$1,$B$1)</f>
        <v>106.22625730179</v>
      </c>
      <c r="X137" s="126" cm="1">
        <f t="array" ref="X137">_xll.EQNXTDZ($A$1,$B137,X$1,$B$1)</f>
        <v>120.239360356257</v>
      </c>
      <c r="Y137" s="126" cm="1">
        <f t="array" ref="Y137">_xll.EQNXTDZ($A$1,$B137,Y$1,$B$1)</f>
        <v>144.01516300227399</v>
      </c>
      <c r="Z137" s="126" cm="1">
        <f t="array" ref="Z137">_xll.EQNXTDZ($A$1,$B137,Z$1,$B$1)</f>
        <v>172.40997125132401</v>
      </c>
      <c r="AA137" s="126" cm="1">
        <f t="array" ref="AA137">_xll.EQNXTDZ($A$1,$B137,AA$1,$B$1)</f>
        <v>197.47166302244301</v>
      </c>
      <c r="AB137" s="126" cm="1">
        <f t="array" ref="AB137">_xll.EQNXTDZ($A$1,$B137,AB$1,$B$1)</f>
        <v>247.17606252935599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0</v>
      </c>
      <c r="D138" s="126" cm="1">
        <f t="array" ref="D138">_xll.EQNXTDZ($A$1,$B138,D$1,$B$1)</f>
        <v>0</v>
      </c>
      <c r="E138" s="126" cm="1">
        <f t="array" ref="E138">_xll.EQNXTDZ($A$1,$B138,E$1,$B$1)</f>
        <v>0</v>
      </c>
      <c r="F138" s="126" cm="1">
        <f t="array" ref="F138">_xll.EQNXTDZ($A$1,$B138,F$1,$B$1)</f>
        <v>0</v>
      </c>
      <c r="G138" s="126" cm="1">
        <f t="array" ref="G138">_xll.EQNXTDZ($A$1,$B138,G$1,$B$1)</f>
        <v>0</v>
      </c>
      <c r="H138" s="126" cm="1">
        <f t="array" ref="H138">_xll.EQNXTDZ($A$1,$B138,H$1,$B$1)</f>
        <v>0</v>
      </c>
      <c r="I138" s="126" cm="1">
        <f t="array" ref="I138">_xll.EQNXTDZ($A$1,$B138,I$1,$B$1)</f>
        <v>0</v>
      </c>
      <c r="J138" s="126" cm="1">
        <f t="array" ref="J138">_xll.EQNXTDZ($A$1,$B138,J$1,$B$1)</f>
        <v>9.6572665281774697</v>
      </c>
      <c r="K138" s="126" cm="1">
        <f t="array" ref="K138">_xll.EQNXTDZ($A$1,$B138,K$1,$B$1)</f>
        <v>8.7734675116897005</v>
      </c>
      <c r="L138" s="126" cm="1">
        <f t="array" ref="L138">_xll.EQNXTDZ($A$1,$B138,L$1,$B$1)</f>
        <v>9.7180155037283207</v>
      </c>
      <c r="M138" s="126" cm="1">
        <f t="array" ref="M138">_xll.EQNXTDZ($A$1,$B138,M$1,$B$1)</f>
        <v>17.531860487393502</v>
      </c>
      <c r="N138" s="126" cm="1">
        <f t="array" ref="N138">_xll.EQNXTDZ($A$1,$B138,N$1,$B$1)</f>
        <v>18.771827281361901</v>
      </c>
      <c r="O138" s="126" cm="1">
        <f t="array" ref="O138">_xll.EQNXTDZ($A$1,$B138,O$1,$B$1)</f>
        <v>21.265671787131499</v>
      </c>
      <c r="P138" s="126" cm="1">
        <f t="array" ref="P138">_xll.EQNXTDZ($A$1,$B138,P$1,$B$1)</f>
        <v>31.698296836983001</v>
      </c>
      <c r="Q138" s="126" cm="1">
        <f t="array" ref="Q138">_xll.EQNXTDZ($A$1,$B138,Q$1,$B$1)</f>
        <v>44.678542324903098</v>
      </c>
      <c r="R138" s="126" cm="1">
        <f t="array" ref="R138">_xll.EQNXTDZ($A$1,$B138,R$1,$B$1)</f>
        <v>50.870502877872497</v>
      </c>
      <c r="S138" s="126" cm="1">
        <f t="array" ref="S138">_xll.EQNXTDZ($A$1,$B138,S$1,$B$1)</f>
        <v>68.733851122731494</v>
      </c>
      <c r="T138" s="126" cm="1">
        <f t="array" ref="T138">_xll.EQNXTDZ($A$1,$B138,T$1,$B$1)</f>
        <v>76.857485886530199</v>
      </c>
      <c r="U138" s="126" cm="1">
        <f t="array" ref="U138">_xll.EQNXTDZ($A$1,$B138,U$1,$B$1)</f>
        <v>90.877434135166098</v>
      </c>
      <c r="V138" s="126" cm="1">
        <f t="array" ref="V138">_xll.EQNXTDZ($A$1,$B138,V$1,$B$1)</f>
        <v>101.175499631783</v>
      </c>
      <c r="W138" s="126" cm="1">
        <f t="array" ref="W138">_xll.EQNXTDZ($A$1,$B138,W$1,$B$1)</f>
        <v>106.22625730179</v>
      </c>
      <c r="X138" s="126" cm="1">
        <f t="array" ref="X138">_xll.EQNXTDZ($A$1,$B138,X$1,$B$1)</f>
        <v>120.239360356257</v>
      </c>
      <c r="Y138" s="126" cm="1">
        <f t="array" ref="Y138">_xll.EQNXTDZ($A$1,$B138,Y$1,$B$1)</f>
        <v>144.01516300227399</v>
      </c>
      <c r="Z138" s="126" cm="1">
        <f t="array" ref="Z138">_xll.EQNXTDZ($A$1,$B138,Z$1,$B$1)</f>
        <v>172.41</v>
      </c>
      <c r="AA138" s="126" cm="1">
        <f t="array" ref="AA138">_xll.EQNXTDZ($A$1,$B138,AA$1,$B$1)</f>
        <v>197.4717</v>
      </c>
      <c r="AB138" s="126" cm="1">
        <f t="array" ref="AB138">_xll.EQNXTDZ($A$1,$B138,AB$1,$B$1)</f>
        <v>247.17609999999999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0</v>
      </c>
      <c r="D139" s="126" cm="1">
        <f t="array" ref="D139">_xll.EQNXTDZ($A$1,$B139,D$1,$B$1)</f>
        <v>0</v>
      </c>
      <c r="E139" s="126" cm="1">
        <f t="array" ref="E139">_xll.EQNXTDZ($A$1,$B139,E$1,$B$1)</f>
        <v>0</v>
      </c>
      <c r="F139" s="126" cm="1">
        <f t="array" ref="F139">_xll.EQNXTDZ($A$1,$B139,F$1,$B$1)</f>
        <v>0</v>
      </c>
      <c r="G139" s="126" cm="1">
        <f t="array" ref="G139">_xll.EQNXTDZ($A$1,$B139,G$1,$B$1)</f>
        <v>0</v>
      </c>
      <c r="H139" s="126" cm="1">
        <f t="array" ref="H139">_xll.EQNXTDZ($A$1,$B139,H$1,$B$1)</f>
        <v>0</v>
      </c>
      <c r="I139" s="126" cm="1">
        <f t="array" ref="I139">_xll.EQNXTDZ($A$1,$B139,I$1,$B$1)</f>
        <v>0</v>
      </c>
      <c r="J139" s="126" cm="1">
        <f t="array" ref="J139">_xll.EQNXTDZ($A$1,$B139,J$1,$B$1)</f>
        <v>0</v>
      </c>
      <c r="K139" s="126" cm="1">
        <f t="array" ref="K139">_xll.EQNXTDZ($A$1,$B139,K$1,$B$1)</f>
        <v>90</v>
      </c>
      <c r="L139" s="126" cm="1">
        <f t="array" ref="L139">_xll.EQNXTDZ($A$1,$B139,L$1,$B$1)</f>
        <v>450.10510859999999</v>
      </c>
      <c r="M139" s="126" cm="1">
        <f t="array" ref="M139">_xll.EQNXTDZ($A$1,$B139,M$1,$B$1)</f>
        <v>668.46222969999997</v>
      </c>
      <c r="N139" s="126" cm="1">
        <f t="array" ref="N139">_xll.EQNXTDZ($A$1,$B139,N$1,$B$1)</f>
        <v>3034.27</v>
      </c>
      <c r="O139" s="126" cm="1">
        <f t="array" ref="O139">_xll.EQNXTDZ($A$1,$B139,O$1,$B$1)</f>
        <v>7153.51</v>
      </c>
      <c r="P139" s="126" cm="1">
        <f t="array" ref="P139">_xll.EQNXTDZ($A$1,$B139,P$1,$B$1)</f>
        <v>11075</v>
      </c>
      <c r="Q139" s="126" cm="1">
        <f t="array" ref="Q139">_xll.EQNXTDZ($A$1,$B139,Q$1,$B$1)</f>
        <v>15277.97</v>
      </c>
      <c r="R139" s="126" cm="1">
        <f t="array" ref="R139">_xll.EQNXTDZ($A$1,$B139,R$1,$B$1)</f>
        <v>19612.150000000001</v>
      </c>
      <c r="S139" s="126" cm="1">
        <f t="array" ref="S139">_xll.EQNXTDZ($A$1,$B139,S$1,$B$1)</f>
        <v>25587.05</v>
      </c>
      <c r="T139" s="126" cm="1">
        <f t="array" ref="T139">_xll.EQNXTDZ($A$1,$B139,T$1,$B$1)</f>
        <v>35753.449999999997</v>
      </c>
      <c r="U139" s="126" cm="1">
        <f t="array" ref="U139">_xll.EQNXTDZ($A$1,$B139,U$1,$B$1)</f>
        <v>45105.1</v>
      </c>
      <c r="V139" s="126" cm="1">
        <f t="array" ref="V139">_xll.EQNXTDZ($A$1,$B139,V$1,$B$1)</f>
        <v>49804.09</v>
      </c>
      <c r="W139" s="126" cm="1">
        <f t="array" ref="W139">_xll.EQNXTDZ($A$1,$B139,W$1,$B$1)</f>
        <v>50358.75</v>
      </c>
      <c r="X139" s="126" cm="1">
        <f t="array" ref="X139">_xll.EQNXTDZ($A$1,$B139,X$1,$B$1)</f>
        <v>48973.08</v>
      </c>
      <c r="Y139" s="126" cm="1">
        <f t="array" ref="Y139">_xll.EQNXTDZ($A$1,$B139,Y$1,$B$1)</f>
        <v>54865.31</v>
      </c>
      <c r="Z139" s="126" cm="1">
        <f t="array" ref="Z139">_xll.EQNXTDZ($A$1,$B139,Z$1,$B$1)</f>
        <v>74330.67</v>
      </c>
      <c r="AA139" s="126" cm="1">
        <f t="array" ref="AA139">_xll.EQNXTDZ($A$1,$B139,AA$1,$B$1)</f>
        <v>89682.37</v>
      </c>
      <c r="AB139" s="126" cm="1">
        <f t="array" ref="AB139">_xll.EQNXTDZ($A$1,$B139,AB$1,$B$1)</f>
        <v>99230.05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0</v>
      </c>
      <c r="D142" s="126" cm="1">
        <f t="array" ref="D142">_xll.EQNXTDZ($A$1,$B142,D$1,$B$1)</f>
        <v>0</v>
      </c>
      <c r="E142" s="126" cm="1">
        <f t="array" ref="E142">_xll.EQNXTDZ($A$1,$B142,E$1,$B$1)</f>
        <v>0</v>
      </c>
      <c r="F142" s="126" cm="1">
        <f t="array" ref="F142">_xll.EQNXTDZ($A$1,$B142,F$1,$B$1)</f>
        <v>0</v>
      </c>
      <c r="G142" s="126" cm="1">
        <f t="array" ref="G142">_xll.EQNXTDZ($A$1,$B142,G$1,$B$1)</f>
        <v>0</v>
      </c>
      <c r="H142" s="126" cm="1">
        <f t="array" ref="H142">_xll.EQNXTDZ($A$1,$B142,H$1,$B$1)</f>
        <v>0</v>
      </c>
      <c r="I142" s="126" cm="1">
        <f t="array" ref="I142">_xll.EQNXTDZ($A$1,$B142,I$1,$B$1)</f>
        <v>0</v>
      </c>
      <c r="J142" s="126" cm="1">
        <f t="array" ref="J142">_xll.EQNXTDZ($A$1,$B142,J$1,$B$1)</f>
        <v>104.94199999999999</v>
      </c>
      <c r="K142" s="126" cm="1">
        <f t="array" ref="K142">_xll.EQNXTDZ($A$1,$B142,K$1,$B$1)</f>
        <v>105.00700000000001</v>
      </c>
      <c r="L142" s="126" cm="1">
        <f t="array" ref="L142">_xll.EQNXTDZ($A$1,$B142,L$1,$B$1)</f>
        <v>105.00700000000001</v>
      </c>
      <c r="M142" s="126" cm="1">
        <f t="array" ref="M142">_xll.EQNXTDZ($A$1,$B142,M$1,$B$1)</f>
        <v>410.26400000000001</v>
      </c>
      <c r="N142" s="126" cm="1">
        <f t="array" ref="N142">_xll.EQNXTDZ($A$1,$B142,N$1,$B$1)</f>
        <v>410.61</v>
      </c>
      <c r="O142" s="126" cm="1">
        <f t="array" ref="O142">_xll.EQNXTDZ($A$1,$B142,O$1,$B$1)</f>
        <v>410.77</v>
      </c>
      <c r="P142" s="126" cm="1">
        <f t="array" ref="P142">_xll.EQNXTDZ($A$1,$B142,P$1,$B$1)</f>
        <v>513.75</v>
      </c>
      <c r="Q142" s="126" cm="1">
        <f t="array" ref="Q142">_xll.EQNXTDZ($A$1,$B142,Q$1,$B$1)</f>
        <v>699.47</v>
      </c>
      <c r="R142" s="126" cm="1">
        <f t="array" ref="R142">_xll.EQNXTDZ($A$1,$B142,R$1,$B$1)</f>
        <v>700.17</v>
      </c>
      <c r="S142" s="126" cm="1">
        <f t="array" ref="S142">_xll.EQNXTDZ($A$1,$B142,S$1,$B$1)</f>
        <v>780.24</v>
      </c>
      <c r="T142" s="126" cm="1">
        <f t="array" ref="T142">_xll.EQNXTDZ($A$1,$B142,T$1,$B$1)</f>
        <v>782.94</v>
      </c>
      <c r="U142" s="126" cm="1">
        <f t="array" ref="U142">_xll.EQNXTDZ($A$1,$B142,U$1,$B$1)</f>
        <v>785.7</v>
      </c>
      <c r="V142" s="126" cm="1">
        <f t="array" ref="V142">_xll.EQNXTDZ($A$1,$B142,V$1,$B$1)</f>
        <v>787.58</v>
      </c>
      <c r="W142" s="126" cm="1">
        <f t="array" ref="W142">_xll.EQNXTDZ($A$1,$B142,W$1,$B$1)</f>
        <v>789.19</v>
      </c>
      <c r="X142" s="126" cm="1">
        <f t="array" ref="X142">_xll.EQNXTDZ($A$1,$B142,X$1,$B$1)</f>
        <v>790.44</v>
      </c>
      <c r="Y142" s="126" cm="1">
        <f t="array" ref="Y142">_xll.EQNXTDZ($A$1,$B142,Y$1,$B$1)</f>
        <v>791.4</v>
      </c>
      <c r="Z142" s="126" cm="1">
        <f t="array" ref="Z142">_xll.EQNXTDZ($A$1,$B142,Z$1,$B$1)</f>
        <v>793.08</v>
      </c>
      <c r="AA142" s="126" cm="1">
        <f t="array" ref="AA142">_xll.EQNXTDZ($A$1,$B142,AA$1,$B$1)</f>
        <v>795.78</v>
      </c>
      <c r="AB142" s="126" cm="1">
        <f t="array" ref="AB142">_xll.EQNXTDZ($A$1,$B142,AB$1,$B$1)</f>
        <v>830.33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0</v>
      </c>
      <c r="D144" s="126" cm="1">
        <f t="array" ref="D144">_xll.EQNXTDZ($A$1,$B144,D$1,$B$1)</f>
        <v>0</v>
      </c>
      <c r="E144" s="126" cm="1">
        <f t="array" ref="E144">_xll.EQNXTDZ($A$1,$B144,E$1,$B$1)</f>
        <v>0</v>
      </c>
      <c r="F144" s="126" cm="1">
        <f t="array" ref="F144">_xll.EQNXTDZ($A$1,$B144,F$1,$B$1)</f>
        <v>0</v>
      </c>
      <c r="G144" s="126" cm="1">
        <f t="array" ref="G144">_xll.EQNXTDZ($A$1,$B144,G$1,$B$1)</f>
        <v>0</v>
      </c>
      <c r="H144" s="126" cm="1">
        <f t="array" ref="H144">_xll.EQNXTDZ($A$1,$B144,H$1,$B$1)</f>
        <v>0</v>
      </c>
      <c r="I144" s="126" cm="1">
        <f t="array" ref="I144">_xll.EQNXTDZ($A$1,$B144,I$1,$B$1)</f>
        <v>0</v>
      </c>
      <c r="J144" s="126" cm="1">
        <f t="array" ref="J144">_xll.EQNXTDZ($A$1,$B144,J$1,$B$1)</f>
        <v>-3.5967136000000002</v>
      </c>
      <c r="K144" s="126" cm="1">
        <f t="array" ref="K144">_xll.EQNXTDZ($A$1,$B144,K$1,$B$1)</f>
        <v>-12.8794497</v>
      </c>
      <c r="L144" s="126" cm="1">
        <f t="array" ref="L144">_xll.EQNXTDZ($A$1,$B144,L$1,$B$1)</f>
        <v>-2.9610346000000001</v>
      </c>
      <c r="M144" s="126" cm="1">
        <f t="array" ref="M144">_xll.EQNXTDZ($A$1,$B144,M$1,$B$1)</f>
        <v>309.0051211</v>
      </c>
      <c r="N144" s="126" cm="1">
        <f t="array" ref="N144">_xll.EQNXTDZ($A$1,$B144,N$1,$B$1)</f>
        <v>360.18</v>
      </c>
      <c r="O144" s="126" cm="1">
        <f t="array" ref="O144">_xll.EQNXTDZ($A$1,$B144,O$1,$B$1)</f>
        <v>462.76</v>
      </c>
      <c r="P144" s="126" cm="1">
        <f t="array" ref="P144">_xll.EQNXTDZ($A$1,$B144,P$1,$B$1)</f>
        <v>1114.75</v>
      </c>
      <c r="Q144" s="126" cm="1">
        <f t="array" ref="Q144">_xll.EQNXTDZ($A$1,$B144,Q$1,$B$1)</f>
        <v>2425.66</v>
      </c>
      <c r="R144" s="126" cm="1">
        <f t="array" ref="R144">_xll.EQNXTDZ($A$1,$B144,R$1,$B$1)</f>
        <v>2861.63</v>
      </c>
      <c r="S144" s="126" cm="1">
        <f t="array" ref="S144">_xll.EQNXTDZ($A$1,$B144,S$1,$B$1)</f>
        <v>4582.6499999999996</v>
      </c>
      <c r="T144" s="126" cm="1">
        <f t="array" ref="T144">_xll.EQNXTDZ($A$1,$B144,T$1,$B$1)</f>
        <v>5234.54</v>
      </c>
      <c r="U144" s="126" cm="1">
        <f t="array" ref="U144">_xll.EQNXTDZ($A$1,$B144,U$1,$B$1)</f>
        <v>6354.54</v>
      </c>
      <c r="V144" s="126" cm="1">
        <f t="array" ref="V144">_xll.EQNXTDZ($A$1,$B144,V$1,$B$1)</f>
        <v>7180.8</v>
      </c>
      <c r="W144" s="126" cm="1">
        <f t="array" ref="W144">_xll.EQNXTDZ($A$1,$B144,W$1,$B$1)</f>
        <v>7594.08</v>
      </c>
      <c r="X144" s="126" cm="1">
        <f t="array" ref="X144">_xll.EQNXTDZ($A$1,$B144,X$1,$B$1)</f>
        <v>8713.76</v>
      </c>
      <c r="Y144" s="126" cm="1">
        <f t="array" ref="Y144">_xll.EQNXTDZ($A$1,$B144,Y$1,$B$1)</f>
        <v>10605.96</v>
      </c>
      <c r="Z144" s="126" cm="1">
        <f t="array" ref="Z144">_xll.EQNXTDZ($A$1,$B144,Z$1,$B$1)</f>
        <v>12880.41</v>
      </c>
      <c r="AA144" s="126" cm="1">
        <f t="array" ref="AA144">_xll.EQNXTDZ($A$1,$B144,AA$1,$B$1)</f>
        <v>14918.62</v>
      </c>
      <c r="AB144" s="126" cm="1">
        <f t="array" ref="AB144">_xll.EQNXTDZ($A$1,$B144,AB$1,$B$1)</f>
        <v>19693.439999999999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0</v>
      </c>
      <c r="D145" s="126" cm="1">
        <f t="array" ref="D145">_xll.EQNXTDZ($A$1,$B145,D$1,$B$1)</f>
        <v>0</v>
      </c>
      <c r="E145" s="126" cm="1">
        <f t="array" ref="E145">_xll.EQNXTDZ($A$1,$B145,E$1,$B$1)</f>
        <v>0</v>
      </c>
      <c r="F145" s="126" cm="1">
        <f t="array" ref="F145">_xll.EQNXTDZ($A$1,$B145,F$1,$B$1)</f>
        <v>0</v>
      </c>
      <c r="G145" s="126" cm="1">
        <f t="array" ref="G145">_xll.EQNXTDZ($A$1,$B145,G$1,$B$1)</f>
        <v>0</v>
      </c>
      <c r="H145" s="126" cm="1">
        <f t="array" ref="H145">_xll.EQNXTDZ($A$1,$B145,H$1,$B$1)</f>
        <v>0</v>
      </c>
      <c r="I145" s="126" cm="1">
        <f t="array" ref="I145">_xll.EQNXTDZ($A$1,$B145,I$1,$B$1)</f>
        <v>0</v>
      </c>
      <c r="J145" s="126" cm="1">
        <f t="array" ref="J145">_xll.EQNXTDZ($A$1,$B145,J$1,$B$1)</f>
        <v>0</v>
      </c>
      <c r="K145" s="126" cm="1">
        <f t="array" ref="K145">_xll.EQNXTDZ($A$1,$B145,K$1,$B$1)</f>
        <v>0</v>
      </c>
      <c r="L145" s="126" cm="1">
        <f t="array" ref="L145">_xll.EQNXTDZ($A$1,$B145,L$1,$B$1)</f>
        <v>0</v>
      </c>
      <c r="M145" s="126" cm="1">
        <f t="array" ref="M145">_xll.EQNXTDZ($A$1,$B145,M$1,$B$1)</f>
        <v>0</v>
      </c>
      <c r="N145" s="126" cm="1">
        <f t="array" ref="N145">_xll.EQNXTDZ($A$1,$B145,N$1,$B$1)</f>
        <v>0</v>
      </c>
      <c r="O145" s="126" cm="1">
        <f t="array" ref="O145">_xll.EQNXTDZ($A$1,$B145,O$1,$B$1)</f>
        <v>0</v>
      </c>
      <c r="P145" s="126" cm="1">
        <f t="array" ref="P145">_xll.EQNXTDZ($A$1,$B145,P$1,$B$1)</f>
        <v>0</v>
      </c>
      <c r="Q145" s="126" cm="1">
        <f t="array" ref="Q145">_xll.EQNXTDZ($A$1,$B145,Q$1,$B$1)</f>
        <v>0</v>
      </c>
      <c r="R145" s="126" cm="1">
        <f t="array" ref="R145">_xll.EQNXTDZ($A$1,$B145,R$1,$B$1)</f>
        <v>0</v>
      </c>
      <c r="S145" s="126" cm="1">
        <f t="array" ref="S145">_xll.EQNXTDZ($A$1,$B145,S$1,$B$1)</f>
        <v>0</v>
      </c>
      <c r="T145" s="126" cm="1">
        <f t="array" ref="T145">_xll.EQNXTDZ($A$1,$B145,T$1,$B$1)</f>
        <v>0</v>
      </c>
      <c r="U145" s="126" cm="1">
        <f t="array" ref="U145">_xll.EQNXTDZ($A$1,$B145,U$1,$B$1)</f>
        <v>0</v>
      </c>
      <c r="V145" s="126" cm="1">
        <f t="array" ref="V145">_xll.EQNXTDZ($A$1,$B145,V$1,$B$1)</f>
        <v>0</v>
      </c>
      <c r="W145" s="126" cm="1">
        <f t="array" ref="W145">_xll.EQNXTDZ($A$1,$B145,W$1,$B$1)</f>
        <v>0</v>
      </c>
      <c r="X145" s="126" cm="1">
        <f t="array" ref="X145">_xll.EQNXTDZ($A$1,$B145,X$1,$B$1)</f>
        <v>0</v>
      </c>
      <c r="Y145" s="126" cm="1">
        <f t="array" ref="Y145">_xll.EQNXTDZ($A$1,$B145,Y$1,$B$1)</f>
        <v>0</v>
      </c>
      <c r="Z145" s="126" cm="1">
        <f t="array" ref="Z145">_xll.EQNXTDZ($A$1,$B145,Z$1,$B$1)</f>
        <v>0</v>
      </c>
      <c r="AA145" s="126" cm="1">
        <f t="array" ref="AA145">_xll.EQNXTDZ($A$1,$B145,AA$1,$B$1)</f>
        <v>0</v>
      </c>
      <c r="AB145" s="126" cm="1">
        <f t="array" ref="AB145">_xll.EQNXTDZ($A$1,$B145,AB$1,$B$1)</f>
        <v>560.04999999999995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0</v>
      </c>
      <c r="D146" s="126" cm="1">
        <f t="array" ref="D146">_xll.EQNXTDZ($A$1,$B146,D$1,$B$1)</f>
        <v>0</v>
      </c>
      <c r="E146" s="126" cm="1">
        <f t="array" ref="E146">_xll.EQNXTDZ($A$1,$B146,E$1,$B$1)</f>
        <v>0</v>
      </c>
      <c r="F146" s="126" cm="1">
        <f t="array" ref="F146">_xll.EQNXTDZ($A$1,$B146,F$1,$B$1)</f>
        <v>0</v>
      </c>
      <c r="G146" s="126" cm="1">
        <f t="array" ref="G146">_xll.EQNXTDZ($A$1,$B146,G$1,$B$1)</f>
        <v>0</v>
      </c>
      <c r="H146" s="126" cm="1">
        <f t="array" ref="H146">_xll.EQNXTDZ($A$1,$B146,H$1,$B$1)</f>
        <v>0</v>
      </c>
      <c r="I146" s="126" cm="1">
        <f t="array" ref="I146">_xll.EQNXTDZ($A$1,$B146,I$1,$B$1)</f>
        <v>0</v>
      </c>
      <c r="J146" s="126" cm="1">
        <f t="array" ref="J146">_xll.EQNXTDZ($A$1,$B146,J$1,$B$1)</f>
        <v>0</v>
      </c>
      <c r="K146" s="126" cm="1">
        <f t="array" ref="K146">_xll.EQNXTDZ($A$1,$B146,K$1,$B$1)</f>
        <v>0</v>
      </c>
      <c r="L146" s="126" cm="1">
        <f t="array" ref="L146">_xll.EQNXTDZ($A$1,$B146,L$1,$B$1)</f>
        <v>0</v>
      </c>
      <c r="M146" s="126" cm="1">
        <f t="array" ref="M146">_xll.EQNXTDZ($A$1,$B146,M$1,$B$1)</f>
        <v>0</v>
      </c>
      <c r="N146" s="126" cm="1">
        <f t="array" ref="N146">_xll.EQNXTDZ($A$1,$B146,N$1,$B$1)</f>
        <v>0</v>
      </c>
      <c r="O146" s="126" cm="1">
        <f t="array" ref="O146">_xll.EQNXTDZ($A$1,$B146,O$1,$B$1)</f>
        <v>0</v>
      </c>
      <c r="P146" s="126" cm="1">
        <f t="array" ref="P146">_xll.EQNXTDZ($A$1,$B146,P$1,$B$1)</f>
        <v>0</v>
      </c>
      <c r="Q146" s="126" cm="1">
        <f t="array" ref="Q146">_xll.EQNXTDZ($A$1,$B146,Q$1,$B$1)</f>
        <v>0</v>
      </c>
      <c r="R146" s="126" cm="1">
        <f t="array" ref="R146">_xll.EQNXTDZ($A$1,$B146,R$1,$B$1)</f>
        <v>0</v>
      </c>
      <c r="S146" s="126" cm="1">
        <f t="array" ref="S146">_xll.EQNXTDZ($A$1,$B146,S$1,$B$1)</f>
        <v>0</v>
      </c>
      <c r="T146" s="126" cm="1">
        <f t="array" ref="T146">_xll.EQNXTDZ($A$1,$B146,T$1,$B$1)</f>
        <v>0</v>
      </c>
      <c r="U146" s="126" cm="1">
        <f t="array" ref="U146">_xll.EQNXTDZ($A$1,$B146,U$1,$B$1)</f>
        <v>0</v>
      </c>
      <c r="V146" s="126" cm="1">
        <f t="array" ref="V146">_xll.EQNXTDZ($A$1,$B146,V$1,$B$1)</f>
        <v>0</v>
      </c>
      <c r="W146" s="126" cm="1">
        <f t="array" ref="W146">_xll.EQNXTDZ($A$1,$B146,W$1,$B$1)</f>
        <v>0</v>
      </c>
      <c r="X146" s="126" cm="1">
        <f t="array" ref="X146">_xll.EQNXTDZ($A$1,$B146,X$1,$B$1)</f>
        <v>0</v>
      </c>
      <c r="Y146" s="126" cm="1">
        <f t="array" ref="Y146">_xll.EQNXTDZ($A$1,$B146,Y$1,$B$1)</f>
        <v>0</v>
      </c>
      <c r="Z146" s="126" cm="1">
        <f t="array" ref="Z146">_xll.EQNXTDZ($A$1,$B146,Z$1,$B$1)</f>
        <v>0</v>
      </c>
      <c r="AA146" s="126" cm="1">
        <f t="array" ref="AA146">_xll.EQNXTDZ($A$1,$B146,AA$1,$B$1)</f>
        <v>0</v>
      </c>
      <c r="AB146" s="126" cm="1">
        <f t="array" ref="AB146">_xll.EQNXTDZ($A$1,$B146,AB$1,$B$1)</f>
        <v>891.65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0</v>
      </c>
      <c r="D147" s="126" cm="1">
        <f t="array" ref="D147">_xll.EQNXTDZ($A$1,$B147,D$1,$B$1)</f>
        <v>0</v>
      </c>
      <c r="E147" s="126" cm="1">
        <f t="array" ref="E147">_xll.EQNXTDZ($A$1,$B147,E$1,$B$1)</f>
        <v>0</v>
      </c>
      <c r="F147" s="126" cm="1">
        <f t="array" ref="F147">_xll.EQNXTDZ($A$1,$B147,F$1,$B$1)</f>
        <v>0</v>
      </c>
      <c r="G147" s="126" cm="1">
        <f t="array" ref="G147">_xll.EQNXTDZ($A$1,$B147,G$1,$B$1)</f>
        <v>0</v>
      </c>
      <c r="H147" s="126" cm="1">
        <f t="array" ref="H147">_xll.EQNXTDZ($A$1,$B147,H$1,$B$1)</f>
        <v>0</v>
      </c>
      <c r="I147" s="126" cm="1">
        <f t="array" ref="I147">_xll.EQNXTDZ($A$1,$B147,I$1,$B$1)</f>
        <v>0</v>
      </c>
      <c r="J147" s="126" cm="1">
        <f t="array" ref="J147">_xll.EQNXTDZ($A$1,$B147,J$1,$B$1)</f>
        <v>0</v>
      </c>
      <c r="K147" s="126" cm="1">
        <f t="array" ref="K147">_xll.EQNXTDZ($A$1,$B147,K$1,$B$1)</f>
        <v>0</v>
      </c>
      <c r="L147" s="126" cm="1">
        <f t="array" ref="L147">_xll.EQNXTDZ($A$1,$B147,L$1,$B$1)</f>
        <v>0</v>
      </c>
      <c r="M147" s="126" cm="1">
        <f t="array" ref="M147">_xll.EQNXTDZ($A$1,$B147,M$1,$B$1)</f>
        <v>0</v>
      </c>
      <c r="N147" s="126" cm="1">
        <f t="array" ref="N147">_xll.EQNXTDZ($A$1,$B147,N$1,$B$1)</f>
        <v>0</v>
      </c>
      <c r="O147" s="126" cm="1">
        <f t="array" ref="O147">_xll.EQNXTDZ($A$1,$B147,O$1,$B$1)</f>
        <v>0</v>
      </c>
      <c r="P147" s="126" cm="1">
        <f t="array" ref="P147">_xll.EQNXTDZ($A$1,$B147,P$1,$B$1)</f>
        <v>0</v>
      </c>
      <c r="Q147" s="126" cm="1">
        <f t="array" ref="Q147">_xll.EQNXTDZ($A$1,$B147,Q$1,$B$1)</f>
        <v>0</v>
      </c>
      <c r="R147" s="126" cm="1">
        <f t="array" ref="R147">_xll.EQNXTDZ($A$1,$B147,R$1,$B$1)</f>
        <v>0</v>
      </c>
      <c r="S147" s="126" cm="1">
        <f t="array" ref="S147">_xll.EQNXTDZ($A$1,$B147,S$1,$B$1)</f>
        <v>0</v>
      </c>
      <c r="T147" s="126" cm="1">
        <f t="array" ref="T147">_xll.EQNXTDZ($A$1,$B147,T$1,$B$1)</f>
        <v>0</v>
      </c>
      <c r="U147" s="126" cm="1">
        <f t="array" ref="U147">_xll.EQNXTDZ($A$1,$B147,U$1,$B$1)</f>
        <v>0</v>
      </c>
      <c r="V147" s="126" cm="1">
        <f t="array" ref="V147">_xll.EQNXTDZ($A$1,$B147,V$1,$B$1)</f>
        <v>0</v>
      </c>
      <c r="W147" s="126" cm="1">
        <f t="array" ref="W147">_xll.EQNXTDZ($A$1,$B147,W$1,$B$1)</f>
        <v>0</v>
      </c>
      <c r="X147" s="126" cm="1">
        <f t="array" ref="X147">_xll.EQNXTDZ($A$1,$B147,X$1,$B$1)</f>
        <v>0</v>
      </c>
      <c r="Y147" s="126" cm="1">
        <f t="array" ref="Y147">_xll.EQNXTDZ($A$1,$B147,Y$1,$B$1)</f>
        <v>0</v>
      </c>
      <c r="Z147" s="126" cm="1">
        <f t="array" ref="Z147">_xll.EQNXTDZ($A$1,$B147,Z$1,$B$1)</f>
        <v>0</v>
      </c>
      <c r="AA147" s="126" cm="1">
        <f t="array" ref="AA147">_xll.EQNXTDZ($A$1,$B147,AA$1,$B$1)</f>
        <v>0</v>
      </c>
      <c r="AB147" s="126" cm="1">
        <f t="array" ref="AB147">_xll.EQNXTDZ($A$1,$B147,AB$1,$B$1)</f>
        <v>557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0</v>
      </c>
      <c r="D148" s="126" cm="1">
        <f t="array" ref="D148">_xll.EQNXTDZ($A$1,$B148,D$1,$B$1)</f>
        <v>0</v>
      </c>
      <c r="E148" s="126" cm="1">
        <f t="array" ref="E148">_xll.EQNXTDZ($A$1,$B148,E$1,$B$1)</f>
        <v>0</v>
      </c>
      <c r="F148" s="126" cm="1">
        <f t="array" ref="F148">_xll.EQNXTDZ($A$1,$B148,F$1,$B$1)</f>
        <v>0</v>
      </c>
      <c r="G148" s="126" cm="1">
        <f t="array" ref="G148">_xll.EQNXTDZ($A$1,$B148,G$1,$B$1)</f>
        <v>0</v>
      </c>
      <c r="H148" s="126" cm="1">
        <f t="array" ref="H148">_xll.EQNXTDZ($A$1,$B148,H$1,$B$1)</f>
        <v>0</v>
      </c>
      <c r="I148" s="126" cm="1">
        <f t="array" ref="I148">_xll.EQNXTDZ($A$1,$B148,I$1,$B$1)</f>
        <v>0</v>
      </c>
      <c r="J148" s="126" cm="1">
        <f t="array" ref="J148">_xll.EQNXTDZ($A$1,$B148,J$1,$B$1)</f>
        <v>0</v>
      </c>
      <c r="K148" s="126" cm="1">
        <f t="array" ref="K148">_xll.EQNXTDZ($A$1,$B148,K$1,$B$1)</f>
        <v>0</v>
      </c>
      <c r="L148" s="126" cm="1">
        <f t="array" ref="L148">_xll.EQNXTDZ($A$1,$B148,L$1,$B$1)</f>
        <v>0</v>
      </c>
      <c r="M148" s="126" cm="1">
        <f t="array" ref="M148">_xll.EQNXTDZ($A$1,$B148,M$1,$B$1)</f>
        <v>0</v>
      </c>
      <c r="N148" s="126" cm="1">
        <f t="array" ref="N148">_xll.EQNXTDZ($A$1,$B148,N$1,$B$1)</f>
        <v>0</v>
      </c>
      <c r="O148" s="126" cm="1">
        <f t="array" ref="O148">_xll.EQNXTDZ($A$1,$B148,O$1,$B$1)</f>
        <v>0</v>
      </c>
      <c r="P148" s="126" cm="1">
        <f t="array" ref="P148">_xll.EQNXTDZ($A$1,$B148,P$1,$B$1)</f>
        <v>0</v>
      </c>
      <c r="Q148" s="126" cm="1">
        <f t="array" ref="Q148">_xll.EQNXTDZ($A$1,$B148,Q$1,$B$1)</f>
        <v>0</v>
      </c>
      <c r="R148" s="126" cm="1">
        <f t="array" ref="R148">_xll.EQNXTDZ($A$1,$B148,R$1,$B$1)</f>
        <v>0</v>
      </c>
      <c r="S148" s="126" cm="1">
        <f t="array" ref="S148">_xll.EQNXTDZ($A$1,$B148,S$1,$B$1)</f>
        <v>0</v>
      </c>
      <c r="T148" s="126" cm="1">
        <f t="array" ref="T148">_xll.EQNXTDZ($A$1,$B148,T$1,$B$1)</f>
        <v>0</v>
      </c>
      <c r="U148" s="126" cm="1">
        <f t="array" ref="U148">_xll.EQNXTDZ($A$1,$B148,U$1,$B$1)</f>
        <v>0</v>
      </c>
      <c r="V148" s="126" cm="1">
        <f t="array" ref="V148">_xll.EQNXTDZ($A$1,$B148,V$1,$B$1)</f>
        <v>0</v>
      </c>
      <c r="W148" s="126" cm="1">
        <f t="array" ref="W148">_xll.EQNXTDZ($A$1,$B148,W$1,$B$1)</f>
        <v>0</v>
      </c>
      <c r="X148" s="126" cm="1">
        <f t="array" ref="X148">_xll.EQNXTDZ($A$1,$B148,X$1,$B$1)</f>
        <v>0</v>
      </c>
      <c r="Y148" s="126" cm="1">
        <f t="array" ref="Y148">_xll.EQNXTDZ($A$1,$B148,Y$1,$B$1)</f>
        <v>0</v>
      </c>
      <c r="Z148" s="126" cm="1">
        <f t="array" ref="Z148">_xll.EQNXTDZ($A$1,$B148,Z$1,$B$1)</f>
        <v>0</v>
      </c>
      <c r="AA148" s="126" cm="1">
        <f t="array" ref="AA148">_xll.EQNXTDZ($A$1,$B148,AA$1,$B$1)</f>
        <v>0</v>
      </c>
      <c r="AB148" s="126" cm="1">
        <f t="array" ref="AB148">_xll.EQNXTDZ($A$1,$B148,AB$1,$B$1)</f>
        <v>46502.631650000003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0</v>
      </c>
      <c r="D149" s="126" cm="1">
        <f t="array" ref="D149">_xll.EQNXTDZ($A$1,$B149,D$1,$B$1)</f>
        <v>0</v>
      </c>
      <c r="E149" s="126" cm="1">
        <f t="array" ref="E149">_xll.EQNXTDZ($A$1,$B149,E$1,$B$1)</f>
        <v>0</v>
      </c>
      <c r="F149" s="126" cm="1">
        <f t="array" ref="F149">_xll.EQNXTDZ($A$1,$B149,F$1,$B$1)</f>
        <v>0</v>
      </c>
      <c r="G149" s="126" cm="1">
        <f t="array" ref="G149">_xll.EQNXTDZ($A$1,$B149,G$1,$B$1)</f>
        <v>0</v>
      </c>
      <c r="H149" s="126" cm="1">
        <f t="array" ref="H149">_xll.EQNXTDZ($A$1,$B149,H$1,$B$1)</f>
        <v>0</v>
      </c>
      <c r="I149" s="126" cm="1">
        <f t="array" ref="I149">_xll.EQNXTDZ($A$1,$B149,I$1,$B$1)</f>
        <v>0</v>
      </c>
      <c r="J149" s="126" cm="1">
        <f t="array" ref="J149">_xll.EQNXTDZ($A$1,$B149,J$1,$B$1)</f>
        <v>-0.342733471822531</v>
      </c>
      <c r="K149" s="126" cm="1">
        <f t="array" ref="K149">_xll.EQNXTDZ($A$1,$B149,K$1,$B$1)</f>
        <v>-0.88401117068385904</v>
      </c>
      <c r="L149" s="126" cm="1">
        <f t="array" ref="L149">_xll.EQNXTDZ($A$1,$B149,L$1,$B$1)</f>
        <v>0.94454799203862605</v>
      </c>
      <c r="M149" s="126" cm="1">
        <f t="array" ref="M149">_xll.EQNXTDZ($A$1,$B149,M$1,$B$1)</f>
        <v>0.391464800713687</v>
      </c>
      <c r="N149" s="126" cm="1">
        <f t="array" ref="N149">_xll.EQNXTDZ($A$1,$B149,N$1,$B$1)</f>
        <v>1.24473344536178</v>
      </c>
      <c r="O149" s="126" cm="1">
        <f t="array" ref="O149">_xll.EQNXTDZ($A$1,$B149,O$1,$B$1)</f>
        <v>2.4940964530028999</v>
      </c>
      <c r="P149" s="126" cm="1">
        <f t="array" ref="P149">_xll.EQNXTDZ($A$1,$B149,P$1,$B$1)</f>
        <v>4.07279805352798</v>
      </c>
      <c r="Q149" s="126" cm="1">
        <f t="array" ref="Q149">_xll.EQNXTDZ($A$1,$B149,Q$1,$B$1)</f>
        <v>4.99592548643973</v>
      </c>
      <c r="R149" s="126" cm="1">
        <f t="array" ref="R149">_xll.EQNXTDZ($A$1,$B149,R$1,$B$1)</f>
        <v>7.63257494608452</v>
      </c>
      <c r="S149" s="126" cm="1">
        <f t="array" ref="S149">_xll.EQNXTDZ($A$1,$B149,S$1,$B$1)</f>
        <v>8.7693530195837202</v>
      </c>
      <c r="T149" s="126" cm="1">
        <f t="array" ref="T149">_xll.EQNXTDZ($A$1,$B149,T$1,$B$1)</f>
        <v>11.916877410785</v>
      </c>
      <c r="U149" s="126" cm="1">
        <f t="array" ref="U149">_xll.EQNXTDZ($A$1,$B149,U$1,$B$1)</f>
        <v>14.677866870306699</v>
      </c>
      <c r="V149" s="126" cm="1">
        <f t="array" ref="V149">_xll.EQNXTDZ($A$1,$B149,V$1,$B$1)</f>
        <v>12.758703877701301</v>
      </c>
      <c r="W149" s="126" cm="1">
        <f t="array" ref="W149">_xll.EQNXTDZ($A$1,$B149,W$1,$B$1)</f>
        <v>4.9604024379427001</v>
      </c>
      <c r="X149" s="126" cm="1">
        <f t="array" ref="X149">_xll.EQNXTDZ($A$1,$B149,X$1,$B$1)</f>
        <v>12.7954050908355</v>
      </c>
      <c r="Y149" s="126" cm="1">
        <f t="array" ref="Y149">_xll.EQNXTDZ($A$1,$B149,Y$1,$B$1)</f>
        <v>24.7580237553702</v>
      </c>
      <c r="Z149" s="126" cm="1">
        <f t="array" ref="Z149">_xll.EQNXTDZ($A$1,$B149,Z$1,$B$1)</f>
        <v>31.0289</v>
      </c>
      <c r="AA149" s="126" cm="1">
        <f t="array" ref="AA149">_xll.EQNXTDZ($A$1,$B149,AA$1,$B$1)</f>
        <v>27.3432</v>
      </c>
      <c r="AB149" s="126" cm="1">
        <f t="array" ref="AB149">_xll.EQNXTDZ($A$1,$B149,AB$1,$B$1)</f>
        <v>30.636399999999998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1.4E-2</v>
      </c>
      <c r="L150" s="126" cm="1">
        <f t="array" ref="L150">_xll.EQNXTDZ($A$1,$B150,L$1,$B$1)</f>
        <v>5.0952999999999999</v>
      </c>
      <c r="M150" s="126" cm="1">
        <f t="array" ref="M150">_xll.EQNXTDZ($A$1,$B150,M$1,$B$1)</f>
        <v>4.1377740000000003</v>
      </c>
      <c r="N150" s="126" cm="1">
        <f t="array" ref="N150">_xll.EQNXTDZ($A$1,$B150,N$1,$B$1)</f>
        <v>3.77</v>
      </c>
      <c r="O150" s="126" cm="1">
        <f t="array" ref="O150">_xll.EQNXTDZ($A$1,$B150,O$1,$B$1)</f>
        <v>35.770000000000003</v>
      </c>
      <c r="P150" s="126" cm="1">
        <f t="array" ref="P150">_xll.EQNXTDZ($A$1,$B150,P$1,$B$1)</f>
        <v>107.97</v>
      </c>
      <c r="Q150" s="126" cm="1">
        <f t="array" ref="Q150">_xll.EQNXTDZ($A$1,$B150,Q$1,$B$1)</f>
        <v>160.04</v>
      </c>
      <c r="R150" s="126" cm="1">
        <f t="array" ref="R150">_xll.EQNXTDZ($A$1,$B150,R$1,$B$1)</f>
        <v>299.69</v>
      </c>
      <c r="S150" s="126" cm="1">
        <f t="array" ref="S150">_xll.EQNXTDZ($A$1,$B150,S$1,$B$1)</f>
        <v>468.72</v>
      </c>
      <c r="T150" s="126" cm="1">
        <f t="array" ref="T150">_xll.EQNXTDZ($A$1,$B150,T$1,$B$1)</f>
        <v>737.6</v>
      </c>
      <c r="U150" s="126" cm="1">
        <f t="array" ref="U150">_xll.EQNXTDZ($A$1,$B150,U$1,$B$1)</f>
        <v>1000.39</v>
      </c>
      <c r="V150" s="126" cm="1">
        <f t="array" ref="V150">_xll.EQNXTDZ($A$1,$B150,V$1,$B$1)</f>
        <v>2259.13</v>
      </c>
      <c r="W150" s="126" cm="1">
        <f t="array" ref="W150">_xll.EQNXTDZ($A$1,$B150,W$1,$B$1)</f>
        <v>2760.86</v>
      </c>
      <c r="X150" s="126" cm="1">
        <f t="array" ref="X150">_xll.EQNXTDZ($A$1,$B150,X$1,$B$1)</f>
        <v>3058.76</v>
      </c>
      <c r="Y150" s="126" cm="1">
        <f t="array" ref="Y150">_xll.EQNXTDZ($A$1,$B150,Y$1,$B$1)</f>
        <v>1914.85</v>
      </c>
      <c r="Z150" s="126" cm="1">
        <f t="array" ref="Z150">_xll.EQNXTDZ($A$1,$B150,Z$1,$B$1)</f>
        <v>1711.82</v>
      </c>
      <c r="AA150" s="126" cm="1">
        <f t="array" ref="AA150">_xll.EQNXTDZ($A$1,$B150,AA$1,$B$1)</f>
        <v>2413.71</v>
      </c>
      <c r="AB150" s="126" cm="1">
        <f t="array" ref="AB150">_xll.EQNXTDZ($A$1,$B150,AB$1,$B$1)</f>
        <v>2895.52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7.0000000000000001E-3</v>
      </c>
      <c r="L151" s="126" cm="1">
        <f t="array" ref="L151">_xll.EQNXTDZ($A$1,$B151,L$1,$B$1)</f>
        <v>2.5476000000000001</v>
      </c>
      <c r="M151" s="126" cm="1">
        <f t="array" ref="M151">_xll.EQNXTDZ($A$1,$B151,M$1,$B$1)</f>
        <v>2.2108148000000001</v>
      </c>
      <c r="N151" s="126" cm="1">
        <f t="array" ref="N151">_xll.EQNXTDZ($A$1,$B151,N$1,$B$1)</f>
        <v>1.87</v>
      </c>
      <c r="O151" s="126" cm="1">
        <f t="array" ref="O151">_xll.EQNXTDZ($A$1,$B151,O$1,$B$1)</f>
        <v>20.07</v>
      </c>
      <c r="P151" s="126" cm="1">
        <f t="array" ref="P151">_xll.EQNXTDZ($A$1,$B151,P$1,$B$1)</f>
        <v>56.36</v>
      </c>
      <c r="Q151" s="126" cm="1">
        <f t="array" ref="Q151">_xll.EQNXTDZ($A$1,$B151,Q$1,$B$1)</f>
        <v>90.21</v>
      </c>
      <c r="R151" s="126" cm="1">
        <f t="array" ref="R151">_xll.EQNXTDZ($A$1,$B151,R$1,$B$1)</f>
        <v>176.55</v>
      </c>
      <c r="S151" s="126" cm="1">
        <f t="array" ref="S151">_xll.EQNXTDZ($A$1,$B151,S$1,$B$1)</f>
        <v>269.86</v>
      </c>
      <c r="T151" s="126" cm="1">
        <f t="array" ref="T151">_xll.EQNXTDZ($A$1,$B151,T$1,$B$1)</f>
        <v>493.72</v>
      </c>
      <c r="U151" s="126" cm="1">
        <f t="array" ref="U151">_xll.EQNXTDZ($A$1,$B151,U$1,$B$1)</f>
        <v>678.7</v>
      </c>
      <c r="V151" s="126" cm="1">
        <f t="array" ref="V151">_xll.EQNXTDZ($A$1,$B151,V$1,$B$1)</f>
        <v>1820.53</v>
      </c>
      <c r="W151" s="126" cm="1">
        <f t="array" ref="W151">_xll.EQNXTDZ($A$1,$B151,W$1,$B$1)</f>
        <v>1886.12</v>
      </c>
      <c r="X151" s="126" cm="1">
        <f t="array" ref="X151">_xll.EQNXTDZ($A$1,$B151,X$1,$B$1)</f>
        <v>1402.95</v>
      </c>
      <c r="Y151" s="126" cm="1">
        <f t="array" ref="Y151">_xll.EQNXTDZ($A$1,$B151,Y$1,$B$1)</f>
        <v>668.25</v>
      </c>
      <c r="Z151" s="126" cm="1">
        <f t="array" ref="Z151">_xll.EQNXTDZ($A$1,$B151,Z$1,$B$1)</f>
        <v>567.99</v>
      </c>
      <c r="AA151" s="126" cm="1">
        <f t="array" ref="AA151">_xll.EQNXTDZ($A$1,$B151,AA$1,$B$1)</f>
        <v>1063.1300000000001</v>
      </c>
      <c r="AB151" s="126" cm="1">
        <f t="array" ref="AB151">_xll.EQNXTDZ($A$1,$B151,AB$1,$B$1)</f>
        <v>1287.53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AL74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218756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0</v>
      </c>
      <c r="D5" s="126" cm="1">
        <f t="array" ref="D5">+_xll.EQNXTDZ($A$1,$B5,D$1,$B$1)</f>
        <v>0</v>
      </c>
      <c r="E5" s="126" cm="1">
        <f t="array" ref="E5">+_xll.EQNXTDZ($A$1,$B5,E$1,$B$1)</f>
        <v>0</v>
      </c>
      <c r="F5" s="126" cm="1">
        <f t="array" ref="F5">+_xll.EQNXTDZ($A$1,$B5,F$1,$B$1)</f>
        <v>0</v>
      </c>
      <c r="G5" s="126" cm="1">
        <f t="array" ref="G5">+_xll.EQNXTDZ($A$1,$B5,G$1,$B$1)</f>
        <v>0</v>
      </c>
      <c r="H5" s="126" cm="1">
        <f t="array" ref="H5">+_xll.EQNXTDZ($A$1,$B5,H$1,$B$1)</f>
        <v>0</v>
      </c>
      <c r="I5" s="126" cm="1">
        <f t="array" ref="I5">+_xll.EQNXTDZ($A$1,$B5,I$1,$B$1)</f>
        <v>0</v>
      </c>
      <c r="J5" s="126" cm="1">
        <f t="array" ref="J5">+_xll.EQNXTDZ($A$1,$B5,J$1,$B$1)</f>
        <v>0</v>
      </c>
      <c r="K5" s="126" cm="1">
        <f t="array" ref="K5">+_xll.EQNXTDZ($A$1,$B5,K$1,$B$1)</f>
        <v>0</v>
      </c>
      <c r="L5" s="126" cm="1">
        <f t="array" ref="L5">+_xll.EQNXTDZ($A$1,$B5,L$1,$B$1)</f>
        <v>0</v>
      </c>
      <c r="M5" s="126" cm="1">
        <f t="array" ref="M5">+_xll.EQNXTDZ($A$1,$B5,M$1,$B$1)</f>
        <v>0</v>
      </c>
      <c r="N5" s="126" cm="1">
        <f t="array" ref="N5">+_xll.EQNXTDZ($A$1,$B5,N$1,$B$1)</f>
        <v>0</v>
      </c>
      <c r="O5" s="126" cm="1">
        <f t="array" ref="O5">+_xll.EQNXTDZ($A$1,$B5,O$1,$B$1)</f>
        <v>0</v>
      </c>
      <c r="P5" s="126" cm="1">
        <f t="array" ref="P5">+_xll.EQNXTDZ($A$1,$B5,P$1,$B$1)</f>
        <v>0</v>
      </c>
      <c r="Q5" s="126" cm="1">
        <f t="array" ref="Q5">+_xll.EQNXTDZ($A$1,$B5,Q$1,$B$1)</f>
        <v>0</v>
      </c>
      <c r="R5" s="126" cm="1">
        <f t="array" ref="R5">+_xll.EQNXTDZ($A$1,$B5,R$1,$B$1)</f>
        <v>0</v>
      </c>
      <c r="S5" s="126" cm="1">
        <f t="array" ref="S5">+_xll.EQNXTDZ($A$1,$B5,S$1,$B$1)</f>
        <v>0</v>
      </c>
      <c r="T5" s="126" cm="1">
        <f t="array" ref="T5">+_xll.EQNXTDZ($A$1,$B5,T$1,$B$1)</f>
        <v>0</v>
      </c>
      <c r="U5" s="126" cm="1">
        <f t="array" ref="U5">+_xll.EQNXTDZ($A$1,$B5,U$1,$B$1)</f>
        <v>0</v>
      </c>
      <c r="V5" s="126" cm="1">
        <f t="array" ref="V5">+_xll.EQNXTDZ($A$1,$B5,V$1,$B$1)</f>
        <v>0</v>
      </c>
      <c r="W5" s="126" cm="1">
        <f t="array" ref="W5">+_xll.EQNXTDZ($A$1,$B5,W$1,$B$1)</f>
        <v>0</v>
      </c>
      <c r="X5" s="126" cm="1">
        <f t="array" ref="X5">+_xll.EQNXTDZ($A$1,$B5,X$1,$B$1)</f>
        <v>0</v>
      </c>
      <c r="Y5" s="126" cm="1">
        <f t="array" ref="Y5">+_xll.EQNXTDZ($A$1,$B5,Y$1,$B$1)</f>
        <v>0</v>
      </c>
      <c r="Z5" s="126" cm="1">
        <f t="array" ref="Z5">+_xll.EQNXTDZ($A$1,$B5,Z$1,$B$1)</f>
        <v>0</v>
      </c>
      <c r="AA5" s="126" cm="1">
        <f t="array" ref="AA5">+_xll.EQNXTDZ($A$1,$B5,AA$1,$B$1)</f>
        <v>0</v>
      </c>
      <c r="AB5" s="126" cm="1">
        <f t="array" ref="AB5">+_xll.EQNXTDZ($A$1,$B5,AB$1,$B$1)</f>
        <v>0</v>
      </c>
      <c r="AC5" s="126" cm="1">
        <f t="array" ref="AC5">+_xll.EQNXTDZ($A$1,$B5,AC$1,$B$1)</f>
        <v>0</v>
      </c>
      <c r="AD5" s="126" cm="1">
        <f t="array" ref="AD5">+_xll.EQNXTDZ($A$1,$B5,AD$1,$B$1)</f>
        <v>0</v>
      </c>
      <c r="AE5" s="126" cm="1">
        <f t="array" ref="AE5">+_xll.EQNXTDZ($A$1,$B5,AE$1,$B$1)</f>
        <v>0</v>
      </c>
      <c r="AF5" s="126" cm="1">
        <f t="array" ref="AF5">+_xll.EQNXTDZ($A$1,$B5,AF$1,$B$1)</f>
        <v>0</v>
      </c>
      <c r="AG5" s="126" cm="1">
        <f t="array" ref="AG5">+_xll.EQNXTDZ($A$1,$B5,AG$1,$B$1)</f>
        <v>0</v>
      </c>
      <c r="AH5" s="126" cm="1">
        <f t="array" ref="AH5">+_xll.EQNXTDZ($A$1,$B5,AH$1,$B$1)</f>
        <v>0</v>
      </c>
      <c r="AI5" s="126" cm="1">
        <f t="array" ref="AI5">+_xll.EQNXTDZ($A$1,$B5,AI$1,$B$1)</f>
        <v>0</v>
      </c>
      <c r="AJ5" s="126" cm="1">
        <f t="array" ref="AJ5">+_xll.EQNXTDZ($A$1,$B5,AJ$1,$B$1)</f>
        <v>0</v>
      </c>
      <c r="AK5" s="126" cm="1">
        <f t="array" ref="AK5">+_xll.EQNXTDZ($A$1,$B5,AK$1,$B$1)</f>
        <v>0</v>
      </c>
      <c r="AL5" s="126" cm="1">
        <f t="array" ref="AL5">+_xll.EQNXTDZ($A$1,$B5,AL$1,$B$1)</f>
        <v>0</v>
      </c>
      <c r="AM5" s="126" cm="1">
        <f t="array" ref="AM5">+_xll.EQNXTDZ($A$1,$B5,AM$1,$B$1)</f>
        <v>0</v>
      </c>
      <c r="AN5" s="126" cm="1">
        <f t="array" ref="AN5">+_xll.EQNXTDZ($A$1,$B5,AN$1,$B$1)</f>
        <v>202406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202506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0</v>
      </c>
      <c r="D7" s="126" cm="1">
        <f t="array" ref="D7">+_xll.EQNXTDZ($A$1,$B7,D$1,$B$1)</f>
        <v>0</v>
      </c>
      <c r="E7" s="126" cm="1">
        <f t="array" ref="E7">+_xll.EQNXTDZ($A$1,$B7,E$1,$B$1)</f>
        <v>0</v>
      </c>
      <c r="F7" s="126" cm="1">
        <f t="array" ref="F7">+_xll.EQNXTDZ($A$1,$B7,F$1,$B$1)</f>
        <v>0</v>
      </c>
      <c r="G7" s="126" cm="1">
        <f t="array" ref="G7">+_xll.EQNXTDZ($A$1,$B7,G$1,$B$1)</f>
        <v>0</v>
      </c>
      <c r="H7" s="126" cm="1">
        <f t="array" ref="H7">+_xll.EQNXTDZ($A$1,$B7,H$1,$B$1)</f>
        <v>0</v>
      </c>
      <c r="I7" s="126" cm="1">
        <f t="array" ref="I7">+_xll.EQNXTDZ($A$1,$B7,I$1,$B$1)</f>
        <v>0</v>
      </c>
      <c r="J7" s="126" cm="1">
        <f t="array" ref="J7">+_xll.EQNXTDZ($A$1,$B7,J$1,$B$1)</f>
        <v>0</v>
      </c>
      <c r="K7" s="126" cm="1">
        <f t="array" ref="K7">+_xll.EQNXTDZ($A$1,$B7,K$1,$B$1)</f>
        <v>0</v>
      </c>
      <c r="L7" s="126" cm="1">
        <f t="array" ref="L7">+_xll.EQNXTDZ($A$1,$B7,L$1,$B$1)</f>
        <v>0</v>
      </c>
      <c r="M7" s="126" cm="1">
        <f t="array" ref="M7">+_xll.EQNXTDZ($A$1,$B7,M$1,$B$1)</f>
        <v>0</v>
      </c>
      <c r="N7" s="126" cm="1">
        <f t="array" ref="N7">+_xll.EQNXTDZ($A$1,$B7,N$1,$B$1)</f>
        <v>0</v>
      </c>
      <c r="O7" s="126" cm="1">
        <f t="array" ref="O7">+_xll.EQNXTDZ($A$1,$B7,O$1,$B$1)</f>
        <v>0</v>
      </c>
      <c r="P7" s="126" cm="1">
        <f t="array" ref="P7">+_xll.EQNXTDZ($A$1,$B7,P$1,$B$1)</f>
        <v>0</v>
      </c>
      <c r="Q7" s="126" cm="1">
        <f t="array" ref="Q7">+_xll.EQNXTDZ($A$1,$B7,Q$1,$B$1)</f>
        <v>0</v>
      </c>
      <c r="R7" s="126" cm="1">
        <f t="array" ref="R7">+_xll.EQNXTDZ($A$1,$B7,R$1,$B$1)</f>
        <v>0</v>
      </c>
      <c r="S7" s="126" cm="1">
        <f t="array" ref="S7">+_xll.EQNXTDZ($A$1,$B7,S$1,$B$1)</f>
        <v>0</v>
      </c>
      <c r="T7" s="126" cm="1">
        <f t="array" ref="T7">+_xll.EQNXTDZ($A$1,$B7,T$1,$B$1)</f>
        <v>0</v>
      </c>
      <c r="U7" s="126" cm="1">
        <f t="array" ref="U7">+_xll.EQNXTDZ($A$1,$B7,U$1,$B$1)</f>
        <v>0</v>
      </c>
      <c r="V7" s="126" cm="1">
        <f t="array" ref="V7">+_xll.EQNXTDZ($A$1,$B7,V$1,$B$1)</f>
        <v>0</v>
      </c>
      <c r="W7" s="126" cm="1">
        <f t="array" ref="W7">+_xll.EQNXTDZ($A$1,$B7,W$1,$B$1)</f>
        <v>0</v>
      </c>
      <c r="X7" s="126" cm="1">
        <f t="array" ref="X7">+_xll.EQNXTDZ($A$1,$B7,X$1,$B$1)</f>
        <v>0</v>
      </c>
      <c r="Y7" s="126" cm="1">
        <f t="array" ref="Y7">+_xll.EQNXTDZ($A$1,$B7,Y$1,$B$1)</f>
        <v>0</v>
      </c>
      <c r="Z7" s="126" cm="1">
        <f t="array" ref="Z7">+_xll.EQNXTDZ($A$1,$B7,Z$1,$B$1)</f>
        <v>0</v>
      </c>
      <c r="AA7" s="126" cm="1">
        <f t="array" ref="AA7">+_xll.EQNXTDZ($A$1,$B7,AA$1,$B$1)</f>
        <v>0</v>
      </c>
      <c r="AB7" s="126" cm="1">
        <f t="array" ref="AB7">+_xll.EQNXTDZ($A$1,$B7,AB$1,$B$1)</f>
        <v>0</v>
      </c>
      <c r="AC7" s="126" cm="1">
        <f t="array" ref="AC7">+_xll.EQNXTDZ($A$1,$B7,AC$1,$B$1)</f>
        <v>0</v>
      </c>
      <c r="AD7" s="126" cm="1">
        <f t="array" ref="AD7">+_xll.EQNXTDZ($A$1,$B7,AD$1,$B$1)</f>
        <v>0</v>
      </c>
      <c r="AE7" s="126" cm="1">
        <f t="array" ref="AE7">+_xll.EQNXTDZ($A$1,$B7,AE$1,$B$1)</f>
        <v>0</v>
      </c>
      <c r="AF7" s="126" cm="1">
        <f t="array" ref="AF7">+_xll.EQNXTDZ($A$1,$B7,AF$1,$B$1)</f>
        <v>0</v>
      </c>
      <c r="AG7" s="126" cm="1">
        <f t="array" ref="AG7">+_xll.EQNXTDZ($A$1,$B7,AG$1,$B$1)</f>
        <v>0</v>
      </c>
      <c r="AH7" s="126" cm="1">
        <f t="array" ref="AH7">+_xll.EQNXTDZ($A$1,$B7,AH$1,$B$1)</f>
        <v>0</v>
      </c>
      <c r="AI7" s="126" cm="1">
        <f t="array" ref="AI7">+_xll.EQNXTDZ($A$1,$B7,AI$1,$B$1)</f>
        <v>0</v>
      </c>
      <c r="AJ7" s="126" cm="1">
        <f t="array" ref="AJ7">+_xll.EQNXTDZ($A$1,$B7,AJ$1,$B$1)</f>
        <v>0</v>
      </c>
      <c r="AK7" s="126" cm="1">
        <f t="array" ref="AK7">+_xll.EQNXTDZ($A$1,$B7,AK$1,$B$1)</f>
        <v>0</v>
      </c>
      <c r="AL7" s="126" cm="1">
        <f t="array" ref="AL7">+_xll.EQNXTDZ($A$1,$B7,AL$1,$B$1)</f>
        <v>0</v>
      </c>
      <c r="AM7" s="126" cm="1">
        <f t="array" ref="AM7">+_xll.EQNXTDZ($A$1,$B7,AM$1,$B$1)</f>
        <v>0</v>
      </c>
      <c r="AN7" s="126" cm="1">
        <f t="array" ref="AN7">+_xll.EQNXTDZ($A$1,$B7,AN$1,$B$1)</f>
        <v>202406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202506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0</v>
      </c>
      <c r="D8" s="126" cm="1">
        <f t="array" ref="D8">+_xll.EQNXTDZ($A$1,$B8,D$1,$B$1)</f>
        <v>0</v>
      </c>
      <c r="E8" s="126" cm="1">
        <f t="array" ref="E8">+_xll.EQNXTDZ($A$1,$B8,E$1,$B$1)</f>
        <v>0</v>
      </c>
      <c r="F8" s="126" cm="1">
        <f t="array" ref="F8">+_xll.EQNXTDZ($A$1,$B8,F$1,$B$1)</f>
        <v>0</v>
      </c>
      <c r="G8" s="126" cm="1">
        <f t="array" ref="G8">+_xll.EQNXTDZ($A$1,$B8,G$1,$B$1)</f>
        <v>0</v>
      </c>
      <c r="H8" s="126" cm="1">
        <f t="array" ref="H8">+_xll.EQNXTDZ($A$1,$B8,H$1,$B$1)</f>
        <v>0</v>
      </c>
      <c r="I8" s="126" cm="1">
        <f t="array" ref="I8">+_xll.EQNXTDZ($A$1,$B8,I$1,$B$1)</f>
        <v>0</v>
      </c>
      <c r="J8" s="126" cm="1">
        <f t="array" ref="J8">+_xll.EQNXTDZ($A$1,$B8,J$1,$B$1)</f>
        <v>0</v>
      </c>
      <c r="K8" s="126" cm="1">
        <f t="array" ref="K8">+_xll.EQNXTDZ($A$1,$B8,K$1,$B$1)</f>
        <v>0</v>
      </c>
      <c r="L8" s="126" cm="1">
        <f t="array" ref="L8">+_xll.EQNXTDZ($A$1,$B8,L$1,$B$1)</f>
        <v>0</v>
      </c>
      <c r="M8" s="126" cm="1">
        <f t="array" ref="M8">+_xll.EQNXTDZ($A$1,$B8,M$1,$B$1)</f>
        <v>0</v>
      </c>
      <c r="N8" s="126" cm="1">
        <f t="array" ref="N8">+_xll.EQNXTDZ($A$1,$B8,N$1,$B$1)</f>
        <v>0</v>
      </c>
      <c r="O8" s="126" cm="1">
        <f t="array" ref="O8">+_xll.EQNXTDZ($A$1,$B8,O$1,$B$1)</f>
        <v>0</v>
      </c>
      <c r="P8" s="126" cm="1">
        <f t="array" ref="P8">+_xll.EQNXTDZ($A$1,$B8,P$1,$B$1)</f>
        <v>0</v>
      </c>
      <c r="Q8" s="126" cm="1">
        <f t="array" ref="Q8">+_xll.EQNXTDZ($A$1,$B8,Q$1,$B$1)</f>
        <v>0</v>
      </c>
      <c r="R8" s="126" cm="1">
        <f t="array" ref="R8">+_xll.EQNXTDZ($A$1,$B8,R$1,$B$1)</f>
        <v>0</v>
      </c>
      <c r="S8" s="126" cm="1">
        <f t="array" ref="S8">+_xll.EQNXTDZ($A$1,$B8,S$1,$B$1)</f>
        <v>0</v>
      </c>
      <c r="T8" s="126" cm="1">
        <f t="array" ref="T8">+_xll.EQNXTDZ($A$1,$B8,T$1,$B$1)</f>
        <v>0</v>
      </c>
      <c r="U8" s="126" cm="1">
        <f t="array" ref="U8">+_xll.EQNXTDZ($A$1,$B8,U$1,$B$1)</f>
        <v>0</v>
      </c>
      <c r="V8" s="126" cm="1">
        <f t="array" ref="V8">+_xll.EQNXTDZ($A$1,$B8,V$1,$B$1)</f>
        <v>0</v>
      </c>
      <c r="W8" s="126" cm="1">
        <f t="array" ref="W8">+_xll.EQNXTDZ($A$1,$B8,W$1,$B$1)</f>
        <v>0</v>
      </c>
      <c r="X8" s="126" cm="1">
        <f t="array" ref="X8">+_xll.EQNXTDZ($A$1,$B8,X$1,$B$1)</f>
        <v>0</v>
      </c>
      <c r="Y8" s="126" cm="1">
        <f t="array" ref="Y8">+_xll.EQNXTDZ($A$1,$B8,Y$1,$B$1)</f>
        <v>0</v>
      </c>
      <c r="Z8" s="126" cm="1">
        <f t="array" ref="Z8">+_xll.EQNXTDZ($A$1,$B8,Z$1,$B$1)</f>
        <v>0</v>
      </c>
      <c r="AA8" s="126" cm="1">
        <f t="array" ref="AA8">+_xll.EQNXTDZ($A$1,$B8,AA$1,$B$1)</f>
        <v>0</v>
      </c>
      <c r="AB8" s="126" cm="1">
        <f t="array" ref="AB8">+_xll.EQNXTDZ($A$1,$B8,AB$1,$B$1)</f>
        <v>0</v>
      </c>
      <c r="AC8" s="126" cm="1">
        <f t="array" ref="AC8">+_xll.EQNXTDZ($A$1,$B8,AC$1,$B$1)</f>
        <v>0</v>
      </c>
      <c r="AD8" s="126" cm="1">
        <f t="array" ref="AD8">+_xll.EQNXTDZ($A$1,$B8,AD$1,$B$1)</f>
        <v>0</v>
      </c>
      <c r="AE8" s="126" cm="1">
        <f t="array" ref="AE8">+_xll.EQNXTDZ($A$1,$B8,AE$1,$B$1)</f>
        <v>0</v>
      </c>
      <c r="AF8" s="126" cm="1">
        <f t="array" ref="AF8">+_xll.EQNXTDZ($A$1,$B8,AF$1,$B$1)</f>
        <v>0</v>
      </c>
      <c r="AG8" s="126" cm="1">
        <f t="array" ref="AG8">+_xll.EQNXTDZ($A$1,$B8,AG$1,$B$1)</f>
        <v>0</v>
      </c>
      <c r="AH8" s="126" cm="1">
        <f t="array" ref="AH8">+_xll.EQNXTDZ($A$1,$B8,AH$1,$B$1)</f>
        <v>0</v>
      </c>
      <c r="AI8" s="126" cm="1">
        <f t="array" ref="AI8">+_xll.EQNXTDZ($A$1,$B8,AI$1,$B$1)</f>
        <v>0</v>
      </c>
      <c r="AJ8" s="126" cm="1">
        <f t="array" ref="AJ8">+_xll.EQNXTDZ($A$1,$B8,AJ$1,$B$1)</f>
        <v>0</v>
      </c>
      <c r="AK8" s="126" cm="1">
        <f t="array" ref="AK8">+_xll.EQNXTDZ($A$1,$B8,AK$1,$B$1)</f>
        <v>0</v>
      </c>
      <c r="AL8" s="126" cm="1">
        <f t="array" ref="AL8">+_xll.EQNXTDZ($A$1,$B8,AL$1,$B$1)</f>
        <v>0</v>
      </c>
      <c r="AM8" s="126" cm="1">
        <f t="array" ref="AM8">+_xll.EQNXTDZ($A$1,$B8,AM$1,$B$1)</f>
        <v>0</v>
      </c>
      <c r="AN8" s="126" cm="1">
        <f t="array" ref="AN8">+_xll.EQNXTDZ($A$1,$B8,AN$1,$B$1)</f>
        <v>3284.6</v>
      </c>
      <c r="AO8" s="126" cm="1">
        <f t="array" ref="AO8">+_xll.EQNXTDZ($A$1,$B8,AO$1,$B$1)</f>
        <v>3452.5</v>
      </c>
      <c r="AP8" s="126" cm="1">
        <f t="array" ref="AP8">+_xll.EQNXTDZ($A$1,$B8,AP$1,$B$1)</f>
        <v>3523.8</v>
      </c>
      <c r="AQ8" s="126" cm="1">
        <f t="array" ref="AQ8">+_xll.EQNXTDZ($A$1,$B8,AQ$1,$B$1)</f>
        <v>3630.3</v>
      </c>
      <c r="AR8" s="126" cm="1">
        <f t="array" ref="AR8">+_xll.EQNXTDZ($A$1,$B8,AR$1,$B$1)</f>
        <v>3855.7</v>
      </c>
      <c r="AS8" s="126" cm="1">
        <f t="array" ref="AS8">+_xll.EQNXTDZ($A$1,$B8,AS$1,$B$1)</f>
        <v>3899.6</v>
      </c>
      <c r="AT8" s="126" cm="1">
        <f t="array" ref="AT8">+_xll.EQNXTDZ($A$1,$B8,AT$1,$B$1)</f>
        <v>3996.2</v>
      </c>
      <c r="AU8" s="126" cm="1">
        <f t="array" ref="AU8">+_xll.EQNXTDZ($A$1,$B8,AU$1,$B$1)</f>
        <v>4088.1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0</v>
      </c>
      <c r="D9" s="126" cm="1">
        <f t="array" ref="D9">+_xll.EQNXTDZ($A$1,$B9,D$1,$B$1)</f>
        <v>0</v>
      </c>
      <c r="E9" s="126" cm="1">
        <f t="array" ref="E9">+_xll.EQNXTDZ($A$1,$B9,E$1,$B$1)</f>
        <v>0</v>
      </c>
      <c r="F9" s="126" cm="1">
        <f t="array" ref="F9">+_xll.EQNXTDZ($A$1,$B9,F$1,$B$1)</f>
        <v>0</v>
      </c>
      <c r="G9" s="126" cm="1">
        <f t="array" ref="G9">+_xll.EQNXTDZ($A$1,$B9,G$1,$B$1)</f>
        <v>0</v>
      </c>
      <c r="H9" s="126" cm="1">
        <f t="array" ref="H9">+_xll.EQNXTDZ($A$1,$B9,H$1,$B$1)</f>
        <v>0</v>
      </c>
      <c r="I9" s="126" cm="1">
        <f t="array" ref="I9">+_xll.EQNXTDZ($A$1,$B9,I$1,$B$1)</f>
        <v>0</v>
      </c>
      <c r="J9" s="126" cm="1">
        <f t="array" ref="J9">+_xll.EQNXTDZ($A$1,$B9,J$1,$B$1)</f>
        <v>0</v>
      </c>
      <c r="K9" s="126" cm="1">
        <f t="array" ref="K9">+_xll.EQNXTDZ($A$1,$B9,K$1,$B$1)</f>
        <v>0</v>
      </c>
      <c r="L9" s="126" cm="1">
        <f t="array" ref="L9">+_xll.EQNXTDZ($A$1,$B9,L$1,$B$1)</f>
        <v>0</v>
      </c>
      <c r="M9" s="126" cm="1">
        <f t="array" ref="M9">+_xll.EQNXTDZ($A$1,$B9,M$1,$B$1)</f>
        <v>0</v>
      </c>
      <c r="N9" s="126" cm="1">
        <f t="array" ref="N9">+_xll.EQNXTDZ($A$1,$B9,N$1,$B$1)</f>
        <v>0</v>
      </c>
      <c r="O9" s="126" cm="1">
        <f t="array" ref="O9">+_xll.EQNXTDZ($A$1,$B9,O$1,$B$1)</f>
        <v>0</v>
      </c>
      <c r="P9" s="126" cm="1">
        <f t="array" ref="P9">+_xll.EQNXTDZ($A$1,$B9,P$1,$B$1)</f>
        <v>0</v>
      </c>
      <c r="Q9" s="126" cm="1">
        <f t="array" ref="Q9">+_xll.EQNXTDZ($A$1,$B9,Q$1,$B$1)</f>
        <v>0</v>
      </c>
      <c r="R9" s="126" cm="1">
        <f t="array" ref="R9">+_xll.EQNXTDZ($A$1,$B9,R$1,$B$1)</f>
        <v>0</v>
      </c>
      <c r="S9" s="126" cm="1">
        <f t="array" ref="S9">+_xll.EQNXTDZ($A$1,$B9,S$1,$B$1)</f>
        <v>0</v>
      </c>
      <c r="T9" s="126" cm="1">
        <f t="array" ref="T9">+_xll.EQNXTDZ($A$1,$B9,T$1,$B$1)</f>
        <v>0</v>
      </c>
      <c r="U9" s="126" cm="1">
        <f t="array" ref="U9">+_xll.EQNXTDZ($A$1,$B9,U$1,$B$1)</f>
        <v>0</v>
      </c>
      <c r="V9" s="126" cm="1">
        <f t="array" ref="V9">+_xll.EQNXTDZ($A$1,$B9,V$1,$B$1)</f>
        <v>0</v>
      </c>
      <c r="W9" s="126" cm="1">
        <f t="array" ref="W9">+_xll.EQNXTDZ($A$1,$B9,W$1,$B$1)</f>
        <v>0</v>
      </c>
      <c r="X9" s="126" cm="1">
        <f t="array" ref="X9">+_xll.EQNXTDZ($A$1,$B9,X$1,$B$1)</f>
        <v>0</v>
      </c>
      <c r="Y9" s="126" cm="1">
        <f t="array" ref="Y9">+_xll.EQNXTDZ($A$1,$B9,Y$1,$B$1)</f>
        <v>0</v>
      </c>
      <c r="Z9" s="126" cm="1">
        <f t="array" ref="Z9">+_xll.EQNXTDZ($A$1,$B9,Z$1,$B$1)</f>
        <v>0</v>
      </c>
      <c r="AA9" s="126" cm="1">
        <f t="array" ref="AA9">+_xll.EQNXTDZ($A$1,$B9,AA$1,$B$1)</f>
        <v>0</v>
      </c>
      <c r="AB9" s="126" cm="1">
        <f t="array" ref="AB9">+_xll.EQNXTDZ($A$1,$B9,AB$1,$B$1)</f>
        <v>0</v>
      </c>
      <c r="AC9" s="126" cm="1">
        <f t="array" ref="AC9">+_xll.EQNXTDZ($A$1,$B9,AC$1,$B$1)</f>
        <v>0</v>
      </c>
      <c r="AD9" s="126" cm="1">
        <f t="array" ref="AD9">+_xll.EQNXTDZ($A$1,$B9,AD$1,$B$1)</f>
        <v>0</v>
      </c>
      <c r="AE9" s="126" cm="1">
        <f t="array" ref="AE9">+_xll.EQNXTDZ($A$1,$B9,AE$1,$B$1)</f>
        <v>0</v>
      </c>
      <c r="AF9" s="126" cm="1">
        <f t="array" ref="AF9">+_xll.EQNXTDZ($A$1,$B9,AF$1,$B$1)</f>
        <v>0</v>
      </c>
      <c r="AG9" s="126" cm="1">
        <f t="array" ref="AG9">+_xll.EQNXTDZ($A$1,$B9,AG$1,$B$1)</f>
        <v>0</v>
      </c>
      <c r="AH9" s="126" cm="1">
        <f t="array" ref="AH9">+_xll.EQNXTDZ($A$1,$B9,AH$1,$B$1)</f>
        <v>0</v>
      </c>
      <c r="AI9" s="126" cm="1">
        <f t="array" ref="AI9">+_xll.EQNXTDZ($A$1,$B9,AI$1,$B$1)</f>
        <v>0</v>
      </c>
      <c r="AJ9" s="126" cm="1">
        <f t="array" ref="AJ9">+_xll.EQNXTDZ($A$1,$B9,AJ$1,$B$1)</f>
        <v>0</v>
      </c>
      <c r="AK9" s="126" cm="1">
        <f t="array" ref="AK9">+_xll.EQNXTDZ($A$1,$B9,AK$1,$B$1)</f>
        <v>0</v>
      </c>
      <c r="AL9" s="126" cm="1">
        <f t="array" ref="AL9">+_xll.EQNXTDZ($A$1,$B9,AL$1,$B$1)</f>
        <v>0</v>
      </c>
      <c r="AM9" s="126" cm="1">
        <f t="array" ref="AM9">+_xll.EQNXTDZ($A$1,$B9,AM$1,$B$1)</f>
        <v>0</v>
      </c>
      <c r="AN9" s="126" cm="1">
        <f t="array" ref="AN9">+_xll.EQNXTDZ($A$1,$B9,AN$1,$B$1)</f>
        <v>3284.6</v>
      </c>
      <c r="AO9" s="126" cm="1">
        <f t="array" ref="AO9">+_xll.EQNXTDZ($A$1,$B9,AO$1,$B$1)</f>
        <v>3452.5</v>
      </c>
      <c r="AP9" s="126" cm="1">
        <f t="array" ref="AP9">+_xll.EQNXTDZ($A$1,$B9,AP$1,$B$1)</f>
        <v>3523.8</v>
      </c>
      <c r="AQ9" s="126" cm="1">
        <f t="array" ref="AQ9">+_xll.EQNXTDZ($A$1,$B9,AQ$1,$B$1)</f>
        <v>3630.3</v>
      </c>
      <c r="AR9" s="126" cm="1">
        <f t="array" ref="AR9">+_xll.EQNXTDZ($A$1,$B9,AR$1,$B$1)</f>
        <v>3855.7</v>
      </c>
      <c r="AS9" s="126" cm="1">
        <f t="array" ref="AS9">+_xll.EQNXTDZ($A$1,$B9,AS$1,$B$1)</f>
        <v>3899.6</v>
      </c>
      <c r="AT9" s="126" cm="1">
        <f t="array" ref="AT9">+_xll.EQNXTDZ($A$1,$B9,AT$1,$B$1)</f>
        <v>3996.2</v>
      </c>
      <c r="AU9" s="126" cm="1">
        <f t="array" ref="AU9">+_xll.EQNXTDZ($A$1,$B9,AU$1,$B$1)</f>
        <v>4088.1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0</v>
      </c>
      <c r="D11" s="126" cm="1">
        <f t="array" ref="D11">+_xll.EQNXTDZ($A$1,$B11,D$1,$B$1)</f>
        <v>0</v>
      </c>
      <c r="E11" s="126" cm="1">
        <f t="array" ref="E11">+_xll.EQNXTDZ($A$1,$B11,E$1,$B$1)</f>
        <v>0</v>
      </c>
      <c r="F11" s="126" cm="1">
        <f t="array" ref="F11">+_xll.EQNXTDZ($A$1,$B11,F$1,$B$1)</f>
        <v>0</v>
      </c>
      <c r="G11" s="126" cm="1">
        <f t="array" ref="G11">+_xll.EQNXTDZ($A$1,$B11,G$1,$B$1)</f>
        <v>0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0</v>
      </c>
      <c r="K11" s="126" cm="1">
        <f t="array" ref="K11">+_xll.EQNXTDZ($A$1,$B11,K$1,$B$1)</f>
        <v>0</v>
      </c>
      <c r="L11" s="126" cm="1">
        <f t="array" ref="L11">+_xll.EQNXTDZ($A$1,$B11,L$1,$B$1)</f>
        <v>0</v>
      </c>
      <c r="M11" s="126" cm="1">
        <f t="array" ref="M11">+_xll.EQNXTDZ($A$1,$B11,M$1,$B$1)</f>
        <v>0</v>
      </c>
      <c r="N11" s="126" cm="1">
        <f t="array" ref="N11">+_xll.EQNXTDZ($A$1,$B11,N$1,$B$1)</f>
        <v>0</v>
      </c>
      <c r="O11" s="126" cm="1">
        <f t="array" ref="O11">+_xll.EQNXTDZ($A$1,$B11,O$1,$B$1)</f>
        <v>0</v>
      </c>
      <c r="P11" s="126" cm="1">
        <f t="array" ref="P11">+_xll.EQNXTDZ($A$1,$B11,P$1,$B$1)</f>
        <v>0</v>
      </c>
      <c r="Q11" s="126" cm="1">
        <f t="array" ref="Q11">+_xll.EQNXTDZ($A$1,$B11,Q$1,$B$1)</f>
        <v>0</v>
      </c>
      <c r="R11" s="126" cm="1">
        <f t="array" ref="R11">+_xll.EQNXTDZ($A$1,$B11,R$1,$B$1)</f>
        <v>0</v>
      </c>
      <c r="S11" s="126" cm="1">
        <f t="array" ref="S11">+_xll.EQNXTDZ($A$1,$B11,S$1,$B$1)</f>
        <v>0</v>
      </c>
      <c r="T11" s="126" cm="1">
        <f t="array" ref="T11">+_xll.EQNXTDZ($A$1,$B11,T$1,$B$1)</f>
        <v>0</v>
      </c>
      <c r="U11" s="126" cm="1">
        <f t="array" ref="U11">+_xll.EQNXTDZ($A$1,$B11,U$1,$B$1)</f>
        <v>0</v>
      </c>
      <c r="V11" s="126" cm="1">
        <f t="array" ref="V11">+_xll.EQNXTDZ($A$1,$B11,V$1,$B$1)</f>
        <v>0</v>
      </c>
      <c r="W11" s="126" cm="1">
        <f t="array" ref="W11">+_xll.EQNXTDZ($A$1,$B11,W$1,$B$1)</f>
        <v>0</v>
      </c>
      <c r="X11" s="126" cm="1">
        <f t="array" ref="X11">+_xll.EQNXTDZ($A$1,$B11,X$1,$B$1)</f>
        <v>0</v>
      </c>
      <c r="Y11" s="126" cm="1">
        <f t="array" ref="Y11">+_xll.EQNXTDZ($A$1,$B11,Y$1,$B$1)</f>
        <v>0</v>
      </c>
      <c r="Z11" s="126" cm="1">
        <f t="array" ref="Z11">+_xll.EQNXTDZ($A$1,$B11,Z$1,$B$1)</f>
        <v>0</v>
      </c>
      <c r="AA11" s="126" cm="1">
        <f t="array" ref="AA11">+_xll.EQNXTDZ($A$1,$B11,AA$1,$B$1)</f>
        <v>0</v>
      </c>
      <c r="AB11" s="126" cm="1">
        <f t="array" ref="AB11">+_xll.EQNXTDZ($A$1,$B11,AB$1,$B$1)</f>
        <v>0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</v>
      </c>
      <c r="AH11" s="126" cm="1">
        <f t="array" ref="AH11">+_xll.EQNXTDZ($A$1,$B11,AH$1,$B$1)</f>
        <v>0</v>
      </c>
      <c r="AI11" s="126" cm="1">
        <f t="array" ref="AI11">+_xll.EQNXTDZ($A$1,$B11,AI$1,$B$1)</f>
        <v>0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599.20000000000005</v>
      </c>
      <c r="AO11" s="126" cm="1">
        <f t="array" ref="AO11">+_xll.EQNXTDZ($A$1,$B11,AO$1,$B$1)</f>
        <v>554.29999999999995</v>
      </c>
      <c r="AP11" s="126" cm="1">
        <f t="array" ref="AP11">+_xll.EQNXTDZ($A$1,$B11,AP$1,$B$1)</f>
        <v>619.79999999999995</v>
      </c>
      <c r="AQ11" s="126" cm="1">
        <f t="array" ref="AQ11">+_xll.EQNXTDZ($A$1,$B11,AQ$1,$B$1)</f>
        <v>635.79999999999995</v>
      </c>
      <c r="AR11" s="126" cm="1">
        <f t="array" ref="AR11">+_xll.EQNXTDZ($A$1,$B11,AR$1,$B$1)</f>
        <v>609.70000000000005</v>
      </c>
      <c r="AS11" s="126" cm="1">
        <f t="array" ref="AS11">+_xll.EQNXTDZ($A$1,$B11,AS$1,$B$1)</f>
        <v>645.79999999999995</v>
      </c>
      <c r="AT11" s="126" cm="1">
        <f t="array" ref="AT11">+_xll.EQNXTDZ($A$1,$B11,AT$1,$B$1)</f>
        <v>677.3</v>
      </c>
      <c r="AU11" s="126" cm="1">
        <f t="array" ref="AU11">+_xll.EQNXTDZ($A$1,$B11,AU$1,$B$1)</f>
        <v>657.3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0</v>
      </c>
      <c r="D13" s="126" cm="1">
        <f t="array" ref="D13">+_xll.EQNXTDZ($A$1,$B13,D$1,$B$1)</f>
        <v>0</v>
      </c>
      <c r="E13" s="126" cm="1">
        <f t="array" ref="E13">+_xll.EQNXTDZ($A$1,$B13,E$1,$B$1)</f>
        <v>0</v>
      </c>
      <c r="F13" s="126" cm="1">
        <f t="array" ref="F13">+_xll.EQNXTDZ($A$1,$B13,F$1,$B$1)</f>
        <v>0</v>
      </c>
      <c r="G13" s="126" cm="1">
        <f t="array" ref="G13">+_xll.EQNXTDZ($A$1,$B13,G$1,$B$1)</f>
        <v>0</v>
      </c>
      <c r="H13" s="126" cm="1">
        <f t="array" ref="H13">+_xll.EQNXTDZ($A$1,$B13,H$1,$B$1)</f>
        <v>0</v>
      </c>
      <c r="I13" s="126" cm="1">
        <f t="array" ref="I13">+_xll.EQNXTDZ($A$1,$B13,I$1,$B$1)</f>
        <v>0</v>
      </c>
      <c r="J13" s="126" cm="1">
        <f t="array" ref="J13">+_xll.EQNXTDZ($A$1,$B13,J$1,$B$1)</f>
        <v>0</v>
      </c>
      <c r="K13" s="126" cm="1">
        <f t="array" ref="K13">+_xll.EQNXTDZ($A$1,$B13,K$1,$B$1)</f>
        <v>0</v>
      </c>
      <c r="L13" s="126" cm="1">
        <f t="array" ref="L13">+_xll.EQNXTDZ($A$1,$B13,L$1,$B$1)</f>
        <v>0</v>
      </c>
      <c r="M13" s="126" cm="1">
        <f t="array" ref="M13">+_xll.EQNXTDZ($A$1,$B13,M$1,$B$1)</f>
        <v>0</v>
      </c>
      <c r="N13" s="126" cm="1">
        <f t="array" ref="N13">+_xll.EQNXTDZ($A$1,$B13,N$1,$B$1)</f>
        <v>0</v>
      </c>
      <c r="O13" s="126" cm="1">
        <f t="array" ref="O13">+_xll.EQNXTDZ($A$1,$B13,O$1,$B$1)</f>
        <v>0</v>
      </c>
      <c r="P13" s="126" cm="1">
        <f t="array" ref="P13">+_xll.EQNXTDZ($A$1,$B13,P$1,$B$1)</f>
        <v>0</v>
      </c>
      <c r="Q13" s="126" cm="1">
        <f t="array" ref="Q13">+_xll.EQNXTDZ($A$1,$B13,Q$1,$B$1)</f>
        <v>0</v>
      </c>
      <c r="R13" s="126" cm="1">
        <f t="array" ref="R13">+_xll.EQNXTDZ($A$1,$B13,R$1,$B$1)</f>
        <v>0</v>
      </c>
      <c r="S13" s="126" cm="1">
        <f t="array" ref="S13">+_xll.EQNXTDZ($A$1,$B13,S$1,$B$1)</f>
        <v>0</v>
      </c>
      <c r="T13" s="126" cm="1">
        <f t="array" ref="T13">+_xll.EQNXTDZ($A$1,$B13,T$1,$B$1)</f>
        <v>0</v>
      </c>
      <c r="U13" s="126" cm="1">
        <f t="array" ref="U13">+_xll.EQNXTDZ($A$1,$B13,U$1,$B$1)</f>
        <v>0</v>
      </c>
      <c r="V13" s="126" cm="1">
        <f t="array" ref="V13">+_xll.EQNXTDZ($A$1,$B13,V$1,$B$1)</f>
        <v>0</v>
      </c>
      <c r="W13" s="126" cm="1">
        <f t="array" ref="W13">+_xll.EQNXTDZ($A$1,$B13,W$1,$B$1)</f>
        <v>0</v>
      </c>
      <c r="X13" s="126" cm="1">
        <f t="array" ref="X13">+_xll.EQNXTDZ($A$1,$B13,X$1,$B$1)</f>
        <v>0</v>
      </c>
      <c r="Y13" s="126" cm="1">
        <f t="array" ref="Y13">+_xll.EQNXTDZ($A$1,$B13,Y$1,$B$1)</f>
        <v>0</v>
      </c>
      <c r="Z13" s="126" cm="1">
        <f t="array" ref="Z13">+_xll.EQNXTDZ($A$1,$B13,Z$1,$B$1)</f>
        <v>0</v>
      </c>
      <c r="AA13" s="126" cm="1">
        <f t="array" ref="AA13">+_xll.EQNXTDZ($A$1,$B13,AA$1,$B$1)</f>
        <v>0</v>
      </c>
      <c r="AB13" s="126" cm="1">
        <f t="array" ref="AB13">+_xll.EQNXTDZ($A$1,$B13,AB$1,$B$1)</f>
        <v>0</v>
      </c>
      <c r="AC13" s="126" cm="1">
        <f t="array" ref="AC13">+_xll.EQNXTDZ($A$1,$B13,AC$1,$B$1)</f>
        <v>0</v>
      </c>
      <c r="AD13" s="126" cm="1">
        <f t="array" ref="AD13">+_xll.EQNXTDZ($A$1,$B13,AD$1,$B$1)</f>
        <v>0</v>
      </c>
      <c r="AE13" s="126" cm="1">
        <f t="array" ref="AE13">+_xll.EQNXTDZ($A$1,$B13,AE$1,$B$1)</f>
        <v>0</v>
      </c>
      <c r="AF13" s="126" cm="1">
        <f t="array" ref="AF13">+_xll.EQNXTDZ($A$1,$B13,AF$1,$B$1)</f>
        <v>0</v>
      </c>
      <c r="AG13" s="126" cm="1">
        <f t="array" ref="AG13">+_xll.EQNXTDZ($A$1,$B13,AG$1,$B$1)</f>
        <v>0</v>
      </c>
      <c r="AH13" s="126" cm="1">
        <f t="array" ref="AH13">+_xll.EQNXTDZ($A$1,$B13,AH$1,$B$1)</f>
        <v>0</v>
      </c>
      <c r="AI13" s="126" cm="1">
        <f t="array" ref="AI13">+_xll.EQNXTDZ($A$1,$B13,AI$1,$B$1)</f>
        <v>0</v>
      </c>
      <c r="AJ13" s="126" cm="1">
        <f t="array" ref="AJ13">+_xll.EQNXTDZ($A$1,$B13,AJ$1,$B$1)</f>
        <v>0</v>
      </c>
      <c r="AK13" s="126" cm="1">
        <f t="array" ref="AK13">+_xll.EQNXTDZ($A$1,$B13,AK$1,$B$1)</f>
        <v>0</v>
      </c>
      <c r="AL13" s="126" cm="1">
        <f t="array" ref="AL13">+_xll.EQNXTDZ($A$1,$B13,AL$1,$B$1)</f>
        <v>0</v>
      </c>
      <c r="AM13" s="126" cm="1">
        <f t="array" ref="AM13">+_xll.EQNXTDZ($A$1,$B13,AM$1,$B$1)</f>
        <v>0</v>
      </c>
      <c r="AN13" s="126" cm="1">
        <f t="array" ref="AN13">+_xll.EQNXTDZ($A$1,$B13,AN$1,$B$1)</f>
        <v>3883.8</v>
      </c>
      <c r="AO13" s="126" cm="1">
        <f t="array" ref="AO13">+_xll.EQNXTDZ($A$1,$B13,AO$1,$B$1)</f>
        <v>4006.8</v>
      </c>
      <c r="AP13" s="126" cm="1">
        <f t="array" ref="AP13">+_xll.EQNXTDZ($A$1,$B13,AP$1,$B$1)</f>
        <v>4143.6000000000004</v>
      </c>
      <c r="AQ13" s="126" cm="1">
        <f t="array" ref="AQ13">+_xll.EQNXTDZ($A$1,$B13,AQ$1,$B$1)</f>
        <v>4266.1000000000004</v>
      </c>
      <c r="AR13" s="126" cm="1">
        <f t="array" ref="AR13">+_xll.EQNXTDZ($A$1,$B13,AR$1,$B$1)</f>
        <v>4465.3999999999996</v>
      </c>
      <c r="AS13" s="126" cm="1">
        <f t="array" ref="AS13">+_xll.EQNXTDZ($A$1,$B13,AS$1,$B$1)</f>
        <v>4545.3999999999996</v>
      </c>
      <c r="AT13" s="126" cm="1">
        <f t="array" ref="AT13">+_xll.EQNXTDZ($A$1,$B13,AT$1,$B$1)</f>
        <v>4673.5</v>
      </c>
      <c r="AU13" s="126" cm="1">
        <f t="array" ref="AU13">+_xll.EQNXTDZ($A$1,$B13,AU$1,$B$1)</f>
        <v>4745.3999999999996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0</v>
      </c>
      <c r="D15" s="126" cm="1">
        <f t="array" ref="D15">+_xll.EQNXTDZ($A$1,$B15,D$1,$B$1)</f>
        <v>0</v>
      </c>
      <c r="E15" s="126" cm="1">
        <f t="array" ref="E15">+_xll.EQNXTDZ($A$1,$B15,E$1,$B$1)</f>
        <v>0</v>
      </c>
      <c r="F15" s="126" cm="1">
        <f t="array" ref="F15">+_xll.EQNXTDZ($A$1,$B15,F$1,$B$1)</f>
        <v>0</v>
      </c>
      <c r="G15" s="126" cm="1">
        <f t="array" ref="G15">+_xll.EQNXTDZ($A$1,$B15,G$1,$B$1)</f>
        <v>0</v>
      </c>
      <c r="H15" s="126" cm="1">
        <f t="array" ref="H15">+_xll.EQNXTDZ($A$1,$B15,H$1,$B$1)</f>
        <v>0</v>
      </c>
      <c r="I15" s="126" cm="1">
        <f t="array" ref="I15">+_xll.EQNXTDZ($A$1,$B15,I$1,$B$1)</f>
        <v>0</v>
      </c>
      <c r="J15" s="126" cm="1">
        <f t="array" ref="J15">+_xll.EQNXTDZ($A$1,$B15,J$1,$B$1)</f>
        <v>0</v>
      </c>
      <c r="K15" s="126" cm="1">
        <f t="array" ref="K15">+_xll.EQNXTDZ($A$1,$B15,K$1,$B$1)</f>
        <v>0</v>
      </c>
      <c r="L15" s="126" cm="1">
        <f t="array" ref="L15">+_xll.EQNXTDZ($A$1,$B15,L$1,$B$1)</f>
        <v>0</v>
      </c>
      <c r="M15" s="126" cm="1">
        <f t="array" ref="M15">+_xll.EQNXTDZ($A$1,$B15,M$1,$B$1)</f>
        <v>0</v>
      </c>
      <c r="N15" s="126" cm="1">
        <f t="array" ref="N15">+_xll.EQNXTDZ($A$1,$B15,N$1,$B$1)</f>
        <v>0</v>
      </c>
      <c r="O15" s="126" cm="1">
        <f t="array" ref="O15">+_xll.EQNXTDZ($A$1,$B15,O$1,$B$1)</f>
        <v>0</v>
      </c>
      <c r="P15" s="126" cm="1">
        <f t="array" ref="P15">+_xll.EQNXTDZ($A$1,$B15,P$1,$B$1)</f>
        <v>0</v>
      </c>
      <c r="Q15" s="126" cm="1">
        <f t="array" ref="Q15">+_xll.EQNXTDZ($A$1,$B15,Q$1,$B$1)</f>
        <v>0</v>
      </c>
      <c r="R15" s="126" cm="1">
        <f t="array" ref="R15">+_xll.EQNXTDZ($A$1,$B15,R$1,$B$1)</f>
        <v>0</v>
      </c>
      <c r="S15" s="126" cm="1">
        <f t="array" ref="S15">+_xll.EQNXTDZ($A$1,$B15,S$1,$B$1)</f>
        <v>0</v>
      </c>
      <c r="T15" s="126" cm="1">
        <f t="array" ref="T15">+_xll.EQNXTDZ($A$1,$B15,T$1,$B$1)</f>
        <v>0</v>
      </c>
      <c r="U15" s="126" cm="1">
        <f t="array" ref="U15">+_xll.EQNXTDZ($A$1,$B15,U$1,$B$1)</f>
        <v>0</v>
      </c>
      <c r="V15" s="126" cm="1">
        <f t="array" ref="V15">+_xll.EQNXTDZ($A$1,$B15,V$1,$B$1)</f>
        <v>0</v>
      </c>
      <c r="W15" s="126" cm="1">
        <f t="array" ref="W15">+_xll.EQNXTDZ($A$1,$B15,W$1,$B$1)</f>
        <v>0</v>
      </c>
      <c r="X15" s="126" cm="1">
        <f t="array" ref="X15">+_xll.EQNXTDZ($A$1,$B15,X$1,$B$1)</f>
        <v>0</v>
      </c>
      <c r="Y15" s="126" cm="1">
        <f t="array" ref="Y15">+_xll.EQNXTDZ($A$1,$B15,Y$1,$B$1)</f>
        <v>0</v>
      </c>
      <c r="Z15" s="126" cm="1">
        <f t="array" ref="Z15">+_xll.EQNXTDZ($A$1,$B15,Z$1,$B$1)</f>
        <v>0</v>
      </c>
      <c r="AA15" s="126" cm="1">
        <f t="array" ref="AA15">+_xll.EQNXTDZ($A$1,$B15,AA$1,$B$1)</f>
        <v>0</v>
      </c>
      <c r="AB15" s="126" cm="1">
        <f t="array" ref="AB15">+_xll.EQNXTDZ($A$1,$B15,AB$1,$B$1)</f>
        <v>0</v>
      </c>
      <c r="AC15" s="126" cm="1">
        <f t="array" ref="AC15">+_xll.EQNXTDZ($A$1,$B15,AC$1,$B$1)</f>
        <v>0</v>
      </c>
      <c r="AD15" s="126" cm="1">
        <f t="array" ref="AD15">+_xll.EQNXTDZ($A$1,$B15,AD$1,$B$1)</f>
        <v>0</v>
      </c>
      <c r="AE15" s="126" cm="1">
        <f t="array" ref="AE15">+_xll.EQNXTDZ($A$1,$B15,AE$1,$B$1)</f>
        <v>0</v>
      </c>
      <c r="AF15" s="126" cm="1">
        <f t="array" ref="AF15">+_xll.EQNXTDZ($A$1,$B15,AF$1,$B$1)</f>
        <v>0</v>
      </c>
      <c r="AG15" s="126" cm="1">
        <f t="array" ref="AG15">+_xll.EQNXTDZ($A$1,$B15,AG$1,$B$1)</f>
        <v>0</v>
      </c>
      <c r="AH15" s="126" cm="1">
        <f t="array" ref="AH15">+_xll.EQNXTDZ($A$1,$B15,AH$1,$B$1)</f>
        <v>0</v>
      </c>
      <c r="AI15" s="126" cm="1">
        <f t="array" ref="AI15">+_xll.EQNXTDZ($A$1,$B15,AI$1,$B$1)</f>
        <v>0</v>
      </c>
      <c r="AJ15" s="126" cm="1">
        <f t="array" ref="AJ15">+_xll.EQNXTDZ($A$1,$B15,AJ$1,$B$1)</f>
        <v>0</v>
      </c>
      <c r="AK15" s="126" cm="1">
        <f t="array" ref="AK15">+_xll.EQNXTDZ($A$1,$B15,AK$1,$B$1)</f>
        <v>0</v>
      </c>
      <c r="AL15" s="126" cm="1">
        <f t="array" ref="AL15">+_xll.EQNXTDZ($A$1,$B15,AL$1,$B$1)</f>
        <v>0</v>
      </c>
      <c r="AM15" s="126" cm="1">
        <f t="array" ref="AM15">+_xll.EQNXTDZ($A$1,$B15,AM$1,$B$1)</f>
        <v>0</v>
      </c>
      <c r="AN15" s="126" cm="1">
        <f t="array" ref="AN15">+_xll.EQNXTDZ($A$1,$B15,AN$1,$B$1)</f>
        <v>241.9</v>
      </c>
      <c r="AO15" s="126" cm="1">
        <f t="array" ref="AO15">+_xll.EQNXTDZ($A$1,$B15,AO$1,$B$1)</f>
        <v>250.2</v>
      </c>
      <c r="AP15" s="126" cm="1">
        <f t="array" ref="AP15">+_xll.EQNXTDZ($A$1,$B15,AP$1,$B$1)</f>
        <v>270.39999999999998</v>
      </c>
      <c r="AQ15" s="126" cm="1">
        <f t="array" ref="AQ15">+_xll.EQNXTDZ($A$1,$B15,AQ$1,$B$1)</f>
        <v>292.89999999999998</v>
      </c>
      <c r="AR15" s="126" cm="1">
        <f t="array" ref="AR15">+_xll.EQNXTDZ($A$1,$B15,AR$1,$B$1)</f>
        <v>312</v>
      </c>
      <c r="AS15" s="126" cm="1">
        <f t="array" ref="AS15">+_xll.EQNXTDZ($A$1,$B15,AS$1,$B$1)</f>
        <v>310.8</v>
      </c>
      <c r="AT15" s="126" cm="1">
        <f t="array" ref="AT15">+_xll.EQNXTDZ($A$1,$B15,AT$1,$B$1)</f>
        <v>320.5</v>
      </c>
      <c r="AU15" s="126" cm="1">
        <f t="array" ref="AU15">+_xll.EQNXTDZ($A$1,$B15,AU$1,$B$1)</f>
        <v>342.3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0</v>
      </c>
      <c r="D16" s="126" cm="1">
        <f t="array" ref="D16">+_xll.EQNXTDZ($A$1,$B16,D$1,$B$1)</f>
        <v>0</v>
      </c>
      <c r="E16" s="126" cm="1">
        <f t="array" ref="E16">+_xll.EQNXTDZ($A$1,$B16,E$1,$B$1)</f>
        <v>0</v>
      </c>
      <c r="F16" s="126" cm="1">
        <f t="array" ref="F16">+_xll.EQNXTDZ($A$1,$B16,F$1,$B$1)</f>
        <v>0</v>
      </c>
      <c r="G16" s="126" cm="1">
        <f t="array" ref="G16">+_xll.EQNXTDZ($A$1,$B16,G$1,$B$1)</f>
        <v>0</v>
      </c>
      <c r="H16" s="126" cm="1">
        <f t="array" ref="H16">+_xll.EQNXTDZ($A$1,$B16,H$1,$B$1)</f>
        <v>0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0</v>
      </c>
      <c r="D18" s="126" cm="1">
        <f t="array" ref="D18">+_xll.EQNXTDZ($A$1,$B18,D$1,$B$1)</f>
        <v>0</v>
      </c>
      <c r="E18" s="126" cm="1">
        <f t="array" ref="E18">+_xll.EQNXTDZ($A$1,$B18,E$1,$B$1)</f>
        <v>0</v>
      </c>
      <c r="F18" s="126" cm="1">
        <f t="array" ref="F18">+_xll.EQNXTDZ($A$1,$B18,F$1,$B$1)</f>
        <v>0</v>
      </c>
      <c r="G18" s="126" cm="1">
        <f t="array" ref="G18">+_xll.EQNXTDZ($A$1,$B18,G$1,$B$1)</f>
        <v>0</v>
      </c>
      <c r="H18" s="126" cm="1">
        <f t="array" ref="H18">+_xll.EQNXTDZ($A$1,$B18,H$1,$B$1)</f>
        <v>0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0</v>
      </c>
      <c r="D20" s="126" cm="1">
        <f t="array" ref="D20">+_xll.EQNXTDZ($A$1,$B20,D$1,$B$1)</f>
        <v>0</v>
      </c>
      <c r="E20" s="126" cm="1">
        <f t="array" ref="E20">+_xll.EQNXTDZ($A$1,$B20,E$1,$B$1)</f>
        <v>0</v>
      </c>
      <c r="F20" s="126" cm="1">
        <f t="array" ref="F20">+_xll.EQNXTDZ($A$1,$B20,F$1,$B$1)</f>
        <v>0</v>
      </c>
      <c r="G20" s="126" cm="1">
        <f t="array" ref="G20">+_xll.EQNXTDZ($A$1,$B20,G$1,$B$1)</f>
        <v>0</v>
      </c>
      <c r="H20" s="126" cm="1">
        <f t="array" ref="H20">+_xll.EQNXTDZ($A$1,$B20,H$1,$B$1)</f>
        <v>0</v>
      </c>
      <c r="I20" s="126" cm="1">
        <f t="array" ref="I20">+_xll.EQNXTDZ($A$1,$B20,I$1,$B$1)</f>
        <v>0</v>
      </c>
      <c r="J20" s="126" cm="1">
        <f t="array" ref="J20">+_xll.EQNXTDZ($A$1,$B20,J$1,$B$1)</f>
        <v>0</v>
      </c>
      <c r="K20" s="126" cm="1">
        <f t="array" ref="K20">+_xll.EQNXTDZ($A$1,$B20,K$1,$B$1)</f>
        <v>0</v>
      </c>
      <c r="L20" s="126" cm="1">
        <f t="array" ref="L20">+_xll.EQNXTDZ($A$1,$B20,L$1,$B$1)</f>
        <v>0</v>
      </c>
      <c r="M20" s="126" cm="1">
        <f t="array" ref="M20">+_xll.EQNXTDZ($A$1,$B20,M$1,$B$1)</f>
        <v>0</v>
      </c>
      <c r="N20" s="126" cm="1">
        <f t="array" ref="N20">+_xll.EQNXTDZ($A$1,$B20,N$1,$B$1)</f>
        <v>0</v>
      </c>
      <c r="O20" s="126" cm="1">
        <f t="array" ref="O20">+_xll.EQNXTDZ($A$1,$B20,O$1,$B$1)</f>
        <v>0</v>
      </c>
      <c r="P20" s="126" cm="1">
        <f t="array" ref="P20">+_xll.EQNXTDZ($A$1,$B20,P$1,$B$1)</f>
        <v>0</v>
      </c>
      <c r="Q20" s="126" cm="1">
        <f t="array" ref="Q20">+_xll.EQNXTDZ($A$1,$B20,Q$1,$B$1)</f>
        <v>0</v>
      </c>
      <c r="R20" s="126" cm="1">
        <f t="array" ref="R20">+_xll.EQNXTDZ($A$1,$B20,R$1,$B$1)</f>
        <v>0</v>
      </c>
      <c r="S20" s="126" cm="1">
        <f t="array" ref="S20">+_xll.EQNXTDZ($A$1,$B20,S$1,$B$1)</f>
        <v>0</v>
      </c>
      <c r="T20" s="126" cm="1">
        <f t="array" ref="T20">+_xll.EQNXTDZ($A$1,$B20,T$1,$B$1)</f>
        <v>0</v>
      </c>
      <c r="U20" s="126" cm="1">
        <f t="array" ref="U20">+_xll.EQNXTDZ($A$1,$B20,U$1,$B$1)</f>
        <v>0</v>
      </c>
      <c r="V20" s="126" cm="1">
        <f t="array" ref="V20">+_xll.EQNXTDZ($A$1,$B20,V$1,$B$1)</f>
        <v>0</v>
      </c>
      <c r="W20" s="126" cm="1">
        <f t="array" ref="W20">+_xll.EQNXTDZ($A$1,$B20,W$1,$B$1)</f>
        <v>0</v>
      </c>
      <c r="X20" s="126" cm="1">
        <f t="array" ref="X20">+_xll.EQNXTDZ($A$1,$B20,X$1,$B$1)</f>
        <v>0</v>
      </c>
      <c r="Y20" s="126" cm="1">
        <f t="array" ref="Y20">+_xll.EQNXTDZ($A$1,$B20,Y$1,$B$1)</f>
        <v>0</v>
      </c>
      <c r="Z20" s="126" cm="1">
        <f t="array" ref="Z20">+_xll.EQNXTDZ($A$1,$B20,Z$1,$B$1)</f>
        <v>0</v>
      </c>
      <c r="AA20" s="126" cm="1">
        <f t="array" ref="AA20">+_xll.EQNXTDZ($A$1,$B20,AA$1,$B$1)</f>
        <v>0</v>
      </c>
      <c r="AB20" s="126" cm="1">
        <f t="array" ref="AB20">+_xll.EQNXTDZ($A$1,$B20,AB$1,$B$1)</f>
        <v>0</v>
      </c>
      <c r="AC20" s="126" cm="1">
        <f t="array" ref="AC20">+_xll.EQNXTDZ($A$1,$B20,AC$1,$B$1)</f>
        <v>0</v>
      </c>
      <c r="AD20" s="126" cm="1">
        <f t="array" ref="AD20">+_xll.EQNXTDZ($A$1,$B20,AD$1,$B$1)</f>
        <v>0</v>
      </c>
      <c r="AE20" s="126" cm="1">
        <f t="array" ref="AE20">+_xll.EQNXTDZ($A$1,$B20,AE$1,$B$1)</f>
        <v>0</v>
      </c>
      <c r="AF20" s="126" cm="1">
        <f t="array" ref="AF20">+_xll.EQNXTDZ($A$1,$B20,AF$1,$B$1)</f>
        <v>0</v>
      </c>
      <c r="AG20" s="126" cm="1">
        <f t="array" ref="AG20">+_xll.EQNXTDZ($A$1,$B20,AG$1,$B$1)</f>
        <v>0</v>
      </c>
      <c r="AH20" s="126" cm="1">
        <f t="array" ref="AH20">+_xll.EQNXTDZ($A$1,$B20,AH$1,$B$1)</f>
        <v>0</v>
      </c>
      <c r="AI20" s="126" cm="1">
        <f t="array" ref="AI20">+_xll.EQNXTDZ($A$1,$B20,AI$1,$B$1)</f>
        <v>0</v>
      </c>
      <c r="AJ20" s="126" cm="1">
        <f t="array" ref="AJ20">+_xll.EQNXTDZ($A$1,$B20,AJ$1,$B$1)</f>
        <v>0</v>
      </c>
      <c r="AK20" s="126" cm="1">
        <f t="array" ref="AK20">+_xll.EQNXTDZ($A$1,$B20,AK$1,$B$1)</f>
        <v>0</v>
      </c>
      <c r="AL20" s="126" cm="1">
        <f t="array" ref="AL20">+_xll.EQNXTDZ($A$1,$B20,AL$1,$B$1)</f>
        <v>0</v>
      </c>
      <c r="AM20" s="126" cm="1">
        <f t="array" ref="AM20">+_xll.EQNXTDZ($A$1,$B20,AM$1,$B$1)</f>
        <v>0</v>
      </c>
      <c r="AN20" s="126" cm="1">
        <f t="array" ref="AN20">+_xll.EQNXTDZ($A$1,$B20,AN$1,$B$1)</f>
        <v>905.5</v>
      </c>
      <c r="AO20" s="126" cm="1">
        <f t="array" ref="AO20">+_xll.EQNXTDZ($A$1,$B20,AO$1,$B$1)</f>
        <v>879.8</v>
      </c>
      <c r="AP20" s="126" cm="1">
        <f t="array" ref="AP20">+_xll.EQNXTDZ($A$1,$B20,AP$1,$B$1)</f>
        <v>903.3</v>
      </c>
      <c r="AQ20" s="126" cm="1">
        <f t="array" ref="AQ20">+_xll.EQNXTDZ($A$1,$B20,AQ$1,$B$1)</f>
        <v>930.9</v>
      </c>
      <c r="AR20" s="126" cm="1">
        <f t="array" ref="AR20">+_xll.EQNXTDZ($A$1,$B20,AR$1,$B$1)</f>
        <v>960.1</v>
      </c>
      <c r="AS20" s="126" cm="1">
        <f t="array" ref="AS20">+_xll.EQNXTDZ($A$1,$B20,AS$1,$B$1)</f>
        <v>957.7</v>
      </c>
      <c r="AT20" s="126" cm="1">
        <f t="array" ref="AT20">+_xll.EQNXTDZ($A$1,$B20,AT$1,$B$1)</f>
        <v>1025.3</v>
      </c>
      <c r="AU20" s="126" cm="1">
        <f t="array" ref="AU20">+_xll.EQNXTDZ($A$1,$B20,AU$1,$B$1)</f>
        <v>970.5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0</v>
      </c>
      <c r="N21" s="126" cm="1">
        <f t="array" ref="N21">+_xll.EQNXTDZ($A$1,$B21,N$1,$B$1)</f>
        <v>0</v>
      </c>
      <c r="O21" s="126" cm="1">
        <f t="array" ref="O21">+_xll.EQNXTDZ($A$1,$B21,O$1,$B$1)</f>
        <v>0</v>
      </c>
      <c r="P21" s="126" cm="1">
        <f t="array" ref="P21">+_xll.EQNXTDZ($A$1,$B21,P$1,$B$1)</f>
        <v>0</v>
      </c>
      <c r="Q21" s="126" cm="1">
        <f t="array" ref="Q21">+_xll.EQNXTDZ($A$1,$B21,Q$1,$B$1)</f>
        <v>0</v>
      </c>
      <c r="R21" s="126" cm="1">
        <f t="array" ref="R21">+_xll.EQNXTDZ($A$1,$B21,R$1,$B$1)</f>
        <v>0</v>
      </c>
      <c r="S21" s="126" cm="1">
        <f t="array" ref="S21">+_xll.EQNXTDZ($A$1,$B21,S$1,$B$1)</f>
        <v>0</v>
      </c>
      <c r="T21" s="126" cm="1">
        <f t="array" ref="T21">+_xll.EQNXTDZ($A$1,$B21,T$1,$B$1)</f>
        <v>0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0</v>
      </c>
      <c r="AP21" s="126" cm="1">
        <f t="array" ref="AP21">+_xll.EQNXTDZ($A$1,$B21,AP$1,$B$1)</f>
        <v>0</v>
      </c>
      <c r="AQ21" s="126" cm="1">
        <f t="array" ref="AQ21">+_xll.EQNXTDZ($A$1,$B21,AQ$1,$B$1)</f>
        <v>0</v>
      </c>
      <c r="AR21" s="126" cm="1">
        <f t="array" ref="AR21">+_xll.EQNXTDZ($A$1,$B21,AR$1,$B$1)</f>
        <v>0</v>
      </c>
      <c r="AS21" s="126" cm="1">
        <f t="array" ref="AS21">+_xll.EQNXTDZ($A$1,$B21,AS$1,$B$1)</f>
        <v>0</v>
      </c>
      <c r="AT21" s="126" cm="1">
        <f t="array" ref="AT21">+_xll.EQNXTDZ($A$1,$B21,AT$1,$B$1)</f>
        <v>0</v>
      </c>
      <c r="AU21" s="126" cm="1">
        <f t="array" ref="AU21">+_xll.EQNXTDZ($A$1,$B21,AU$1,$B$1)</f>
        <v>0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0</v>
      </c>
      <c r="D27" s="126" cm="1">
        <f t="array" ref="D27">+_xll.EQNXTDZ($A$1,$B27,D$1,$B$1)</f>
        <v>0</v>
      </c>
      <c r="E27" s="126" cm="1">
        <f t="array" ref="E27">+_xll.EQNXTDZ($A$1,$B27,E$1,$B$1)</f>
        <v>0</v>
      </c>
      <c r="F27" s="126" cm="1">
        <f t="array" ref="F27">+_xll.EQNXTDZ($A$1,$B27,F$1,$B$1)</f>
        <v>0</v>
      </c>
      <c r="G27" s="126" cm="1">
        <f t="array" ref="G27">+_xll.EQNXTDZ($A$1,$B27,G$1,$B$1)</f>
        <v>0</v>
      </c>
      <c r="H27" s="126" cm="1">
        <f t="array" ref="H27">+_xll.EQNXTDZ($A$1,$B27,H$1,$B$1)</f>
        <v>0</v>
      </c>
      <c r="I27" s="126" cm="1">
        <f t="array" ref="I27">+_xll.EQNXTDZ($A$1,$B27,I$1,$B$1)</f>
        <v>0</v>
      </c>
      <c r="J27" s="126" cm="1">
        <f t="array" ref="J27">+_xll.EQNXTDZ($A$1,$B27,J$1,$B$1)</f>
        <v>0</v>
      </c>
      <c r="K27" s="126" cm="1">
        <f t="array" ref="K27">+_xll.EQNXTDZ($A$1,$B27,K$1,$B$1)</f>
        <v>0</v>
      </c>
      <c r="L27" s="126" cm="1">
        <f t="array" ref="L27">+_xll.EQNXTDZ($A$1,$B27,L$1,$B$1)</f>
        <v>0</v>
      </c>
      <c r="M27" s="126" cm="1">
        <f t="array" ref="M27">+_xll.EQNXTDZ($A$1,$B27,M$1,$B$1)</f>
        <v>0</v>
      </c>
      <c r="N27" s="126" cm="1">
        <f t="array" ref="N27">+_xll.EQNXTDZ($A$1,$B27,N$1,$B$1)</f>
        <v>0</v>
      </c>
      <c r="O27" s="126" cm="1">
        <f t="array" ref="O27">+_xll.EQNXTDZ($A$1,$B27,O$1,$B$1)</f>
        <v>0</v>
      </c>
      <c r="P27" s="126" cm="1">
        <f t="array" ref="P27">+_xll.EQNXTDZ($A$1,$B27,P$1,$B$1)</f>
        <v>0</v>
      </c>
      <c r="Q27" s="126" cm="1">
        <f t="array" ref="Q27">+_xll.EQNXTDZ($A$1,$B27,Q$1,$B$1)</f>
        <v>0</v>
      </c>
      <c r="R27" s="126" cm="1">
        <f t="array" ref="R27">+_xll.EQNXTDZ($A$1,$B27,R$1,$B$1)</f>
        <v>0</v>
      </c>
      <c r="S27" s="126" cm="1">
        <f t="array" ref="S27">+_xll.EQNXTDZ($A$1,$B27,S$1,$B$1)</f>
        <v>0</v>
      </c>
      <c r="T27" s="126" cm="1">
        <f t="array" ref="T27">+_xll.EQNXTDZ($A$1,$B27,T$1,$B$1)</f>
        <v>0</v>
      </c>
      <c r="U27" s="126" cm="1">
        <f t="array" ref="U27">+_xll.EQNXTDZ($A$1,$B27,U$1,$B$1)</f>
        <v>0</v>
      </c>
      <c r="V27" s="126" cm="1">
        <f t="array" ref="V27">+_xll.EQNXTDZ($A$1,$B27,V$1,$B$1)</f>
        <v>0</v>
      </c>
      <c r="W27" s="126" cm="1">
        <f t="array" ref="W27">+_xll.EQNXTDZ($A$1,$B27,W$1,$B$1)</f>
        <v>0</v>
      </c>
      <c r="X27" s="126" cm="1">
        <f t="array" ref="X27">+_xll.EQNXTDZ($A$1,$B27,X$1,$B$1)</f>
        <v>0</v>
      </c>
      <c r="Y27" s="126" cm="1">
        <f t="array" ref="Y27">+_xll.EQNXTDZ($A$1,$B27,Y$1,$B$1)</f>
        <v>0</v>
      </c>
      <c r="Z27" s="126" cm="1">
        <f t="array" ref="Z27">+_xll.EQNXTDZ($A$1,$B27,Z$1,$B$1)</f>
        <v>0</v>
      </c>
      <c r="AA27" s="126" cm="1">
        <f t="array" ref="AA27">+_xll.EQNXTDZ($A$1,$B27,AA$1,$B$1)</f>
        <v>0</v>
      </c>
      <c r="AB27" s="126" cm="1">
        <f t="array" ref="AB27">+_xll.EQNXTDZ($A$1,$B27,AB$1,$B$1)</f>
        <v>0</v>
      </c>
      <c r="AC27" s="126" cm="1">
        <f t="array" ref="AC27">+_xll.EQNXTDZ($A$1,$B27,AC$1,$B$1)</f>
        <v>0</v>
      </c>
      <c r="AD27" s="126" cm="1">
        <f t="array" ref="AD27">+_xll.EQNXTDZ($A$1,$B27,AD$1,$B$1)</f>
        <v>0</v>
      </c>
      <c r="AE27" s="126" cm="1">
        <f t="array" ref="AE27">+_xll.EQNXTDZ($A$1,$B27,AE$1,$B$1)</f>
        <v>0</v>
      </c>
      <c r="AF27" s="126" cm="1">
        <f t="array" ref="AF27">+_xll.EQNXTDZ($A$1,$B27,AF$1,$B$1)</f>
        <v>0</v>
      </c>
      <c r="AG27" s="126" cm="1">
        <f t="array" ref="AG27">+_xll.EQNXTDZ($A$1,$B27,AG$1,$B$1)</f>
        <v>0</v>
      </c>
      <c r="AH27" s="126" cm="1">
        <f t="array" ref="AH27">+_xll.EQNXTDZ($A$1,$B27,AH$1,$B$1)</f>
        <v>0</v>
      </c>
      <c r="AI27" s="126" cm="1">
        <f t="array" ref="AI27">+_xll.EQNXTDZ($A$1,$B27,AI$1,$B$1)</f>
        <v>0</v>
      </c>
      <c r="AJ27" s="126" cm="1">
        <f t="array" ref="AJ27">+_xll.EQNXTDZ($A$1,$B27,AJ$1,$B$1)</f>
        <v>0</v>
      </c>
      <c r="AK27" s="126" cm="1">
        <f t="array" ref="AK27">+_xll.EQNXTDZ($A$1,$B27,AK$1,$B$1)</f>
        <v>0</v>
      </c>
      <c r="AL27" s="126" cm="1">
        <f t="array" ref="AL27">+_xll.EQNXTDZ($A$1,$B27,AL$1,$B$1)</f>
        <v>0</v>
      </c>
      <c r="AM27" s="126" cm="1">
        <f t="array" ref="AM27">+_xll.EQNXTDZ($A$1,$B27,AM$1,$B$1)</f>
        <v>0</v>
      </c>
      <c r="AN27" s="126" cm="1">
        <f t="array" ref="AN27">+_xll.EQNXTDZ($A$1,$B27,AN$1,$B$1)</f>
        <v>412.5</v>
      </c>
      <c r="AO27" s="126" cm="1">
        <f t="array" ref="AO27">+_xll.EQNXTDZ($A$1,$B27,AO$1,$B$1)</f>
        <v>431</v>
      </c>
      <c r="AP27" s="126" cm="1">
        <f t="array" ref="AP27">+_xll.EQNXTDZ($A$1,$B27,AP$1,$B$1)</f>
        <v>635.70000000000005</v>
      </c>
      <c r="AQ27" s="126" cm="1">
        <f t="array" ref="AQ27">+_xll.EQNXTDZ($A$1,$B27,AQ$1,$B$1)</f>
        <v>633.79999999999995</v>
      </c>
      <c r="AR27" s="126" cm="1">
        <f t="array" ref="AR27">+_xll.EQNXTDZ($A$1,$B27,AR$1,$B$1)</f>
        <v>669.7</v>
      </c>
      <c r="AS27" s="126" cm="1">
        <f t="array" ref="AS27">+_xll.EQNXTDZ($A$1,$B27,AS$1,$B$1)</f>
        <v>748.3</v>
      </c>
      <c r="AT27" s="126" cm="1">
        <f t="array" ref="AT27">+_xll.EQNXTDZ($A$1,$B27,AT$1,$B$1)</f>
        <v>712.2</v>
      </c>
      <c r="AU27" s="126" cm="1">
        <f t="array" ref="AU27">+_xll.EQNXTDZ($A$1,$B27,AU$1,$B$1)</f>
        <v>684.6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0</v>
      </c>
      <c r="D31" s="126" cm="1">
        <f t="array" ref="D31">+_xll.EQNXTDZ($A$1,$B31,D$1,$B$1)</f>
        <v>0</v>
      </c>
      <c r="E31" s="126" cm="1">
        <f t="array" ref="E31">+_xll.EQNXTDZ($A$1,$B31,E$1,$B$1)</f>
        <v>0</v>
      </c>
      <c r="F31" s="126" cm="1">
        <f t="array" ref="F31">+_xll.EQNXTDZ($A$1,$B31,F$1,$B$1)</f>
        <v>0</v>
      </c>
      <c r="G31" s="126" cm="1">
        <f t="array" ref="G31">+_xll.EQNXTDZ($A$1,$B31,G$1,$B$1)</f>
        <v>0</v>
      </c>
      <c r="H31" s="126" cm="1">
        <f t="array" ref="H31">+_xll.EQNXTDZ($A$1,$B31,H$1,$B$1)</f>
        <v>0</v>
      </c>
      <c r="I31" s="126" cm="1">
        <f t="array" ref="I31">+_xll.EQNXTDZ($A$1,$B31,I$1,$B$1)</f>
        <v>0</v>
      </c>
      <c r="J31" s="126" cm="1">
        <f t="array" ref="J31">+_xll.EQNXTDZ($A$1,$B31,J$1,$B$1)</f>
        <v>0</v>
      </c>
      <c r="K31" s="126" cm="1">
        <f t="array" ref="K31">+_xll.EQNXTDZ($A$1,$B31,K$1,$B$1)</f>
        <v>0</v>
      </c>
      <c r="L31" s="126" cm="1">
        <f t="array" ref="L31">+_xll.EQNXTDZ($A$1,$B31,L$1,$B$1)</f>
        <v>0</v>
      </c>
      <c r="M31" s="126" cm="1">
        <f t="array" ref="M31">+_xll.EQNXTDZ($A$1,$B31,M$1,$B$1)</f>
        <v>0</v>
      </c>
      <c r="N31" s="126" cm="1">
        <f t="array" ref="N31">+_xll.EQNXTDZ($A$1,$B31,N$1,$B$1)</f>
        <v>0</v>
      </c>
      <c r="O31" s="126" cm="1">
        <f t="array" ref="O31">+_xll.EQNXTDZ($A$1,$B31,O$1,$B$1)</f>
        <v>0</v>
      </c>
      <c r="P31" s="126" cm="1">
        <f t="array" ref="P31">+_xll.EQNXTDZ($A$1,$B31,P$1,$B$1)</f>
        <v>0</v>
      </c>
      <c r="Q31" s="126" cm="1">
        <f t="array" ref="Q31">+_xll.EQNXTDZ($A$1,$B31,Q$1,$B$1)</f>
        <v>0</v>
      </c>
      <c r="R31" s="126" cm="1">
        <f t="array" ref="R31">+_xll.EQNXTDZ($A$1,$B31,R$1,$B$1)</f>
        <v>0</v>
      </c>
      <c r="S31" s="126" cm="1">
        <f t="array" ref="S31">+_xll.EQNXTDZ($A$1,$B31,S$1,$B$1)</f>
        <v>0</v>
      </c>
      <c r="T31" s="126" cm="1">
        <f t="array" ref="T31">+_xll.EQNXTDZ($A$1,$B31,T$1,$B$1)</f>
        <v>0</v>
      </c>
      <c r="U31" s="126" cm="1">
        <f t="array" ref="U31">+_xll.EQNXTDZ($A$1,$B31,U$1,$B$1)</f>
        <v>0</v>
      </c>
      <c r="V31" s="126" cm="1">
        <f t="array" ref="V31">+_xll.EQNXTDZ($A$1,$B31,V$1,$B$1)</f>
        <v>0</v>
      </c>
      <c r="W31" s="126" cm="1">
        <f t="array" ref="W31">+_xll.EQNXTDZ($A$1,$B31,W$1,$B$1)</f>
        <v>0</v>
      </c>
      <c r="X31" s="126" cm="1">
        <f t="array" ref="X31">+_xll.EQNXTDZ($A$1,$B31,X$1,$B$1)</f>
        <v>0</v>
      </c>
      <c r="Y31" s="126" cm="1">
        <f t="array" ref="Y31">+_xll.EQNXTDZ($A$1,$B31,Y$1,$B$1)</f>
        <v>0</v>
      </c>
      <c r="Z31" s="126" cm="1">
        <f t="array" ref="Z31">+_xll.EQNXTDZ($A$1,$B31,Z$1,$B$1)</f>
        <v>0</v>
      </c>
      <c r="AA31" s="126" cm="1">
        <f t="array" ref="AA31">+_xll.EQNXTDZ($A$1,$B31,AA$1,$B$1)</f>
        <v>0</v>
      </c>
      <c r="AB31" s="126" cm="1">
        <f t="array" ref="AB31">+_xll.EQNXTDZ($A$1,$B31,AB$1,$B$1)</f>
        <v>0</v>
      </c>
      <c r="AC31" s="126" cm="1">
        <f t="array" ref="AC31">+_xll.EQNXTDZ($A$1,$B31,AC$1,$B$1)</f>
        <v>0</v>
      </c>
      <c r="AD31" s="126" cm="1">
        <f t="array" ref="AD31">+_xll.EQNXTDZ($A$1,$B31,AD$1,$B$1)</f>
        <v>0</v>
      </c>
      <c r="AE31" s="126" cm="1">
        <f t="array" ref="AE31">+_xll.EQNXTDZ($A$1,$B31,AE$1,$B$1)</f>
        <v>0</v>
      </c>
      <c r="AF31" s="126" cm="1">
        <f t="array" ref="AF31">+_xll.EQNXTDZ($A$1,$B31,AF$1,$B$1)</f>
        <v>0</v>
      </c>
      <c r="AG31" s="126" cm="1">
        <f t="array" ref="AG31">+_xll.EQNXTDZ($A$1,$B31,AG$1,$B$1)</f>
        <v>0</v>
      </c>
      <c r="AH31" s="126" cm="1">
        <f t="array" ref="AH31">+_xll.EQNXTDZ($A$1,$B31,AH$1,$B$1)</f>
        <v>0</v>
      </c>
      <c r="AI31" s="126" cm="1">
        <f t="array" ref="AI31">+_xll.EQNXTDZ($A$1,$B31,AI$1,$B$1)</f>
        <v>0</v>
      </c>
      <c r="AJ31" s="126" cm="1">
        <f t="array" ref="AJ31">+_xll.EQNXTDZ($A$1,$B31,AJ$1,$B$1)</f>
        <v>0</v>
      </c>
      <c r="AK31" s="126" cm="1">
        <f t="array" ref="AK31">+_xll.EQNXTDZ($A$1,$B31,AK$1,$B$1)</f>
        <v>0</v>
      </c>
      <c r="AL31" s="126" cm="1">
        <f t="array" ref="AL31">+_xll.EQNXTDZ($A$1,$B31,AL$1,$B$1)</f>
        <v>0</v>
      </c>
      <c r="AM31" s="126" cm="1">
        <f t="array" ref="AM31">+_xll.EQNXTDZ($A$1,$B31,AM$1,$B$1)</f>
        <v>0</v>
      </c>
      <c r="AN31" s="126" cm="1">
        <f t="array" ref="AN31">+_xll.EQNXTDZ($A$1,$B31,AN$1,$B$1)</f>
        <v>2323.9</v>
      </c>
      <c r="AO31" s="126" cm="1">
        <f t="array" ref="AO31">+_xll.EQNXTDZ($A$1,$B31,AO$1,$B$1)</f>
        <v>2445.8000000000002</v>
      </c>
      <c r="AP31" s="126" cm="1">
        <f t="array" ref="AP31">+_xll.EQNXTDZ($A$1,$B31,AP$1,$B$1)</f>
        <v>2334.1999999999998</v>
      </c>
      <c r="AQ31" s="126" cm="1">
        <f t="array" ref="AQ31">+_xll.EQNXTDZ($A$1,$B31,AQ$1,$B$1)</f>
        <v>2408.5</v>
      </c>
      <c r="AR31" s="126" cm="1">
        <f t="array" ref="AR31">+_xll.EQNXTDZ($A$1,$B31,AR$1,$B$1)</f>
        <v>2523.6</v>
      </c>
      <c r="AS31" s="126" cm="1">
        <f t="array" ref="AS31">+_xll.EQNXTDZ($A$1,$B31,AS$1,$B$1)</f>
        <v>2528.6</v>
      </c>
      <c r="AT31" s="126" cm="1">
        <f t="array" ref="AT31">+_xll.EQNXTDZ($A$1,$B31,AT$1,$B$1)</f>
        <v>2615.5</v>
      </c>
      <c r="AU31" s="126" cm="1">
        <f t="array" ref="AU31">+_xll.EQNXTDZ($A$1,$B31,AU$1,$B$1)</f>
        <v>2748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0</v>
      </c>
      <c r="D32" s="126" cm="1">
        <f t="array" ref="D32">+_xll.EQNXTDZ($A$1,$B32,D$1,$B$1)</f>
        <v>0</v>
      </c>
      <c r="E32" s="126" cm="1">
        <f t="array" ref="E32">+_xll.EQNXTDZ($A$1,$B32,E$1,$B$1)</f>
        <v>0</v>
      </c>
      <c r="F32" s="126" cm="1">
        <f t="array" ref="F32">+_xll.EQNXTDZ($A$1,$B32,F$1,$B$1)</f>
        <v>0</v>
      </c>
      <c r="G32" s="126" cm="1">
        <f t="array" ref="G32">+_xll.EQNXTDZ($A$1,$B32,G$1,$B$1)</f>
        <v>0</v>
      </c>
      <c r="H32" s="126" cm="1">
        <f t="array" ref="H32">+_xll.EQNXTDZ($A$1,$B32,H$1,$B$1)</f>
        <v>0</v>
      </c>
      <c r="I32" s="126" cm="1">
        <f t="array" ref="I32">+_xll.EQNXTDZ($A$1,$B32,I$1,$B$1)</f>
        <v>0</v>
      </c>
      <c r="J32" s="126" cm="1">
        <f t="array" ref="J32">+_xll.EQNXTDZ($A$1,$B32,J$1,$B$1)</f>
        <v>0</v>
      </c>
      <c r="K32" s="126" cm="1">
        <f t="array" ref="K32">+_xll.EQNXTDZ($A$1,$B32,K$1,$B$1)</f>
        <v>0</v>
      </c>
      <c r="L32" s="126" cm="1">
        <f t="array" ref="L32">+_xll.EQNXTDZ($A$1,$B32,L$1,$B$1)</f>
        <v>0</v>
      </c>
      <c r="M32" s="126" cm="1">
        <f t="array" ref="M32">+_xll.EQNXTDZ($A$1,$B32,M$1,$B$1)</f>
        <v>0</v>
      </c>
      <c r="N32" s="126" cm="1">
        <f t="array" ref="N32">+_xll.EQNXTDZ($A$1,$B32,N$1,$B$1)</f>
        <v>0</v>
      </c>
      <c r="O32" s="126" cm="1">
        <f t="array" ref="O32">+_xll.EQNXTDZ($A$1,$B32,O$1,$B$1)</f>
        <v>0</v>
      </c>
      <c r="P32" s="126" cm="1">
        <f t="array" ref="P32">+_xll.EQNXTDZ($A$1,$B32,P$1,$B$1)</f>
        <v>0</v>
      </c>
      <c r="Q32" s="126" cm="1">
        <f t="array" ref="Q32">+_xll.EQNXTDZ($A$1,$B32,Q$1,$B$1)</f>
        <v>0</v>
      </c>
      <c r="R32" s="126" cm="1">
        <f t="array" ref="R32">+_xll.EQNXTDZ($A$1,$B32,R$1,$B$1)</f>
        <v>0</v>
      </c>
      <c r="S32" s="126" cm="1">
        <f t="array" ref="S32">+_xll.EQNXTDZ($A$1,$B32,S$1,$B$1)</f>
        <v>0</v>
      </c>
      <c r="T32" s="126" cm="1">
        <f t="array" ref="T32">+_xll.EQNXTDZ($A$1,$B32,T$1,$B$1)</f>
        <v>0</v>
      </c>
      <c r="U32" s="126" cm="1">
        <f t="array" ref="U32">+_xll.EQNXTDZ($A$1,$B32,U$1,$B$1)</f>
        <v>0</v>
      </c>
      <c r="V32" s="126" cm="1">
        <f t="array" ref="V32">+_xll.EQNXTDZ($A$1,$B32,V$1,$B$1)</f>
        <v>0</v>
      </c>
      <c r="W32" s="126" cm="1">
        <f t="array" ref="W32">+_xll.EQNXTDZ($A$1,$B32,W$1,$B$1)</f>
        <v>0</v>
      </c>
      <c r="X32" s="126" cm="1">
        <f t="array" ref="X32">+_xll.EQNXTDZ($A$1,$B32,X$1,$B$1)</f>
        <v>0</v>
      </c>
      <c r="Y32" s="126" cm="1">
        <f t="array" ref="Y32">+_xll.EQNXTDZ($A$1,$B32,Y$1,$B$1)</f>
        <v>0</v>
      </c>
      <c r="Z32" s="126" cm="1">
        <f t="array" ref="Z32">+_xll.EQNXTDZ($A$1,$B32,Z$1,$B$1)</f>
        <v>0</v>
      </c>
      <c r="AA32" s="126" cm="1">
        <f t="array" ref="AA32">+_xll.EQNXTDZ($A$1,$B32,AA$1,$B$1)</f>
        <v>0</v>
      </c>
      <c r="AB32" s="126" cm="1">
        <f t="array" ref="AB32">+_xll.EQNXTDZ($A$1,$B32,AB$1,$B$1)</f>
        <v>0</v>
      </c>
      <c r="AC32" s="126" cm="1">
        <f t="array" ref="AC32">+_xll.EQNXTDZ($A$1,$B32,AC$1,$B$1)</f>
        <v>0</v>
      </c>
      <c r="AD32" s="126" cm="1">
        <f t="array" ref="AD32">+_xll.EQNXTDZ($A$1,$B32,AD$1,$B$1)</f>
        <v>0</v>
      </c>
      <c r="AE32" s="126" cm="1">
        <f t="array" ref="AE32">+_xll.EQNXTDZ($A$1,$B32,AE$1,$B$1)</f>
        <v>0</v>
      </c>
      <c r="AF32" s="126" cm="1">
        <f t="array" ref="AF32">+_xll.EQNXTDZ($A$1,$B32,AF$1,$B$1)</f>
        <v>0</v>
      </c>
      <c r="AG32" s="126" cm="1">
        <f t="array" ref="AG32">+_xll.EQNXTDZ($A$1,$B32,AG$1,$B$1)</f>
        <v>0</v>
      </c>
      <c r="AH32" s="126" cm="1">
        <f t="array" ref="AH32">+_xll.EQNXTDZ($A$1,$B32,AH$1,$B$1)</f>
        <v>0</v>
      </c>
      <c r="AI32" s="126" cm="1">
        <f t="array" ref="AI32">+_xll.EQNXTDZ($A$1,$B32,AI$1,$B$1)</f>
        <v>0</v>
      </c>
      <c r="AJ32" s="126" cm="1">
        <f t="array" ref="AJ32">+_xll.EQNXTDZ($A$1,$B32,AJ$1,$B$1)</f>
        <v>0</v>
      </c>
      <c r="AK32" s="126" cm="1">
        <f t="array" ref="AK32">+_xll.EQNXTDZ($A$1,$B32,AK$1,$B$1)</f>
        <v>0</v>
      </c>
      <c r="AL32" s="126" cm="1">
        <f t="array" ref="AL32">+_xll.EQNXTDZ($A$1,$B32,AL$1,$B$1)</f>
        <v>0</v>
      </c>
      <c r="AM32" s="126" cm="1">
        <f t="array" ref="AM32">+_xll.EQNXTDZ($A$1,$B32,AM$1,$B$1)</f>
        <v>0</v>
      </c>
      <c r="AN32" s="126" cm="1">
        <f t="array" ref="AN32">+_xll.EQNXTDZ($A$1,$B32,AN$1,$B$1)</f>
        <v>0</v>
      </c>
      <c r="AO32" s="126" cm="1">
        <f t="array" ref="AO32">+_xll.EQNXTDZ($A$1,$B32,AO$1,$B$1)</f>
        <v>0</v>
      </c>
      <c r="AP32" s="126" cm="1">
        <f t="array" ref="AP32">+_xll.EQNXTDZ($A$1,$B32,AP$1,$B$1)</f>
        <v>0</v>
      </c>
      <c r="AQ32" s="126" cm="1">
        <f t="array" ref="AQ32">+_xll.EQNXTDZ($A$1,$B32,AQ$1,$B$1)</f>
        <v>0</v>
      </c>
      <c r="AR32" s="126" cm="1">
        <f t="array" ref="AR32">+_xll.EQNXTDZ($A$1,$B32,AR$1,$B$1)</f>
        <v>0</v>
      </c>
      <c r="AS32" s="126" cm="1">
        <f t="array" ref="AS32">+_xll.EQNXTDZ($A$1,$B32,AS$1,$B$1)</f>
        <v>0</v>
      </c>
      <c r="AT32" s="126" cm="1">
        <f t="array" ref="AT32">+_xll.EQNXTDZ($A$1,$B32,AT$1,$B$1)</f>
        <v>0</v>
      </c>
      <c r="AU32" s="126" cm="1">
        <f t="array" ref="AU32">+_xll.EQNXTDZ($A$1,$B32,AU$1,$B$1)</f>
        <v>0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0</v>
      </c>
      <c r="D33" s="126" cm="1">
        <f t="array" ref="D33">+_xll.EQNXTDZ($A$1,$B33,D$1,$B$1)</f>
        <v>0</v>
      </c>
      <c r="E33" s="126" cm="1">
        <f t="array" ref="E33">+_xll.EQNXTDZ($A$1,$B33,E$1,$B$1)</f>
        <v>0</v>
      </c>
      <c r="F33" s="126" cm="1">
        <f t="array" ref="F33">+_xll.EQNXTDZ($A$1,$B33,F$1,$B$1)</f>
        <v>0</v>
      </c>
      <c r="G33" s="126" cm="1">
        <f t="array" ref="G33">+_xll.EQNXTDZ($A$1,$B33,G$1,$B$1)</f>
        <v>0</v>
      </c>
      <c r="H33" s="126" cm="1">
        <f t="array" ref="H33">+_xll.EQNXTDZ($A$1,$B33,H$1,$B$1)</f>
        <v>0</v>
      </c>
      <c r="I33" s="126" cm="1">
        <f t="array" ref="I33">+_xll.EQNXTDZ($A$1,$B33,I$1,$B$1)</f>
        <v>0</v>
      </c>
      <c r="J33" s="126" cm="1">
        <f t="array" ref="J33">+_xll.EQNXTDZ($A$1,$B33,J$1,$B$1)</f>
        <v>0</v>
      </c>
      <c r="K33" s="126" cm="1">
        <f t="array" ref="K33">+_xll.EQNXTDZ($A$1,$B33,K$1,$B$1)</f>
        <v>0</v>
      </c>
      <c r="L33" s="126" cm="1">
        <f t="array" ref="L33">+_xll.EQNXTDZ($A$1,$B33,L$1,$B$1)</f>
        <v>0</v>
      </c>
      <c r="M33" s="126" cm="1">
        <f t="array" ref="M33">+_xll.EQNXTDZ($A$1,$B33,M$1,$B$1)</f>
        <v>0</v>
      </c>
      <c r="N33" s="126" cm="1">
        <f t="array" ref="N33">+_xll.EQNXTDZ($A$1,$B33,N$1,$B$1)</f>
        <v>0</v>
      </c>
      <c r="O33" s="126" cm="1">
        <f t="array" ref="O33">+_xll.EQNXTDZ($A$1,$B33,O$1,$B$1)</f>
        <v>0</v>
      </c>
      <c r="P33" s="126" cm="1">
        <f t="array" ref="P33">+_xll.EQNXTDZ($A$1,$B33,P$1,$B$1)</f>
        <v>0</v>
      </c>
      <c r="Q33" s="126" cm="1">
        <f t="array" ref="Q33">+_xll.EQNXTDZ($A$1,$B33,Q$1,$B$1)</f>
        <v>0</v>
      </c>
      <c r="R33" s="126" cm="1">
        <f t="array" ref="R33">+_xll.EQNXTDZ($A$1,$B33,R$1,$B$1)</f>
        <v>0</v>
      </c>
      <c r="S33" s="126" cm="1">
        <f t="array" ref="S33">+_xll.EQNXTDZ($A$1,$B33,S$1,$B$1)</f>
        <v>0</v>
      </c>
      <c r="T33" s="126" cm="1">
        <f t="array" ref="T33">+_xll.EQNXTDZ($A$1,$B33,T$1,$B$1)</f>
        <v>0</v>
      </c>
      <c r="U33" s="126" cm="1">
        <f t="array" ref="U33">+_xll.EQNXTDZ($A$1,$B33,U$1,$B$1)</f>
        <v>0</v>
      </c>
      <c r="V33" s="126" cm="1">
        <f t="array" ref="V33">+_xll.EQNXTDZ($A$1,$B33,V$1,$B$1)</f>
        <v>0</v>
      </c>
      <c r="W33" s="126" cm="1">
        <f t="array" ref="W33">+_xll.EQNXTDZ($A$1,$B33,W$1,$B$1)</f>
        <v>0</v>
      </c>
      <c r="X33" s="126" cm="1">
        <f t="array" ref="X33">+_xll.EQNXTDZ($A$1,$B33,X$1,$B$1)</f>
        <v>0</v>
      </c>
      <c r="Y33" s="126" cm="1">
        <f t="array" ref="Y33">+_xll.EQNXTDZ($A$1,$B33,Y$1,$B$1)</f>
        <v>0</v>
      </c>
      <c r="Z33" s="126" cm="1">
        <f t="array" ref="Z33">+_xll.EQNXTDZ($A$1,$B33,Z$1,$B$1)</f>
        <v>0</v>
      </c>
      <c r="AA33" s="126" cm="1">
        <f t="array" ref="AA33">+_xll.EQNXTDZ($A$1,$B33,AA$1,$B$1)</f>
        <v>0</v>
      </c>
      <c r="AB33" s="126" cm="1">
        <f t="array" ref="AB33">+_xll.EQNXTDZ($A$1,$B33,AB$1,$B$1)</f>
        <v>0</v>
      </c>
      <c r="AC33" s="126" cm="1">
        <f t="array" ref="AC33">+_xll.EQNXTDZ($A$1,$B33,AC$1,$B$1)</f>
        <v>0</v>
      </c>
      <c r="AD33" s="126" cm="1">
        <f t="array" ref="AD33">+_xll.EQNXTDZ($A$1,$B33,AD$1,$B$1)</f>
        <v>0</v>
      </c>
      <c r="AE33" s="126" cm="1">
        <f t="array" ref="AE33">+_xll.EQNXTDZ($A$1,$B33,AE$1,$B$1)</f>
        <v>0</v>
      </c>
      <c r="AF33" s="126" cm="1">
        <f t="array" ref="AF33">+_xll.EQNXTDZ($A$1,$B33,AF$1,$B$1)</f>
        <v>0</v>
      </c>
      <c r="AG33" s="126" cm="1">
        <f t="array" ref="AG33">+_xll.EQNXTDZ($A$1,$B33,AG$1,$B$1)</f>
        <v>0</v>
      </c>
      <c r="AH33" s="126" cm="1">
        <f t="array" ref="AH33">+_xll.EQNXTDZ($A$1,$B33,AH$1,$B$1)</f>
        <v>0</v>
      </c>
      <c r="AI33" s="126" cm="1">
        <f t="array" ref="AI33">+_xll.EQNXTDZ($A$1,$B33,AI$1,$B$1)</f>
        <v>0</v>
      </c>
      <c r="AJ33" s="126" cm="1">
        <f t="array" ref="AJ33">+_xll.EQNXTDZ($A$1,$B33,AJ$1,$B$1)</f>
        <v>0</v>
      </c>
      <c r="AK33" s="126" cm="1">
        <f t="array" ref="AK33">+_xll.EQNXTDZ($A$1,$B33,AK$1,$B$1)</f>
        <v>0</v>
      </c>
      <c r="AL33" s="126" cm="1">
        <f t="array" ref="AL33">+_xll.EQNXTDZ($A$1,$B33,AL$1,$B$1)</f>
        <v>0</v>
      </c>
      <c r="AM33" s="126" cm="1">
        <f t="array" ref="AM33">+_xll.EQNXTDZ($A$1,$B33,AM$1,$B$1)</f>
        <v>0</v>
      </c>
      <c r="AN33" s="126" cm="1">
        <f t="array" ref="AN33">+_xll.EQNXTDZ($A$1,$B33,AN$1,$B$1)</f>
        <v>1496.4</v>
      </c>
      <c r="AO33" s="126" cm="1">
        <f t="array" ref="AO33">+_xll.EQNXTDZ($A$1,$B33,AO$1,$B$1)</f>
        <v>1598.5</v>
      </c>
      <c r="AP33" s="126" cm="1">
        <f t="array" ref="AP33">+_xll.EQNXTDZ($A$1,$B33,AP$1,$B$1)</f>
        <v>1644.8</v>
      </c>
      <c r="AQ33" s="126" cm="1">
        <f t="array" ref="AQ33">+_xll.EQNXTDZ($A$1,$B33,AQ$1,$B$1)</f>
        <v>1650.5</v>
      </c>
      <c r="AR33" s="126" cm="1">
        <f t="array" ref="AR33">+_xll.EQNXTDZ($A$1,$B33,AR$1,$B$1)</f>
        <v>1739.7</v>
      </c>
      <c r="AS33" s="126" cm="1">
        <f t="array" ref="AS33">+_xll.EQNXTDZ($A$1,$B33,AS$1,$B$1)</f>
        <v>1694</v>
      </c>
      <c r="AT33" s="126" cm="1">
        <f t="array" ref="AT33">+_xll.EQNXTDZ($A$1,$B33,AT$1,$B$1)</f>
        <v>1704</v>
      </c>
      <c r="AU33" s="126" cm="1">
        <f t="array" ref="AU33">+_xll.EQNXTDZ($A$1,$B33,AU$1,$B$1)</f>
        <v>1682.5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0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0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0</v>
      </c>
      <c r="AT34" s="126" cm="1">
        <f t="array" ref="AT34">+_xll.EQNXTDZ($A$1,$B34,AT$1,$B$1)</f>
        <v>0</v>
      </c>
      <c r="AU34" s="126" cm="1">
        <f t="array" ref="AU34">+_xll.EQNXTDZ($A$1,$B34,AU$1,$B$1)</f>
        <v>0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0</v>
      </c>
      <c r="D37" s="126" cm="1">
        <f t="array" ref="D37">+_xll.EQNXTDZ($A$1,$B37,D$1,$B$1)</f>
        <v>0</v>
      </c>
      <c r="E37" s="126" cm="1">
        <f t="array" ref="E37">+_xll.EQNXTDZ($A$1,$B37,E$1,$B$1)</f>
        <v>0</v>
      </c>
      <c r="F37" s="126" cm="1">
        <f t="array" ref="F37">+_xll.EQNXTDZ($A$1,$B37,F$1,$B$1)</f>
        <v>0</v>
      </c>
      <c r="G37" s="126" cm="1">
        <f t="array" ref="G37">+_xll.EQNXTDZ($A$1,$B37,G$1,$B$1)</f>
        <v>0</v>
      </c>
      <c r="H37" s="126" cm="1">
        <f t="array" ref="H37">+_xll.EQNXTDZ($A$1,$B37,H$1,$B$1)</f>
        <v>0</v>
      </c>
      <c r="I37" s="126" cm="1">
        <f t="array" ref="I37">+_xll.EQNXTDZ($A$1,$B37,I$1,$B$1)</f>
        <v>0</v>
      </c>
      <c r="J37" s="126" cm="1">
        <f t="array" ref="J37">+_xll.EQNXTDZ($A$1,$B37,J$1,$B$1)</f>
        <v>0</v>
      </c>
      <c r="K37" s="126" cm="1">
        <f t="array" ref="K37">+_xll.EQNXTDZ($A$1,$B37,K$1,$B$1)</f>
        <v>0</v>
      </c>
      <c r="L37" s="126" cm="1">
        <f t="array" ref="L37">+_xll.EQNXTDZ($A$1,$B37,L$1,$B$1)</f>
        <v>0</v>
      </c>
      <c r="M37" s="126" cm="1">
        <f t="array" ref="M37">+_xll.EQNXTDZ($A$1,$B37,M$1,$B$1)</f>
        <v>0</v>
      </c>
      <c r="N37" s="126" cm="1">
        <f t="array" ref="N37">+_xll.EQNXTDZ($A$1,$B37,N$1,$B$1)</f>
        <v>0</v>
      </c>
      <c r="O37" s="126" cm="1">
        <f t="array" ref="O37">+_xll.EQNXTDZ($A$1,$B37,O$1,$B$1)</f>
        <v>0</v>
      </c>
      <c r="P37" s="126" cm="1">
        <f t="array" ref="P37">+_xll.EQNXTDZ($A$1,$B37,P$1,$B$1)</f>
        <v>0</v>
      </c>
      <c r="Q37" s="126" cm="1">
        <f t="array" ref="Q37">+_xll.EQNXTDZ($A$1,$B37,Q$1,$B$1)</f>
        <v>0</v>
      </c>
      <c r="R37" s="126" cm="1">
        <f t="array" ref="R37">+_xll.EQNXTDZ($A$1,$B37,R$1,$B$1)</f>
        <v>0</v>
      </c>
      <c r="S37" s="126" cm="1">
        <f t="array" ref="S37">+_xll.EQNXTDZ($A$1,$B37,S$1,$B$1)</f>
        <v>0</v>
      </c>
      <c r="T37" s="126" cm="1">
        <f t="array" ref="T37">+_xll.EQNXTDZ($A$1,$B37,T$1,$B$1)</f>
        <v>0</v>
      </c>
      <c r="U37" s="126" cm="1">
        <f t="array" ref="U37">+_xll.EQNXTDZ($A$1,$B37,U$1,$B$1)</f>
        <v>0</v>
      </c>
      <c r="V37" s="126" cm="1">
        <f t="array" ref="V37">+_xll.EQNXTDZ($A$1,$B37,V$1,$B$1)</f>
        <v>0</v>
      </c>
      <c r="W37" s="126" cm="1">
        <f t="array" ref="W37">+_xll.EQNXTDZ($A$1,$B37,W$1,$B$1)</f>
        <v>0</v>
      </c>
      <c r="X37" s="126" cm="1">
        <f t="array" ref="X37">+_xll.EQNXTDZ($A$1,$B37,X$1,$B$1)</f>
        <v>0</v>
      </c>
      <c r="Y37" s="126" cm="1">
        <f t="array" ref="Y37">+_xll.EQNXTDZ($A$1,$B37,Y$1,$B$1)</f>
        <v>0</v>
      </c>
      <c r="Z37" s="126" cm="1">
        <f t="array" ref="Z37">+_xll.EQNXTDZ($A$1,$B37,Z$1,$B$1)</f>
        <v>0</v>
      </c>
      <c r="AA37" s="126" cm="1">
        <f t="array" ref="AA37">+_xll.EQNXTDZ($A$1,$B37,AA$1,$B$1)</f>
        <v>0</v>
      </c>
      <c r="AB37" s="126" cm="1">
        <f t="array" ref="AB37">+_xll.EQNXTDZ($A$1,$B37,AB$1,$B$1)</f>
        <v>0</v>
      </c>
      <c r="AC37" s="126" cm="1">
        <f t="array" ref="AC37">+_xll.EQNXTDZ($A$1,$B37,AC$1,$B$1)</f>
        <v>0</v>
      </c>
      <c r="AD37" s="126" cm="1">
        <f t="array" ref="AD37">+_xll.EQNXTDZ($A$1,$B37,AD$1,$B$1)</f>
        <v>0</v>
      </c>
      <c r="AE37" s="126" cm="1">
        <f t="array" ref="AE37">+_xll.EQNXTDZ($A$1,$B37,AE$1,$B$1)</f>
        <v>0</v>
      </c>
      <c r="AF37" s="126" cm="1">
        <f t="array" ref="AF37">+_xll.EQNXTDZ($A$1,$B37,AF$1,$B$1)</f>
        <v>0</v>
      </c>
      <c r="AG37" s="126" cm="1">
        <f t="array" ref="AG37">+_xll.EQNXTDZ($A$1,$B37,AG$1,$B$1)</f>
        <v>0</v>
      </c>
      <c r="AH37" s="126" cm="1">
        <f t="array" ref="AH37">+_xll.EQNXTDZ($A$1,$B37,AH$1,$B$1)</f>
        <v>0</v>
      </c>
      <c r="AI37" s="126" cm="1">
        <f t="array" ref="AI37">+_xll.EQNXTDZ($A$1,$B37,AI$1,$B$1)</f>
        <v>0</v>
      </c>
      <c r="AJ37" s="126" cm="1">
        <f t="array" ref="AJ37">+_xll.EQNXTDZ($A$1,$B37,AJ$1,$B$1)</f>
        <v>0</v>
      </c>
      <c r="AK37" s="126" cm="1">
        <f t="array" ref="AK37">+_xll.EQNXTDZ($A$1,$B37,AK$1,$B$1)</f>
        <v>0</v>
      </c>
      <c r="AL37" s="126" cm="1">
        <f t="array" ref="AL37">+_xll.EQNXTDZ($A$1,$B37,AL$1,$B$1)</f>
        <v>0</v>
      </c>
      <c r="AM37" s="126" cm="1">
        <f t="array" ref="AM37">+_xll.EQNXTDZ($A$1,$B37,AM$1,$B$1)</f>
        <v>0</v>
      </c>
      <c r="AN37" s="126" cm="1">
        <f t="array" ref="AN37">+_xll.EQNXTDZ($A$1,$B37,AN$1,$B$1)</f>
        <v>43.8</v>
      </c>
      <c r="AO37" s="126" cm="1">
        <f t="array" ref="AO37">+_xll.EQNXTDZ($A$1,$B37,AO$1,$B$1)</f>
        <v>48.2</v>
      </c>
      <c r="AP37" s="126" cm="1">
        <f t="array" ref="AP37">+_xll.EQNXTDZ($A$1,$B37,AP$1,$B$1)</f>
        <v>48.6</v>
      </c>
      <c r="AQ37" s="126" cm="1">
        <f t="array" ref="AQ37">+_xll.EQNXTDZ($A$1,$B37,AQ$1,$B$1)</f>
        <v>53.8</v>
      </c>
      <c r="AR37" s="126" cm="1">
        <f t="array" ref="AR37">+_xll.EQNXTDZ($A$1,$B37,AR$1,$B$1)</f>
        <v>51.4</v>
      </c>
      <c r="AS37" s="126" cm="1">
        <f t="array" ref="AS37">+_xll.EQNXTDZ($A$1,$B37,AS$1,$B$1)</f>
        <v>52.4</v>
      </c>
      <c r="AT37" s="126" cm="1">
        <f t="array" ref="AT37">+_xll.EQNXTDZ($A$1,$B37,AT$1,$B$1)</f>
        <v>51.2</v>
      </c>
      <c r="AU37" s="126" cm="1">
        <f t="array" ref="AU37">+_xll.EQNXTDZ($A$1,$B37,AU$1,$B$1)</f>
        <v>54.3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0</v>
      </c>
      <c r="D38" s="126" cm="1">
        <f t="array" ref="D38">+_xll.EQNXTDZ($A$1,$B38,D$1,$B$1)</f>
        <v>0</v>
      </c>
      <c r="E38" s="126" cm="1">
        <f t="array" ref="E38">+_xll.EQNXTDZ($A$1,$B38,E$1,$B$1)</f>
        <v>0</v>
      </c>
      <c r="F38" s="126" cm="1">
        <f t="array" ref="F38">+_xll.EQNXTDZ($A$1,$B38,F$1,$B$1)</f>
        <v>0</v>
      </c>
      <c r="G38" s="126" cm="1">
        <f t="array" ref="G38">+_xll.EQNXTDZ($A$1,$B38,G$1,$B$1)</f>
        <v>0</v>
      </c>
      <c r="H38" s="126" cm="1">
        <f t="array" ref="H38">+_xll.EQNXTDZ($A$1,$B38,H$1,$B$1)</f>
        <v>0</v>
      </c>
      <c r="I38" s="126" cm="1">
        <f t="array" ref="I38">+_xll.EQNXTDZ($A$1,$B38,I$1,$B$1)</f>
        <v>0</v>
      </c>
      <c r="J38" s="126" cm="1">
        <f t="array" ref="J38">+_xll.EQNXTDZ($A$1,$B38,J$1,$B$1)</f>
        <v>0</v>
      </c>
      <c r="K38" s="126" cm="1">
        <f t="array" ref="K38">+_xll.EQNXTDZ($A$1,$B38,K$1,$B$1)</f>
        <v>0</v>
      </c>
      <c r="L38" s="126" cm="1">
        <f t="array" ref="L38">+_xll.EQNXTDZ($A$1,$B38,L$1,$B$1)</f>
        <v>0</v>
      </c>
      <c r="M38" s="126" cm="1">
        <f t="array" ref="M38">+_xll.EQNXTDZ($A$1,$B38,M$1,$B$1)</f>
        <v>0</v>
      </c>
      <c r="N38" s="126" cm="1">
        <f t="array" ref="N38">+_xll.EQNXTDZ($A$1,$B38,N$1,$B$1)</f>
        <v>0</v>
      </c>
      <c r="O38" s="126" cm="1">
        <f t="array" ref="O38">+_xll.EQNXTDZ($A$1,$B38,O$1,$B$1)</f>
        <v>0</v>
      </c>
      <c r="P38" s="126" cm="1">
        <f t="array" ref="P38">+_xll.EQNXTDZ($A$1,$B38,P$1,$B$1)</f>
        <v>0</v>
      </c>
      <c r="Q38" s="126" cm="1">
        <f t="array" ref="Q38">+_xll.EQNXTDZ($A$1,$B38,Q$1,$B$1)</f>
        <v>0</v>
      </c>
      <c r="R38" s="126" cm="1">
        <f t="array" ref="R38">+_xll.EQNXTDZ($A$1,$B38,R$1,$B$1)</f>
        <v>0</v>
      </c>
      <c r="S38" s="126" cm="1">
        <f t="array" ref="S38">+_xll.EQNXTDZ($A$1,$B38,S$1,$B$1)</f>
        <v>0</v>
      </c>
      <c r="T38" s="126" cm="1">
        <f t="array" ref="T38">+_xll.EQNXTDZ($A$1,$B38,T$1,$B$1)</f>
        <v>0</v>
      </c>
      <c r="U38" s="126" cm="1">
        <f t="array" ref="U38">+_xll.EQNXTDZ($A$1,$B38,U$1,$B$1)</f>
        <v>0</v>
      </c>
      <c r="V38" s="126" cm="1">
        <f t="array" ref="V38">+_xll.EQNXTDZ($A$1,$B38,V$1,$B$1)</f>
        <v>0</v>
      </c>
      <c r="W38" s="126" cm="1">
        <f t="array" ref="W38">+_xll.EQNXTDZ($A$1,$B38,W$1,$B$1)</f>
        <v>0</v>
      </c>
      <c r="X38" s="126" cm="1">
        <f t="array" ref="X38">+_xll.EQNXTDZ($A$1,$B38,X$1,$B$1)</f>
        <v>0</v>
      </c>
      <c r="Y38" s="126" cm="1">
        <f t="array" ref="Y38">+_xll.EQNXTDZ($A$1,$B38,Y$1,$B$1)</f>
        <v>0</v>
      </c>
      <c r="Z38" s="126" cm="1">
        <f t="array" ref="Z38">+_xll.EQNXTDZ($A$1,$B38,Z$1,$B$1)</f>
        <v>0</v>
      </c>
      <c r="AA38" s="126" cm="1">
        <f t="array" ref="AA38">+_xll.EQNXTDZ($A$1,$B38,AA$1,$B$1)</f>
        <v>0</v>
      </c>
      <c r="AB38" s="126" cm="1">
        <f t="array" ref="AB38">+_xll.EQNXTDZ($A$1,$B38,AB$1,$B$1)</f>
        <v>0</v>
      </c>
      <c r="AC38" s="126" cm="1">
        <f t="array" ref="AC38">+_xll.EQNXTDZ($A$1,$B38,AC$1,$B$1)</f>
        <v>0</v>
      </c>
      <c r="AD38" s="126" cm="1">
        <f t="array" ref="AD38">+_xll.EQNXTDZ($A$1,$B38,AD$1,$B$1)</f>
        <v>0</v>
      </c>
      <c r="AE38" s="126" cm="1">
        <f t="array" ref="AE38">+_xll.EQNXTDZ($A$1,$B38,AE$1,$B$1)</f>
        <v>0</v>
      </c>
      <c r="AF38" s="126" cm="1">
        <f t="array" ref="AF38">+_xll.EQNXTDZ($A$1,$B38,AF$1,$B$1)</f>
        <v>0</v>
      </c>
      <c r="AG38" s="126" cm="1">
        <f t="array" ref="AG38">+_xll.EQNXTDZ($A$1,$B38,AG$1,$B$1)</f>
        <v>0</v>
      </c>
      <c r="AH38" s="126" cm="1">
        <f t="array" ref="AH38">+_xll.EQNXTDZ($A$1,$B38,AH$1,$B$1)</f>
        <v>0</v>
      </c>
      <c r="AI38" s="126" cm="1">
        <f t="array" ref="AI38">+_xll.EQNXTDZ($A$1,$B38,AI$1,$B$1)</f>
        <v>0</v>
      </c>
      <c r="AJ38" s="126" cm="1">
        <f t="array" ref="AJ38">+_xll.EQNXTDZ($A$1,$B38,AJ$1,$B$1)</f>
        <v>0</v>
      </c>
      <c r="AK38" s="126" cm="1">
        <f t="array" ref="AK38">+_xll.EQNXTDZ($A$1,$B38,AK$1,$B$1)</f>
        <v>0</v>
      </c>
      <c r="AL38" s="126" cm="1">
        <f t="array" ref="AL38">+_xll.EQNXTDZ($A$1,$B38,AL$1,$B$1)</f>
        <v>0</v>
      </c>
      <c r="AM38" s="126" cm="1">
        <f t="array" ref="AM38">+_xll.EQNXTDZ($A$1,$B38,AM$1,$B$1)</f>
        <v>0</v>
      </c>
      <c r="AN38" s="126" cm="1">
        <f t="array" ref="AN38">+_xll.EQNXTDZ($A$1,$B38,AN$1,$B$1)</f>
        <v>202</v>
      </c>
      <c r="AO38" s="126" cm="1">
        <f t="array" ref="AO38">+_xll.EQNXTDZ($A$1,$B38,AO$1,$B$1)</f>
        <v>208.1</v>
      </c>
      <c r="AP38" s="126" cm="1">
        <f t="array" ref="AP38">+_xll.EQNXTDZ($A$1,$B38,AP$1,$B$1)</f>
        <v>168.5</v>
      </c>
      <c r="AQ38" s="126" cm="1">
        <f t="array" ref="AQ38">+_xll.EQNXTDZ($A$1,$B38,AQ$1,$B$1)</f>
        <v>173.3</v>
      </c>
      <c r="AR38" s="126" cm="1">
        <f t="array" ref="AR38">+_xll.EQNXTDZ($A$1,$B38,AR$1,$B$1)</f>
        <v>164.8</v>
      </c>
      <c r="AS38" s="126" cm="1">
        <f t="array" ref="AS38">+_xll.EQNXTDZ($A$1,$B38,AS$1,$B$1)</f>
        <v>200.8</v>
      </c>
      <c r="AT38" s="126" cm="1">
        <f t="array" ref="AT38">+_xll.EQNXTDZ($A$1,$B38,AT$1,$B$1)</f>
        <v>216.4</v>
      </c>
      <c r="AU38" s="126" cm="1">
        <f t="array" ref="AU38">+_xll.EQNXTDZ($A$1,$B38,AU$1,$B$1)</f>
        <v>260.60000000000002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</v>
      </c>
      <c r="Q39" s="126" cm="1">
        <f t="array" ref="Q39">+_xll.EQNXTDZ($A$1,$B39,Q$1,$B$1)</f>
        <v>0</v>
      </c>
      <c r="R39" s="126" cm="1">
        <f t="array" ref="R39">+_xll.EQNXTDZ($A$1,$B39,R$1,$B$1)</f>
        <v>0</v>
      </c>
      <c r="S39" s="126" cm="1">
        <f t="array" ref="S39">+_xll.EQNXTDZ($A$1,$B39,S$1,$B$1)</f>
        <v>0</v>
      </c>
      <c r="T39" s="126" cm="1">
        <f t="array" ref="T39">+_xll.EQNXTDZ($A$1,$B39,T$1,$B$1)</f>
        <v>0</v>
      </c>
      <c r="U39" s="126" cm="1">
        <f t="array" ref="U39">+_xll.EQNXTDZ($A$1,$B39,U$1,$B$1)</f>
        <v>0</v>
      </c>
      <c r="V39" s="126" cm="1">
        <f t="array" ref="V39">+_xll.EQNXTDZ($A$1,$B39,V$1,$B$1)</f>
        <v>0</v>
      </c>
      <c r="W39" s="126" cm="1">
        <f t="array" ref="W39">+_xll.EQNXTDZ($A$1,$B39,W$1,$B$1)</f>
        <v>0</v>
      </c>
      <c r="X39" s="126" cm="1">
        <f t="array" ref="X39">+_xll.EQNXTDZ($A$1,$B39,X$1,$B$1)</f>
        <v>0</v>
      </c>
      <c r="Y39" s="126" cm="1">
        <f t="array" ref="Y39">+_xll.EQNXTDZ($A$1,$B39,Y$1,$B$1)</f>
        <v>0</v>
      </c>
      <c r="Z39" s="126" cm="1">
        <f t="array" ref="Z39">+_xll.EQNXTDZ($A$1,$B39,Z$1,$B$1)</f>
        <v>0</v>
      </c>
      <c r="AA39" s="126" cm="1">
        <f t="array" ref="AA39">+_xll.EQNXTDZ($A$1,$B39,AA$1,$B$1)</f>
        <v>0</v>
      </c>
      <c r="AB39" s="126" cm="1">
        <f t="array" ref="AB39">+_xll.EQNXTDZ($A$1,$B39,AB$1,$B$1)</f>
        <v>0</v>
      </c>
      <c r="AC39" s="126" cm="1">
        <f t="array" ref="AC39">+_xll.EQNXTDZ($A$1,$B39,AC$1,$B$1)</f>
        <v>0</v>
      </c>
      <c r="AD39" s="126" cm="1">
        <f t="array" ref="AD39">+_xll.EQNXTDZ($A$1,$B39,AD$1,$B$1)</f>
        <v>0</v>
      </c>
      <c r="AE39" s="126" cm="1">
        <f t="array" ref="AE39">+_xll.EQNXTDZ($A$1,$B39,AE$1,$B$1)</f>
        <v>0</v>
      </c>
      <c r="AF39" s="126" cm="1">
        <f t="array" ref="AF39">+_xll.EQNXTDZ($A$1,$B39,AF$1,$B$1)</f>
        <v>0</v>
      </c>
      <c r="AG39" s="126" cm="1">
        <f t="array" ref="AG39">+_xll.EQNXTDZ($A$1,$B39,AG$1,$B$1)</f>
        <v>0</v>
      </c>
      <c r="AH39" s="126" cm="1">
        <f t="array" ref="AH39">+_xll.EQNXTDZ($A$1,$B39,AH$1,$B$1)</f>
        <v>0</v>
      </c>
      <c r="AI39" s="126" cm="1">
        <f t="array" ref="AI39">+_xll.EQNXTDZ($A$1,$B39,AI$1,$B$1)</f>
        <v>0</v>
      </c>
      <c r="AJ39" s="126" cm="1">
        <f t="array" ref="AJ39">+_xll.EQNXTDZ($A$1,$B39,AJ$1,$B$1)</f>
        <v>0</v>
      </c>
      <c r="AK39" s="126" cm="1">
        <f t="array" ref="AK39">+_xll.EQNXTDZ($A$1,$B39,AK$1,$B$1)</f>
        <v>0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0</v>
      </c>
      <c r="AT39" s="126" cm="1">
        <f t="array" ref="AT39">+_xll.EQNXTDZ($A$1,$B39,AT$1,$B$1)</f>
        <v>0</v>
      </c>
      <c r="AU39" s="126" cm="1">
        <f t="array" ref="AU39">+_xll.EQNXTDZ($A$1,$B39,AU$1,$B$1)</f>
        <v>0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0</v>
      </c>
      <c r="Q40" s="126" cm="1">
        <f t="array" ref="Q40">+_xll.EQNXTDZ($A$1,$B40,Q$1,$B$1)</f>
        <v>0</v>
      </c>
      <c r="R40" s="126" cm="1">
        <f t="array" ref="R40">+_xll.EQNXTDZ($A$1,$B40,R$1,$B$1)</f>
        <v>0</v>
      </c>
      <c r="S40" s="126" cm="1">
        <f t="array" ref="S40">+_xll.EQNXTDZ($A$1,$B40,S$1,$B$1)</f>
        <v>0</v>
      </c>
      <c r="T40" s="126" cm="1">
        <f t="array" ref="T40">+_xll.EQNXTDZ($A$1,$B40,T$1,$B$1)</f>
        <v>0</v>
      </c>
      <c r="U40" s="126" cm="1">
        <f t="array" ref="U40">+_xll.EQNXTDZ($A$1,$B40,U$1,$B$1)</f>
        <v>0</v>
      </c>
      <c r="V40" s="126" cm="1">
        <f t="array" ref="V40">+_xll.EQNXTDZ($A$1,$B40,V$1,$B$1)</f>
        <v>0</v>
      </c>
      <c r="W40" s="126" cm="1">
        <f t="array" ref="W40">+_xll.EQNXTDZ($A$1,$B40,W$1,$B$1)</f>
        <v>0</v>
      </c>
      <c r="X40" s="126" cm="1">
        <f t="array" ref="X40">+_xll.EQNXTDZ($A$1,$B40,X$1,$B$1)</f>
        <v>0</v>
      </c>
      <c r="Y40" s="126" cm="1">
        <f t="array" ref="Y40">+_xll.EQNXTDZ($A$1,$B40,Y$1,$B$1)</f>
        <v>0</v>
      </c>
      <c r="Z40" s="126" cm="1">
        <f t="array" ref="Z40">+_xll.EQNXTDZ($A$1,$B40,Z$1,$B$1)</f>
        <v>0</v>
      </c>
      <c r="AA40" s="126" cm="1">
        <f t="array" ref="AA40">+_xll.EQNXTDZ($A$1,$B40,AA$1,$B$1)</f>
        <v>0</v>
      </c>
      <c r="AB40" s="126" cm="1">
        <f t="array" ref="AB40">+_xll.EQNXTDZ($A$1,$B40,AB$1,$B$1)</f>
        <v>0</v>
      </c>
      <c r="AC40" s="126" cm="1">
        <f t="array" ref="AC40">+_xll.EQNXTDZ($A$1,$B40,AC$1,$B$1)</f>
        <v>0</v>
      </c>
      <c r="AD40" s="126" cm="1">
        <f t="array" ref="AD40">+_xll.EQNXTDZ($A$1,$B40,AD$1,$B$1)</f>
        <v>0</v>
      </c>
      <c r="AE40" s="126" cm="1">
        <f t="array" ref="AE40">+_xll.EQNXTDZ($A$1,$B40,AE$1,$B$1)</f>
        <v>0</v>
      </c>
      <c r="AF40" s="126" cm="1">
        <f t="array" ref="AF40">+_xll.EQNXTDZ($A$1,$B40,AF$1,$B$1)</f>
        <v>0</v>
      </c>
      <c r="AG40" s="126" cm="1">
        <f t="array" ref="AG40">+_xll.EQNXTDZ($A$1,$B40,AG$1,$B$1)</f>
        <v>0</v>
      </c>
      <c r="AH40" s="126" cm="1">
        <f t="array" ref="AH40">+_xll.EQNXTDZ($A$1,$B40,AH$1,$B$1)</f>
        <v>0</v>
      </c>
      <c r="AI40" s="126" cm="1">
        <f t="array" ref="AI40">+_xll.EQNXTDZ($A$1,$B40,AI$1,$B$1)</f>
        <v>0</v>
      </c>
      <c r="AJ40" s="126" cm="1">
        <f t="array" ref="AJ40">+_xll.EQNXTDZ($A$1,$B40,AJ$1,$B$1)</f>
        <v>0</v>
      </c>
      <c r="AK40" s="126" cm="1">
        <f t="array" ref="AK40">+_xll.EQNXTDZ($A$1,$B40,AK$1,$B$1)</f>
        <v>0</v>
      </c>
      <c r="AL40" s="126" cm="1">
        <f t="array" ref="AL40">+_xll.EQNXTDZ($A$1,$B40,AL$1,$B$1)</f>
        <v>0</v>
      </c>
      <c r="AM40" s="126" cm="1">
        <f t="array" ref="AM40">+_xll.EQNXTDZ($A$1,$B40,AM$1,$B$1)</f>
        <v>0</v>
      </c>
      <c r="AN40" s="126" cm="1">
        <f t="array" ref="AN40">+_xll.EQNXTDZ($A$1,$B40,AN$1,$B$1)</f>
        <v>0</v>
      </c>
      <c r="AO40" s="126" cm="1">
        <f t="array" ref="AO40">+_xll.EQNXTDZ($A$1,$B40,AO$1,$B$1)</f>
        <v>0</v>
      </c>
      <c r="AP40" s="126" cm="1">
        <f t="array" ref="AP40">+_xll.EQNXTDZ($A$1,$B40,AP$1,$B$1)</f>
        <v>0</v>
      </c>
      <c r="AQ40" s="126" cm="1">
        <f t="array" ref="AQ40">+_xll.EQNXTDZ($A$1,$B40,AQ$1,$B$1)</f>
        <v>0</v>
      </c>
      <c r="AR40" s="126" cm="1">
        <f t="array" ref="AR40">+_xll.EQNXTDZ($A$1,$B40,AR$1,$B$1)</f>
        <v>0</v>
      </c>
      <c r="AS40" s="126" cm="1">
        <f t="array" ref="AS40">+_xll.EQNXTDZ($A$1,$B40,AS$1,$B$1)</f>
        <v>0</v>
      </c>
      <c r="AT40" s="126" cm="1">
        <f t="array" ref="AT40">+_xll.EQNXTDZ($A$1,$B40,AT$1,$B$1)</f>
        <v>0</v>
      </c>
      <c r="AU40" s="126" cm="1">
        <f t="array" ref="AU40">+_xll.EQNXTDZ($A$1,$B40,AU$1,$B$1)</f>
        <v>0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0</v>
      </c>
      <c r="M42" s="126" cm="1">
        <f t="array" ref="M42">+_xll.EQNXTDZ($A$1,$B42,M$1,$B$1)</f>
        <v>0</v>
      </c>
      <c r="N42" s="126" cm="1">
        <f t="array" ref="N42">+_xll.EQNXTDZ($A$1,$B42,N$1,$B$1)</f>
        <v>0</v>
      </c>
      <c r="O42" s="126" cm="1">
        <f t="array" ref="O42">+_xll.EQNXTDZ($A$1,$B42,O$1,$B$1)</f>
        <v>0</v>
      </c>
      <c r="P42" s="126" cm="1">
        <f t="array" ref="P42">+_xll.EQNXTDZ($A$1,$B42,P$1,$B$1)</f>
        <v>0</v>
      </c>
      <c r="Q42" s="126" cm="1">
        <f t="array" ref="Q42">+_xll.EQNXTDZ($A$1,$B42,Q$1,$B$1)</f>
        <v>0</v>
      </c>
      <c r="R42" s="126" cm="1">
        <f t="array" ref="R42">+_xll.EQNXTDZ($A$1,$B42,R$1,$B$1)</f>
        <v>0</v>
      </c>
      <c r="S42" s="126" cm="1">
        <f t="array" ref="S42">+_xll.EQNXTDZ($A$1,$B42,S$1,$B$1)</f>
        <v>0</v>
      </c>
      <c r="T42" s="126" cm="1">
        <f t="array" ref="T42">+_xll.EQNXTDZ($A$1,$B42,T$1,$B$1)</f>
        <v>0</v>
      </c>
      <c r="U42" s="126" cm="1">
        <f t="array" ref="U42">+_xll.EQNXTDZ($A$1,$B42,U$1,$B$1)</f>
        <v>0</v>
      </c>
      <c r="V42" s="126" cm="1">
        <f t="array" ref="V42">+_xll.EQNXTDZ($A$1,$B42,V$1,$B$1)</f>
        <v>0</v>
      </c>
      <c r="W42" s="126" cm="1">
        <f t="array" ref="W42">+_xll.EQNXTDZ($A$1,$B42,W$1,$B$1)</f>
        <v>0</v>
      </c>
      <c r="X42" s="126" cm="1">
        <f t="array" ref="X42">+_xll.EQNXTDZ($A$1,$B42,X$1,$B$1)</f>
        <v>0</v>
      </c>
      <c r="Y42" s="126" cm="1">
        <f t="array" ref="Y42">+_xll.EQNXTDZ($A$1,$B42,Y$1,$B$1)</f>
        <v>0</v>
      </c>
      <c r="Z42" s="126" cm="1">
        <f t="array" ref="Z42">+_xll.EQNXTDZ($A$1,$B42,Z$1,$B$1)</f>
        <v>0</v>
      </c>
      <c r="AA42" s="126" cm="1">
        <f t="array" ref="AA42">+_xll.EQNXTDZ($A$1,$B42,AA$1,$B$1)</f>
        <v>0</v>
      </c>
      <c r="AB42" s="126" cm="1">
        <f t="array" ref="AB42">+_xll.EQNXTDZ($A$1,$B42,AB$1,$B$1)</f>
        <v>0</v>
      </c>
      <c r="AC42" s="126" cm="1">
        <f t="array" ref="AC42">+_xll.EQNXTDZ($A$1,$B42,AC$1,$B$1)</f>
        <v>0</v>
      </c>
      <c r="AD42" s="126" cm="1">
        <f t="array" ref="AD42">+_xll.EQNXTDZ($A$1,$B42,AD$1,$B$1)</f>
        <v>0</v>
      </c>
      <c r="AE42" s="126" cm="1">
        <f t="array" ref="AE42">+_xll.EQNXTDZ($A$1,$B42,AE$1,$B$1)</f>
        <v>0</v>
      </c>
      <c r="AF42" s="126" cm="1">
        <f t="array" ref="AF42">+_xll.EQNXTDZ($A$1,$B42,AF$1,$B$1)</f>
        <v>0</v>
      </c>
      <c r="AG42" s="126" cm="1">
        <f t="array" ref="AG42">+_xll.EQNXTDZ($A$1,$B42,AG$1,$B$1)</f>
        <v>0</v>
      </c>
      <c r="AH42" s="126" cm="1">
        <f t="array" ref="AH42">+_xll.EQNXTDZ($A$1,$B42,AH$1,$B$1)</f>
        <v>0</v>
      </c>
      <c r="AI42" s="126" cm="1">
        <f t="array" ref="AI42">+_xll.EQNXTDZ($A$1,$B42,AI$1,$B$1)</f>
        <v>0</v>
      </c>
      <c r="AJ42" s="126" cm="1">
        <f t="array" ref="AJ42">+_xll.EQNXTDZ($A$1,$B42,AJ$1,$B$1)</f>
        <v>0</v>
      </c>
      <c r="AK42" s="126" cm="1">
        <f t="array" ref="AK42">+_xll.EQNXTDZ($A$1,$B42,AK$1,$B$1)</f>
        <v>0</v>
      </c>
      <c r="AL42" s="126" cm="1">
        <f t="array" ref="AL42">+_xll.EQNXTDZ($A$1,$B42,AL$1,$B$1)</f>
        <v>0</v>
      </c>
      <c r="AM42" s="126" cm="1">
        <f t="array" ref="AM42">+_xll.EQNXTDZ($A$1,$B42,AM$1,$B$1)</f>
        <v>0</v>
      </c>
      <c r="AN42" s="126" cm="1">
        <f t="array" ref="AN42">+_xll.EQNXTDZ($A$1,$B42,AN$1,$B$1)</f>
        <v>-3.9</v>
      </c>
      <c r="AO42" s="126" cm="1">
        <f t="array" ref="AO42">+_xll.EQNXTDZ($A$1,$B42,AO$1,$B$1)</f>
        <v>-25.5</v>
      </c>
      <c r="AP42" s="126" cm="1">
        <f t="array" ref="AP42">+_xll.EQNXTDZ($A$1,$B42,AP$1,$B$1)</f>
        <v>52.2</v>
      </c>
      <c r="AQ42" s="126" cm="1">
        <f t="array" ref="AQ42">+_xll.EQNXTDZ($A$1,$B42,AQ$1,$B$1)</f>
        <v>-70.7</v>
      </c>
      <c r="AR42" s="126" cm="1">
        <f t="array" ref="AR42">+_xll.EQNXTDZ($A$1,$B42,AR$1,$B$1)</f>
        <v>-82.7</v>
      </c>
      <c r="AS42" s="126" cm="1">
        <f t="array" ref="AS42">+_xll.EQNXTDZ($A$1,$B42,AS$1,$B$1)</f>
        <v>46.6</v>
      </c>
      <c r="AT42" s="126" cm="1">
        <f t="array" ref="AT42">+_xll.EQNXTDZ($A$1,$B42,AT$1,$B$1)</f>
        <v>-10.8</v>
      </c>
      <c r="AU42" s="126" cm="1">
        <f t="array" ref="AU42">+_xll.EQNXTDZ($A$1,$B42,AU$1,$B$1)</f>
        <v>50.5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0</v>
      </c>
      <c r="Q43" s="126" cm="1">
        <f t="array" ref="Q43">+_xll.EQNXTDZ($A$1,$B43,Q$1,$B$1)</f>
        <v>0</v>
      </c>
      <c r="R43" s="126" cm="1">
        <f t="array" ref="R43">+_xll.EQNXTDZ($A$1,$B43,R$1,$B$1)</f>
        <v>0</v>
      </c>
      <c r="S43" s="126" cm="1">
        <f t="array" ref="S43">+_xll.EQNXTDZ($A$1,$B43,S$1,$B$1)</f>
        <v>0</v>
      </c>
      <c r="T43" s="126" cm="1">
        <f t="array" ref="T43">+_xll.EQNXTDZ($A$1,$B43,T$1,$B$1)</f>
        <v>0</v>
      </c>
      <c r="U43" s="126" cm="1">
        <f t="array" ref="U43">+_xll.EQNXTDZ($A$1,$B43,U$1,$B$1)</f>
        <v>0</v>
      </c>
      <c r="V43" s="126" cm="1">
        <f t="array" ref="V43">+_xll.EQNXTDZ($A$1,$B43,V$1,$B$1)</f>
        <v>0</v>
      </c>
      <c r="W43" s="126" cm="1">
        <f t="array" ref="W43">+_xll.EQNXTDZ($A$1,$B43,W$1,$B$1)</f>
        <v>0</v>
      </c>
      <c r="X43" s="126" cm="1">
        <f t="array" ref="X43">+_xll.EQNXTDZ($A$1,$B43,X$1,$B$1)</f>
        <v>0</v>
      </c>
      <c r="Y43" s="126" cm="1">
        <f t="array" ref="Y43">+_xll.EQNXTDZ($A$1,$B43,Y$1,$B$1)</f>
        <v>0</v>
      </c>
      <c r="Z43" s="126" cm="1">
        <f t="array" ref="Z43">+_xll.EQNXTDZ($A$1,$B43,Z$1,$B$1)</f>
        <v>0</v>
      </c>
      <c r="AA43" s="126" cm="1">
        <f t="array" ref="AA43">+_xll.EQNXTDZ($A$1,$B43,AA$1,$B$1)</f>
        <v>0</v>
      </c>
      <c r="AB43" s="126" cm="1">
        <f t="array" ref="AB43">+_xll.EQNXTDZ($A$1,$B43,AB$1,$B$1)</f>
        <v>0</v>
      </c>
      <c r="AC43" s="126" cm="1">
        <f t="array" ref="AC43">+_xll.EQNXTDZ($A$1,$B43,AC$1,$B$1)</f>
        <v>0</v>
      </c>
      <c r="AD43" s="126" cm="1">
        <f t="array" ref="AD43">+_xll.EQNXTDZ($A$1,$B43,AD$1,$B$1)</f>
        <v>0</v>
      </c>
      <c r="AE43" s="126" cm="1">
        <f t="array" ref="AE43">+_xll.EQNXTDZ($A$1,$B43,AE$1,$B$1)</f>
        <v>0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</v>
      </c>
      <c r="AI43" s="126" cm="1">
        <f t="array" ref="AI43">+_xll.EQNXTDZ($A$1,$B43,AI$1,$B$1)</f>
        <v>0</v>
      </c>
      <c r="AJ43" s="126" cm="1">
        <f t="array" ref="AJ43">+_xll.EQNXTDZ($A$1,$B43,AJ$1,$B$1)</f>
        <v>0</v>
      </c>
      <c r="AK43" s="126" cm="1">
        <f t="array" ref="AK43">+_xll.EQNXTDZ($A$1,$B43,AK$1,$B$1)</f>
        <v>0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0</v>
      </c>
      <c r="D44" s="126" cm="1">
        <f t="array" ref="D44">+_xll.EQNXTDZ($A$1,$B44,D$1,$B$1)</f>
        <v>0</v>
      </c>
      <c r="E44" s="126" cm="1">
        <f t="array" ref="E44">+_xll.EQNXTDZ($A$1,$B44,E$1,$B$1)</f>
        <v>0</v>
      </c>
      <c r="F44" s="126" cm="1">
        <f t="array" ref="F44">+_xll.EQNXTDZ($A$1,$B44,F$1,$B$1)</f>
        <v>0</v>
      </c>
      <c r="G44" s="126" cm="1">
        <f t="array" ref="G44">+_xll.EQNXTDZ($A$1,$B44,G$1,$B$1)</f>
        <v>0</v>
      </c>
      <c r="H44" s="126" cm="1">
        <f t="array" ref="H44">+_xll.EQNXTDZ($A$1,$B44,H$1,$B$1)</f>
        <v>0</v>
      </c>
      <c r="I44" s="126" cm="1">
        <f t="array" ref="I44">+_xll.EQNXTDZ($A$1,$B44,I$1,$B$1)</f>
        <v>0</v>
      </c>
      <c r="J44" s="126" cm="1">
        <f t="array" ref="J44">+_xll.EQNXTDZ($A$1,$B44,J$1,$B$1)</f>
        <v>0</v>
      </c>
      <c r="K44" s="126" cm="1">
        <f t="array" ref="K44">+_xll.EQNXTDZ($A$1,$B44,K$1,$B$1)</f>
        <v>0</v>
      </c>
      <c r="L44" s="126" cm="1">
        <f t="array" ref="L44">+_xll.EQNXTDZ($A$1,$B44,L$1,$B$1)</f>
        <v>0</v>
      </c>
      <c r="M44" s="126" cm="1">
        <f t="array" ref="M44">+_xll.EQNXTDZ($A$1,$B44,M$1,$B$1)</f>
        <v>0</v>
      </c>
      <c r="N44" s="126" cm="1">
        <f t="array" ref="N44">+_xll.EQNXTDZ($A$1,$B44,N$1,$B$1)</f>
        <v>0</v>
      </c>
      <c r="O44" s="126" cm="1">
        <f t="array" ref="O44">+_xll.EQNXTDZ($A$1,$B44,O$1,$B$1)</f>
        <v>0</v>
      </c>
      <c r="P44" s="126" cm="1">
        <f t="array" ref="P44">+_xll.EQNXTDZ($A$1,$B44,P$1,$B$1)</f>
        <v>0</v>
      </c>
      <c r="Q44" s="126" cm="1">
        <f t="array" ref="Q44">+_xll.EQNXTDZ($A$1,$B44,Q$1,$B$1)</f>
        <v>0</v>
      </c>
      <c r="R44" s="126" cm="1">
        <f t="array" ref="R44">+_xll.EQNXTDZ($A$1,$B44,R$1,$B$1)</f>
        <v>0</v>
      </c>
      <c r="S44" s="126" cm="1">
        <f t="array" ref="S44">+_xll.EQNXTDZ($A$1,$B44,S$1,$B$1)</f>
        <v>0</v>
      </c>
      <c r="T44" s="126" cm="1">
        <f t="array" ref="T44">+_xll.EQNXTDZ($A$1,$B44,T$1,$B$1)</f>
        <v>0</v>
      </c>
      <c r="U44" s="126" cm="1">
        <f t="array" ref="U44">+_xll.EQNXTDZ($A$1,$B44,U$1,$B$1)</f>
        <v>0</v>
      </c>
      <c r="V44" s="126" cm="1">
        <f t="array" ref="V44">+_xll.EQNXTDZ($A$1,$B44,V$1,$B$1)</f>
        <v>0</v>
      </c>
      <c r="W44" s="126" cm="1">
        <f t="array" ref="W44">+_xll.EQNXTDZ($A$1,$B44,W$1,$B$1)</f>
        <v>0</v>
      </c>
      <c r="X44" s="126" cm="1">
        <f t="array" ref="X44">+_xll.EQNXTDZ($A$1,$B44,X$1,$B$1)</f>
        <v>0</v>
      </c>
      <c r="Y44" s="126" cm="1">
        <f t="array" ref="Y44">+_xll.EQNXTDZ($A$1,$B44,Y$1,$B$1)</f>
        <v>0</v>
      </c>
      <c r="Z44" s="126" cm="1">
        <f t="array" ref="Z44">+_xll.EQNXTDZ($A$1,$B44,Z$1,$B$1)</f>
        <v>0</v>
      </c>
      <c r="AA44" s="126" cm="1">
        <f t="array" ref="AA44">+_xll.EQNXTDZ($A$1,$B44,AA$1,$B$1)</f>
        <v>0</v>
      </c>
      <c r="AB44" s="126" cm="1">
        <f t="array" ref="AB44">+_xll.EQNXTDZ($A$1,$B44,AB$1,$B$1)</f>
        <v>0</v>
      </c>
      <c r="AC44" s="126" cm="1">
        <f t="array" ref="AC44">+_xll.EQNXTDZ($A$1,$B44,AC$1,$B$1)</f>
        <v>0</v>
      </c>
      <c r="AD44" s="126" cm="1">
        <f t="array" ref="AD44">+_xll.EQNXTDZ($A$1,$B44,AD$1,$B$1)</f>
        <v>0</v>
      </c>
      <c r="AE44" s="126" cm="1">
        <f t="array" ref="AE44">+_xll.EQNXTDZ($A$1,$B44,AE$1,$B$1)</f>
        <v>0</v>
      </c>
      <c r="AF44" s="126" cm="1">
        <f t="array" ref="AF44">+_xll.EQNXTDZ($A$1,$B44,AF$1,$B$1)</f>
        <v>0</v>
      </c>
      <c r="AG44" s="126" cm="1">
        <f t="array" ref="AG44">+_xll.EQNXTDZ($A$1,$B44,AG$1,$B$1)</f>
        <v>0</v>
      </c>
      <c r="AH44" s="126" cm="1">
        <f t="array" ref="AH44">+_xll.EQNXTDZ($A$1,$B44,AH$1,$B$1)</f>
        <v>0</v>
      </c>
      <c r="AI44" s="126" cm="1">
        <f t="array" ref="AI44">+_xll.EQNXTDZ($A$1,$B44,AI$1,$B$1)</f>
        <v>0</v>
      </c>
      <c r="AJ44" s="126" cm="1">
        <f t="array" ref="AJ44">+_xll.EQNXTDZ($A$1,$B44,AJ$1,$B$1)</f>
        <v>0</v>
      </c>
      <c r="AK44" s="126" cm="1">
        <f t="array" ref="AK44">+_xll.EQNXTDZ($A$1,$B44,AK$1,$B$1)</f>
        <v>0</v>
      </c>
      <c r="AL44" s="126" cm="1">
        <f t="array" ref="AL44">+_xll.EQNXTDZ($A$1,$B44,AL$1,$B$1)</f>
        <v>0</v>
      </c>
      <c r="AM44" s="126" cm="1">
        <f t="array" ref="AM44">+_xll.EQNXTDZ($A$1,$B44,AM$1,$B$1)</f>
        <v>0</v>
      </c>
      <c r="AN44" s="126" cm="1">
        <f t="array" ref="AN44">+_xll.EQNXTDZ($A$1,$B44,AN$1,$B$1)</f>
        <v>577.79999999999995</v>
      </c>
      <c r="AO44" s="126" cm="1">
        <f t="array" ref="AO44">+_xll.EQNXTDZ($A$1,$B44,AO$1,$B$1)</f>
        <v>565.5</v>
      </c>
      <c r="AP44" s="126" cm="1">
        <f t="array" ref="AP44">+_xll.EQNXTDZ($A$1,$B44,AP$1,$B$1)</f>
        <v>524.5</v>
      </c>
      <c r="AQ44" s="126" cm="1">
        <f t="array" ref="AQ44">+_xll.EQNXTDZ($A$1,$B44,AQ$1,$B$1)</f>
        <v>460.2</v>
      </c>
      <c r="AR44" s="126" cm="1">
        <f t="array" ref="AR44">+_xll.EQNXTDZ($A$1,$B44,AR$1,$B$1)</f>
        <v>485</v>
      </c>
      <c r="AS44" s="126" cm="1">
        <f t="array" ref="AS44">+_xll.EQNXTDZ($A$1,$B44,AS$1,$B$1)</f>
        <v>628</v>
      </c>
      <c r="AT44" s="126" cm="1">
        <f t="array" ref="AT44">+_xll.EQNXTDZ($A$1,$B44,AT$1,$B$1)</f>
        <v>633.1</v>
      </c>
      <c r="AU44" s="126" cm="1">
        <f t="array" ref="AU44">+_xll.EQNXTDZ($A$1,$B44,AU$1,$B$1)</f>
        <v>801.1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0</v>
      </c>
      <c r="D45" s="126" cm="1">
        <f t="array" ref="D45">+_xll.EQNXTDZ($A$1,$B45,D$1,$B$1)</f>
        <v>0</v>
      </c>
      <c r="E45" s="126" cm="1">
        <f t="array" ref="E45">+_xll.EQNXTDZ($A$1,$B45,E$1,$B$1)</f>
        <v>0</v>
      </c>
      <c r="F45" s="126" cm="1">
        <f t="array" ref="F45">+_xll.EQNXTDZ($A$1,$B45,F$1,$B$1)</f>
        <v>0</v>
      </c>
      <c r="G45" s="126" cm="1">
        <f t="array" ref="G45">+_xll.EQNXTDZ($A$1,$B45,G$1,$B$1)</f>
        <v>0</v>
      </c>
      <c r="H45" s="126" cm="1">
        <f t="array" ref="H45">+_xll.EQNXTDZ($A$1,$B45,H$1,$B$1)</f>
        <v>0</v>
      </c>
      <c r="I45" s="126" cm="1">
        <f t="array" ref="I45">+_xll.EQNXTDZ($A$1,$B45,I$1,$B$1)</f>
        <v>0</v>
      </c>
      <c r="J45" s="126" cm="1">
        <f t="array" ref="J45">+_xll.EQNXTDZ($A$1,$B45,J$1,$B$1)</f>
        <v>0</v>
      </c>
      <c r="K45" s="126" cm="1">
        <f t="array" ref="K45">+_xll.EQNXTDZ($A$1,$B45,K$1,$B$1)</f>
        <v>0</v>
      </c>
      <c r="L45" s="126" cm="1">
        <f t="array" ref="L45">+_xll.EQNXTDZ($A$1,$B45,L$1,$B$1)</f>
        <v>0</v>
      </c>
      <c r="M45" s="126" cm="1">
        <f t="array" ref="M45">+_xll.EQNXTDZ($A$1,$B45,M$1,$B$1)</f>
        <v>0</v>
      </c>
      <c r="N45" s="126" cm="1">
        <f t="array" ref="N45">+_xll.EQNXTDZ($A$1,$B45,N$1,$B$1)</f>
        <v>0</v>
      </c>
      <c r="O45" s="126" cm="1">
        <f t="array" ref="O45">+_xll.EQNXTDZ($A$1,$B45,O$1,$B$1)</f>
        <v>0</v>
      </c>
      <c r="P45" s="126" cm="1">
        <f t="array" ref="P45">+_xll.EQNXTDZ($A$1,$B45,P$1,$B$1)</f>
        <v>0</v>
      </c>
      <c r="Q45" s="126" cm="1">
        <f t="array" ref="Q45">+_xll.EQNXTDZ($A$1,$B45,Q$1,$B$1)</f>
        <v>0</v>
      </c>
      <c r="R45" s="126" cm="1">
        <f t="array" ref="R45">+_xll.EQNXTDZ($A$1,$B45,R$1,$B$1)</f>
        <v>0</v>
      </c>
      <c r="S45" s="126" cm="1">
        <f t="array" ref="S45">+_xll.EQNXTDZ($A$1,$B45,S$1,$B$1)</f>
        <v>0</v>
      </c>
      <c r="T45" s="126" cm="1">
        <f t="array" ref="T45">+_xll.EQNXTDZ($A$1,$B45,T$1,$B$1)</f>
        <v>0</v>
      </c>
      <c r="U45" s="126" cm="1">
        <f t="array" ref="U45">+_xll.EQNXTDZ($A$1,$B45,U$1,$B$1)</f>
        <v>0</v>
      </c>
      <c r="V45" s="126" cm="1">
        <f t="array" ref="V45">+_xll.EQNXTDZ($A$1,$B45,V$1,$B$1)</f>
        <v>0</v>
      </c>
      <c r="W45" s="126" cm="1">
        <f t="array" ref="W45">+_xll.EQNXTDZ($A$1,$B45,W$1,$B$1)</f>
        <v>0</v>
      </c>
      <c r="X45" s="126" cm="1">
        <f t="array" ref="X45">+_xll.EQNXTDZ($A$1,$B45,X$1,$B$1)</f>
        <v>0</v>
      </c>
      <c r="Y45" s="126" cm="1">
        <f t="array" ref="Y45">+_xll.EQNXTDZ($A$1,$B45,Y$1,$B$1)</f>
        <v>0</v>
      </c>
      <c r="Z45" s="126" cm="1">
        <f t="array" ref="Z45">+_xll.EQNXTDZ($A$1,$B45,Z$1,$B$1)</f>
        <v>0</v>
      </c>
      <c r="AA45" s="126" cm="1">
        <f t="array" ref="AA45">+_xll.EQNXTDZ($A$1,$B45,AA$1,$B$1)</f>
        <v>0</v>
      </c>
      <c r="AB45" s="126" cm="1">
        <f t="array" ref="AB45">+_xll.EQNXTDZ($A$1,$B45,AB$1,$B$1)</f>
        <v>0</v>
      </c>
      <c r="AC45" s="126" cm="1">
        <f t="array" ref="AC45">+_xll.EQNXTDZ($A$1,$B45,AC$1,$B$1)</f>
        <v>0</v>
      </c>
      <c r="AD45" s="126" cm="1">
        <f t="array" ref="AD45">+_xll.EQNXTDZ($A$1,$B45,AD$1,$B$1)</f>
        <v>0</v>
      </c>
      <c r="AE45" s="126" cm="1">
        <f t="array" ref="AE45">+_xll.EQNXTDZ($A$1,$B45,AE$1,$B$1)</f>
        <v>0</v>
      </c>
      <c r="AF45" s="126" cm="1">
        <f t="array" ref="AF45">+_xll.EQNXTDZ($A$1,$B45,AF$1,$B$1)</f>
        <v>0</v>
      </c>
      <c r="AG45" s="126" cm="1">
        <f t="array" ref="AG45">+_xll.EQNXTDZ($A$1,$B45,AG$1,$B$1)</f>
        <v>0</v>
      </c>
      <c r="AH45" s="126" cm="1">
        <f t="array" ref="AH45">+_xll.EQNXTDZ($A$1,$B45,AH$1,$B$1)</f>
        <v>0</v>
      </c>
      <c r="AI45" s="126" cm="1">
        <f t="array" ref="AI45">+_xll.EQNXTDZ($A$1,$B45,AI$1,$B$1)</f>
        <v>0</v>
      </c>
      <c r="AJ45" s="126" cm="1">
        <f t="array" ref="AJ45">+_xll.EQNXTDZ($A$1,$B45,AJ$1,$B$1)</f>
        <v>0</v>
      </c>
      <c r="AK45" s="126" cm="1">
        <f t="array" ref="AK45">+_xll.EQNXTDZ($A$1,$B45,AK$1,$B$1)</f>
        <v>0</v>
      </c>
      <c r="AL45" s="126" cm="1">
        <f t="array" ref="AL45">+_xll.EQNXTDZ($A$1,$B45,AL$1,$B$1)</f>
        <v>0</v>
      </c>
      <c r="AM45" s="126" cm="1">
        <f t="array" ref="AM45">+_xll.EQNXTDZ($A$1,$B45,AM$1,$B$1)</f>
        <v>0</v>
      </c>
      <c r="AN45" s="126" cm="1">
        <f t="array" ref="AN45">+_xll.EQNXTDZ($A$1,$B45,AN$1,$B$1)</f>
        <v>581.70000000000005</v>
      </c>
      <c r="AO45" s="126" cm="1">
        <f t="array" ref="AO45">+_xll.EQNXTDZ($A$1,$B45,AO$1,$B$1)</f>
        <v>591</v>
      </c>
      <c r="AP45" s="126" cm="1">
        <f t="array" ref="AP45">+_xll.EQNXTDZ($A$1,$B45,AP$1,$B$1)</f>
        <v>472.3</v>
      </c>
      <c r="AQ45" s="126" cm="1">
        <f t="array" ref="AQ45">+_xll.EQNXTDZ($A$1,$B45,AQ$1,$B$1)</f>
        <v>530.9</v>
      </c>
      <c r="AR45" s="126" cm="1">
        <f t="array" ref="AR45">+_xll.EQNXTDZ($A$1,$B45,AR$1,$B$1)</f>
        <v>567.70000000000005</v>
      </c>
      <c r="AS45" s="126" cm="1">
        <f t="array" ref="AS45">+_xll.EQNXTDZ($A$1,$B45,AS$1,$B$1)</f>
        <v>581.4</v>
      </c>
      <c r="AT45" s="126" cm="1">
        <f t="array" ref="AT45">+_xll.EQNXTDZ($A$1,$B45,AT$1,$B$1)</f>
        <v>643.9</v>
      </c>
      <c r="AU45" s="126" cm="1">
        <f t="array" ref="AU45">+_xll.EQNXTDZ($A$1,$B45,AU$1,$B$1)</f>
        <v>750.6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0</v>
      </c>
      <c r="D46" s="126" cm="1">
        <f t="array" ref="D46">+_xll.EQNXTDZ($A$1,$B46,D$1,$B$1)</f>
        <v>0</v>
      </c>
      <c r="E46" s="126" cm="1">
        <f t="array" ref="E46">+_xll.EQNXTDZ($A$1,$B46,E$1,$B$1)</f>
        <v>0</v>
      </c>
      <c r="F46" s="126" cm="1">
        <f t="array" ref="F46">+_xll.EQNXTDZ($A$1,$B46,F$1,$B$1)</f>
        <v>0</v>
      </c>
      <c r="G46" s="126" cm="1">
        <f t="array" ref="G46">+_xll.EQNXTDZ($A$1,$B46,G$1,$B$1)</f>
        <v>0</v>
      </c>
      <c r="H46" s="126" cm="1">
        <f t="array" ref="H46">+_xll.EQNXTDZ($A$1,$B46,H$1,$B$1)</f>
        <v>0</v>
      </c>
      <c r="I46" s="126" cm="1">
        <f t="array" ref="I46">+_xll.EQNXTDZ($A$1,$B46,I$1,$B$1)</f>
        <v>0</v>
      </c>
      <c r="J46" s="126" cm="1">
        <f t="array" ref="J46">+_xll.EQNXTDZ($A$1,$B46,J$1,$B$1)</f>
        <v>0</v>
      </c>
      <c r="K46" s="126" cm="1">
        <f t="array" ref="K46">+_xll.EQNXTDZ($A$1,$B46,K$1,$B$1)</f>
        <v>0</v>
      </c>
      <c r="L46" s="126" cm="1">
        <f t="array" ref="L46">+_xll.EQNXTDZ($A$1,$B46,L$1,$B$1)</f>
        <v>0</v>
      </c>
      <c r="M46" s="126" cm="1">
        <f t="array" ref="M46">+_xll.EQNXTDZ($A$1,$B46,M$1,$B$1)</f>
        <v>0</v>
      </c>
      <c r="N46" s="126" cm="1">
        <f t="array" ref="N46">+_xll.EQNXTDZ($A$1,$B46,N$1,$B$1)</f>
        <v>0</v>
      </c>
      <c r="O46" s="126" cm="1">
        <f t="array" ref="O46">+_xll.EQNXTDZ($A$1,$B46,O$1,$B$1)</f>
        <v>0</v>
      </c>
      <c r="P46" s="126" cm="1">
        <f t="array" ref="P46">+_xll.EQNXTDZ($A$1,$B46,P$1,$B$1)</f>
        <v>0</v>
      </c>
      <c r="Q46" s="126" cm="1">
        <f t="array" ref="Q46">+_xll.EQNXTDZ($A$1,$B46,Q$1,$B$1)</f>
        <v>0</v>
      </c>
      <c r="R46" s="126" cm="1">
        <f t="array" ref="R46">+_xll.EQNXTDZ($A$1,$B46,R$1,$B$1)</f>
        <v>0</v>
      </c>
      <c r="S46" s="126" cm="1">
        <f t="array" ref="S46">+_xll.EQNXTDZ($A$1,$B46,S$1,$B$1)</f>
        <v>0</v>
      </c>
      <c r="T46" s="126" cm="1">
        <f t="array" ref="T46">+_xll.EQNXTDZ($A$1,$B46,T$1,$B$1)</f>
        <v>0</v>
      </c>
      <c r="U46" s="126" cm="1">
        <f t="array" ref="U46">+_xll.EQNXTDZ($A$1,$B46,U$1,$B$1)</f>
        <v>0</v>
      </c>
      <c r="V46" s="126" cm="1">
        <f t="array" ref="V46">+_xll.EQNXTDZ($A$1,$B46,V$1,$B$1)</f>
        <v>0</v>
      </c>
      <c r="W46" s="126" cm="1">
        <f t="array" ref="W46">+_xll.EQNXTDZ($A$1,$B46,W$1,$B$1)</f>
        <v>0</v>
      </c>
      <c r="X46" s="126" cm="1">
        <f t="array" ref="X46">+_xll.EQNXTDZ($A$1,$B46,X$1,$B$1)</f>
        <v>0</v>
      </c>
      <c r="Y46" s="126" cm="1">
        <f t="array" ref="Y46">+_xll.EQNXTDZ($A$1,$B46,Y$1,$B$1)</f>
        <v>0</v>
      </c>
      <c r="Z46" s="126" cm="1">
        <f t="array" ref="Z46">+_xll.EQNXTDZ($A$1,$B46,Z$1,$B$1)</f>
        <v>0</v>
      </c>
      <c r="AA46" s="126" cm="1">
        <f t="array" ref="AA46">+_xll.EQNXTDZ($A$1,$B46,AA$1,$B$1)</f>
        <v>0</v>
      </c>
      <c r="AB46" s="126" cm="1">
        <f t="array" ref="AB46">+_xll.EQNXTDZ($A$1,$B46,AB$1,$B$1)</f>
        <v>0</v>
      </c>
      <c r="AC46" s="126" cm="1">
        <f t="array" ref="AC46">+_xll.EQNXTDZ($A$1,$B46,AC$1,$B$1)</f>
        <v>0</v>
      </c>
      <c r="AD46" s="126" cm="1">
        <f t="array" ref="AD46">+_xll.EQNXTDZ($A$1,$B46,AD$1,$B$1)</f>
        <v>0</v>
      </c>
      <c r="AE46" s="126" cm="1">
        <f t="array" ref="AE46">+_xll.EQNXTDZ($A$1,$B46,AE$1,$B$1)</f>
        <v>0</v>
      </c>
      <c r="AF46" s="126" cm="1">
        <f t="array" ref="AF46">+_xll.EQNXTDZ($A$1,$B46,AF$1,$B$1)</f>
        <v>0</v>
      </c>
      <c r="AG46" s="126" cm="1">
        <f t="array" ref="AG46">+_xll.EQNXTDZ($A$1,$B46,AG$1,$B$1)</f>
        <v>0</v>
      </c>
      <c r="AH46" s="126" cm="1">
        <f t="array" ref="AH46">+_xll.EQNXTDZ($A$1,$B46,AH$1,$B$1)</f>
        <v>0</v>
      </c>
      <c r="AI46" s="126" cm="1">
        <f t="array" ref="AI46">+_xll.EQNXTDZ($A$1,$B46,AI$1,$B$1)</f>
        <v>0</v>
      </c>
      <c r="AJ46" s="126" cm="1">
        <f t="array" ref="AJ46">+_xll.EQNXTDZ($A$1,$B46,AJ$1,$B$1)</f>
        <v>0</v>
      </c>
      <c r="AK46" s="126" cm="1">
        <f t="array" ref="AK46">+_xll.EQNXTDZ($A$1,$B46,AK$1,$B$1)</f>
        <v>0</v>
      </c>
      <c r="AL46" s="126" cm="1">
        <f t="array" ref="AL46">+_xll.EQNXTDZ($A$1,$B46,AL$1,$B$1)</f>
        <v>0</v>
      </c>
      <c r="AM46" s="126" cm="1">
        <f t="array" ref="AM46">+_xll.EQNXTDZ($A$1,$B46,AM$1,$B$1)</f>
        <v>0</v>
      </c>
      <c r="AN46" s="126" cm="1">
        <f t="array" ref="AN46">+_xll.EQNXTDZ($A$1,$B46,AN$1,$B$1)</f>
        <v>793.07399999999996</v>
      </c>
      <c r="AO46" s="126" cm="1">
        <f t="array" ref="AO46">+_xll.EQNXTDZ($A$1,$B46,AO$1,$B$1)</f>
        <v>793.96400000000006</v>
      </c>
      <c r="AP46" s="126" cm="1">
        <f t="array" ref="AP46">+_xll.EQNXTDZ($A$1,$B46,AP$1,$B$1)</f>
        <v>793.96400000000006</v>
      </c>
      <c r="AQ46" s="126" cm="1">
        <f t="array" ref="AQ46">+_xll.EQNXTDZ($A$1,$B46,AQ$1,$B$1)</f>
        <v>795.8</v>
      </c>
      <c r="AR46" s="126" cm="1">
        <f t="array" ref="AR46">+_xll.EQNXTDZ($A$1,$B46,AR$1,$B$1)</f>
        <v>795.78200000000004</v>
      </c>
      <c r="AS46" s="126" cm="1">
        <f t="array" ref="AS46">+_xll.EQNXTDZ($A$1,$B46,AS$1,$B$1)</f>
        <v>829.6</v>
      </c>
      <c r="AT46" s="126" cm="1">
        <f t="array" ref="AT46">+_xll.EQNXTDZ($A$1,$B46,AT$1,$B$1)</f>
        <v>830.03800000000001</v>
      </c>
      <c r="AU46" s="126" cm="1">
        <f t="array" ref="AU46">+_xll.EQNXTDZ($A$1,$B46,AU$1,$B$1)</f>
        <v>830.3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0</v>
      </c>
      <c r="D47" s="126" cm="1">
        <f t="array" ref="D47">+_xll.EQNXTDZ($A$1,$B47,D$1,$B$1)</f>
        <v>0</v>
      </c>
      <c r="E47" s="126" cm="1">
        <f t="array" ref="E47">+_xll.EQNXTDZ($A$1,$B47,E$1,$B$1)</f>
        <v>0</v>
      </c>
      <c r="F47" s="126" cm="1">
        <f t="array" ref="F47">+_xll.EQNXTDZ($A$1,$B47,F$1,$B$1)</f>
        <v>0</v>
      </c>
      <c r="G47" s="126" cm="1">
        <f t="array" ref="G47">+_xll.EQNXTDZ($A$1,$B47,G$1,$B$1)</f>
        <v>0</v>
      </c>
      <c r="H47" s="126" cm="1">
        <f t="array" ref="H47">+_xll.EQNXTDZ($A$1,$B47,H$1,$B$1)</f>
        <v>0</v>
      </c>
      <c r="I47" s="126" cm="1">
        <f t="array" ref="I47">+_xll.EQNXTDZ($A$1,$B47,I$1,$B$1)</f>
        <v>0</v>
      </c>
      <c r="J47" s="126" cm="1">
        <f t="array" ref="J47">+_xll.EQNXTDZ($A$1,$B47,J$1,$B$1)</f>
        <v>0</v>
      </c>
      <c r="K47" s="126" cm="1">
        <f t="array" ref="K47">+_xll.EQNXTDZ($A$1,$B47,K$1,$B$1)</f>
        <v>0</v>
      </c>
      <c r="L47" s="126" cm="1">
        <f t="array" ref="L47">+_xll.EQNXTDZ($A$1,$B47,L$1,$B$1)</f>
        <v>0</v>
      </c>
      <c r="M47" s="126" cm="1">
        <f t="array" ref="M47">+_xll.EQNXTDZ($A$1,$B47,M$1,$B$1)</f>
        <v>0</v>
      </c>
      <c r="N47" s="126" cm="1">
        <f t="array" ref="N47">+_xll.EQNXTDZ($A$1,$B47,N$1,$B$1)</f>
        <v>0</v>
      </c>
      <c r="O47" s="126" cm="1">
        <f t="array" ref="O47">+_xll.EQNXTDZ($A$1,$B47,O$1,$B$1)</f>
        <v>0</v>
      </c>
      <c r="P47" s="126" cm="1">
        <f t="array" ref="P47">+_xll.EQNXTDZ($A$1,$B47,P$1,$B$1)</f>
        <v>0</v>
      </c>
      <c r="Q47" s="126" cm="1">
        <f t="array" ref="Q47">+_xll.EQNXTDZ($A$1,$B47,Q$1,$B$1)</f>
        <v>0</v>
      </c>
      <c r="R47" s="126" cm="1">
        <f t="array" ref="R47">+_xll.EQNXTDZ($A$1,$B47,R$1,$B$1)</f>
        <v>0</v>
      </c>
      <c r="S47" s="126" cm="1">
        <f t="array" ref="S47">+_xll.EQNXTDZ($A$1,$B47,S$1,$B$1)</f>
        <v>0</v>
      </c>
      <c r="T47" s="126" cm="1">
        <f t="array" ref="T47">+_xll.EQNXTDZ($A$1,$B47,T$1,$B$1)</f>
        <v>0</v>
      </c>
      <c r="U47" s="126" cm="1">
        <f t="array" ref="U47">+_xll.EQNXTDZ($A$1,$B47,U$1,$B$1)</f>
        <v>0</v>
      </c>
      <c r="V47" s="126" cm="1">
        <f t="array" ref="V47">+_xll.EQNXTDZ($A$1,$B47,V$1,$B$1)</f>
        <v>0</v>
      </c>
      <c r="W47" s="126" cm="1">
        <f t="array" ref="W47">+_xll.EQNXTDZ($A$1,$B47,W$1,$B$1)</f>
        <v>0</v>
      </c>
      <c r="X47" s="126" cm="1">
        <f t="array" ref="X47">+_xll.EQNXTDZ($A$1,$B47,X$1,$B$1)</f>
        <v>0</v>
      </c>
      <c r="Y47" s="126" cm="1">
        <f t="array" ref="Y47">+_xll.EQNXTDZ($A$1,$B47,Y$1,$B$1)</f>
        <v>0</v>
      </c>
      <c r="Z47" s="126" cm="1">
        <f t="array" ref="Z47">+_xll.EQNXTDZ($A$1,$B47,Z$1,$B$1)</f>
        <v>0</v>
      </c>
      <c r="AA47" s="126" cm="1">
        <f t="array" ref="AA47">+_xll.EQNXTDZ($A$1,$B47,AA$1,$B$1)</f>
        <v>0</v>
      </c>
      <c r="AB47" s="126" cm="1">
        <f t="array" ref="AB47">+_xll.EQNXTDZ($A$1,$B47,AB$1,$B$1)</f>
        <v>0</v>
      </c>
      <c r="AC47" s="126" cm="1">
        <f t="array" ref="AC47">+_xll.EQNXTDZ($A$1,$B47,AC$1,$B$1)</f>
        <v>0</v>
      </c>
      <c r="AD47" s="126" cm="1">
        <f t="array" ref="AD47">+_xll.EQNXTDZ($A$1,$B47,AD$1,$B$1)</f>
        <v>0</v>
      </c>
      <c r="AE47" s="126" cm="1">
        <f t="array" ref="AE47">+_xll.EQNXTDZ($A$1,$B47,AE$1,$B$1)</f>
        <v>0</v>
      </c>
      <c r="AF47" s="126" cm="1">
        <f t="array" ref="AF47">+_xll.EQNXTDZ($A$1,$B47,AF$1,$B$1)</f>
        <v>0</v>
      </c>
      <c r="AG47" s="126" cm="1">
        <f t="array" ref="AG47">+_xll.EQNXTDZ($A$1,$B47,AG$1,$B$1)</f>
        <v>0</v>
      </c>
      <c r="AH47" s="126" cm="1">
        <f t="array" ref="AH47">+_xll.EQNXTDZ($A$1,$B47,AH$1,$B$1)</f>
        <v>0</v>
      </c>
      <c r="AI47" s="126" cm="1">
        <f t="array" ref="AI47">+_xll.EQNXTDZ($A$1,$B47,AI$1,$B$1)</f>
        <v>0</v>
      </c>
      <c r="AJ47" s="126" cm="1">
        <f t="array" ref="AJ47">+_xll.EQNXTDZ($A$1,$B47,AJ$1,$B$1)</f>
        <v>0</v>
      </c>
      <c r="AK47" s="126" cm="1">
        <f t="array" ref="AK47">+_xll.EQNXTDZ($A$1,$B47,AK$1,$B$1)</f>
        <v>0</v>
      </c>
      <c r="AL47" s="126" cm="1">
        <f t="array" ref="AL47">+_xll.EQNXTDZ($A$1,$B47,AL$1,$B$1)</f>
        <v>0</v>
      </c>
      <c r="AM47" s="126" cm="1">
        <f t="array" ref="AM47">+_xll.EQNXTDZ($A$1,$B47,AM$1,$B$1)</f>
        <v>0</v>
      </c>
      <c r="AN47" s="126" cm="1">
        <f t="array" ref="AN47">+_xll.EQNXTDZ($A$1,$B47,AN$1,$B$1)</f>
        <v>10</v>
      </c>
      <c r="AO47" s="126" cm="1">
        <f t="array" ref="AO47">+_xll.EQNXTDZ($A$1,$B47,AO$1,$B$1)</f>
        <v>10</v>
      </c>
      <c r="AP47" s="126" cm="1">
        <f t="array" ref="AP47">+_xll.EQNXTDZ($A$1,$B47,AP$1,$B$1)</f>
        <v>10</v>
      </c>
      <c r="AQ47" s="126" cm="1">
        <f t="array" ref="AQ47">+_xll.EQNXTDZ($A$1,$B47,AQ$1,$B$1)</f>
        <v>10</v>
      </c>
      <c r="AR47" s="126" cm="1">
        <f t="array" ref="AR47">+_xll.EQNXTDZ($A$1,$B47,AR$1,$B$1)</f>
        <v>10</v>
      </c>
      <c r="AS47" s="126" cm="1">
        <f t="array" ref="AS47">+_xll.EQNXTDZ($A$1,$B47,AS$1,$B$1)</f>
        <v>10</v>
      </c>
      <c r="AT47" s="126" cm="1">
        <f t="array" ref="AT47">+_xll.EQNXTDZ($A$1,$B47,AT$1,$B$1)</f>
        <v>10</v>
      </c>
      <c r="AU47" s="126" cm="1">
        <f t="array" ref="AU47">+_xll.EQNXTDZ($A$1,$B47,AU$1,$B$1)</f>
        <v>10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0</v>
      </c>
      <c r="D50" s="126" cm="1">
        <f t="array" ref="D50">+_xll.EQNXTDZ($A$1,$B50,D$1,$B$1)</f>
        <v>0</v>
      </c>
      <c r="E50" s="126" cm="1">
        <f t="array" ref="E50">+_xll.EQNXTDZ($A$1,$B50,E$1,$B$1)</f>
        <v>0</v>
      </c>
      <c r="F50" s="126" cm="1">
        <f t="array" ref="F50">+_xll.EQNXTDZ($A$1,$B50,F$1,$B$1)</f>
        <v>0</v>
      </c>
      <c r="G50" s="126" cm="1">
        <f t="array" ref="G50">+_xll.EQNXTDZ($A$1,$B50,G$1,$B$1)</f>
        <v>0</v>
      </c>
      <c r="H50" s="126" cm="1">
        <f t="array" ref="H50">+_xll.EQNXTDZ($A$1,$B50,H$1,$B$1)</f>
        <v>0</v>
      </c>
      <c r="I50" s="126" cm="1">
        <f t="array" ref="I50">+_xll.EQNXTDZ($A$1,$B50,I$1,$B$1)</f>
        <v>0</v>
      </c>
      <c r="J50" s="126" cm="1">
        <f t="array" ref="J50">+_xll.EQNXTDZ($A$1,$B50,J$1,$B$1)</f>
        <v>0</v>
      </c>
      <c r="K50" s="126" cm="1">
        <f t="array" ref="K50">+_xll.EQNXTDZ($A$1,$B50,K$1,$B$1)</f>
        <v>0</v>
      </c>
      <c r="L50" s="126" cm="1">
        <f t="array" ref="L50">+_xll.EQNXTDZ($A$1,$B50,L$1,$B$1)</f>
        <v>0</v>
      </c>
      <c r="M50" s="126" cm="1">
        <f t="array" ref="M50">+_xll.EQNXTDZ($A$1,$B50,M$1,$B$1)</f>
        <v>0</v>
      </c>
      <c r="N50" s="126" cm="1">
        <f t="array" ref="N50">+_xll.EQNXTDZ($A$1,$B50,N$1,$B$1)</f>
        <v>0</v>
      </c>
      <c r="O50" s="126" cm="1">
        <f t="array" ref="O50">+_xll.EQNXTDZ($A$1,$B50,O$1,$B$1)</f>
        <v>0</v>
      </c>
      <c r="P50" s="126" cm="1">
        <f t="array" ref="P50">+_xll.EQNXTDZ($A$1,$B50,P$1,$B$1)</f>
        <v>0</v>
      </c>
      <c r="Q50" s="126" cm="1">
        <f t="array" ref="Q50">+_xll.EQNXTDZ($A$1,$B50,Q$1,$B$1)</f>
        <v>0</v>
      </c>
      <c r="R50" s="126" cm="1">
        <f t="array" ref="R50">+_xll.EQNXTDZ($A$1,$B50,R$1,$B$1)</f>
        <v>0</v>
      </c>
      <c r="S50" s="126" cm="1">
        <f t="array" ref="S50">+_xll.EQNXTDZ($A$1,$B50,S$1,$B$1)</f>
        <v>0</v>
      </c>
      <c r="T50" s="126" cm="1">
        <f t="array" ref="T50">+_xll.EQNXTDZ($A$1,$B50,T$1,$B$1)</f>
        <v>0</v>
      </c>
      <c r="U50" s="126" cm="1">
        <f t="array" ref="U50">+_xll.EQNXTDZ($A$1,$B50,U$1,$B$1)</f>
        <v>0</v>
      </c>
      <c r="V50" s="126" cm="1">
        <f t="array" ref="V50">+_xll.EQNXTDZ($A$1,$B50,V$1,$B$1)</f>
        <v>0</v>
      </c>
      <c r="W50" s="126" cm="1">
        <f t="array" ref="W50">+_xll.EQNXTDZ($A$1,$B50,W$1,$B$1)</f>
        <v>0</v>
      </c>
      <c r="X50" s="126" cm="1">
        <f t="array" ref="X50">+_xll.EQNXTDZ($A$1,$B50,X$1,$B$1)</f>
        <v>0</v>
      </c>
      <c r="Y50" s="126" cm="1">
        <f t="array" ref="Y50">+_xll.EQNXTDZ($A$1,$B50,Y$1,$B$1)</f>
        <v>0</v>
      </c>
      <c r="Z50" s="126" cm="1">
        <f t="array" ref="Z50">+_xll.EQNXTDZ($A$1,$B50,Z$1,$B$1)</f>
        <v>0</v>
      </c>
      <c r="AA50" s="126" cm="1">
        <f t="array" ref="AA50">+_xll.EQNXTDZ($A$1,$B50,AA$1,$B$1)</f>
        <v>0</v>
      </c>
      <c r="AB50" s="126" cm="1">
        <f t="array" ref="AB50">+_xll.EQNXTDZ($A$1,$B50,AB$1,$B$1)</f>
        <v>0</v>
      </c>
      <c r="AC50" s="126" cm="1">
        <f t="array" ref="AC50">+_xll.EQNXTDZ($A$1,$B50,AC$1,$B$1)</f>
        <v>0</v>
      </c>
      <c r="AD50" s="126" cm="1">
        <f t="array" ref="AD50">+_xll.EQNXTDZ($A$1,$B50,AD$1,$B$1)</f>
        <v>0</v>
      </c>
      <c r="AE50" s="126" cm="1">
        <f t="array" ref="AE50">+_xll.EQNXTDZ($A$1,$B50,AE$1,$B$1)</f>
        <v>0</v>
      </c>
      <c r="AF50" s="126" cm="1">
        <f t="array" ref="AF50">+_xll.EQNXTDZ($A$1,$B50,AF$1,$B$1)</f>
        <v>0</v>
      </c>
      <c r="AG50" s="126" cm="1">
        <f t="array" ref="AG50">+_xll.EQNXTDZ($A$1,$B50,AG$1,$B$1)</f>
        <v>0</v>
      </c>
      <c r="AH50" s="126" cm="1">
        <f t="array" ref="AH50">+_xll.EQNXTDZ($A$1,$B50,AH$1,$B$1)</f>
        <v>0</v>
      </c>
      <c r="AI50" s="126" cm="1">
        <f t="array" ref="AI50">+_xll.EQNXTDZ($A$1,$B50,AI$1,$B$1)</f>
        <v>0</v>
      </c>
      <c r="AJ50" s="126" cm="1">
        <f t="array" ref="AJ50">+_xll.EQNXTDZ($A$1,$B50,AJ$1,$B$1)</f>
        <v>0</v>
      </c>
      <c r="AK50" s="126" cm="1">
        <f t="array" ref="AK50">+_xll.EQNXTDZ($A$1,$B50,AK$1,$B$1)</f>
        <v>0</v>
      </c>
      <c r="AL50" s="126" cm="1">
        <f t="array" ref="AL50">+_xll.EQNXTDZ($A$1,$B50,AL$1,$B$1)</f>
        <v>0</v>
      </c>
      <c r="AM50" s="126" cm="1">
        <f t="array" ref="AM50">+_xll.EQNXTDZ($A$1,$B50,AM$1,$B$1)</f>
        <v>0</v>
      </c>
      <c r="AN50" s="126" cm="1">
        <f t="array" ref="AN50">+_xll.EQNXTDZ($A$1,$B50,AN$1,$B$1)</f>
        <v>793.07399999999996</v>
      </c>
      <c r="AO50" s="126" cm="1">
        <f t="array" ref="AO50">+_xll.EQNXTDZ($A$1,$B50,AO$1,$B$1)</f>
        <v>793.96400000000006</v>
      </c>
      <c r="AP50" s="126" cm="1">
        <f t="array" ref="AP50">+_xll.EQNXTDZ($A$1,$B50,AP$1,$B$1)</f>
        <v>793.96400000000006</v>
      </c>
      <c r="AQ50" s="126" cm="1">
        <f t="array" ref="AQ50">+_xll.EQNXTDZ($A$1,$B50,AQ$1,$B$1)</f>
        <v>795.8</v>
      </c>
      <c r="AR50" s="126" cm="1">
        <f t="array" ref="AR50">+_xll.EQNXTDZ($A$1,$B50,AR$1,$B$1)</f>
        <v>795.78200000000004</v>
      </c>
      <c r="AS50" s="126" cm="1">
        <f t="array" ref="AS50">+_xll.EQNXTDZ($A$1,$B50,AS$1,$B$1)</f>
        <v>829.6</v>
      </c>
      <c r="AT50" s="126" cm="1">
        <f t="array" ref="AT50">+_xll.EQNXTDZ($A$1,$B50,AT$1,$B$1)</f>
        <v>830.03800000000001</v>
      </c>
      <c r="AU50" s="126" cm="1">
        <f t="array" ref="AU50">+_xll.EQNXTDZ($A$1,$B50,AU$1,$B$1)</f>
        <v>830.3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0</v>
      </c>
      <c r="D51" s="126" cm="1">
        <f t="array" ref="D51">+_xll.EQNXTDZ($A$1,$B51,D$1,$B$1)</f>
        <v>0</v>
      </c>
      <c r="E51" s="126" cm="1">
        <f t="array" ref="E51">+_xll.EQNXTDZ($A$1,$B51,E$1,$B$1)</f>
        <v>0</v>
      </c>
      <c r="F51" s="126" cm="1">
        <f t="array" ref="F51">+_xll.EQNXTDZ($A$1,$B51,F$1,$B$1)</f>
        <v>0</v>
      </c>
      <c r="G51" s="126" cm="1">
        <f t="array" ref="G51">+_xll.EQNXTDZ($A$1,$B51,G$1,$B$1)</f>
        <v>0</v>
      </c>
      <c r="H51" s="126" cm="1">
        <f t="array" ref="H51">+_xll.EQNXTDZ($A$1,$B51,H$1,$B$1)</f>
        <v>0</v>
      </c>
      <c r="I51" s="126" cm="1">
        <f t="array" ref="I51">+_xll.EQNXTDZ($A$1,$B51,I$1,$B$1)</f>
        <v>0</v>
      </c>
      <c r="J51" s="126" cm="1">
        <f t="array" ref="J51">+_xll.EQNXTDZ($A$1,$B51,J$1,$B$1)</f>
        <v>0</v>
      </c>
      <c r="K51" s="126" cm="1">
        <f t="array" ref="K51">+_xll.EQNXTDZ($A$1,$B51,K$1,$B$1)</f>
        <v>0</v>
      </c>
      <c r="L51" s="126" cm="1">
        <f t="array" ref="L51">+_xll.EQNXTDZ($A$1,$B51,L$1,$B$1)</f>
        <v>0</v>
      </c>
      <c r="M51" s="126" cm="1">
        <f t="array" ref="M51">+_xll.EQNXTDZ($A$1,$B51,M$1,$B$1)</f>
        <v>0</v>
      </c>
      <c r="N51" s="126" cm="1">
        <f t="array" ref="N51">+_xll.EQNXTDZ($A$1,$B51,N$1,$B$1)</f>
        <v>0</v>
      </c>
      <c r="O51" s="126" cm="1">
        <f t="array" ref="O51">+_xll.EQNXTDZ($A$1,$B51,O$1,$B$1)</f>
        <v>0</v>
      </c>
      <c r="P51" s="126" cm="1">
        <f t="array" ref="P51">+_xll.EQNXTDZ($A$1,$B51,P$1,$B$1)</f>
        <v>0</v>
      </c>
      <c r="Q51" s="126" cm="1">
        <f t="array" ref="Q51">+_xll.EQNXTDZ($A$1,$B51,Q$1,$B$1)</f>
        <v>0</v>
      </c>
      <c r="R51" s="126" cm="1">
        <f t="array" ref="R51">+_xll.EQNXTDZ($A$1,$B51,R$1,$B$1)</f>
        <v>0</v>
      </c>
      <c r="S51" s="126" cm="1">
        <f t="array" ref="S51">+_xll.EQNXTDZ($A$1,$B51,S$1,$B$1)</f>
        <v>0</v>
      </c>
      <c r="T51" s="126" cm="1">
        <f t="array" ref="T51">+_xll.EQNXTDZ($A$1,$B51,T$1,$B$1)</f>
        <v>0</v>
      </c>
      <c r="U51" s="126" cm="1">
        <f t="array" ref="U51">+_xll.EQNXTDZ($A$1,$B51,U$1,$B$1)</f>
        <v>0</v>
      </c>
      <c r="V51" s="126" cm="1">
        <f t="array" ref="V51">+_xll.EQNXTDZ($A$1,$B51,V$1,$B$1)</f>
        <v>0</v>
      </c>
      <c r="W51" s="126" cm="1">
        <f t="array" ref="W51">+_xll.EQNXTDZ($A$1,$B51,W$1,$B$1)</f>
        <v>0</v>
      </c>
      <c r="X51" s="126" cm="1">
        <f t="array" ref="X51">+_xll.EQNXTDZ($A$1,$B51,X$1,$B$1)</f>
        <v>0</v>
      </c>
      <c r="Y51" s="126" cm="1">
        <f t="array" ref="Y51">+_xll.EQNXTDZ($A$1,$B51,Y$1,$B$1)</f>
        <v>0</v>
      </c>
      <c r="Z51" s="126" cm="1">
        <f t="array" ref="Z51">+_xll.EQNXTDZ($A$1,$B51,Z$1,$B$1)</f>
        <v>0</v>
      </c>
      <c r="AA51" s="126" cm="1">
        <f t="array" ref="AA51">+_xll.EQNXTDZ($A$1,$B51,AA$1,$B$1)</f>
        <v>0</v>
      </c>
      <c r="AB51" s="126" cm="1">
        <f t="array" ref="AB51">+_xll.EQNXTDZ($A$1,$B51,AB$1,$B$1)</f>
        <v>0</v>
      </c>
      <c r="AC51" s="126" cm="1">
        <f t="array" ref="AC51">+_xll.EQNXTDZ($A$1,$B51,AC$1,$B$1)</f>
        <v>0</v>
      </c>
      <c r="AD51" s="126" cm="1">
        <f t="array" ref="AD51">+_xll.EQNXTDZ($A$1,$B51,AD$1,$B$1)</f>
        <v>0</v>
      </c>
      <c r="AE51" s="126" cm="1">
        <f t="array" ref="AE51">+_xll.EQNXTDZ($A$1,$B51,AE$1,$B$1)</f>
        <v>0</v>
      </c>
      <c r="AF51" s="126" cm="1">
        <f t="array" ref="AF51">+_xll.EQNXTDZ($A$1,$B51,AF$1,$B$1)</f>
        <v>0</v>
      </c>
      <c r="AG51" s="126" cm="1">
        <f t="array" ref="AG51">+_xll.EQNXTDZ($A$1,$B51,AG$1,$B$1)</f>
        <v>0</v>
      </c>
      <c r="AH51" s="126" cm="1">
        <f t="array" ref="AH51">+_xll.EQNXTDZ($A$1,$B51,AH$1,$B$1)</f>
        <v>0</v>
      </c>
      <c r="AI51" s="126" cm="1">
        <f t="array" ref="AI51">+_xll.EQNXTDZ($A$1,$B51,AI$1,$B$1)</f>
        <v>0</v>
      </c>
      <c r="AJ51" s="126" cm="1">
        <f t="array" ref="AJ51">+_xll.EQNXTDZ($A$1,$B51,AJ$1,$B$1)</f>
        <v>0</v>
      </c>
      <c r="AK51" s="126" cm="1">
        <f t="array" ref="AK51">+_xll.EQNXTDZ($A$1,$B51,AK$1,$B$1)</f>
        <v>0</v>
      </c>
      <c r="AL51" s="126" cm="1">
        <f t="array" ref="AL51">+_xll.EQNXTDZ($A$1,$B51,AL$1,$B$1)</f>
        <v>0</v>
      </c>
      <c r="AM51" s="126" cm="1">
        <f t="array" ref="AM51">+_xll.EQNXTDZ($A$1,$B51,AM$1,$B$1)</f>
        <v>0</v>
      </c>
      <c r="AN51" s="126" cm="1">
        <f t="array" ref="AN51">+_xll.EQNXTDZ($A$1,$B51,AN$1,$B$1)</f>
        <v>10</v>
      </c>
      <c r="AO51" s="126" cm="1">
        <f t="array" ref="AO51">+_xll.EQNXTDZ($A$1,$B51,AO$1,$B$1)</f>
        <v>10</v>
      </c>
      <c r="AP51" s="126" cm="1">
        <f t="array" ref="AP51">+_xll.EQNXTDZ($A$1,$B51,AP$1,$B$1)</f>
        <v>10</v>
      </c>
      <c r="AQ51" s="126" cm="1">
        <f t="array" ref="AQ51">+_xll.EQNXTDZ($A$1,$B51,AQ$1,$B$1)</f>
        <v>10</v>
      </c>
      <c r="AR51" s="126" cm="1">
        <f t="array" ref="AR51">+_xll.EQNXTDZ($A$1,$B51,AR$1,$B$1)</f>
        <v>10</v>
      </c>
      <c r="AS51" s="126" cm="1">
        <f t="array" ref="AS51">+_xll.EQNXTDZ($A$1,$B51,AS$1,$B$1)</f>
        <v>10</v>
      </c>
      <c r="AT51" s="126" cm="1">
        <f t="array" ref="AT51">+_xll.EQNXTDZ($A$1,$B51,AT$1,$B$1)</f>
        <v>10</v>
      </c>
      <c r="AU51" s="126" cm="1">
        <f t="array" ref="AU51">+_xll.EQNXTDZ($A$1,$B51,AU$1,$B$1)</f>
        <v>10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0</v>
      </c>
      <c r="D54" s="126" cm="1">
        <f t="array" ref="D54">+_xll.EQNXTDZ($A$1,$B54,D$1,$B$1)</f>
        <v>0</v>
      </c>
      <c r="E54" s="126" cm="1">
        <f t="array" ref="E54">+_xll.EQNXTDZ($A$1,$B54,E$1,$B$1)</f>
        <v>0</v>
      </c>
      <c r="F54" s="126" cm="1">
        <f t="array" ref="F54">+_xll.EQNXTDZ($A$1,$B54,F$1,$B$1)</f>
        <v>0</v>
      </c>
      <c r="G54" s="126" cm="1">
        <f t="array" ref="G54">+_xll.EQNXTDZ($A$1,$B54,G$1,$B$1)</f>
        <v>0</v>
      </c>
      <c r="H54" s="126" cm="1">
        <f t="array" ref="H54">+_xll.EQNXTDZ($A$1,$B54,H$1,$B$1)</f>
        <v>0</v>
      </c>
      <c r="I54" s="126" cm="1">
        <f t="array" ref="I54">+_xll.EQNXTDZ($A$1,$B54,I$1,$B$1)</f>
        <v>0</v>
      </c>
      <c r="J54" s="126" cm="1">
        <f t="array" ref="J54">+_xll.EQNXTDZ($A$1,$B54,J$1,$B$1)</f>
        <v>0</v>
      </c>
      <c r="K54" s="126" cm="1">
        <f t="array" ref="K54">+_xll.EQNXTDZ($A$1,$B54,K$1,$B$1)</f>
        <v>0</v>
      </c>
      <c r="L54" s="126" cm="1">
        <f t="array" ref="L54">+_xll.EQNXTDZ($A$1,$B54,L$1,$B$1)</f>
        <v>0</v>
      </c>
      <c r="M54" s="126" cm="1">
        <f t="array" ref="M54">+_xll.EQNXTDZ($A$1,$B54,M$1,$B$1)</f>
        <v>0</v>
      </c>
      <c r="N54" s="126" cm="1">
        <f t="array" ref="N54">+_xll.EQNXTDZ($A$1,$B54,N$1,$B$1)</f>
        <v>0</v>
      </c>
      <c r="O54" s="126" cm="1">
        <f t="array" ref="O54">+_xll.EQNXTDZ($A$1,$B54,O$1,$B$1)</f>
        <v>0</v>
      </c>
      <c r="P54" s="126" cm="1">
        <f t="array" ref="P54">+_xll.EQNXTDZ($A$1,$B54,P$1,$B$1)</f>
        <v>0</v>
      </c>
      <c r="Q54" s="126" cm="1">
        <f t="array" ref="Q54">+_xll.EQNXTDZ($A$1,$B54,Q$1,$B$1)</f>
        <v>0</v>
      </c>
      <c r="R54" s="126" cm="1">
        <f t="array" ref="R54">+_xll.EQNXTDZ($A$1,$B54,R$1,$B$1)</f>
        <v>0</v>
      </c>
      <c r="S54" s="126" cm="1">
        <f t="array" ref="S54">+_xll.EQNXTDZ($A$1,$B54,S$1,$B$1)</f>
        <v>0</v>
      </c>
      <c r="T54" s="126" cm="1">
        <f t="array" ref="T54">+_xll.EQNXTDZ($A$1,$B54,T$1,$B$1)</f>
        <v>0</v>
      </c>
      <c r="U54" s="126" cm="1">
        <f t="array" ref="U54">+_xll.EQNXTDZ($A$1,$B54,U$1,$B$1)</f>
        <v>0</v>
      </c>
      <c r="V54" s="126" cm="1">
        <f t="array" ref="V54">+_xll.EQNXTDZ($A$1,$B54,V$1,$B$1)</f>
        <v>0</v>
      </c>
      <c r="W54" s="126" cm="1">
        <f t="array" ref="W54">+_xll.EQNXTDZ($A$1,$B54,W$1,$B$1)</f>
        <v>0</v>
      </c>
      <c r="X54" s="126" cm="1">
        <f t="array" ref="X54">+_xll.EQNXTDZ($A$1,$B54,X$1,$B$1)</f>
        <v>0</v>
      </c>
      <c r="Y54" s="126" cm="1">
        <f t="array" ref="Y54">+_xll.EQNXTDZ($A$1,$B54,Y$1,$B$1)</f>
        <v>0</v>
      </c>
      <c r="Z54" s="126" cm="1">
        <f t="array" ref="Z54">+_xll.EQNXTDZ($A$1,$B54,Z$1,$B$1)</f>
        <v>0</v>
      </c>
      <c r="AA54" s="126" cm="1">
        <f t="array" ref="AA54">+_xll.EQNXTDZ($A$1,$B54,AA$1,$B$1)</f>
        <v>0</v>
      </c>
      <c r="AB54" s="126" cm="1">
        <f t="array" ref="AB54">+_xll.EQNXTDZ($A$1,$B54,AB$1,$B$1)</f>
        <v>0</v>
      </c>
      <c r="AC54" s="126" cm="1">
        <f t="array" ref="AC54">+_xll.EQNXTDZ($A$1,$B54,AC$1,$B$1)</f>
        <v>0</v>
      </c>
      <c r="AD54" s="126" cm="1">
        <f t="array" ref="AD54">+_xll.EQNXTDZ($A$1,$B54,AD$1,$B$1)</f>
        <v>0</v>
      </c>
      <c r="AE54" s="126" cm="1">
        <f t="array" ref="AE54">+_xll.EQNXTDZ($A$1,$B54,AE$1,$B$1)</f>
        <v>0</v>
      </c>
      <c r="AF54" s="126" cm="1">
        <f t="array" ref="AF54">+_xll.EQNXTDZ($A$1,$B54,AF$1,$B$1)</f>
        <v>0</v>
      </c>
      <c r="AG54" s="126" cm="1">
        <f t="array" ref="AG54">+_xll.EQNXTDZ($A$1,$B54,AG$1,$B$1)</f>
        <v>0</v>
      </c>
      <c r="AH54" s="126" cm="1">
        <f t="array" ref="AH54">+_xll.EQNXTDZ($A$1,$B54,AH$1,$B$1)</f>
        <v>0</v>
      </c>
      <c r="AI54" s="126" cm="1">
        <f t="array" ref="AI54">+_xll.EQNXTDZ($A$1,$B54,AI$1,$B$1)</f>
        <v>0</v>
      </c>
      <c r="AJ54" s="126" cm="1">
        <f t="array" ref="AJ54">+_xll.EQNXTDZ($A$1,$B54,AJ$1,$B$1)</f>
        <v>0</v>
      </c>
      <c r="AK54" s="126" cm="1">
        <f t="array" ref="AK54">+_xll.EQNXTDZ($A$1,$B54,AK$1,$B$1)</f>
        <v>0</v>
      </c>
      <c r="AL54" s="126" cm="1">
        <f t="array" ref="AL54">+_xll.EQNXTDZ($A$1,$B54,AL$1,$B$1)</f>
        <v>0</v>
      </c>
      <c r="AM54" s="126" cm="1">
        <f t="array" ref="AM54">+_xll.EQNXTDZ($A$1,$B54,AM$1,$B$1)</f>
        <v>0</v>
      </c>
      <c r="AN54" s="126" cm="1">
        <f t="array" ref="AN54">+_xll.EQNXTDZ($A$1,$B54,AN$1,$B$1)</f>
        <v>0</v>
      </c>
      <c r="AO54" s="126" cm="1">
        <f t="array" ref="AO54">+_xll.EQNXTDZ($A$1,$B54,AO$1,$B$1)</f>
        <v>0</v>
      </c>
      <c r="AP54" s="126" cm="1">
        <f t="array" ref="AP54">+_xll.EQNXTDZ($A$1,$B54,AP$1,$B$1)</f>
        <v>0</v>
      </c>
      <c r="AQ54" s="126" cm="1">
        <f t="array" ref="AQ54">+_xll.EQNXTDZ($A$1,$B54,AQ$1,$B$1)</f>
        <v>795.8</v>
      </c>
      <c r="AR54" s="126" cm="1">
        <f t="array" ref="AR54">+_xll.EQNXTDZ($A$1,$B54,AR$1,$B$1)</f>
        <v>0</v>
      </c>
      <c r="AS54" s="126" cm="1">
        <f t="array" ref="AS54">+_xll.EQNXTDZ($A$1,$B54,AS$1,$B$1)</f>
        <v>829.6</v>
      </c>
      <c r="AT54" s="126" cm="1">
        <f t="array" ref="AT54">+_xll.EQNXTDZ($A$1,$B54,AT$1,$B$1)</f>
        <v>0</v>
      </c>
      <c r="AU54" s="126" cm="1">
        <f t="array" ref="AU54">+_xll.EQNXTDZ($A$1,$B54,AU$1,$B$1)</f>
        <v>830.3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0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0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0</v>
      </c>
      <c r="D56" s="126" cm="1">
        <f t="array" ref="D56">+_xll.EQNXTDZ($A$1,$B56,D$1,$B$1)</f>
        <v>0</v>
      </c>
      <c r="E56" s="126" cm="1">
        <f t="array" ref="E56">+_xll.EQNXTDZ($A$1,$B56,E$1,$B$1)</f>
        <v>0</v>
      </c>
      <c r="F56" s="126" cm="1">
        <f t="array" ref="F56">+_xll.EQNXTDZ($A$1,$B56,F$1,$B$1)</f>
        <v>0</v>
      </c>
      <c r="G56" s="126" cm="1">
        <f t="array" ref="G56">+_xll.EQNXTDZ($A$1,$B56,G$1,$B$1)</f>
        <v>0</v>
      </c>
      <c r="H56" s="126" cm="1">
        <f t="array" ref="H56">+_xll.EQNXTDZ($A$1,$B56,H$1,$B$1)</f>
        <v>0</v>
      </c>
      <c r="I56" s="126" cm="1">
        <f t="array" ref="I56">+_xll.EQNXTDZ($A$1,$B56,I$1,$B$1)</f>
        <v>0</v>
      </c>
      <c r="J56" s="126" cm="1">
        <f t="array" ref="J56">+_xll.EQNXTDZ($A$1,$B56,J$1,$B$1)</f>
        <v>0</v>
      </c>
      <c r="K56" s="126" cm="1">
        <f t="array" ref="K56">+_xll.EQNXTDZ($A$1,$B56,K$1,$B$1)</f>
        <v>0</v>
      </c>
      <c r="L56" s="126" cm="1">
        <f t="array" ref="L56">+_xll.EQNXTDZ($A$1,$B56,L$1,$B$1)</f>
        <v>0</v>
      </c>
      <c r="M56" s="126" cm="1">
        <f t="array" ref="M56">+_xll.EQNXTDZ($A$1,$B56,M$1,$B$1)</f>
        <v>0</v>
      </c>
      <c r="N56" s="126" cm="1">
        <f t="array" ref="N56">+_xll.EQNXTDZ($A$1,$B56,N$1,$B$1)</f>
        <v>0</v>
      </c>
      <c r="O56" s="126" cm="1">
        <f t="array" ref="O56">+_xll.EQNXTDZ($A$1,$B56,O$1,$B$1)</f>
        <v>0</v>
      </c>
      <c r="P56" s="126" cm="1">
        <f t="array" ref="P56">+_xll.EQNXTDZ($A$1,$B56,P$1,$B$1)</f>
        <v>0</v>
      </c>
      <c r="Q56" s="126" cm="1">
        <f t="array" ref="Q56">+_xll.EQNXTDZ($A$1,$B56,Q$1,$B$1)</f>
        <v>0</v>
      </c>
      <c r="R56" s="126" cm="1">
        <f t="array" ref="R56">+_xll.EQNXTDZ($A$1,$B56,R$1,$B$1)</f>
        <v>0</v>
      </c>
      <c r="S56" s="126" cm="1">
        <f t="array" ref="S56">+_xll.EQNXTDZ($A$1,$B56,S$1,$B$1)</f>
        <v>0</v>
      </c>
      <c r="T56" s="126" cm="1">
        <f t="array" ref="T56">+_xll.EQNXTDZ($A$1,$B56,T$1,$B$1)</f>
        <v>0</v>
      </c>
      <c r="U56" s="126" cm="1">
        <f t="array" ref="U56">+_xll.EQNXTDZ($A$1,$B56,U$1,$B$1)</f>
        <v>0</v>
      </c>
      <c r="V56" s="126" cm="1">
        <f t="array" ref="V56">+_xll.EQNXTDZ($A$1,$B56,V$1,$B$1)</f>
        <v>0</v>
      </c>
      <c r="W56" s="126" cm="1">
        <f t="array" ref="W56">+_xll.EQNXTDZ($A$1,$B56,W$1,$B$1)</f>
        <v>0</v>
      </c>
      <c r="X56" s="126" cm="1">
        <f t="array" ref="X56">+_xll.EQNXTDZ($A$1,$B56,X$1,$B$1)</f>
        <v>0</v>
      </c>
      <c r="Y56" s="126" cm="1">
        <f t="array" ref="Y56">+_xll.EQNXTDZ($A$1,$B56,Y$1,$B$1)</f>
        <v>0</v>
      </c>
      <c r="Z56" s="126" cm="1">
        <f t="array" ref="Z56">+_xll.EQNXTDZ($A$1,$B56,Z$1,$B$1)</f>
        <v>0</v>
      </c>
      <c r="AA56" s="126" cm="1">
        <f t="array" ref="AA56">+_xll.EQNXTDZ($A$1,$B56,AA$1,$B$1)</f>
        <v>0</v>
      </c>
      <c r="AB56" s="126" cm="1">
        <f t="array" ref="AB56">+_xll.EQNXTDZ($A$1,$B56,AB$1,$B$1)</f>
        <v>0</v>
      </c>
      <c r="AC56" s="126" cm="1">
        <f t="array" ref="AC56">+_xll.EQNXTDZ($A$1,$B56,AC$1,$B$1)</f>
        <v>0</v>
      </c>
      <c r="AD56" s="126" cm="1">
        <f t="array" ref="AD56">+_xll.EQNXTDZ($A$1,$B56,AD$1,$B$1)</f>
        <v>0</v>
      </c>
      <c r="AE56" s="126" cm="1">
        <f t="array" ref="AE56">+_xll.EQNXTDZ($A$1,$B56,AE$1,$B$1)</f>
        <v>0</v>
      </c>
      <c r="AF56" s="126" cm="1">
        <f t="array" ref="AF56">+_xll.EQNXTDZ($A$1,$B56,AF$1,$B$1)</f>
        <v>0</v>
      </c>
      <c r="AG56" s="126" cm="1">
        <f t="array" ref="AG56">+_xll.EQNXTDZ($A$1,$B56,AG$1,$B$1)</f>
        <v>0</v>
      </c>
      <c r="AH56" s="126" cm="1">
        <f t="array" ref="AH56">+_xll.EQNXTDZ($A$1,$B56,AH$1,$B$1)</f>
        <v>0</v>
      </c>
      <c r="AI56" s="126" cm="1">
        <f t="array" ref="AI56">+_xll.EQNXTDZ($A$1,$B56,AI$1,$B$1)</f>
        <v>0</v>
      </c>
      <c r="AJ56" s="126" cm="1">
        <f t="array" ref="AJ56">+_xll.EQNXTDZ($A$1,$B56,AJ$1,$B$1)</f>
        <v>0</v>
      </c>
      <c r="AK56" s="126" cm="1">
        <f t="array" ref="AK56">+_xll.EQNXTDZ($A$1,$B56,AK$1,$B$1)</f>
        <v>0</v>
      </c>
      <c r="AL56" s="126" cm="1">
        <f t="array" ref="AL56">+_xll.EQNXTDZ($A$1,$B56,AL$1,$B$1)</f>
        <v>0</v>
      </c>
      <c r="AM56" s="126" cm="1">
        <f t="array" ref="AM56">+_xll.EQNXTDZ($A$1,$B56,AM$1,$B$1)</f>
        <v>0</v>
      </c>
      <c r="AN56" s="126" cm="1">
        <f t="array" ref="AN56">+_xll.EQNXTDZ($A$1,$B56,AN$1,$B$1)</f>
        <v>0</v>
      </c>
      <c r="AO56" s="126" cm="1">
        <f t="array" ref="AO56">+_xll.EQNXTDZ($A$1,$B56,AO$1,$B$1)</f>
        <v>0</v>
      </c>
      <c r="AP56" s="126" cm="1">
        <f t="array" ref="AP56">+_xll.EQNXTDZ($A$1,$B56,AP$1,$B$1)</f>
        <v>0</v>
      </c>
      <c r="AQ56" s="126" cm="1">
        <f t="array" ref="AQ56">+_xll.EQNXTDZ($A$1,$B56,AQ$1,$B$1)</f>
        <v>15023.9</v>
      </c>
      <c r="AR56" s="126" cm="1">
        <f t="array" ref="AR56">+_xll.EQNXTDZ($A$1,$B56,AR$1,$B$1)</f>
        <v>0</v>
      </c>
      <c r="AS56" s="126" cm="1">
        <f t="array" ref="AS56">+_xll.EQNXTDZ($A$1,$B56,AS$1,$B$1)</f>
        <v>18508.599999999999</v>
      </c>
      <c r="AT56" s="126" cm="1">
        <f t="array" ref="AT56">+_xll.EQNXTDZ($A$1,$B56,AT$1,$B$1)</f>
        <v>0</v>
      </c>
      <c r="AU56" s="126" cm="1">
        <f t="array" ref="AU56">+_xll.EQNXTDZ($A$1,$B56,AU$1,$B$1)</f>
        <v>19833.7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0</v>
      </c>
      <c r="D57" s="126" cm="1">
        <f t="array" ref="D57">+_xll.EQNXTDZ($A$1,$B57,D$1,$B$1)</f>
        <v>0</v>
      </c>
      <c r="E57" s="126" cm="1">
        <f t="array" ref="E57">+_xll.EQNXTDZ($A$1,$B57,E$1,$B$1)</f>
        <v>0</v>
      </c>
      <c r="F57" s="126" cm="1">
        <f t="array" ref="F57">+_xll.EQNXTDZ($A$1,$B57,F$1,$B$1)</f>
        <v>0</v>
      </c>
      <c r="G57" s="126" cm="1">
        <f t="array" ref="G57">+_xll.EQNXTDZ($A$1,$B57,G$1,$B$1)</f>
        <v>0</v>
      </c>
      <c r="H57" s="126" cm="1">
        <f t="array" ref="H57">+_xll.EQNXTDZ($A$1,$B57,H$1,$B$1)</f>
        <v>0</v>
      </c>
      <c r="I57" s="126" cm="1">
        <f t="array" ref="I57">+_xll.EQNXTDZ($A$1,$B57,I$1,$B$1)</f>
        <v>0</v>
      </c>
      <c r="J57" s="126" cm="1">
        <f t="array" ref="J57">+_xll.EQNXTDZ($A$1,$B57,J$1,$B$1)</f>
        <v>0</v>
      </c>
      <c r="K57" s="126" cm="1">
        <f t="array" ref="K57">+_xll.EQNXTDZ($A$1,$B57,K$1,$B$1)</f>
        <v>0</v>
      </c>
      <c r="L57" s="126" cm="1">
        <f t="array" ref="L57">+_xll.EQNXTDZ($A$1,$B57,L$1,$B$1)</f>
        <v>0</v>
      </c>
      <c r="M57" s="126" cm="1">
        <f t="array" ref="M57">+_xll.EQNXTDZ($A$1,$B57,M$1,$B$1)</f>
        <v>0</v>
      </c>
      <c r="N57" s="126" cm="1">
        <f t="array" ref="N57">+_xll.EQNXTDZ($A$1,$B57,N$1,$B$1)</f>
        <v>0</v>
      </c>
      <c r="O57" s="126" cm="1">
        <f t="array" ref="O57">+_xll.EQNXTDZ($A$1,$B57,O$1,$B$1)</f>
        <v>0</v>
      </c>
      <c r="P57" s="126" cm="1">
        <f t="array" ref="P57">+_xll.EQNXTDZ($A$1,$B57,P$1,$B$1)</f>
        <v>0</v>
      </c>
      <c r="Q57" s="126" cm="1">
        <f t="array" ref="Q57">+_xll.EQNXTDZ($A$1,$B57,Q$1,$B$1)</f>
        <v>0</v>
      </c>
      <c r="R57" s="126" cm="1">
        <f t="array" ref="R57">+_xll.EQNXTDZ($A$1,$B57,R$1,$B$1)</f>
        <v>0</v>
      </c>
      <c r="S57" s="126" cm="1">
        <f t="array" ref="S57">+_xll.EQNXTDZ($A$1,$B57,S$1,$B$1)</f>
        <v>0</v>
      </c>
      <c r="T57" s="126" cm="1">
        <f t="array" ref="T57">+_xll.EQNXTDZ($A$1,$B57,T$1,$B$1)</f>
        <v>0</v>
      </c>
      <c r="U57" s="126" cm="1">
        <f t="array" ref="U57">+_xll.EQNXTDZ($A$1,$B57,U$1,$B$1)</f>
        <v>0</v>
      </c>
      <c r="V57" s="126" cm="1">
        <f t="array" ref="V57">+_xll.EQNXTDZ($A$1,$B57,V$1,$B$1)</f>
        <v>0</v>
      </c>
      <c r="W57" s="126" cm="1">
        <f t="array" ref="W57">+_xll.EQNXTDZ($A$1,$B57,W$1,$B$1)</f>
        <v>0</v>
      </c>
      <c r="X57" s="126" cm="1">
        <f t="array" ref="X57">+_xll.EQNXTDZ($A$1,$B57,X$1,$B$1)</f>
        <v>0</v>
      </c>
      <c r="Y57" s="126" cm="1">
        <f t="array" ref="Y57">+_xll.EQNXTDZ($A$1,$B57,Y$1,$B$1)</f>
        <v>0</v>
      </c>
      <c r="Z57" s="126" cm="1">
        <f t="array" ref="Z57">+_xll.EQNXTDZ($A$1,$B57,Z$1,$B$1)</f>
        <v>0</v>
      </c>
      <c r="AA57" s="126" cm="1">
        <f t="array" ref="AA57">+_xll.EQNXTDZ($A$1,$B57,AA$1,$B$1)</f>
        <v>0</v>
      </c>
      <c r="AB57" s="126" cm="1">
        <f t="array" ref="AB57">+_xll.EQNXTDZ($A$1,$B57,AB$1,$B$1)</f>
        <v>0</v>
      </c>
      <c r="AC57" s="126" cm="1">
        <f t="array" ref="AC57">+_xll.EQNXTDZ($A$1,$B57,AC$1,$B$1)</f>
        <v>0</v>
      </c>
      <c r="AD57" s="126" cm="1">
        <f t="array" ref="AD57">+_xll.EQNXTDZ($A$1,$B57,AD$1,$B$1)</f>
        <v>0</v>
      </c>
      <c r="AE57" s="126" cm="1">
        <f t="array" ref="AE57">+_xll.EQNXTDZ($A$1,$B57,AE$1,$B$1)</f>
        <v>0</v>
      </c>
      <c r="AF57" s="126" cm="1">
        <f t="array" ref="AF57">+_xll.EQNXTDZ($A$1,$B57,AF$1,$B$1)</f>
        <v>0</v>
      </c>
      <c r="AG57" s="126" cm="1">
        <f t="array" ref="AG57">+_xll.EQNXTDZ($A$1,$B57,AG$1,$B$1)</f>
        <v>0</v>
      </c>
      <c r="AH57" s="126" cm="1">
        <f t="array" ref="AH57">+_xll.EQNXTDZ($A$1,$B57,AH$1,$B$1)</f>
        <v>0</v>
      </c>
      <c r="AI57" s="126" cm="1">
        <f t="array" ref="AI57">+_xll.EQNXTDZ($A$1,$B57,AI$1,$B$1)</f>
        <v>0</v>
      </c>
      <c r="AJ57" s="126" cm="1">
        <f t="array" ref="AJ57">+_xll.EQNXTDZ($A$1,$B57,AJ$1,$B$1)</f>
        <v>0</v>
      </c>
      <c r="AK57" s="126" cm="1">
        <f t="array" ref="AK57">+_xll.EQNXTDZ($A$1,$B57,AK$1,$B$1)</f>
        <v>0</v>
      </c>
      <c r="AL57" s="126" cm="1">
        <f t="array" ref="AL57">+_xll.EQNXTDZ($A$1,$B57,AL$1,$B$1)</f>
        <v>0</v>
      </c>
      <c r="AM57" s="126" cm="1">
        <f t="array" ref="AM57">+_xll.EQNXTDZ($A$1,$B57,AM$1,$B$1)</f>
        <v>0</v>
      </c>
      <c r="AN57" s="126" cm="1">
        <f t="array" ref="AN57">+_xll.EQNXTDZ($A$1,$B57,AN$1,$B$1)</f>
        <v>0</v>
      </c>
      <c r="AO57" s="126" cm="1">
        <f t="array" ref="AO57">+_xll.EQNXTDZ($A$1,$B57,AO$1,$B$1)</f>
        <v>0</v>
      </c>
      <c r="AP57" s="126" cm="1">
        <f t="array" ref="AP57">+_xll.EQNXTDZ($A$1,$B57,AP$1,$B$1)</f>
        <v>0</v>
      </c>
      <c r="AQ57" s="126" cm="1">
        <f t="array" ref="AQ57">+_xll.EQNXTDZ($A$1,$B57,AQ$1,$B$1)</f>
        <v>15819.7</v>
      </c>
      <c r="AR57" s="126" cm="1">
        <f t="array" ref="AR57">+_xll.EQNXTDZ($A$1,$B57,AR$1,$B$1)</f>
        <v>0</v>
      </c>
      <c r="AS57" s="126" cm="1">
        <f t="array" ref="AS57">+_xll.EQNXTDZ($A$1,$B57,AS$1,$B$1)</f>
        <v>19338.2</v>
      </c>
      <c r="AT57" s="126" cm="1">
        <f t="array" ref="AT57">+_xll.EQNXTDZ($A$1,$B57,AT$1,$B$1)</f>
        <v>0</v>
      </c>
      <c r="AU57" s="126" cm="1">
        <f t="array" ref="AU57">+_xll.EQNXTDZ($A$1,$B57,AU$1,$B$1)</f>
        <v>20664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0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0</v>
      </c>
      <c r="T58" s="126" cm="1">
        <f t="array" ref="T58">+_xll.EQNXTDZ($A$1,$B58,T$1,$B$1)</f>
        <v>0</v>
      </c>
      <c r="U58" s="126" cm="1">
        <f t="array" ref="U58">+_xll.EQNXTDZ($A$1,$B58,U$1,$B$1)</f>
        <v>0</v>
      </c>
      <c r="V58" s="126" cm="1">
        <f t="array" ref="V58">+_xll.EQNXTDZ($A$1,$B58,V$1,$B$1)</f>
        <v>0</v>
      </c>
      <c r="W58" s="126" cm="1">
        <f t="array" ref="W58">+_xll.EQNXTDZ($A$1,$B58,W$1,$B$1)</f>
        <v>0</v>
      </c>
      <c r="X58" s="126" cm="1">
        <f t="array" ref="X58">+_xll.EQNXTDZ($A$1,$B58,X$1,$B$1)</f>
        <v>0</v>
      </c>
      <c r="Y58" s="126" cm="1">
        <f t="array" ref="Y58">+_xll.EQNXTDZ($A$1,$B58,Y$1,$B$1)</f>
        <v>0</v>
      </c>
      <c r="Z58" s="126" cm="1">
        <f t="array" ref="Z58">+_xll.EQNXTDZ($A$1,$B58,Z$1,$B$1)</f>
        <v>0</v>
      </c>
      <c r="AA58" s="126" cm="1">
        <f t="array" ref="AA58">+_xll.EQNXTDZ($A$1,$B58,AA$1,$B$1)</f>
        <v>0</v>
      </c>
      <c r="AB58" s="126" cm="1">
        <f t="array" ref="AB58">+_xll.EQNXTDZ($A$1,$B58,AB$1,$B$1)</f>
        <v>0</v>
      </c>
      <c r="AC58" s="126" cm="1">
        <f t="array" ref="AC58">+_xll.EQNXTDZ($A$1,$B58,AC$1,$B$1)</f>
        <v>0</v>
      </c>
      <c r="AD58" s="126" cm="1">
        <f t="array" ref="AD58">+_xll.EQNXTDZ($A$1,$B58,AD$1,$B$1)</f>
        <v>0</v>
      </c>
      <c r="AE58" s="126" cm="1">
        <f t="array" ref="AE58">+_xll.EQNXTDZ($A$1,$B58,AE$1,$B$1)</f>
        <v>0</v>
      </c>
      <c r="AF58" s="126" cm="1">
        <f t="array" ref="AF58">+_xll.EQNXTDZ($A$1,$B58,AF$1,$B$1)</f>
        <v>0</v>
      </c>
      <c r="AG58" s="126" cm="1">
        <f t="array" ref="AG58">+_xll.EQNXTDZ($A$1,$B58,AG$1,$B$1)</f>
        <v>0</v>
      </c>
      <c r="AH58" s="126" cm="1">
        <f t="array" ref="AH58">+_xll.EQNXTDZ($A$1,$B58,AH$1,$B$1)</f>
        <v>0</v>
      </c>
      <c r="AI58" s="126" cm="1">
        <f t="array" ref="AI58">+_xll.EQNXTDZ($A$1,$B58,AI$1,$B$1)</f>
        <v>0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0</v>
      </c>
      <c r="AT58" s="126" cm="1">
        <f t="array" ref="AT58">+_xll.EQNXTDZ($A$1,$B58,AT$1,$B$1)</f>
        <v>0</v>
      </c>
      <c r="AU58" s="126" cm="1">
        <f t="array" ref="AU58">+_xll.EQNXTDZ($A$1,$B58,AU$1,$B$1)</f>
        <v>0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0</v>
      </c>
      <c r="F59" s="126" cm="1">
        <f t="array" ref="F59">+_xll.EQNXTDZ($A$1,$B59,F$1,$B$1)</f>
        <v>0</v>
      </c>
      <c r="G59" s="126" cm="1">
        <f t="array" ref="G59">+_xll.EQNXTDZ($A$1,$B59,G$1,$B$1)</f>
        <v>0</v>
      </c>
      <c r="H59" s="126" cm="1">
        <f t="array" ref="H59">+_xll.EQNXTDZ($A$1,$B59,H$1,$B$1)</f>
        <v>0</v>
      </c>
      <c r="I59" s="126" cm="1">
        <f t="array" ref="I59">+_xll.EQNXTDZ($A$1,$B59,I$1,$B$1)</f>
        <v>0</v>
      </c>
      <c r="J59" s="126" cm="1">
        <f t="array" ref="J59">+_xll.EQNXTDZ($A$1,$B59,J$1,$B$1)</f>
        <v>0</v>
      </c>
      <c r="K59" s="126" cm="1">
        <f t="array" ref="K59">+_xll.EQNXTDZ($A$1,$B59,K$1,$B$1)</f>
        <v>0</v>
      </c>
      <c r="L59" s="126" cm="1">
        <f t="array" ref="L59">+_xll.EQNXTDZ($A$1,$B59,L$1,$B$1)</f>
        <v>0</v>
      </c>
      <c r="M59" s="126" cm="1">
        <f t="array" ref="M59">+_xll.EQNXTDZ($A$1,$B59,M$1,$B$1)</f>
        <v>0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0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0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0</v>
      </c>
      <c r="F61" s="126" cm="1">
        <f t="array" ref="F61">+_xll.EQNXTDZ($A$1,$B61,F$1,$B$1)</f>
        <v>0</v>
      </c>
      <c r="G61" s="126" cm="1">
        <f t="array" ref="G61">+_xll.EQNXTDZ($A$1,$B61,G$1,$B$1)</f>
        <v>0</v>
      </c>
      <c r="H61" s="126" cm="1">
        <f t="array" ref="H61">+_xll.EQNXTDZ($A$1,$B61,H$1,$B$1)</f>
        <v>0</v>
      </c>
      <c r="I61" s="126" cm="1">
        <f t="array" ref="I61">+_xll.EQNXTDZ($A$1,$B61,I$1,$B$1)</f>
        <v>0</v>
      </c>
      <c r="J61" s="126" cm="1">
        <f t="array" ref="J61">+_xll.EQNXTDZ($A$1,$B61,J$1,$B$1)</f>
        <v>0</v>
      </c>
      <c r="K61" s="126" cm="1">
        <f t="array" ref="K61">+_xll.EQNXTDZ($A$1,$B61,K$1,$B$1)</f>
        <v>0</v>
      </c>
      <c r="L61" s="126" cm="1">
        <f t="array" ref="L61">+_xll.EQNXTDZ($A$1,$B61,L$1,$B$1)</f>
        <v>0</v>
      </c>
      <c r="M61" s="126" cm="1">
        <f t="array" ref="M61">+_xll.EQNXTDZ($A$1,$B61,M$1,$B$1)</f>
        <v>0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0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0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0</v>
      </c>
      <c r="F62" s="126" cm="1">
        <f t="array" ref="F62">+_xll.EQNXTDZ($A$1,$B62,F$1,$B$1)</f>
        <v>0</v>
      </c>
      <c r="G62" s="126" cm="1">
        <f t="array" ref="G62">+_xll.EQNXTDZ($A$1,$B62,G$1,$B$1)</f>
        <v>0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0</v>
      </c>
      <c r="P62" s="126" cm="1">
        <f t="array" ref="P62">+_xll.EQNXTDZ($A$1,$B62,P$1,$B$1)</f>
        <v>0</v>
      </c>
      <c r="Q62" s="126" cm="1">
        <f t="array" ref="Q62">+_xll.EQNXTDZ($A$1,$B62,Q$1,$B$1)</f>
        <v>0</v>
      </c>
      <c r="R62" s="126" cm="1">
        <f t="array" ref="R62">+_xll.EQNXTDZ($A$1,$B62,R$1,$B$1)</f>
        <v>0</v>
      </c>
      <c r="S62" s="126" cm="1">
        <f t="array" ref="S62">+_xll.EQNXTDZ($A$1,$B62,S$1,$B$1)</f>
        <v>0</v>
      </c>
      <c r="T62" s="126" cm="1">
        <f t="array" ref="T62">+_xll.EQNXTDZ($A$1,$B62,T$1,$B$1)</f>
        <v>0</v>
      </c>
      <c r="U62" s="126" cm="1">
        <f t="array" ref="U62">+_xll.EQNXTDZ($A$1,$B62,U$1,$B$1)</f>
        <v>0</v>
      </c>
      <c r="V62" s="126" cm="1">
        <f t="array" ref="V62">+_xll.EQNXTDZ($A$1,$B62,V$1,$B$1)</f>
        <v>0</v>
      </c>
      <c r="W62" s="126" cm="1">
        <f t="array" ref="W62">+_xll.EQNXTDZ($A$1,$B62,W$1,$B$1)</f>
        <v>0</v>
      </c>
      <c r="X62" s="126" cm="1">
        <f t="array" ref="X62">+_xll.EQNXTDZ($A$1,$B62,X$1,$B$1)</f>
        <v>0</v>
      </c>
      <c r="Y62" s="126" cm="1">
        <f t="array" ref="Y62">+_xll.EQNXTDZ($A$1,$B62,Y$1,$B$1)</f>
        <v>0</v>
      </c>
      <c r="Z62" s="126" cm="1">
        <f t="array" ref="Z62">+_xll.EQNXTDZ($A$1,$B62,Z$1,$B$1)</f>
        <v>0</v>
      </c>
      <c r="AA62" s="126" cm="1">
        <f t="array" ref="AA62">+_xll.EQNXTDZ($A$1,$B62,AA$1,$B$1)</f>
        <v>0</v>
      </c>
      <c r="AB62" s="126" cm="1">
        <f t="array" ref="AB62">+_xll.EQNXTDZ($A$1,$B62,AB$1,$B$1)</f>
        <v>0</v>
      </c>
      <c r="AC62" s="126" cm="1">
        <f t="array" ref="AC62">+_xll.EQNXTDZ($A$1,$B62,AC$1,$B$1)</f>
        <v>0</v>
      </c>
      <c r="AD62" s="126" cm="1">
        <f t="array" ref="AD62">+_xll.EQNXTDZ($A$1,$B62,AD$1,$B$1)</f>
        <v>0</v>
      </c>
      <c r="AE62" s="126" cm="1">
        <f t="array" ref="AE62">+_xll.EQNXTDZ($A$1,$B62,AE$1,$B$1)</f>
        <v>0</v>
      </c>
      <c r="AF62" s="126" cm="1">
        <f t="array" ref="AF62">+_xll.EQNXTDZ($A$1,$B62,AF$1,$B$1)</f>
        <v>0</v>
      </c>
      <c r="AG62" s="126" cm="1">
        <f t="array" ref="AG62">+_xll.EQNXTDZ($A$1,$B62,AG$1,$B$1)</f>
        <v>0</v>
      </c>
      <c r="AH62" s="126" cm="1">
        <f t="array" ref="AH62">+_xll.EQNXTDZ($A$1,$B62,AH$1,$B$1)</f>
        <v>0</v>
      </c>
      <c r="AI62" s="126" cm="1">
        <f t="array" ref="AI62">+_xll.EQNXTDZ($A$1,$B62,AI$1,$B$1)</f>
        <v>0</v>
      </c>
      <c r="AJ62" s="126" cm="1">
        <f t="array" ref="AJ62">+_xll.EQNXTDZ($A$1,$B62,AJ$1,$B$1)</f>
        <v>0</v>
      </c>
      <c r="AK62" s="126" cm="1">
        <f t="array" ref="AK62">+_xll.EQNXTDZ($A$1,$B62,AK$1,$B$1)</f>
        <v>0</v>
      </c>
      <c r="AL62" s="126" cm="1">
        <f t="array" ref="AL62">+_xll.EQNXTDZ($A$1,$B62,AL$1,$B$1)</f>
        <v>0</v>
      </c>
      <c r="AM62" s="126" cm="1">
        <f t="array" ref="AM62">+_xll.EQNXTDZ($A$1,$B62,AM$1,$B$1)</f>
        <v>0</v>
      </c>
      <c r="AN62" s="126" cm="1">
        <f t="array" ref="AN62">+_xll.EQNXTDZ($A$1,$B62,AN$1,$B$1)</f>
        <v>0</v>
      </c>
      <c r="AO62" s="126" cm="1">
        <f t="array" ref="AO62">+_xll.EQNXTDZ($A$1,$B62,AO$1,$B$1)</f>
        <v>0</v>
      </c>
      <c r="AP62" s="126" cm="1">
        <f t="array" ref="AP62">+_xll.EQNXTDZ($A$1,$B62,AP$1,$B$1)</f>
        <v>0</v>
      </c>
      <c r="AQ62" s="126" cm="1">
        <f t="array" ref="AQ62">+_xll.EQNXTDZ($A$1,$B62,AQ$1,$B$1)</f>
        <v>146.5</v>
      </c>
      <c r="AR62" s="126" cm="1">
        <f t="array" ref="AR62">+_xll.EQNXTDZ($A$1,$B62,AR$1,$B$1)</f>
        <v>0</v>
      </c>
      <c r="AS62" s="126" cm="1">
        <f t="array" ref="AS62">+_xll.EQNXTDZ($A$1,$B62,AS$1,$B$1)</f>
        <v>562.9</v>
      </c>
      <c r="AT62" s="126" cm="1">
        <f t="array" ref="AT62">+_xll.EQNXTDZ($A$1,$B62,AT$1,$B$1)</f>
        <v>0</v>
      </c>
      <c r="AU62" s="126" cm="1">
        <f t="array" ref="AU62">+_xll.EQNXTDZ($A$1,$B62,AU$1,$B$1)</f>
        <v>175.5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0</v>
      </c>
      <c r="D64" s="126" cm="1">
        <f t="array" ref="D64">+_xll.EQNXTDZ($A$1,$B64,D$1,$B$1)</f>
        <v>0</v>
      </c>
      <c r="E64" s="126" cm="1">
        <f t="array" ref="E64">+_xll.EQNXTDZ($A$1,$B64,E$1,$B$1)</f>
        <v>0</v>
      </c>
      <c r="F64" s="126" cm="1">
        <f t="array" ref="F64">+_xll.EQNXTDZ($A$1,$B64,F$1,$B$1)</f>
        <v>0</v>
      </c>
      <c r="G64" s="126" cm="1">
        <f t="array" ref="G64">+_xll.EQNXTDZ($A$1,$B64,G$1,$B$1)</f>
        <v>0</v>
      </c>
      <c r="H64" s="126" cm="1">
        <f t="array" ref="H64">+_xll.EQNXTDZ($A$1,$B64,H$1,$B$1)</f>
        <v>0</v>
      </c>
      <c r="I64" s="126" cm="1">
        <f t="array" ref="I64">+_xll.EQNXTDZ($A$1,$B64,I$1,$B$1)</f>
        <v>0</v>
      </c>
      <c r="J64" s="126" cm="1">
        <f t="array" ref="J64">+_xll.EQNXTDZ($A$1,$B64,J$1,$B$1)</f>
        <v>0</v>
      </c>
      <c r="K64" s="126" cm="1">
        <f t="array" ref="K64">+_xll.EQNXTDZ($A$1,$B64,K$1,$B$1)</f>
        <v>0</v>
      </c>
      <c r="L64" s="126" cm="1">
        <f t="array" ref="L64">+_xll.EQNXTDZ($A$1,$B64,L$1,$B$1)</f>
        <v>0</v>
      </c>
      <c r="M64" s="126" cm="1">
        <f t="array" ref="M64">+_xll.EQNXTDZ($A$1,$B64,M$1,$B$1)</f>
        <v>0</v>
      </c>
      <c r="N64" s="126" cm="1">
        <f t="array" ref="N64">+_xll.EQNXTDZ($A$1,$B64,N$1,$B$1)</f>
        <v>0</v>
      </c>
      <c r="O64" s="126" cm="1">
        <f t="array" ref="O64">+_xll.EQNXTDZ($A$1,$B64,O$1,$B$1)</f>
        <v>0</v>
      </c>
      <c r="P64" s="126" cm="1">
        <f t="array" ref="P64">+_xll.EQNXTDZ($A$1,$B64,P$1,$B$1)</f>
        <v>0</v>
      </c>
      <c r="Q64" s="126" cm="1">
        <f t="array" ref="Q64">+_xll.EQNXTDZ($A$1,$B64,Q$1,$B$1)</f>
        <v>0</v>
      </c>
      <c r="R64" s="126" cm="1">
        <f t="array" ref="R64">+_xll.EQNXTDZ($A$1,$B64,R$1,$B$1)</f>
        <v>0</v>
      </c>
      <c r="S64" s="126" cm="1">
        <f t="array" ref="S64">+_xll.EQNXTDZ($A$1,$B64,S$1,$B$1)</f>
        <v>0</v>
      </c>
      <c r="T64" s="126" cm="1">
        <f t="array" ref="T64">+_xll.EQNXTDZ($A$1,$B64,T$1,$B$1)</f>
        <v>0</v>
      </c>
      <c r="U64" s="126" cm="1">
        <f t="array" ref="U64">+_xll.EQNXTDZ($A$1,$B64,U$1,$B$1)</f>
        <v>0</v>
      </c>
      <c r="V64" s="126" cm="1">
        <f t="array" ref="V64">+_xll.EQNXTDZ($A$1,$B64,V$1,$B$1)</f>
        <v>0</v>
      </c>
      <c r="W64" s="126" cm="1">
        <f t="array" ref="W64">+_xll.EQNXTDZ($A$1,$B64,W$1,$B$1)</f>
        <v>0</v>
      </c>
      <c r="X64" s="126" cm="1">
        <f t="array" ref="X64">+_xll.EQNXTDZ($A$1,$B64,X$1,$B$1)</f>
        <v>0</v>
      </c>
      <c r="Y64" s="126" cm="1">
        <f t="array" ref="Y64">+_xll.EQNXTDZ($A$1,$B64,Y$1,$B$1)</f>
        <v>0</v>
      </c>
      <c r="Z64" s="126" cm="1">
        <f t="array" ref="Z64">+_xll.EQNXTDZ($A$1,$B64,Z$1,$B$1)</f>
        <v>0</v>
      </c>
      <c r="AA64" s="126" cm="1">
        <f t="array" ref="AA64">+_xll.EQNXTDZ($A$1,$B64,AA$1,$B$1)</f>
        <v>0</v>
      </c>
      <c r="AB64" s="126" cm="1">
        <f t="array" ref="AB64">+_xll.EQNXTDZ($A$1,$B64,AB$1,$B$1)</f>
        <v>0</v>
      </c>
      <c r="AC64" s="126" cm="1">
        <f t="array" ref="AC64">+_xll.EQNXTDZ($A$1,$B64,AC$1,$B$1)</f>
        <v>0</v>
      </c>
      <c r="AD64" s="126" cm="1">
        <f t="array" ref="AD64">+_xll.EQNXTDZ($A$1,$B64,AD$1,$B$1)</f>
        <v>0</v>
      </c>
      <c r="AE64" s="126" cm="1">
        <f t="array" ref="AE64">+_xll.EQNXTDZ($A$1,$B64,AE$1,$B$1)</f>
        <v>0</v>
      </c>
      <c r="AF64" s="126" cm="1">
        <f t="array" ref="AF64">+_xll.EQNXTDZ($A$1,$B64,AF$1,$B$1)</f>
        <v>0</v>
      </c>
      <c r="AG64" s="126" cm="1">
        <f t="array" ref="AG64">+_xll.EQNXTDZ($A$1,$B64,AG$1,$B$1)</f>
        <v>0</v>
      </c>
      <c r="AH64" s="126" cm="1">
        <f t="array" ref="AH64">+_xll.EQNXTDZ($A$1,$B64,AH$1,$B$1)</f>
        <v>0</v>
      </c>
      <c r="AI64" s="126" cm="1">
        <f t="array" ref="AI64">+_xll.EQNXTDZ($A$1,$B64,AI$1,$B$1)</f>
        <v>0</v>
      </c>
      <c r="AJ64" s="126" cm="1">
        <f t="array" ref="AJ64">+_xll.EQNXTDZ($A$1,$B64,AJ$1,$B$1)</f>
        <v>0</v>
      </c>
      <c r="AK64" s="126" cm="1">
        <f t="array" ref="AK64">+_xll.EQNXTDZ($A$1,$B64,AK$1,$B$1)</f>
        <v>0</v>
      </c>
      <c r="AL64" s="126" cm="1">
        <f t="array" ref="AL64">+_xll.EQNXTDZ($A$1,$B64,AL$1,$B$1)</f>
        <v>0</v>
      </c>
      <c r="AM64" s="126" cm="1">
        <f t="array" ref="AM64">+_xll.EQNXTDZ($A$1,$B64,AM$1,$B$1)</f>
        <v>0</v>
      </c>
      <c r="AN64" s="126" cm="1">
        <f t="array" ref="AN64">+_xll.EQNXTDZ($A$1,$B64,AN$1,$B$1)</f>
        <v>0</v>
      </c>
      <c r="AO64" s="126" cm="1">
        <f t="array" ref="AO64">+_xll.EQNXTDZ($A$1,$B64,AO$1,$B$1)</f>
        <v>0</v>
      </c>
      <c r="AP64" s="126" cm="1">
        <f t="array" ref="AP64">+_xll.EQNXTDZ($A$1,$B64,AP$1,$B$1)</f>
        <v>0</v>
      </c>
      <c r="AQ64" s="126" cm="1">
        <f t="array" ref="AQ64">+_xll.EQNXTDZ($A$1,$B64,AQ$1,$B$1)</f>
        <v>564.5</v>
      </c>
      <c r="AR64" s="126" cm="1">
        <f t="array" ref="AR64">+_xll.EQNXTDZ($A$1,$B64,AR$1,$B$1)</f>
        <v>0</v>
      </c>
      <c r="AS64" s="126" cm="1">
        <f t="array" ref="AS64">+_xll.EQNXTDZ($A$1,$B64,AS$1,$B$1)</f>
        <v>480.3</v>
      </c>
      <c r="AT64" s="126" cm="1">
        <f t="array" ref="AT64">+_xll.EQNXTDZ($A$1,$B64,AT$1,$B$1)</f>
        <v>0</v>
      </c>
      <c r="AU64" s="126" cm="1">
        <f t="array" ref="AU64">+_xll.EQNXTDZ($A$1,$B64,AU$1,$B$1)</f>
        <v>715.2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0</v>
      </c>
      <c r="D65" s="126" cm="1">
        <f t="array" ref="D65">+_xll.EQNXTDZ($A$1,$B65,D$1,$B$1)</f>
        <v>0</v>
      </c>
      <c r="E65" s="126" cm="1">
        <f t="array" ref="E65">+_xll.EQNXTDZ($A$1,$B65,E$1,$B$1)</f>
        <v>0</v>
      </c>
      <c r="F65" s="126" cm="1">
        <f t="array" ref="F65">+_xll.EQNXTDZ($A$1,$B65,F$1,$B$1)</f>
        <v>0</v>
      </c>
      <c r="G65" s="126" cm="1">
        <f t="array" ref="G65">+_xll.EQNXTDZ($A$1,$B65,G$1,$B$1)</f>
        <v>0</v>
      </c>
      <c r="H65" s="126" cm="1">
        <f t="array" ref="H65">+_xll.EQNXTDZ($A$1,$B65,H$1,$B$1)</f>
        <v>0</v>
      </c>
      <c r="I65" s="126" cm="1">
        <f t="array" ref="I65">+_xll.EQNXTDZ($A$1,$B65,I$1,$B$1)</f>
        <v>0</v>
      </c>
      <c r="J65" s="126" cm="1">
        <f t="array" ref="J65">+_xll.EQNXTDZ($A$1,$B65,J$1,$B$1)</f>
        <v>0</v>
      </c>
      <c r="K65" s="126" cm="1">
        <f t="array" ref="K65">+_xll.EQNXTDZ($A$1,$B65,K$1,$B$1)</f>
        <v>0</v>
      </c>
      <c r="L65" s="126" cm="1">
        <f t="array" ref="L65">+_xll.EQNXTDZ($A$1,$B65,L$1,$B$1)</f>
        <v>0</v>
      </c>
      <c r="M65" s="126" cm="1">
        <f t="array" ref="M65">+_xll.EQNXTDZ($A$1,$B65,M$1,$B$1)</f>
        <v>0</v>
      </c>
      <c r="N65" s="126" cm="1">
        <f t="array" ref="N65">+_xll.EQNXTDZ($A$1,$B65,N$1,$B$1)</f>
        <v>0</v>
      </c>
      <c r="O65" s="126" cm="1">
        <f t="array" ref="O65">+_xll.EQNXTDZ($A$1,$B65,O$1,$B$1)</f>
        <v>0</v>
      </c>
      <c r="P65" s="126" cm="1">
        <f t="array" ref="P65">+_xll.EQNXTDZ($A$1,$B65,P$1,$B$1)</f>
        <v>0</v>
      </c>
      <c r="Q65" s="126" cm="1">
        <f t="array" ref="Q65">+_xll.EQNXTDZ($A$1,$B65,Q$1,$B$1)</f>
        <v>0</v>
      </c>
      <c r="R65" s="126" cm="1">
        <f t="array" ref="R65">+_xll.EQNXTDZ($A$1,$B65,R$1,$B$1)</f>
        <v>0</v>
      </c>
      <c r="S65" s="126" cm="1">
        <f t="array" ref="S65">+_xll.EQNXTDZ($A$1,$B65,S$1,$B$1)</f>
        <v>0</v>
      </c>
      <c r="T65" s="126" cm="1">
        <f t="array" ref="T65">+_xll.EQNXTDZ($A$1,$B65,T$1,$B$1)</f>
        <v>0</v>
      </c>
      <c r="U65" s="126" cm="1">
        <f t="array" ref="U65">+_xll.EQNXTDZ($A$1,$B65,U$1,$B$1)</f>
        <v>0</v>
      </c>
      <c r="V65" s="126" cm="1">
        <f t="array" ref="V65">+_xll.EQNXTDZ($A$1,$B65,V$1,$B$1)</f>
        <v>0</v>
      </c>
      <c r="W65" s="126" cm="1">
        <f t="array" ref="W65">+_xll.EQNXTDZ($A$1,$B65,W$1,$B$1)</f>
        <v>0</v>
      </c>
      <c r="X65" s="126" cm="1">
        <f t="array" ref="X65">+_xll.EQNXTDZ($A$1,$B65,X$1,$B$1)</f>
        <v>0</v>
      </c>
      <c r="Y65" s="126" cm="1">
        <f t="array" ref="Y65">+_xll.EQNXTDZ($A$1,$B65,Y$1,$B$1)</f>
        <v>0</v>
      </c>
      <c r="Z65" s="126" cm="1">
        <f t="array" ref="Z65">+_xll.EQNXTDZ($A$1,$B65,Z$1,$B$1)</f>
        <v>0</v>
      </c>
      <c r="AA65" s="126" cm="1">
        <f t="array" ref="AA65">+_xll.EQNXTDZ($A$1,$B65,AA$1,$B$1)</f>
        <v>0</v>
      </c>
      <c r="AB65" s="126" cm="1">
        <f t="array" ref="AB65">+_xll.EQNXTDZ($A$1,$B65,AB$1,$B$1)</f>
        <v>0</v>
      </c>
      <c r="AC65" s="126" cm="1">
        <f t="array" ref="AC65">+_xll.EQNXTDZ($A$1,$B65,AC$1,$B$1)</f>
        <v>0</v>
      </c>
      <c r="AD65" s="126" cm="1">
        <f t="array" ref="AD65">+_xll.EQNXTDZ($A$1,$B65,AD$1,$B$1)</f>
        <v>0</v>
      </c>
      <c r="AE65" s="126" cm="1">
        <f t="array" ref="AE65">+_xll.EQNXTDZ($A$1,$B65,AE$1,$B$1)</f>
        <v>0</v>
      </c>
      <c r="AF65" s="126" cm="1">
        <f t="array" ref="AF65">+_xll.EQNXTDZ($A$1,$B65,AF$1,$B$1)</f>
        <v>0</v>
      </c>
      <c r="AG65" s="126" cm="1">
        <f t="array" ref="AG65">+_xll.EQNXTDZ($A$1,$B65,AG$1,$B$1)</f>
        <v>0</v>
      </c>
      <c r="AH65" s="126" cm="1">
        <f t="array" ref="AH65">+_xll.EQNXTDZ($A$1,$B65,AH$1,$B$1)</f>
        <v>0</v>
      </c>
      <c r="AI65" s="126" cm="1">
        <f t="array" ref="AI65">+_xll.EQNXTDZ($A$1,$B65,AI$1,$B$1)</f>
        <v>0</v>
      </c>
      <c r="AJ65" s="126" cm="1">
        <f t="array" ref="AJ65">+_xll.EQNXTDZ($A$1,$B65,AJ$1,$B$1)</f>
        <v>0</v>
      </c>
      <c r="AK65" s="126" cm="1">
        <f t="array" ref="AK65">+_xll.EQNXTDZ($A$1,$B65,AK$1,$B$1)</f>
        <v>0</v>
      </c>
      <c r="AL65" s="126" cm="1">
        <f t="array" ref="AL65">+_xll.EQNXTDZ($A$1,$B65,AL$1,$B$1)</f>
        <v>0</v>
      </c>
      <c r="AM65" s="126" cm="1">
        <f t="array" ref="AM65">+_xll.EQNXTDZ($A$1,$B65,AM$1,$B$1)</f>
        <v>0</v>
      </c>
      <c r="AN65" s="126" cm="1">
        <f t="array" ref="AN65">+_xll.EQNXTDZ($A$1,$B65,AN$1,$B$1)</f>
        <v>0</v>
      </c>
      <c r="AO65" s="126" cm="1">
        <f t="array" ref="AO65">+_xll.EQNXTDZ($A$1,$B65,AO$1,$B$1)</f>
        <v>0</v>
      </c>
      <c r="AP65" s="126" cm="1">
        <f t="array" ref="AP65">+_xll.EQNXTDZ($A$1,$B65,AP$1,$B$1)</f>
        <v>0</v>
      </c>
      <c r="AQ65" s="126" cm="1">
        <f t="array" ref="AQ65">+_xll.EQNXTDZ($A$1,$B65,AQ$1,$B$1)</f>
        <v>16530.7</v>
      </c>
      <c r="AR65" s="126" cm="1">
        <f t="array" ref="AR65">+_xll.EQNXTDZ($A$1,$B65,AR$1,$B$1)</f>
        <v>0</v>
      </c>
      <c r="AS65" s="126" cm="1">
        <f t="array" ref="AS65">+_xll.EQNXTDZ($A$1,$B65,AS$1,$B$1)</f>
        <v>20381.400000000001</v>
      </c>
      <c r="AT65" s="126" cm="1">
        <f t="array" ref="AT65">+_xll.EQNXTDZ($A$1,$B65,AT$1,$B$1)</f>
        <v>0</v>
      </c>
      <c r="AU65" s="126" cm="1">
        <f t="array" ref="AU65">+_xll.EQNXTDZ($A$1,$B65,AU$1,$B$1)</f>
        <v>21554.7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0</v>
      </c>
      <c r="D66" s="126" cm="1">
        <f t="array" ref="D66">+_xll.EQNXTDZ($A$1,$B66,D$1,$B$1)</f>
        <v>0</v>
      </c>
      <c r="E66" s="126" cm="1">
        <f t="array" ref="E66">+_xll.EQNXTDZ($A$1,$B66,E$1,$B$1)</f>
        <v>0</v>
      </c>
      <c r="F66" s="126" cm="1">
        <f t="array" ref="F66">+_xll.EQNXTDZ($A$1,$B66,F$1,$B$1)</f>
        <v>0</v>
      </c>
      <c r="G66" s="126" cm="1">
        <f t="array" ref="G66">+_xll.EQNXTDZ($A$1,$B66,G$1,$B$1)</f>
        <v>0</v>
      </c>
      <c r="H66" s="126" cm="1">
        <f t="array" ref="H66">+_xll.EQNXTDZ($A$1,$B66,H$1,$B$1)</f>
        <v>0</v>
      </c>
      <c r="I66" s="126" cm="1">
        <f t="array" ref="I66">+_xll.EQNXTDZ($A$1,$B66,I$1,$B$1)</f>
        <v>0</v>
      </c>
      <c r="J66" s="126" cm="1">
        <f t="array" ref="J66">+_xll.EQNXTDZ($A$1,$B66,J$1,$B$1)</f>
        <v>0</v>
      </c>
      <c r="K66" s="126" cm="1">
        <f t="array" ref="K66">+_xll.EQNXTDZ($A$1,$B66,K$1,$B$1)</f>
        <v>0</v>
      </c>
      <c r="L66" s="126" cm="1">
        <f t="array" ref="L66">+_xll.EQNXTDZ($A$1,$B66,L$1,$B$1)</f>
        <v>0</v>
      </c>
      <c r="M66" s="126" cm="1">
        <f t="array" ref="M66">+_xll.EQNXTDZ($A$1,$B66,M$1,$B$1)</f>
        <v>0</v>
      </c>
      <c r="N66" s="126" cm="1">
        <f t="array" ref="N66">+_xll.EQNXTDZ($A$1,$B66,N$1,$B$1)</f>
        <v>0</v>
      </c>
      <c r="O66" s="126" cm="1">
        <f t="array" ref="O66">+_xll.EQNXTDZ($A$1,$B66,O$1,$B$1)</f>
        <v>0</v>
      </c>
      <c r="P66" s="126" cm="1">
        <f t="array" ref="P66">+_xll.EQNXTDZ($A$1,$B66,P$1,$B$1)</f>
        <v>0</v>
      </c>
      <c r="Q66" s="126" cm="1">
        <f t="array" ref="Q66">+_xll.EQNXTDZ($A$1,$B66,Q$1,$B$1)</f>
        <v>0</v>
      </c>
      <c r="R66" s="126" cm="1">
        <f t="array" ref="R66">+_xll.EQNXTDZ($A$1,$B66,R$1,$B$1)</f>
        <v>0</v>
      </c>
      <c r="S66" s="126" cm="1">
        <f t="array" ref="S66">+_xll.EQNXTDZ($A$1,$B66,S$1,$B$1)</f>
        <v>0</v>
      </c>
      <c r="T66" s="126" cm="1">
        <f t="array" ref="T66">+_xll.EQNXTDZ($A$1,$B66,T$1,$B$1)</f>
        <v>0</v>
      </c>
      <c r="U66" s="126" cm="1">
        <f t="array" ref="U66">+_xll.EQNXTDZ($A$1,$B66,U$1,$B$1)</f>
        <v>0</v>
      </c>
      <c r="V66" s="126" cm="1">
        <f t="array" ref="V66">+_xll.EQNXTDZ($A$1,$B66,V$1,$B$1)</f>
        <v>0</v>
      </c>
      <c r="W66" s="126" cm="1">
        <f t="array" ref="W66">+_xll.EQNXTDZ($A$1,$B66,W$1,$B$1)</f>
        <v>0</v>
      </c>
      <c r="X66" s="126" cm="1">
        <f t="array" ref="X66">+_xll.EQNXTDZ($A$1,$B66,X$1,$B$1)</f>
        <v>0</v>
      </c>
      <c r="Y66" s="126" cm="1">
        <f t="array" ref="Y66">+_xll.EQNXTDZ($A$1,$B66,Y$1,$B$1)</f>
        <v>0</v>
      </c>
      <c r="Z66" s="126" cm="1">
        <f t="array" ref="Z66">+_xll.EQNXTDZ($A$1,$B66,Z$1,$B$1)</f>
        <v>0</v>
      </c>
      <c r="AA66" s="126" cm="1">
        <f t="array" ref="AA66">+_xll.EQNXTDZ($A$1,$B66,AA$1,$B$1)</f>
        <v>0</v>
      </c>
      <c r="AB66" s="126" cm="1">
        <f t="array" ref="AB66">+_xll.EQNXTDZ($A$1,$B66,AB$1,$B$1)</f>
        <v>0</v>
      </c>
      <c r="AC66" s="126" cm="1">
        <f t="array" ref="AC66">+_xll.EQNXTDZ($A$1,$B66,AC$1,$B$1)</f>
        <v>0</v>
      </c>
      <c r="AD66" s="126" cm="1">
        <f t="array" ref="AD66">+_xll.EQNXTDZ($A$1,$B66,AD$1,$B$1)</f>
        <v>0</v>
      </c>
      <c r="AE66" s="126" cm="1">
        <f t="array" ref="AE66">+_xll.EQNXTDZ($A$1,$B66,AE$1,$B$1)</f>
        <v>0</v>
      </c>
      <c r="AF66" s="126" cm="1">
        <f t="array" ref="AF66">+_xll.EQNXTDZ($A$1,$B66,AF$1,$B$1)</f>
        <v>0</v>
      </c>
      <c r="AG66" s="126" cm="1">
        <f t="array" ref="AG66">+_xll.EQNXTDZ($A$1,$B66,AG$1,$B$1)</f>
        <v>0</v>
      </c>
      <c r="AH66" s="126" cm="1">
        <f t="array" ref="AH66">+_xll.EQNXTDZ($A$1,$B66,AH$1,$B$1)</f>
        <v>0</v>
      </c>
      <c r="AI66" s="126" cm="1">
        <f t="array" ref="AI66">+_xll.EQNXTDZ($A$1,$B66,AI$1,$B$1)</f>
        <v>0</v>
      </c>
      <c r="AJ66" s="126" cm="1">
        <f t="array" ref="AJ66">+_xll.EQNXTDZ($A$1,$B66,AJ$1,$B$1)</f>
        <v>0</v>
      </c>
      <c r="AK66" s="126" cm="1">
        <f t="array" ref="AK66">+_xll.EQNXTDZ($A$1,$B66,AK$1,$B$1)</f>
        <v>0</v>
      </c>
      <c r="AL66" s="126" cm="1">
        <f t="array" ref="AL66">+_xll.EQNXTDZ($A$1,$B66,AL$1,$B$1)</f>
        <v>0</v>
      </c>
      <c r="AM66" s="126" cm="1">
        <f t="array" ref="AM66">+_xll.EQNXTDZ($A$1,$B66,AM$1,$B$1)</f>
        <v>0</v>
      </c>
      <c r="AN66" s="126" cm="1">
        <f t="array" ref="AN66">+_xll.EQNXTDZ($A$1,$B66,AN$1,$B$1)</f>
        <v>0</v>
      </c>
      <c r="AO66" s="126" cm="1">
        <f t="array" ref="AO66">+_xll.EQNXTDZ($A$1,$B66,AO$1,$B$1)</f>
        <v>0</v>
      </c>
      <c r="AP66" s="126" cm="1">
        <f t="array" ref="AP66">+_xll.EQNXTDZ($A$1,$B66,AP$1,$B$1)</f>
        <v>0</v>
      </c>
      <c r="AQ66" s="126" cm="1">
        <f t="array" ref="AQ66">+_xll.EQNXTDZ($A$1,$B66,AQ$1,$B$1)</f>
        <v>275.39999999999998</v>
      </c>
      <c r="AR66" s="126" cm="1">
        <f t="array" ref="AR66">+_xll.EQNXTDZ($A$1,$B66,AR$1,$B$1)</f>
        <v>0</v>
      </c>
      <c r="AS66" s="126" cm="1">
        <f t="array" ref="AS66">+_xll.EQNXTDZ($A$1,$B66,AS$1,$B$1)</f>
        <v>255.8</v>
      </c>
      <c r="AT66" s="126" cm="1">
        <f t="array" ref="AT66">+_xll.EQNXTDZ($A$1,$B66,AT$1,$B$1)</f>
        <v>0</v>
      </c>
      <c r="AU66" s="126" cm="1">
        <f t="array" ref="AU66">+_xll.EQNXTDZ($A$1,$B66,AU$1,$B$1)</f>
        <v>295.39999999999998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0</v>
      </c>
      <c r="D69" s="126" cm="1">
        <f t="array" ref="D69">+_xll.EQNXTDZ($A$1,$B69,D$1,$B$1)</f>
        <v>0</v>
      </c>
      <c r="E69" s="126" cm="1">
        <f t="array" ref="E69">+_xll.EQNXTDZ($A$1,$B69,E$1,$B$1)</f>
        <v>0</v>
      </c>
      <c r="F69" s="126" cm="1">
        <f t="array" ref="F69">+_xll.EQNXTDZ($A$1,$B69,F$1,$B$1)</f>
        <v>0</v>
      </c>
      <c r="G69" s="126" cm="1">
        <f t="array" ref="G69">+_xll.EQNXTDZ($A$1,$B69,G$1,$B$1)</f>
        <v>0</v>
      </c>
      <c r="H69" s="126" cm="1">
        <f t="array" ref="H69">+_xll.EQNXTDZ($A$1,$B69,H$1,$B$1)</f>
        <v>0</v>
      </c>
      <c r="I69" s="126" cm="1">
        <f t="array" ref="I69">+_xll.EQNXTDZ($A$1,$B69,I$1,$B$1)</f>
        <v>0</v>
      </c>
      <c r="J69" s="126" cm="1">
        <f t="array" ref="J69">+_xll.EQNXTDZ($A$1,$B69,J$1,$B$1)</f>
        <v>0</v>
      </c>
      <c r="K69" s="126" cm="1">
        <f t="array" ref="K69">+_xll.EQNXTDZ($A$1,$B69,K$1,$B$1)</f>
        <v>0</v>
      </c>
      <c r="L69" s="126" cm="1">
        <f t="array" ref="L69">+_xll.EQNXTDZ($A$1,$B69,L$1,$B$1)</f>
        <v>0</v>
      </c>
      <c r="M69" s="126" cm="1">
        <f t="array" ref="M69">+_xll.EQNXTDZ($A$1,$B69,M$1,$B$1)</f>
        <v>0</v>
      </c>
      <c r="N69" s="126" cm="1">
        <f t="array" ref="N69">+_xll.EQNXTDZ($A$1,$B69,N$1,$B$1)</f>
        <v>0</v>
      </c>
      <c r="O69" s="126" cm="1">
        <f t="array" ref="O69">+_xll.EQNXTDZ($A$1,$B69,O$1,$B$1)</f>
        <v>0</v>
      </c>
      <c r="P69" s="126" cm="1">
        <f t="array" ref="P69">+_xll.EQNXTDZ($A$1,$B69,P$1,$B$1)</f>
        <v>0</v>
      </c>
      <c r="Q69" s="126" cm="1">
        <f t="array" ref="Q69">+_xll.EQNXTDZ($A$1,$B69,Q$1,$B$1)</f>
        <v>0</v>
      </c>
      <c r="R69" s="126" cm="1">
        <f t="array" ref="R69">+_xll.EQNXTDZ($A$1,$B69,R$1,$B$1)</f>
        <v>0</v>
      </c>
      <c r="S69" s="126" cm="1">
        <f t="array" ref="S69">+_xll.EQNXTDZ($A$1,$B69,S$1,$B$1)</f>
        <v>0</v>
      </c>
      <c r="T69" s="126" cm="1">
        <f t="array" ref="T69">+_xll.EQNXTDZ($A$1,$B69,T$1,$B$1)</f>
        <v>0</v>
      </c>
      <c r="U69" s="126" cm="1">
        <f t="array" ref="U69">+_xll.EQNXTDZ($A$1,$B69,U$1,$B$1)</f>
        <v>0</v>
      </c>
      <c r="V69" s="126" cm="1">
        <f t="array" ref="V69">+_xll.EQNXTDZ($A$1,$B69,V$1,$B$1)</f>
        <v>0</v>
      </c>
      <c r="W69" s="126" cm="1">
        <f t="array" ref="W69">+_xll.EQNXTDZ($A$1,$B69,W$1,$B$1)</f>
        <v>0</v>
      </c>
      <c r="X69" s="126" cm="1">
        <f t="array" ref="X69">+_xll.EQNXTDZ($A$1,$B69,X$1,$B$1)</f>
        <v>0</v>
      </c>
      <c r="Y69" s="126" cm="1">
        <f t="array" ref="Y69">+_xll.EQNXTDZ($A$1,$B69,Y$1,$B$1)</f>
        <v>0</v>
      </c>
      <c r="Z69" s="126" cm="1">
        <f t="array" ref="Z69">+_xll.EQNXTDZ($A$1,$B69,Z$1,$B$1)</f>
        <v>0</v>
      </c>
      <c r="AA69" s="126" cm="1">
        <f t="array" ref="AA69">+_xll.EQNXTDZ($A$1,$B69,AA$1,$B$1)</f>
        <v>0</v>
      </c>
      <c r="AB69" s="126" cm="1">
        <f t="array" ref="AB69">+_xll.EQNXTDZ($A$1,$B69,AB$1,$B$1)</f>
        <v>0</v>
      </c>
      <c r="AC69" s="126" cm="1">
        <f t="array" ref="AC69">+_xll.EQNXTDZ($A$1,$B69,AC$1,$B$1)</f>
        <v>0</v>
      </c>
      <c r="AD69" s="126" cm="1">
        <f t="array" ref="AD69">+_xll.EQNXTDZ($A$1,$B69,AD$1,$B$1)</f>
        <v>0</v>
      </c>
      <c r="AE69" s="126" cm="1">
        <f t="array" ref="AE69">+_xll.EQNXTDZ($A$1,$B69,AE$1,$B$1)</f>
        <v>0</v>
      </c>
      <c r="AF69" s="126" cm="1">
        <f t="array" ref="AF69">+_xll.EQNXTDZ($A$1,$B69,AF$1,$B$1)</f>
        <v>0</v>
      </c>
      <c r="AG69" s="126" cm="1">
        <f t="array" ref="AG69">+_xll.EQNXTDZ($A$1,$B69,AG$1,$B$1)</f>
        <v>0</v>
      </c>
      <c r="AH69" s="126" cm="1">
        <f t="array" ref="AH69">+_xll.EQNXTDZ($A$1,$B69,AH$1,$B$1)</f>
        <v>0</v>
      </c>
      <c r="AI69" s="126" cm="1">
        <f t="array" ref="AI69">+_xll.EQNXTDZ($A$1,$B69,AI$1,$B$1)</f>
        <v>0</v>
      </c>
      <c r="AJ69" s="126" cm="1">
        <f t="array" ref="AJ69">+_xll.EQNXTDZ($A$1,$B69,AJ$1,$B$1)</f>
        <v>0</v>
      </c>
      <c r="AK69" s="126" cm="1">
        <f t="array" ref="AK69">+_xll.EQNXTDZ($A$1,$B69,AK$1,$B$1)</f>
        <v>0</v>
      </c>
      <c r="AL69" s="126" cm="1">
        <f t="array" ref="AL69">+_xll.EQNXTDZ($A$1,$B69,AL$1,$B$1)</f>
        <v>0</v>
      </c>
      <c r="AM69" s="126" cm="1">
        <f t="array" ref="AM69">+_xll.EQNXTDZ($A$1,$B69,AM$1,$B$1)</f>
        <v>0</v>
      </c>
      <c r="AN69" s="126" cm="1">
        <f t="array" ref="AN69">+_xll.EQNXTDZ($A$1,$B69,AN$1,$B$1)</f>
        <v>0</v>
      </c>
      <c r="AO69" s="126" cm="1">
        <f t="array" ref="AO69">+_xll.EQNXTDZ($A$1,$B69,AO$1,$B$1)</f>
        <v>0</v>
      </c>
      <c r="AP69" s="126" cm="1">
        <f t="array" ref="AP69">+_xll.EQNXTDZ($A$1,$B69,AP$1,$B$1)</f>
        <v>0</v>
      </c>
      <c r="AQ69" s="126" cm="1">
        <f t="array" ref="AQ69">+_xll.EQNXTDZ($A$1,$B69,AQ$1,$B$1)</f>
        <v>275.39999999999998</v>
      </c>
      <c r="AR69" s="126" cm="1">
        <f t="array" ref="AR69">+_xll.EQNXTDZ($A$1,$B69,AR$1,$B$1)</f>
        <v>0</v>
      </c>
      <c r="AS69" s="126" cm="1">
        <f t="array" ref="AS69">+_xll.EQNXTDZ($A$1,$B69,AS$1,$B$1)</f>
        <v>255.8</v>
      </c>
      <c r="AT69" s="126" cm="1">
        <f t="array" ref="AT69">+_xll.EQNXTDZ($A$1,$B69,AT$1,$B$1)</f>
        <v>0</v>
      </c>
      <c r="AU69" s="126" cm="1">
        <f t="array" ref="AU69">+_xll.EQNXTDZ($A$1,$B69,AU$1,$B$1)</f>
        <v>295.39999999999998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0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0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0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0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0</v>
      </c>
      <c r="T70" s="126" cm="1">
        <f t="array" ref="T70">+_xll.EQNXTDZ($A$1,$B70,T$1,$B$1)</f>
        <v>0</v>
      </c>
      <c r="U70" s="126" cm="1">
        <f t="array" ref="U70">+_xll.EQNXTDZ($A$1,$B70,U$1,$B$1)</f>
        <v>0</v>
      </c>
      <c r="V70" s="126" cm="1">
        <f t="array" ref="V70">+_xll.EQNXTDZ($A$1,$B70,V$1,$B$1)</f>
        <v>0</v>
      </c>
      <c r="W70" s="126" cm="1">
        <f t="array" ref="W70">+_xll.EQNXTDZ($A$1,$B70,W$1,$B$1)</f>
        <v>0</v>
      </c>
      <c r="X70" s="126" cm="1">
        <f t="array" ref="X70">+_xll.EQNXTDZ($A$1,$B70,X$1,$B$1)</f>
        <v>0</v>
      </c>
      <c r="Y70" s="126" cm="1">
        <f t="array" ref="Y70">+_xll.EQNXTDZ($A$1,$B70,Y$1,$B$1)</f>
        <v>0</v>
      </c>
      <c r="Z70" s="126" cm="1">
        <f t="array" ref="Z70">+_xll.EQNXTDZ($A$1,$B70,Z$1,$B$1)</f>
        <v>0</v>
      </c>
      <c r="AA70" s="126" cm="1">
        <f t="array" ref="AA70">+_xll.EQNXTDZ($A$1,$B70,AA$1,$B$1)</f>
        <v>0</v>
      </c>
      <c r="AB70" s="126" cm="1">
        <f t="array" ref="AB70">+_xll.EQNXTDZ($A$1,$B70,AB$1,$B$1)</f>
        <v>0</v>
      </c>
      <c r="AC70" s="126" cm="1">
        <f t="array" ref="AC70">+_xll.EQNXTDZ($A$1,$B70,AC$1,$B$1)</f>
        <v>0</v>
      </c>
      <c r="AD70" s="126" cm="1">
        <f t="array" ref="AD70">+_xll.EQNXTDZ($A$1,$B70,AD$1,$B$1)</f>
        <v>0</v>
      </c>
      <c r="AE70" s="126" cm="1">
        <f t="array" ref="AE70">+_xll.EQNXTDZ($A$1,$B70,AE$1,$B$1)</f>
        <v>0</v>
      </c>
      <c r="AF70" s="126" cm="1">
        <f t="array" ref="AF70">+_xll.EQNXTDZ($A$1,$B70,AF$1,$B$1)</f>
        <v>0</v>
      </c>
      <c r="AG70" s="126" cm="1">
        <f t="array" ref="AG70">+_xll.EQNXTDZ($A$1,$B70,AG$1,$B$1)</f>
        <v>0</v>
      </c>
      <c r="AH70" s="126" cm="1">
        <f t="array" ref="AH70">+_xll.EQNXTDZ($A$1,$B70,AH$1,$B$1)</f>
        <v>0</v>
      </c>
      <c r="AI70" s="126" cm="1">
        <f t="array" ref="AI70">+_xll.EQNXTDZ($A$1,$B70,AI$1,$B$1)</f>
        <v>0</v>
      </c>
      <c r="AJ70" s="126" cm="1">
        <f t="array" ref="AJ70">+_xll.EQNXTDZ($A$1,$B70,AJ$1,$B$1)</f>
        <v>0</v>
      </c>
      <c r="AK70" s="126" cm="1">
        <f t="array" ref="AK70">+_xll.EQNXTDZ($A$1,$B70,AK$1,$B$1)</f>
        <v>0</v>
      </c>
      <c r="AL70" s="126" cm="1">
        <f t="array" ref="AL70">+_xll.EQNXTDZ($A$1,$B70,AL$1,$B$1)</f>
        <v>0</v>
      </c>
      <c r="AM70" s="126" cm="1">
        <f t="array" ref="AM70">+_xll.EQNXTDZ($A$1,$B70,AM$1,$B$1)</f>
        <v>0</v>
      </c>
      <c r="AN70" s="126" cm="1">
        <f t="array" ref="AN70">+_xll.EQNXTDZ($A$1,$B70,AN$1,$B$1)</f>
        <v>0</v>
      </c>
      <c r="AO70" s="126" cm="1">
        <f t="array" ref="AO70">+_xll.EQNXTDZ($A$1,$B70,AO$1,$B$1)</f>
        <v>0</v>
      </c>
      <c r="AP70" s="126" cm="1">
        <f t="array" ref="AP70">+_xll.EQNXTDZ($A$1,$B70,AP$1,$B$1)</f>
        <v>0</v>
      </c>
      <c r="AQ70" s="126" cm="1">
        <f t="array" ref="AQ70">+_xll.EQNXTDZ($A$1,$B70,AQ$1,$B$1)</f>
        <v>0</v>
      </c>
      <c r="AR70" s="126" cm="1">
        <f t="array" ref="AR70">+_xll.EQNXTDZ($A$1,$B70,AR$1,$B$1)</f>
        <v>0</v>
      </c>
      <c r="AS70" s="126" cm="1">
        <f t="array" ref="AS70">+_xll.EQNXTDZ($A$1,$B70,AS$1,$B$1)</f>
        <v>0</v>
      </c>
      <c r="AT70" s="126" cm="1">
        <f t="array" ref="AT70">+_xll.EQNXTDZ($A$1,$B70,AT$1,$B$1)</f>
        <v>0</v>
      </c>
      <c r="AU70" s="126" cm="1">
        <f t="array" ref="AU70">+_xll.EQNXTDZ($A$1,$B70,AU$1,$B$1)</f>
        <v>0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0</v>
      </c>
      <c r="F72" s="126" cm="1">
        <f t="array" ref="F72">+_xll.EQNXTDZ($A$1,$B72,F$1,$B$1)</f>
        <v>0</v>
      </c>
      <c r="G72" s="126" cm="1">
        <f t="array" ref="G72">+_xll.EQNXTDZ($A$1,$B72,G$1,$B$1)</f>
        <v>0</v>
      </c>
      <c r="H72" s="126" cm="1">
        <f t="array" ref="H72">+_xll.EQNXTDZ($A$1,$B72,H$1,$B$1)</f>
        <v>0</v>
      </c>
      <c r="I72" s="126" cm="1">
        <f t="array" ref="I72">+_xll.EQNXTDZ($A$1,$B72,I$1,$B$1)</f>
        <v>0</v>
      </c>
      <c r="J72" s="126" cm="1">
        <f t="array" ref="J72">+_xll.EQNXTDZ($A$1,$B72,J$1,$B$1)</f>
        <v>0</v>
      </c>
      <c r="K72" s="126" cm="1">
        <f t="array" ref="K72">+_xll.EQNXTDZ($A$1,$B72,K$1,$B$1)</f>
        <v>0</v>
      </c>
      <c r="L72" s="126" cm="1">
        <f t="array" ref="L72">+_xll.EQNXTDZ($A$1,$B72,L$1,$B$1)</f>
        <v>0</v>
      </c>
      <c r="M72" s="126" cm="1">
        <f t="array" ref="M72">+_xll.EQNXTDZ($A$1,$B72,M$1,$B$1)</f>
        <v>0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</v>
      </c>
      <c r="AF72" s="126" cm="1">
        <f t="array" ref="AF72">+_xll.EQNXTDZ($A$1,$B72,AF$1,$B$1)</f>
        <v>0</v>
      </c>
      <c r="AG72" s="126" cm="1">
        <f t="array" ref="AG72">+_xll.EQNXTDZ($A$1,$B72,AG$1,$B$1)</f>
        <v>0</v>
      </c>
      <c r="AH72" s="126" cm="1">
        <f t="array" ref="AH72">+_xll.EQNXTDZ($A$1,$B72,AH$1,$B$1)</f>
        <v>0</v>
      </c>
      <c r="AI72" s="126" cm="1">
        <f t="array" ref="AI72">+_xll.EQNXTDZ($A$1,$B72,AI$1,$B$1)</f>
        <v>0</v>
      </c>
      <c r="AJ72" s="126" cm="1">
        <f t="array" ref="AJ72">+_xll.EQNXTDZ($A$1,$B72,AJ$1,$B$1)</f>
        <v>0</v>
      </c>
      <c r="AK72" s="126" cm="1">
        <f t="array" ref="AK72">+_xll.EQNXTDZ($A$1,$B72,AK$1,$B$1)</f>
        <v>0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0</v>
      </c>
      <c r="D75" s="126" cm="1">
        <f t="array" ref="D75">+_xll.EQNXTDZ($A$1,$B75,D$1,$B$1)</f>
        <v>0</v>
      </c>
      <c r="E75" s="126" cm="1">
        <f t="array" ref="E75">+_xll.EQNXTDZ($A$1,$B75,E$1,$B$1)</f>
        <v>0</v>
      </c>
      <c r="F75" s="126" cm="1">
        <f t="array" ref="F75">+_xll.EQNXTDZ($A$1,$B75,F$1,$B$1)</f>
        <v>0</v>
      </c>
      <c r="G75" s="126" cm="1">
        <f t="array" ref="G75">+_xll.EQNXTDZ($A$1,$B75,G$1,$B$1)</f>
        <v>0</v>
      </c>
      <c r="H75" s="126" cm="1">
        <f t="array" ref="H75">+_xll.EQNXTDZ($A$1,$B75,H$1,$B$1)</f>
        <v>0</v>
      </c>
      <c r="I75" s="126" cm="1">
        <f t="array" ref="I75">+_xll.EQNXTDZ($A$1,$B75,I$1,$B$1)</f>
        <v>0</v>
      </c>
      <c r="J75" s="126" cm="1">
        <f t="array" ref="J75">+_xll.EQNXTDZ($A$1,$B75,J$1,$B$1)</f>
        <v>0</v>
      </c>
      <c r="K75" s="126" cm="1">
        <f t="array" ref="K75">+_xll.EQNXTDZ($A$1,$B75,K$1,$B$1)</f>
        <v>0</v>
      </c>
      <c r="L75" s="126" cm="1">
        <f t="array" ref="L75">+_xll.EQNXTDZ($A$1,$B75,L$1,$B$1)</f>
        <v>0</v>
      </c>
      <c r="M75" s="126" cm="1">
        <f t="array" ref="M75">+_xll.EQNXTDZ($A$1,$B75,M$1,$B$1)</f>
        <v>0</v>
      </c>
      <c r="N75" s="126" cm="1">
        <f t="array" ref="N75">+_xll.EQNXTDZ($A$1,$B75,N$1,$B$1)</f>
        <v>0</v>
      </c>
      <c r="O75" s="126" cm="1">
        <f t="array" ref="O75">+_xll.EQNXTDZ($A$1,$B75,O$1,$B$1)</f>
        <v>0</v>
      </c>
      <c r="P75" s="126" cm="1">
        <f t="array" ref="P75">+_xll.EQNXTDZ($A$1,$B75,P$1,$B$1)</f>
        <v>0</v>
      </c>
      <c r="Q75" s="126" cm="1">
        <f t="array" ref="Q75">+_xll.EQNXTDZ($A$1,$B75,Q$1,$B$1)</f>
        <v>0</v>
      </c>
      <c r="R75" s="126" cm="1">
        <f t="array" ref="R75">+_xll.EQNXTDZ($A$1,$B75,R$1,$B$1)</f>
        <v>0</v>
      </c>
      <c r="S75" s="126" cm="1">
        <f t="array" ref="S75">+_xll.EQNXTDZ($A$1,$B75,S$1,$B$1)</f>
        <v>0</v>
      </c>
      <c r="T75" s="126" cm="1">
        <f t="array" ref="T75">+_xll.EQNXTDZ($A$1,$B75,T$1,$B$1)</f>
        <v>0</v>
      </c>
      <c r="U75" s="126" cm="1">
        <f t="array" ref="U75">+_xll.EQNXTDZ($A$1,$B75,U$1,$B$1)</f>
        <v>0</v>
      </c>
      <c r="V75" s="126" cm="1">
        <f t="array" ref="V75">+_xll.EQNXTDZ($A$1,$B75,V$1,$B$1)</f>
        <v>0</v>
      </c>
      <c r="W75" s="126" cm="1">
        <f t="array" ref="W75">+_xll.EQNXTDZ($A$1,$B75,W$1,$B$1)</f>
        <v>0</v>
      </c>
      <c r="X75" s="126" cm="1">
        <f t="array" ref="X75">+_xll.EQNXTDZ($A$1,$B75,X$1,$B$1)</f>
        <v>0</v>
      </c>
      <c r="Y75" s="126" cm="1">
        <f t="array" ref="Y75">+_xll.EQNXTDZ($A$1,$B75,Y$1,$B$1)</f>
        <v>0</v>
      </c>
      <c r="Z75" s="126" cm="1">
        <f t="array" ref="Z75">+_xll.EQNXTDZ($A$1,$B75,Z$1,$B$1)</f>
        <v>0</v>
      </c>
      <c r="AA75" s="126" cm="1">
        <f t="array" ref="AA75">+_xll.EQNXTDZ($A$1,$B75,AA$1,$B$1)</f>
        <v>0</v>
      </c>
      <c r="AB75" s="126" cm="1">
        <f t="array" ref="AB75">+_xll.EQNXTDZ($A$1,$B75,AB$1,$B$1)</f>
        <v>0</v>
      </c>
      <c r="AC75" s="126" cm="1">
        <f t="array" ref="AC75">+_xll.EQNXTDZ($A$1,$B75,AC$1,$B$1)</f>
        <v>0</v>
      </c>
      <c r="AD75" s="126" cm="1">
        <f t="array" ref="AD75">+_xll.EQNXTDZ($A$1,$B75,AD$1,$B$1)</f>
        <v>0</v>
      </c>
      <c r="AE75" s="126" cm="1">
        <f t="array" ref="AE75">+_xll.EQNXTDZ($A$1,$B75,AE$1,$B$1)</f>
        <v>0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0</v>
      </c>
      <c r="AR75" s="126" cm="1">
        <f t="array" ref="AR75">+_xll.EQNXTDZ($A$1,$B75,AR$1,$B$1)</f>
        <v>0</v>
      </c>
      <c r="AS75" s="126" cm="1">
        <f t="array" ref="AS75">+_xll.EQNXTDZ($A$1,$B75,AS$1,$B$1)</f>
        <v>0</v>
      </c>
      <c r="AT75" s="126" cm="1">
        <f t="array" ref="AT75">+_xll.EQNXTDZ($A$1,$B75,AT$1,$B$1)</f>
        <v>0</v>
      </c>
      <c r="AU75" s="126" cm="1">
        <f t="array" ref="AU75">+_xll.EQNXTDZ($A$1,$B75,AU$1,$B$1)</f>
        <v>0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0</v>
      </c>
      <c r="D76" s="126" cm="1">
        <f t="array" ref="D76">+_xll.EQNXTDZ($A$1,$B76,D$1,$B$1)</f>
        <v>0</v>
      </c>
      <c r="E76" s="126" cm="1">
        <f t="array" ref="E76">+_xll.EQNXTDZ($A$1,$B76,E$1,$B$1)</f>
        <v>0</v>
      </c>
      <c r="F76" s="126" cm="1">
        <f t="array" ref="F76">+_xll.EQNXTDZ($A$1,$B76,F$1,$B$1)</f>
        <v>0</v>
      </c>
      <c r="G76" s="126" cm="1">
        <f t="array" ref="G76">+_xll.EQNXTDZ($A$1,$B76,G$1,$B$1)</f>
        <v>0</v>
      </c>
      <c r="H76" s="126" cm="1">
        <f t="array" ref="H76">+_xll.EQNXTDZ($A$1,$B76,H$1,$B$1)</f>
        <v>0</v>
      </c>
      <c r="I76" s="126" cm="1">
        <f t="array" ref="I76">+_xll.EQNXTDZ($A$1,$B76,I$1,$B$1)</f>
        <v>0</v>
      </c>
      <c r="J76" s="126" cm="1">
        <f t="array" ref="J76">+_xll.EQNXTDZ($A$1,$B76,J$1,$B$1)</f>
        <v>0</v>
      </c>
      <c r="K76" s="126" cm="1">
        <f t="array" ref="K76">+_xll.EQNXTDZ($A$1,$B76,K$1,$B$1)</f>
        <v>0</v>
      </c>
      <c r="L76" s="126" cm="1">
        <f t="array" ref="L76">+_xll.EQNXTDZ($A$1,$B76,L$1,$B$1)</f>
        <v>0</v>
      </c>
      <c r="M76" s="126" cm="1">
        <f t="array" ref="M76">+_xll.EQNXTDZ($A$1,$B76,M$1,$B$1)</f>
        <v>0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0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</v>
      </c>
      <c r="D77" s="126" cm="1">
        <f t="array" ref="D77">+_xll.EQNXTDZ($A$1,$B77,D$1,$B$1)</f>
        <v>0</v>
      </c>
      <c r="E77" s="126" cm="1">
        <f t="array" ref="E77">+_xll.EQNXTDZ($A$1,$B77,E$1,$B$1)</f>
        <v>0</v>
      </c>
      <c r="F77" s="126" cm="1">
        <f t="array" ref="F77">+_xll.EQNXTDZ($A$1,$B77,F$1,$B$1)</f>
        <v>0</v>
      </c>
      <c r="G77" s="126" cm="1">
        <f t="array" ref="G77">+_xll.EQNXTDZ($A$1,$B77,G$1,$B$1)</f>
        <v>0</v>
      </c>
      <c r="H77" s="126" cm="1">
        <f t="array" ref="H77">+_xll.EQNXTDZ($A$1,$B77,H$1,$B$1)</f>
        <v>0</v>
      </c>
      <c r="I77" s="126" cm="1">
        <f t="array" ref="I77">+_xll.EQNXTDZ($A$1,$B77,I$1,$B$1)</f>
        <v>0</v>
      </c>
      <c r="J77" s="126" cm="1">
        <f t="array" ref="J77">+_xll.EQNXTDZ($A$1,$B77,J$1,$B$1)</f>
        <v>0</v>
      </c>
      <c r="K77" s="126" cm="1">
        <f t="array" ref="K77">+_xll.EQNXTDZ($A$1,$B77,K$1,$B$1)</f>
        <v>0</v>
      </c>
      <c r="L77" s="126" cm="1">
        <f t="array" ref="L77">+_xll.EQNXTDZ($A$1,$B77,L$1,$B$1)</f>
        <v>0</v>
      </c>
      <c r="M77" s="126" cm="1">
        <f t="array" ref="M77">+_xll.EQNXTDZ($A$1,$B77,M$1,$B$1)</f>
        <v>0</v>
      </c>
      <c r="N77" s="126" cm="1">
        <f t="array" ref="N77">+_xll.EQNXTDZ($A$1,$B77,N$1,$B$1)</f>
        <v>0</v>
      </c>
      <c r="O77" s="126" cm="1">
        <f t="array" ref="O77">+_xll.EQNXTDZ($A$1,$B77,O$1,$B$1)</f>
        <v>0</v>
      </c>
      <c r="P77" s="126" cm="1">
        <f t="array" ref="P77">+_xll.EQNXTDZ($A$1,$B77,P$1,$B$1)</f>
        <v>0</v>
      </c>
      <c r="Q77" s="126" cm="1">
        <f t="array" ref="Q77">+_xll.EQNXTDZ($A$1,$B77,Q$1,$B$1)</f>
        <v>0</v>
      </c>
      <c r="R77" s="126" cm="1">
        <f t="array" ref="R77">+_xll.EQNXTDZ($A$1,$B77,R$1,$B$1)</f>
        <v>0</v>
      </c>
      <c r="S77" s="126" cm="1">
        <f t="array" ref="S77">+_xll.EQNXTDZ($A$1,$B77,S$1,$B$1)</f>
        <v>0</v>
      </c>
      <c r="T77" s="126" cm="1">
        <f t="array" ref="T77">+_xll.EQNXTDZ($A$1,$B77,T$1,$B$1)</f>
        <v>0</v>
      </c>
      <c r="U77" s="126" cm="1">
        <f t="array" ref="U77">+_xll.EQNXTDZ($A$1,$B77,U$1,$B$1)</f>
        <v>0</v>
      </c>
      <c r="V77" s="126" cm="1">
        <f t="array" ref="V77">+_xll.EQNXTDZ($A$1,$B77,V$1,$B$1)</f>
        <v>0</v>
      </c>
      <c r="W77" s="126" cm="1">
        <f t="array" ref="W77">+_xll.EQNXTDZ($A$1,$B77,W$1,$B$1)</f>
        <v>0</v>
      </c>
      <c r="X77" s="126" cm="1">
        <f t="array" ref="X77">+_xll.EQNXTDZ($A$1,$B77,X$1,$B$1)</f>
        <v>0</v>
      </c>
      <c r="Y77" s="126" cm="1">
        <f t="array" ref="Y77">+_xll.EQNXTDZ($A$1,$B77,Y$1,$B$1)</f>
        <v>0</v>
      </c>
      <c r="Z77" s="126" cm="1">
        <f t="array" ref="Z77">+_xll.EQNXTDZ($A$1,$B77,Z$1,$B$1)</f>
        <v>0</v>
      </c>
      <c r="AA77" s="126" cm="1">
        <f t="array" ref="AA77">+_xll.EQNXTDZ($A$1,$B77,AA$1,$B$1)</f>
        <v>0</v>
      </c>
      <c r="AB77" s="126" cm="1">
        <f t="array" ref="AB77">+_xll.EQNXTDZ($A$1,$B77,AB$1,$B$1)</f>
        <v>0</v>
      </c>
      <c r="AC77" s="126" cm="1">
        <f t="array" ref="AC77">+_xll.EQNXTDZ($A$1,$B77,AC$1,$B$1)</f>
        <v>0</v>
      </c>
      <c r="AD77" s="126" cm="1">
        <f t="array" ref="AD77">+_xll.EQNXTDZ($A$1,$B77,AD$1,$B$1)</f>
        <v>0</v>
      </c>
      <c r="AE77" s="126" cm="1">
        <f t="array" ref="AE77">+_xll.EQNXTDZ($A$1,$B77,AE$1,$B$1)</f>
        <v>0</v>
      </c>
      <c r="AF77" s="126" cm="1">
        <f t="array" ref="AF77">+_xll.EQNXTDZ($A$1,$B77,AF$1,$B$1)</f>
        <v>0</v>
      </c>
      <c r="AG77" s="126" cm="1">
        <f t="array" ref="AG77">+_xll.EQNXTDZ($A$1,$B77,AG$1,$B$1)</f>
        <v>0</v>
      </c>
      <c r="AH77" s="126" cm="1">
        <f t="array" ref="AH77">+_xll.EQNXTDZ($A$1,$B77,AH$1,$B$1)</f>
        <v>0</v>
      </c>
      <c r="AI77" s="126" cm="1">
        <f t="array" ref="AI77">+_xll.EQNXTDZ($A$1,$B77,AI$1,$B$1)</f>
        <v>0</v>
      </c>
      <c r="AJ77" s="126" cm="1">
        <f t="array" ref="AJ77">+_xll.EQNXTDZ($A$1,$B77,AJ$1,$B$1)</f>
        <v>0</v>
      </c>
      <c r="AK77" s="126" cm="1">
        <f t="array" ref="AK77">+_xll.EQNXTDZ($A$1,$B77,AK$1,$B$1)</f>
        <v>0</v>
      </c>
      <c r="AL77" s="126" cm="1">
        <f t="array" ref="AL77">+_xll.EQNXTDZ($A$1,$B77,AL$1,$B$1)</f>
        <v>0</v>
      </c>
      <c r="AM77" s="126" cm="1">
        <f t="array" ref="AM77">+_xll.EQNXTDZ($A$1,$B77,AM$1,$B$1)</f>
        <v>0</v>
      </c>
      <c r="AN77" s="126" cm="1">
        <f t="array" ref="AN77">+_xll.EQNXTDZ($A$1,$B77,AN$1,$B$1)</f>
        <v>0</v>
      </c>
      <c r="AO77" s="126" cm="1">
        <f t="array" ref="AO77">+_xll.EQNXTDZ($A$1,$B77,AO$1,$B$1)</f>
        <v>0</v>
      </c>
      <c r="AP77" s="126" cm="1">
        <f t="array" ref="AP77">+_xll.EQNXTDZ($A$1,$B77,AP$1,$B$1)</f>
        <v>0</v>
      </c>
      <c r="AQ77" s="126" cm="1">
        <f t="array" ref="AQ77">+_xll.EQNXTDZ($A$1,$B77,AQ$1,$B$1)</f>
        <v>736.4</v>
      </c>
      <c r="AR77" s="126" cm="1">
        <f t="array" ref="AR77">+_xll.EQNXTDZ($A$1,$B77,AR$1,$B$1)</f>
        <v>0</v>
      </c>
      <c r="AS77" s="126" cm="1">
        <f t="array" ref="AS77">+_xll.EQNXTDZ($A$1,$B77,AS$1,$B$1)</f>
        <v>632.6</v>
      </c>
      <c r="AT77" s="126" cm="1">
        <f t="array" ref="AT77">+_xll.EQNXTDZ($A$1,$B77,AT$1,$B$1)</f>
        <v>0</v>
      </c>
      <c r="AU77" s="126" cm="1">
        <f t="array" ref="AU77">+_xll.EQNXTDZ($A$1,$B77,AU$1,$B$1)</f>
        <v>613.6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0</v>
      </c>
      <c r="D78" s="126" cm="1">
        <f t="array" ref="D78">+_xll.EQNXTDZ($A$1,$B78,D$1,$B$1)</f>
        <v>0</v>
      </c>
      <c r="E78" s="126" cm="1">
        <f t="array" ref="E78">+_xll.EQNXTDZ($A$1,$B78,E$1,$B$1)</f>
        <v>0</v>
      </c>
      <c r="F78" s="126" cm="1">
        <f t="array" ref="F78">+_xll.EQNXTDZ($A$1,$B78,F$1,$B$1)</f>
        <v>0</v>
      </c>
      <c r="G78" s="126" cm="1">
        <f t="array" ref="G78">+_xll.EQNXTDZ($A$1,$B78,G$1,$B$1)</f>
        <v>0</v>
      </c>
      <c r="H78" s="126" cm="1">
        <f t="array" ref="H78">+_xll.EQNXTDZ($A$1,$B78,H$1,$B$1)</f>
        <v>0</v>
      </c>
      <c r="I78" s="126" cm="1">
        <f t="array" ref="I78">+_xll.EQNXTDZ($A$1,$B78,I$1,$B$1)</f>
        <v>0</v>
      </c>
      <c r="J78" s="126" cm="1">
        <f t="array" ref="J78">+_xll.EQNXTDZ($A$1,$B78,J$1,$B$1)</f>
        <v>0</v>
      </c>
      <c r="K78" s="126" cm="1">
        <f t="array" ref="K78">+_xll.EQNXTDZ($A$1,$B78,K$1,$B$1)</f>
        <v>0</v>
      </c>
      <c r="L78" s="126" cm="1">
        <f t="array" ref="L78">+_xll.EQNXTDZ($A$1,$B78,L$1,$B$1)</f>
        <v>0</v>
      </c>
      <c r="M78" s="126" cm="1">
        <f t="array" ref="M78">+_xll.EQNXTDZ($A$1,$B78,M$1,$B$1)</f>
        <v>0</v>
      </c>
      <c r="N78" s="126" cm="1">
        <f t="array" ref="N78">+_xll.EQNXTDZ($A$1,$B78,N$1,$B$1)</f>
        <v>0</v>
      </c>
      <c r="O78" s="126" cm="1">
        <f t="array" ref="O78">+_xll.EQNXTDZ($A$1,$B78,O$1,$B$1)</f>
        <v>0</v>
      </c>
      <c r="P78" s="126" cm="1">
        <f t="array" ref="P78">+_xll.EQNXTDZ($A$1,$B78,P$1,$B$1)</f>
        <v>0</v>
      </c>
      <c r="Q78" s="126" cm="1">
        <f t="array" ref="Q78">+_xll.EQNXTDZ($A$1,$B78,Q$1,$B$1)</f>
        <v>0</v>
      </c>
      <c r="R78" s="126" cm="1">
        <f t="array" ref="R78">+_xll.EQNXTDZ($A$1,$B78,R$1,$B$1)</f>
        <v>0</v>
      </c>
      <c r="S78" s="126" cm="1">
        <f t="array" ref="S78">+_xll.EQNXTDZ($A$1,$B78,S$1,$B$1)</f>
        <v>0</v>
      </c>
      <c r="T78" s="126" cm="1">
        <f t="array" ref="T78">+_xll.EQNXTDZ($A$1,$B78,T$1,$B$1)</f>
        <v>0</v>
      </c>
      <c r="U78" s="126" cm="1">
        <f t="array" ref="U78">+_xll.EQNXTDZ($A$1,$B78,U$1,$B$1)</f>
        <v>0</v>
      </c>
      <c r="V78" s="126" cm="1">
        <f t="array" ref="V78">+_xll.EQNXTDZ($A$1,$B78,V$1,$B$1)</f>
        <v>0</v>
      </c>
      <c r="W78" s="126" cm="1">
        <f t="array" ref="W78">+_xll.EQNXTDZ($A$1,$B78,W$1,$B$1)</f>
        <v>0</v>
      </c>
      <c r="X78" s="126" cm="1">
        <f t="array" ref="X78">+_xll.EQNXTDZ($A$1,$B78,X$1,$B$1)</f>
        <v>0</v>
      </c>
      <c r="Y78" s="126" cm="1">
        <f t="array" ref="Y78">+_xll.EQNXTDZ($A$1,$B78,Y$1,$B$1)</f>
        <v>0</v>
      </c>
      <c r="Z78" s="126" cm="1">
        <f t="array" ref="Z78">+_xll.EQNXTDZ($A$1,$B78,Z$1,$B$1)</f>
        <v>0</v>
      </c>
      <c r="AA78" s="126" cm="1">
        <f t="array" ref="AA78">+_xll.EQNXTDZ($A$1,$B78,AA$1,$B$1)</f>
        <v>0</v>
      </c>
      <c r="AB78" s="126" cm="1">
        <f t="array" ref="AB78">+_xll.EQNXTDZ($A$1,$B78,AB$1,$B$1)</f>
        <v>0</v>
      </c>
      <c r="AC78" s="126" cm="1">
        <f t="array" ref="AC78">+_xll.EQNXTDZ($A$1,$B78,AC$1,$B$1)</f>
        <v>0</v>
      </c>
      <c r="AD78" s="126" cm="1">
        <f t="array" ref="AD78">+_xll.EQNXTDZ($A$1,$B78,AD$1,$B$1)</f>
        <v>0</v>
      </c>
      <c r="AE78" s="126" cm="1">
        <f t="array" ref="AE78">+_xll.EQNXTDZ($A$1,$B78,AE$1,$B$1)</f>
        <v>0</v>
      </c>
      <c r="AF78" s="126" cm="1">
        <f t="array" ref="AF78">+_xll.EQNXTDZ($A$1,$B78,AF$1,$B$1)</f>
        <v>0</v>
      </c>
      <c r="AG78" s="126" cm="1">
        <f t="array" ref="AG78">+_xll.EQNXTDZ($A$1,$B78,AG$1,$B$1)</f>
        <v>0</v>
      </c>
      <c r="AH78" s="126" cm="1">
        <f t="array" ref="AH78">+_xll.EQNXTDZ($A$1,$B78,AH$1,$B$1)</f>
        <v>0</v>
      </c>
      <c r="AI78" s="126" cm="1">
        <f t="array" ref="AI78">+_xll.EQNXTDZ($A$1,$B78,AI$1,$B$1)</f>
        <v>0</v>
      </c>
      <c r="AJ78" s="126" cm="1">
        <f t="array" ref="AJ78">+_xll.EQNXTDZ($A$1,$B78,AJ$1,$B$1)</f>
        <v>0</v>
      </c>
      <c r="AK78" s="126" cm="1">
        <f t="array" ref="AK78">+_xll.EQNXTDZ($A$1,$B78,AK$1,$B$1)</f>
        <v>0</v>
      </c>
      <c r="AL78" s="126" cm="1">
        <f t="array" ref="AL78">+_xll.EQNXTDZ($A$1,$B78,AL$1,$B$1)</f>
        <v>0</v>
      </c>
      <c r="AM78" s="126" cm="1">
        <f t="array" ref="AM78">+_xll.EQNXTDZ($A$1,$B78,AM$1,$B$1)</f>
        <v>0</v>
      </c>
      <c r="AN78" s="126" cm="1">
        <f t="array" ref="AN78">+_xll.EQNXTDZ($A$1,$B78,AN$1,$B$1)</f>
        <v>0</v>
      </c>
      <c r="AO78" s="126" cm="1">
        <f t="array" ref="AO78">+_xll.EQNXTDZ($A$1,$B78,AO$1,$B$1)</f>
        <v>0</v>
      </c>
      <c r="AP78" s="126" cm="1">
        <f t="array" ref="AP78">+_xll.EQNXTDZ($A$1,$B78,AP$1,$B$1)</f>
        <v>0</v>
      </c>
      <c r="AQ78" s="126" cm="1">
        <f t="array" ref="AQ78">+_xll.EQNXTDZ($A$1,$B78,AQ$1,$B$1)</f>
        <v>2060.1</v>
      </c>
      <c r="AR78" s="126" cm="1">
        <f t="array" ref="AR78">+_xll.EQNXTDZ($A$1,$B78,AR$1,$B$1)</f>
        <v>0</v>
      </c>
      <c r="AS78" s="126" cm="1">
        <f t="array" ref="AS78">+_xll.EQNXTDZ($A$1,$B78,AS$1,$B$1)</f>
        <v>3076.5</v>
      </c>
      <c r="AT78" s="126" cm="1">
        <f t="array" ref="AT78">+_xll.EQNXTDZ($A$1,$B78,AT$1,$B$1)</f>
        <v>0</v>
      </c>
      <c r="AU78" s="126" cm="1">
        <f t="array" ref="AU78">+_xll.EQNXTDZ($A$1,$B78,AU$1,$B$1)</f>
        <v>3747.6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0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0</v>
      </c>
      <c r="H79" s="126" cm="1">
        <f t="array" ref="H79">+_xll.EQNXTDZ($A$1,$B79,H$1,$B$1)</f>
        <v>0</v>
      </c>
      <c r="I79" s="126" cm="1">
        <f t="array" ref="I79">+_xll.EQNXTDZ($A$1,$B79,I$1,$B$1)</f>
        <v>0</v>
      </c>
      <c r="J79" s="126" cm="1">
        <f t="array" ref="J79">+_xll.EQNXTDZ($A$1,$B79,J$1,$B$1)</f>
        <v>0</v>
      </c>
      <c r="K79" s="126" cm="1">
        <f t="array" ref="K79">+_xll.EQNXTDZ($A$1,$B79,K$1,$B$1)</f>
        <v>0</v>
      </c>
      <c r="L79" s="126" cm="1">
        <f t="array" ref="L79">+_xll.EQNXTDZ($A$1,$B79,L$1,$B$1)</f>
        <v>0</v>
      </c>
      <c r="M79" s="126" cm="1">
        <f t="array" ref="M79">+_xll.EQNXTDZ($A$1,$B79,M$1,$B$1)</f>
        <v>0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0</v>
      </c>
      <c r="D80" s="126" cm="1">
        <f t="array" ref="D80">+_xll.EQNXTDZ($A$1,$B80,D$1,$B$1)</f>
        <v>0</v>
      </c>
      <c r="E80" s="126" cm="1">
        <f t="array" ref="E80">+_xll.EQNXTDZ($A$1,$B80,E$1,$B$1)</f>
        <v>0</v>
      </c>
      <c r="F80" s="126" cm="1">
        <f t="array" ref="F80">+_xll.EQNXTDZ($A$1,$B80,F$1,$B$1)</f>
        <v>0</v>
      </c>
      <c r="G80" s="126" cm="1">
        <f t="array" ref="G80">+_xll.EQNXTDZ($A$1,$B80,G$1,$B$1)</f>
        <v>0</v>
      </c>
      <c r="H80" s="126" cm="1">
        <f t="array" ref="H80">+_xll.EQNXTDZ($A$1,$B80,H$1,$B$1)</f>
        <v>0</v>
      </c>
      <c r="I80" s="126" cm="1">
        <f t="array" ref="I80">+_xll.EQNXTDZ($A$1,$B80,I$1,$B$1)</f>
        <v>0</v>
      </c>
      <c r="J80" s="126" cm="1">
        <f t="array" ref="J80">+_xll.EQNXTDZ($A$1,$B80,J$1,$B$1)</f>
        <v>0</v>
      </c>
      <c r="K80" s="126" cm="1">
        <f t="array" ref="K80">+_xll.EQNXTDZ($A$1,$B80,K$1,$B$1)</f>
        <v>0</v>
      </c>
      <c r="L80" s="126" cm="1">
        <f t="array" ref="L80">+_xll.EQNXTDZ($A$1,$B80,L$1,$B$1)</f>
        <v>0</v>
      </c>
      <c r="M80" s="126" cm="1">
        <f t="array" ref="M80">+_xll.EQNXTDZ($A$1,$B80,M$1,$B$1)</f>
        <v>0</v>
      </c>
      <c r="N80" s="126" cm="1">
        <f t="array" ref="N80">+_xll.EQNXTDZ($A$1,$B80,N$1,$B$1)</f>
        <v>0</v>
      </c>
      <c r="O80" s="126" cm="1">
        <f t="array" ref="O80">+_xll.EQNXTDZ($A$1,$B80,O$1,$B$1)</f>
        <v>0</v>
      </c>
      <c r="P80" s="126" cm="1">
        <f t="array" ref="P80">+_xll.EQNXTDZ($A$1,$B80,P$1,$B$1)</f>
        <v>0</v>
      </c>
      <c r="Q80" s="126" cm="1">
        <f t="array" ref="Q80">+_xll.EQNXTDZ($A$1,$B80,Q$1,$B$1)</f>
        <v>0</v>
      </c>
      <c r="R80" s="126" cm="1">
        <f t="array" ref="R80">+_xll.EQNXTDZ($A$1,$B80,R$1,$B$1)</f>
        <v>0</v>
      </c>
      <c r="S80" s="126" cm="1">
        <f t="array" ref="S80">+_xll.EQNXTDZ($A$1,$B80,S$1,$B$1)</f>
        <v>0</v>
      </c>
      <c r="T80" s="126" cm="1">
        <f t="array" ref="T80">+_xll.EQNXTDZ($A$1,$B80,T$1,$B$1)</f>
        <v>0</v>
      </c>
      <c r="U80" s="126" cm="1">
        <f t="array" ref="U80">+_xll.EQNXTDZ($A$1,$B80,U$1,$B$1)</f>
        <v>0</v>
      </c>
      <c r="V80" s="126" cm="1">
        <f t="array" ref="V80">+_xll.EQNXTDZ($A$1,$B80,V$1,$B$1)</f>
        <v>0</v>
      </c>
      <c r="W80" s="126" cm="1">
        <f t="array" ref="W80">+_xll.EQNXTDZ($A$1,$B80,W$1,$B$1)</f>
        <v>0</v>
      </c>
      <c r="X80" s="126" cm="1">
        <f t="array" ref="X80">+_xll.EQNXTDZ($A$1,$B80,X$1,$B$1)</f>
        <v>0</v>
      </c>
      <c r="Y80" s="126" cm="1">
        <f t="array" ref="Y80">+_xll.EQNXTDZ($A$1,$B80,Y$1,$B$1)</f>
        <v>0</v>
      </c>
      <c r="Z80" s="126" cm="1">
        <f t="array" ref="Z80">+_xll.EQNXTDZ($A$1,$B80,Z$1,$B$1)</f>
        <v>0</v>
      </c>
      <c r="AA80" s="126" cm="1">
        <f t="array" ref="AA80">+_xll.EQNXTDZ($A$1,$B80,AA$1,$B$1)</f>
        <v>0</v>
      </c>
      <c r="AB80" s="126" cm="1">
        <f t="array" ref="AB80">+_xll.EQNXTDZ($A$1,$B80,AB$1,$B$1)</f>
        <v>0</v>
      </c>
      <c r="AC80" s="126" cm="1">
        <f t="array" ref="AC80">+_xll.EQNXTDZ($A$1,$B80,AC$1,$B$1)</f>
        <v>0</v>
      </c>
      <c r="AD80" s="126" cm="1">
        <f t="array" ref="AD80">+_xll.EQNXTDZ($A$1,$B80,AD$1,$B$1)</f>
        <v>0</v>
      </c>
      <c r="AE80" s="126" cm="1">
        <f t="array" ref="AE80">+_xll.EQNXTDZ($A$1,$B80,AE$1,$B$1)</f>
        <v>0</v>
      </c>
      <c r="AF80" s="126" cm="1">
        <f t="array" ref="AF80">+_xll.EQNXTDZ($A$1,$B80,AF$1,$B$1)</f>
        <v>0</v>
      </c>
      <c r="AG80" s="126" cm="1">
        <f t="array" ref="AG80">+_xll.EQNXTDZ($A$1,$B80,AG$1,$B$1)</f>
        <v>0</v>
      </c>
      <c r="AH80" s="126" cm="1">
        <f t="array" ref="AH80">+_xll.EQNXTDZ($A$1,$B80,AH$1,$B$1)</f>
        <v>0</v>
      </c>
      <c r="AI80" s="126" cm="1">
        <f t="array" ref="AI80">+_xll.EQNXTDZ($A$1,$B80,AI$1,$B$1)</f>
        <v>0</v>
      </c>
      <c r="AJ80" s="126" cm="1">
        <f t="array" ref="AJ80">+_xll.EQNXTDZ($A$1,$B80,AJ$1,$B$1)</f>
        <v>0</v>
      </c>
      <c r="AK80" s="126" cm="1">
        <f t="array" ref="AK80">+_xll.EQNXTDZ($A$1,$B80,AK$1,$B$1)</f>
        <v>0</v>
      </c>
      <c r="AL80" s="126" cm="1">
        <f t="array" ref="AL80">+_xll.EQNXTDZ($A$1,$B80,AL$1,$B$1)</f>
        <v>0</v>
      </c>
      <c r="AM80" s="126" cm="1">
        <f t="array" ref="AM80">+_xll.EQNXTDZ($A$1,$B80,AM$1,$B$1)</f>
        <v>0</v>
      </c>
      <c r="AN80" s="126" cm="1">
        <f t="array" ref="AN80">+_xll.EQNXTDZ($A$1,$B80,AN$1,$B$1)</f>
        <v>0</v>
      </c>
      <c r="AO80" s="126" cm="1">
        <f t="array" ref="AO80">+_xll.EQNXTDZ($A$1,$B80,AO$1,$B$1)</f>
        <v>0</v>
      </c>
      <c r="AP80" s="126" cm="1">
        <f t="array" ref="AP80">+_xll.EQNXTDZ($A$1,$B80,AP$1,$B$1)</f>
        <v>0</v>
      </c>
      <c r="AQ80" s="126" cm="1">
        <f t="array" ref="AQ80">+_xll.EQNXTDZ($A$1,$B80,AQ$1,$B$1)</f>
        <v>225.2</v>
      </c>
      <c r="AR80" s="126" cm="1">
        <f t="array" ref="AR80">+_xll.EQNXTDZ($A$1,$B80,AR$1,$B$1)</f>
        <v>0</v>
      </c>
      <c r="AS80" s="126" cm="1">
        <f t="array" ref="AS80">+_xll.EQNXTDZ($A$1,$B80,AS$1,$B$1)</f>
        <v>252.1</v>
      </c>
      <c r="AT80" s="126" cm="1">
        <f t="array" ref="AT80">+_xll.EQNXTDZ($A$1,$B80,AT$1,$B$1)</f>
        <v>0</v>
      </c>
      <c r="AU80" s="126" cm="1">
        <f t="array" ref="AU80">+_xll.EQNXTDZ($A$1,$B80,AU$1,$B$1)</f>
        <v>296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0</v>
      </c>
      <c r="D81" s="126" cm="1">
        <f t="array" ref="D81">+_xll.EQNXTDZ($A$1,$B81,D$1,$B$1)</f>
        <v>0</v>
      </c>
      <c r="E81" s="126" cm="1">
        <f t="array" ref="E81">+_xll.EQNXTDZ($A$1,$B81,E$1,$B$1)</f>
        <v>0</v>
      </c>
      <c r="F81" s="126" cm="1">
        <f t="array" ref="F81">+_xll.EQNXTDZ($A$1,$B81,F$1,$B$1)</f>
        <v>0</v>
      </c>
      <c r="G81" s="126" cm="1">
        <f t="array" ref="G81">+_xll.EQNXTDZ($A$1,$B81,G$1,$B$1)</f>
        <v>0</v>
      </c>
      <c r="H81" s="126" cm="1">
        <f t="array" ref="H81">+_xll.EQNXTDZ($A$1,$B81,H$1,$B$1)</f>
        <v>0</v>
      </c>
      <c r="I81" s="126" cm="1">
        <f t="array" ref="I81">+_xll.EQNXTDZ($A$1,$B81,I$1,$B$1)</f>
        <v>0</v>
      </c>
      <c r="J81" s="126" cm="1">
        <f t="array" ref="J81">+_xll.EQNXTDZ($A$1,$B81,J$1,$B$1)</f>
        <v>0</v>
      </c>
      <c r="K81" s="126" cm="1">
        <f t="array" ref="K81">+_xll.EQNXTDZ($A$1,$B81,K$1,$B$1)</f>
        <v>0</v>
      </c>
      <c r="L81" s="126" cm="1">
        <f t="array" ref="L81">+_xll.EQNXTDZ($A$1,$B81,L$1,$B$1)</f>
        <v>0</v>
      </c>
      <c r="M81" s="126" cm="1">
        <f t="array" ref="M81">+_xll.EQNXTDZ($A$1,$B81,M$1,$B$1)</f>
        <v>0</v>
      </c>
      <c r="N81" s="126" cm="1">
        <f t="array" ref="N81">+_xll.EQNXTDZ($A$1,$B81,N$1,$B$1)</f>
        <v>0</v>
      </c>
      <c r="O81" s="126" cm="1">
        <f t="array" ref="O81">+_xll.EQNXTDZ($A$1,$B81,O$1,$B$1)</f>
        <v>0</v>
      </c>
      <c r="P81" s="126" cm="1">
        <f t="array" ref="P81">+_xll.EQNXTDZ($A$1,$B81,P$1,$B$1)</f>
        <v>0</v>
      </c>
      <c r="Q81" s="126" cm="1">
        <f t="array" ref="Q81">+_xll.EQNXTDZ($A$1,$B81,Q$1,$B$1)</f>
        <v>0</v>
      </c>
      <c r="R81" s="126" cm="1">
        <f t="array" ref="R81">+_xll.EQNXTDZ($A$1,$B81,R$1,$B$1)</f>
        <v>0</v>
      </c>
      <c r="S81" s="126" cm="1">
        <f t="array" ref="S81">+_xll.EQNXTDZ($A$1,$B81,S$1,$B$1)</f>
        <v>0</v>
      </c>
      <c r="T81" s="126" cm="1">
        <f t="array" ref="T81">+_xll.EQNXTDZ($A$1,$B81,T$1,$B$1)</f>
        <v>0</v>
      </c>
      <c r="U81" s="126" cm="1">
        <f t="array" ref="U81">+_xll.EQNXTDZ($A$1,$B81,U$1,$B$1)</f>
        <v>0</v>
      </c>
      <c r="V81" s="126" cm="1">
        <f t="array" ref="V81">+_xll.EQNXTDZ($A$1,$B81,V$1,$B$1)</f>
        <v>0</v>
      </c>
      <c r="W81" s="126" cm="1">
        <f t="array" ref="W81">+_xll.EQNXTDZ($A$1,$B81,W$1,$B$1)</f>
        <v>0</v>
      </c>
      <c r="X81" s="126" cm="1">
        <f t="array" ref="X81">+_xll.EQNXTDZ($A$1,$B81,X$1,$B$1)</f>
        <v>0</v>
      </c>
      <c r="Y81" s="126" cm="1">
        <f t="array" ref="Y81">+_xll.EQNXTDZ($A$1,$B81,Y$1,$B$1)</f>
        <v>0</v>
      </c>
      <c r="Z81" s="126" cm="1">
        <f t="array" ref="Z81">+_xll.EQNXTDZ($A$1,$B81,Z$1,$B$1)</f>
        <v>0</v>
      </c>
      <c r="AA81" s="126" cm="1">
        <f t="array" ref="AA81">+_xll.EQNXTDZ($A$1,$B81,AA$1,$B$1)</f>
        <v>0</v>
      </c>
      <c r="AB81" s="126" cm="1">
        <f t="array" ref="AB81">+_xll.EQNXTDZ($A$1,$B81,AB$1,$B$1)</f>
        <v>0</v>
      </c>
      <c r="AC81" s="126" cm="1">
        <f t="array" ref="AC81">+_xll.EQNXTDZ($A$1,$B81,AC$1,$B$1)</f>
        <v>0</v>
      </c>
      <c r="AD81" s="126" cm="1">
        <f t="array" ref="AD81">+_xll.EQNXTDZ($A$1,$B81,AD$1,$B$1)</f>
        <v>0</v>
      </c>
      <c r="AE81" s="126" cm="1">
        <f t="array" ref="AE81">+_xll.EQNXTDZ($A$1,$B81,AE$1,$B$1)</f>
        <v>0</v>
      </c>
      <c r="AF81" s="126" cm="1">
        <f t="array" ref="AF81">+_xll.EQNXTDZ($A$1,$B81,AF$1,$B$1)</f>
        <v>0</v>
      </c>
      <c r="AG81" s="126" cm="1">
        <f t="array" ref="AG81">+_xll.EQNXTDZ($A$1,$B81,AG$1,$B$1)</f>
        <v>0</v>
      </c>
      <c r="AH81" s="126" cm="1">
        <f t="array" ref="AH81">+_xll.EQNXTDZ($A$1,$B81,AH$1,$B$1)</f>
        <v>0</v>
      </c>
      <c r="AI81" s="126" cm="1">
        <f t="array" ref="AI81">+_xll.EQNXTDZ($A$1,$B81,AI$1,$B$1)</f>
        <v>0</v>
      </c>
      <c r="AJ81" s="126" cm="1">
        <f t="array" ref="AJ81">+_xll.EQNXTDZ($A$1,$B81,AJ$1,$B$1)</f>
        <v>0</v>
      </c>
      <c r="AK81" s="126" cm="1">
        <f t="array" ref="AK81">+_xll.EQNXTDZ($A$1,$B81,AK$1,$B$1)</f>
        <v>0</v>
      </c>
      <c r="AL81" s="126" cm="1">
        <f t="array" ref="AL81">+_xll.EQNXTDZ($A$1,$B81,AL$1,$B$1)</f>
        <v>0</v>
      </c>
      <c r="AM81" s="126" cm="1">
        <f t="array" ref="AM81">+_xll.EQNXTDZ($A$1,$B81,AM$1,$B$1)</f>
        <v>0</v>
      </c>
      <c r="AN81" s="126" cm="1">
        <f t="array" ref="AN81">+_xll.EQNXTDZ($A$1,$B81,AN$1,$B$1)</f>
        <v>0</v>
      </c>
      <c r="AO81" s="126" cm="1">
        <f t="array" ref="AO81">+_xll.EQNXTDZ($A$1,$B81,AO$1,$B$1)</f>
        <v>0</v>
      </c>
      <c r="AP81" s="126" cm="1">
        <f t="array" ref="AP81">+_xll.EQNXTDZ($A$1,$B81,AP$1,$B$1)</f>
        <v>0</v>
      </c>
      <c r="AQ81" s="126" cm="1">
        <f t="array" ref="AQ81">+_xll.EQNXTDZ($A$1,$B81,AQ$1,$B$1)</f>
        <v>984.3</v>
      </c>
      <c r="AR81" s="126" cm="1">
        <f t="array" ref="AR81">+_xll.EQNXTDZ($A$1,$B81,AR$1,$B$1)</f>
        <v>0</v>
      </c>
      <c r="AS81" s="126" cm="1">
        <f t="array" ref="AS81">+_xll.EQNXTDZ($A$1,$B81,AS$1,$B$1)</f>
        <v>1344</v>
      </c>
      <c r="AT81" s="126" cm="1">
        <f t="array" ref="AT81">+_xll.EQNXTDZ($A$1,$B81,AT$1,$B$1)</f>
        <v>0</v>
      </c>
      <c r="AU81" s="126" cm="1">
        <f t="array" ref="AU81">+_xll.EQNXTDZ($A$1,$B81,AU$1,$B$1)</f>
        <v>1673.6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0</v>
      </c>
      <c r="D82" s="126" cm="1">
        <f t="array" ref="D82">+_xll.EQNXTDZ($A$1,$B82,D$1,$B$1)</f>
        <v>0</v>
      </c>
      <c r="E82" s="126" cm="1">
        <f t="array" ref="E82">+_xll.EQNXTDZ($A$1,$B82,E$1,$B$1)</f>
        <v>0</v>
      </c>
      <c r="F82" s="126" cm="1">
        <f t="array" ref="F82">+_xll.EQNXTDZ($A$1,$B82,F$1,$B$1)</f>
        <v>0</v>
      </c>
      <c r="G82" s="126" cm="1">
        <f t="array" ref="G82">+_xll.EQNXTDZ($A$1,$B82,G$1,$B$1)</f>
        <v>0</v>
      </c>
      <c r="H82" s="126" cm="1">
        <f t="array" ref="H82">+_xll.EQNXTDZ($A$1,$B82,H$1,$B$1)</f>
        <v>0</v>
      </c>
      <c r="I82" s="126" cm="1">
        <f t="array" ref="I82">+_xll.EQNXTDZ($A$1,$B82,I$1,$B$1)</f>
        <v>0</v>
      </c>
      <c r="J82" s="126" cm="1">
        <f t="array" ref="J82">+_xll.EQNXTDZ($A$1,$B82,J$1,$B$1)</f>
        <v>0</v>
      </c>
      <c r="K82" s="126" cm="1">
        <f t="array" ref="K82">+_xll.EQNXTDZ($A$1,$B82,K$1,$B$1)</f>
        <v>0</v>
      </c>
      <c r="L82" s="126" cm="1">
        <f t="array" ref="L82">+_xll.EQNXTDZ($A$1,$B82,L$1,$B$1)</f>
        <v>0</v>
      </c>
      <c r="M82" s="126" cm="1">
        <f t="array" ref="M82">+_xll.EQNXTDZ($A$1,$B82,M$1,$B$1)</f>
        <v>0</v>
      </c>
      <c r="N82" s="126" cm="1">
        <f t="array" ref="N82">+_xll.EQNXTDZ($A$1,$B82,N$1,$B$1)</f>
        <v>0</v>
      </c>
      <c r="O82" s="126" cm="1">
        <f t="array" ref="O82">+_xll.EQNXTDZ($A$1,$B82,O$1,$B$1)</f>
        <v>0</v>
      </c>
      <c r="P82" s="126" cm="1">
        <f t="array" ref="P82">+_xll.EQNXTDZ($A$1,$B82,P$1,$B$1)</f>
        <v>0</v>
      </c>
      <c r="Q82" s="126" cm="1">
        <f t="array" ref="Q82">+_xll.EQNXTDZ($A$1,$B82,Q$1,$B$1)</f>
        <v>0</v>
      </c>
      <c r="R82" s="126" cm="1">
        <f t="array" ref="R82">+_xll.EQNXTDZ($A$1,$B82,R$1,$B$1)</f>
        <v>0</v>
      </c>
      <c r="S82" s="126" cm="1">
        <f t="array" ref="S82">+_xll.EQNXTDZ($A$1,$B82,S$1,$B$1)</f>
        <v>0</v>
      </c>
      <c r="T82" s="126" cm="1">
        <f t="array" ref="T82">+_xll.EQNXTDZ($A$1,$B82,T$1,$B$1)</f>
        <v>0</v>
      </c>
      <c r="U82" s="126" cm="1">
        <f t="array" ref="U82">+_xll.EQNXTDZ($A$1,$B82,U$1,$B$1)</f>
        <v>0</v>
      </c>
      <c r="V82" s="126" cm="1">
        <f t="array" ref="V82">+_xll.EQNXTDZ($A$1,$B82,V$1,$B$1)</f>
        <v>0</v>
      </c>
      <c r="W82" s="126" cm="1">
        <f t="array" ref="W82">+_xll.EQNXTDZ($A$1,$B82,W$1,$B$1)</f>
        <v>0</v>
      </c>
      <c r="X82" s="126" cm="1">
        <f t="array" ref="X82">+_xll.EQNXTDZ($A$1,$B82,X$1,$B$1)</f>
        <v>0</v>
      </c>
      <c r="Y82" s="126" cm="1">
        <f t="array" ref="Y82">+_xll.EQNXTDZ($A$1,$B82,Y$1,$B$1)</f>
        <v>0</v>
      </c>
      <c r="Z82" s="126" cm="1">
        <f t="array" ref="Z82">+_xll.EQNXTDZ($A$1,$B82,Z$1,$B$1)</f>
        <v>0</v>
      </c>
      <c r="AA82" s="126" cm="1">
        <f t="array" ref="AA82">+_xll.EQNXTDZ($A$1,$B82,AA$1,$B$1)</f>
        <v>0</v>
      </c>
      <c r="AB82" s="126" cm="1">
        <f t="array" ref="AB82">+_xll.EQNXTDZ($A$1,$B82,AB$1,$B$1)</f>
        <v>0</v>
      </c>
      <c r="AC82" s="126" cm="1">
        <f t="array" ref="AC82">+_xll.EQNXTDZ($A$1,$B82,AC$1,$B$1)</f>
        <v>0</v>
      </c>
      <c r="AD82" s="126" cm="1">
        <f t="array" ref="AD82">+_xll.EQNXTDZ($A$1,$B82,AD$1,$B$1)</f>
        <v>0</v>
      </c>
      <c r="AE82" s="126" cm="1">
        <f t="array" ref="AE82">+_xll.EQNXTDZ($A$1,$B82,AE$1,$B$1)</f>
        <v>0</v>
      </c>
      <c r="AF82" s="126" cm="1">
        <f t="array" ref="AF82">+_xll.EQNXTDZ($A$1,$B82,AF$1,$B$1)</f>
        <v>0</v>
      </c>
      <c r="AG82" s="126" cm="1">
        <f t="array" ref="AG82">+_xll.EQNXTDZ($A$1,$B82,AG$1,$B$1)</f>
        <v>0</v>
      </c>
      <c r="AH82" s="126" cm="1">
        <f t="array" ref="AH82">+_xll.EQNXTDZ($A$1,$B82,AH$1,$B$1)</f>
        <v>0</v>
      </c>
      <c r="AI82" s="126" cm="1">
        <f t="array" ref="AI82">+_xll.EQNXTDZ($A$1,$B82,AI$1,$B$1)</f>
        <v>0</v>
      </c>
      <c r="AJ82" s="126" cm="1">
        <f t="array" ref="AJ82">+_xll.EQNXTDZ($A$1,$B82,AJ$1,$B$1)</f>
        <v>0</v>
      </c>
      <c r="AK82" s="126" cm="1">
        <f t="array" ref="AK82">+_xll.EQNXTDZ($A$1,$B82,AK$1,$B$1)</f>
        <v>0</v>
      </c>
      <c r="AL82" s="126" cm="1">
        <f t="array" ref="AL82">+_xll.EQNXTDZ($A$1,$B82,AL$1,$B$1)</f>
        <v>0</v>
      </c>
      <c r="AM82" s="126" cm="1">
        <f t="array" ref="AM82">+_xll.EQNXTDZ($A$1,$B82,AM$1,$B$1)</f>
        <v>0</v>
      </c>
      <c r="AN82" s="126" cm="1">
        <f t="array" ref="AN82">+_xll.EQNXTDZ($A$1,$B82,AN$1,$B$1)</f>
        <v>0</v>
      </c>
      <c r="AO82" s="126" cm="1">
        <f t="array" ref="AO82">+_xll.EQNXTDZ($A$1,$B82,AO$1,$B$1)</f>
        <v>0</v>
      </c>
      <c r="AP82" s="126" cm="1">
        <f t="array" ref="AP82">+_xll.EQNXTDZ($A$1,$B82,AP$1,$B$1)</f>
        <v>0</v>
      </c>
      <c r="AQ82" s="126" cm="1">
        <f t="array" ref="AQ82">+_xll.EQNXTDZ($A$1,$B82,AQ$1,$B$1)</f>
        <v>155.69999999999999</v>
      </c>
      <c r="AR82" s="126" cm="1">
        <f t="array" ref="AR82">+_xll.EQNXTDZ($A$1,$B82,AR$1,$B$1)</f>
        <v>0</v>
      </c>
      <c r="AS82" s="126" cm="1">
        <f t="array" ref="AS82">+_xll.EQNXTDZ($A$1,$B82,AS$1,$B$1)</f>
        <v>523.5</v>
      </c>
      <c r="AT82" s="126" cm="1">
        <f t="array" ref="AT82">+_xll.EQNXTDZ($A$1,$B82,AT$1,$B$1)</f>
        <v>0</v>
      </c>
      <c r="AU82" s="126" cm="1">
        <f t="array" ref="AU82">+_xll.EQNXTDZ($A$1,$B82,AU$1,$B$1)</f>
        <v>1392.7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0</v>
      </c>
      <c r="D83" s="126" cm="1">
        <f t="array" ref="D83">+_xll.EQNXTDZ($A$1,$B83,D$1,$B$1)</f>
        <v>0</v>
      </c>
      <c r="E83" s="126" cm="1">
        <f t="array" ref="E83">+_xll.EQNXTDZ($A$1,$B83,E$1,$B$1)</f>
        <v>0</v>
      </c>
      <c r="F83" s="126" cm="1">
        <f t="array" ref="F83">+_xll.EQNXTDZ($A$1,$B83,F$1,$B$1)</f>
        <v>0</v>
      </c>
      <c r="G83" s="126" cm="1">
        <f t="array" ref="G83">+_xll.EQNXTDZ($A$1,$B83,G$1,$B$1)</f>
        <v>0</v>
      </c>
      <c r="H83" s="126" cm="1">
        <f t="array" ref="H83">+_xll.EQNXTDZ($A$1,$B83,H$1,$B$1)</f>
        <v>0</v>
      </c>
      <c r="I83" s="126" cm="1">
        <f t="array" ref="I83">+_xll.EQNXTDZ($A$1,$B83,I$1,$B$1)</f>
        <v>0</v>
      </c>
      <c r="J83" s="126" cm="1">
        <f t="array" ref="J83">+_xll.EQNXTDZ($A$1,$B83,J$1,$B$1)</f>
        <v>0</v>
      </c>
      <c r="K83" s="126" cm="1">
        <f t="array" ref="K83">+_xll.EQNXTDZ($A$1,$B83,K$1,$B$1)</f>
        <v>0</v>
      </c>
      <c r="L83" s="126" cm="1">
        <f t="array" ref="L83">+_xll.EQNXTDZ($A$1,$B83,L$1,$B$1)</f>
        <v>0</v>
      </c>
      <c r="M83" s="126" cm="1">
        <f t="array" ref="M83">+_xll.EQNXTDZ($A$1,$B83,M$1,$B$1)</f>
        <v>0</v>
      </c>
      <c r="N83" s="126" cm="1">
        <f t="array" ref="N83">+_xll.EQNXTDZ($A$1,$B83,N$1,$B$1)</f>
        <v>0</v>
      </c>
      <c r="O83" s="126" cm="1">
        <f t="array" ref="O83">+_xll.EQNXTDZ($A$1,$B83,O$1,$B$1)</f>
        <v>0</v>
      </c>
      <c r="P83" s="126" cm="1">
        <f t="array" ref="P83">+_xll.EQNXTDZ($A$1,$B83,P$1,$B$1)</f>
        <v>0</v>
      </c>
      <c r="Q83" s="126" cm="1">
        <f t="array" ref="Q83">+_xll.EQNXTDZ($A$1,$B83,Q$1,$B$1)</f>
        <v>0</v>
      </c>
      <c r="R83" s="126" cm="1">
        <f t="array" ref="R83">+_xll.EQNXTDZ($A$1,$B83,R$1,$B$1)</f>
        <v>0</v>
      </c>
      <c r="S83" s="126" cm="1">
        <f t="array" ref="S83">+_xll.EQNXTDZ($A$1,$B83,S$1,$B$1)</f>
        <v>0</v>
      </c>
      <c r="T83" s="126" cm="1">
        <f t="array" ref="T83">+_xll.EQNXTDZ($A$1,$B83,T$1,$B$1)</f>
        <v>0</v>
      </c>
      <c r="U83" s="126" cm="1">
        <f t="array" ref="U83">+_xll.EQNXTDZ($A$1,$B83,U$1,$B$1)</f>
        <v>0</v>
      </c>
      <c r="V83" s="126" cm="1">
        <f t="array" ref="V83">+_xll.EQNXTDZ($A$1,$B83,V$1,$B$1)</f>
        <v>0</v>
      </c>
      <c r="W83" s="126" cm="1">
        <f t="array" ref="W83">+_xll.EQNXTDZ($A$1,$B83,W$1,$B$1)</f>
        <v>0</v>
      </c>
      <c r="X83" s="126" cm="1">
        <f t="array" ref="X83">+_xll.EQNXTDZ($A$1,$B83,X$1,$B$1)</f>
        <v>0</v>
      </c>
      <c r="Y83" s="126" cm="1">
        <f t="array" ref="Y83">+_xll.EQNXTDZ($A$1,$B83,Y$1,$B$1)</f>
        <v>0</v>
      </c>
      <c r="Z83" s="126" cm="1">
        <f t="array" ref="Z83">+_xll.EQNXTDZ($A$1,$B83,Z$1,$B$1)</f>
        <v>0</v>
      </c>
      <c r="AA83" s="126" cm="1">
        <f t="array" ref="AA83">+_xll.EQNXTDZ($A$1,$B83,AA$1,$B$1)</f>
        <v>0</v>
      </c>
      <c r="AB83" s="126" cm="1">
        <f t="array" ref="AB83">+_xll.EQNXTDZ($A$1,$B83,AB$1,$B$1)</f>
        <v>0</v>
      </c>
      <c r="AC83" s="126" cm="1">
        <f t="array" ref="AC83">+_xll.EQNXTDZ($A$1,$B83,AC$1,$B$1)</f>
        <v>0</v>
      </c>
      <c r="AD83" s="126" cm="1">
        <f t="array" ref="AD83">+_xll.EQNXTDZ($A$1,$B83,AD$1,$B$1)</f>
        <v>0</v>
      </c>
      <c r="AE83" s="126" cm="1">
        <f t="array" ref="AE83">+_xll.EQNXTDZ($A$1,$B83,AE$1,$B$1)</f>
        <v>0</v>
      </c>
      <c r="AF83" s="126" cm="1">
        <f t="array" ref="AF83">+_xll.EQNXTDZ($A$1,$B83,AF$1,$B$1)</f>
        <v>0</v>
      </c>
      <c r="AG83" s="126" cm="1">
        <f t="array" ref="AG83">+_xll.EQNXTDZ($A$1,$B83,AG$1,$B$1)</f>
        <v>0</v>
      </c>
      <c r="AH83" s="126" cm="1">
        <f t="array" ref="AH83">+_xll.EQNXTDZ($A$1,$B83,AH$1,$B$1)</f>
        <v>0</v>
      </c>
      <c r="AI83" s="126" cm="1">
        <f t="array" ref="AI83">+_xll.EQNXTDZ($A$1,$B83,AI$1,$B$1)</f>
        <v>0</v>
      </c>
      <c r="AJ83" s="126" cm="1">
        <f t="array" ref="AJ83">+_xll.EQNXTDZ($A$1,$B83,AJ$1,$B$1)</f>
        <v>0</v>
      </c>
      <c r="AK83" s="126" cm="1">
        <f t="array" ref="AK83">+_xll.EQNXTDZ($A$1,$B83,AK$1,$B$1)</f>
        <v>0</v>
      </c>
      <c r="AL83" s="126" cm="1">
        <f t="array" ref="AL83">+_xll.EQNXTDZ($A$1,$B83,AL$1,$B$1)</f>
        <v>0</v>
      </c>
      <c r="AM83" s="126" cm="1">
        <f t="array" ref="AM83">+_xll.EQNXTDZ($A$1,$B83,AM$1,$B$1)</f>
        <v>0</v>
      </c>
      <c r="AN83" s="126" cm="1">
        <f t="array" ref="AN83">+_xll.EQNXTDZ($A$1,$B83,AN$1,$B$1)</f>
        <v>0</v>
      </c>
      <c r="AO83" s="126" cm="1">
        <f t="array" ref="AO83">+_xll.EQNXTDZ($A$1,$B83,AO$1,$B$1)</f>
        <v>0</v>
      </c>
      <c r="AP83" s="126" cm="1">
        <f t="array" ref="AP83">+_xll.EQNXTDZ($A$1,$B83,AP$1,$B$1)</f>
        <v>0</v>
      </c>
      <c r="AQ83" s="126" cm="1">
        <f t="array" ref="AQ83">+_xll.EQNXTDZ($A$1,$B83,AQ$1,$B$1)</f>
        <v>103343</v>
      </c>
      <c r="AR83" s="126" cm="1">
        <f t="array" ref="AR83">+_xll.EQNXTDZ($A$1,$B83,AR$1,$B$1)</f>
        <v>0</v>
      </c>
      <c r="AS83" s="126" cm="1">
        <f t="array" ref="AS83">+_xll.EQNXTDZ($A$1,$B83,AS$1,$B$1)</f>
        <v>107759.4</v>
      </c>
      <c r="AT83" s="126" cm="1">
        <f t="array" ref="AT83">+_xll.EQNXTDZ($A$1,$B83,AT$1,$B$1)</f>
        <v>0</v>
      </c>
      <c r="AU83" s="126" cm="1">
        <f t="array" ref="AU83">+_xll.EQNXTDZ($A$1,$B83,AU$1,$B$1)</f>
        <v>114689.5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0</v>
      </c>
      <c r="D84" s="126" cm="1">
        <f t="array" ref="D84">+_xll.EQNXTDZ($A$1,$B84,D$1,$B$1)</f>
        <v>0</v>
      </c>
      <c r="E84" s="126" cm="1">
        <f t="array" ref="E84">+_xll.EQNXTDZ($A$1,$B84,E$1,$B$1)</f>
        <v>0</v>
      </c>
      <c r="F84" s="126" cm="1">
        <f t="array" ref="F84">+_xll.EQNXTDZ($A$1,$B84,F$1,$B$1)</f>
        <v>0</v>
      </c>
      <c r="G84" s="126" cm="1">
        <f t="array" ref="G84">+_xll.EQNXTDZ($A$1,$B84,G$1,$B$1)</f>
        <v>0</v>
      </c>
      <c r="H84" s="126" cm="1">
        <f t="array" ref="H84">+_xll.EQNXTDZ($A$1,$B84,H$1,$B$1)</f>
        <v>0</v>
      </c>
      <c r="I84" s="126" cm="1">
        <f t="array" ref="I84">+_xll.EQNXTDZ($A$1,$B84,I$1,$B$1)</f>
        <v>0</v>
      </c>
      <c r="J84" s="126" cm="1">
        <f t="array" ref="J84">+_xll.EQNXTDZ($A$1,$B84,J$1,$B$1)</f>
        <v>0</v>
      </c>
      <c r="K84" s="126" cm="1">
        <f t="array" ref="K84">+_xll.EQNXTDZ($A$1,$B84,K$1,$B$1)</f>
        <v>0</v>
      </c>
      <c r="L84" s="126" cm="1">
        <f t="array" ref="L84">+_xll.EQNXTDZ($A$1,$B84,L$1,$B$1)</f>
        <v>0</v>
      </c>
      <c r="M84" s="126" cm="1">
        <f t="array" ref="M84">+_xll.EQNXTDZ($A$1,$B84,M$1,$B$1)</f>
        <v>0</v>
      </c>
      <c r="N84" s="126" cm="1">
        <f t="array" ref="N84">+_xll.EQNXTDZ($A$1,$B84,N$1,$B$1)</f>
        <v>0</v>
      </c>
      <c r="O84" s="126" cm="1">
        <f t="array" ref="O84">+_xll.EQNXTDZ($A$1,$B84,O$1,$B$1)</f>
        <v>0</v>
      </c>
      <c r="P84" s="126" cm="1">
        <f t="array" ref="P84">+_xll.EQNXTDZ($A$1,$B84,P$1,$B$1)</f>
        <v>0</v>
      </c>
      <c r="Q84" s="126" cm="1">
        <f t="array" ref="Q84">+_xll.EQNXTDZ($A$1,$B84,Q$1,$B$1)</f>
        <v>0</v>
      </c>
      <c r="R84" s="126" cm="1">
        <f t="array" ref="R84">+_xll.EQNXTDZ($A$1,$B84,R$1,$B$1)</f>
        <v>0</v>
      </c>
      <c r="S84" s="126" cm="1">
        <f t="array" ref="S84">+_xll.EQNXTDZ($A$1,$B84,S$1,$B$1)</f>
        <v>0</v>
      </c>
      <c r="T84" s="126" cm="1">
        <f t="array" ref="T84">+_xll.EQNXTDZ($A$1,$B84,T$1,$B$1)</f>
        <v>0</v>
      </c>
      <c r="U84" s="126" cm="1">
        <f t="array" ref="U84">+_xll.EQNXTDZ($A$1,$B84,U$1,$B$1)</f>
        <v>0</v>
      </c>
      <c r="V84" s="126" cm="1">
        <f t="array" ref="V84">+_xll.EQNXTDZ($A$1,$B84,V$1,$B$1)</f>
        <v>0</v>
      </c>
      <c r="W84" s="126" cm="1">
        <f t="array" ref="W84">+_xll.EQNXTDZ($A$1,$B84,W$1,$B$1)</f>
        <v>0</v>
      </c>
      <c r="X84" s="126" cm="1">
        <f t="array" ref="X84">+_xll.EQNXTDZ($A$1,$B84,X$1,$B$1)</f>
        <v>0</v>
      </c>
      <c r="Y84" s="126" cm="1">
        <f t="array" ref="Y84">+_xll.EQNXTDZ($A$1,$B84,Y$1,$B$1)</f>
        <v>0</v>
      </c>
      <c r="Z84" s="126" cm="1">
        <f t="array" ref="Z84">+_xll.EQNXTDZ($A$1,$B84,Z$1,$B$1)</f>
        <v>0</v>
      </c>
      <c r="AA84" s="126" cm="1">
        <f t="array" ref="AA84">+_xll.EQNXTDZ($A$1,$B84,AA$1,$B$1)</f>
        <v>0</v>
      </c>
      <c r="AB84" s="126" cm="1">
        <f t="array" ref="AB84">+_xll.EQNXTDZ($A$1,$B84,AB$1,$B$1)</f>
        <v>0</v>
      </c>
      <c r="AC84" s="126" cm="1">
        <f t="array" ref="AC84">+_xll.EQNXTDZ($A$1,$B84,AC$1,$B$1)</f>
        <v>0</v>
      </c>
      <c r="AD84" s="126" cm="1">
        <f t="array" ref="AD84">+_xll.EQNXTDZ($A$1,$B84,AD$1,$B$1)</f>
        <v>0</v>
      </c>
      <c r="AE84" s="126" cm="1">
        <f t="array" ref="AE84">+_xll.EQNXTDZ($A$1,$B84,AE$1,$B$1)</f>
        <v>0</v>
      </c>
      <c r="AF84" s="126" cm="1">
        <f t="array" ref="AF84">+_xll.EQNXTDZ($A$1,$B84,AF$1,$B$1)</f>
        <v>0</v>
      </c>
      <c r="AG84" s="126" cm="1">
        <f t="array" ref="AG84">+_xll.EQNXTDZ($A$1,$B84,AG$1,$B$1)</f>
        <v>0</v>
      </c>
      <c r="AH84" s="126" cm="1">
        <f t="array" ref="AH84">+_xll.EQNXTDZ($A$1,$B84,AH$1,$B$1)</f>
        <v>0</v>
      </c>
      <c r="AI84" s="126" cm="1">
        <f t="array" ref="AI84">+_xll.EQNXTDZ($A$1,$B84,AI$1,$B$1)</f>
        <v>0</v>
      </c>
      <c r="AJ84" s="126" cm="1">
        <f t="array" ref="AJ84">+_xll.EQNXTDZ($A$1,$B84,AJ$1,$B$1)</f>
        <v>0</v>
      </c>
      <c r="AK84" s="126" cm="1">
        <f t="array" ref="AK84">+_xll.EQNXTDZ($A$1,$B84,AK$1,$B$1)</f>
        <v>0</v>
      </c>
      <c r="AL84" s="126" cm="1">
        <f t="array" ref="AL84">+_xll.EQNXTDZ($A$1,$B84,AL$1,$B$1)</f>
        <v>0</v>
      </c>
      <c r="AM84" s="126" cm="1">
        <f t="array" ref="AM84">+_xll.EQNXTDZ($A$1,$B84,AM$1,$B$1)</f>
        <v>0</v>
      </c>
      <c r="AN84" s="126" cm="1">
        <f t="array" ref="AN84">+_xll.EQNXTDZ($A$1,$B84,AN$1,$B$1)</f>
        <v>0</v>
      </c>
      <c r="AO84" s="126" cm="1">
        <f t="array" ref="AO84">+_xll.EQNXTDZ($A$1,$B84,AO$1,$B$1)</f>
        <v>0</v>
      </c>
      <c r="AP84" s="126" cm="1">
        <f t="array" ref="AP84">+_xll.EQNXTDZ($A$1,$B84,AP$1,$B$1)</f>
        <v>0</v>
      </c>
      <c r="AQ84" s="126" cm="1">
        <f t="array" ref="AQ84">+_xll.EQNXTDZ($A$1,$B84,AQ$1,$B$1)</f>
        <v>106768.3</v>
      </c>
      <c r="AR84" s="126" cm="1">
        <f t="array" ref="AR84">+_xll.EQNXTDZ($A$1,$B84,AR$1,$B$1)</f>
        <v>0</v>
      </c>
      <c r="AS84" s="126" cm="1">
        <f t="array" ref="AS84">+_xll.EQNXTDZ($A$1,$B84,AS$1,$B$1)</f>
        <v>112955.5</v>
      </c>
      <c r="AT84" s="126" cm="1">
        <f t="array" ref="AT84">+_xll.EQNXTDZ($A$1,$B84,AT$1,$B$1)</f>
        <v>0</v>
      </c>
      <c r="AU84" s="126" cm="1">
        <f t="array" ref="AU84">+_xll.EQNXTDZ($A$1,$B84,AU$1,$B$1)</f>
        <v>121799.4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</v>
      </c>
      <c r="D86" s="126" cm="1">
        <f t="array" ref="D86">+_xll.EQNXTDZ($A$1,$B86,D$1,$B$1)</f>
        <v>0</v>
      </c>
      <c r="E86" s="126" cm="1">
        <f t="array" ref="E86">+_xll.EQNXTDZ($A$1,$B86,E$1,$B$1)</f>
        <v>0</v>
      </c>
      <c r="F86" s="126" cm="1">
        <f t="array" ref="F86">+_xll.EQNXTDZ($A$1,$B86,F$1,$B$1)</f>
        <v>0</v>
      </c>
      <c r="G86" s="126" cm="1">
        <f t="array" ref="G86">+_xll.EQNXTDZ($A$1,$B86,G$1,$B$1)</f>
        <v>0</v>
      </c>
      <c r="H86" s="126" cm="1">
        <f t="array" ref="H86">+_xll.EQNXTDZ($A$1,$B86,H$1,$B$1)</f>
        <v>0</v>
      </c>
      <c r="I86" s="126" cm="1">
        <f t="array" ref="I86">+_xll.EQNXTDZ($A$1,$B86,I$1,$B$1)</f>
        <v>0</v>
      </c>
      <c r="J86" s="126" cm="1">
        <f t="array" ref="J86">+_xll.EQNXTDZ($A$1,$B86,J$1,$B$1)</f>
        <v>0</v>
      </c>
      <c r="K86" s="126" cm="1">
        <f t="array" ref="K86">+_xll.EQNXTDZ($A$1,$B86,K$1,$B$1)</f>
        <v>0</v>
      </c>
      <c r="L86" s="126" cm="1">
        <f t="array" ref="L86">+_xll.EQNXTDZ($A$1,$B86,L$1,$B$1)</f>
        <v>0</v>
      </c>
      <c r="M86" s="126" cm="1">
        <f t="array" ref="M86">+_xll.EQNXTDZ($A$1,$B86,M$1,$B$1)</f>
        <v>0</v>
      </c>
      <c r="N86" s="126" cm="1">
        <f t="array" ref="N86">+_xll.EQNXTDZ($A$1,$B86,N$1,$B$1)</f>
        <v>0</v>
      </c>
      <c r="O86" s="126" cm="1">
        <f t="array" ref="O86">+_xll.EQNXTDZ($A$1,$B86,O$1,$B$1)</f>
        <v>0</v>
      </c>
      <c r="P86" s="126" cm="1">
        <f t="array" ref="P86">+_xll.EQNXTDZ($A$1,$B86,P$1,$B$1)</f>
        <v>0</v>
      </c>
      <c r="Q86" s="126" cm="1">
        <f t="array" ref="Q86">+_xll.EQNXTDZ($A$1,$B86,Q$1,$B$1)</f>
        <v>0</v>
      </c>
      <c r="R86" s="126" cm="1">
        <f t="array" ref="R86">+_xll.EQNXTDZ($A$1,$B86,R$1,$B$1)</f>
        <v>0</v>
      </c>
      <c r="S86" s="126" cm="1">
        <f t="array" ref="S86">+_xll.EQNXTDZ($A$1,$B86,S$1,$B$1)</f>
        <v>0</v>
      </c>
      <c r="T86" s="126" cm="1">
        <f t="array" ref="T86">+_xll.EQNXTDZ($A$1,$B86,T$1,$B$1)</f>
        <v>0</v>
      </c>
      <c r="U86" s="126" cm="1">
        <f t="array" ref="U86">+_xll.EQNXTDZ($A$1,$B86,U$1,$B$1)</f>
        <v>0</v>
      </c>
      <c r="V86" s="126" cm="1">
        <f t="array" ref="V86">+_xll.EQNXTDZ($A$1,$B86,V$1,$B$1)</f>
        <v>0</v>
      </c>
      <c r="W86" s="126" cm="1">
        <f t="array" ref="W86">+_xll.EQNXTDZ($A$1,$B86,W$1,$B$1)</f>
        <v>0</v>
      </c>
      <c r="X86" s="126" cm="1">
        <f t="array" ref="X86">+_xll.EQNXTDZ($A$1,$B86,X$1,$B$1)</f>
        <v>0</v>
      </c>
      <c r="Y86" s="126" cm="1">
        <f t="array" ref="Y86">+_xll.EQNXTDZ($A$1,$B86,Y$1,$B$1)</f>
        <v>0</v>
      </c>
      <c r="Z86" s="126" cm="1">
        <f t="array" ref="Z86">+_xll.EQNXTDZ($A$1,$B86,Z$1,$B$1)</f>
        <v>0</v>
      </c>
      <c r="AA86" s="126" cm="1">
        <f t="array" ref="AA86">+_xll.EQNXTDZ($A$1,$B86,AA$1,$B$1)</f>
        <v>0</v>
      </c>
      <c r="AB86" s="126" cm="1">
        <f t="array" ref="AB86">+_xll.EQNXTDZ($A$1,$B86,AB$1,$B$1)</f>
        <v>0</v>
      </c>
      <c r="AC86" s="126" cm="1">
        <f t="array" ref="AC86">+_xll.EQNXTDZ($A$1,$B86,AC$1,$B$1)</f>
        <v>0</v>
      </c>
      <c r="AD86" s="126" cm="1">
        <f t="array" ref="AD86">+_xll.EQNXTDZ($A$1,$B86,AD$1,$B$1)</f>
        <v>0</v>
      </c>
      <c r="AE86" s="126" cm="1">
        <f t="array" ref="AE86">+_xll.EQNXTDZ($A$1,$B86,AE$1,$B$1)</f>
        <v>0</v>
      </c>
      <c r="AF86" s="126" cm="1">
        <f t="array" ref="AF86">+_xll.EQNXTDZ($A$1,$B86,AF$1,$B$1)</f>
        <v>0</v>
      </c>
      <c r="AG86" s="126" cm="1">
        <f t="array" ref="AG86">+_xll.EQNXTDZ($A$1,$B86,AG$1,$B$1)</f>
        <v>0</v>
      </c>
      <c r="AH86" s="126" cm="1">
        <f t="array" ref="AH86">+_xll.EQNXTDZ($A$1,$B86,AH$1,$B$1)</f>
        <v>0</v>
      </c>
      <c r="AI86" s="126" cm="1">
        <f t="array" ref="AI86">+_xll.EQNXTDZ($A$1,$B86,AI$1,$B$1)</f>
        <v>0</v>
      </c>
      <c r="AJ86" s="126" cm="1">
        <f t="array" ref="AJ86">+_xll.EQNXTDZ($A$1,$B86,AJ$1,$B$1)</f>
        <v>0</v>
      </c>
      <c r="AK86" s="126" cm="1">
        <f t="array" ref="AK86">+_xll.EQNXTDZ($A$1,$B86,AK$1,$B$1)</f>
        <v>0</v>
      </c>
      <c r="AL86" s="126" cm="1">
        <f t="array" ref="AL86">+_xll.EQNXTDZ($A$1,$B86,AL$1,$B$1)</f>
        <v>0</v>
      </c>
      <c r="AM86" s="126" cm="1">
        <f t="array" ref="AM86">+_xll.EQNXTDZ($A$1,$B86,AM$1,$B$1)</f>
        <v>0</v>
      </c>
      <c r="AN86" s="126" cm="1">
        <f t="array" ref="AN86">+_xll.EQNXTDZ($A$1,$B86,AN$1,$B$1)</f>
        <v>0</v>
      </c>
      <c r="AO86" s="126" cm="1">
        <f t="array" ref="AO86">+_xll.EQNXTDZ($A$1,$B86,AO$1,$B$1)</f>
        <v>0</v>
      </c>
      <c r="AP86" s="126" cm="1">
        <f t="array" ref="AP86">+_xll.EQNXTDZ($A$1,$B86,AP$1,$B$1)</f>
        <v>0</v>
      </c>
      <c r="AQ86" s="126" cm="1">
        <f t="array" ref="AQ86">+_xll.EQNXTDZ($A$1,$B86,AQ$1,$B$1)</f>
        <v>42077.2</v>
      </c>
      <c r="AR86" s="126" cm="1">
        <f t="array" ref="AR86">+_xll.EQNXTDZ($A$1,$B86,AR$1,$B$1)</f>
        <v>0</v>
      </c>
      <c r="AS86" s="126" cm="1">
        <f t="array" ref="AS86">+_xll.EQNXTDZ($A$1,$B86,AS$1,$B$1)</f>
        <v>48219.9</v>
      </c>
      <c r="AT86" s="126" cm="1">
        <f t="array" ref="AT86">+_xll.EQNXTDZ($A$1,$B86,AT$1,$B$1)</f>
        <v>0</v>
      </c>
      <c r="AU86" s="126" cm="1">
        <f t="array" ref="AU86">+_xll.EQNXTDZ($A$1,$B86,AU$1,$B$1)</f>
        <v>59895.199999999997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0</v>
      </c>
      <c r="D87" s="126" cm="1">
        <f t="array" ref="D87">+_xll.EQNXTDZ($A$1,$B87,D$1,$B$1)</f>
        <v>0</v>
      </c>
      <c r="E87" s="126" cm="1">
        <f t="array" ref="E87">+_xll.EQNXTDZ($A$1,$B87,E$1,$B$1)</f>
        <v>0</v>
      </c>
      <c r="F87" s="126" cm="1">
        <f t="array" ref="F87">+_xll.EQNXTDZ($A$1,$B87,F$1,$B$1)</f>
        <v>0</v>
      </c>
      <c r="G87" s="126" cm="1">
        <f t="array" ref="G87">+_xll.EQNXTDZ($A$1,$B87,G$1,$B$1)</f>
        <v>0</v>
      </c>
      <c r="H87" s="126" cm="1">
        <f t="array" ref="H87">+_xll.EQNXTDZ($A$1,$B87,H$1,$B$1)</f>
        <v>0</v>
      </c>
      <c r="I87" s="126" cm="1">
        <f t="array" ref="I87">+_xll.EQNXTDZ($A$1,$B87,I$1,$B$1)</f>
        <v>0</v>
      </c>
      <c r="J87" s="126" cm="1">
        <f t="array" ref="J87">+_xll.EQNXTDZ($A$1,$B87,J$1,$B$1)</f>
        <v>0</v>
      </c>
      <c r="K87" s="126" cm="1">
        <f t="array" ref="K87">+_xll.EQNXTDZ($A$1,$B87,K$1,$B$1)</f>
        <v>0</v>
      </c>
      <c r="L87" s="126" cm="1">
        <f t="array" ref="L87">+_xll.EQNXTDZ($A$1,$B87,L$1,$B$1)</f>
        <v>0</v>
      </c>
      <c r="M87" s="126" cm="1">
        <f t="array" ref="M87">+_xll.EQNXTDZ($A$1,$B87,M$1,$B$1)</f>
        <v>0</v>
      </c>
      <c r="N87" s="126" cm="1">
        <f t="array" ref="N87">+_xll.EQNXTDZ($A$1,$B87,N$1,$B$1)</f>
        <v>0</v>
      </c>
      <c r="O87" s="126" cm="1">
        <f t="array" ref="O87">+_xll.EQNXTDZ($A$1,$B87,O$1,$B$1)</f>
        <v>0</v>
      </c>
      <c r="P87" s="126" cm="1">
        <f t="array" ref="P87">+_xll.EQNXTDZ($A$1,$B87,P$1,$B$1)</f>
        <v>0</v>
      </c>
      <c r="Q87" s="126" cm="1">
        <f t="array" ref="Q87">+_xll.EQNXTDZ($A$1,$B87,Q$1,$B$1)</f>
        <v>0</v>
      </c>
      <c r="R87" s="126" cm="1">
        <f t="array" ref="R87">+_xll.EQNXTDZ($A$1,$B87,R$1,$B$1)</f>
        <v>0</v>
      </c>
      <c r="S87" s="126" cm="1">
        <f t="array" ref="S87">+_xll.EQNXTDZ($A$1,$B87,S$1,$B$1)</f>
        <v>0</v>
      </c>
      <c r="T87" s="126" cm="1">
        <f t="array" ref="T87">+_xll.EQNXTDZ($A$1,$B87,T$1,$B$1)</f>
        <v>0</v>
      </c>
      <c r="U87" s="126" cm="1">
        <f t="array" ref="U87">+_xll.EQNXTDZ($A$1,$B87,U$1,$B$1)</f>
        <v>0</v>
      </c>
      <c r="V87" s="126" cm="1">
        <f t="array" ref="V87">+_xll.EQNXTDZ($A$1,$B87,V$1,$B$1)</f>
        <v>0</v>
      </c>
      <c r="W87" s="126" cm="1">
        <f t="array" ref="W87">+_xll.EQNXTDZ($A$1,$B87,W$1,$B$1)</f>
        <v>0</v>
      </c>
      <c r="X87" s="126" cm="1">
        <f t="array" ref="X87">+_xll.EQNXTDZ($A$1,$B87,X$1,$B$1)</f>
        <v>0</v>
      </c>
      <c r="Y87" s="126" cm="1">
        <f t="array" ref="Y87">+_xll.EQNXTDZ($A$1,$B87,Y$1,$B$1)</f>
        <v>0</v>
      </c>
      <c r="Z87" s="126" cm="1">
        <f t="array" ref="Z87">+_xll.EQNXTDZ($A$1,$B87,Z$1,$B$1)</f>
        <v>0</v>
      </c>
      <c r="AA87" s="126" cm="1">
        <f t="array" ref="AA87">+_xll.EQNXTDZ($A$1,$B87,AA$1,$B$1)</f>
        <v>0</v>
      </c>
      <c r="AB87" s="126" cm="1">
        <f t="array" ref="AB87">+_xll.EQNXTDZ($A$1,$B87,AB$1,$B$1)</f>
        <v>0</v>
      </c>
      <c r="AC87" s="126" cm="1">
        <f t="array" ref="AC87">+_xll.EQNXTDZ($A$1,$B87,AC$1,$B$1)</f>
        <v>0</v>
      </c>
      <c r="AD87" s="126" cm="1">
        <f t="array" ref="AD87">+_xll.EQNXTDZ($A$1,$B87,AD$1,$B$1)</f>
        <v>0</v>
      </c>
      <c r="AE87" s="126" cm="1">
        <f t="array" ref="AE87">+_xll.EQNXTDZ($A$1,$B87,AE$1,$B$1)</f>
        <v>0</v>
      </c>
      <c r="AF87" s="126" cm="1">
        <f t="array" ref="AF87">+_xll.EQNXTDZ($A$1,$B87,AF$1,$B$1)</f>
        <v>0</v>
      </c>
      <c r="AG87" s="126" cm="1">
        <f t="array" ref="AG87">+_xll.EQNXTDZ($A$1,$B87,AG$1,$B$1)</f>
        <v>0</v>
      </c>
      <c r="AH87" s="126" cm="1">
        <f t="array" ref="AH87">+_xll.EQNXTDZ($A$1,$B87,AH$1,$B$1)</f>
        <v>0</v>
      </c>
      <c r="AI87" s="126" cm="1">
        <f t="array" ref="AI87">+_xll.EQNXTDZ($A$1,$B87,AI$1,$B$1)</f>
        <v>0</v>
      </c>
      <c r="AJ87" s="126" cm="1">
        <f t="array" ref="AJ87">+_xll.EQNXTDZ($A$1,$B87,AJ$1,$B$1)</f>
        <v>0</v>
      </c>
      <c r="AK87" s="126" cm="1">
        <f t="array" ref="AK87">+_xll.EQNXTDZ($A$1,$B87,AK$1,$B$1)</f>
        <v>0</v>
      </c>
      <c r="AL87" s="126" cm="1">
        <f t="array" ref="AL87">+_xll.EQNXTDZ($A$1,$B87,AL$1,$B$1)</f>
        <v>0</v>
      </c>
      <c r="AM87" s="126" cm="1">
        <f t="array" ref="AM87">+_xll.EQNXTDZ($A$1,$B87,AM$1,$B$1)</f>
        <v>0</v>
      </c>
      <c r="AN87" s="126" cm="1">
        <f t="array" ref="AN87">+_xll.EQNXTDZ($A$1,$B87,AN$1,$B$1)</f>
        <v>0</v>
      </c>
      <c r="AO87" s="126" cm="1">
        <f t="array" ref="AO87">+_xll.EQNXTDZ($A$1,$B87,AO$1,$B$1)</f>
        <v>0</v>
      </c>
      <c r="AP87" s="126" cm="1">
        <f t="array" ref="AP87">+_xll.EQNXTDZ($A$1,$B87,AP$1,$B$1)</f>
        <v>0</v>
      </c>
      <c r="AQ87" s="126" cm="1">
        <f t="array" ref="AQ87">+_xll.EQNXTDZ($A$1,$B87,AQ$1,$B$1)</f>
        <v>439.3</v>
      </c>
      <c r="AR87" s="126" cm="1">
        <f t="array" ref="AR87">+_xll.EQNXTDZ($A$1,$B87,AR$1,$B$1)</f>
        <v>0</v>
      </c>
      <c r="AS87" s="126" cm="1">
        <f t="array" ref="AS87">+_xll.EQNXTDZ($A$1,$B87,AS$1,$B$1)</f>
        <v>220.1</v>
      </c>
      <c r="AT87" s="126" cm="1">
        <f t="array" ref="AT87">+_xll.EQNXTDZ($A$1,$B87,AT$1,$B$1)</f>
        <v>0</v>
      </c>
      <c r="AU87" s="126" cm="1">
        <f t="array" ref="AU87">+_xll.EQNXTDZ($A$1,$B87,AU$1,$B$1)</f>
        <v>179.9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0</v>
      </c>
      <c r="D88" s="126" cm="1">
        <f t="array" ref="D88">+_xll.EQNXTDZ($A$1,$B88,D$1,$B$1)</f>
        <v>0</v>
      </c>
      <c r="E88" s="126" cm="1">
        <f t="array" ref="E88">+_xll.EQNXTDZ($A$1,$B88,E$1,$B$1)</f>
        <v>0</v>
      </c>
      <c r="F88" s="126" cm="1">
        <f t="array" ref="F88">+_xll.EQNXTDZ($A$1,$B88,F$1,$B$1)</f>
        <v>0</v>
      </c>
      <c r="G88" s="126" cm="1">
        <f t="array" ref="G88">+_xll.EQNXTDZ($A$1,$B88,G$1,$B$1)</f>
        <v>0</v>
      </c>
      <c r="H88" s="126" cm="1">
        <f t="array" ref="H88">+_xll.EQNXTDZ($A$1,$B88,H$1,$B$1)</f>
        <v>0</v>
      </c>
      <c r="I88" s="126" cm="1">
        <f t="array" ref="I88">+_xll.EQNXTDZ($A$1,$B88,I$1,$B$1)</f>
        <v>0</v>
      </c>
      <c r="J88" s="126" cm="1">
        <f t="array" ref="J88">+_xll.EQNXTDZ($A$1,$B88,J$1,$B$1)</f>
        <v>0</v>
      </c>
      <c r="K88" s="126" cm="1">
        <f t="array" ref="K88">+_xll.EQNXTDZ($A$1,$B88,K$1,$B$1)</f>
        <v>0</v>
      </c>
      <c r="L88" s="126" cm="1">
        <f t="array" ref="L88">+_xll.EQNXTDZ($A$1,$B88,L$1,$B$1)</f>
        <v>0</v>
      </c>
      <c r="M88" s="126" cm="1">
        <f t="array" ref="M88">+_xll.EQNXTDZ($A$1,$B88,M$1,$B$1)</f>
        <v>0</v>
      </c>
      <c r="N88" s="126" cm="1">
        <f t="array" ref="N88">+_xll.EQNXTDZ($A$1,$B88,N$1,$B$1)</f>
        <v>0</v>
      </c>
      <c r="O88" s="126" cm="1">
        <f t="array" ref="O88">+_xll.EQNXTDZ($A$1,$B88,O$1,$B$1)</f>
        <v>0</v>
      </c>
      <c r="P88" s="126" cm="1">
        <f t="array" ref="P88">+_xll.EQNXTDZ($A$1,$B88,P$1,$B$1)</f>
        <v>0</v>
      </c>
      <c r="Q88" s="126" cm="1">
        <f t="array" ref="Q88">+_xll.EQNXTDZ($A$1,$B88,Q$1,$B$1)</f>
        <v>0</v>
      </c>
      <c r="R88" s="126" cm="1">
        <f t="array" ref="R88">+_xll.EQNXTDZ($A$1,$B88,R$1,$B$1)</f>
        <v>0</v>
      </c>
      <c r="S88" s="126" cm="1">
        <f t="array" ref="S88">+_xll.EQNXTDZ($A$1,$B88,S$1,$B$1)</f>
        <v>0</v>
      </c>
      <c r="T88" s="126" cm="1">
        <f t="array" ref="T88">+_xll.EQNXTDZ($A$1,$B88,T$1,$B$1)</f>
        <v>0</v>
      </c>
      <c r="U88" s="126" cm="1">
        <f t="array" ref="U88">+_xll.EQNXTDZ($A$1,$B88,U$1,$B$1)</f>
        <v>0</v>
      </c>
      <c r="V88" s="126" cm="1">
        <f t="array" ref="V88">+_xll.EQNXTDZ($A$1,$B88,V$1,$B$1)</f>
        <v>0</v>
      </c>
      <c r="W88" s="126" cm="1">
        <f t="array" ref="W88">+_xll.EQNXTDZ($A$1,$B88,W$1,$B$1)</f>
        <v>0</v>
      </c>
      <c r="X88" s="126" cm="1">
        <f t="array" ref="X88">+_xll.EQNXTDZ($A$1,$B88,X$1,$B$1)</f>
        <v>0</v>
      </c>
      <c r="Y88" s="126" cm="1">
        <f t="array" ref="Y88">+_xll.EQNXTDZ($A$1,$B88,Y$1,$B$1)</f>
        <v>0</v>
      </c>
      <c r="Z88" s="126" cm="1">
        <f t="array" ref="Z88">+_xll.EQNXTDZ($A$1,$B88,Z$1,$B$1)</f>
        <v>0</v>
      </c>
      <c r="AA88" s="126" cm="1">
        <f t="array" ref="AA88">+_xll.EQNXTDZ($A$1,$B88,AA$1,$B$1)</f>
        <v>0</v>
      </c>
      <c r="AB88" s="126" cm="1">
        <f t="array" ref="AB88">+_xll.EQNXTDZ($A$1,$B88,AB$1,$B$1)</f>
        <v>0</v>
      </c>
      <c r="AC88" s="126" cm="1">
        <f t="array" ref="AC88">+_xll.EQNXTDZ($A$1,$B88,AC$1,$B$1)</f>
        <v>0</v>
      </c>
      <c r="AD88" s="126" cm="1">
        <f t="array" ref="AD88">+_xll.EQNXTDZ($A$1,$B88,AD$1,$B$1)</f>
        <v>0</v>
      </c>
      <c r="AE88" s="126" cm="1">
        <f t="array" ref="AE88">+_xll.EQNXTDZ($A$1,$B88,AE$1,$B$1)</f>
        <v>0</v>
      </c>
      <c r="AF88" s="126" cm="1">
        <f t="array" ref="AF88">+_xll.EQNXTDZ($A$1,$B88,AF$1,$B$1)</f>
        <v>0</v>
      </c>
      <c r="AG88" s="126" cm="1">
        <f t="array" ref="AG88">+_xll.EQNXTDZ($A$1,$B88,AG$1,$B$1)</f>
        <v>0</v>
      </c>
      <c r="AH88" s="126" cm="1">
        <f t="array" ref="AH88">+_xll.EQNXTDZ($A$1,$B88,AH$1,$B$1)</f>
        <v>0</v>
      </c>
      <c r="AI88" s="126" cm="1">
        <f t="array" ref="AI88">+_xll.EQNXTDZ($A$1,$B88,AI$1,$B$1)</f>
        <v>0</v>
      </c>
      <c r="AJ88" s="126" cm="1">
        <f t="array" ref="AJ88">+_xll.EQNXTDZ($A$1,$B88,AJ$1,$B$1)</f>
        <v>0</v>
      </c>
      <c r="AK88" s="126" cm="1">
        <f t="array" ref="AK88">+_xll.EQNXTDZ($A$1,$B88,AK$1,$B$1)</f>
        <v>0</v>
      </c>
      <c r="AL88" s="126" cm="1">
        <f t="array" ref="AL88">+_xll.EQNXTDZ($A$1,$B88,AL$1,$B$1)</f>
        <v>0</v>
      </c>
      <c r="AM88" s="126" cm="1">
        <f t="array" ref="AM88">+_xll.EQNXTDZ($A$1,$B88,AM$1,$B$1)</f>
        <v>0</v>
      </c>
      <c r="AN88" s="126" cm="1">
        <f t="array" ref="AN88">+_xll.EQNXTDZ($A$1,$B88,AN$1,$B$1)</f>
        <v>0</v>
      </c>
      <c r="AO88" s="126" cm="1">
        <f t="array" ref="AO88">+_xll.EQNXTDZ($A$1,$B88,AO$1,$B$1)</f>
        <v>0</v>
      </c>
      <c r="AP88" s="126" cm="1">
        <f t="array" ref="AP88">+_xll.EQNXTDZ($A$1,$B88,AP$1,$B$1)</f>
        <v>0</v>
      </c>
      <c r="AQ88" s="126" cm="1">
        <f t="array" ref="AQ88">+_xll.EQNXTDZ($A$1,$B88,AQ$1,$B$1)</f>
        <v>49616.1</v>
      </c>
      <c r="AR88" s="126" cm="1">
        <f t="array" ref="AR88">+_xll.EQNXTDZ($A$1,$B88,AR$1,$B$1)</f>
        <v>0</v>
      </c>
      <c r="AS88" s="126" cm="1">
        <f t="array" ref="AS88">+_xll.EQNXTDZ($A$1,$B88,AS$1,$B$1)</f>
        <v>45952.6</v>
      </c>
      <c r="AT88" s="126" cm="1">
        <f t="array" ref="AT88">+_xll.EQNXTDZ($A$1,$B88,AT$1,$B$1)</f>
        <v>0</v>
      </c>
      <c r="AU88" s="126" cm="1">
        <f t="array" ref="AU88">+_xll.EQNXTDZ($A$1,$B88,AU$1,$B$1)</f>
        <v>42021.7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0</v>
      </c>
      <c r="D90" s="126" cm="1">
        <f t="array" ref="D90">+_xll.EQNXTDZ($A$1,$B90,D$1,$B$1)</f>
        <v>0</v>
      </c>
      <c r="E90" s="126" cm="1">
        <f t="array" ref="E90">+_xll.EQNXTDZ($A$1,$B90,E$1,$B$1)</f>
        <v>0</v>
      </c>
      <c r="F90" s="126" cm="1">
        <f t="array" ref="F90">+_xll.EQNXTDZ($A$1,$B90,F$1,$B$1)</f>
        <v>0</v>
      </c>
      <c r="G90" s="126" cm="1">
        <f t="array" ref="G90">+_xll.EQNXTDZ($A$1,$B90,G$1,$B$1)</f>
        <v>0</v>
      </c>
      <c r="H90" s="126" cm="1">
        <f t="array" ref="H90">+_xll.EQNXTDZ($A$1,$B90,H$1,$B$1)</f>
        <v>0</v>
      </c>
      <c r="I90" s="126" cm="1">
        <f t="array" ref="I90">+_xll.EQNXTDZ($A$1,$B90,I$1,$B$1)</f>
        <v>0</v>
      </c>
      <c r="J90" s="126" cm="1">
        <f t="array" ref="J90">+_xll.EQNXTDZ($A$1,$B90,J$1,$B$1)</f>
        <v>0</v>
      </c>
      <c r="K90" s="126" cm="1">
        <f t="array" ref="K90">+_xll.EQNXTDZ($A$1,$B90,K$1,$B$1)</f>
        <v>0</v>
      </c>
      <c r="L90" s="126" cm="1">
        <f t="array" ref="L90">+_xll.EQNXTDZ($A$1,$B90,L$1,$B$1)</f>
        <v>0</v>
      </c>
      <c r="M90" s="126" cm="1">
        <f t="array" ref="M90">+_xll.EQNXTDZ($A$1,$B90,M$1,$B$1)</f>
        <v>0</v>
      </c>
      <c r="N90" s="126" cm="1">
        <f t="array" ref="N90">+_xll.EQNXTDZ($A$1,$B90,N$1,$B$1)</f>
        <v>0</v>
      </c>
      <c r="O90" s="126" cm="1">
        <f t="array" ref="O90">+_xll.EQNXTDZ($A$1,$B90,O$1,$B$1)</f>
        <v>0</v>
      </c>
      <c r="P90" s="126" cm="1">
        <f t="array" ref="P90">+_xll.EQNXTDZ($A$1,$B90,P$1,$B$1)</f>
        <v>0</v>
      </c>
      <c r="Q90" s="126" cm="1">
        <f t="array" ref="Q90">+_xll.EQNXTDZ($A$1,$B90,Q$1,$B$1)</f>
        <v>0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0</v>
      </c>
      <c r="D91" s="126" cm="1">
        <f t="array" ref="D91">+_xll.EQNXTDZ($A$1,$B91,D$1,$B$1)</f>
        <v>0</v>
      </c>
      <c r="E91" s="126" cm="1">
        <f t="array" ref="E91">+_xll.EQNXTDZ($A$1,$B91,E$1,$B$1)</f>
        <v>0</v>
      </c>
      <c r="F91" s="126" cm="1">
        <f t="array" ref="F91">+_xll.EQNXTDZ($A$1,$B91,F$1,$B$1)</f>
        <v>0</v>
      </c>
      <c r="G91" s="126" cm="1">
        <f t="array" ref="G91">+_xll.EQNXTDZ($A$1,$B91,G$1,$B$1)</f>
        <v>0</v>
      </c>
      <c r="H91" s="126" cm="1">
        <f t="array" ref="H91">+_xll.EQNXTDZ($A$1,$B91,H$1,$B$1)</f>
        <v>0</v>
      </c>
      <c r="I91" s="126" cm="1">
        <f t="array" ref="I91">+_xll.EQNXTDZ($A$1,$B91,I$1,$B$1)</f>
        <v>0</v>
      </c>
      <c r="J91" s="126" cm="1">
        <f t="array" ref="J91">+_xll.EQNXTDZ($A$1,$B91,J$1,$B$1)</f>
        <v>0</v>
      </c>
      <c r="K91" s="126" cm="1">
        <f t="array" ref="K91">+_xll.EQNXTDZ($A$1,$B91,K$1,$B$1)</f>
        <v>0</v>
      </c>
      <c r="L91" s="126" cm="1">
        <f t="array" ref="L91">+_xll.EQNXTDZ($A$1,$B91,L$1,$B$1)</f>
        <v>0</v>
      </c>
      <c r="M91" s="126" cm="1">
        <f t="array" ref="M91">+_xll.EQNXTDZ($A$1,$B91,M$1,$B$1)</f>
        <v>0</v>
      </c>
      <c r="N91" s="126" cm="1">
        <f t="array" ref="N91">+_xll.EQNXTDZ($A$1,$B91,N$1,$B$1)</f>
        <v>0</v>
      </c>
      <c r="O91" s="126" cm="1">
        <f t="array" ref="O91">+_xll.EQNXTDZ($A$1,$B91,O$1,$B$1)</f>
        <v>0</v>
      </c>
      <c r="P91" s="126" cm="1">
        <f t="array" ref="P91">+_xll.EQNXTDZ($A$1,$B91,P$1,$B$1)</f>
        <v>0</v>
      </c>
      <c r="Q91" s="126" cm="1">
        <f t="array" ref="Q91">+_xll.EQNXTDZ($A$1,$B91,Q$1,$B$1)</f>
        <v>0</v>
      </c>
      <c r="R91" s="126" cm="1">
        <f t="array" ref="R91">+_xll.EQNXTDZ($A$1,$B91,R$1,$B$1)</f>
        <v>0</v>
      </c>
      <c r="S91" s="126" cm="1">
        <f t="array" ref="S91">+_xll.EQNXTDZ($A$1,$B91,S$1,$B$1)</f>
        <v>0</v>
      </c>
      <c r="T91" s="126" cm="1">
        <f t="array" ref="T91">+_xll.EQNXTDZ($A$1,$B91,T$1,$B$1)</f>
        <v>0</v>
      </c>
      <c r="U91" s="126" cm="1">
        <f t="array" ref="U91">+_xll.EQNXTDZ($A$1,$B91,U$1,$B$1)</f>
        <v>0</v>
      </c>
      <c r="V91" s="126" cm="1">
        <f t="array" ref="V91">+_xll.EQNXTDZ($A$1,$B91,V$1,$B$1)</f>
        <v>0</v>
      </c>
      <c r="W91" s="126" cm="1">
        <f t="array" ref="W91">+_xll.EQNXTDZ($A$1,$B91,W$1,$B$1)</f>
        <v>0</v>
      </c>
      <c r="X91" s="126" cm="1">
        <f t="array" ref="X91">+_xll.EQNXTDZ($A$1,$B91,X$1,$B$1)</f>
        <v>0</v>
      </c>
      <c r="Y91" s="126" cm="1">
        <f t="array" ref="Y91">+_xll.EQNXTDZ($A$1,$B91,Y$1,$B$1)</f>
        <v>0</v>
      </c>
      <c r="Z91" s="126" cm="1">
        <f t="array" ref="Z91">+_xll.EQNXTDZ($A$1,$B91,Z$1,$B$1)</f>
        <v>0</v>
      </c>
      <c r="AA91" s="126" cm="1">
        <f t="array" ref="AA91">+_xll.EQNXTDZ($A$1,$B91,AA$1,$B$1)</f>
        <v>0</v>
      </c>
      <c r="AB91" s="126" cm="1">
        <f t="array" ref="AB91">+_xll.EQNXTDZ($A$1,$B91,AB$1,$B$1)</f>
        <v>0</v>
      </c>
      <c r="AC91" s="126" cm="1">
        <f t="array" ref="AC91">+_xll.EQNXTDZ($A$1,$B91,AC$1,$B$1)</f>
        <v>0</v>
      </c>
      <c r="AD91" s="126" cm="1">
        <f t="array" ref="AD91">+_xll.EQNXTDZ($A$1,$B91,AD$1,$B$1)</f>
        <v>0</v>
      </c>
      <c r="AE91" s="126" cm="1">
        <f t="array" ref="AE91">+_xll.EQNXTDZ($A$1,$B91,AE$1,$B$1)</f>
        <v>0</v>
      </c>
      <c r="AF91" s="126" cm="1">
        <f t="array" ref="AF91">+_xll.EQNXTDZ($A$1,$B91,AF$1,$B$1)</f>
        <v>0</v>
      </c>
      <c r="AG91" s="126" cm="1">
        <f t="array" ref="AG91">+_xll.EQNXTDZ($A$1,$B91,AG$1,$B$1)</f>
        <v>0</v>
      </c>
      <c r="AH91" s="126" cm="1">
        <f t="array" ref="AH91">+_xll.EQNXTDZ($A$1,$B91,AH$1,$B$1)</f>
        <v>0</v>
      </c>
      <c r="AI91" s="126" cm="1">
        <f t="array" ref="AI91">+_xll.EQNXTDZ($A$1,$B91,AI$1,$B$1)</f>
        <v>0</v>
      </c>
      <c r="AJ91" s="126" cm="1">
        <f t="array" ref="AJ91">+_xll.EQNXTDZ($A$1,$B91,AJ$1,$B$1)</f>
        <v>0</v>
      </c>
      <c r="AK91" s="126" cm="1">
        <f t="array" ref="AK91">+_xll.EQNXTDZ($A$1,$B91,AK$1,$B$1)</f>
        <v>0</v>
      </c>
      <c r="AL91" s="126" cm="1">
        <f t="array" ref="AL91">+_xll.EQNXTDZ($A$1,$B91,AL$1,$B$1)</f>
        <v>0</v>
      </c>
      <c r="AM91" s="126" cm="1">
        <f t="array" ref="AM91">+_xll.EQNXTDZ($A$1,$B91,AM$1,$B$1)</f>
        <v>0</v>
      </c>
      <c r="AN91" s="126" cm="1">
        <f t="array" ref="AN91">+_xll.EQNXTDZ($A$1,$B91,AN$1,$B$1)</f>
        <v>0</v>
      </c>
      <c r="AO91" s="126" cm="1">
        <f t="array" ref="AO91">+_xll.EQNXTDZ($A$1,$B91,AO$1,$B$1)</f>
        <v>0</v>
      </c>
      <c r="AP91" s="126" cm="1">
        <f t="array" ref="AP91">+_xll.EQNXTDZ($A$1,$B91,AP$1,$B$1)</f>
        <v>0</v>
      </c>
      <c r="AQ91" s="126" cm="1">
        <f t="array" ref="AQ91">+_xll.EQNXTDZ($A$1,$B91,AQ$1,$B$1)</f>
        <v>92132.6</v>
      </c>
      <c r="AR91" s="126" cm="1">
        <f t="array" ref="AR91">+_xll.EQNXTDZ($A$1,$B91,AR$1,$B$1)</f>
        <v>0</v>
      </c>
      <c r="AS91" s="126" cm="1">
        <f t="array" ref="AS91">+_xll.EQNXTDZ($A$1,$B91,AS$1,$B$1)</f>
        <v>94392.6</v>
      </c>
      <c r="AT91" s="126" cm="1">
        <f t="array" ref="AT91">+_xll.EQNXTDZ($A$1,$B91,AT$1,$B$1)</f>
        <v>0</v>
      </c>
      <c r="AU91" s="126" cm="1">
        <f t="array" ref="AU91">+_xll.EQNXTDZ($A$1,$B91,AU$1,$B$1)</f>
        <v>102096.8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0</v>
      </c>
      <c r="D92" s="126" cm="1">
        <f t="array" ref="D92">+_xll.EQNXTDZ($A$1,$B92,D$1,$B$1)</f>
        <v>0</v>
      </c>
      <c r="E92" s="126" cm="1">
        <f t="array" ref="E92">+_xll.EQNXTDZ($A$1,$B92,E$1,$B$1)</f>
        <v>0</v>
      </c>
      <c r="F92" s="126" cm="1">
        <f t="array" ref="F92">+_xll.EQNXTDZ($A$1,$B92,F$1,$B$1)</f>
        <v>0</v>
      </c>
      <c r="G92" s="126" cm="1">
        <f t="array" ref="G92">+_xll.EQNXTDZ($A$1,$B92,G$1,$B$1)</f>
        <v>0</v>
      </c>
      <c r="H92" s="126" cm="1">
        <f t="array" ref="H92">+_xll.EQNXTDZ($A$1,$B92,H$1,$B$1)</f>
        <v>0</v>
      </c>
      <c r="I92" s="126" cm="1">
        <f t="array" ref="I92">+_xll.EQNXTDZ($A$1,$B92,I$1,$B$1)</f>
        <v>0</v>
      </c>
      <c r="J92" s="126" cm="1">
        <f t="array" ref="J92">+_xll.EQNXTDZ($A$1,$B92,J$1,$B$1)</f>
        <v>0</v>
      </c>
      <c r="K92" s="126" cm="1">
        <f t="array" ref="K92">+_xll.EQNXTDZ($A$1,$B92,K$1,$B$1)</f>
        <v>0</v>
      </c>
      <c r="L92" s="126" cm="1">
        <f t="array" ref="L92">+_xll.EQNXTDZ($A$1,$B92,L$1,$B$1)</f>
        <v>0</v>
      </c>
      <c r="M92" s="126" cm="1">
        <f t="array" ref="M92">+_xll.EQNXTDZ($A$1,$B92,M$1,$B$1)</f>
        <v>0</v>
      </c>
      <c r="N92" s="126" cm="1">
        <f t="array" ref="N92">+_xll.EQNXTDZ($A$1,$B92,N$1,$B$1)</f>
        <v>0</v>
      </c>
      <c r="O92" s="126" cm="1">
        <f t="array" ref="O92">+_xll.EQNXTDZ($A$1,$B92,O$1,$B$1)</f>
        <v>0</v>
      </c>
      <c r="P92" s="126" cm="1">
        <f t="array" ref="P92">+_xll.EQNXTDZ($A$1,$B92,P$1,$B$1)</f>
        <v>0</v>
      </c>
      <c r="Q92" s="126" cm="1">
        <f t="array" ref="Q92">+_xll.EQNXTDZ($A$1,$B92,Q$1,$B$1)</f>
        <v>0</v>
      </c>
      <c r="R92" s="126" cm="1">
        <f t="array" ref="R92">+_xll.EQNXTDZ($A$1,$B92,R$1,$B$1)</f>
        <v>0</v>
      </c>
      <c r="S92" s="126" cm="1">
        <f t="array" ref="S92">+_xll.EQNXTDZ($A$1,$B92,S$1,$B$1)</f>
        <v>0</v>
      </c>
      <c r="T92" s="126" cm="1">
        <f t="array" ref="T92">+_xll.EQNXTDZ($A$1,$B92,T$1,$B$1)</f>
        <v>0</v>
      </c>
      <c r="U92" s="126" cm="1">
        <f t="array" ref="U92">+_xll.EQNXTDZ($A$1,$B92,U$1,$B$1)</f>
        <v>0</v>
      </c>
      <c r="V92" s="126" cm="1">
        <f t="array" ref="V92">+_xll.EQNXTDZ($A$1,$B92,V$1,$B$1)</f>
        <v>0</v>
      </c>
      <c r="W92" s="126" cm="1">
        <f t="array" ref="W92">+_xll.EQNXTDZ($A$1,$B92,W$1,$B$1)</f>
        <v>0</v>
      </c>
      <c r="X92" s="126" cm="1">
        <f t="array" ref="X92">+_xll.EQNXTDZ($A$1,$B92,X$1,$B$1)</f>
        <v>0</v>
      </c>
      <c r="Y92" s="126" cm="1">
        <f t="array" ref="Y92">+_xll.EQNXTDZ($A$1,$B92,Y$1,$B$1)</f>
        <v>0</v>
      </c>
      <c r="Z92" s="126" cm="1">
        <f t="array" ref="Z92">+_xll.EQNXTDZ($A$1,$B92,Z$1,$B$1)</f>
        <v>0</v>
      </c>
      <c r="AA92" s="126" cm="1">
        <f t="array" ref="AA92">+_xll.EQNXTDZ($A$1,$B92,AA$1,$B$1)</f>
        <v>0</v>
      </c>
      <c r="AB92" s="126" cm="1">
        <f t="array" ref="AB92">+_xll.EQNXTDZ($A$1,$B92,AB$1,$B$1)</f>
        <v>0</v>
      </c>
      <c r="AC92" s="126" cm="1">
        <f t="array" ref="AC92">+_xll.EQNXTDZ($A$1,$B92,AC$1,$B$1)</f>
        <v>0</v>
      </c>
      <c r="AD92" s="126" cm="1">
        <f t="array" ref="AD92">+_xll.EQNXTDZ($A$1,$B92,AD$1,$B$1)</f>
        <v>0</v>
      </c>
      <c r="AE92" s="126" cm="1">
        <f t="array" ref="AE92">+_xll.EQNXTDZ($A$1,$B92,AE$1,$B$1)</f>
        <v>0</v>
      </c>
      <c r="AF92" s="126" cm="1">
        <f t="array" ref="AF92">+_xll.EQNXTDZ($A$1,$B92,AF$1,$B$1)</f>
        <v>0</v>
      </c>
      <c r="AG92" s="126" cm="1">
        <f t="array" ref="AG92">+_xll.EQNXTDZ($A$1,$B92,AG$1,$B$1)</f>
        <v>0</v>
      </c>
      <c r="AH92" s="126" cm="1">
        <f t="array" ref="AH92">+_xll.EQNXTDZ($A$1,$B92,AH$1,$B$1)</f>
        <v>0</v>
      </c>
      <c r="AI92" s="126" cm="1">
        <f t="array" ref="AI92">+_xll.EQNXTDZ($A$1,$B92,AI$1,$B$1)</f>
        <v>0</v>
      </c>
      <c r="AJ92" s="126" cm="1">
        <f t="array" ref="AJ92">+_xll.EQNXTDZ($A$1,$B92,AJ$1,$B$1)</f>
        <v>0</v>
      </c>
      <c r="AK92" s="126" cm="1">
        <f t="array" ref="AK92">+_xll.EQNXTDZ($A$1,$B92,AK$1,$B$1)</f>
        <v>0</v>
      </c>
      <c r="AL92" s="126" cm="1">
        <f t="array" ref="AL92">+_xll.EQNXTDZ($A$1,$B92,AL$1,$B$1)</f>
        <v>0</v>
      </c>
      <c r="AM92" s="126" cm="1">
        <f t="array" ref="AM92">+_xll.EQNXTDZ($A$1,$B92,AM$1,$B$1)</f>
        <v>0</v>
      </c>
      <c r="AN92" s="126" cm="1">
        <f t="array" ref="AN92">+_xll.EQNXTDZ($A$1,$B92,AN$1,$B$1)</f>
        <v>0</v>
      </c>
      <c r="AO92" s="126" cm="1">
        <f t="array" ref="AO92">+_xll.EQNXTDZ($A$1,$B92,AO$1,$B$1)</f>
        <v>0</v>
      </c>
      <c r="AP92" s="126" cm="1">
        <f t="array" ref="AP92">+_xll.EQNXTDZ($A$1,$B92,AP$1,$B$1)</f>
        <v>0</v>
      </c>
      <c r="AQ92" s="126" cm="1">
        <f t="array" ref="AQ92">+_xll.EQNXTDZ($A$1,$B92,AQ$1,$B$1)</f>
        <v>14635.7</v>
      </c>
      <c r="AR92" s="126" cm="1">
        <f t="array" ref="AR92">+_xll.EQNXTDZ($A$1,$B92,AR$1,$B$1)</f>
        <v>0</v>
      </c>
      <c r="AS92" s="126" cm="1">
        <f t="array" ref="AS92">+_xll.EQNXTDZ($A$1,$B92,AS$1,$B$1)</f>
        <v>18562.900000000001</v>
      </c>
      <c r="AT92" s="126" cm="1">
        <f t="array" ref="AT92">+_xll.EQNXTDZ($A$1,$B92,AT$1,$B$1)</f>
        <v>0</v>
      </c>
      <c r="AU92" s="126" cm="1">
        <f t="array" ref="AU92">+_xll.EQNXTDZ($A$1,$B92,AU$1,$B$1)</f>
        <v>19702.599999999999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0</v>
      </c>
      <c r="D94" s="126" cm="1">
        <f t="array" ref="D94">+_xll.EQNXTDZ($A$1,$B94,D$1,$B$1)</f>
        <v>0</v>
      </c>
      <c r="E94" s="126" cm="1">
        <f t="array" ref="E94">+_xll.EQNXTDZ($A$1,$B94,E$1,$B$1)</f>
        <v>0</v>
      </c>
      <c r="F94" s="126" cm="1">
        <f t="array" ref="F94">+_xll.EQNXTDZ($A$1,$B94,F$1,$B$1)</f>
        <v>0</v>
      </c>
      <c r="G94" s="126" cm="1">
        <f t="array" ref="G94">+_xll.EQNXTDZ($A$1,$B94,G$1,$B$1)</f>
        <v>0</v>
      </c>
      <c r="H94" s="126" cm="1">
        <f t="array" ref="H94">+_xll.EQNXTDZ($A$1,$B94,H$1,$B$1)</f>
        <v>0</v>
      </c>
      <c r="I94" s="126" cm="1">
        <f t="array" ref="I94">+_xll.EQNXTDZ($A$1,$B94,I$1,$B$1)</f>
        <v>0</v>
      </c>
      <c r="J94" s="126" cm="1">
        <f t="array" ref="J94">+_xll.EQNXTDZ($A$1,$B94,J$1,$B$1)</f>
        <v>0</v>
      </c>
      <c r="K94" s="126" cm="1">
        <f t="array" ref="K94">+_xll.EQNXTDZ($A$1,$B94,K$1,$B$1)</f>
        <v>0</v>
      </c>
      <c r="L94" s="126" cm="1">
        <f t="array" ref="L94">+_xll.EQNXTDZ($A$1,$B94,L$1,$B$1)</f>
        <v>0</v>
      </c>
      <c r="M94" s="126" cm="1">
        <f t="array" ref="M94">+_xll.EQNXTDZ($A$1,$B94,M$1,$B$1)</f>
        <v>0</v>
      </c>
      <c r="N94" s="126" cm="1">
        <f t="array" ref="N94">+_xll.EQNXTDZ($A$1,$B94,N$1,$B$1)</f>
        <v>0</v>
      </c>
      <c r="O94" s="126" cm="1">
        <f t="array" ref="O94">+_xll.EQNXTDZ($A$1,$B94,O$1,$B$1)</f>
        <v>0</v>
      </c>
      <c r="P94" s="126" cm="1">
        <f t="array" ref="P94">+_xll.EQNXTDZ($A$1,$B94,P$1,$B$1)</f>
        <v>0</v>
      </c>
      <c r="Q94" s="126" cm="1">
        <f t="array" ref="Q94">+_xll.EQNXTDZ($A$1,$B94,Q$1,$B$1)</f>
        <v>0</v>
      </c>
      <c r="R94" s="126" cm="1">
        <f t="array" ref="R94">+_xll.EQNXTDZ($A$1,$B94,R$1,$B$1)</f>
        <v>0</v>
      </c>
      <c r="S94" s="126" cm="1">
        <f t="array" ref="S94">+_xll.EQNXTDZ($A$1,$B94,S$1,$B$1)</f>
        <v>0</v>
      </c>
      <c r="T94" s="126" cm="1">
        <f t="array" ref="T94">+_xll.EQNXTDZ($A$1,$B94,T$1,$B$1)</f>
        <v>0</v>
      </c>
      <c r="U94" s="126" cm="1">
        <f t="array" ref="U94">+_xll.EQNXTDZ($A$1,$B94,U$1,$B$1)</f>
        <v>0</v>
      </c>
      <c r="V94" s="126" cm="1">
        <f t="array" ref="V94">+_xll.EQNXTDZ($A$1,$B94,V$1,$B$1)</f>
        <v>0</v>
      </c>
      <c r="W94" s="126" cm="1">
        <f t="array" ref="W94">+_xll.EQNXTDZ($A$1,$B94,W$1,$B$1)</f>
        <v>0</v>
      </c>
      <c r="X94" s="126" cm="1">
        <f t="array" ref="X94">+_xll.EQNXTDZ($A$1,$B94,X$1,$B$1)</f>
        <v>0</v>
      </c>
      <c r="Y94" s="126" cm="1">
        <f t="array" ref="Y94">+_xll.EQNXTDZ($A$1,$B94,Y$1,$B$1)</f>
        <v>0</v>
      </c>
      <c r="Z94" s="126" cm="1">
        <f t="array" ref="Z94">+_xll.EQNXTDZ($A$1,$B94,Z$1,$B$1)</f>
        <v>0</v>
      </c>
      <c r="AA94" s="126" cm="1">
        <f t="array" ref="AA94">+_xll.EQNXTDZ($A$1,$B94,AA$1,$B$1)</f>
        <v>0</v>
      </c>
      <c r="AB94" s="126" cm="1">
        <f t="array" ref="AB94">+_xll.EQNXTDZ($A$1,$B94,AB$1,$B$1)</f>
        <v>0</v>
      </c>
      <c r="AC94" s="126" cm="1">
        <f t="array" ref="AC94">+_xll.EQNXTDZ($A$1,$B94,AC$1,$B$1)</f>
        <v>0</v>
      </c>
      <c r="AD94" s="126" cm="1">
        <f t="array" ref="AD94">+_xll.EQNXTDZ($A$1,$B94,AD$1,$B$1)</f>
        <v>0</v>
      </c>
      <c r="AE94" s="126" cm="1">
        <f t="array" ref="AE94">+_xll.EQNXTDZ($A$1,$B94,AE$1,$B$1)</f>
        <v>0</v>
      </c>
      <c r="AF94" s="126" cm="1">
        <f t="array" ref="AF94">+_xll.EQNXTDZ($A$1,$B94,AF$1,$B$1)</f>
        <v>0</v>
      </c>
      <c r="AG94" s="126" cm="1">
        <f t="array" ref="AG94">+_xll.EQNXTDZ($A$1,$B94,AG$1,$B$1)</f>
        <v>0</v>
      </c>
      <c r="AH94" s="126" cm="1">
        <f t="array" ref="AH94">+_xll.EQNXTDZ($A$1,$B94,AH$1,$B$1)</f>
        <v>0</v>
      </c>
      <c r="AI94" s="126" cm="1">
        <f t="array" ref="AI94">+_xll.EQNXTDZ($A$1,$B94,AI$1,$B$1)</f>
        <v>0</v>
      </c>
      <c r="AJ94" s="126" cm="1">
        <f t="array" ref="AJ94">+_xll.EQNXTDZ($A$1,$B94,AJ$1,$B$1)</f>
        <v>0</v>
      </c>
      <c r="AK94" s="126" cm="1">
        <f t="array" ref="AK94">+_xll.EQNXTDZ($A$1,$B94,AK$1,$B$1)</f>
        <v>0</v>
      </c>
      <c r="AL94" s="126" cm="1">
        <f t="array" ref="AL94">+_xll.EQNXTDZ($A$1,$B94,AL$1,$B$1)</f>
        <v>0</v>
      </c>
      <c r="AM94" s="126" cm="1">
        <f t="array" ref="AM94">+_xll.EQNXTDZ($A$1,$B94,AM$1,$B$1)</f>
        <v>0</v>
      </c>
      <c r="AN94" s="126" cm="1">
        <f t="array" ref="AN94">+_xll.EQNXTDZ($A$1,$B94,AN$1,$B$1)</f>
        <v>0</v>
      </c>
      <c r="AO94" s="126" cm="1">
        <f t="array" ref="AO94">+_xll.EQNXTDZ($A$1,$B94,AO$1,$B$1)</f>
        <v>0</v>
      </c>
      <c r="AP94" s="126" cm="1">
        <f t="array" ref="AP94">+_xll.EQNXTDZ($A$1,$B94,AP$1,$B$1)</f>
        <v>0</v>
      </c>
      <c r="AQ94" s="126" cm="1">
        <f t="array" ref="AQ94">+_xll.EQNXTDZ($A$1,$B94,AQ$1,$B$1)</f>
        <v>883.2</v>
      </c>
      <c r="AR94" s="126" cm="1">
        <f t="array" ref="AR94">+_xll.EQNXTDZ($A$1,$B94,AR$1,$B$1)</f>
        <v>0</v>
      </c>
      <c r="AS94" s="126" cm="1">
        <f t="array" ref="AS94">+_xll.EQNXTDZ($A$1,$B94,AS$1,$B$1)</f>
        <v>930.1</v>
      </c>
      <c r="AT94" s="126" cm="1">
        <f t="array" ref="AT94">+_xll.EQNXTDZ($A$1,$B94,AT$1,$B$1)</f>
        <v>0</v>
      </c>
      <c r="AU94" s="126" cm="1">
        <f t="array" ref="AU94">+_xll.EQNXTDZ($A$1,$B94,AU$1,$B$1)</f>
        <v>943.1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0</v>
      </c>
      <c r="D95" s="126" cm="1">
        <f t="array" ref="D95">+_xll.EQNXTDZ($A$1,$B95,D$1,$B$1)</f>
        <v>0</v>
      </c>
      <c r="E95" s="126" cm="1">
        <f t="array" ref="E95">+_xll.EQNXTDZ($A$1,$B95,E$1,$B$1)</f>
        <v>0</v>
      </c>
      <c r="F95" s="126" cm="1">
        <f t="array" ref="F95">+_xll.EQNXTDZ($A$1,$B95,F$1,$B$1)</f>
        <v>0</v>
      </c>
      <c r="G95" s="126" cm="1">
        <f t="array" ref="G95">+_xll.EQNXTDZ($A$1,$B95,G$1,$B$1)</f>
        <v>0</v>
      </c>
      <c r="H95" s="126" cm="1">
        <f t="array" ref="H95">+_xll.EQNXTDZ($A$1,$B95,H$1,$B$1)</f>
        <v>0</v>
      </c>
      <c r="I95" s="126" cm="1">
        <f t="array" ref="I95">+_xll.EQNXTDZ($A$1,$B95,I$1,$B$1)</f>
        <v>0</v>
      </c>
      <c r="J95" s="126" cm="1">
        <f t="array" ref="J95">+_xll.EQNXTDZ($A$1,$B95,J$1,$B$1)</f>
        <v>0</v>
      </c>
      <c r="K95" s="126" cm="1">
        <f t="array" ref="K95">+_xll.EQNXTDZ($A$1,$B95,K$1,$B$1)</f>
        <v>0</v>
      </c>
      <c r="L95" s="126" cm="1">
        <f t="array" ref="L95">+_xll.EQNXTDZ($A$1,$B95,L$1,$B$1)</f>
        <v>0</v>
      </c>
      <c r="M95" s="126" cm="1">
        <f t="array" ref="M95">+_xll.EQNXTDZ($A$1,$B95,M$1,$B$1)</f>
        <v>0</v>
      </c>
      <c r="N95" s="126" cm="1">
        <f t="array" ref="N95">+_xll.EQNXTDZ($A$1,$B95,N$1,$B$1)</f>
        <v>0</v>
      </c>
      <c r="O95" s="126" cm="1">
        <f t="array" ref="O95">+_xll.EQNXTDZ($A$1,$B95,O$1,$B$1)</f>
        <v>0</v>
      </c>
      <c r="P95" s="126" cm="1">
        <f t="array" ref="P95">+_xll.EQNXTDZ($A$1,$B95,P$1,$B$1)</f>
        <v>0</v>
      </c>
      <c r="Q95" s="126" cm="1">
        <f t="array" ref="Q95">+_xll.EQNXTDZ($A$1,$B95,Q$1,$B$1)</f>
        <v>0</v>
      </c>
      <c r="R95" s="126" cm="1">
        <f t="array" ref="R95">+_xll.EQNXTDZ($A$1,$B95,R$1,$B$1)</f>
        <v>0</v>
      </c>
      <c r="S95" s="126" cm="1">
        <f t="array" ref="S95">+_xll.EQNXTDZ($A$1,$B95,S$1,$B$1)</f>
        <v>0</v>
      </c>
      <c r="T95" s="126" cm="1">
        <f t="array" ref="T95">+_xll.EQNXTDZ($A$1,$B95,T$1,$B$1)</f>
        <v>0</v>
      </c>
      <c r="U95" s="126" cm="1">
        <f t="array" ref="U95">+_xll.EQNXTDZ($A$1,$B95,U$1,$B$1)</f>
        <v>0</v>
      </c>
      <c r="V95" s="126" cm="1">
        <f t="array" ref="V95">+_xll.EQNXTDZ($A$1,$B95,V$1,$B$1)</f>
        <v>0</v>
      </c>
      <c r="W95" s="126" cm="1">
        <f t="array" ref="W95">+_xll.EQNXTDZ($A$1,$B95,W$1,$B$1)</f>
        <v>0</v>
      </c>
      <c r="X95" s="126" cm="1">
        <f t="array" ref="X95">+_xll.EQNXTDZ($A$1,$B95,X$1,$B$1)</f>
        <v>0</v>
      </c>
      <c r="Y95" s="126" cm="1">
        <f t="array" ref="Y95">+_xll.EQNXTDZ($A$1,$B95,Y$1,$B$1)</f>
        <v>0</v>
      </c>
      <c r="Z95" s="126" cm="1">
        <f t="array" ref="Z95">+_xll.EQNXTDZ($A$1,$B95,Z$1,$B$1)</f>
        <v>0</v>
      </c>
      <c r="AA95" s="126" cm="1">
        <f t="array" ref="AA95">+_xll.EQNXTDZ($A$1,$B95,AA$1,$B$1)</f>
        <v>0</v>
      </c>
      <c r="AB95" s="126" cm="1">
        <f t="array" ref="AB95">+_xll.EQNXTDZ($A$1,$B95,AB$1,$B$1)</f>
        <v>0</v>
      </c>
      <c r="AC95" s="126" cm="1">
        <f t="array" ref="AC95">+_xll.EQNXTDZ($A$1,$B95,AC$1,$B$1)</f>
        <v>0</v>
      </c>
      <c r="AD95" s="126" cm="1">
        <f t="array" ref="AD95">+_xll.EQNXTDZ($A$1,$B95,AD$1,$B$1)</f>
        <v>0</v>
      </c>
      <c r="AE95" s="126" cm="1">
        <f t="array" ref="AE95">+_xll.EQNXTDZ($A$1,$B95,AE$1,$B$1)</f>
        <v>0</v>
      </c>
      <c r="AF95" s="126" cm="1">
        <f t="array" ref="AF95">+_xll.EQNXTDZ($A$1,$B95,AF$1,$B$1)</f>
        <v>0</v>
      </c>
      <c r="AG95" s="126" cm="1">
        <f t="array" ref="AG95">+_xll.EQNXTDZ($A$1,$B95,AG$1,$B$1)</f>
        <v>0</v>
      </c>
      <c r="AH95" s="126" cm="1">
        <f t="array" ref="AH95">+_xll.EQNXTDZ($A$1,$B95,AH$1,$B$1)</f>
        <v>0</v>
      </c>
      <c r="AI95" s="126" cm="1">
        <f t="array" ref="AI95">+_xll.EQNXTDZ($A$1,$B95,AI$1,$B$1)</f>
        <v>0</v>
      </c>
      <c r="AJ95" s="126" cm="1">
        <f t="array" ref="AJ95">+_xll.EQNXTDZ($A$1,$B95,AJ$1,$B$1)</f>
        <v>0</v>
      </c>
      <c r="AK95" s="126" cm="1">
        <f t="array" ref="AK95">+_xll.EQNXTDZ($A$1,$B95,AK$1,$B$1)</f>
        <v>0</v>
      </c>
      <c r="AL95" s="126" cm="1">
        <f t="array" ref="AL95">+_xll.EQNXTDZ($A$1,$B95,AL$1,$B$1)</f>
        <v>0</v>
      </c>
      <c r="AM95" s="126" cm="1">
        <f t="array" ref="AM95">+_xll.EQNXTDZ($A$1,$B95,AM$1,$B$1)</f>
        <v>0</v>
      </c>
      <c r="AN95" s="126" cm="1">
        <f t="array" ref="AN95">+_xll.EQNXTDZ($A$1,$B95,AN$1,$B$1)</f>
        <v>0</v>
      </c>
      <c r="AO95" s="126" cm="1">
        <f t="array" ref="AO95">+_xll.EQNXTDZ($A$1,$B95,AO$1,$B$1)</f>
        <v>0</v>
      </c>
      <c r="AP95" s="126" cm="1">
        <f t="array" ref="AP95">+_xll.EQNXTDZ($A$1,$B95,AP$1,$B$1)</f>
        <v>0</v>
      </c>
      <c r="AQ95" s="126" cm="1">
        <f t="array" ref="AQ95">+_xll.EQNXTDZ($A$1,$B95,AQ$1,$B$1)</f>
        <v>16530.7</v>
      </c>
      <c r="AR95" s="126" cm="1">
        <f t="array" ref="AR95">+_xll.EQNXTDZ($A$1,$B95,AR$1,$B$1)</f>
        <v>0</v>
      </c>
      <c r="AS95" s="126" cm="1">
        <f t="array" ref="AS95">+_xll.EQNXTDZ($A$1,$B95,AS$1,$B$1)</f>
        <v>20381.400000000001</v>
      </c>
      <c r="AT95" s="126" cm="1">
        <f t="array" ref="AT95">+_xll.EQNXTDZ($A$1,$B95,AT$1,$B$1)</f>
        <v>0</v>
      </c>
      <c r="AU95" s="126" cm="1">
        <f t="array" ref="AU95">+_xll.EQNXTDZ($A$1,$B95,AU$1,$B$1)</f>
        <v>21554.7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218756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835</v>
      </c>
      <c r="FE6" cm="1">
        <f t="array" ref="FE6">_xll.EQNXTDZ($A$1,$B6,FE$1)</f>
        <v>758.55</v>
      </c>
      <c r="FF6" cm="1">
        <f t="array" ref="FF6">_xll.EQNXTDZ($A$1,$B6,FF$1)</f>
        <v>778.2</v>
      </c>
      <c r="FG6" cm="1">
        <f t="array" ref="FG6">_xll.EQNXTDZ($A$1,$B6,FG$1)</f>
        <v>752</v>
      </c>
      <c r="FH6" cm="1">
        <f t="array" ref="FH6">_xll.EQNXTDZ($A$1,$B6,FH$1)</f>
        <v>730.95</v>
      </c>
      <c r="FI6" cm="1">
        <f t="array" ref="FI6">_xll.EQNXTDZ($A$1,$B6,FI$1)</f>
        <v>769.9</v>
      </c>
      <c r="FJ6" cm="1">
        <f t="array" ref="FJ6">_xll.EQNXTDZ($A$1,$B6,FJ$1)</f>
        <v>766</v>
      </c>
      <c r="FK6" cm="1">
        <f t="array" ref="FK6">_xll.EQNXTDZ($A$1,$B6,FK$1)</f>
        <v>707.4</v>
      </c>
      <c r="FL6" cm="1">
        <f t="array" ref="FL6">_xll.EQNXTDZ($A$1,$B6,FL$1)</f>
        <v>685.05</v>
      </c>
      <c r="FM6" cm="1">
        <f t="array" ref="FM6">_xll.EQNXTDZ($A$1,$B6,FM$1)</f>
        <v>574</v>
      </c>
      <c r="FN6" cm="1">
        <f t="array" ref="FN6">_xll.EQNXTDZ($A$1,$B6,FN$1)</f>
        <v>657.95</v>
      </c>
      <c r="FO6" cm="1">
        <f t="array" ref="FO6">_xll.EQNXTDZ($A$1,$B6,FO$1)</f>
        <v>665.85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0</v>
      </c>
      <c r="BZ7" s="107" cm="1">
        <f t="array" ref="BZ7">_xll.EQNXTDZ($A$1,$B7,BZ$1)</f>
        <v>0</v>
      </c>
      <c r="CA7" s="107" cm="1">
        <f t="array" ref="CA7">_xll.EQNXTDZ($A$1,$B7,CA$1)</f>
        <v>0</v>
      </c>
      <c r="CB7" s="107" cm="1">
        <f t="array" ref="CB7">_xll.EQNXTDZ($A$1,$B7,CB$1)</f>
        <v>0</v>
      </c>
      <c r="CC7" s="107" cm="1">
        <f t="array" ref="CC7">_xll.EQNXTDZ($A$1,$B7,CC$1)</f>
        <v>0</v>
      </c>
      <c r="CD7" s="107" cm="1">
        <f t="array" ref="CD7">_xll.EQNXTDZ($A$1,$B7,CD$1)</f>
        <v>0</v>
      </c>
      <c r="CE7" s="107" cm="1">
        <f t="array" ref="CE7">_xll.EQNXTDZ($A$1,$B7,CE$1)</f>
        <v>0</v>
      </c>
      <c r="CF7" s="107" cm="1">
        <f t="array" ref="CF7">_xll.EQNXTDZ($A$1,$B7,CF$1)</f>
        <v>0</v>
      </c>
      <c r="CG7" s="107" cm="1">
        <f t="array" ref="CG7">_xll.EQNXTDZ($A$1,$B7,CG$1)</f>
        <v>0</v>
      </c>
      <c r="CH7" s="107" cm="1">
        <f t="array" ref="CH7">_xll.EQNXTDZ($A$1,$B7,CH$1)</f>
        <v>0</v>
      </c>
      <c r="CI7" s="107" cm="1">
        <f t="array" ref="CI7">_xll.EQNXTDZ($A$1,$B7,CI$1)</f>
        <v>0</v>
      </c>
      <c r="CJ7" s="107" cm="1">
        <f t="array" ref="CJ7">_xll.EQNXTDZ($A$1,$B7,CJ$1)</f>
        <v>0</v>
      </c>
      <c r="CK7" s="107" cm="1">
        <f t="array" ref="CK7">_xll.EQNXTDZ($A$1,$B7,CK$1)</f>
        <v>0</v>
      </c>
      <c r="CL7" s="107" cm="1">
        <f t="array" ref="CL7">_xll.EQNXTDZ($A$1,$B7,CL$1)</f>
        <v>0</v>
      </c>
      <c r="CM7" s="107" cm="1">
        <f t="array" ref="CM7">_xll.EQNXTDZ($A$1,$B7,CM$1)</f>
        <v>0</v>
      </c>
      <c r="CN7" s="107" cm="1">
        <f t="array" ref="CN7">_xll.EQNXTDZ($A$1,$B7,CN$1)</f>
        <v>0</v>
      </c>
      <c r="CO7" s="107" cm="1">
        <f t="array" ref="CO7">_xll.EQNXTDZ($A$1,$B7,CO$1)</f>
        <v>0</v>
      </c>
      <c r="CP7" s="107" cm="1">
        <f t="array" ref="CP7">_xll.EQNXTDZ($A$1,$B7,CP$1)</f>
        <v>0</v>
      </c>
      <c r="CQ7" s="107" cm="1">
        <f t="array" ref="CQ7">_xll.EQNXTDZ($A$1,$B7,CQ$1)</f>
        <v>0</v>
      </c>
      <c r="CR7" s="107" cm="1">
        <f t="array" ref="CR7">_xll.EQNXTDZ($A$1,$B7,CR$1)</f>
        <v>0</v>
      </c>
      <c r="CS7" s="107" cm="1">
        <f t="array" ref="CS7">_xll.EQNXTDZ($A$1,$B7,CS$1)</f>
        <v>0</v>
      </c>
      <c r="CT7" s="107" cm="1">
        <f t="array" ref="CT7">_xll.EQNXTDZ($A$1,$B7,CT$1)</f>
        <v>0</v>
      </c>
      <c r="CU7" s="107" cm="1">
        <f t="array" ref="CU7">_xll.EQNXTDZ($A$1,$B7,CU$1)</f>
        <v>0</v>
      </c>
      <c r="CV7" s="107" cm="1">
        <f t="array" ref="CV7">_xll.EQNXTDZ($A$1,$B7,CV$1)</f>
        <v>0</v>
      </c>
      <c r="CW7" s="107" cm="1">
        <f t="array" ref="CW7">_xll.EQNXTDZ($A$1,$B7,CW$1)</f>
        <v>0</v>
      </c>
      <c r="CX7" s="107" cm="1">
        <f t="array" ref="CX7">_xll.EQNXTDZ($A$1,$B7,CX$1)</f>
        <v>0</v>
      </c>
      <c r="CY7" s="107" cm="1">
        <f t="array" ref="CY7">_xll.EQNXTDZ($A$1,$B7,CY$1)</f>
        <v>0</v>
      </c>
      <c r="CZ7" s="107" cm="1">
        <f t="array" ref="CZ7">_xll.EQNXTDZ($A$1,$B7,CZ$1)</f>
        <v>0</v>
      </c>
      <c r="DA7" s="107" cm="1">
        <f t="array" ref="DA7">_xll.EQNXTDZ($A$1,$B7,DA$1)</f>
        <v>0</v>
      </c>
      <c r="DB7" s="107" cm="1">
        <f t="array" ref="DB7">_xll.EQNXTDZ($A$1,$B7,DB$1)</f>
        <v>0</v>
      </c>
      <c r="DC7" s="107" cm="1">
        <f t="array" ref="DC7">_xll.EQNXTDZ($A$1,$B7,DC$1)</f>
        <v>0</v>
      </c>
      <c r="DD7" s="107" cm="1">
        <f t="array" ref="DD7">_xll.EQNXTDZ($A$1,$B7,DD$1)</f>
        <v>0</v>
      </c>
      <c r="DE7" s="107" cm="1">
        <f t="array" ref="DE7">_xll.EQNXTDZ($A$1,$B7,DE$1)</f>
        <v>0</v>
      </c>
      <c r="DF7" s="107" cm="1">
        <f t="array" ref="DF7">_xll.EQNXTDZ($A$1,$B7,DF$1)</f>
        <v>0</v>
      </c>
      <c r="DG7" s="107" cm="1">
        <f t="array" ref="DG7">_xll.EQNXTDZ($A$1,$B7,DG$1)</f>
        <v>0</v>
      </c>
      <c r="DH7" s="107" cm="1">
        <f t="array" ref="DH7">_xll.EQNXTDZ($A$1,$B7,DH$1)</f>
        <v>0</v>
      </c>
      <c r="DI7" s="107" cm="1">
        <f t="array" ref="DI7">_xll.EQNXTDZ($A$1,$B7,DI$1)</f>
        <v>0</v>
      </c>
      <c r="DJ7" s="107" cm="1">
        <f t="array" ref="DJ7">_xll.EQNXTDZ($A$1,$B7,DJ$1)</f>
        <v>0</v>
      </c>
      <c r="DK7" s="107" cm="1">
        <f t="array" ref="DK7">_xll.EQNXTDZ($A$1,$B7,DK$1)</f>
        <v>0</v>
      </c>
      <c r="DL7" s="107" cm="1">
        <f t="array" ref="DL7">_xll.EQNXTDZ($A$1,$B7,DL$1)</f>
        <v>0</v>
      </c>
      <c r="DM7" s="107" cm="1">
        <f t="array" ref="DM7">_xll.EQNXTDZ($A$1,$B7,DM$1)</f>
        <v>0</v>
      </c>
      <c r="DN7" s="107" cm="1">
        <f t="array" ref="DN7">_xll.EQNXTDZ($A$1,$B7,DN$1)</f>
        <v>0</v>
      </c>
      <c r="DO7" s="107" cm="1">
        <f t="array" ref="DO7">_xll.EQNXTDZ($A$1,$B7,DO$1)</f>
        <v>0</v>
      </c>
      <c r="DP7" s="107" cm="1">
        <f t="array" ref="DP7">_xll.EQNXTDZ($A$1,$B7,DP$1)</f>
        <v>0</v>
      </c>
      <c r="DQ7" s="107" cm="1">
        <f t="array" ref="DQ7">_xll.EQNXTDZ($A$1,$B7,DQ$1)</f>
        <v>0</v>
      </c>
      <c r="DR7" s="107" cm="1">
        <f t="array" ref="DR7">_xll.EQNXTDZ($A$1,$B7,DR$1)</f>
        <v>0</v>
      </c>
      <c r="DS7" s="107" cm="1">
        <f t="array" ref="DS7">_xll.EQNXTDZ($A$1,$B7,DS$1)</f>
        <v>0</v>
      </c>
      <c r="DT7" s="107" cm="1">
        <f t="array" ref="DT7">_xll.EQNXTDZ($A$1,$B7,DT$1)</f>
        <v>0</v>
      </c>
      <c r="DU7" s="107" cm="1">
        <f t="array" ref="DU7">_xll.EQNXTDZ($A$1,$B7,DU$1)</f>
        <v>0</v>
      </c>
      <c r="DV7" s="107" cm="1">
        <f t="array" ref="DV7">_xll.EQNXTDZ($A$1,$B7,DV$1)</f>
        <v>0</v>
      </c>
      <c r="DW7" s="107" cm="1">
        <f t="array" ref="DW7">_xll.EQNXTDZ($A$1,$B7,DW$1)</f>
        <v>0</v>
      </c>
      <c r="DX7" s="107" cm="1">
        <f t="array" ref="DX7">_xll.EQNXTDZ($A$1,$B7,DX$1)</f>
        <v>0</v>
      </c>
      <c r="DY7" s="107" cm="1">
        <f t="array" ref="DY7">_xll.EQNXTDZ($A$1,$B7,DY$1)</f>
        <v>0</v>
      </c>
      <c r="DZ7" s="107" cm="1">
        <f t="array" ref="DZ7">_xll.EQNXTDZ($A$1,$B7,DZ$1)</f>
        <v>0</v>
      </c>
      <c r="EA7" s="107" cm="1">
        <f t="array" ref="EA7">_xll.EQNXTDZ($A$1,$B7,EA$1)</f>
        <v>0</v>
      </c>
      <c r="EB7" s="107" cm="1">
        <f t="array" ref="EB7">_xll.EQNXTDZ($A$1,$B7,EB$1)</f>
        <v>0</v>
      </c>
      <c r="EC7" s="107" cm="1">
        <f t="array" ref="EC7">_xll.EQNXTDZ($A$1,$B7,EC$1)</f>
        <v>0</v>
      </c>
      <c r="ED7" s="107" cm="1">
        <f t="array" ref="ED7">_xll.EQNXTDZ($A$1,$B7,ED$1)</f>
        <v>0</v>
      </c>
      <c r="EE7" s="107" cm="1">
        <f t="array" ref="EE7">_xll.EQNXTDZ($A$1,$B7,EE$1)</f>
        <v>0</v>
      </c>
      <c r="EF7" s="107" cm="1">
        <f t="array" ref="EF7">_xll.EQNXTDZ($A$1,$B7,EF$1)</f>
        <v>0</v>
      </c>
      <c r="EG7" s="107" cm="1">
        <f t="array" ref="EG7">_xll.EQNXTDZ($A$1,$B7,EG$1)</f>
        <v>0</v>
      </c>
      <c r="EH7" s="107" cm="1">
        <f t="array" ref="EH7">_xll.EQNXTDZ($A$1,$B7,EH$1)</f>
        <v>0</v>
      </c>
      <c r="EI7" s="107" cm="1">
        <f t="array" ref="EI7">_xll.EQNXTDZ($A$1,$B7,EI$1)</f>
        <v>0</v>
      </c>
      <c r="EJ7" s="107" cm="1">
        <f t="array" ref="EJ7">_xll.EQNXTDZ($A$1,$B7,EJ$1)</f>
        <v>0</v>
      </c>
      <c r="EK7" s="107" cm="1">
        <f t="array" ref="EK7">_xll.EQNXTDZ($A$1,$B7,EK$1)</f>
        <v>0</v>
      </c>
      <c r="EL7" s="107" cm="1">
        <f t="array" ref="EL7">_xll.EQNXTDZ($A$1,$B7,EL$1)</f>
        <v>0</v>
      </c>
      <c r="EM7" s="107" cm="1">
        <f t="array" ref="EM7">_xll.EQNXTDZ($A$1,$B7,EM$1)</f>
        <v>0</v>
      </c>
      <c r="EN7" s="107" cm="1">
        <f t="array" ref="EN7">_xll.EQNXTDZ($A$1,$B7,EN$1)</f>
        <v>0</v>
      </c>
      <c r="EO7" s="107" cm="1">
        <f t="array" ref="EO7">_xll.EQNXTDZ($A$1,$B7,EO$1)</f>
        <v>0</v>
      </c>
      <c r="EP7" s="107" cm="1">
        <f t="array" ref="EP7">_xll.EQNXTDZ($A$1,$B7,EP$1)</f>
        <v>0</v>
      </c>
      <c r="EQ7" s="107" cm="1">
        <f t="array" ref="EQ7">_xll.EQNXTDZ($A$1,$B7,EQ$1)</f>
        <v>0</v>
      </c>
      <c r="ER7" s="107" cm="1">
        <f t="array" ref="ER7">_xll.EQNXTDZ($A$1,$B7,ER$1)</f>
        <v>0</v>
      </c>
      <c r="ES7" s="107" cm="1">
        <f t="array" ref="ES7">_xll.EQNXTDZ($A$1,$B7,ES$1)</f>
        <v>0</v>
      </c>
      <c r="ET7" s="107" cm="1">
        <f t="array" ref="ET7">_xll.EQNXTDZ($A$1,$B7,ET$1)</f>
        <v>0</v>
      </c>
      <c r="EU7" s="107" cm="1">
        <f t="array" ref="EU7">_xll.EQNXTDZ($A$1,$B7,EU$1)</f>
        <v>0</v>
      </c>
      <c r="EV7" s="107" cm="1">
        <f t="array" ref="EV7">_xll.EQNXTDZ($A$1,$B7,EV$1)</f>
        <v>0</v>
      </c>
      <c r="EW7" s="107" cm="1">
        <f t="array" ref="EW7">_xll.EQNXTDZ($A$1,$B7,EW$1)</f>
        <v>0</v>
      </c>
      <c r="EX7" s="107" cm="1">
        <f t="array" ref="EX7">_xll.EQNXTDZ($A$1,$B7,EX$1)</f>
        <v>0</v>
      </c>
      <c r="EY7" s="107" cm="1">
        <f t="array" ref="EY7">_xll.EQNXTDZ($A$1,$B7,EY$1)</f>
        <v>0</v>
      </c>
      <c r="EZ7" s="107" cm="1">
        <f t="array" ref="EZ7">_xll.EQNXTDZ($A$1,$B7,EZ$1)</f>
        <v>0</v>
      </c>
      <c r="FA7" s="107" cm="1">
        <f t="array" ref="FA7">_xll.EQNXTDZ($A$1,$B7,FA$1)</f>
        <v>0</v>
      </c>
      <c r="FB7" s="107" cm="1">
        <f t="array" ref="FB7">_xll.EQNXTDZ($A$1,$B7,FB$1)</f>
        <v>0</v>
      </c>
      <c r="FC7" s="107" cm="1">
        <f t="array" ref="FC7">_xll.EQNXTDZ($A$1,$B7,FC$1)</f>
        <v>0</v>
      </c>
      <c r="FD7" s="107" cm="1">
        <f t="array" ref="FD7">_xll.EQNXTDZ($A$1,$B7,FD$1)</f>
        <v>891.9</v>
      </c>
      <c r="FE7" s="107" cm="1">
        <f t="array" ref="FE7">_xll.EQNXTDZ($A$1,$B7,FE$1)</f>
        <v>811.8</v>
      </c>
      <c r="FF7" s="107" cm="1">
        <f t="array" ref="FF7">_xll.EQNXTDZ($A$1,$B7,FF$1)</f>
        <v>801.1</v>
      </c>
      <c r="FG7" s="107" cm="1">
        <f t="array" ref="FG7">_xll.EQNXTDZ($A$1,$B7,FG$1)</f>
        <v>779.9</v>
      </c>
      <c r="FH7" s="107" cm="1">
        <f t="array" ref="FH7">_xll.EQNXTDZ($A$1,$B7,FH$1)</f>
        <v>778.5</v>
      </c>
      <c r="FI7" s="107" cm="1">
        <f t="array" ref="FI7">_xll.EQNXTDZ($A$1,$B7,FI$1)</f>
        <v>796.7</v>
      </c>
      <c r="FJ7" s="107" cm="1">
        <f t="array" ref="FJ7">_xll.EQNXTDZ($A$1,$B7,FJ$1)</f>
        <v>788.95</v>
      </c>
      <c r="FK7" s="107" cm="1">
        <f t="array" ref="FK7">_xll.EQNXTDZ($A$1,$B7,FK$1)</f>
        <v>731.4</v>
      </c>
      <c r="FL7" s="107" cm="1">
        <f t="array" ref="FL7">_xll.EQNXTDZ($A$1,$B7,FL$1)</f>
        <v>703.4</v>
      </c>
      <c r="FM7" s="107" cm="1">
        <f t="array" ref="FM7">_xll.EQNXTDZ($A$1,$B7,FM$1)</f>
        <v>723.95</v>
      </c>
      <c r="FN7" s="107" cm="1">
        <f t="array" ref="FN7">_xll.EQNXTDZ($A$1,$B7,FN$1)</f>
        <v>705</v>
      </c>
      <c r="FO7" s="107" cm="1">
        <f t="array" ref="FO7">_xll.EQNXTDZ($A$1,$B7,FO$1)</f>
        <v>721.2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0</v>
      </c>
      <c r="IO7" s="107">
        <f>+MAX(CA7:CC7)</f>
        <v>0</v>
      </c>
      <c r="IP7" s="107">
        <f>+MAX(CD7:CF7)</f>
        <v>0</v>
      </c>
      <c r="IQ7" s="107">
        <f>+MAX(CG7:CI7)</f>
        <v>0</v>
      </c>
      <c r="IR7" s="107">
        <f>+MAX(CJ7:CL7)</f>
        <v>0</v>
      </c>
      <c r="IS7" s="107">
        <f>+MAX(CM7:CO7)</f>
        <v>0</v>
      </c>
      <c r="IT7" s="107">
        <f>+MAX(CP7:CR7)</f>
        <v>0</v>
      </c>
      <c r="IU7" s="107">
        <f>+MAX(CS7:CU7)</f>
        <v>0</v>
      </c>
      <c r="IV7" s="107">
        <f>+MAX(CV7:CX7)</f>
        <v>0</v>
      </c>
      <c r="IW7" s="107">
        <f>+MAX(CY7:DA7)</f>
        <v>0</v>
      </c>
      <c r="IX7" s="107">
        <f>+MAX(DB7:DD7)</f>
        <v>0</v>
      </c>
      <c r="IY7" s="107">
        <f>+MAX(DE7:DG7)</f>
        <v>0</v>
      </c>
      <c r="IZ7" s="107">
        <f>+MAX(DH7:DJ7)</f>
        <v>0</v>
      </c>
      <c r="JA7" s="107">
        <f>+MAX(DK7:DM7)</f>
        <v>0</v>
      </c>
      <c r="JB7" s="107">
        <f>+MAX(DN7:DP7)</f>
        <v>0</v>
      </c>
      <c r="JC7" s="107">
        <f>+MAX(DQ7:DS7)</f>
        <v>0</v>
      </c>
      <c r="JD7" s="107">
        <f>+MAX(DT7:DV7)</f>
        <v>0</v>
      </c>
      <c r="JE7" s="107">
        <f>+MAX(DW7:DY7)</f>
        <v>0</v>
      </c>
      <c r="JF7" s="107">
        <f>+MAX(DZ7:EB7)</f>
        <v>0</v>
      </c>
      <c r="JG7" s="107">
        <f>+MAX(EC7:EE7)</f>
        <v>0</v>
      </c>
      <c r="JH7" s="107">
        <f>+MAX(EF7:EH7)</f>
        <v>0</v>
      </c>
      <c r="JI7" s="107">
        <f>+MAX(EI7:EK7)</f>
        <v>0</v>
      </c>
      <c r="JJ7" s="107">
        <f>+MAX(EL7:EN7)</f>
        <v>0</v>
      </c>
      <c r="JK7" s="107">
        <f>MAX(EO7:EQ7)</f>
        <v>0</v>
      </c>
      <c r="JL7" s="107">
        <f>MAX(ER7:ET7)</f>
        <v>0</v>
      </c>
      <c r="JM7" s="107">
        <f>MAX(EU7:EW7)</f>
        <v>0</v>
      </c>
      <c r="JN7" s="107">
        <f>MAX(EX7:EZ7)</f>
        <v>0</v>
      </c>
      <c r="JO7" s="107">
        <f>MAX(FA7:FC7)</f>
        <v>0</v>
      </c>
      <c r="JP7" s="107">
        <f>MAX(FD7:FF7)</f>
        <v>891.9</v>
      </c>
      <c r="JQ7" s="107">
        <f>MAX(FG7:FI7)</f>
        <v>796.7</v>
      </c>
      <c r="JR7" s="107">
        <f>MAX(FJ7:FL7)</f>
        <v>788.95</v>
      </c>
      <c r="JS7" s="107">
        <f>MAX(FM7:FO7)</f>
        <v>723.95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0</v>
      </c>
      <c r="BZ8" s="107" cm="1">
        <f t="array" ref="BZ8">_xll.EQNXTDZ($A$1,$B8,BZ$1)</f>
        <v>0</v>
      </c>
      <c r="CA8" s="107" cm="1">
        <f t="array" ref="CA8">_xll.EQNXTDZ($A$1,$B8,CA$1)</f>
        <v>0</v>
      </c>
      <c r="CB8" s="107" cm="1">
        <f t="array" ref="CB8">_xll.EQNXTDZ($A$1,$B8,CB$1)</f>
        <v>0</v>
      </c>
      <c r="CC8" s="107" cm="1">
        <f t="array" ref="CC8">_xll.EQNXTDZ($A$1,$B8,CC$1)</f>
        <v>0</v>
      </c>
      <c r="CD8" s="107" cm="1">
        <f t="array" ref="CD8">_xll.EQNXTDZ($A$1,$B8,CD$1)</f>
        <v>0</v>
      </c>
      <c r="CE8" s="107" cm="1">
        <f t="array" ref="CE8">_xll.EQNXTDZ($A$1,$B8,CE$1)</f>
        <v>0</v>
      </c>
      <c r="CF8" s="107" cm="1">
        <f t="array" ref="CF8">_xll.EQNXTDZ($A$1,$B8,CF$1)</f>
        <v>0</v>
      </c>
      <c r="CG8" s="107" cm="1">
        <f t="array" ref="CG8">_xll.EQNXTDZ($A$1,$B8,CG$1)</f>
        <v>0</v>
      </c>
      <c r="CH8" s="107" cm="1">
        <f t="array" ref="CH8">_xll.EQNXTDZ($A$1,$B8,CH$1)</f>
        <v>0</v>
      </c>
      <c r="CI8" s="107" cm="1">
        <f t="array" ref="CI8">_xll.EQNXTDZ($A$1,$B8,CI$1)</f>
        <v>0</v>
      </c>
      <c r="CJ8" s="107" cm="1">
        <f t="array" ref="CJ8">_xll.EQNXTDZ($A$1,$B8,CJ$1)</f>
        <v>0</v>
      </c>
      <c r="CK8" s="107" cm="1">
        <f t="array" ref="CK8">_xll.EQNXTDZ($A$1,$B8,CK$1)</f>
        <v>0</v>
      </c>
      <c r="CL8" s="107" cm="1">
        <f t="array" ref="CL8">_xll.EQNXTDZ($A$1,$B8,CL$1)</f>
        <v>0</v>
      </c>
      <c r="CM8" s="107" cm="1">
        <f t="array" ref="CM8">_xll.EQNXTDZ($A$1,$B8,CM$1)</f>
        <v>0</v>
      </c>
      <c r="CN8" s="107" cm="1">
        <f t="array" ref="CN8">_xll.EQNXTDZ($A$1,$B8,CN$1)</f>
        <v>0</v>
      </c>
      <c r="CO8" s="107" cm="1">
        <f t="array" ref="CO8">_xll.EQNXTDZ($A$1,$B8,CO$1)</f>
        <v>0</v>
      </c>
      <c r="CP8" s="107" cm="1">
        <f t="array" ref="CP8">_xll.EQNXTDZ($A$1,$B8,CP$1)</f>
        <v>0</v>
      </c>
      <c r="CQ8" s="107" cm="1">
        <f t="array" ref="CQ8">_xll.EQNXTDZ($A$1,$B8,CQ$1)</f>
        <v>0</v>
      </c>
      <c r="CR8" s="107" cm="1">
        <f t="array" ref="CR8">_xll.EQNXTDZ($A$1,$B8,CR$1)</f>
        <v>0</v>
      </c>
      <c r="CS8" s="107" cm="1">
        <f t="array" ref="CS8">_xll.EQNXTDZ($A$1,$B8,CS$1)</f>
        <v>0</v>
      </c>
      <c r="CT8" s="107" cm="1">
        <f t="array" ref="CT8">_xll.EQNXTDZ($A$1,$B8,CT$1)</f>
        <v>0</v>
      </c>
      <c r="CU8" s="107" cm="1">
        <f t="array" ref="CU8">_xll.EQNXTDZ($A$1,$B8,CU$1)</f>
        <v>0</v>
      </c>
      <c r="CV8" s="107" cm="1">
        <f t="array" ref="CV8">_xll.EQNXTDZ($A$1,$B8,CV$1)</f>
        <v>0</v>
      </c>
      <c r="CW8" s="107" cm="1">
        <f t="array" ref="CW8">_xll.EQNXTDZ($A$1,$B8,CW$1)</f>
        <v>0</v>
      </c>
      <c r="CX8" s="107" cm="1">
        <f t="array" ref="CX8">_xll.EQNXTDZ($A$1,$B8,CX$1)</f>
        <v>0</v>
      </c>
      <c r="CY8" s="107" cm="1">
        <f t="array" ref="CY8">_xll.EQNXTDZ($A$1,$B8,CY$1)</f>
        <v>0</v>
      </c>
      <c r="CZ8" s="107" cm="1">
        <f t="array" ref="CZ8">_xll.EQNXTDZ($A$1,$B8,CZ$1)</f>
        <v>0</v>
      </c>
      <c r="DA8" s="107" cm="1">
        <f t="array" ref="DA8">_xll.EQNXTDZ($A$1,$B8,DA$1)</f>
        <v>0</v>
      </c>
      <c r="DB8" s="107" cm="1">
        <f t="array" ref="DB8">_xll.EQNXTDZ($A$1,$B8,DB$1)</f>
        <v>0</v>
      </c>
      <c r="DC8" s="107" cm="1">
        <f t="array" ref="DC8">_xll.EQNXTDZ($A$1,$B8,DC$1)</f>
        <v>0</v>
      </c>
      <c r="DD8" s="107" cm="1">
        <f t="array" ref="DD8">_xll.EQNXTDZ($A$1,$B8,DD$1)</f>
        <v>0</v>
      </c>
      <c r="DE8" s="107" cm="1">
        <f t="array" ref="DE8">_xll.EQNXTDZ($A$1,$B8,DE$1)</f>
        <v>0</v>
      </c>
      <c r="DF8" s="107" cm="1">
        <f t="array" ref="DF8">_xll.EQNXTDZ($A$1,$B8,DF$1)</f>
        <v>0</v>
      </c>
      <c r="DG8" s="107" cm="1">
        <f t="array" ref="DG8">_xll.EQNXTDZ($A$1,$B8,DG$1)</f>
        <v>0</v>
      </c>
      <c r="DH8" s="107" cm="1">
        <f t="array" ref="DH8">_xll.EQNXTDZ($A$1,$B8,DH$1)</f>
        <v>0</v>
      </c>
      <c r="DI8" s="107" cm="1">
        <f t="array" ref="DI8">_xll.EQNXTDZ($A$1,$B8,DI$1)</f>
        <v>0</v>
      </c>
      <c r="DJ8" s="107" cm="1">
        <f t="array" ref="DJ8">_xll.EQNXTDZ($A$1,$B8,DJ$1)</f>
        <v>0</v>
      </c>
      <c r="DK8" s="107" cm="1">
        <f t="array" ref="DK8">_xll.EQNXTDZ($A$1,$B8,DK$1)</f>
        <v>0</v>
      </c>
      <c r="DL8" s="107" cm="1">
        <f t="array" ref="DL8">_xll.EQNXTDZ($A$1,$B8,DL$1)</f>
        <v>0</v>
      </c>
      <c r="DM8" s="107" cm="1">
        <f t="array" ref="DM8">_xll.EQNXTDZ($A$1,$B8,DM$1)</f>
        <v>0</v>
      </c>
      <c r="DN8" s="107" cm="1">
        <f t="array" ref="DN8">_xll.EQNXTDZ($A$1,$B8,DN$1)</f>
        <v>0</v>
      </c>
      <c r="DO8" s="107" cm="1">
        <f t="array" ref="DO8">_xll.EQNXTDZ($A$1,$B8,DO$1)</f>
        <v>0</v>
      </c>
      <c r="DP8" s="107" cm="1">
        <f t="array" ref="DP8">_xll.EQNXTDZ($A$1,$B8,DP$1)</f>
        <v>0</v>
      </c>
      <c r="DQ8" s="107" cm="1">
        <f t="array" ref="DQ8">_xll.EQNXTDZ($A$1,$B8,DQ$1)</f>
        <v>0</v>
      </c>
      <c r="DR8" s="107" cm="1">
        <f t="array" ref="DR8">_xll.EQNXTDZ($A$1,$B8,DR$1)</f>
        <v>0</v>
      </c>
      <c r="DS8" s="107" cm="1">
        <f t="array" ref="DS8">_xll.EQNXTDZ($A$1,$B8,DS$1)</f>
        <v>0</v>
      </c>
      <c r="DT8" s="107" cm="1">
        <f t="array" ref="DT8">_xll.EQNXTDZ($A$1,$B8,DT$1)</f>
        <v>0</v>
      </c>
      <c r="DU8" s="107" cm="1">
        <f t="array" ref="DU8">_xll.EQNXTDZ($A$1,$B8,DU$1)</f>
        <v>0</v>
      </c>
      <c r="DV8" s="107" cm="1">
        <f t="array" ref="DV8">_xll.EQNXTDZ($A$1,$B8,DV$1)</f>
        <v>0</v>
      </c>
      <c r="DW8" s="107" cm="1">
        <f t="array" ref="DW8">_xll.EQNXTDZ($A$1,$B8,DW$1)</f>
        <v>0</v>
      </c>
      <c r="DX8" s="107" cm="1">
        <f t="array" ref="DX8">_xll.EQNXTDZ($A$1,$B8,DX$1)</f>
        <v>0</v>
      </c>
      <c r="DY8" s="107" cm="1">
        <f t="array" ref="DY8">_xll.EQNXTDZ($A$1,$B8,DY$1)</f>
        <v>0</v>
      </c>
      <c r="DZ8" s="107" cm="1">
        <f t="array" ref="DZ8">_xll.EQNXTDZ($A$1,$B8,DZ$1)</f>
        <v>0</v>
      </c>
      <c r="EA8" s="107" cm="1">
        <f t="array" ref="EA8">_xll.EQNXTDZ($A$1,$B8,EA$1)</f>
        <v>0</v>
      </c>
      <c r="EB8" s="107" cm="1">
        <f t="array" ref="EB8">_xll.EQNXTDZ($A$1,$B8,EB$1)</f>
        <v>0</v>
      </c>
      <c r="EC8" s="107" cm="1">
        <f t="array" ref="EC8">_xll.EQNXTDZ($A$1,$B8,EC$1)</f>
        <v>0</v>
      </c>
      <c r="ED8" s="107" cm="1">
        <f t="array" ref="ED8">_xll.EQNXTDZ($A$1,$B8,ED$1)</f>
        <v>0</v>
      </c>
      <c r="EE8" s="107" cm="1">
        <f t="array" ref="EE8">_xll.EQNXTDZ($A$1,$B8,EE$1)</f>
        <v>0</v>
      </c>
      <c r="EF8" s="107" cm="1">
        <f t="array" ref="EF8">_xll.EQNXTDZ($A$1,$B8,EF$1)</f>
        <v>0</v>
      </c>
      <c r="EG8" s="107" cm="1">
        <f t="array" ref="EG8">_xll.EQNXTDZ($A$1,$B8,EG$1)</f>
        <v>0</v>
      </c>
      <c r="EH8" s="107" cm="1">
        <f t="array" ref="EH8">_xll.EQNXTDZ($A$1,$B8,EH$1)</f>
        <v>0</v>
      </c>
      <c r="EI8" s="107" cm="1">
        <f t="array" ref="EI8">_xll.EQNXTDZ($A$1,$B8,EI$1)</f>
        <v>0</v>
      </c>
      <c r="EJ8" s="107" cm="1">
        <f t="array" ref="EJ8">_xll.EQNXTDZ($A$1,$B8,EJ$1)</f>
        <v>0</v>
      </c>
      <c r="EK8" s="107" cm="1">
        <f t="array" ref="EK8">_xll.EQNXTDZ($A$1,$B8,EK$1)</f>
        <v>0</v>
      </c>
      <c r="EL8" s="107" cm="1">
        <f t="array" ref="EL8">_xll.EQNXTDZ($A$1,$B8,EL$1)</f>
        <v>0</v>
      </c>
      <c r="EM8" s="107" cm="1">
        <f t="array" ref="EM8">_xll.EQNXTDZ($A$1,$B8,EM$1)</f>
        <v>0</v>
      </c>
      <c r="EN8" s="107" cm="1">
        <f t="array" ref="EN8">_xll.EQNXTDZ($A$1,$B8,EN$1)</f>
        <v>0</v>
      </c>
      <c r="EO8" s="107" cm="1">
        <f t="array" ref="EO8">_xll.EQNXTDZ($A$1,$B8,EO$1)</f>
        <v>0</v>
      </c>
      <c r="EP8" s="107" cm="1">
        <f t="array" ref="EP8">_xll.EQNXTDZ($A$1,$B8,EP$1)</f>
        <v>0</v>
      </c>
      <c r="EQ8" s="107" cm="1">
        <f t="array" ref="EQ8">_xll.EQNXTDZ($A$1,$B8,EQ$1)</f>
        <v>0</v>
      </c>
      <c r="ER8" s="107" cm="1">
        <f t="array" ref="ER8">_xll.EQNXTDZ($A$1,$B8,ER$1)</f>
        <v>0</v>
      </c>
      <c r="ES8" s="107" cm="1">
        <f t="array" ref="ES8">_xll.EQNXTDZ($A$1,$B8,ES$1)</f>
        <v>0</v>
      </c>
      <c r="ET8" s="107" cm="1">
        <f t="array" ref="ET8">_xll.EQNXTDZ($A$1,$B8,ET$1)</f>
        <v>0</v>
      </c>
      <c r="EU8" s="107" cm="1">
        <f t="array" ref="EU8">_xll.EQNXTDZ($A$1,$B8,EU$1)</f>
        <v>0</v>
      </c>
      <c r="EV8" s="107" cm="1">
        <f t="array" ref="EV8">_xll.EQNXTDZ($A$1,$B8,EV$1)</f>
        <v>0</v>
      </c>
      <c r="EW8" s="107" cm="1">
        <f t="array" ref="EW8">_xll.EQNXTDZ($A$1,$B8,EW$1)</f>
        <v>0</v>
      </c>
      <c r="EX8" s="107" cm="1">
        <f t="array" ref="EX8">_xll.EQNXTDZ($A$1,$B8,EX$1)</f>
        <v>0</v>
      </c>
      <c r="EY8" s="107" cm="1">
        <f t="array" ref="EY8">_xll.EQNXTDZ($A$1,$B8,EY$1)</f>
        <v>0</v>
      </c>
      <c r="EZ8" s="107" cm="1">
        <f t="array" ref="EZ8">_xll.EQNXTDZ($A$1,$B8,EZ$1)</f>
        <v>0</v>
      </c>
      <c r="FA8" s="107" cm="1">
        <f t="array" ref="FA8">_xll.EQNXTDZ($A$1,$B8,FA$1)</f>
        <v>0</v>
      </c>
      <c r="FB8" s="107" cm="1">
        <f t="array" ref="FB8">_xll.EQNXTDZ($A$1,$B8,FB$1)</f>
        <v>0</v>
      </c>
      <c r="FC8" s="107" cm="1">
        <f t="array" ref="FC8">_xll.EQNXTDZ($A$1,$B8,FC$1)</f>
        <v>0</v>
      </c>
      <c r="FD8" s="107" cm="1">
        <f t="array" ref="FD8">_xll.EQNXTDZ($A$1,$B8,FD$1)</f>
        <v>741.1</v>
      </c>
      <c r="FE8" s="107" cm="1">
        <f t="array" ref="FE8">_xll.EQNXTDZ($A$1,$B8,FE$1)</f>
        <v>732.7</v>
      </c>
      <c r="FF8" s="107" cm="1">
        <f t="array" ref="FF8">_xll.EQNXTDZ($A$1,$B8,FF$1)</f>
        <v>739.1</v>
      </c>
      <c r="FG8" s="107" cm="1">
        <f t="array" ref="FG8">_xll.EQNXTDZ($A$1,$B8,FG$1)</f>
        <v>727.3</v>
      </c>
      <c r="FH8" s="107" cm="1">
        <f t="array" ref="FH8">_xll.EQNXTDZ($A$1,$B8,FH$1)</f>
        <v>705.05</v>
      </c>
      <c r="FI8" s="107" cm="1">
        <f t="array" ref="FI8">_xll.EQNXTDZ($A$1,$B8,FI$1)</f>
        <v>725.65</v>
      </c>
      <c r="FJ8" s="107" cm="1">
        <f t="array" ref="FJ8">_xll.EQNXTDZ($A$1,$B8,FJ$1)</f>
        <v>687.3</v>
      </c>
      <c r="FK8" s="107" cm="1">
        <f t="array" ref="FK8">_xll.EQNXTDZ($A$1,$B8,FK$1)</f>
        <v>698.1</v>
      </c>
      <c r="FL8" s="107" cm="1">
        <f t="array" ref="FL8">_xll.EQNXTDZ($A$1,$B8,FL$1)</f>
        <v>555.29999999999995</v>
      </c>
      <c r="FM8" s="107" cm="1">
        <f t="array" ref="FM8">_xll.EQNXTDZ($A$1,$B8,FM$1)</f>
        <v>560.04999999999995</v>
      </c>
      <c r="FN8" s="107" cm="1">
        <f t="array" ref="FN8">_xll.EQNXTDZ($A$1,$B8,FN$1)</f>
        <v>654.04999999999995</v>
      </c>
      <c r="FO8" s="107" cm="1">
        <f t="array" ref="FO8">_xll.EQNXTDZ($A$1,$B8,FO$1)</f>
        <v>613.20000000000005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0</v>
      </c>
      <c r="IP8" s="107">
        <f>+MIN(CD8:CF8)</f>
        <v>0</v>
      </c>
      <c r="IQ8" s="107">
        <f>+MIN(CG8:CI8)</f>
        <v>0</v>
      </c>
      <c r="IR8" s="107">
        <f>+MIN(CJ8:CL8)</f>
        <v>0</v>
      </c>
      <c r="IS8" s="107">
        <f>+MIN(CM8:CO8)</f>
        <v>0</v>
      </c>
      <c r="IT8" s="107">
        <f>+MIN(CP8:CR8)</f>
        <v>0</v>
      </c>
      <c r="IU8" s="107">
        <f>+MIN(CS8:CU8)</f>
        <v>0</v>
      </c>
      <c r="IV8" s="107">
        <f>+MIN(CV8:CX8)</f>
        <v>0</v>
      </c>
      <c r="IW8" s="107">
        <f>+MIN(CY8:DA8)</f>
        <v>0</v>
      </c>
      <c r="IX8" s="107">
        <f>+MIN(DB8:DD8)</f>
        <v>0</v>
      </c>
      <c r="IY8" s="107">
        <f>+MIN(DE8:DG8)</f>
        <v>0</v>
      </c>
      <c r="IZ8" s="107">
        <f>+MIN(DH8:DJ8)</f>
        <v>0</v>
      </c>
      <c r="JA8" s="107">
        <f>+MIN(DK8:DM8)</f>
        <v>0</v>
      </c>
      <c r="JB8" s="107">
        <f>+MIN(DN8:DP8)</f>
        <v>0</v>
      </c>
      <c r="JC8" s="107">
        <f>+MIN(DQ8:DS8)</f>
        <v>0</v>
      </c>
      <c r="JD8" s="107">
        <f>+MIN(DT8:DV8)</f>
        <v>0</v>
      </c>
      <c r="JE8" s="107">
        <f>+MIN(DW8:DY8)</f>
        <v>0</v>
      </c>
      <c r="JF8" s="107">
        <f>+MIN(DZ8:EB8)</f>
        <v>0</v>
      </c>
      <c r="JG8" s="107">
        <f>+MIN(EC8:EE8)</f>
        <v>0</v>
      </c>
      <c r="JH8" s="107">
        <f>+MIN(EF8:EH8)</f>
        <v>0</v>
      </c>
      <c r="JI8" s="107">
        <f>+MIN(EI8:EK8)</f>
        <v>0</v>
      </c>
      <c r="JJ8" s="107">
        <f>+MIN(EL8:EN8)</f>
        <v>0</v>
      </c>
      <c r="JK8" s="107">
        <f>MIN(EO8:EQ8)</f>
        <v>0</v>
      </c>
      <c r="JL8" s="107">
        <f>MIN(ER8:ET8)</f>
        <v>0</v>
      </c>
      <c r="JM8" s="107">
        <f>MIN(EU8:EW8)</f>
        <v>0</v>
      </c>
      <c r="JN8" s="107">
        <f>MIN(EX8:EZ8)</f>
        <v>0</v>
      </c>
      <c r="JO8" s="107">
        <f>MIN(FA8:FC8)</f>
        <v>0</v>
      </c>
      <c r="JP8" s="107">
        <f>MIN(FD8:FF8)</f>
        <v>732.7</v>
      </c>
      <c r="JQ8" s="107">
        <f>MIN(FG8:FI8)</f>
        <v>705.05</v>
      </c>
      <c r="JR8" s="107">
        <f>MIN(FJ8:FL8)</f>
        <v>555.29999999999995</v>
      </c>
      <c r="JS8" s="107">
        <f>MIN(FM8:FO8)</f>
        <v>560.04999999999995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0</v>
      </c>
      <c r="BZ9" s="107" cm="1">
        <f t="array" ref="BZ9">_xll.EQNXTDZ($A$1,$B9,BZ$1)</f>
        <v>0</v>
      </c>
      <c r="CA9" s="107" cm="1">
        <f t="array" ref="CA9">_xll.EQNXTDZ($A$1,$B9,CA$1)</f>
        <v>0</v>
      </c>
      <c r="CB9" s="107" cm="1">
        <f t="array" ref="CB9">_xll.EQNXTDZ($A$1,$B9,CB$1)</f>
        <v>0</v>
      </c>
      <c r="CC9" s="107" cm="1">
        <f t="array" ref="CC9">_xll.EQNXTDZ($A$1,$B9,CC$1)</f>
        <v>0</v>
      </c>
      <c r="CD9" s="107" cm="1">
        <f t="array" ref="CD9">_xll.EQNXTDZ($A$1,$B9,CD$1)</f>
        <v>0</v>
      </c>
      <c r="CE9" s="107" cm="1">
        <f t="array" ref="CE9">_xll.EQNXTDZ($A$1,$B9,CE$1)</f>
        <v>0</v>
      </c>
      <c r="CF9" s="107" cm="1">
        <f t="array" ref="CF9">_xll.EQNXTDZ($A$1,$B9,CF$1)</f>
        <v>0</v>
      </c>
      <c r="CG9" s="107" cm="1">
        <f t="array" ref="CG9">_xll.EQNXTDZ($A$1,$B9,CG$1)</f>
        <v>0</v>
      </c>
      <c r="CH9" s="107" cm="1">
        <f t="array" ref="CH9">_xll.EQNXTDZ($A$1,$B9,CH$1)</f>
        <v>0</v>
      </c>
      <c r="CI9" s="107" cm="1">
        <f t="array" ref="CI9">_xll.EQNXTDZ($A$1,$B9,CI$1)</f>
        <v>0</v>
      </c>
      <c r="CJ9" s="107" cm="1">
        <f t="array" ref="CJ9">_xll.EQNXTDZ($A$1,$B9,CJ$1)</f>
        <v>0</v>
      </c>
      <c r="CK9" s="107" cm="1">
        <f t="array" ref="CK9">_xll.EQNXTDZ($A$1,$B9,CK$1)</f>
        <v>0</v>
      </c>
      <c r="CL9" s="107" cm="1">
        <f t="array" ref="CL9">_xll.EQNXTDZ($A$1,$B9,CL$1)</f>
        <v>0</v>
      </c>
      <c r="CM9" s="107" cm="1">
        <f t="array" ref="CM9">_xll.EQNXTDZ($A$1,$B9,CM$1)</f>
        <v>0</v>
      </c>
      <c r="CN9" s="107" cm="1">
        <f t="array" ref="CN9">_xll.EQNXTDZ($A$1,$B9,CN$1)</f>
        <v>0</v>
      </c>
      <c r="CO9" s="107" cm="1">
        <f t="array" ref="CO9">_xll.EQNXTDZ($A$1,$B9,CO$1)</f>
        <v>0</v>
      </c>
      <c r="CP9" s="107" cm="1">
        <f t="array" ref="CP9">_xll.EQNXTDZ($A$1,$B9,CP$1)</f>
        <v>0</v>
      </c>
      <c r="CQ9" s="107" cm="1">
        <f t="array" ref="CQ9">_xll.EQNXTDZ($A$1,$B9,CQ$1)</f>
        <v>0</v>
      </c>
      <c r="CR9" s="107" cm="1">
        <f t="array" ref="CR9">_xll.EQNXTDZ($A$1,$B9,CR$1)</f>
        <v>0</v>
      </c>
      <c r="CS9" s="107" cm="1">
        <f t="array" ref="CS9">_xll.EQNXTDZ($A$1,$B9,CS$1)</f>
        <v>0</v>
      </c>
      <c r="CT9" s="107" cm="1">
        <f t="array" ref="CT9">_xll.EQNXTDZ($A$1,$B9,CT$1)</f>
        <v>0</v>
      </c>
      <c r="CU9" s="107" cm="1">
        <f t="array" ref="CU9">_xll.EQNXTDZ($A$1,$B9,CU$1)</f>
        <v>0</v>
      </c>
      <c r="CV9" s="107" cm="1">
        <f t="array" ref="CV9">_xll.EQNXTDZ($A$1,$B9,CV$1)</f>
        <v>0</v>
      </c>
      <c r="CW9" s="107" cm="1">
        <f t="array" ref="CW9">_xll.EQNXTDZ($A$1,$B9,CW$1)</f>
        <v>0</v>
      </c>
      <c r="CX9" s="107" cm="1">
        <f t="array" ref="CX9">_xll.EQNXTDZ($A$1,$B9,CX$1)</f>
        <v>0</v>
      </c>
      <c r="CY9" s="107" cm="1">
        <f t="array" ref="CY9">_xll.EQNXTDZ($A$1,$B9,CY$1)</f>
        <v>0</v>
      </c>
      <c r="CZ9" s="107" cm="1">
        <f t="array" ref="CZ9">_xll.EQNXTDZ($A$1,$B9,CZ$1)</f>
        <v>0</v>
      </c>
      <c r="DA9" s="107" cm="1">
        <f t="array" ref="DA9">_xll.EQNXTDZ($A$1,$B9,DA$1)</f>
        <v>0</v>
      </c>
      <c r="DB9" s="107" cm="1">
        <f t="array" ref="DB9">_xll.EQNXTDZ($A$1,$B9,DB$1)</f>
        <v>0</v>
      </c>
      <c r="DC9" s="107" cm="1">
        <f t="array" ref="DC9">_xll.EQNXTDZ($A$1,$B9,DC$1)</f>
        <v>0</v>
      </c>
      <c r="DD9" s="107" cm="1">
        <f t="array" ref="DD9">_xll.EQNXTDZ($A$1,$B9,DD$1)</f>
        <v>0</v>
      </c>
      <c r="DE9" s="107" cm="1">
        <f t="array" ref="DE9">_xll.EQNXTDZ($A$1,$B9,DE$1)</f>
        <v>0</v>
      </c>
      <c r="DF9" s="107" cm="1">
        <f t="array" ref="DF9">_xll.EQNXTDZ($A$1,$B9,DF$1)</f>
        <v>0</v>
      </c>
      <c r="DG9" s="107" cm="1">
        <f t="array" ref="DG9">_xll.EQNXTDZ($A$1,$B9,DG$1)</f>
        <v>0</v>
      </c>
      <c r="DH9" s="107" cm="1">
        <f t="array" ref="DH9">_xll.EQNXTDZ($A$1,$B9,DH$1)</f>
        <v>0</v>
      </c>
      <c r="DI9" s="107" cm="1">
        <f t="array" ref="DI9">_xll.EQNXTDZ($A$1,$B9,DI$1)</f>
        <v>0</v>
      </c>
      <c r="DJ9" s="107" cm="1">
        <f t="array" ref="DJ9">_xll.EQNXTDZ($A$1,$B9,DJ$1)</f>
        <v>0</v>
      </c>
      <c r="DK9" s="107" cm="1">
        <f t="array" ref="DK9">_xll.EQNXTDZ($A$1,$B9,DK$1)</f>
        <v>0</v>
      </c>
      <c r="DL9" s="107" cm="1">
        <f t="array" ref="DL9">_xll.EQNXTDZ($A$1,$B9,DL$1)</f>
        <v>0</v>
      </c>
      <c r="DM9" s="107" cm="1">
        <f t="array" ref="DM9">_xll.EQNXTDZ($A$1,$B9,DM$1)</f>
        <v>0</v>
      </c>
      <c r="DN9" s="107" cm="1">
        <f t="array" ref="DN9">_xll.EQNXTDZ($A$1,$B9,DN$1)</f>
        <v>0</v>
      </c>
      <c r="DO9" s="107" cm="1">
        <f t="array" ref="DO9">_xll.EQNXTDZ($A$1,$B9,DO$1)</f>
        <v>0</v>
      </c>
      <c r="DP9" s="107" cm="1">
        <f t="array" ref="DP9">_xll.EQNXTDZ($A$1,$B9,DP$1)</f>
        <v>0</v>
      </c>
      <c r="DQ9" s="107" cm="1">
        <f t="array" ref="DQ9">_xll.EQNXTDZ($A$1,$B9,DQ$1)</f>
        <v>0</v>
      </c>
      <c r="DR9" s="107" cm="1">
        <f t="array" ref="DR9">_xll.EQNXTDZ($A$1,$B9,DR$1)</f>
        <v>0</v>
      </c>
      <c r="DS9" s="107" cm="1">
        <f t="array" ref="DS9">_xll.EQNXTDZ($A$1,$B9,DS$1)</f>
        <v>0</v>
      </c>
      <c r="DT9" s="107" cm="1">
        <f t="array" ref="DT9">_xll.EQNXTDZ($A$1,$B9,DT$1)</f>
        <v>0</v>
      </c>
      <c r="DU9" s="107" cm="1">
        <f t="array" ref="DU9">_xll.EQNXTDZ($A$1,$B9,DU$1)</f>
        <v>0</v>
      </c>
      <c r="DV9" s="107" cm="1">
        <f t="array" ref="DV9">_xll.EQNXTDZ($A$1,$B9,DV$1)</f>
        <v>0</v>
      </c>
      <c r="DW9" s="107" cm="1">
        <f t="array" ref="DW9">_xll.EQNXTDZ($A$1,$B9,DW$1)</f>
        <v>0</v>
      </c>
      <c r="DX9" s="107" cm="1">
        <f t="array" ref="DX9">_xll.EQNXTDZ($A$1,$B9,DX$1)</f>
        <v>0</v>
      </c>
      <c r="DY9" s="107" cm="1">
        <f t="array" ref="DY9">_xll.EQNXTDZ($A$1,$B9,DY$1)</f>
        <v>0</v>
      </c>
      <c r="DZ9" s="107" cm="1">
        <f t="array" ref="DZ9">_xll.EQNXTDZ($A$1,$B9,DZ$1)</f>
        <v>0</v>
      </c>
      <c r="EA9" s="107" cm="1">
        <f t="array" ref="EA9">_xll.EQNXTDZ($A$1,$B9,EA$1)</f>
        <v>0</v>
      </c>
      <c r="EB9" s="107" cm="1">
        <f t="array" ref="EB9">_xll.EQNXTDZ($A$1,$B9,EB$1)</f>
        <v>0</v>
      </c>
      <c r="EC9" s="107" cm="1">
        <f t="array" ref="EC9">_xll.EQNXTDZ($A$1,$B9,EC$1)</f>
        <v>0</v>
      </c>
      <c r="ED9" s="107" cm="1">
        <f t="array" ref="ED9">_xll.EQNXTDZ($A$1,$B9,ED$1)</f>
        <v>0</v>
      </c>
      <c r="EE9" s="107" cm="1">
        <f t="array" ref="EE9">_xll.EQNXTDZ($A$1,$B9,EE$1)</f>
        <v>0</v>
      </c>
      <c r="EF9" s="107" cm="1">
        <f t="array" ref="EF9">_xll.EQNXTDZ($A$1,$B9,EF$1)</f>
        <v>0</v>
      </c>
      <c r="EG9" s="107" cm="1">
        <f t="array" ref="EG9">_xll.EQNXTDZ($A$1,$B9,EG$1)</f>
        <v>0</v>
      </c>
      <c r="EH9" s="107" cm="1">
        <f t="array" ref="EH9">_xll.EQNXTDZ($A$1,$B9,EH$1)</f>
        <v>0</v>
      </c>
      <c r="EI9" s="107" cm="1">
        <f t="array" ref="EI9">_xll.EQNXTDZ($A$1,$B9,EI$1)</f>
        <v>0</v>
      </c>
      <c r="EJ9" s="107" cm="1">
        <f t="array" ref="EJ9">_xll.EQNXTDZ($A$1,$B9,EJ$1)</f>
        <v>0</v>
      </c>
      <c r="EK9" s="107" cm="1">
        <f t="array" ref="EK9">_xll.EQNXTDZ($A$1,$B9,EK$1)</f>
        <v>0</v>
      </c>
      <c r="EL9" s="107" cm="1">
        <f t="array" ref="EL9">_xll.EQNXTDZ($A$1,$B9,EL$1)</f>
        <v>0</v>
      </c>
      <c r="EM9" s="107" cm="1">
        <f t="array" ref="EM9">_xll.EQNXTDZ($A$1,$B9,EM$1)</f>
        <v>0</v>
      </c>
      <c r="EN9" s="107" cm="1">
        <f t="array" ref="EN9">_xll.EQNXTDZ($A$1,$B9,EN$1)</f>
        <v>0</v>
      </c>
      <c r="EO9" s="107" cm="1">
        <f t="array" ref="EO9">_xll.EQNXTDZ($A$1,$B9,EO$1)</f>
        <v>0</v>
      </c>
      <c r="EP9" s="107" cm="1">
        <f t="array" ref="EP9">_xll.EQNXTDZ($A$1,$B9,EP$1)</f>
        <v>0</v>
      </c>
      <c r="EQ9" s="107" cm="1">
        <f t="array" ref="EQ9">_xll.EQNXTDZ($A$1,$B9,EQ$1)</f>
        <v>0</v>
      </c>
      <c r="ER9" s="107" cm="1">
        <f t="array" ref="ER9">_xll.EQNXTDZ($A$1,$B9,ER$1)</f>
        <v>0</v>
      </c>
      <c r="ES9" s="107" cm="1">
        <f t="array" ref="ES9">_xll.EQNXTDZ($A$1,$B9,ES$1)</f>
        <v>0</v>
      </c>
      <c r="ET9" s="107" cm="1">
        <f t="array" ref="ET9">_xll.EQNXTDZ($A$1,$B9,ET$1)</f>
        <v>0</v>
      </c>
      <c r="EU9" s="107" cm="1">
        <f t="array" ref="EU9">_xll.EQNXTDZ($A$1,$B9,EU$1)</f>
        <v>0</v>
      </c>
      <c r="EV9" s="107" cm="1">
        <f t="array" ref="EV9">_xll.EQNXTDZ($A$1,$B9,EV$1)</f>
        <v>0</v>
      </c>
      <c r="EW9" s="107" cm="1">
        <f t="array" ref="EW9">_xll.EQNXTDZ($A$1,$B9,EW$1)</f>
        <v>0</v>
      </c>
      <c r="EX9" s="107" cm="1">
        <f t="array" ref="EX9">_xll.EQNXTDZ($A$1,$B9,EX$1)</f>
        <v>0</v>
      </c>
      <c r="EY9" s="107" cm="1">
        <f t="array" ref="EY9">_xll.EQNXTDZ($A$1,$B9,EY$1)</f>
        <v>0</v>
      </c>
      <c r="EZ9" s="107" cm="1">
        <f t="array" ref="EZ9">_xll.EQNXTDZ($A$1,$B9,EZ$1)</f>
        <v>0</v>
      </c>
      <c r="FA9" s="107" cm="1">
        <f t="array" ref="FA9">_xll.EQNXTDZ($A$1,$B9,FA$1)</f>
        <v>0</v>
      </c>
      <c r="FB9" s="107" cm="1">
        <f t="array" ref="FB9">_xll.EQNXTDZ($A$1,$B9,FB$1)</f>
        <v>0</v>
      </c>
      <c r="FC9" s="107" cm="1">
        <f t="array" ref="FC9">_xll.EQNXTDZ($A$1,$B9,FC$1)</f>
        <v>0</v>
      </c>
      <c r="FD9" s="107" cm="1">
        <f t="array" ref="FD9">_xll.EQNXTDZ($A$1,$B9,FD$1)</f>
        <v>758.55</v>
      </c>
      <c r="FE9" s="107" cm="1">
        <f t="array" ref="FE9">_xll.EQNXTDZ($A$1,$B9,FE$1)</f>
        <v>778.2</v>
      </c>
      <c r="FF9" s="107" cm="1">
        <f t="array" ref="FF9">_xll.EQNXTDZ($A$1,$B9,FF$1)</f>
        <v>750.3</v>
      </c>
      <c r="FG9" s="107" cm="1">
        <f t="array" ref="FG9">_xll.EQNXTDZ($A$1,$B9,FG$1)</f>
        <v>731.3</v>
      </c>
      <c r="FH9" s="107" cm="1">
        <f t="array" ref="FH9">_xll.EQNXTDZ($A$1,$B9,FH$1)</f>
        <v>767.2</v>
      </c>
      <c r="FI9" s="107" cm="1">
        <f t="array" ref="FI9">_xll.EQNXTDZ($A$1,$B9,FI$1)</f>
        <v>765.55</v>
      </c>
      <c r="FJ9" s="107" cm="1">
        <f t="array" ref="FJ9">_xll.EQNXTDZ($A$1,$B9,FJ$1)</f>
        <v>707.4</v>
      </c>
      <c r="FK9" s="107" cm="1">
        <f t="array" ref="FK9">_xll.EQNXTDZ($A$1,$B9,FK$1)</f>
        <v>705.25</v>
      </c>
      <c r="FL9" s="107" cm="1">
        <f t="array" ref="FL9">_xll.EQNXTDZ($A$1,$B9,FL$1)</f>
        <v>559.95000000000005</v>
      </c>
      <c r="FM9" s="107" cm="1">
        <f t="array" ref="FM9">_xll.EQNXTDZ($A$1,$B9,FM$1)</f>
        <v>656.6</v>
      </c>
      <c r="FN9" s="107" cm="1">
        <f t="array" ref="FN9">_xll.EQNXTDZ($A$1,$B9,FN$1)</f>
        <v>665.85</v>
      </c>
      <c r="FO9" s="107" cm="1">
        <f t="array" ref="FO9">_xll.EQNXTDZ($A$1,$B9,FO$1)</f>
        <v>709.55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0</v>
      </c>
      <c r="IO9" s="107">
        <f>+CC9</f>
        <v>0</v>
      </c>
      <c r="IP9" s="107">
        <f>+CF9</f>
        <v>0</v>
      </c>
      <c r="IQ9" s="107">
        <f>+CI9</f>
        <v>0</v>
      </c>
      <c r="IR9" s="107">
        <f>+CL9</f>
        <v>0</v>
      </c>
      <c r="IS9" s="107">
        <f>+CO9</f>
        <v>0</v>
      </c>
      <c r="IT9" s="107">
        <f>+CR9</f>
        <v>0</v>
      </c>
      <c r="IU9" s="107">
        <f>+CU9</f>
        <v>0</v>
      </c>
      <c r="IV9" s="107">
        <f>+CX9</f>
        <v>0</v>
      </c>
      <c r="IW9" s="107">
        <f>+DA9</f>
        <v>0</v>
      </c>
      <c r="IX9" s="107">
        <f>+DD9</f>
        <v>0</v>
      </c>
      <c r="IY9" s="107">
        <f>+DG9</f>
        <v>0</v>
      </c>
      <c r="IZ9" s="107">
        <f>+DJ9</f>
        <v>0</v>
      </c>
      <c r="JA9" s="107">
        <f>+DM9</f>
        <v>0</v>
      </c>
      <c r="JB9" s="107">
        <f>+DP9</f>
        <v>0</v>
      </c>
      <c r="JC9" s="107">
        <f>+DS9</f>
        <v>0</v>
      </c>
      <c r="JD9" s="107">
        <f>+DV9</f>
        <v>0</v>
      </c>
      <c r="JE9" s="107">
        <f>+DY9</f>
        <v>0</v>
      </c>
      <c r="JF9" s="107">
        <f>+EB9</f>
        <v>0</v>
      </c>
      <c r="JG9" s="107">
        <f>+EE9</f>
        <v>0</v>
      </c>
      <c r="JH9" s="107">
        <f>+EH9</f>
        <v>0</v>
      </c>
      <c r="JI9" s="107">
        <f>+EK9</f>
        <v>0</v>
      </c>
      <c r="JJ9" s="107">
        <f>+EN9</f>
        <v>0</v>
      </c>
      <c r="JK9" s="107">
        <f>EQ9</f>
        <v>0</v>
      </c>
      <c r="JL9" s="107">
        <f>ET9</f>
        <v>0</v>
      </c>
      <c r="JM9" s="107">
        <f>EW9</f>
        <v>0</v>
      </c>
      <c r="JN9" s="107">
        <f>EZ9</f>
        <v>0</v>
      </c>
      <c r="JO9" s="107">
        <f>FC9</f>
        <v>0</v>
      </c>
      <c r="JP9" s="107">
        <f>FF9</f>
        <v>750.3</v>
      </c>
      <c r="JQ9" s="107">
        <f>FI9</f>
        <v>765.55</v>
      </c>
      <c r="JR9" s="107">
        <f>FL9</f>
        <v>559.95000000000005</v>
      </c>
      <c r="JS9" s="107">
        <f>FO9</f>
        <v>709.55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835</v>
      </c>
      <c r="FE13" cm="1">
        <f t="array" ref="FE13">_xll.EQNXTDZ($A$1,$B13,FE$1)</f>
        <v>758</v>
      </c>
      <c r="FF13" cm="1">
        <f t="array" ref="FF13">_xll.EQNXTDZ($A$1,$B13,FF$1)</f>
        <v>775.9</v>
      </c>
      <c r="FG13" cm="1">
        <f t="array" ref="FG13">_xll.EQNXTDZ($A$1,$B13,FG$1)</f>
        <v>751.05</v>
      </c>
      <c r="FH13" cm="1">
        <f t="array" ref="FH13">_xll.EQNXTDZ($A$1,$B13,FH$1)</f>
        <v>730.15</v>
      </c>
      <c r="FI13" cm="1">
        <f t="array" ref="FI13">_xll.EQNXTDZ($A$1,$B13,FI$1)</f>
        <v>768.25</v>
      </c>
      <c r="FJ13" cm="1">
        <f t="array" ref="FJ13">_xll.EQNXTDZ($A$1,$B13,FJ$1)</f>
        <v>766</v>
      </c>
      <c r="FK13" cm="1">
        <f t="array" ref="FK13">_xll.EQNXTDZ($A$1,$B13,FK$1)</f>
        <v>707.1</v>
      </c>
      <c r="FL13" cm="1">
        <f t="array" ref="FL13">_xll.EQNXTDZ($A$1,$B13,FL$1)</f>
        <v>655.65</v>
      </c>
      <c r="FM13" cm="1">
        <f t="array" ref="FM13">_xll.EQNXTDZ($A$1,$B13,FM$1)</f>
        <v>568.54999999999995</v>
      </c>
      <c r="FN13" cm="1">
        <f t="array" ref="FN13">_xll.EQNXTDZ($A$1,$B13,FN$1)</f>
        <v>657.25</v>
      </c>
      <c r="FO13" cm="1">
        <f t="array" ref="FO13">_xll.EQNXTDZ($A$1,$B13,FO$1)</f>
        <v>661.95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0</v>
      </c>
      <c r="D14" s="107" cm="1">
        <f t="array" ref="D14">_xll.EQNXTDZ($A$1,$B14,D$1)</f>
        <v>0</v>
      </c>
      <c r="E14" s="107" cm="1">
        <f t="array" ref="E14">_xll.EQNXTDZ($A$1,$B14,E$1)</f>
        <v>0</v>
      </c>
      <c r="F14" s="107" cm="1">
        <f t="array" ref="F14">_xll.EQNXTDZ($A$1,$B14,F$1)</f>
        <v>0</v>
      </c>
      <c r="G14" s="107" cm="1">
        <f t="array" ref="G14">_xll.EQNXTDZ($A$1,$B14,G$1)</f>
        <v>0</v>
      </c>
      <c r="H14" s="107" cm="1">
        <f t="array" ref="H14">_xll.EQNXTDZ($A$1,$B14,H$1)</f>
        <v>0</v>
      </c>
      <c r="I14" s="107" cm="1">
        <f t="array" ref="I14">_xll.EQNXTDZ($A$1,$B14,I$1)</f>
        <v>0</v>
      </c>
      <c r="J14" s="107" cm="1">
        <f t="array" ref="J14">_xll.EQNXTDZ($A$1,$B14,J$1)</f>
        <v>0</v>
      </c>
      <c r="K14" s="107" cm="1">
        <f t="array" ref="K14">_xll.EQNXTDZ($A$1,$B14,K$1)</f>
        <v>0</v>
      </c>
      <c r="L14" s="107" cm="1">
        <f t="array" ref="L14">_xll.EQNXTDZ($A$1,$B14,L$1)</f>
        <v>0</v>
      </c>
      <c r="M14" s="107" cm="1">
        <f t="array" ref="M14">_xll.EQNXTDZ($A$1,$B14,M$1)</f>
        <v>0</v>
      </c>
      <c r="N14" s="107" cm="1">
        <f t="array" ref="N14">_xll.EQNXTDZ($A$1,$B14,N$1)</f>
        <v>0</v>
      </c>
      <c r="O14" s="107" cm="1">
        <f t="array" ref="O14">_xll.EQNXTDZ($A$1,$B14,O$1)</f>
        <v>0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0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0</v>
      </c>
      <c r="X14" s="107" cm="1">
        <f t="array" ref="X14">_xll.EQNXTDZ($A$1,$B14,X$1)</f>
        <v>0</v>
      </c>
      <c r="Y14" s="107" cm="1">
        <f t="array" ref="Y14">_xll.EQNXTDZ($A$1,$B14,Y$1)</f>
        <v>0</v>
      </c>
      <c r="Z14" s="107" cm="1">
        <f t="array" ref="Z14">_xll.EQNXTDZ($A$1,$B14,Z$1)</f>
        <v>0</v>
      </c>
      <c r="AA14" s="107" cm="1">
        <f t="array" ref="AA14">_xll.EQNXTDZ($A$1,$B14,AA$1)</f>
        <v>0</v>
      </c>
      <c r="AB14" s="107" cm="1">
        <f t="array" ref="AB14">_xll.EQNXTDZ($A$1,$B14,AB$1)</f>
        <v>0</v>
      </c>
      <c r="AC14" s="107" cm="1">
        <f t="array" ref="AC14">_xll.EQNXTDZ($A$1,$B14,AC$1)</f>
        <v>0</v>
      </c>
      <c r="AD14" s="107" cm="1">
        <f t="array" ref="AD14">_xll.EQNXTDZ($A$1,$B14,AD$1)</f>
        <v>0</v>
      </c>
      <c r="AE14" s="107" cm="1">
        <f t="array" ref="AE14">_xll.EQNXTDZ($A$1,$B14,AE$1)</f>
        <v>0</v>
      </c>
      <c r="AF14" s="107" cm="1">
        <f t="array" ref="AF14">_xll.EQNXTDZ($A$1,$B14,AF$1)</f>
        <v>0</v>
      </c>
      <c r="AG14" s="107" cm="1">
        <f t="array" ref="AG14">_xll.EQNXTDZ($A$1,$B14,AG$1)</f>
        <v>0</v>
      </c>
      <c r="AH14" s="107" cm="1">
        <f t="array" ref="AH14">_xll.EQNXTDZ($A$1,$B14,AH$1)</f>
        <v>0</v>
      </c>
      <c r="AI14" s="107" cm="1">
        <f t="array" ref="AI14">_xll.EQNXTDZ($A$1,$B14,AI$1)</f>
        <v>0</v>
      </c>
      <c r="AJ14" s="107" cm="1">
        <f t="array" ref="AJ14">_xll.EQNXTDZ($A$1,$B14,AJ$1)</f>
        <v>0</v>
      </c>
      <c r="AK14" s="107" cm="1">
        <f t="array" ref="AK14">_xll.EQNXTDZ($A$1,$B14,AK$1)</f>
        <v>0</v>
      </c>
      <c r="AL14" s="107" cm="1">
        <f t="array" ref="AL14">_xll.EQNXTDZ($A$1,$B14,AL$1)</f>
        <v>0</v>
      </c>
      <c r="AM14" s="107" cm="1">
        <f t="array" ref="AM14">_xll.EQNXTDZ($A$1,$B14,AM$1)</f>
        <v>0</v>
      </c>
      <c r="AN14" s="107" cm="1">
        <f t="array" ref="AN14">_xll.EQNXTDZ($A$1,$B14,AN$1)</f>
        <v>0</v>
      </c>
      <c r="AO14" s="107" cm="1">
        <f t="array" ref="AO14">_xll.EQNXTDZ($A$1,$B14,AO$1)</f>
        <v>0</v>
      </c>
      <c r="AP14" s="107" cm="1">
        <f t="array" ref="AP14">_xll.EQNXTDZ($A$1,$B14,AP$1)</f>
        <v>0</v>
      </c>
      <c r="AQ14" s="107" cm="1">
        <f t="array" ref="AQ14">_xll.EQNXTDZ($A$1,$B14,AQ$1)</f>
        <v>0</v>
      </c>
      <c r="AR14" s="107" cm="1">
        <f t="array" ref="AR14">_xll.EQNXTDZ($A$1,$B14,AR$1)</f>
        <v>0</v>
      </c>
      <c r="AS14" s="107" cm="1">
        <f t="array" ref="AS14">_xll.EQNXTDZ($A$1,$B14,AS$1)</f>
        <v>0</v>
      </c>
      <c r="AT14" s="107" cm="1">
        <f t="array" ref="AT14">_xll.EQNXTDZ($A$1,$B14,AT$1)</f>
        <v>0</v>
      </c>
      <c r="AU14" s="107" cm="1">
        <f t="array" ref="AU14">_xll.EQNXTDZ($A$1,$B14,AU$1)</f>
        <v>0</v>
      </c>
      <c r="AV14" s="107" cm="1">
        <f t="array" ref="AV14">_xll.EQNXTDZ($A$1,$B14,AV$1)</f>
        <v>0</v>
      </c>
      <c r="AW14" s="107" cm="1">
        <f t="array" ref="AW14">_xll.EQNXTDZ($A$1,$B14,AW$1)</f>
        <v>0</v>
      </c>
      <c r="AX14" s="107" cm="1">
        <f t="array" ref="AX14">_xll.EQNXTDZ($A$1,$B14,AX$1)</f>
        <v>0</v>
      </c>
      <c r="AY14" s="107" cm="1">
        <f t="array" ref="AY14">_xll.EQNXTDZ($A$1,$B14,AY$1)</f>
        <v>0</v>
      </c>
      <c r="AZ14" s="107" cm="1">
        <f t="array" ref="AZ14">_xll.EQNXTDZ($A$1,$B14,AZ$1)</f>
        <v>0</v>
      </c>
      <c r="BA14" s="107" cm="1">
        <f t="array" ref="BA14">_xll.EQNXTDZ($A$1,$B14,BA$1)</f>
        <v>0</v>
      </c>
      <c r="BB14" s="107" cm="1">
        <f t="array" ref="BB14">_xll.EQNXTDZ($A$1,$B14,BB$1)</f>
        <v>0</v>
      </c>
      <c r="BC14" s="107" cm="1">
        <f t="array" ref="BC14">_xll.EQNXTDZ($A$1,$B14,BC$1)</f>
        <v>0</v>
      </c>
      <c r="BD14" s="107" cm="1">
        <f t="array" ref="BD14">_xll.EQNXTDZ($A$1,$B14,BD$1)</f>
        <v>0</v>
      </c>
      <c r="BE14" s="107" cm="1">
        <f t="array" ref="BE14">_xll.EQNXTDZ($A$1,$B14,BE$1)</f>
        <v>0</v>
      </c>
      <c r="BF14" s="107" cm="1">
        <f t="array" ref="BF14">_xll.EQNXTDZ($A$1,$B14,BF$1)</f>
        <v>0</v>
      </c>
      <c r="BG14" s="107" cm="1">
        <f t="array" ref="BG14">_xll.EQNXTDZ($A$1,$B14,BG$1)</f>
        <v>0</v>
      </c>
      <c r="BH14" s="107" cm="1">
        <f t="array" ref="BH14">_xll.EQNXTDZ($A$1,$B14,BH$1)</f>
        <v>0</v>
      </c>
      <c r="BI14" s="107" cm="1">
        <f t="array" ref="BI14">_xll.EQNXTDZ($A$1,$B14,BI$1)</f>
        <v>0</v>
      </c>
      <c r="BJ14" s="107" cm="1">
        <f t="array" ref="BJ14">_xll.EQNXTDZ($A$1,$B14,BJ$1)</f>
        <v>0</v>
      </c>
      <c r="BK14" s="107" cm="1">
        <f t="array" ref="BK14">_xll.EQNXTDZ($A$1,$B14,BK$1)</f>
        <v>0</v>
      </c>
      <c r="BL14" s="107" cm="1">
        <f t="array" ref="BL14">_xll.EQNXTDZ($A$1,$B14,BL$1)</f>
        <v>0</v>
      </c>
      <c r="BM14" s="107" cm="1">
        <f t="array" ref="BM14">_xll.EQNXTDZ($A$1,$B14,BM$1)</f>
        <v>0</v>
      </c>
      <c r="BN14" s="107" cm="1">
        <f t="array" ref="BN14">_xll.EQNXTDZ($A$1,$B14,BN$1)</f>
        <v>0</v>
      </c>
      <c r="BO14" s="107" cm="1">
        <f t="array" ref="BO14">_xll.EQNXTDZ($A$1,$B14,BO$1)</f>
        <v>0</v>
      </c>
      <c r="BP14" s="107" cm="1">
        <f t="array" ref="BP14">_xll.EQNXTDZ($A$1,$B14,BP$1)</f>
        <v>0</v>
      </c>
      <c r="BQ14" s="107" cm="1">
        <f t="array" ref="BQ14">_xll.EQNXTDZ($A$1,$B14,BQ$1)</f>
        <v>0</v>
      </c>
      <c r="BR14" s="107" cm="1">
        <f t="array" ref="BR14">_xll.EQNXTDZ($A$1,$B14,BR$1)</f>
        <v>0</v>
      </c>
      <c r="BS14" s="107" cm="1">
        <f t="array" ref="BS14">_xll.EQNXTDZ($A$1,$B14,BS$1)</f>
        <v>0</v>
      </c>
      <c r="BT14" s="107" cm="1">
        <f t="array" ref="BT14">_xll.EQNXTDZ($A$1,$B14,BT$1)</f>
        <v>0</v>
      </c>
      <c r="BU14" s="107" cm="1">
        <f t="array" ref="BU14">_xll.EQNXTDZ($A$1,$B14,BU$1)</f>
        <v>0</v>
      </c>
      <c r="BV14" s="107" cm="1">
        <f t="array" ref="BV14">_xll.EQNXTDZ($A$1,$B14,BV$1)</f>
        <v>0</v>
      </c>
      <c r="BW14" s="107" cm="1">
        <f t="array" ref="BW14">_xll.EQNXTDZ($A$1,$B14,BW$1)</f>
        <v>0</v>
      </c>
      <c r="BX14" s="107" cm="1">
        <f t="array" ref="BX14">_xll.EQNXTDZ($A$1,$B14,BX$1)</f>
        <v>0</v>
      </c>
      <c r="BY14" s="107" cm="1">
        <f t="array" ref="BY14">_xll.EQNXTDZ($A$1,$B14,BY$1)</f>
        <v>0</v>
      </c>
      <c r="BZ14" s="107" cm="1">
        <f t="array" ref="BZ14">_xll.EQNXTDZ($A$1,$B14,BZ$1)</f>
        <v>0</v>
      </c>
      <c r="CA14" s="107" cm="1">
        <f t="array" ref="CA14">_xll.EQNXTDZ($A$1,$B14,CA$1)</f>
        <v>0</v>
      </c>
      <c r="CB14" s="107" cm="1">
        <f t="array" ref="CB14">_xll.EQNXTDZ($A$1,$B14,CB$1)</f>
        <v>0</v>
      </c>
      <c r="CC14" s="107" cm="1">
        <f t="array" ref="CC14">_xll.EQNXTDZ($A$1,$B14,CC$1)</f>
        <v>0</v>
      </c>
      <c r="CD14" s="107" cm="1">
        <f t="array" ref="CD14">_xll.EQNXTDZ($A$1,$B14,CD$1)</f>
        <v>0</v>
      </c>
      <c r="CE14" s="107" cm="1">
        <f t="array" ref="CE14">_xll.EQNXTDZ($A$1,$B14,CE$1)</f>
        <v>0</v>
      </c>
      <c r="CF14" s="107" cm="1">
        <f t="array" ref="CF14">_xll.EQNXTDZ($A$1,$B14,CF$1)</f>
        <v>0</v>
      </c>
      <c r="CG14" s="107" cm="1">
        <f t="array" ref="CG14">_xll.EQNXTDZ($A$1,$B14,CG$1)</f>
        <v>0</v>
      </c>
      <c r="CH14" s="107" cm="1">
        <f t="array" ref="CH14">_xll.EQNXTDZ($A$1,$B14,CH$1)</f>
        <v>0</v>
      </c>
      <c r="CI14" s="107" cm="1">
        <f t="array" ref="CI14">_xll.EQNXTDZ($A$1,$B14,CI$1)</f>
        <v>0</v>
      </c>
      <c r="CJ14" s="107" cm="1">
        <f t="array" ref="CJ14">_xll.EQNXTDZ($A$1,$B14,CJ$1)</f>
        <v>0</v>
      </c>
      <c r="CK14" s="107" cm="1">
        <f t="array" ref="CK14">_xll.EQNXTDZ($A$1,$B14,CK$1)</f>
        <v>0</v>
      </c>
      <c r="CL14" s="107" cm="1">
        <f t="array" ref="CL14">_xll.EQNXTDZ($A$1,$B14,CL$1)</f>
        <v>0</v>
      </c>
      <c r="CM14" s="107" cm="1">
        <f t="array" ref="CM14">_xll.EQNXTDZ($A$1,$B14,CM$1)</f>
        <v>0</v>
      </c>
      <c r="CN14" s="107" cm="1">
        <f t="array" ref="CN14">_xll.EQNXTDZ($A$1,$B14,CN$1)</f>
        <v>0</v>
      </c>
      <c r="CO14" s="107" cm="1">
        <f t="array" ref="CO14">_xll.EQNXTDZ($A$1,$B14,CO$1)</f>
        <v>0</v>
      </c>
      <c r="CP14" s="107" cm="1">
        <f t="array" ref="CP14">_xll.EQNXTDZ($A$1,$B14,CP$1)</f>
        <v>0</v>
      </c>
      <c r="CQ14" s="107" cm="1">
        <f t="array" ref="CQ14">_xll.EQNXTDZ($A$1,$B14,CQ$1)</f>
        <v>0</v>
      </c>
      <c r="CR14" s="107" cm="1">
        <f t="array" ref="CR14">_xll.EQNXTDZ($A$1,$B14,CR$1)</f>
        <v>0</v>
      </c>
      <c r="CS14" s="107" cm="1">
        <f t="array" ref="CS14">_xll.EQNXTDZ($A$1,$B14,CS$1)</f>
        <v>0</v>
      </c>
      <c r="CT14" s="107" cm="1">
        <f t="array" ref="CT14">_xll.EQNXTDZ($A$1,$B14,CT$1)</f>
        <v>0</v>
      </c>
      <c r="CU14" s="107" cm="1">
        <f t="array" ref="CU14">_xll.EQNXTDZ($A$1,$B14,CU$1)</f>
        <v>0</v>
      </c>
      <c r="CV14" s="107" cm="1">
        <f t="array" ref="CV14">_xll.EQNXTDZ($A$1,$B14,CV$1)</f>
        <v>0</v>
      </c>
      <c r="CW14" s="107" cm="1">
        <f t="array" ref="CW14">_xll.EQNXTDZ($A$1,$B14,CW$1)</f>
        <v>0</v>
      </c>
      <c r="CX14" s="107" cm="1">
        <f t="array" ref="CX14">_xll.EQNXTDZ($A$1,$B14,CX$1)</f>
        <v>0</v>
      </c>
      <c r="CY14" s="107" cm="1">
        <f t="array" ref="CY14">_xll.EQNXTDZ($A$1,$B14,CY$1)</f>
        <v>0</v>
      </c>
      <c r="CZ14" s="107" cm="1">
        <f t="array" ref="CZ14">_xll.EQNXTDZ($A$1,$B14,CZ$1)</f>
        <v>0</v>
      </c>
      <c r="DA14" s="107" cm="1">
        <f t="array" ref="DA14">_xll.EQNXTDZ($A$1,$B14,DA$1)</f>
        <v>0</v>
      </c>
      <c r="DB14" s="107" cm="1">
        <f t="array" ref="DB14">_xll.EQNXTDZ($A$1,$B14,DB$1)</f>
        <v>0</v>
      </c>
      <c r="DC14" s="107" cm="1">
        <f t="array" ref="DC14">_xll.EQNXTDZ($A$1,$B14,DC$1)</f>
        <v>0</v>
      </c>
      <c r="DD14" s="107" cm="1">
        <f t="array" ref="DD14">_xll.EQNXTDZ($A$1,$B14,DD$1)</f>
        <v>0</v>
      </c>
      <c r="DE14" s="107" cm="1">
        <f t="array" ref="DE14">_xll.EQNXTDZ($A$1,$B14,DE$1)</f>
        <v>0</v>
      </c>
      <c r="DF14" s="107" cm="1">
        <f t="array" ref="DF14">_xll.EQNXTDZ($A$1,$B14,DF$1)</f>
        <v>0</v>
      </c>
      <c r="DG14" s="107" cm="1">
        <f t="array" ref="DG14">_xll.EQNXTDZ($A$1,$B14,DG$1)</f>
        <v>0</v>
      </c>
      <c r="DH14" s="107" cm="1">
        <f t="array" ref="DH14">_xll.EQNXTDZ($A$1,$B14,DH$1)</f>
        <v>0</v>
      </c>
      <c r="DI14" s="107" cm="1">
        <f t="array" ref="DI14">_xll.EQNXTDZ($A$1,$B14,DI$1)</f>
        <v>0</v>
      </c>
      <c r="DJ14" s="107" cm="1">
        <f t="array" ref="DJ14">_xll.EQNXTDZ($A$1,$B14,DJ$1)</f>
        <v>0</v>
      </c>
      <c r="DK14" s="107" cm="1">
        <f t="array" ref="DK14">_xll.EQNXTDZ($A$1,$B14,DK$1)</f>
        <v>0</v>
      </c>
      <c r="DL14" s="107" cm="1">
        <f t="array" ref="DL14">_xll.EQNXTDZ($A$1,$B14,DL$1)</f>
        <v>0</v>
      </c>
      <c r="DM14" s="107" cm="1">
        <f t="array" ref="DM14">_xll.EQNXTDZ($A$1,$B14,DM$1)</f>
        <v>0</v>
      </c>
      <c r="DN14" s="107" cm="1">
        <f t="array" ref="DN14">_xll.EQNXTDZ($A$1,$B14,DN$1)</f>
        <v>0</v>
      </c>
      <c r="DO14" s="107" cm="1">
        <f t="array" ref="DO14">_xll.EQNXTDZ($A$1,$B14,DO$1)</f>
        <v>0</v>
      </c>
      <c r="DP14" s="107" cm="1">
        <f t="array" ref="DP14">_xll.EQNXTDZ($A$1,$B14,DP$1)</f>
        <v>0</v>
      </c>
      <c r="DQ14" s="107" cm="1">
        <f t="array" ref="DQ14">_xll.EQNXTDZ($A$1,$B14,DQ$1)</f>
        <v>0</v>
      </c>
      <c r="DR14" s="107" cm="1">
        <f t="array" ref="DR14">_xll.EQNXTDZ($A$1,$B14,DR$1)</f>
        <v>0</v>
      </c>
      <c r="DS14" s="107" cm="1">
        <f t="array" ref="DS14">_xll.EQNXTDZ($A$1,$B14,DS$1)</f>
        <v>0</v>
      </c>
      <c r="DT14" s="107" cm="1">
        <f t="array" ref="DT14">_xll.EQNXTDZ($A$1,$B14,DT$1)</f>
        <v>0</v>
      </c>
      <c r="DU14" s="107" cm="1">
        <f t="array" ref="DU14">_xll.EQNXTDZ($A$1,$B14,DU$1)</f>
        <v>0</v>
      </c>
      <c r="DV14" s="107" cm="1">
        <f t="array" ref="DV14">_xll.EQNXTDZ($A$1,$B14,DV$1)</f>
        <v>0</v>
      </c>
      <c r="DW14" s="107" cm="1">
        <f t="array" ref="DW14">_xll.EQNXTDZ($A$1,$B14,DW$1)</f>
        <v>0</v>
      </c>
      <c r="DX14" s="107" cm="1">
        <f t="array" ref="DX14">_xll.EQNXTDZ($A$1,$B14,DX$1)</f>
        <v>0</v>
      </c>
      <c r="DY14" s="107" cm="1">
        <f t="array" ref="DY14">_xll.EQNXTDZ($A$1,$B14,DY$1)</f>
        <v>0</v>
      </c>
      <c r="DZ14" s="107" cm="1">
        <f t="array" ref="DZ14">_xll.EQNXTDZ($A$1,$B14,DZ$1)</f>
        <v>0</v>
      </c>
      <c r="EA14" s="107" cm="1">
        <f t="array" ref="EA14">_xll.EQNXTDZ($A$1,$B14,EA$1)</f>
        <v>0</v>
      </c>
      <c r="EB14" s="107" cm="1">
        <f t="array" ref="EB14">_xll.EQNXTDZ($A$1,$B14,EB$1)</f>
        <v>0</v>
      </c>
      <c r="EC14" s="107" cm="1">
        <f t="array" ref="EC14">_xll.EQNXTDZ($A$1,$B14,EC$1)</f>
        <v>0</v>
      </c>
      <c r="ED14" s="107" cm="1">
        <f t="array" ref="ED14">_xll.EQNXTDZ($A$1,$B14,ED$1)</f>
        <v>0</v>
      </c>
      <c r="EE14" s="107" cm="1">
        <f t="array" ref="EE14">_xll.EQNXTDZ($A$1,$B14,EE$1)</f>
        <v>0</v>
      </c>
      <c r="EF14" s="107" cm="1">
        <f t="array" ref="EF14">_xll.EQNXTDZ($A$1,$B14,EF$1)</f>
        <v>0</v>
      </c>
      <c r="EG14" s="107" cm="1">
        <f t="array" ref="EG14">_xll.EQNXTDZ($A$1,$B14,EG$1)</f>
        <v>0</v>
      </c>
      <c r="EH14" s="107" cm="1">
        <f t="array" ref="EH14">_xll.EQNXTDZ($A$1,$B14,EH$1)</f>
        <v>0</v>
      </c>
      <c r="EI14" s="107" cm="1">
        <f t="array" ref="EI14">_xll.EQNXTDZ($A$1,$B14,EI$1)</f>
        <v>0</v>
      </c>
      <c r="EJ14" s="107" cm="1">
        <f t="array" ref="EJ14">_xll.EQNXTDZ($A$1,$B14,EJ$1)</f>
        <v>0</v>
      </c>
      <c r="EK14" s="107" cm="1">
        <f t="array" ref="EK14">_xll.EQNXTDZ($A$1,$B14,EK$1)</f>
        <v>0</v>
      </c>
      <c r="EL14" s="107" cm="1">
        <f t="array" ref="EL14">_xll.EQNXTDZ($A$1,$B14,EL$1)</f>
        <v>0</v>
      </c>
      <c r="EM14" s="107" cm="1">
        <f t="array" ref="EM14">_xll.EQNXTDZ($A$1,$B14,EM$1)</f>
        <v>0</v>
      </c>
      <c r="EN14" s="107" cm="1">
        <f t="array" ref="EN14">_xll.EQNXTDZ($A$1,$B14,EN$1)</f>
        <v>0</v>
      </c>
      <c r="EO14" s="107" cm="1">
        <f t="array" ref="EO14">_xll.EQNXTDZ($A$1,$B14,EO$1)</f>
        <v>0</v>
      </c>
      <c r="EP14" s="107" cm="1">
        <f t="array" ref="EP14">_xll.EQNXTDZ($A$1,$B14,EP$1)</f>
        <v>0</v>
      </c>
      <c r="EQ14" s="107" cm="1">
        <f t="array" ref="EQ14">_xll.EQNXTDZ($A$1,$B14,EQ$1)</f>
        <v>0</v>
      </c>
      <c r="ER14" s="107" cm="1">
        <f t="array" ref="ER14">_xll.EQNXTDZ($A$1,$B14,ER$1)</f>
        <v>0</v>
      </c>
      <c r="ES14" s="107" cm="1">
        <f t="array" ref="ES14">_xll.EQNXTDZ($A$1,$B14,ES$1)</f>
        <v>0</v>
      </c>
      <c r="ET14" s="107" cm="1">
        <f t="array" ref="ET14">_xll.EQNXTDZ($A$1,$B14,ET$1)</f>
        <v>0</v>
      </c>
      <c r="EU14" s="107" cm="1">
        <f t="array" ref="EU14">_xll.EQNXTDZ($A$1,$B14,EU$1)</f>
        <v>0</v>
      </c>
      <c r="EV14" s="107" cm="1">
        <f t="array" ref="EV14">_xll.EQNXTDZ($A$1,$B14,EV$1)</f>
        <v>0</v>
      </c>
      <c r="EW14" s="107" cm="1">
        <f t="array" ref="EW14">_xll.EQNXTDZ($A$1,$B14,EW$1)</f>
        <v>0</v>
      </c>
      <c r="EX14" s="107" cm="1">
        <f t="array" ref="EX14">_xll.EQNXTDZ($A$1,$B14,EX$1)</f>
        <v>0</v>
      </c>
      <c r="EY14" s="107" cm="1">
        <f t="array" ref="EY14">_xll.EQNXTDZ($A$1,$B14,EY$1)</f>
        <v>0</v>
      </c>
      <c r="EZ14" s="107" cm="1">
        <f t="array" ref="EZ14">_xll.EQNXTDZ($A$1,$B14,EZ$1)</f>
        <v>0</v>
      </c>
      <c r="FA14" s="107" cm="1">
        <f t="array" ref="FA14">_xll.EQNXTDZ($A$1,$B14,FA$1)</f>
        <v>0</v>
      </c>
      <c r="FB14" s="107" cm="1">
        <f t="array" ref="FB14">_xll.EQNXTDZ($A$1,$B14,FB$1)</f>
        <v>0</v>
      </c>
      <c r="FC14" s="107" cm="1">
        <f t="array" ref="FC14">_xll.EQNXTDZ($A$1,$B14,FC$1)</f>
        <v>0</v>
      </c>
      <c r="FD14" s="107" cm="1">
        <f t="array" ref="FD14">_xll.EQNXTDZ($A$1,$B14,FD$1)</f>
        <v>891.65</v>
      </c>
      <c r="FE14" s="107" cm="1">
        <f t="array" ref="FE14">_xll.EQNXTDZ($A$1,$B14,FE$1)</f>
        <v>811</v>
      </c>
      <c r="FF14" s="107" cm="1">
        <f t="array" ref="FF14">_xll.EQNXTDZ($A$1,$B14,FF$1)</f>
        <v>801.2</v>
      </c>
      <c r="FG14" s="107" cm="1">
        <f t="array" ref="FG14">_xll.EQNXTDZ($A$1,$B14,FG$1)</f>
        <v>779.4</v>
      </c>
      <c r="FH14" s="107" cm="1">
        <f t="array" ref="FH14">_xll.EQNXTDZ($A$1,$B14,FH$1)</f>
        <v>778.5</v>
      </c>
      <c r="FI14" s="107" cm="1">
        <f t="array" ref="FI14">_xll.EQNXTDZ($A$1,$B14,FI$1)</f>
        <v>797</v>
      </c>
      <c r="FJ14" s="107" cm="1">
        <f t="array" ref="FJ14">_xll.EQNXTDZ($A$1,$B14,FJ$1)</f>
        <v>788.8</v>
      </c>
      <c r="FK14" s="107" cm="1">
        <f t="array" ref="FK14">_xll.EQNXTDZ($A$1,$B14,FK$1)</f>
        <v>731</v>
      </c>
      <c r="FL14" s="107" cm="1">
        <f t="array" ref="FL14">_xll.EQNXTDZ($A$1,$B14,FL$1)</f>
        <v>703.05</v>
      </c>
      <c r="FM14" s="107" cm="1">
        <f t="array" ref="FM14">_xll.EQNXTDZ($A$1,$B14,FM$1)</f>
        <v>724</v>
      </c>
      <c r="FN14" s="107" cm="1">
        <f t="array" ref="FN14">_xll.EQNXTDZ($A$1,$B14,FN$1)</f>
        <v>705</v>
      </c>
      <c r="FO14" s="107" cm="1">
        <f t="array" ref="FO14">_xll.EQNXTDZ($A$1,$B14,FO$1)</f>
        <v>721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0</v>
      </c>
      <c r="HQ14" s="107">
        <f>+MAX(G14:I14)</f>
        <v>0</v>
      </c>
      <c r="HR14" s="107">
        <f>+MAX(J14:L14)</f>
        <v>0</v>
      </c>
      <c r="HS14" s="107">
        <f>+MAX(M14:O14)</f>
        <v>0</v>
      </c>
      <c r="HT14" s="107">
        <f>+MAX(P14:R14)</f>
        <v>0</v>
      </c>
      <c r="HU14" s="107">
        <f>+MAX(S14:U14)</f>
        <v>0</v>
      </c>
      <c r="HV14" s="107">
        <f>+MAX(V14:X14)</f>
        <v>0</v>
      </c>
      <c r="HW14" s="107">
        <f>+MAX(Y14:AA14)</f>
        <v>0</v>
      </c>
      <c r="HX14" s="107">
        <f>+MAX(AB14:AD14)</f>
        <v>0</v>
      </c>
      <c r="HY14" s="107">
        <f>+MAX(AE14:AG14)</f>
        <v>0</v>
      </c>
      <c r="HZ14" s="107">
        <f>+MAX(AH14:AJ14)</f>
        <v>0</v>
      </c>
      <c r="IA14" s="107">
        <f>+MAX(AK14:AM14)</f>
        <v>0</v>
      </c>
      <c r="IB14" s="107">
        <f>+MAX(AN14:AP14)</f>
        <v>0</v>
      </c>
      <c r="IC14" s="107">
        <f>+MAX(AQ14:AS14)</f>
        <v>0</v>
      </c>
      <c r="ID14" s="107">
        <f>+MAX(AT14:AV14)</f>
        <v>0</v>
      </c>
      <c r="IE14" s="107">
        <f>+MAX(AW14:AY14)</f>
        <v>0</v>
      </c>
      <c r="IF14" s="107">
        <f>+MAX(AZ14:BB14)</f>
        <v>0</v>
      </c>
      <c r="IG14" s="107">
        <f>+MAX(BC14:BE14)</f>
        <v>0</v>
      </c>
      <c r="IH14" s="107">
        <f>+MAX(BF14:BH14)</f>
        <v>0</v>
      </c>
      <c r="II14" s="107">
        <f>+MAX(BI14:BK14)</f>
        <v>0</v>
      </c>
      <c r="IJ14" s="107">
        <f>+MAX(BL14:BN14)</f>
        <v>0</v>
      </c>
      <c r="IK14" s="107">
        <f>+MAX(BO14:BQ14)</f>
        <v>0</v>
      </c>
      <c r="IL14" s="107">
        <f>+MAX(BR14:BT14)</f>
        <v>0</v>
      </c>
      <c r="IM14" s="107">
        <f>+MAX(BU14:BW14)</f>
        <v>0</v>
      </c>
      <c r="IN14" s="107">
        <f>+MAX(BX14:BZ14)</f>
        <v>0</v>
      </c>
      <c r="IO14" s="107">
        <f>+MAX(CA14:CC14)</f>
        <v>0</v>
      </c>
      <c r="IP14" s="107">
        <f>+MAX(CD14:CF14)</f>
        <v>0</v>
      </c>
      <c r="IQ14" s="107">
        <f>+MAX(CG14:CI14)</f>
        <v>0</v>
      </c>
      <c r="IR14" s="107">
        <f>+MAX(CJ14:CL14)</f>
        <v>0</v>
      </c>
      <c r="IS14" s="107">
        <f>+MAX(CM14:CO14)</f>
        <v>0</v>
      </c>
      <c r="IT14" s="107">
        <f>+MAX(CP14:CR14)</f>
        <v>0</v>
      </c>
      <c r="IU14" s="107">
        <f>+MAX(CS14:CU14)</f>
        <v>0</v>
      </c>
      <c r="IV14" s="107">
        <f>+MAX(CV14:CX14)</f>
        <v>0</v>
      </c>
      <c r="IW14" s="107">
        <f>+MAX(CY14:DA14)</f>
        <v>0</v>
      </c>
      <c r="IX14" s="107">
        <f>+MAX(DB14:DD14)</f>
        <v>0</v>
      </c>
      <c r="IY14" s="107">
        <f>+MAX(DE14:DG14)</f>
        <v>0</v>
      </c>
      <c r="IZ14" s="107">
        <f>+MAX(DH14:DJ14)</f>
        <v>0</v>
      </c>
      <c r="JA14" s="107">
        <f>+MAX(DK14:DM14)</f>
        <v>0</v>
      </c>
      <c r="JB14" s="107">
        <f>+MAX(DN14:DP14)</f>
        <v>0</v>
      </c>
      <c r="JC14" s="107">
        <f>+MAX(DQ14:DS14)</f>
        <v>0</v>
      </c>
      <c r="JD14" s="107">
        <f>+MAX(DT14:DV14)</f>
        <v>0</v>
      </c>
      <c r="JE14" s="107">
        <f>+MAX(DW14:DY14)</f>
        <v>0</v>
      </c>
      <c r="JF14" s="107">
        <f>+MAX(DZ14:EB14)</f>
        <v>0</v>
      </c>
      <c r="JG14" s="107">
        <f>+MAX(EC14:EE14)</f>
        <v>0</v>
      </c>
      <c r="JH14" s="107">
        <f>+MAX(EF14:EH14)</f>
        <v>0</v>
      </c>
      <c r="JI14" s="107">
        <f>+MAX(EI14:EK14)</f>
        <v>0</v>
      </c>
      <c r="JJ14" s="107">
        <f>+MAX(EL14:EN14)</f>
        <v>0</v>
      </c>
      <c r="JK14" s="107">
        <f>MAX(EO14:EQ14)</f>
        <v>0</v>
      </c>
      <c r="JL14" s="107">
        <f>MAX(ER14:ET14)</f>
        <v>0</v>
      </c>
      <c r="JM14" s="107">
        <f>MAX(EU14:EW14)</f>
        <v>0</v>
      </c>
      <c r="JN14" s="107">
        <f>MAX(EX14:EZ14)</f>
        <v>0</v>
      </c>
      <c r="JO14" s="107">
        <f>MAX(FA14:FC14)</f>
        <v>0</v>
      </c>
      <c r="JP14" s="107">
        <f>MAX(FD14:FF14)</f>
        <v>891.65</v>
      </c>
      <c r="JQ14" s="107">
        <f>MAX(FG14:FI14)</f>
        <v>797</v>
      </c>
      <c r="JR14" s="107">
        <f>MAX(FJ14:FL14)</f>
        <v>788.8</v>
      </c>
      <c r="JS14" s="107">
        <f>MAX(FM14:FO14)</f>
        <v>724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0</v>
      </c>
      <c r="D15" s="107" cm="1">
        <f t="array" ref="D15">_xll.EQNXTDZ($A$1,$B15,D$1)</f>
        <v>0</v>
      </c>
      <c r="E15" s="107" cm="1">
        <f t="array" ref="E15">_xll.EQNXTDZ($A$1,$B15,E$1)</f>
        <v>0</v>
      </c>
      <c r="F15" s="107" cm="1">
        <f t="array" ref="F15">_xll.EQNXTDZ($A$1,$B15,F$1)</f>
        <v>0</v>
      </c>
      <c r="G15" s="107" cm="1">
        <f t="array" ref="G15">_xll.EQNXTDZ($A$1,$B15,G$1)</f>
        <v>0</v>
      </c>
      <c r="H15" s="107" cm="1">
        <f t="array" ref="H15">_xll.EQNXTDZ($A$1,$B15,H$1)</f>
        <v>0</v>
      </c>
      <c r="I15" s="107" cm="1">
        <f t="array" ref="I15">_xll.EQNXTDZ($A$1,$B15,I$1)</f>
        <v>0</v>
      </c>
      <c r="J15" s="107" cm="1">
        <f t="array" ref="J15">_xll.EQNXTDZ($A$1,$B15,J$1)</f>
        <v>0</v>
      </c>
      <c r="K15" s="107" cm="1">
        <f t="array" ref="K15">_xll.EQNXTDZ($A$1,$B15,K$1)</f>
        <v>0</v>
      </c>
      <c r="L15" s="107" cm="1">
        <f t="array" ref="L15">_xll.EQNXTDZ($A$1,$B15,L$1)</f>
        <v>0</v>
      </c>
      <c r="M15" s="107" cm="1">
        <f t="array" ref="M15">_xll.EQNXTDZ($A$1,$B15,M$1)</f>
        <v>0</v>
      </c>
      <c r="N15" s="107" cm="1">
        <f t="array" ref="N15">_xll.EQNXTDZ($A$1,$B15,N$1)</f>
        <v>0</v>
      </c>
      <c r="O15" s="107" cm="1">
        <f t="array" ref="O15">_xll.EQNXTDZ($A$1,$B15,O$1)</f>
        <v>0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0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0</v>
      </c>
      <c r="X15" s="107" cm="1">
        <f t="array" ref="X15">_xll.EQNXTDZ($A$1,$B15,X$1)</f>
        <v>0</v>
      </c>
      <c r="Y15" s="107" cm="1">
        <f t="array" ref="Y15">_xll.EQNXTDZ($A$1,$B15,Y$1)</f>
        <v>0</v>
      </c>
      <c r="Z15" s="107" cm="1">
        <f t="array" ref="Z15">_xll.EQNXTDZ($A$1,$B15,Z$1)</f>
        <v>0</v>
      </c>
      <c r="AA15" s="107" cm="1">
        <f t="array" ref="AA15">_xll.EQNXTDZ($A$1,$B15,AA$1)</f>
        <v>0</v>
      </c>
      <c r="AB15" s="107" cm="1">
        <f t="array" ref="AB15">_xll.EQNXTDZ($A$1,$B15,AB$1)</f>
        <v>0</v>
      </c>
      <c r="AC15" s="107" cm="1">
        <f t="array" ref="AC15">_xll.EQNXTDZ($A$1,$B15,AC$1)</f>
        <v>0</v>
      </c>
      <c r="AD15" s="107" cm="1">
        <f t="array" ref="AD15">_xll.EQNXTDZ($A$1,$B15,AD$1)</f>
        <v>0</v>
      </c>
      <c r="AE15" s="107" cm="1">
        <f t="array" ref="AE15">_xll.EQNXTDZ($A$1,$B15,AE$1)</f>
        <v>0</v>
      </c>
      <c r="AF15" s="107" cm="1">
        <f t="array" ref="AF15">_xll.EQNXTDZ($A$1,$B15,AF$1)</f>
        <v>0</v>
      </c>
      <c r="AG15" s="107" cm="1">
        <f t="array" ref="AG15">_xll.EQNXTDZ($A$1,$B15,AG$1)</f>
        <v>0</v>
      </c>
      <c r="AH15" s="107" cm="1">
        <f t="array" ref="AH15">_xll.EQNXTDZ($A$1,$B15,AH$1)</f>
        <v>0</v>
      </c>
      <c r="AI15" s="107" cm="1">
        <f t="array" ref="AI15">_xll.EQNXTDZ($A$1,$B15,AI$1)</f>
        <v>0</v>
      </c>
      <c r="AJ15" s="107" cm="1">
        <f t="array" ref="AJ15">_xll.EQNXTDZ($A$1,$B15,AJ$1)</f>
        <v>0</v>
      </c>
      <c r="AK15" s="107" cm="1">
        <f t="array" ref="AK15">_xll.EQNXTDZ($A$1,$B15,AK$1)</f>
        <v>0</v>
      </c>
      <c r="AL15" s="107" cm="1">
        <f t="array" ref="AL15">_xll.EQNXTDZ($A$1,$B15,AL$1)</f>
        <v>0</v>
      </c>
      <c r="AM15" s="107" cm="1">
        <f t="array" ref="AM15">_xll.EQNXTDZ($A$1,$B15,AM$1)</f>
        <v>0</v>
      </c>
      <c r="AN15" s="107" cm="1">
        <f t="array" ref="AN15">_xll.EQNXTDZ($A$1,$B15,AN$1)</f>
        <v>0</v>
      </c>
      <c r="AO15" s="107" cm="1">
        <f t="array" ref="AO15">_xll.EQNXTDZ($A$1,$B15,AO$1)</f>
        <v>0</v>
      </c>
      <c r="AP15" s="107" cm="1">
        <f t="array" ref="AP15">_xll.EQNXTDZ($A$1,$B15,AP$1)</f>
        <v>0</v>
      </c>
      <c r="AQ15" s="107" cm="1">
        <f t="array" ref="AQ15">_xll.EQNXTDZ($A$1,$B15,AQ$1)</f>
        <v>0</v>
      </c>
      <c r="AR15" s="107" cm="1">
        <f t="array" ref="AR15">_xll.EQNXTDZ($A$1,$B15,AR$1)</f>
        <v>0</v>
      </c>
      <c r="AS15" s="107" cm="1">
        <f t="array" ref="AS15">_xll.EQNXTDZ($A$1,$B15,AS$1)</f>
        <v>0</v>
      </c>
      <c r="AT15" s="107" cm="1">
        <f t="array" ref="AT15">_xll.EQNXTDZ($A$1,$B15,AT$1)</f>
        <v>0</v>
      </c>
      <c r="AU15" s="107" cm="1">
        <f t="array" ref="AU15">_xll.EQNXTDZ($A$1,$B15,AU$1)</f>
        <v>0</v>
      </c>
      <c r="AV15" s="107" cm="1">
        <f t="array" ref="AV15">_xll.EQNXTDZ($A$1,$B15,AV$1)</f>
        <v>0</v>
      </c>
      <c r="AW15" s="107" cm="1">
        <f t="array" ref="AW15">_xll.EQNXTDZ($A$1,$B15,AW$1)</f>
        <v>0</v>
      </c>
      <c r="AX15" s="107" cm="1">
        <f t="array" ref="AX15">_xll.EQNXTDZ($A$1,$B15,AX$1)</f>
        <v>0</v>
      </c>
      <c r="AY15" s="107" cm="1">
        <f t="array" ref="AY15">_xll.EQNXTDZ($A$1,$B15,AY$1)</f>
        <v>0</v>
      </c>
      <c r="AZ15" s="107" cm="1">
        <f t="array" ref="AZ15">_xll.EQNXTDZ($A$1,$B15,AZ$1)</f>
        <v>0</v>
      </c>
      <c r="BA15" s="107" cm="1">
        <f t="array" ref="BA15">_xll.EQNXTDZ($A$1,$B15,BA$1)</f>
        <v>0</v>
      </c>
      <c r="BB15" s="107" cm="1">
        <f t="array" ref="BB15">_xll.EQNXTDZ($A$1,$B15,BB$1)</f>
        <v>0</v>
      </c>
      <c r="BC15" s="107" cm="1">
        <f t="array" ref="BC15">_xll.EQNXTDZ($A$1,$B15,BC$1)</f>
        <v>0</v>
      </c>
      <c r="BD15" s="107" cm="1">
        <f t="array" ref="BD15">_xll.EQNXTDZ($A$1,$B15,BD$1)</f>
        <v>0</v>
      </c>
      <c r="BE15" s="107" cm="1">
        <f t="array" ref="BE15">_xll.EQNXTDZ($A$1,$B15,BE$1)</f>
        <v>0</v>
      </c>
      <c r="BF15" s="107" cm="1">
        <f t="array" ref="BF15">_xll.EQNXTDZ($A$1,$B15,BF$1)</f>
        <v>0</v>
      </c>
      <c r="BG15" s="107" cm="1">
        <f t="array" ref="BG15">_xll.EQNXTDZ($A$1,$B15,BG$1)</f>
        <v>0</v>
      </c>
      <c r="BH15" s="107" cm="1">
        <f t="array" ref="BH15">_xll.EQNXTDZ($A$1,$B15,BH$1)</f>
        <v>0</v>
      </c>
      <c r="BI15" s="107" cm="1">
        <f t="array" ref="BI15">_xll.EQNXTDZ($A$1,$B15,BI$1)</f>
        <v>0</v>
      </c>
      <c r="BJ15" s="107" cm="1">
        <f t="array" ref="BJ15">_xll.EQNXTDZ($A$1,$B15,BJ$1)</f>
        <v>0</v>
      </c>
      <c r="BK15" s="107" cm="1">
        <f t="array" ref="BK15">_xll.EQNXTDZ($A$1,$B15,BK$1)</f>
        <v>0</v>
      </c>
      <c r="BL15" s="107" cm="1">
        <f t="array" ref="BL15">_xll.EQNXTDZ($A$1,$B15,BL$1)</f>
        <v>0</v>
      </c>
      <c r="BM15" s="107" cm="1">
        <f t="array" ref="BM15">_xll.EQNXTDZ($A$1,$B15,BM$1)</f>
        <v>0</v>
      </c>
      <c r="BN15" s="107" cm="1">
        <f t="array" ref="BN15">_xll.EQNXTDZ($A$1,$B15,BN$1)</f>
        <v>0</v>
      </c>
      <c r="BO15" s="107" cm="1">
        <f t="array" ref="BO15">_xll.EQNXTDZ($A$1,$B15,BO$1)</f>
        <v>0</v>
      </c>
      <c r="BP15" s="107" cm="1">
        <f t="array" ref="BP15">_xll.EQNXTDZ($A$1,$B15,BP$1)</f>
        <v>0</v>
      </c>
      <c r="BQ15" s="107" cm="1">
        <f t="array" ref="BQ15">_xll.EQNXTDZ($A$1,$B15,BQ$1)</f>
        <v>0</v>
      </c>
      <c r="BR15" s="107" cm="1">
        <f t="array" ref="BR15">_xll.EQNXTDZ($A$1,$B15,BR$1)</f>
        <v>0</v>
      </c>
      <c r="BS15" s="107" cm="1">
        <f t="array" ref="BS15">_xll.EQNXTDZ($A$1,$B15,BS$1)</f>
        <v>0</v>
      </c>
      <c r="BT15" s="107" cm="1">
        <f t="array" ref="BT15">_xll.EQNXTDZ($A$1,$B15,BT$1)</f>
        <v>0</v>
      </c>
      <c r="BU15" s="107" cm="1">
        <f t="array" ref="BU15">_xll.EQNXTDZ($A$1,$B15,BU$1)</f>
        <v>0</v>
      </c>
      <c r="BV15" s="107" cm="1">
        <f t="array" ref="BV15">_xll.EQNXTDZ($A$1,$B15,BV$1)</f>
        <v>0</v>
      </c>
      <c r="BW15" s="107" cm="1">
        <f t="array" ref="BW15">_xll.EQNXTDZ($A$1,$B15,BW$1)</f>
        <v>0</v>
      </c>
      <c r="BX15" s="107" cm="1">
        <f t="array" ref="BX15">_xll.EQNXTDZ($A$1,$B15,BX$1)</f>
        <v>0</v>
      </c>
      <c r="BY15" s="107" cm="1">
        <f t="array" ref="BY15">_xll.EQNXTDZ($A$1,$B15,BY$1)</f>
        <v>0</v>
      </c>
      <c r="BZ15" s="107" cm="1">
        <f t="array" ref="BZ15">_xll.EQNXTDZ($A$1,$B15,BZ$1)</f>
        <v>0</v>
      </c>
      <c r="CA15" s="107" cm="1">
        <f t="array" ref="CA15">_xll.EQNXTDZ($A$1,$B15,CA$1)</f>
        <v>0</v>
      </c>
      <c r="CB15" s="107" cm="1">
        <f t="array" ref="CB15">_xll.EQNXTDZ($A$1,$B15,CB$1)</f>
        <v>0</v>
      </c>
      <c r="CC15" s="107" cm="1">
        <f t="array" ref="CC15">_xll.EQNXTDZ($A$1,$B15,CC$1)</f>
        <v>0</v>
      </c>
      <c r="CD15" s="107" cm="1">
        <f t="array" ref="CD15">_xll.EQNXTDZ($A$1,$B15,CD$1)</f>
        <v>0</v>
      </c>
      <c r="CE15" s="107" cm="1">
        <f t="array" ref="CE15">_xll.EQNXTDZ($A$1,$B15,CE$1)</f>
        <v>0</v>
      </c>
      <c r="CF15" s="107" cm="1">
        <f t="array" ref="CF15">_xll.EQNXTDZ($A$1,$B15,CF$1)</f>
        <v>0</v>
      </c>
      <c r="CG15" s="107" cm="1">
        <f t="array" ref="CG15">_xll.EQNXTDZ($A$1,$B15,CG$1)</f>
        <v>0</v>
      </c>
      <c r="CH15" s="107" cm="1">
        <f t="array" ref="CH15">_xll.EQNXTDZ($A$1,$B15,CH$1)</f>
        <v>0</v>
      </c>
      <c r="CI15" s="107" cm="1">
        <f t="array" ref="CI15">_xll.EQNXTDZ($A$1,$B15,CI$1)</f>
        <v>0</v>
      </c>
      <c r="CJ15" s="107" cm="1">
        <f t="array" ref="CJ15">_xll.EQNXTDZ($A$1,$B15,CJ$1)</f>
        <v>0</v>
      </c>
      <c r="CK15" s="107" cm="1">
        <f t="array" ref="CK15">_xll.EQNXTDZ($A$1,$B15,CK$1)</f>
        <v>0</v>
      </c>
      <c r="CL15" s="107" cm="1">
        <f t="array" ref="CL15">_xll.EQNXTDZ($A$1,$B15,CL$1)</f>
        <v>0</v>
      </c>
      <c r="CM15" s="107" cm="1">
        <f t="array" ref="CM15">_xll.EQNXTDZ($A$1,$B15,CM$1)</f>
        <v>0</v>
      </c>
      <c r="CN15" s="107" cm="1">
        <f t="array" ref="CN15">_xll.EQNXTDZ($A$1,$B15,CN$1)</f>
        <v>0</v>
      </c>
      <c r="CO15" s="107" cm="1">
        <f t="array" ref="CO15">_xll.EQNXTDZ($A$1,$B15,CO$1)</f>
        <v>0</v>
      </c>
      <c r="CP15" s="107" cm="1">
        <f t="array" ref="CP15">_xll.EQNXTDZ($A$1,$B15,CP$1)</f>
        <v>0</v>
      </c>
      <c r="CQ15" s="107" cm="1">
        <f t="array" ref="CQ15">_xll.EQNXTDZ($A$1,$B15,CQ$1)</f>
        <v>0</v>
      </c>
      <c r="CR15" s="107" cm="1">
        <f t="array" ref="CR15">_xll.EQNXTDZ($A$1,$B15,CR$1)</f>
        <v>0</v>
      </c>
      <c r="CS15" s="107" cm="1">
        <f t="array" ref="CS15">_xll.EQNXTDZ($A$1,$B15,CS$1)</f>
        <v>0</v>
      </c>
      <c r="CT15" s="107" cm="1">
        <f t="array" ref="CT15">_xll.EQNXTDZ($A$1,$B15,CT$1)</f>
        <v>0</v>
      </c>
      <c r="CU15" s="107" cm="1">
        <f t="array" ref="CU15">_xll.EQNXTDZ($A$1,$B15,CU$1)</f>
        <v>0</v>
      </c>
      <c r="CV15" s="107" cm="1">
        <f t="array" ref="CV15">_xll.EQNXTDZ($A$1,$B15,CV$1)</f>
        <v>0</v>
      </c>
      <c r="CW15" s="107" cm="1">
        <f t="array" ref="CW15">_xll.EQNXTDZ($A$1,$B15,CW$1)</f>
        <v>0</v>
      </c>
      <c r="CX15" s="107" cm="1">
        <f t="array" ref="CX15">_xll.EQNXTDZ($A$1,$B15,CX$1)</f>
        <v>0</v>
      </c>
      <c r="CY15" s="107" cm="1">
        <f t="array" ref="CY15">_xll.EQNXTDZ($A$1,$B15,CY$1)</f>
        <v>0</v>
      </c>
      <c r="CZ15" s="107" cm="1">
        <f t="array" ref="CZ15">_xll.EQNXTDZ($A$1,$B15,CZ$1)</f>
        <v>0</v>
      </c>
      <c r="DA15" s="107" cm="1">
        <f t="array" ref="DA15">_xll.EQNXTDZ($A$1,$B15,DA$1)</f>
        <v>0</v>
      </c>
      <c r="DB15" s="107" cm="1">
        <f t="array" ref="DB15">_xll.EQNXTDZ($A$1,$B15,DB$1)</f>
        <v>0</v>
      </c>
      <c r="DC15" s="107" cm="1">
        <f t="array" ref="DC15">_xll.EQNXTDZ($A$1,$B15,DC$1)</f>
        <v>0</v>
      </c>
      <c r="DD15" s="107" cm="1">
        <f t="array" ref="DD15">_xll.EQNXTDZ($A$1,$B15,DD$1)</f>
        <v>0</v>
      </c>
      <c r="DE15" s="107" cm="1">
        <f t="array" ref="DE15">_xll.EQNXTDZ($A$1,$B15,DE$1)</f>
        <v>0</v>
      </c>
      <c r="DF15" s="107" cm="1">
        <f t="array" ref="DF15">_xll.EQNXTDZ($A$1,$B15,DF$1)</f>
        <v>0</v>
      </c>
      <c r="DG15" s="107" cm="1">
        <f t="array" ref="DG15">_xll.EQNXTDZ($A$1,$B15,DG$1)</f>
        <v>0</v>
      </c>
      <c r="DH15" s="107" cm="1">
        <f t="array" ref="DH15">_xll.EQNXTDZ($A$1,$B15,DH$1)</f>
        <v>0</v>
      </c>
      <c r="DI15" s="107" cm="1">
        <f t="array" ref="DI15">_xll.EQNXTDZ($A$1,$B15,DI$1)</f>
        <v>0</v>
      </c>
      <c r="DJ15" s="107" cm="1">
        <f t="array" ref="DJ15">_xll.EQNXTDZ($A$1,$B15,DJ$1)</f>
        <v>0</v>
      </c>
      <c r="DK15" s="107" cm="1">
        <f t="array" ref="DK15">_xll.EQNXTDZ($A$1,$B15,DK$1)</f>
        <v>0</v>
      </c>
      <c r="DL15" s="107" cm="1">
        <f t="array" ref="DL15">_xll.EQNXTDZ($A$1,$B15,DL$1)</f>
        <v>0</v>
      </c>
      <c r="DM15" s="107" cm="1">
        <f t="array" ref="DM15">_xll.EQNXTDZ($A$1,$B15,DM$1)</f>
        <v>0</v>
      </c>
      <c r="DN15" s="107" cm="1">
        <f t="array" ref="DN15">_xll.EQNXTDZ($A$1,$B15,DN$1)</f>
        <v>0</v>
      </c>
      <c r="DO15" s="107" cm="1">
        <f t="array" ref="DO15">_xll.EQNXTDZ($A$1,$B15,DO$1)</f>
        <v>0</v>
      </c>
      <c r="DP15" s="107" cm="1">
        <f t="array" ref="DP15">_xll.EQNXTDZ($A$1,$B15,DP$1)</f>
        <v>0</v>
      </c>
      <c r="DQ15" s="107" cm="1">
        <f t="array" ref="DQ15">_xll.EQNXTDZ($A$1,$B15,DQ$1)</f>
        <v>0</v>
      </c>
      <c r="DR15" s="107" cm="1">
        <f t="array" ref="DR15">_xll.EQNXTDZ($A$1,$B15,DR$1)</f>
        <v>0</v>
      </c>
      <c r="DS15" s="107" cm="1">
        <f t="array" ref="DS15">_xll.EQNXTDZ($A$1,$B15,DS$1)</f>
        <v>0</v>
      </c>
      <c r="DT15" s="107" cm="1">
        <f t="array" ref="DT15">_xll.EQNXTDZ($A$1,$B15,DT$1)</f>
        <v>0</v>
      </c>
      <c r="DU15" s="107" cm="1">
        <f t="array" ref="DU15">_xll.EQNXTDZ($A$1,$B15,DU$1)</f>
        <v>0</v>
      </c>
      <c r="DV15" s="107" cm="1">
        <f t="array" ref="DV15">_xll.EQNXTDZ($A$1,$B15,DV$1)</f>
        <v>0</v>
      </c>
      <c r="DW15" s="107" cm="1">
        <f t="array" ref="DW15">_xll.EQNXTDZ($A$1,$B15,DW$1)</f>
        <v>0</v>
      </c>
      <c r="DX15" s="107" cm="1">
        <f t="array" ref="DX15">_xll.EQNXTDZ($A$1,$B15,DX$1)</f>
        <v>0</v>
      </c>
      <c r="DY15" s="107" cm="1">
        <f t="array" ref="DY15">_xll.EQNXTDZ($A$1,$B15,DY$1)</f>
        <v>0</v>
      </c>
      <c r="DZ15" s="107" cm="1">
        <f t="array" ref="DZ15">_xll.EQNXTDZ($A$1,$B15,DZ$1)</f>
        <v>0</v>
      </c>
      <c r="EA15" s="107" cm="1">
        <f t="array" ref="EA15">_xll.EQNXTDZ($A$1,$B15,EA$1)</f>
        <v>0</v>
      </c>
      <c r="EB15" s="107" cm="1">
        <f t="array" ref="EB15">_xll.EQNXTDZ($A$1,$B15,EB$1)</f>
        <v>0</v>
      </c>
      <c r="EC15" s="107" cm="1">
        <f t="array" ref="EC15">_xll.EQNXTDZ($A$1,$B15,EC$1)</f>
        <v>0</v>
      </c>
      <c r="ED15" s="107" cm="1">
        <f t="array" ref="ED15">_xll.EQNXTDZ($A$1,$B15,ED$1)</f>
        <v>0</v>
      </c>
      <c r="EE15" s="107" cm="1">
        <f t="array" ref="EE15">_xll.EQNXTDZ($A$1,$B15,EE$1)</f>
        <v>0</v>
      </c>
      <c r="EF15" s="107" cm="1">
        <f t="array" ref="EF15">_xll.EQNXTDZ($A$1,$B15,EF$1)</f>
        <v>0</v>
      </c>
      <c r="EG15" s="107" cm="1">
        <f t="array" ref="EG15">_xll.EQNXTDZ($A$1,$B15,EG$1)</f>
        <v>0</v>
      </c>
      <c r="EH15" s="107" cm="1">
        <f t="array" ref="EH15">_xll.EQNXTDZ($A$1,$B15,EH$1)</f>
        <v>0</v>
      </c>
      <c r="EI15" s="107" cm="1">
        <f t="array" ref="EI15">_xll.EQNXTDZ($A$1,$B15,EI$1)</f>
        <v>0</v>
      </c>
      <c r="EJ15" s="107" cm="1">
        <f t="array" ref="EJ15">_xll.EQNXTDZ($A$1,$B15,EJ$1)</f>
        <v>0</v>
      </c>
      <c r="EK15" s="107" cm="1">
        <f t="array" ref="EK15">_xll.EQNXTDZ($A$1,$B15,EK$1)</f>
        <v>0</v>
      </c>
      <c r="EL15" s="107" cm="1">
        <f t="array" ref="EL15">_xll.EQNXTDZ($A$1,$B15,EL$1)</f>
        <v>0</v>
      </c>
      <c r="EM15" s="107" cm="1">
        <f t="array" ref="EM15">_xll.EQNXTDZ($A$1,$B15,EM$1)</f>
        <v>0</v>
      </c>
      <c r="EN15" s="107" cm="1">
        <f t="array" ref="EN15">_xll.EQNXTDZ($A$1,$B15,EN$1)</f>
        <v>0</v>
      </c>
      <c r="EO15" s="107" cm="1">
        <f t="array" ref="EO15">_xll.EQNXTDZ($A$1,$B15,EO$1)</f>
        <v>0</v>
      </c>
      <c r="EP15" s="107" cm="1">
        <f t="array" ref="EP15">_xll.EQNXTDZ($A$1,$B15,EP$1)</f>
        <v>0</v>
      </c>
      <c r="EQ15" s="107" cm="1">
        <f t="array" ref="EQ15">_xll.EQNXTDZ($A$1,$B15,EQ$1)</f>
        <v>0</v>
      </c>
      <c r="ER15" s="107" cm="1">
        <f t="array" ref="ER15">_xll.EQNXTDZ($A$1,$B15,ER$1)</f>
        <v>0</v>
      </c>
      <c r="ES15" s="107" cm="1">
        <f t="array" ref="ES15">_xll.EQNXTDZ($A$1,$B15,ES$1)</f>
        <v>0</v>
      </c>
      <c r="ET15" s="107" cm="1">
        <f t="array" ref="ET15">_xll.EQNXTDZ($A$1,$B15,ET$1)</f>
        <v>0</v>
      </c>
      <c r="EU15" s="107" cm="1">
        <f t="array" ref="EU15">_xll.EQNXTDZ($A$1,$B15,EU$1)</f>
        <v>0</v>
      </c>
      <c r="EV15" s="107" cm="1">
        <f t="array" ref="EV15">_xll.EQNXTDZ($A$1,$B15,EV$1)</f>
        <v>0</v>
      </c>
      <c r="EW15" s="107" cm="1">
        <f t="array" ref="EW15">_xll.EQNXTDZ($A$1,$B15,EW$1)</f>
        <v>0</v>
      </c>
      <c r="EX15" s="107" cm="1">
        <f t="array" ref="EX15">_xll.EQNXTDZ($A$1,$B15,EX$1)</f>
        <v>0</v>
      </c>
      <c r="EY15" s="107" cm="1">
        <f t="array" ref="EY15">_xll.EQNXTDZ($A$1,$B15,EY$1)</f>
        <v>0</v>
      </c>
      <c r="EZ15" s="107" cm="1">
        <f t="array" ref="EZ15">_xll.EQNXTDZ($A$1,$B15,EZ$1)</f>
        <v>0</v>
      </c>
      <c r="FA15" s="107" cm="1">
        <f t="array" ref="FA15">_xll.EQNXTDZ($A$1,$B15,FA$1)</f>
        <v>0</v>
      </c>
      <c r="FB15" s="107" cm="1">
        <f t="array" ref="FB15">_xll.EQNXTDZ($A$1,$B15,FB$1)</f>
        <v>0</v>
      </c>
      <c r="FC15" s="107" cm="1">
        <f t="array" ref="FC15">_xll.EQNXTDZ($A$1,$B15,FC$1)</f>
        <v>0</v>
      </c>
      <c r="FD15" s="107" cm="1">
        <f t="array" ref="FD15">_xll.EQNXTDZ($A$1,$B15,FD$1)</f>
        <v>741</v>
      </c>
      <c r="FE15" s="107" cm="1">
        <f t="array" ref="FE15">_xll.EQNXTDZ($A$1,$B15,FE$1)</f>
        <v>732.3</v>
      </c>
      <c r="FF15" s="107" cm="1">
        <f t="array" ref="FF15">_xll.EQNXTDZ($A$1,$B15,FF$1)</f>
        <v>739</v>
      </c>
      <c r="FG15" s="107" cm="1">
        <f t="array" ref="FG15">_xll.EQNXTDZ($A$1,$B15,FG$1)</f>
        <v>727.3</v>
      </c>
      <c r="FH15" s="107" cm="1">
        <f t="array" ref="FH15">_xll.EQNXTDZ($A$1,$B15,FH$1)</f>
        <v>705</v>
      </c>
      <c r="FI15" s="107" cm="1">
        <f t="array" ref="FI15">_xll.EQNXTDZ($A$1,$B15,FI$1)</f>
        <v>726.3</v>
      </c>
      <c r="FJ15" s="107" cm="1">
        <f t="array" ref="FJ15">_xll.EQNXTDZ($A$1,$B15,FJ$1)</f>
        <v>687.75</v>
      </c>
      <c r="FK15" s="107" cm="1">
        <f t="array" ref="FK15">_xll.EQNXTDZ($A$1,$B15,FK$1)</f>
        <v>698.35</v>
      </c>
      <c r="FL15" s="107" cm="1">
        <f t="array" ref="FL15">_xll.EQNXTDZ($A$1,$B15,FL$1)</f>
        <v>557</v>
      </c>
      <c r="FM15" s="107" cm="1">
        <f t="array" ref="FM15">_xll.EQNXTDZ($A$1,$B15,FM$1)</f>
        <v>560</v>
      </c>
      <c r="FN15" s="107" cm="1">
        <f t="array" ref="FN15">_xll.EQNXTDZ($A$1,$B15,FN$1)</f>
        <v>653.65</v>
      </c>
      <c r="FO15" s="107" cm="1">
        <f t="array" ref="FO15">_xll.EQNXTDZ($A$1,$B15,FO$1)</f>
        <v>613.6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0</v>
      </c>
      <c r="HQ15" s="107">
        <f>+MIN(G15:I15)</f>
        <v>0</v>
      </c>
      <c r="HR15" s="107">
        <f>+MIN(J15:L15)</f>
        <v>0</v>
      </c>
      <c r="HS15" s="107">
        <f>+MIN(M15:O15)</f>
        <v>0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0</v>
      </c>
      <c r="HX15" s="107">
        <f>+MIN(AB15:AD15)</f>
        <v>0</v>
      </c>
      <c r="HY15" s="107">
        <f>+MIN(AE15:AG15)</f>
        <v>0</v>
      </c>
      <c r="HZ15" s="107">
        <f>+MIN(AH15:AJ15)</f>
        <v>0</v>
      </c>
      <c r="IA15" s="107">
        <f>+MIN(AK15:AM15)</f>
        <v>0</v>
      </c>
      <c r="IB15" s="107">
        <f>+MIN(AN15:AP15)</f>
        <v>0</v>
      </c>
      <c r="IC15" s="107">
        <f>+MIN(AQ15:AS15)</f>
        <v>0</v>
      </c>
      <c r="ID15" s="107">
        <f>+MIN(AT15:AV15)</f>
        <v>0</v>
      </c>
      <c r="IE15" s="107">
        <f>+MIN(AW15:AY15)</f>
        <v>0</v>
      </c>
      <c r="IF15" s="107">
        <f>+MIN(AZ15:BB15)</f>
        <v>0</v>
      </c>
      <c r="IG15" s="107">
        <f>+MIN(BC15:BE15)</f>
        <v>0</v>
      </c>
      <c r="IH15" s="107">
        <f>+MIN(BF15:BH15)</f>
        <v>0</v>
      </c>
      <c r="II15" s="107">
        <f>+MIN(BI15:BK15)</f>
        <v>0</v>
      </c>
      <c r="IJ15" s="107">
        <f>+MIN(BL15:BN15)</f>
        <v>0</v>
      </c>
      <c r="IK15" s="107">
        <f>+MIN(BO15:BQ15)</f>
        <v>0</v>
      </c>
      <c r="IL15" s="107">
        <f>+MIN(BR15:BT15)</f>
        <v>0</v>
      </c>
      <c r="IM15" s="107">
        <f>+MIN(BU15:BW15)</f>
        <v>0</v>
      </c>
      <c r="IN15" s="107">
        <f>+MIN(BX15:BZ15)</f>
        <v>0</v>
      </c>
      <c r="IO15" s="107">
        <f>+MIN(CA15:CC15)</f>
        <v>0</v>
      </c>
      <c r="IP15" s="107">
        <f>+MIN(CD15:CF15)</f>
        <v>0</v>
      </c>
      <c r="IQ15" s="107">
        <f>+MIN(CG15:CI15)</f>
        <v>0</v>
      </c>
      <c r="IR15" s="107">
        <f>+MIN(CJ15:CL15)</f>
        <v>0</v>
      </c>
      <c r="IS15" s="107">
        <f>+MIN(CM15:CO15)</f>
        <v>0</v>
      </c>
      <c r="IT15" s="107">
        <f>+MIN(CP15:CR15)</f>
        <v>0</v>
      </c>
      <c r="IU15" s="107">
        <f>+MIN(CS15:CU15)</f>
        <v>0</v>
      </c>
      <c r="IV15" s="107">
        <f>+MIN(CV15:CX15)</f>
        <v>0</v>
      </c>
      <c r="IW15" s="107">
        <f>+MIN(CY15:DA15)</f>
        <v>0</v>
      </c>
      <c r="IX15" s="107">
        <f>+MIN(DB15:DD15)</f>
        <v>0</v>
      </c>
      <c r="IY15" s="107">
        <f>+MIN(DE15:DG15)</f>
        <v>0</v>
      </c>
      <c r="IZ15" s="107">
        <f>+MIN(DH15:DJ15)</f>
        <v>0</v>
      </c>
      <c r="JA15" s="107">
        <f>+MIN(DK15:DM15)</f>
        <v>0</v>
      </c>
      <c r="JB15" s="107">
        <f>+MIN(DN15:DP15)</f>
        <v>0</v>
      </c>
      <c r="JC15" s="107">
        <f>+MIN(DQ15:DS15)</f>
        <v>0</v>
      </c>
      <c r="JD15" s="107">
        <f>+MIN(DT15:DV15)</f>
        <v>0</v>
      </c>
      <c r="JE15" s="107">
        <f>+MIN(DW15:DY15)</f>
        <v>0</v>
      </c>
      <c r="JF15" s="107">
        <f>+MIN(DZ15:EB15)</f>
        <v>0</v>
      </c>
      <c r="JG15" s="107">
        <f>+MIN(EC15:EE15)</f>
        <v>0</v>
      </c>
      <c r="JH15" s="107">
        <f>+MIN(EF15:EH15)</f>
        <v>0</v>
      </c>
      <c r="JI15" s="107">
        <f>+MIN(EI15:EK15)</f>
        <v>0</v>
      </c>
      <c r="JJ15" s="107">
        <f>+MIN(EL15:EN15)</f>
        <v>0</v>
      </c>
      <c r="JK15" s="107">
        <f>MIN(EO15:EQ15)</f>
        <v>0</v>
      </c>
      <c r="JL15" s="107">
        <f>MIN(ER15:ET15)</f>
        <v>0</v>
      </c>
      <c r="JM15" s="107">
        <f>MIN(EU15:EW15)</f>
        <v>0</v>
      </c>
      <c r="JN15" s="107">
        <f>MIN(EX15:EZ15)</f>
        <v>0</v>
      </c>
      <c r="JO15" s="107">
        <f>MIN(FA15:FC15)</f>
        <v>0</v>
      </c>
      <c r="JP15" s="107">
        <f>MIN(FD15:FF15)</f>
        <v>732.3</v>
      </c>
      <c r="JQ15" s="107">
        <f>MIN(FG15:FI15)</f>
        <v>705</v>
      </c>
      <c r="JR15" s="107">
        <f>MIN(FJ15:FL15)</f>
        <v>557</v>
      </c>
      <c r="JS15" s="107">
        <f>MIN(FM15:FO15)</f>
        <v>560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0</v>
      </c>
      <c r="D16" s="107" cm="1">
        <f t="array" ref="D16">_xll.EQNXTDZ($A$1,$B16,D$1)</f>
        <v>0</v>
      </c>
      <c r="E16" s="107" cm="1">
        <f t="array" ref="E16">_xll.EQNXTDZ($A$1,$B16,E$1)</f>
        <v>0</v>
      </c>
      <c r="F16" s="107" cm="1">
        <f t="array" ref="F16">_xll.EQNXTDZ($A$1,$B16,F$1)</f>
        <v>0</v>
      </c>
      <c r="G16" s="107" cm="1">
        <f t="array" ref="G16">_xll.EQNXTDZ($A$1,$B16,G$1)</f>
        <v>0</v>
      </c>
      <c r="H16" s="107" cm="1">
        <f t="array" ref="H16">_xll.EQNXTDZ($A$1,$B16,H$1)</f>
        <v>0</v>
      </c>
      <c r="I16" s="107" cm="1">
        <f t="array" ref="I16">_xll.EQNXTDZ($A$1,$B16,I$1)</f>
        <v>0</v>
      </c>
      <c r="J16" s="107" cm="1">
        <f t="array" ref="J16">_xll.EQNXTDZ($A$1,$B16,J$1)</f>
        <v>0</v>
      </c>
      <c r="K16" s="107" cm="1">
        <f t="array" ref="K16">_xll.EQNXTDZ($A$1,$B16,K$1)</f>
        <v>0</v>
      </c>
      <c r="L16" s="107" cm="1">
        <f t="array" ref="L16">_xll.EQNXTDZ($A$1,$B16,L$1)</f>
        <v>0</v>
      </c>
      <c r="M16" s="107" cm="1">
        <f t="array" ref="M16">_xll.EQNXTDZ($A$1,$B16,M$1)</f>
        <v>0</v>
      </c>
      <c r="N16" s="107" cm="1">
        <f t="array" ref="N16">_xll.EQNXTDZ($A$1,$B16,N$1)</f>
        <v>0</v>
      </c>
      <c r="O16" s="107" cm="1">
        <f t="array" ref="O16">_xll.EQNXTDZ($A$1,$B16,O$1)</f>
        <v>0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0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0</v>
      </c>
      <c r="X16" s="107" cm="1">
        <f t="array" ref="X16">_xll.EQNXTDZ($A$1,$B16,X$1)</f>
        <v>0</v>
      </c>
      <c r="Y16" s="107" cm="1">
        <f t="array" ref="Y16">_xll.EQNXTDZ($A$1,$B16,Y$1)</f>
        <v>0</v>
      </c>
      <c r="Z16" s="107" cm="1">
        <f t="array" ref="Z16">_xll.EQNXTDZ($A$1,$B16,Z$1)</f>
        <v>0</v>
      </c>
      <c r="AA16" s="107" cm="1">
        <f t="array" ref="AA16">_xll.EQNXTDZ($A$1,$B16,AA$1)</f>
        <v>0</v>
      </c>
      <c r="AB16" s="107" cm="1">
        <f t="array" ref="AB16">_xll.EQNXTDZ($A$1,$B16,AB$1)</f>
        <v>0</v>
      </c>
      <c r="AC16" s="107" cm="1">
        <f t="array" ref="AC16">_xll.EQNXTDZ($A$1,$B16,AC$1)</f>
        <v>0</v>
      </c>
      <c r="AD16" s="107" cm="1">
        <f t="array" ref="AD16">_xll.EQNXTDZ($A$1,$B16,AD$1)</f>
        <v>0</v>
      </c>
      <c r="AE16" s="107" cm="1">
        <f t="array" ref="AE16">_xll.EQNXTDZ($A$1,$B16,AE$1)</f>
        <v>0</v>
      </c>
      <c r="AF16" s="107" cm="1">
        <f t="array" ref="AF16">_xll.EQNXTDZ($A$1,$B16,AF$1)</f>
        <v>0</v>
      </c>
      <c r="AG16" s="107" cm="1">
        <f t="array" ref="AG16">_xll.EQNXTDZ($A$1,$B16,AG$1)</f>
        <v>0</v>
      </c>
      <c r="AH16" s="107" cm="1">
        <f t="array" ref="AH16">_xll.EQNXTDZ($A$1,$B16,AH$1)</f>
        <v>0</v>
      </c>
      <c r="AI16" s="107" cm="1">
        <f t="array" ref="AI16">_xll.EQNXTDZ($A$1,$B16,AI$1)</f>
        <v>0</v>
      </c>
      <c r="AJ16" s="107" cm="1">
        <f t="array" ref="AJ16">_xll.EQNXTDZ($A$1,$B16,AJ$1)</f>
        <v>0</v>
      </c>
      <c r="AK16" s="107" cm="1">
        <f t="array" ref="AK16">_xll.EQNXTDZ($A$1,$B16,AK$1)</f>
        <v>0</v>
      </c>
      <c r="AL16" s="107" cm="1">
        <f t="array" ref="AL16">_xll.EQNXTDZ($A$1,$B16,AL$1)</f>
        <v>0</v>
      </c>
      <c r="AM16" s="107" cm="1">
        <f t="array" ref="AM16">_xll.EQNXTDZ($A$1,$B16,AM$1)</f>
        <v>0</v>
      </c>
      <c r="AN16" s="107" cm="1">
        <f t="array" ref="AN16">_xll.EQNXTDZ($A$1,$B16,AN$1)</f>
        <v>0</v>
      </c>
      <c r="AO16" s="107" cm="1">
        <f t="array" ref="AO16">_xll.EQNXTDZ($A$1,$B16,AO$1)</f>
        <v>0</v>
      </c>
      <c r="AP16" s="107" cm="1">
        <f t="array" ref="AP16">_xll.EQNXTDZ($A$1,$B16,AP$1)</f>
        <v>0</v>
      </c>
      <c r="AQ16" s="107" cm="1">
        <f t="array" ref="AQ16">_xll.EQNXTDZ($A$1,$B16,AQ$1)</f>
        <v>0</v>
      </c>
      <c r="AR16" s="107" cm="1">
        <f t="array" ref="AR16">_xll.EQNXTDZ($A$1,$B16,AR$1)</f>
        <v>0</v>
      </c>
      <c r="AS16" s="107" cm="1">
        <f t="array" ref="AS16">_xll.EQNXTDZ($A$1,$B16,AS$1)</f>
        <v>0</v>
      </c>
      <c r="AT16" s="107" cm="1">
        <f t="array" ref="AT16">_xll.EQNXTDZ($A$1,$B16,AT$1)</f>
        <v>0</v>
      </c>
      <c r="AU16" s="107" cm="1">
        <f t="array" ref="AU16">_xll.EQNXTDZ($A$1,$B16,AU$1)</f>
        <v>0</v>
      </c>
      <c r="AV16" s="107" cm="1">
        <f t="array" ref="AV16">_xll.EQNXTDZ($A$1,$B16,AV$1)</f>
        <v>0</v>
      </c>
      <c r="AW16" s="107" cm="1">
        <f t="array" ref="AW16">_xll.EQNXTDZ($A$1,$B16,AW$1)</f>
        <v>0</v>
      </c>
      <c r="AX16" s="107" cm="1">
        <f t="array" ref="AX16">_xll.EQNXTDZ($A$1,$B16,AX$1)</f>
        <v>0</v>
      </c>
      <c r="AY16" s="107" cm="1">
        <f t="array" ref="AY16">_xll.EQNXTDZ($A$1,$B16,AY$1)</f>
        <v>0</v>
      </c>
      <c r="AZ16" s="107" cm="1">
        <f t="array" ref="AZ16">_xll.EQNXTDZ($A$1,$B16,AZ$1)</f>
        <v>0</v>
      </c>
      <c r="BA16" s="107" cm="1">
        <f t="array" ref="BA16">_xll.EQNXTDZ($A$1,$B16,BA$1)</f>
        <v>0</v>
      </c>
      <c r="BB16" s="107" cm="1">
        <f t="array" ref="BB16">_xll.EQNXTDZ($A$1,$B16,BB$1)</f>
        <v>0</v>
      </c>
      <c r="BC16" s="107" cm="1">
        <f t="array" ref="BC16">_xll.EQNXTDZ($A$1,$B16,BC$1)</f>
        <v>0</v>
      </c>
      <c r="BD16" s="107" cm="1">
        <f t="array" ref="BD16">_xll.EQNXTDZ($A$1,$B16,BD$1)</f>
        <v>0</v>
      </c>
      <c r="BE16" s="107" cm="1">
        <f t="array" ref="BE16">_xll.EQNXTDZ($A$1,$B16,BE$1)</f>
        <v>0</v>
      </c>
      <c r="BF16" s="107" cm="1">
        <f t="array" ref="BF16">_xll.EQNXTDZ($A$1,$B16,BF$1)</f>
        <v>0</v>
      </c>
      <c r="BG16" s="107" cm="1">
        <f t="array" ref="BG16">_xll.EQNXTDZ($A$1,$B16,BG$1)</f>
        <v>0</v>
      </c>
      <c r="BH16" s="107" cm="1">
        <f t="array" ref="BH16">_xll.EQNXTDZ($A$1,$B16,BH$1)</f>
        <v>0</v>
      </c>
      <c r="BI16" s="107" cm="1">
        <f t="array" ref="BI16">_xll.EQNXTDZ($A$1,$B16,BI$1)</f>
        <v>0</v>
      </c>
      <c r="BJ16" s="107" cm="1">
        <f t="array" ref="BJ16">_xll.EQNXTDZ($A$1,$B16,BJ$1)</f>
        <v>0</v>
      </c>
      <c r="BK16" s="107" cm="1">
        <f t="array" ref="BK16">_xll.EQNXTDZ($A$1,$B16,BK$1)</f>
        <v>0</v>
      </c>
      <c r="BL16" s="107" cm="1">
        <f t="array" ref="BL16">_xll.EQNXTDZ($A$1,$B16,BL$1)</f>
        <v>0</v>
      </c>
      <c r="BM16" s="107" cm="1">
        <f t="array" ref="BM16">_xll.EQNXTDZ($A$1,$B16,BM$1)</f>
        <v>0</v>
      </c>
      <c r="BN16" s="107" cm="1">
        <f t="array" ref="BN16">_xll.EQNXTDZ($A$1,$B16,BN$1)</f>
        <v>0</v>
      </c>
      <c r="BO16" s="107" cm="1">
        <f t="array" ref="BO16">_xll.EQNXTDZ($A$1,$B16,BO$1)</f>
        <v>0</v>
      </c>
      <c r="BP16" s="107" cm="1">
        <f t="array" ref="BP16">_xll.EQNXTDZ($A$1,$B16,BP$1)</f>
        <v>0</v>
      </c>
      <c r="BQ16" s="107" cm="1">
        <f t="array" ref="BQ16">_xll.EQNXTDZ($A$1,$B16,BQ$1)</f>
        <v>0</v>
      </c>
      <c r="BR16" s="107" cm="1">
        <f t="array" ref="BR16">_xll.EQNXTDZ($A$1,$B16,BR$1)</f>
        <v>0</v>
      </c>
      <c r="BS16" s="107" cm="1">
        <f t="array" ref="BS16">_xll.EQNXTDZ($A$1,$B16,BS$1)</f>
        <v>0</v>
      </c>
      <c r="BT16" s="107" cm="1">
        <f t="array" ref="BT16">_xll.EQNXTDZ($A$1,$B16,BT$1)</f>
        <v>0</v>
      </c>
      <c r="BU16" s="107" cm="1">
        <f t="array" ref="BU16">_xll.EQNXTDZ($A$1,$B16,BU$1)</f>
        <v>0</v>
      </c>
      <c r="BV16" s="107" cm="1">
        <f t="array" ref="BV16">_xll.EQNXTDZ($A$1,$B16,BV$1)</f>
        <v>0</v>
      </c>
      <c r="BW16" s="107" cm="1">
        <f t="array" ref="BW16">_xll.EQNXTDZ($A$1,$B16,BW$1)</f>
        <v>0</v>
      </c>
      <c r="BX16" s="107" cm="1">
        <f t="array" ref="BX16">_xll.EQNXTDZ($A$1,$B16,BX$1)</f>
        <v>0</v>
      </c>
      <c r="BY16" s="107" cm="1">
        <f t="array" ref="BY16">_xll.EQNXTDZ($A$1,$B16,BY$1)</f>
        <v>0</v>
      </c>
      <c r="BZ16" s="107" cm="1">
        <f t="array" ref="BZ16">_xll.EQNXTDZ($A$1,$B16,BZ$1)</f>
        <v>0</v>
      </c>
      <c r="CA16" s="107" cm="1">
        <f t="array" ref="CA16">_xll.EQNXTDZ($A$1,$B16,CA$1)</f>
        <v>0</v>
      </c>
      <c r="CB16" s="107" cm="1">
        <f t="array" ref="CB16">_xll.EQNXTDZ($A$1,$B16,CB$1)</f>
        <v>0</v>
      </c>
      <c r="CC16" s="107" cm="1">
        <f t="array" ref="CC16">_xll.EQNXTDZ($A$1,$B16,CC$1)</f>
        <v>0</v>
      </c>
      <c r="CD16" s="107" cm="1">
        <f t="array" ref="CD16">_xll.EQNXTDZ($A$1,$B16,CD$1)</f>
        <v>0</v>
      </c>
      <c r="CE16" s="107" cm="1">
        <f t="array" ref="CE16">_xll.EQNXTDZ($A$1,$B16,CE$1)</f>
        <v>0</v>
      </c>
      <c r="CF16" s="107" cm="1">
        <f t="array" ref="CF16">_xll.EQNXTDZ($A$1,$B16,CF$1)</f>
        <v>0</v>
      </c>
      <c r="CG16" s="107" cm="1">
        <f t="array" ref="CG16">_xll.EQNXTDZ($A$1,$B16,CG$1)</f>
        <v>0</v>
      </c>
      <c r="CH16" s="107" cm="1">
        <f t="array" ref="CH16">_xll.EQNXTDZ($A$1,$B16,CH$1)</f>
        <v>0</v>
      </c>
      <c r="CI16" s="107" cm="1">
        <f t="array" ref="CI16">_xll.EQNXTDZ($A$1,$B16,CI$1)</f>
        <v>0</v>
      </c>
      <c r="CJ16" s="107" cm="1">
        <f t="array" ref="CJ16">_xll.EQNXTDZ($A$1,$B16,CJ$1)</f>
        <v>0</v>
      </c>
      <c r="CK16" s="107" cm="1">
        <f t="array" ref="CK16">_xll.EQNXTDZ($A$1,$B16,CK$1)</f>
        <v>0</v>
      </c>
      <c r="CL16" s="107" cm="1">
        <f t="array" ref="CL16">_xll.EQNXTDZ($A$1,$B16,CL$1)</f>
        <v>0</v>
      </c>
      <c r="CM16" s="107" cm="1">
        <f t="array" ref="CM16">_xll.EQNXTDZ($A$1,$B16,CM$1)</f>
        <v>0</v>
      </c>
      <c r="CN16" s="107" cm="1">
        <f t="array" ref="CN16">_xll.EQNXTDZ($A$1,$B16,CN$1)</f>
        <v>0</v>
      </c>
      <c r="CO16" s="107" cm="1">
        <f t="array" ref="CO16">_xll.EQNXTDZ($A$1,$B16,CO$1)</f>
        <v>0</v>
      </c>
      <c r="CP16" s="107" cm="1">
        <f t="array" ref="CP16">_xll.EQNXTDZ($A$1,$B16,CP$1)</f>
        <v>0</v>
      </c>
      <c r="CQ16" s="107" cm="1">
        <f t="array" ref="CQ16">_xll.EQNXTDZ($A$1,$B16,CQ$1)</f>
        <v>0</v>
      </c>
      <c r="CR16" s="107" cm="1">
        <f t="array" ref="CR16">_xll.EQNXTDZ($A$1,$B16,CR$1)</f>
        <v>0</v>
      </c>
      <c r="CS16" s="107" cm="1">
        <f t="array" ref="CS16">_xll.EQNXTDZ($A$1,$B16,CS$1)</f>
        <v>0</v>
      </c>
      <c r="CT16" s="107" cm="1">
        <f t="array" ref="CT16">_xll.EQNXTDZ($A$1,$B16,CT$1)</f>
        <v>0</v>
      </c>
      <c r="CU16" s="107" cm="1">
        <f t="array" ref="CU16">_xll.EQNXTDZ($A$1,$B16,CU$1)</f>
        <v>0</v>
      </c>
      <c r="CV16" s="107" cm="1">
        <f t="array" ref="CV16">_xll.EQNXTDZ($A$1,$B16,CV$1)</f>
        <v>0</v>
      </c>
      <c r="CW16" s="107" cm="1">
        <f t="array" ref="CW16">_xll.EQNXTDZ($A$1,$B16,CW$1)</f>
        <v>0</v>
      </c>
      <c r="CX16" s="107" cm="1">
        <f t="array" ref="CX16">_xll.EQNXTDZ($A$1,$B16,CX$1)</f>
        <v>0</v>
      </c>
      <c r="CY16" s="107" cm="1">
        <f t="array" ref="CY16">_xll.EQNXTDZ($A$1,$B16,CY$1)</f>
        <v>0</v>
      </c>
      <c r="CZ16" s="107" cm="1">
        <f t="array" ref="CZ16">_xll.EQNXTDZ($A$1,$B16,CZ$1)</f>
        <v>0</v>
      </c>
      <c r="DA16" s="107" cm="1">
        <f t="array" ref="DA16">_xll.EQNXTDZ($A$1,$B16,DA$1)</f>
        <v>0</v>
      </c>
      <c r="DB16" s="107" cm="1">
        <f t="array" ref="DB16">_xll.EQNXTDZ($A$1,$B16,DB$1)</f>
        <v>0</v>
      </c>
      <c r="DC16" s="107" cm="1">
        <f t="array" ref="DC16">_xll.EQNXTDZ($A$1,$B16,DC$1)</f>
        <v>0</v>
      </c>
      <c r="DD16" s="107" cm="1">
        <f t="array" ref="DD16">_xll.EQNXTDZ($A$1,$B16,DD$1)</f>
        <v>0</v>
      </c>
      <c r="DE16" s="107" cm="1">
        <f t="array" ref="DE16">_xll.EQNXTDZ($A$1,$B16,DE$1)</f>
        <v>0</v>
      </c>
      <c r="DF16" s="107" cm="1">
        <f t="array" ref="DF16">_xll.EQNXTDZ($A$1,$B16,DF$1)</f>
        <v>0</v>
      </c>
      <c r="DG16" s="107" cm="1">
        <f t="array" ref="DG16">_xll.EQNXTDZ($A$1,$B16,DG$1)</f>
        <v>0</v>
      </c>
      <c r="DH16" s="107" cm="1">
        <f t="array" ref="DH16">_xll.EQNXTDZ($A$1,$B16,DH$1)</f>
        <v>0</v>
      </c>
      <c r="DI16" s="107" cm="1">
        <f t="array" ref="DI16">_xll.EQNXTDZ($A$1,$B16,DI$1)</f>
        <v>0</v>
      </c>
      <c r="DJ16" s="107" cm="1">
        <f t="array" ref="DJ16">_xll.EQNXTDZ($A$1,$B16,DJ$1)</f>
        <v>0</v>
      </c>
      <c r="DK16" s="107" cm="1">
        <f t="array" ref="DK16">_xll.EQNXTDZ($A$1,$B16,DK$1)</f>
        <v>0</v>
      </c>
      <c r="DL16" s="107" cm="1">
        <f t="array" ref="DL16">_xll.EQNXTDZ($A$1,$B16,DL$1)</f>
        <v>0</v>
      </c>
      <c r="DM16" s="107" cm="1">
        <f t="array" ref="DM16">_xll.EQNXTDZ($A$1,$B16,DM$1)</f>
        <v>0</v>
      </c>
      <c r="DN16" s="107" cm="1">
        <f t="array" ref="DN16">_xll.EQNXTDZ($A$1,$B16,DN$1)</f>
        <v>0</v>
      </c>
      <c r="DO16" s="107" cm="1">
        <f t="array" ref="DO16">_xll.EQNXTDZ($A$1,$B16,DO$1)</f>
        <v>0</v>
      </c>
      <c r="DP16" s="107" cm="1">
        <f t="array" ref="DP16">_xll.EQNXTDZ($A$1,$B16,DP$1)</f>
        <v>0</v>
      </c>
      <c r="DQ16" s="107" cm="1">
        <f t="array" ref="DQ16">_xll.EQNXTDZ($A$1,$B16,DQ$1)</f>
        <v>0</v>
      </c>
      <c r="DR16" s="107" cm="1">
        <f t="array" ref="DR16">_xll.EQNXTDZ($A$1,$B16,DR$1)</f>
        <v>0</v>
      </c>
      <c r="DS16" s="107" cm="1">
        <f t="array" ref="DS16">_xll.EQNXTDZ($A$1,$B16,DS$1)</f>
        <v>0</v>
      </c>
      <c r="DT16" s="107" cm="1">
        <f t="array" ref="DT16">_xll.EQNXTDZ($A$1,$B16,DT$1)</f>
        <v>0</v>
      </c>
      <c r="DU16" s="107" cm="1">
        <f t="array" ref="DU16">_xll.EQNXTDZ($A$1,$B16,DU$1)</f>
        <v>0</v>
      </c>
      <c r="DV16" s="107" cm="1">
        <f t="array" ref="DV16">_xll.EQNXTDZ($A$1,$B16,DV$1)</f>
        <v>0</v>
      </c>
      <c r="DW16" s="107" cm="1">
        <f t="array" ref="DW16">_xll.EQNXTDZ($A$1,$B16,DW$1)</f>
        <v>0</v>
      </c>
      <c r="DX16" s="107" cm="1">
        <f t="array" ref="DX16">_xll.EQNXTDZ($A$1,$B16,DX$1)</f>
        <v>0</v>
      </c>
      <c r="DY16" s="107" cm="1">
        <f t="array" ref="DY16">_xll.EQNXTDZ($A$1,$B16,DY$1)</f>
        <v>0</v>
      </c>
      <c r="DZ16" s="107" cm="1">
        <f t="array" ref="DZ16">_xll.EQNXTDZ($A$1,$B16,DZ$1)</f>
        <v>0</v>
      </c>
      <c r="EA16" s="107" cm="1">
        <f t="array" ref="EA16">_xll.EQNXTDZ($A$1,$B16,EA$1)</f>
        <v>0</v>
      </c>
      <c r="EB16" s="107" cm="1">
        <f t="array" ref="EB16">_xll.EQNXTDZ($A$1,$B16,EB$1)</f>
        <v>0</v>
      </c>
      <c r="EC16" s="107" cm="1">
        <f t="array" ref="EC16">_xll.EQNXTDZ($A$1,$B16,EC$1)</f>
        <v>0</v>
      </c>
      <c r="ED16" s="107" cm="1">
        <f t="array" ref="ED16">_xll.EQNXTDZ($A$1,$B16,ED$1)</f>
        <v>0</v>
      </c>
      <c r="EE16" s="107" cm="1">
        <f t="array" ref="EE16">_xll.EQNXTDZ($A$1,$B16,EE$1)</f>
        <v>0</v>
      </c>
      <c r="EF16" s="107" cm="1">
        <f t="array" ref="EF16">_xll.EQNXTDZ($A$1,$B16,EF$1)</f>
        <v>0</v>
      </c>
      <c r="EG16" s="107" cm="1">
        <f t="array" ref="EG16">_xll.EQNXTDZ($A$1,$B16,EG$1)</f>
        <v>0</v>
      </c>
      <c r="EH16" s="107" cm="1">
        <f t="array" ref="EH16">_xll.EQNXTDZ($A$1,$B16,EH$1)</f>
        <v>0</v>
      </c>
      <c r="EI16" s="107" cm="1">
        <f t="array" ref="EI16">_xll.EQNXTDZ($A$1,$B16,EI$1)</f>
        <v>0</v>
      </c>
      <c r="EJ16" s="107" cm="1">
        <f t="array" ref="EJ16">_xll.EQNXTDZ($A$1,$B16,EJ$1)</f>
        <v>0</v>
      </c>
      <c r="EK16" s="107" cm="1">
        <f t="array" ref="EK16">_xll.EQNXTDZ($A$1,$B16,EK$1)</f>
        <v>0</v>
      </c>
      <c r="EL16" s="107" cm="1">
        <f t="array" ref="EL16">_xll.EQNXTDZ($A$1,$B16,EL$1)</f>
        <v>0</v>
      </c>
      <c r="EM16" s="107" cm="1">
        <f t="array" ref="EM16">_xll.EQNXTDZ($A$1,$B16,EM$1)</f>
        <v>0</v>
      </c>
      <c r="EN16" s="107" cm="1">
        <f t="array" ref="EN16">_xll.EQNXTDZ($A$1,$B16,EN$1)</f>
        <v>0</v>
      </c>
      <c r="EO16" s="107" cm="1">
        <f t="array" ref="EO16">_xll.EQNXTDZ($A$1,$B16,EO$1)</f>
        <v>0</v>
      </c>
      <c r="EP16" s="107" cm="1">
        <f t="array" ref="EP16">_xll.EQNXTDZ($A$1,$B16,EP$1)</f>
        <v>0</v>
      </c>
      <c r="EQ16" s="107" cm="1">
        <f t="array" ref="EQ16">_xll.EQNXTDZ($A$1,$B16,EQ$1)</f>
        <v>0</v>
      </c>
      <c r="ER16" s="107" cm="1">
        <f t="array" ref="ER16">_xll.EQNXTDZ($A$1,$B16,ER$1)</f>
        <v>0</v>
      </c>
      <c r="ES16" s="107" cm="1">
        <f t="array" ref="ES16">_xll.EQNXTDZ($A$1,$B16,ES$1)</f>
        <v>0</v>
      </c>
      <c r="ET16" s="107" cm="1">
        <f t="array" ref="ET16">_xll.EQNXTDZ($A$1,$B16,ET$1)</f>
        <v>0</v>
      </c>
      <c r="EU16" s="107" cm="1">
        <f t="array" ref="EU16">_xll.EQNXTDZ($A$1,$B16,EU$1)</f>
        <v>0</v>
      </c>
      <c r="EV16" s="107" cm="1">
        <f t="array" ref="EV16">_xll.EQNXTDZ($A$1,$B16,EV$1)</f>
        <v>0</v>
      </c>
      <c r="EW16" s="107" cm="1">
        <f t="array" ref="EW16">_xll.EQNXTDZ($A$1,$B16,EW$1)</f>
        <v>0</v>
      </c>
      <c r="EX16" s="107" cm="1">
        <f t="array" ref="EX16">_xll.EQNXTDZ($A$1,$B16,EX$1)</f>
        <v>0</v>
      </c>
      <c r="EY16" s="107" cm="1">
        <f t="array" ref="EY16">_xll.EQNXTDZ($A$1,$B16,EY$1)</f>
        <v>0</v>
      </c>
      <c r="EZ16" s="107" cm="1">
        <f t="array" ref="EZ16">_xll.EQNXTDZ($A$1,$B16,EZ$1)</f>
        <v>0</v>
      </c>
      <c r="FA16" s="107" cm="1">
        <f t="array" ref="FA16">_xll.EQNXTDZ($A$1,$B16,FA$1)</f>
        <v>0</v>
      </c>
      <c r="FB16" s="107" cm="1">
        <f t="array" ref="FB16">_xll.EQNXTDZ($A$1,$B16,FB$1)</f>
        <v>0</v>
      </c>
      <c r="FC16" s="107" cm="1">
        <f t="array" ref="FC16">_xll.EQNXTDZ($A$1,$B16,FC$1)</f>
        <v>0</v>
      </c>
      <c r="FD16" s="107" cm="1">
        <f t="array" ref="FD16">_xll.EQNXTDZ($A$1,$B16,FD$1)</f>
        <v>758.65</v>
      </c>
      <c r="FE16" s="107" cm="1">
        <f t="array" ref="FE16">_xll.EQNXTDZ($A$1,$B16,FE$1)</f>
        <v>778.1</v>
      </c>
      <c r="FF16" s="107" cm="1">
        <f t="array" ref="FF16">_xll.EQNXTDZ($A$1,$B16,FF$1)</f>
        <v>750.1</v>
      </c>
      <c r="FG16" s="107" cm="1">
        <f t="array" ref="FG16">_xll.EQNXTDZ($A$1,$B16,FG$1)</f>
        <v>731.35</v>
      </c>
      <c r="FH16" s="107" cm="1">
        <f t="array" ref="FH16">_xll.EQNXTDZ($A$1,$B16,FH$1)</f>
        <v>767.55</v>
      </c>
      <c r="FI16" s="107" cm="1">
        <f t="array" ref="FI16">_xll.EQNXTDZ($A$1,$B16,FI$1)</f>
        <v>765.15</v>
      </c>
      <c r="FJ16" s="107" cm="1">
        <f t="array" ref="FJ16">_xll.EQNXTDZ($A$1,$B16,FJ$1)</f>
        <v>707.2</v>
      </c>
      <c r="FK16" s="107" cm="1">
        <f t="array" ref="FK16">_xll.EQNXTDZ($A$1,$B16,FK$1)</f>
        <v>705.7</v>
      </c>
      <c r="FL16" s="107" cm="1">
        <f t="array" ref="FL16">_xll.EQNXTDZ($A$1,$B16,FL$1)</f>
        <v>560.04999999999995</v>
      </c>
      <c r="FM16" s="107" cm="1">
        <f t="array" ref="FM16">_xll.EQNXTDZ($A$1,$B16,FM$1)</f>
        <v>656.2</v>
      </c>
      <c r="FN16" s="107" cm="1">
        <f t="array" ref="FN16">_xll.EQNXTDZ($A$1,$B16,FN$1)</f>
        <v>666.45</v>
      </c>
      <c r="FO16" s="107" cm="1">
        <f t="array" ref="FO16">_xll.EQNXTDZ($A$1,$B16,FO$1)</f>
        <v>709.4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0</v>
      </c>
      <c r="HQ16" s="107">
        <f>+I16</f>
        <v>0</v>
      </c>
      <c r="HR16" s="107">
        <f>+L16</f>
        <v>0</v>
      </c>
      <c r="HS16" s="107">
        <f>+O16</f>
        <v>0</v>
      </c>
      <c r="HT16" s="107">
        <f>+R16</f>
        <v>0</v>
      </c>
      <c r="HU16" s="107">
        <f>+U16</f>
        <v>0</v>
      </c>
      <c r="HV16" s="107">
        <f>+X16</f>
        <v>0</v>
      </c>
      <c r="HW16" s="107">
        <f>+AA16</f>
        <v>0</v>
      </c>
      <c r="HX16" s="107">
        <f>+AD16</f>
        <v>0</v>
      </c>
      <c r="HY16" s="107">
        <f>+AG16</f>
        <v>0</v>
      </c>
      <c r="HZ16" s="107">
        <f>+AJ16</f>
        <v>0</v>
      </c>
      <c r="IA16" s="107">
        <f>+AM16</f>
        <v>0</v>
      </c>
      <c r="IB16" s="107">
        <f>+AP16</f>
        <v>0</v>
      </c>
      <c r="IC16" s="107">
        <f>+AS16</f>
        <v>0</v>
      </c>
      <c r="ID16" s="107">
        <f>+AV16</f>
        <v>0</v>
      </c>
      <c r="IE16" s="107">
        <f>+AY16</f>
        <v>0</v>
      </c>
      <c r="IF16" s="107">
        <f>+BB16</f>
        <v>0</v>
      </c>
      <c r="IG16" s="107">
        <f>+BE16</f>
        <v>0</v>
      </c>
      <c r="IH16" s="107">
        <f>+BH16</f>
        <v>0</v>
      </c>
      <c r="II16" s="107">
        <f>+BK16</f>
        <v>0</v>
      </c>
      <c r="IJ16" s="107">
        <f>+BN16</f>
        <v>0</v>
      </c>
      <c r="IK16" s="107">
        <f>+BQ16</f>
        <v>0</v>
      </c>
      <c r="IL16" s="107">
        <f>+BT16</f>
        <v>0</v>
      </c>
      <c r="IM16" s="107">
        <f>+BW16</f>
        <v>0</v>
      </c>
      <c r="IN16" s="107">
        <f>+BZ16</f>
        <v>0</v>
      </c>
      <c r="IO16" s="107">
        <f>+CC16</f>
        <v>0</v>
      </c>
      <c r="IP16" s="107">
        <f>+CF16</f>
        <v>0</v>
      </c>
      <c r="IQ16" s="107">
        <f>+CI16</f>
        <v>0</v>
      </c>
      <c r="IR16" s="107">
        <f>+CL16</f>
        <v>0</v>
      </c>
      <c r="IS16" s="107">
        <f>+CO16</f>
        <v>0</v>
      </c>
      <c r="IT16" s="107">
        <f>+CR16</f>
        <v>0</v>
      </c>
      <c r="IU16" s="107">
        <f>+CU16</f>
        <v>0</v>
      </c>
      <c r="IV16" s="107">
        <f>+CX16</f>
        <v>0</v>
      </c>
      <c r="IW16" s="107">
        <f>+DA16</f>
        <v>0</v>
      </c>
      <c r="IX16" s="107">
        <f>+DD16</f>
        <v>0</v>
      </c>
      <c r="IY16" s="107">
        <f>+DG16</f>
        <v>0</v>
      </c>
      <c r="IZ16" s="107">
        <f>+DJ16</f>
        <v>0</v>
      </c>
      <c r="JA16" s="107">
        <f>+DM16</f>
        <v>0</v>
      </c>
      <c r="JB16" s="107">
        <f>+DP16</f>
        <v>0</v>
      </c>
      <c r="JC16" s="107">
        <f>+DS16</f>
        <v>0</v>
      </c>
      <c r="JD16" s="107">
        <f>+DV16</f>
        <v>0</v>
      </c>
      <c r="JE16" s="107">
        <f>+DY16</f>
        <v>0</v>
      </c>
      <c r="JF16" s="107">
        <f>+EB16</f>
        <v>0</v>
      </c>
      <c r="JG16" s="107">
        <f>+EE16</f>
        <v>0</v>
      </c>
      <c r="JH16" s="107">
        <f>+EH16</f>
        <v>0</v>
      </c>
      <c r="JI16" s="107">
        <f>+EK16</f>
        <v>0</v>
      </c>
      <c r="JJ16" s="107">
        <f>+EN16</f>
        <v>0</v>
      </c>
      <c r="JK16" s="107">
        <f>EQ16</f>
        <v>0</v>
      </c>
      <c r="JL16" s="107">
        <f>ET16</f>
        <v>0</v>
      </c>
      <c r="JM16" s="107">
        <f>EW16</f>
        <v>0</v>
      </c>
      <c r="JN16" s="107">
        <f>EZ16</f>
        <v>0</v>
      </c>
      <c r="JO16" s="107">
        <f>FC16</f>
        <v>0</v>
      </c>
      <c r="JP16" s="107">
        <f>FF16</f>
        <v>750.1</v>
      </c>
      <c r="JQ16" s="107">
        <f>FI16</f>
        <v>765.15</v>
      </c>
      <c r="JR16" s="107">
        <f>FL16</f>
        <v>560.04999999999995</v>
      </c>
      <c r="JS16" s="107">
        <f>FO16</f>
        <v>709.4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0</v>
      </c>
      <c r="HQ19" s="107">
        <f t="shared" ref="HQ19:JO21" si="0">+IF(HQ14=0,HQ7,HQ14)</f>
        <v>0</v>
      </c>
      <c r="HR19" s="107">
        <f t="shared" si="0"/>
        <v>0</v>
      </c>
      <c r="HS19" s="107">
        <f t="shared" si="0"/>
        <v>0</v>
      </c>
      <c r="HT19" s="107">
        <f t="shared" si="0"/>
        <v>0</v>
      </c>
      <c r="HU19" s="107">
        <f t="shared" si="0"/>
        <v>0</v>
      </c>
      <c r="HV19" s="107">
        <f t="shared" si="0"/>
        <v>0</v>
      </c>
      <c r="HW19" s="107">
        <f t="shared" si="0"/>
        <v>0</v>
      </c>
      <c r="HX19" s="107">
        <f t="shared" si="0"/>
        <v>0</v>
      </c>
      <c r="HY19" s="107">
        <f t="shared" si="0"/>
        <v>0</v>
      </c>
      <c r="HZ19" s="107">
        <f t="shared" si="0"/>
        <v>0</v>
      </c>
      <c r="IA19" s="107">
        <f t="shared" si="0"/>
        <v>0</v>
      </c>
      <c r="IB19" s="107">
        <f t="shared" si="0"/>
        <v>0</v>
      </c>
      <c r="IC19" s="107">
        <f t="shared" si="0"/>
        <v>0</v>
      </c>
      <c r="ID19" s="107">
        <f t="shared" si="0"/>
        <v>0</v>
      </c>
      <c r="IE19" s="107">
        <f t="shared" si="0"/>
        <v>0</v>
      </c>
      <c r="IF19" s="107">
        <f t="shared" si="0"/>
        <v>0</v>
      </c>
      <c r="IG19" s="107">
        <f t="shared" si="0"/>
        <v>0</v>
      </c>
      <c r="IH19" s="107">
        <f t="shared" si="0"/>
        <v>0</v>
      </c>
      <c r="II19" s="107">
        <f t="shared" si="0"/>
        <v>0</v>
      </c>
      <c r="IJ19" s="107">
        <f t="shared" si="0"/>
        <v>0</v>
      </c>
      <c r="IK19" s="107">
        <f t="shared" si="0"/>
        <v>0</v>
      </c>
      <c r="IL19" s="107">
        <f t="shared" si="0"/>
        <v>0</v>
      </c>
      <c r="IM19" s="107">
        <f t="shared" si="0"/>
        <v>0</v>
      </c>
      <c r="IN19" s="107">
        <f t="shared" si="0"/>
        <v>0</v>
      </c>
      <c r="IO19" s="107">
        <f t="shared" si="0"/>
        <v>0</v>
      </c>
      <c r="IP19" s="107">
        <f t="shared" si="0"/>
        <v>0</v>
      </c>
      <c r="IQ19" s="107">
        <f t="shared" si="0"/>
        <v>0</v>
      </c>
      <c r="IR19" s="107">
        <f t="shared" si="0"/>
        <v>0</v>
      </c>
      <c r="IS19" s="107">
        <f t="shared" si="0"/>
        <v>0</v>
      </c>
      <c r="IT19" s="107">
        <f t="shared" si="0"/>
        <v>0</v>
      </c>
      <c r="IU19" s="107">
        <f t="shared" si="0"/>
        <v>0</v>
      </c>
      <c r="IV19" s="107">
        <f t="shared" si="0"/>
        <v>0</v>
      </c>
      <c r="IW19" s="107">
        <f t="shared" si="0"/>
        <v>0</v>
      </c>
      <c r="IX19" s="107">
        <f t="shared" si="0"/>
        <v>0</v>
      </c>
      <c r="IY19" s="107">
        <f t="shared" si="0"/>
        <v>0</v>
      </c>
      <c r="IZ19" s="107">
        <f t="shared" si="0"/>
        <v>0</v>
      </c>
      <c r="JA19" s="107">
        <f t="shared" si="0"/>
        <v>0</v>
      </c>
      <c r="JB19" s="107">
        <f t="shared" si="0"/>
        <v>0</v>
      </c>
      <c r="JC19" s="107">
        <f t="shared" si="0"/>
        <v>0</v>
      </c>
      <c r="JD19" s="107">
        <f t="shared" si="0"/>
        <v>0</v>
      </c>
      <c r="JE19" s="107">
        <f t="shared" si="0"/>
        <v>0</v>
      </c>
      <c r="JF19" s="107">
        <f t="shared" si="0"/>
        <v>0</v>
      </c>
      <c r="JG19" s="107">
        <f t="shared" si="0"/>
        <v>0</v>
      </c>
      <c r="JH19" s="107">
        <f t="shared" si="0"/>
        <v>0</v>
      </c>
      <c r="JI19" s="107">
        <f t="shared" si="0"/>
        <v>0</v>
      </c>
      <c r="JJ19" s="107">
        <f t="shared" si="0"/>
        <v>0</v>
      </c>
      <c r="JK19" s="107">
        <f t="shared" si="0"/>
        <v>0</v>
      </c>
      <c r="JL19" s="107">
        <f t="shared" si="0"/>
        <v>0</v>
      </c>
      <c r="JM19" s="107">
        <f t="shared" si="0"/>
        <v>0</v>
      </c>
      <c r="JN19" s="107">
        <f t="shared" si="0"/>
        <v>0</v>
      </c>
      <c r="JO19" s="107">
        <f t="shared" si="0"/>
        <v>0</v>
      </c>
      <c r="JP19" s="107">
        <f t="shared" ref="JP19:KH21" si="1">+IF(JP14=0,JP7,JP14)</f>
        <v>891.65</v>
      </c>
      <c r="JQ19" s="107">
        <f t="shared" si="1"/>
        <v>797</v>
      </c>
      <c r="JR19" s="107">
        <f t="shared" si="1"/>
        <v>788.8</v>
      </c>
      <c r="JS19" s="107">
        <f t="shared" si="1"/>
        <v>724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0</v>
      </c>
      <c r="HQ20" s="107">
        <f t="shared" si="2"/>
        <v>0</v>
      </c>
      <c r="HR20" s="107">
        <f t="shared" si="2"/>
        <v>0</v>
      </c>
      <c r="HS20" s="107">
        <f t="shared" si="2"/>
        <v>0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0</v>
      </c>
      <c r="HX20" s="107">
        <f t="shared" si="2"/>
        <v>0</v>
      </c>
      <c r="HY20" s="107">
        <f t="shared" si="2"/>
        <v>0</v>
      </c>
      <c r="HZ20" s="107">
        <f t="shared" si="2"/>
        <v>0</v>
      </c>
      <c r="IA20" s="107">
        <f t="shared" si="2"/>
        <v>0</v>
      </c>
      <c r="IB20" s="107">
        <f t="shared" si="2"/>
        <v>0</v>
      </c>
      <c r="IC20" s="107">
        <f t="shared" si="2"/>
        <v>0</v>
      </c>
      <c r="ID20" s="107">
        <f t="shared" si="2"/>
        <v>0</v>
      </c>
      <c r="IE20" s="107">
        <f t="shared" si="2"/>
        <v>0</v>
      </c>
      <c r="IF20" s="107">
        <f t="shared" si="0"/>
        <v>0</v>
      </c>
      <c r="IG20" s="107">
        <f t="shared" si="0"/>
        <v>0</v>
      </c>
      <c r="IH20" s="107">
        <f t="shared" si="0"/>
        <v>0</v>
      </c>
      <c r="II20" s="107">
        <f t="shared" si="0"/>
        <v>0</v>
      </c>
      <c r="IJ20" s="107">
        <f t="shared" si="0"/>
        <v>0</v>
      </c>
      <c r="IK20" s="107">
        <f t="shared" si="0"/>
        <v>0</v>
      </c>
      <c r="IL20" s="107">
        <f t="shared" si="0"/>
        <v>0</v>
      </c>
      <c r="IM20" s="107">
        <f t="shared" si="0"/>
        <v>0</v>
      </c>
      <c r="IN20" s="107">
        <f t="shared" si="0"/>
        <v>0</v>
      </c>
      <c r="IO20" s="107">
        <f t="shared" si="0"/>
        <v>0</v>
      </c>
      <c r="IP20" s="107">
        <f t="shared" si="0"/>
        <v>0</v>
      </c>
      <c r="IQ20" s="107">
        <f t="shared" si="0"/>
        <v>0</v>
      </c>
      <c r="IR20" s="107">
        <f t="shared" si="0"/>
        <v>0</v>
      </c>
      <c r="IS20" s="107">
        <f t="shared" si="0"/>
        <v>0</v>
      </c>
      <c r="IT20" s="107">
        <f t="shared" si="0"/>
        <v>0</v>
      </c>
      <c r="IU20" s="107">
        <f t="shared" si="0"/>
        <v>0</v>
      </c>
      <c r="IV20" s="107">
        <f t="shared" si="0"/>
        <v>0</v>
      </c>
      <c r="IW20" s="107">
        <f t="shared" si="0"/>
        <v>0</v>
      </c>
      <c r="IX20" s="107">
        <f t="shared" si="0"/>
        <v>0</v>
      </c>
      <c r="IY20" s="107">
        <f t="shared" si="0"/>
        <v>0</v>
      </c>
      <c r="IZ20" s="107">
        <f t="shared" si="0"/>
        <v>0</v>
      </c>
      <c r="JA20" s="107">
        <f t="shared" si="0"/>
        <v>0</v>
      </c>
      <c r="JB20" s="107">
        <f t="shared" si="0"/>
        <v>0</v>
      </c>
      <c r="JC20" s="107">
        <f t="shared" si="0"/>
        <v>0</v>
      </c>
      <c r="JD20" s="107">
        <f t="shared" si="0"/>
        <v>0</v>
      </c>
      <c r="JE20" s="107">
        <f t="shared" si="0"/>
        <v>0</v>
      </c>
      <c r="JF20" s="107">
        <f t="shared" si="0"/>
        <v>0</v>
      </c>
      <c r="JG20" s="107">
        <f t="shared" si="0"/>
        <v>0</v>
      </c>
      <c r="JH20" s="107">
        <f t="shared" si="0"/>
        <v>0</v>
      </c>
      <c r="JI20" s="107">
        <f t="shared" si="0"/>
        <v>0</v>
      </c>
      <c r="JJ20" s="107">
        <f t="shared" si="0"/>
        <v>0</v>
      </c>
      <c r="JK20" s="107">
        <f t="shared" si="0"/>
        <v>0</v>
      </c>
      <c r="JL20" s="107">
        <f t="shared" si="0"/>
        <v>0</v>
      </c>
      <c r="JM20" s="107">
        <f t="shared" si="0"/>
        <v>0</v>
      </c>
      <c r="JN20" s="107">
        <f t="shared" si="0"/>
        <v>0</v>
      </c>
      <c r="JO20" s="107">
        <f t="shared" si="0"/>
        <v>0</v>
      </c>
      <c r="JP20" s="107">
        <f t="shared" ref="JP20" si="3">+IF(JP15=0,JP8,JP15)</f>
        <v>732.3</v>
      </c>
      <c r="JQ20" s="107">
        <f t="shared" si="1"/>
        <v>705</v>
      </c>
      <c r="JR20" s="107">
        <f t="shared" si="1"/>
        <v>557</v>
      </c>
      <c r="JS20" s="107">
        <f t="shared" si="1"/>
        <v>560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0</v>
      </c>
      <c r="HQ21" s="107">
        <f t="shared" si="0"/>
        <v>0</v>
      </c>
      <c r="HR21" s="107">
        <f t="shared" si="0"/>
        <v>0</v>
      </c>
      <c r="HS21" s="107">
        <f t="shared" si="0"/>
        <v>0</v>
      </c>
      <c r="HT21" s="107">
        <f t="shared" si="0"/>
        <v>0</v>
      </c>
      <c r="HU21" s="107">
        <f t="shared" si="0"/>
        <v>0</v>
      </c>
      <c r="HV21" s="107">
        <f t="shared" si="0"/>
        <v>0</v>
      </c>
      <c r="HW21" s="107">
        <f t="shared" si="0"/>
        <v>0</v>
      </c>
      <c r="HX21" s="107">
        <f t="shared" si="0"/>
        <v>0</v>
      </c>
      <c r="HY21" s="107">
        <f t="shared" si="0"/>
        <v>0</v>
      </c>
      <c r="HZ21" s="107">
        <f t="shared" si="0"/>
        <v>0</v>
      </c>
      <c r="IA21" s="107">
        <f t="shared" si="0"/>
        <v>0</v>
      </c>
      <c r="IB21" s="107">
        <f t="shared" si="0"/>
        <v>0</v>
      </c>
      <c r="IC21" s="107">
        <f t="shared" si="0"/>
        <v>0</v>
      </c>
      <c r="ID21" s="107">
        <f t="shared" si="0"/>
        <v>0</v>
      </c>
      <c r="IE21" s="107">
        <f t="shared" si="0"/>
        <v>0</v>
      </c>
      <c r="IF21" s="107">
        <f t="shared" si="0"/>
        <v>0</v>
      </c>
      <c r="IG21" s="107">
        <f t="shared" si="0"/>
        <v>0</v>
      </c>
      <c r="IH21" s="107">
        <f t="shared" si="0"/>
        <v>0</v>
      </c>
      <c r="II21" s="107">
        <f t="shared" si="0"/>
        <v>0</v>
      </c>
      <c r="IJ21" s="107">
        <f t="shared" si="0"/>
        <v>0</v>
      </c>
      <c r="IK21" s="107">
        <f t="shared" si="0"/>
        <v>0</v>
      </c>
      <c r="IL21" s="107">
        <f t="shared" si="0"/>
        <v>0</v>
      </c>
      <c r="IM21" s="107">
        <f t="shared" si="0"/>
        <v>0</v>
      </c>
      <c r="IN21" s="107">
        <f t="shared" si="0"/>
        <v>0</v>
      </c>
      <c r="IO21" s="107">
        <f t="shared" si="0"/>
        <v>0</v>
      </c>
      <c r="IP21" s="107">
        <f t="shared" si="0"/>
        <v>0</v>
      </c>
      <c r="IQ21" s="107">
        <f t="shared" si="0"/>
        <v>0</v>
      </c>
      <c r="IR21" s="107">
        <f t="shared" si="0"/>
        <v>0</v>
      </c>
      <c r="IS21" s="107">
        <f t="shared" si="0"/>
        <v>0</v>
      </c>
      <c r="IT21" s="107">
        <f t="shared" si="0"/>
        <v>0</v>
      </c>
      <c r="IU21" s="107">
        <f t="shared" si="0"/>
        <v>0</v>
      </c>
      <c r="IV21" s="107">
        <f t="shared" si="0"/>
        <v>0</v>
      </c>
      <c r="IW21" s="107">
        <f t="shared" si="0"/>
        <v>0</v>
      </c>
      <c r="IX21" s="107">
        <f t="shared" si="0"/>
        <v>0</v>
      </c>
      <c r="IY21" s="107">
        <f t="shared" si="0"/>
        <v>0</v>
      </c>
      <c r="IZ21" s="107">
        <f t="shared" si="0"/>
        <v>0</v>
      </c>
      <c r="JA21" s="107">
        <f t="shared" si="0"/>
        <v>0</v>
      </c>
      <c r="JB21" s="107">
        <f t="shared" si="0"/>
        <v>0</v>
      </c>
      <c r="JC21" s="107">
        <f t="shared" si="0"/>
        <v>0</v>
      </c>
      <c r="JD21" s="107">
        <f t="shared" si="0"/>
        <v>0</v>
      </c>
      <c r="JE21" s="107">
        <f t="shared" si="0"/>
        <v>0</v>
      </c>
      <c r="JF21" s="107">
        <f t="shared" si="0"/>
        <v>0</v>
      </c>
      <c r="JG21" s="107">
        <f t="shared" si="0"/>
        <v>0</v>
      </c>
      <c r="JH21" s="107">
        <f t="shared" si="0"/>
        <v>0</v>
      </c>
      <c r="JI21" s="107">
        <f t="shared" si="0"/>
        <v>0</v>
      </c>
      <c r="JJ21" s="107">
        <f t="shared" si="0"/>
        <v>0</v>
      </c>
      <c r="JK21" s="107">
        <f t="shared" si="0"/>
        <v>0</v>
      </c>
      <c r="JL21" s="107">
        <f t="shared" si="0"/>
        <v>0</v>
      </c>
      <c r="JM21" s="107">
        <f t="shared" si="0"/>
        <v>0</v>
      </c>
      <c r="JN21" s="107">
        <f t="shared" si="0"/>
        <v>0</v>
      </c>
      <c r="JO21" s="107">
        <f t="shared" si="0"/>
        <v>0</v>
      </c>
      <c r="JP21" s="107">
        <f t="shared" ref="JP21" si="4">+IF(JP16=0,JP9,JP16)</f>
        <v>750.1</v>
      </c>
      <c r="JQ21" s="107">
        <f t="shared" si="1"/>
        <v>765.15</v>
      </c>
      <c r="JR21" s="107">
        <f t="shared" si="1"/>
        <v>560.04999999999995</v>
      </c>
      <c r="JS21" s="107">
        <f t="shared" si="1"/>
        <v>709.4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2026-06-17T13:05:00Z</dcterms:modified>
</cp:coreProperties>
</file>