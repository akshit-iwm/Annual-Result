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48E203C-E94C-4EAF-8A44-9EE285BC7249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" l="1"/>
  <c r="AA28" i="1"/>
  <c r="Z28" i="1"/>
  <c r="Y28" i="1"/>
  <c r="X28" i="1"/>
  <c r="W28" i="1"/>
  <c r="V28" i="1"/>
  <c r="U28" i="1"/>
  <c r="T28" i="1"/>
  <c r="S28" i="1"/>
  <c r="Z30" i="1"/>
  <c r="AA27" i="1" s="1"/>
  <c r="Y30" i="1"/>
  <c r="Z27" i="1" s="1"/>
  <c r="Z29" i="1" s="1"/>
  <c r="X30" i="1"/>
  <c r="Y27" i="1" s="1"/>
  <c r="Y29" i="1" s="1"/>
  <c r="W30" i="1"/>
  <c r="X27" i="1" s="1"/>
  <c r="V30" i="1"/>
  <c r="W27" i="1" s="1"/>
  <c r="U30" i="1"/>
  <c r="V27" i="1" s="1"/>
  <c r="T30" i="1"/>
  <c r="U27" i="1" s="1"/>
  <c r="S30" i="1"/>
  <c r="T27" i="1" s="1"/>
  <c r="BP27" i="1"/>
  <c r="BP29" i="1" s="1"/>
  <c r="BO27" i="1"/>
  <c r="BO29" i="1" s="1"/>
  <c r="BH27" i="1"/>
  <c r="BH29" i="1" s="1"/>
  <c r="BG27" i="1"/>
  <c r="BG29" i="1" s="1"/>
  <c r="AQ29" i="1"/>
  <c r="AZ27" i="1"/>
  <c r="AZ29" i="1" s="1"/>
  <c r="AY27" i="1"/>
  <c r="AY29" i="1" s="1"/>
  <c r="BN27" i="1"/>
  <c r="BN29" i="1" s="1"/>
  <c r="BF27" i="1"/>
  <c r="BF29" i="1" s="1"/>
  <c r="BB27" i="1"/>
  <c r="BB29" i="1" s="1"/>
  <c r="AX27" i="1"/>
  <c r="AX29" i="1" s="1"/>
  <c r="AS27" i="1"/>
  <c r="AS29" i="1" s="1"/>
  <c r="AT27" i="1"/>
  <c r="AT29" i="1" s="1"/>
  <c r="AU27" i="1"/>
  <c r="AU29" i="1" s="1"/>
  <c r="AV27" i="1"/>
  <c r="AV29" i="1" s="1"/>
  <c r="AW27" i="1"/>
  <c r="AW29" i="1" s="1"/>
  <c r="BA27" i="1"/>
  <c r="BA29" i="1" s="1"/>
  <c r="BC27" i="1"/>
  <c r="BC29" i="1" s="1"/>
  <c r="BD27" i="1"/>
  <c r="BD29" i="1" s="1"/>
  <c r="BE27" i="1"/>
  <c r="BE29" i="1" s="1"/>
  <c r="BI27" i="1"/>
  <c r="BI29" i="1" s="1"/>
  <c r="BJ27" i="1"/>
  <c r="BJ29" i="1" s="1"/>
  <c r="BK27" i="1"/>
  <c r="BK29" i="1" s="1"/>
  <c r="BL27" i="1"/>
  <c r="BL29" i="1" s="1"/>
  <c r="BM27" i="1"/>
  <c r="BM29" i="1" s="1"/>
  <c r="BQ27" i="1"/>
  <c r="BQ29" i="1" s="1"/>
  <c r="BR27" i="1"/>
  <c r="BR29" i="1" s="1"/>
  <c r="BS27" i="1"/>
  <c r="BS29" i="1" s="1"/>
  <c r="BT27" i="1"/>
  <c r="BT29" i="1" s="1"/>
  <c r="BU27" i="1"/>
  <c r="BU29" i="1" s="1"/>
  <c r="BV27" i="1"/>
  <c r="BV29" i="1" s="1"/>
  <c r="BW27" i="1"/>
  <c r="BW29" i="1" s="1"/>
  <c r="BX27" i="1"/>
  <c r="BX29" i="1" s="1"/>
  <c r="BY27" i="1"/>
  <c r="BY29" i="1" s="1"/>
  <c r="AR27" i="1"/>
  <c r="AR29" i="1" s="1"/>
  <c r="S27" i="1" l="1"/>
  <c r="S29" i="1" s="1"/>
  <c r="U29" i="1"/>
  <c r="V29" i="1"/>
  <c r="T29" i="1"/>
  <c r="AA29" i="1"/>
  <c r="X29" i="1"/>
  <c r="W29" i="1"/>
  <c r="BX160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D35" i="125" a="1"/>
  <c r="AF37" i="125" a="1"/>
  <c r="AC40" i="125" a="1"/>
  <c r="AE42" i="125" a="1"/>
  <c r="AB45" i="125" a="1"/>
  <c r="AA59" i="1" s="1"/>
  <c r="AD47" i="125" a="1"/>
  <c r="AF53" i="125" a="1"/>
  <c r="AC56" i="125" a="1"/>
  <c r="AE58" i="125" a="1"/>
  <c r="AB61" i="125" a="1"/>
  <c r="AA91" i="1" s="1"/>
  <c r="AD63" i="125" a="1"/>
  <c r="AF65" i="125" a="1"/>
  <c r="AC68" i="125" a="1"/>
  <c r="AE74" i="125" a="1"/>
  <c r="AB77" i="125" a="1"/>
  <c r="AA103" i="1" s="1"/>
  <c r="AD79" i="125" a="1"/>
  <c r="AF81" i="125" a="1"/>
  <c r="AC84" i="125" a="1"/>
  <c r="AE86" i="125" a="1"/>
  <c r="AB89" i="125" a="1"/>
  <c r="AA138" i="1" s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A133" i="1" s="1"/>
  <c r="AD119" i="125" a="1"/>
  <c r="AF121" i="125" a="1"/>
  <c r="AC124" i="125" a="1"/>
  <c r="AE126" i="125" a="1"/>
  <c r="AB129" i="125" a="1"/>
  <c r="AA153" i="1" s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H151" i="125" a="1"/>
  <c r="U150" i="125" a="1"/>
  <c r="I150" i="125" a="1"/>
  <c r="V149" i="125" a="1"/>
  <c r="J149" i="125" a="1"/>
  <c r="W148" i="125" a="1"/>
  <c r="K148" i="125" a="1"/>
  <c r="X147" i="125" a="1"/>
  <c r="L147" i="125" a="1"/>
  <c r="Y146" i="125" a="1"/>
  <c r="M146" i="125" a="1"/>
  <c r="Z145" i="125" a="1"/>
  <c r="N145" i="125" a="1"/>
  <c r="AA144" i="125" a="1"/>
  <c r="O144" i="125" a="1"/>
  <c r="C144" i="125" a="1"/>
  <c r="P143" i="125" a="1"/>
  <c r="D143" i="125" a="1"/>
  <c r="Q142" i="125" a="1"/>
  <c r="E142" i="125" a="1"/>
  <c r="R139" i="125" a="1"/>
  <c r="F139" i="125" a="1"/>
  <c r="S138" i="125" a="1"/>
  <c r="G138" i="125" a="1"/>
  <c r="T137" i="125" a="1"/>
  <c r="H137" i="125" a="1"/>
  <c r="U136" i="125" a="1"/>
  <c r="I136" i="125" a="1"/>
  <c r="V135" i="125" a="1"/>
  <c r="J135" i="125" a="1"/>
  <c r="W134" i="125" a="1"/>
  <c r="K134" i="125" a="1"/>
  <c r="X133" i="125" a="1"/>
  <c r="L133" i="125" a="1"/>
  <c r="Y132" i="125" a="1"/>
  <c r="M132" i="125" a="1"/>
  <c r="Z131" i="125" a="1"/>
  <c r="N131" i="125" a="1"/>
  <c r="AA130" i="125" a="1"/>
  <c r="O130" i="125" a="1"/>
  <c r="C130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A35" i="1" s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A149" i="1" s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X146" i="125" a="1"/>
  <c r="L146" i="125" a="1"/>
  <c r="Y145" i="125" a="1"/>
  <c r="M145" i="125" a="1"/>
  <c r="Z144" i="125" a="1"/>
  <c r="N144" i="125" a="1"/>
  <c r="AA143" i="125" a="1"/>
  <c r="O143" i="125" a="1"/>
  <c r="C143" i="125" a="1"/>
  <c r="P142" i="125" a="1"/>
  <c r="D142" i="125" a="1"/>
  <c r="Q139" i="125" a="1"/>
  <c r="E139" i="125" a="1"/>
  <c r="R138" i="125" a="1"/>
  <c r="F138" i="125" a="1"/>
  <c r="S137" i="125" a="1"/>
  <c r="G137" i="125" a="1"/>
  <c r="T136" i="125" a="1"/>
  <c r="H136" i="125" a="1"/>
  <c r="U135" i="125" a="1"/>
  <c r="I135" i="125" a="1"/>
  <c r="V134" i="125" a="1"/>
  <c r="J134" i="125" a="1"/>
  <c r="W133" i="125" a="1"/>
  <c r="K133" i="125" a="1"/>
  <c r="X132" i="125" a="1"/>
  <c r="L132" i="125" a="1"/>
  <c r="Y131" i="125" a="1"/>
  <c r="M131" i="125" a="1"/>
  <c r="Z130" i="125" a="1"/>
  <c r="C48" i="125" a="1"/>
  <c r="O48" i="125" a="1"/>
  <c r="AA48" i="125" a="1"/>
  <c r="I49" i="125" a="1"/>
  <c r="U49" i="125" a="1"/>
  <c r="C95" i="125" a="1"/>
  <c r="O95" i="125" a="1"/>
  <c r="AA95" i="125" a="1"/>
  <c r="I96" i="125" a="1"/>
  <c r="U96" i="125" a="1"/>
  <c r="C97" i="125" a="1"/>
  <c r="O97" i="125" a="1"/>
  <c r="AA97" i="125" a="1"/>
  <c r="I98" i="125" a="1"/>
  <c r="U98" i="125" a="1"/>
  <c r="AB5" i="125" a="1"/>
  <c r="AD9" i="125" a="1"/>
  <c r="AF11" i="125" a="1"/>
  <c r="AC14" i="125" a="1"/>
  <c r="AE16" i="125" a="1"/>
  <c r="AB19" i="125" a="1"/>
  <c r="AA42" i="1" s="1"/>
  <c r="AD21" i="125" a="1"/>
  <c r="AF23" i="125" a="1"/>
  <c r="AC26" i="125" a="1"/>
  <c r="AE28" i="125" a="1"/>
  <c r="AB31" i="125" a="1"/>
  <c r="AA43" i="1" s="1"/>
  <c r="AD33" i="125" a="1"/>
  <c r="AF35" i="125" a="1"/>
  <c r="AC38" i="125" a="1"/>
  <c r="AE40" i="125" a="1"/>
  <c r="AB43" i="125" a="1"/>
  <c r="AA54" i="1" s="1"/>
  <c r="AD45" i="125" a="1"/>
  <c r="AF47" i="125" a="1"/>
  <c r="AC54" i="125" a="1"/>
  <c r="AE56" i="125" a="1"/>
  <c r="AB59" i="125" a="1"/>
  <c r="AA89" i="1" s="1"/>
  <c r="AD61" i="125" a="1"/>
  <c r="AF63" i="125" a="1"/>
  <c r="AC66" i="125" a="1"/>
  <c r="D48" i="125" a="1"/>
  <c r="P48" i="125" a="1"/>
  <c r="AB48" i="125" a="1"/>
  <c r="J49" i="125" a="1"/>
  <c r="V49" i="125" a="1"/>
  <c r="D95" i="125" a="1"/>
  <c r="P95" i="125" a="1"/>
  <c r="AB95" i="125" a="1"/>
  <c r="AA112" i="1" s="1"/>
  <c r="J96" i="125" a="1"/>
  <c r="V96" i="125" a="1"/>
  <c r="D97" i="125" a="1"/>
  <c r="P97" i="125" a="1"/>
  <c r="AB97" i="125" a="1"/>
  <c r="J98" i="125" a="1"/>
  <c r="V98" i="125" a="1"/>
  <c r="AC5" i="125" a="1"/>
  <c r="AE9" i="125" a="1"/>
  <c r="AB12" i="125" a="1"/>
  <c r="AD14" i="125" a="1"/>
  <c r="AF16" i="125" a="1"/>
  <c r="AC19" i="125" a="1"/>
  <c r="AE21" i="125" a="1"/>
  <c r="AB24" i="125" a="1"/>
  <c r="AD26" i="125" a="1"/>
  <c r="AF28" i="125" a="1"/>
  <c r="AC31" i="125" a="1"/>
  <c r="AE33" i="125" a="1"/>
  <c r="AB36" i="125" a="1"/>
  <c r="AA51" i="1" s="1"/>
  <c r="AD38" i="125" a="1"/>
  <c r="AF40" i="125" a="1"/>
  <c r="AC43" i="125" a="1"/>
  <c r="AE45" i="125" a="1"/>
  <c r="AB52" i="125" a="1"/>
  <c r="AD54" i="125" a="1"/>
  <c r="AF56" i="125" a="1"/>
  <c r="AC59" i="125" a="1"/>
  <c r="AE61" i="125" a="1"/>
  <c r="AB64" i="125" a="1"/>
  <c r="AD66" i="125" a="1"/>
  <c r="AF68" i="125" a="1"/>
  <c r="AC75" i="125" a="1"/>
  <c r="AE77" i="125" a="1"/>
  <c r="AB80" i="125" a="1"/>
  <c r="AD82" i="125" a="1"/>
  <c r="AF84" i="125" a="1"/>
  <c r="AC87" i="125" a="1"/>
  <c r="AE89" i="125" a="1"/>
  <c r="AB92" i="125" a="1"/>
  <c r="AD94" i="125" a="1"/>
  <c r="AF100" i="125" a="1"/>
  <c r="AC103" i="125" a="1"/>
  <c r="AE105" i="125" a="1"/>
  <c r="AB108" i="125" a="1"/>
  <c r="AA124" i="1" s="1"/>
  <c r="AD110" i="125" a="1"/>
  <c r="AF112" i="125" a="1"/>
  <c r="AC115" i="125" a="1"/>
  <c r="AE117" i="125" a="1"/>
  <c r="AB120" i="125" a="1"/>
  <c r="AA134" i="1" s="1"/>
  <c r="AD122" i="125" a="1"/>
  <c r="AF124" i="125" a="1"/>
  <c r="AC127" i="125" a="1"/>
  <c r="AE129" i="125" a="1"/>
  <c r="AB132" i="125" a="1"/>
  <c r="AD134" i="125" a="1"/>
  <c r="AF136" i="125" a="1"/>
  <c r="AC139" i="125" a="1"/>
  <c r="AE143" i="125" a="1"/>
  <c r="AB146" i="125" a="1"/>
  <c r="AD148" i="125" a="1"/>
  <c r="AF150" i="125" a="1"/>
  <c r="Z6" i="125" a="1"/>
  <c r="N6" i="125" a="1"/>
  <c r="AA5" i="125" a="1"/>
  <c r="O5" i="125" a="1"/>
  <c r="C5" i="125" a="1"/>
  <c r="P152" i="125" a="1"/>
  <c r="D152" i="125" a="1"/>
  <c r="Q151" i="125" a="1"/>
  <c r="E151" i="125" a="1"/>
  <c r="R150" i="125" a="1"/>
  <c r="F150" i="125" a="1"/>
  <c r="S149" i="125" a="1"/>
  <c r="G149" i="125" a="1"/>
  <c r="T148" i="125" a="1"/>
  <c r="H148" i="125" a="1"/>
  <c r="U147" i="125" a="1"/>
  <c r="I147" i="125" a="1"/>
  <c r="V146" i="125" a="1"/>
  <c r="J146" i="125" a="1"/>
  <c r="W145" i="125" a="1"/>
  <c r="K145" i="125" a="1"/>
  <c r="X144" i="125" a="1"/>
  <c r="L144" i="125" a="1"/>
  <c r="Y143" i="125" a="1"/>
  <c r="M143" i="125" a="1"/>
  <c r="E48" i="125" a="1"/>
  <c r="Q48" i="125" a="1"/>
  <c r="AC48" i="125" a="1"/>
  <c r="K49" i="125" a="1"/>
  <c r="W49" i="125" a="1"/>
  <c r="E95" i="125" a="1"/>
  <c r="Q95" i="125" a="1"/>
  <c r="AC95" i="125" a="1"/>
  <c r="K96" i="125" a="1"/>
  <c r="W96" i="125" a="1"/>
  <c r="E97" i="125" a="1"/>
  <c r="Q97" i="125" a="1"/>
  <c r="AC97" i="125" a="1"/>
  <c r="K98" i="125" a="1"/>
  <c r="W98" i="125" a="1"/>
  <c r="AD5" i="125" a="1"/>
  <c r="AF9" i="125" a="1"/>
  <c r="AC12" i="125" a="1"/>
  <c r="AE14" i="125" a="1"/>
  <c r="AB17" i="125" a="1"/>
  <c r="AD19" i="125" a="1"/>
  <c r="AF21" i="125" a="1"/>
  <c r="AC24" i="125" a="1"/>
  <c r="AE26" i="125" a="1"/>
  <c r="AB29" i="125" a="1"/>
  <c r="AA36" i="1" s="1"/>
  <c r="AD31" i="125" a="1"/>
  <c r="AF33" i="125" a="1"/>
  <c r="AC36" i="125" a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A44" i="1" s="1"/>
  <c r="AD24" i="125" a="1"/>
  <c r="AF26" i="125" a="1"/>
  <c r="AC29" i="125" a="1"/>
  <c r="AE31" i="125" a="1"/>
  <c r="AB34" i="125" a="1"/>
  <c r="AA55" i="1" s="1"/>
  <c r="AD36" i="125" a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A38" i="1" s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A110" i="1" s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A90" i="1" s="1"/>
  <c r="AD62" i="125" a="1"/>
  <c r="AF64" i="125" a="1"/>
  <c r="AC67" i="125" a="1"/>
  <c r="I48" i="125" a="1"/>
  <c r="U48" i="125" a="1"/>
  <c r="C49" i="125" a="1"/>
  <c r="O49" i="125" a="1"/>
  <c r="AA49" i="125" a="1"/>
  <c r="I95" i="125" a="1"/>
  <c r="U95" i="125" a="1"/>
  <c r="C96" i="125" a="1"/>
  <c r="O96" i="125" a="1"/>
  <c r="AA96" i="125" a="1"/>
  <c r="I97" i="125" a="1"/>
  <c r="U97" i="125" a="1"/>
  <c r="C98" i="125" a="1"/>
  <c r="O98" i="125" a="1"/>
  <c r="AA98" i="125" a="1"/>
  <c r="AC6" i="125" a="1"/>
  <c r="AE10" i="125" a="1"/>
  <c r="AB13" i="125" a="1"/>
  <c r="AD15" i="125" a="1"/>
  <c r="AF17" i="125" a="1"/>
  <c r="AC20" i="125" a="1"/>
  <c r="AE22" i="125" a="1"/>
  <c r="AB25" i="125" a="1"/>
  <c r="AD27" i="125" a="1"/>
  <c r="AF29" i="125" a="1"/>
  <c r="AC32" i="125" a="1"/>
  <c r="AE34" i="125" a="1"/>
  <c r="AB37" i="125" a="1"/>
  <c r="AD39" i="125" a="1"/>
  <c r="AF41" i="125" a="1"/>
  <c r="AC44" i="125" a="1"/>
  <c r="AE46" i="125" a="1"/>
  <c r="AB53" i="125" a="1"/>
  <c r="AD55" i="125" a="1"/>
  <c r="AF57" i="125" a="1"/>
  <c r="AC60" i="125" a="1"/>
  <c r="AE62" i="125" a="1"/>
  <c r="AB65" i="125" a="1"/>
  <c r="AD67" i="125" a="1"/>
  <c r="AF73" i="125" a="1"/>
  <c r="AC76" i="125" a="1"/>
  <c r="AE78" i="125" a="1"/>
  <c r="AB81" i="125" a="1"/>
  <c r="AA108" i="1" s="1"/>
  <c r="AD83" i="125" a="1"/>
  <c r="AF85" i="125" a="1"/>
  <c r="AC88" i="125" a="1"/>
  <c r="AE90" i="125" a="1"/>
  <c r="AB93" i="125" a="1"/>
  <c r="AA142" i="1" s="1"/>
  <c r="AD99" i="125" a="1"/>
  <c r="AF101" i="125" a="1"/>
  <c r="AC104" i="125" a="1"/>
  <c r="AE106" i="125" a="1"/>
  <c r="AB109" i="125" a="1"/>
  <c r="AD111" i="125" a="1"/>
  <c r="AF113" i="125" a="1"/>
  <c r="AC116" i="125" a="1"/>
  <c r="AE118" i="125" a="1"/>
  <c r="AB121" i="125" a="1"/>
  <c r="AA135" i="1" s="1"/>
  <c r="AD123" i="125" a="1"/>
  <c r="AF125" i="125" a="1"/>
  <c r="AC128" i="125" a="1"/>
  <c r="AE130" i="125" a="1"/>
  <c r="AB133" i="125" a="1"/>
  <c r="AD135" i="125" a="1"/>
  <c r="AF137" i="125" a="1"/>
  <c r="AC142" i="125" a="1"/>
  <c r="AE144" i="125" a="1"/>
  <c r="AB147" i="125" a="1"/>
  <c r="AD149" i="125" a="1"/>
  <c r="AF151" i="125" a="1"/>
  <c r="U6" i="125" a="1"/>
  <c r="I6" i="125" a="1"/>
  <c r="V5" i="125" a="1"/>
  <c r="J5" i="125" a="1"/>
  <c r="W152" i="125" a="1"/>
  <c r="K152" i="125" a="1"/>
  <c r="X151" i="125" a="1"/>
  <c r="L151" i="125" a="1"/>
  <c r="Y150" i="125" a="1"/>
  <c r="M150" i="125" a="1"/>
  <c r="Z149" i="125" a="1"/>
  <c r="N149" i="125" a="1"/>
  <c r="AA148" i="125" a="1"/>
  <c r="O148" i="125" a="1"/>
  <c r="C148" i="125" a="1"/>
  <c r="P147" i="125" a="1"/>
  <c r="D147" i="125" a="1"/>
  <c r="Q146" i="125" a="1"/>
  <c r="E146" i="125" a="1"/>
  <c r="R145" i="125" a="1"/>
  <c r="F145" i="125" a="1"/>
  <c r="S144" i="125" a="1"/>
  <c r="G144" i="125" a="1"/>
  <c r="T143" i="125" a="1"/>
  <c r="H143" i="125" a="1"/>
  <c r="U142" i="125" a="1"/>
  <c r="I142" i="125" a="1"/>
  <c r="V139" i="125" a="1"/>
  <c r="J139" i="125" a="1"/>
  <c r="W138" i="125" a="1"/>
  <c r="K138" i="125" a="1"/>
  <c r="X137" i="125" a="1"/>
  <c r="L137" i="125" a="1"/>
  <c r="Y136" i="125" a="1"/>
  <c r="M136" i="125" a="1"/>
  <c r="Z135" i="125" a="1"/>
  <c r="N135" i="125" a="1"/>
  <c r="AA134" i="125" a="1"/>
  <c r="O134" i="125" a="1"/>
  <c r="C134" i="125" a="1"/>
  <c r="P133" i="125" a="1"/>
  <c r="D133" i="125" a="1"/>
  <c r="Q132" i="125" a="1"/>
  <c r="E132" i="125" a="1"/>
  <c r="R131" i="125" a="1"/>
  <c r="F131" i="125" a="1"/>
  <c r="S130" i="125" a="1"/>
  <c r="G130" i="125" a="1"/>
  <c r="T129" i="125" a="1"/>
  <c r="H129" i="125" a="1"/>
  <c r="U128" i="125" a="1"/>
  <c r="I128" i="125" a="1"/>
  <c r="V127" i="125" a="1"/>
  <c r="J127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A41" i="1" s="1"/>
  <c r="AA46" i="1" s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A53" i="1" s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AC109" i="125" a="1"/>
  <c r="AE111" i="125" a="1"/>
  <c r="AB114" i="125" a="1"/>
  <c r="AD116" i="125" a="1"/>
  <c r="AF118" i="125" a="1"/>
  <c r="AC121" i="125" a="1"/>
  <c r="AE123" i="125" a="1"/>
  <c r="AB126" i="125" a="1"/>
  <c r="AD128" i="125" a="1"/>
  <c r="AF130" i="125" a="1"/>
  <c r="AC133" i="125" a="1"/>
  <c r="AE135" i="125" a="1"/>
  <c r="AB138" i="125" a="1"/>
  <c r="AD142" i="125" a="1"/>
  <c r="AF144" i="125" a="1"/>
  <c r="AC147" i="125" a="1"/>
  <c r="AE149" i="125" a="1"/>
  <c r="AB152" i="125" a="1"/>
  <c r="T6" i="125" a="1"/>
  <c r="H6" i="125" a="1"/>
  <c r="K48" i="125" a="1"/>
  <c r="W48" i="125" a="1"/>
  <c r="E49" i="125" a="1"/>
  <c r="Q49" i="125" a="1"/>
  <c r="AC49" i="125" a="1"/>
  <c r="K95" i="125" a="1"/>
  <c r="W95" i="125" a="1"/>
  <c r="E96" i="125" a="1"/>
  <c r="Q96" i="125" a="1"/>
  <c r="AC96" i="125" a="1"/>
  <c r="K97" i="125" a="1"/>
  <c r="W97" i="125" a="1"/>
  <c r="E98" i="125" a="1"/>
  <c r="Q98" i="125" a="1"/>
  <c r="AC98" i="125" a="1"/>
  <c r="AE6" i="125" a="1"/>
  <c r="AB11" i="125" a="1"/>
  <c r="AD13" i="125" a="1"/>
  <c r="AF15" i="125" a="1"/>
  <c r="AC18" i="125" a="1"/>
  <c r="AE20" i="125" a="1"/>
  <c r="AB23" i="125" a="1"/>
  <c r="AA49" i="1" s="1"/>
  <c r="AD25" i="125" a="1"/>
  <c r="AF27" i="125" a="1"/>
  <c r="AC30" i="125" a="1"/>
  <c r="AE32" i="125" a="1"/>
  <c r="AB35" i="125" a="1"/>
  <c r="AD37" i="125" a="1"/>
  <c r="AF39" i="125" a="1"/>
  <c r="AC42" i="125" a="1"/>
  <c r="AE44" i="125" a="1"/>
  <c r="AB47" i="125" a="1"/>
  <c r="AD53" i="125" a="1"/>
  <c r="AF55" i="125" a="1"/>
  <c r="AC58" i="125" a="1"/>
  <c r="AE60" i="125" a="1"/>
  <c r="AB63" i="125" a="1"/>
  <c r="AD65" i="125" a="1"/>
  <c r="AF67" i="125" a="1"/>
  <c r="AC74" i="125" a="1"/>
  <c r="AE76" i="125" a="1"/>
  <c r="AB79" i="125" a="1"/>
  <c r="AA105" i="1" s="1"/>
  <c r="AD81" i="125" a="1"/>
  <c r="AF83" i="125" a="1"/>
  <c r="AC86" i="125" a="1"/>
  <c r="AE88" i="125" a="1"/>
  <c r="AB91" i="125" a="1"/>
  <c r="AA140" i="1" s="1"/>
  <c r="AD93" i="125" a="1"/>
  <c r="AF99" i="125" a="1"/>
  <c r="AC102" i="125" a="1"/>
  <c r="AE104" i="125" a="1"/>
  <c r="AB107" i="125" a="1"/>
  <c r="AA123" i="1" s="1"/>
  <c r="AD109" i="125" a="1"/>
  <c r="AF111" i="125" a="1"/>
  <c r="AC114" i="125" a="1"/>
  <c r="AE116" i="125" a="1"/>
  <c r="AB119" i="125" a="1"/>
  <c r="AA148" i="1" s="1"/>
  <c r="AD121" i="125" a="1"/>
  <c r="AF123" i="125" a="1"/>
  <c r="AC126" i="125" a="1"/>
  <c r="AE128" i="125" a="1"/>
  <c r="AB131" i="125" a="1"/>
  <c r="AD133" i="125" a="1"/>
  <c r="AF135" i="125" a="1"/>
  <c r="AC138" i="125" a="1"/>
  <c r="AE142" i="125" a="1"/>
  <c r="AB145" i="125" a="1"/>
  <c r="AD147" i="125" a="1"/>
  <c r="AF149" i="125" a="1"/>
  <c r="AC152" i="125" a="1"/>
  <c r="S6" i="125" a="1"/>
  <c r="G6" i="125" a="1"/>
  <c r="T5" i="125" a="1"/>
  <c r="H5" i="125" a="1"/>
  <c r="U152" i="125" a="1"/>
  <c r="I152" i="125" a="1"/>
  <c r="V151" i="125" a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AD42" i="125" a="1"/>
  <c r="AF44" i="125" a="1"/>
  <c r="AC47" i="125" a="1"/>
  <c r="AE53" i="125" a="1"/>
  <c r="AB56" i="125" a="1"/>
  <c r="AD58" i="125" a="1"/>
  <c r="AF60" i="125" a="1"/>
  <c r="AC63" i="125" a="1"/>
  <c r="AE65" i="125" a="1"/>
  <c r="AB68" i="125" a="1"/>
  <c r="AD74" i="125" a="1"/>
  <c r="AF76" i="125" a="1"/>
  <c r="AC79" i="125" a="1"/>
  <c r="AE81" i="125" a="1"/>
  <c r="AB84" i="125" a="1"/>
  <c r="AA111" i="1" s="1"/>
  <c r="AD86" i="125" a="1"/>
  <c r="AF88" i="125" a="1"/>
  <c r="AC91" i="125" a="1"/>
  <c r="AE93" i="125" a="1"/>
  <c r="AB100" i="125" a="1"/>
  <c r="AA144" i="1" s="1"/>
  <c r="AD102" i="125" a="1"/>
  <c r="AF104" i="125" a="1"/>
  <c r="AC107" i="125" a="1"/>
  <c r="AE109" i="125" a="1"/>
  <c r="AB112" i="125" a="1"/>
  <c r="AA127" i="1" s="1"/>
  <c r="AD114" i="125" a="1"/>
  <c r="AF116" i="125" a="1"/>
  <c r="AC119" i="125" a="1"/>
  <c r="AE121" i="125" a="1"/>
  <c r="AB124" i="125" a="1"/>
  <c r="AA119" i="1" s="1"/>
  <c r="AD126" i="125" a="1"/>
  <c r="AF128" i="125" a="1"/>
  <c r="AC131" i="125" a="1"/>
  <c r="AE133" i="125" a="1"/>
  <c r="AB136" i="125" a="1"/>
  <c r="AD138" i="125" a="1"/>
  <c r="AF142" i="125" a="1"/>
  <c r="AC145" i="125" a="1"/>
  <c r="AE147" i="125" a="1"/>
  <c r="AB150" i="125" a="1"/>
  <c r="AA72" i="1" s="1"/>
  <c r="AD152" i="125" a="1"/>
  <c r="R6" i="125" a="1"/>
  <c r="F6" i="125" a="1"/>
  <c r="S5" i="125" a="1"/>
  <c r="G5" i="125" a="1"/>
  <c r="T152" i="125" a="1"/>
  <c r="H152" i="125" a="1"/>
  <c r="U151" i="125" a="1"/>
  <c r="I151" i="125" a="1"/>
  <c r="V150" i="125" a="1"/>
  <c r="J150" i="125" a="1"/>
  <c r="W149" i="125" a="1"/>
  <c r="K149" i="125" a="1"/>
  <c r="X148" i="125" a="1"/>
  <c r="L148" i="125" a="1"/>
  <c r="Y147" i="125" a="1"/>
  <c r="M147" i="125" a="1"/>
  <c r="Z146" i="125" a="1"/>
  <c r="N146" i="125" a="1"/>
  <c r="AA145" i="125" a="1"/>
  <c r="O145" i="125" a="1"/>
  <c r="C145" i="125" a="1"/>
  <c r="P144" i="125" a="1"/>
  <c r="D144" i="125" a="1"/>
  <c r="Q143" i="125" a="1"/>
  <c r="E143" i="125" a="1"/>
  <c r="R142" i="125" a="1"/>
  <c r="F142" i="125" a="1"/>
  <c r="S139" i="125" a="1"/>
  <c r="G139" i="125" a="1"/>
  <c r="T138" i="125" a="1"/>
  <c r="H138" i="125" a="1"/>
  <c r="U137" i="125" a="1"/>
  <c r="I137" i="125" a="1"/>
  <c r="V136" i="125" a="1"/>
  <c r="J136" i="125" a="1"/>
  <c r="W135" i="125" a="1"/>
  <c r="K135" i="125" a="1"/>
  <c r="X134" i="125" a="1"/>
  <c r="L134" i="125" a="1"/>
  <c r="AE54" i="125" a="1"/>
  <c r="AE68" i="125" a="1"/>
  <c r="AF79" i="125" a="1"/>
  <c r="AE85" i="125" a="1"/>
  <c r="AC92" i="125" a="1"/>
  <c r="AD101" i="125" a="1"/>
  <c r="AF107" i="125" a="1"/>
  <c r="AC113" i="125" a="1"/>
  <c r="AD118" i="125" a="1"/>
  <c r="AB125" i="125" a="1"/>
  <c r="AC130" i="125" a="1"/>
  <c r="AE136" i="125" a="1"/>
  <c r="AB144" i="125" a="1"/>
  <c r="AC149" i="125" a="1"/>
  <c r="M6" i="125" a="1"/>
  <c r="M5" i="125" a="1"/>
  <c r="N152" i="125" a="1"/>
  <c r="O151" i="125" a="1"/>
  <c r="S150" i="125" a="1"/>
  <c r="Y149" i="125" a="1"/>
  <c r="D149" i="125" a="1"/>
  <c r="G148" i="125" a="1"/>
  <c r="N147" i="125" a="1"/>
  <c r="R146" i="125" a="1"/>
  <c r="U145" i="125" a="1"/>
  <c r="Y144" i="125" a="1"/>
  <c r="F144" i="125" a="1"/>
  <c r="J143" i="125" a="1"/>
  <c r="O142" i="125" a="1"/>
  <c r="X139" i="125" a="1"/>
  <c r="D139" i="125" a="1"/>
  <c r="M138" i="125" a="1"/>
  <c r="R137" i="125" a="1"/>
  <c r="AA136" i="125" a="1"/>
  <c r="G136" i="125" a="1"/>
  <c r="P135" i="125" a="1"/>
  <c r="U134" i="125" a="1"/>
  <c r="E134" i="125" a="1"/>
  <c r="N133" i="125" a="1"/>
  <c r="V132" i="125" a="1"/>
  <c r="G132" i="125" a="1"/>
  <c r="P131" i="125" a="1"/>
  <c r="X130" i="125" a="1"/>
  <c r="J130" i="125" a="1"/>
  <c r="U129" i="125" a="1"/>
  <c r="G129" i="125" a="1"/>
  <c r="S128" i="125" a="1"/>
  <c r="F128" i="125" a="1"/>
  <c r="R127" i="125" a="1"/>
  <c r="E127" i="125" a="1"/>
  <c r="R126" i="125" a="1"/>
  <c r="F126" i="125" a="1"/>
  <c r="S125" i="125" a="1"/>
  <c r="G125" i="125" a="1"/>
  <c r="T124" i="125" a="1"/>
  <c r="H124" i="125" a="1"/>
  <c r="U123" i="125" a="1"/>
  <c r="I123" i="125" a="1"/>
  <c r="V122" i="125" a="1"/>
  <c r="J122" i="125" a="1"/>
  <c r="W121" i="125" a="1"/>
  <c r="K121" i="125" a="1"/>
  <c r="X120" i="125" a="1"/>
  <c r="L120" i="125" a="1"/>
  <c r="Y119" i="125" a="1"/>
  <c r="M119" i="125" a="1"/>
  <c r="Z118" i="125" a="1"/>
  <c r="N118" i="125" a="1"/>
  <c r="AA117" i="125" a="1"/>
  <c r="O117" i="125" a="1"/>
  <c r="C117" i="125" a="1"/>
  <c r="P116" i="125" a="1"/>
  <c r="D116" i="125" a="1"/>
  <c r="Q115" i="125" a="1"/>
  <c r="E115" i="125" a="1"/>
  <c r="R114" i="125" a="1"/>
  <c r="F114" i="125" a="1"/>
  <c r="S113" i="125" a="1"/>
  <c r="G113" i="125" a="1"/>
  <c r="AF54" i="125" a="1"/>
  <c r="AB73" i="125" a="1"/>
  <c r="AC80" i="125" a="1"/>
  <c r="AB87" i="125" a="1"/>
  <c r="AD92" i="125" a="1"/>
  <c r="AE101" i="125" a="1"/>
  <c r="AC108" i="125" a="1"/>
  <c r="AD113" i="125" a="1"/>
  <c r="AF119" i="125" a="1"/>
  <c r="AC125" i="125" a="1"/>
  <c r="AD130" i="125" a="1"/>
  <c r="AB137" i="125" a="1"/>
  <c r="AC144" i="125" a="1"/>
  <c r="AE150" i="125" a="1"/>
  <c r="L6" i="125" a="1"/>
  <c r="L5" i="125" a="1"/>
  <c r="M152" i="125" a="1"/>
  <c r="N151" i="125" a="1"/>
  <c r="Q150" i="125" a="1"/>
  <c r="X149" i="125" a="1"/>
  <c r="C149" i="125" a="1"/>
  <c r="F148" i="125" a="1"/>
  <c r="J147" i="125" a="1"/>
  <c r="P146" i="125" a="1"/>
  <c r="T145" i="125" a="1"/>
  <c r="W144" i="125" a="1"/>
  <c r="E144" i="125" a="1"/>
  <c r="I143" i="125" a="1"/>
  <c r="AE38" i="125" a="1"/>
  <c r="AB57" i="125" a="1"/>
  <c r="AC73" i="125" a="1"/>
  <c r="AD80" i="125" a="1"/>
  <c r="AD87" i="125" a="1"/>
  <c r="AE92" i="125" a="1"/>
  <c r="AB103" i="125" a="1"/>
  <c r="AD108" i="125" a="1"/>
  <c r="AE113" i="125" a="1"/>
  <c r="AC120" i="125" a="1"/>
  <c r="AD125" i="125" a="1"/>
  <c r="AF131" i="125" a="1"/>
  <c r="AC137" i="125" a="1"/>
  <c r="AD144" i="125" a="1"/>
  <c r="AB151" i="125" a="1"/>
  <c r="AA73" i="1" s="1"/>
  <c r="K6" i="125" a="1"/>
  <c r="K5" i="125" a="1"/>
  <c r="L152" i="125" a="1"/>
  <c r="M151" i="125" a="1"/>
  <c r="P150" i="125" a="1"/>
  <c r="T149" i="125" a="1"/>
  <c r="Z148" i="125" a="1"/>
  <c r="E148" i="125" a="1"/>
  <c r="H147" i="125" a="1"/>
  <c r="O146" i="125" a="1"/>
  <c r="S145" i="125" a="1"/>
  <c r="V144" i="125" a="1"/>
  <c r="Z143" i="125" a="1"/>
  <c r="G143" i="125" a="1"/>
  <c r="M142" i="125" a="1"/>
  <c r="U139" i="125" a="1"/>
  <c r="AA138" i="125" a="1"/>
  <c r="J138" i="125" a="1"/>
  <c r="P137" i="125" a="1"/>
  <c r="X136" i="125" a="1"/>
  <c r="E136" i="125" a="1"/>
  <c r="M135" i="125" a="1"/>
  <c r="S134" i="125" a="1"/>
  <c r="AF38" i="125" a="1"/>
  <c r="AC57" i="125" a="1"/>
  <c r="AE73" i="125" a="1"/>
  <c r="AF80" i="125" a="1"/>
  <c r="AE87" i="125" a="1"/>
  <c r="AF92" i="125" a="1"/>
  <c r="AD103" i="125" a="1"/>
  <c r="AE108" i="125" a="1"/>
  <c r="AB115" i="125" a="1"/>
  <c r="AA131" i="1" s="1"/>
  <c r="AD120" i="125" a="1"/>
  <c r="AE125" i="125" a="1"/>
  <c r="AC132" i="125" a="1"/>
  <c r="AD137" i="125" a="1"/>
  <c r="AF145" i="125" a="1"/>
  <c r="AC151" i="125" a="1"/>
  <c r="J6" i="125" a="1"/>
  <c r="I5" i="125" a="1"/>
  <c r="J152" i="125" a="1"/>
  <c r="K151" i="125" a="1"/>
  <c r="O150" i="125" a="1"/>
  <c r="R149" i="125" a="1"/>
  <c r="Y148" i="125" a="1"/>
  <c r="D148" i="125" a="1"/>
  <c r="G147" i="125" a="1"/>
  <c r="K146" i="125" a="1"/>
  <c r="Q145" i="125" a="1"/>
  <c r="U144" i="125" a="1"/>
  <c r="X143" i="125" a="1"/>
  <c r="F143" i="125" a="1"/>
  <c r="L142" i="125" a="1"/>
  <c r="T139" i="125" a="1"/>
  <c r="Z138" i="125" a="1"/>
  <c r="I138" i="125" a="1"/>
  <c r="O137" i="125" a="1"/>
  <c r="W136" i="125" a="1"/>
  <c r="D136" i="125" a="1"/>
  <c r="L135" i="125" a="1"/>
  <c r="R134" i="125" a="1"/>
  <c r="Z133" i="125" a="1"/>
  <c r="I133" i="125" a="1"/>
  <c r="S132" i="125" a="1"/>
  <c r="C132" i="125" a="1"/>
  <c r="K131" i="125" a="1"/>
  <c r="U130" i="125" a="1"/>
  <c r="F130" i="125" a="1"/>
  <c r="Q129" i="125" a="1"/>
  <c r="D129" i="125" a="1"/>
  <c r="P128" i="125" a="1"/>
  <c r="C128" i="125" a="1"/>
  <c r="O127" i="125" a="1"/>
  <c r="AA126" i="125" a="1"/>
  <c r="O126" i="125" a="1"/>
  <c r="C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AB41" i="125" a="1"/>
  <c r="AD59" i="125" a="1"/>
  <c r="AB75" i="125" a="1"/>
  <c r="AC82" i="125" a="1"/>
  <c r="AF87" i="125" a="1"/>
  <c r="AC94" i="125" a="1"/>
  <c r="AE103" i="125" a="1"/>
  <c r="AF108" i="125" a="1"/>
  <c r="AD115" i="125" a="1"/>
  <c r="AE120" i="125" a="1"/>
  <c r="AB127" i="125" a="1"/>
  <c r="AD132" i="125" a="1"/>
  <c r="AE137" i="125" a="1"/>
  <c r="AC146" i="125" a="1"/>
  <c r="AD151" i="125" a="1"/>
  <c r="C6" i="125" a="1"/>
  <c r="D5" i="125" a="1"/>
  <c r="E152" i="125" a="1"/>
  <c r="J151" i="125" a="1"/>
  <c r="N150" i="125" a="1"/>
  <c r="Q149" i="125" a="1"/>
  <c r="U148" i="125" a="1"/>
  <c r="AA147" i="125" a="1"/>
  <c r="F147" i="125" a="1"/>
  <c r="I146" i="125" a="1"/>
  <c r="P145" i="125" a="1"/>
  <c r="T144" i="125" a="1"/>
  <c r="W143" i="125" a="1"/>
  <c r="AA142" i="125" a="1"/>
  <c r="K142" i="125" a="1"/>
  <c r="P139" i="125" a="1"/>
  <c r="Y138" i="125" a="1"/>
  <c r="E138" i="125" a="1"/>
  <c r="N137" i="125" a="1"/>
  <c r="S136" i="125" a="1"/>
  <c r="C136" i="125" a="1"/>
  <c r="H135" i="125" a="1"/>
  <c r="Q134" i="125" a="1"/>
  <c r="Y133" i="125" a="1"/>
  <c r="H133" i="125" a="1"/>
  <c r="R132" i="125" a="1"/>
  <c r="AA131" i="125" a="1"/>
  <c r="J131" i="125" a="1"/>
  <c r="T130" i="125" a="1"/>
  <c r="E130" i="125" a="1"/>
  <c r="P129" i="125" a="1"/>
  <c r="C129" i="125" a="1"/>
  <c r="O128" i="125" a="1"/>
  <c r="AA127" i="125" a="1"/>
  <c r="N127" i="125" a="1"/>
  <c r="Z126" i="125" a="1"/>
  <c r="N126" i="125" a="1"/>
  <c r="AA125" i="125" a="1"/>
  <c r="O125" i="125" a="1"/>
  <c r="C125" i="125" a="1"/>
  <c r="P124" i="125" a="1"/>
  <c r="D124" i="125" a="1"/>
  <c r="Q123" i="125" a="1"/>
  <c r="E123" i="125" a="1"/>
  <c r="R122" i="125" a="1"/>
  <c r="F122" i="125" a="1"/>
  <c r="S121" i="125" a="1"/>
  <c r="G121" i="125" a="1"/>
  <c r="T120" i="125" a="1"/>
  <c r="H120" i="125" a="1"/>
  <c r="U119" i="125" a="1"/>
  <c r="I119" i="125" a="1"/>
  <c r="V118" i="125" a="1"/>
  <c r="J118" i="125" a="1"/>
  <c r="W117" i="125" a="1"/>
  <c r="K117" i="125" a="1"/>
  <c r="X116" i="125" a="1"/>
  <c r="L116" i="125" a="1"/>
  <c r="Y115" i="125" a="1"/>
  <c r="M115" i="125" a="1"/>
  <c r="Z114" i="125" a="1"/>
  <c r="N114" i="125" a="1"/>
  <c r="AA113" i="125" a="1"/>
  <c r="O113" i="125" a="1"/>
  <c r="C113" i="125" a="1"/>
  <c r="P112" i="125" a="1"/>
  <c r="D112" i="125" a="1"/>
  <c r="Q111" i="125" a="1"/>
  <c r="E111" i="125" a="1"/>
  <c r="R110" i="125" a="1"/>
  <c r="F110" i="125" a="1"/>
  <c r="S109" i="125" a="1"/>
  <c r="G109" i="125" a="1"/>
  <c r="T108" i="125" a="1"/>
  <c r="H108" i="125" a="1"/>
  <c r="U107" i="125" a="1"/>
  <c r="I107" i="125" a="1"/>
  <c r="V106" i="125" a="1"/>
  <c r="J106" i="125" a="1"/>
  <c r="W105" i="125" a="1"/>
  <c r="K105" i="125" a="1"/>
  <c r="X104" i="125" a="1"/>
  <c r="L104" i="125" a="1"/>
  <c r="Y103" i="125" a="1"/>
  <c r="M103" i="125" a="1"/>
  <c r="Z102" i="125" a="1"/>
  <c r="N102" i="125" a="1"/>
  <c r="AA101" i="125" a="1"/>
  <c r="O101" i="125" a="1"/>
  <c r="C101" i="125" a="1"/>
  <c r="P100" i="125" a="1"/>
  <c r="D100" i="125" a="1"/>
  <c r="Q99" i="125" a="1"/>
  <c r="E99" i="125" a="1"/>
  <c r="R94" i="125" a="1"/>
  <c r="F94" i="125" a="1"/>
  <c r="S93" i="125" a="1"/>
  <c r="G93" i="125" a="1"/>
  <c r="T92" i="125" a="1"/>
  <c r="H92" i="125" a="1"/>
  <c r="U91" i="125" a="1"/>
  <c r="I91" i="125" a="1"/>
  <c r="V90" i="125" a="1"/>
  <c r="J90" i="125" a="1"/>
  <c r="W89" i="125" a="1"/>
  <c r="K89" i="125" a="1"/>
  <c r="X88" i="125" a="1"/>
  <c r="L88" i="125" a="1"/>
  <c r="Y87" i="125" a="1"/>
  <c r="M87" i="125" a="1"/>
  <c r="Z86" i="125" a="1"/>
  <c r="N86" i="125" a="1"/>
  <c r="AC41" i="125" a="1"/>
  <c r="AE59" i="125" a="1"/>
  <c r="AD75" i="125" a="1"/>
  <c r="AE82" i="125" a="1"/>
  <c r="AB88" i="125" a="1"/>
  <c r="AA152" i="1" s="1"/>
  <c r="AE94" i="125" a="1"/>
  <c r="AF103" i="125" a="1"/>
  <c r="AC110" i="125" a="1"/>
  <c r="AE115" i="125" a="1"/>
  <c r="AF120" i="125" a="1"/>
  <c r="AD127" i="125" a="1"/>
  <c r="AE132" i="125" a="1"/>
  <c r="AB139" i="125" a="1"/>
  <c r="AD146" i="125" a="1"/>
  <c r="AE151" i="125" a="1"/>
  <c r="Z5" i="125" a="1"/>
  <c r="AA152" i="125" a="1"/>
  <c r="C152" i="125" a="1"/>
  <c r="F151" i="125" a="1"/>
  <c r="L150" i="125" a="1"/>
  <c r="P149" i="125" a="1"/>
  <c r="S148" i="125" a="1"/>
  <c r="Z147" i="125" a="1"/>
  <c r="E147" i="125" a="1"/>
  <c r="H146" i="125" a="1"/>
  <c r="L145" i="125" a="1"/>
  <c r="R144" i="125" a="1"/>
  <c r="V143" i="125" a="1"/>
  <c r="Z142" i="125" a="1"/>
  <c r="J142" i="125" a="1"/>
  <c r="O139" i="125" a="1"/>
  <c r="X138" i="125" a="1"/>
  <c r="D138" i="125" a="1"/>
  <c r="M137" i="125" a="1"/>
  <c r="R136" i="125" a="1"/>
  <c r="AA135" i="125" a="1"/>
  <c r="G135" i="125" a="1"/>
  <c r="P134" i="125" a="1"/>
  <c r="V133" i="125" a="1"/>
  <c r="G133" i="125" a="1"/>
  <c r="P132" i="125" a="1"/>
  <c r="X131" i="125" a="1"/>
  <c r="I131" i="125" a="1"/>
  <c r="R130" i="125" a="1"/>
  <c r="D130" i="125" a="1"/>
  <c r="O129" i="125" a="1"/>
  <c r="AA128" i="125" a="1"/>
  <c r="N128" i="125" a="1"/>
  <c r="Z127" i="125" a="1"/>
  <c r="M127" i="125" a="1"/>
  <c r="Y126" i="125" a="1"/>
  <c r="M126" i="125" a="1"/>
  <c r="Z125" i="125" a="1"/>
  <c r="N125" i="125" a="1"/>
  <c r="AA124" i="125" a="1"/>
  <c r="O124" i="125" a="1"/>
  <c r="C124" i="125" a="1"/>
  <c r="P123" i="125" a="1"/>
  <c r="D123" i="125" a="1"/>
  <c r="Q122" i="125" a="1"/>
  <c r="E122" i="125" a="1"/>
  <c r="R121" i="125" a="1"/>
  <c r="F121" i="125" a="1"/>
  <c r="S120" i="125" a="1"/>
  <c r="G120" i="125" a="1"/>
  <c r="T119" i="125" a="1"/>
  <c r="H119" i="125" a="1"/>
  <c r="U118" i="125" a="1"/>
  <c r="I118" i="125" a="1"/>
  <c r="V117" i="125" a="1"/>
  <c r="J117" i="125" a="1"/>
  <c r="W116" i="125" a="1"/>
  <c r="K116" i="125" a="1"/>
  <c r="X115" i="125" a="1"/>
  <c r="L115" i="125" a="1"/>
  <c r="Y114" i="125" a="1"/>
  <c r="M114" i="125" a="1"/>
  <c r="Z113" i="125" a="1"/>
  <c r="N113" i="125" a="1"/>
  <c r="AA112" i="125" a="1"/>
  <c r="O112" i="125" a="1"/>
  <c r="C112" i="125" a="1"/>
  <c r="P111" i="125" a="1"/>
  <c r="D111" i="125" a="1"/>
  <c r="Q110" i="125" a="1"/>
  <c r="E110" i="125" a="1"/>
  <c r="R109" i="125" a="1"/>
  <c r="F109" i="125" a="1"/>
  <c r="S108" i="125" a="1"/>
  <c r="G108" i="125" a="1"/>
  <c r="T107" i="125" a="1"/>
  <c r="H107" i="125" a="1"/>
  <c r="U106" i="125" a="1"/>
  <c r="I106" i="125" a="1"/>
  <c r="V105" i="125" a="1"/>
  <c r="J105" i="125" a="1"/>
  <c r="W104" i="125" a="1"/>
  <c r="K104" i="125" a="1"/>
  <c r="X103" i="125" a="1"/>
  <c r="L103" i="125" a="1"/>
  <c r="Y102" i="125" a="1"/>
  <c r="M102" i="125" a="1"/>
  <c r="Z101" i="125" a="1"/>
  <c r="N101" i="125" a="1"/>
  <c r="AA100" i="125" a="1"/>
  <c r="O100" i="125" a="1"/>
  <c r="C100" i="125" a="1"/>
  <c r="P99" i="125" a="1"/>
  <c r="D99" i="125" a="1"/>
  <c r="Q94" i="125" a="1"/>
  <c r="E94" i="125" a="1"/>
  <c r="R93" i="125" a="1"/>
  <c r="F93" i="125" a="1"/>
  <c r="S92" i="125" a="1"/>
  <c r="G92" i="125" a="1"/>
  <c r="T91" i="125" a="1"/>
  <c r="H91" i="125" a="1"/>
  <c r="AD43" i="125" a="1"/>
  <c r="AF61" i="125" a="1"/>
  <c r="AE75" i="125" a="1"/>
  <c r="AF82" i="125" a="1"/>
  <c r="AD89" i="125" a="1"/>
  <c r="AF94" i="125" a="1"/>
  <c r="AB104" i="125" a="1"/>
  <c r="AE110" i="125" a="1"/>
  <c r="AF115" i="125" a="1"/>
  <c r="AC122" i="125" a="1"/>
  <c r="AE127" i="125" a="1"/>
  <c r="AF132" i="125" a="1"/>
  <c r="AD139" i="125" a="1"/>
  <c r="AE146" i="125" a="1"/>
  <c r="AA6" i="125" a="1"/>
  <c r="Y5" i="125" a="1"/>
  <c r="Z152" i="125" a="1"/>
  <c r="AA151" i="125" a="1"/>
  <c r="D151" i="125" a="1"/>
  <c r="K150" i="125" a="1"/>
  <c r="O149" i="125" a="1"/>
  <c r="R148" i="125" a="1"/>
  <c r="V147" i="125" a="1"/>
  <c r="C147" i="125" a="1"/>
  <c r="G146" i="125" a="1"/>
  <c r="J145" i="125" a="1"/>
  <c r="Q144" i="125" a="1"/>
  <c r="U143" i="125" a="1"/>
  <c r="Y142" i="125" a="1"/>
  <c r="H142" i="125" a="1"/>
  <c r="N139" i="125" a="1"/>
  <c r="V138" i="125" a="1"/>
  <c r="C138" i="125" a="1"/>
  <c r="K137" i="125" a="1"/>
  <c r="Q136" i="125" a="1"/>
  <c r="Y135" i="125" a="1"/>
  <c r="F135" i="125" a="1"/>
  <c r="N134" i="125" a="1"/>
  <c r="U133" i="125" a="1"/>
  <c r="F133" i="125" a="1"/>
  <c r="O132" i="125" a="1"/>
  <c r="W131" i="125" a="1"/>
  <c r="H131" i="125" a="1"/>
  <c r="Q130" i="125" a="1"/>
  <c r="AA129" i="125" a="1"/>
  <c r="N129" i="125" a="1"/>
  <c r="Z128" i="125" a="1"/>
  <c r="M128" i="125" a="1"/>
  <c r="Y127" i="125" a="1"/>
  <c r="L127" i="125" a="1"/>
  <c r="X126" i="125" a="1"/>
  <c r="L126" i="125" a="1"/>
  <c r="Y125" i="125" a="1"/>
  <c r="M125" i="125" a="1"/>
  <c r="Z124" i="125" a="1"/>
  <c r="N124" i="125" a="1"/>
  <c r="AA123" i="125" a="1"/>
  <c r="O123" i="125" a="1"/>
  <c r="C123" i="125" a="1"/>
  <c r="P122" i="125" a="1"/>
  <c r="D122" i="125" a="1"/>
  <c r="Q121" i="125" a="1"/>
  <c r="E121" i="125" a="1"/>
  <c r="R120" i="125" a="1"/>
  <c r="F120" i="125" a="1"/>
  <c r="S119" i="125" a="1"/>
  <c r="G119" i="125" a="1"/>
  <c r="T118" i="125" a="1"/>
  <c r="H118" i="125" a="1"/>
  <c r="U117" i="125" a="1"/>
  <c r="I117" i="125" a="1"/>
  <c r="V116" i="125" a="1"/>
  <c r="J116" i="125" a="1"/>
  <c r="W115" i="125" a="1"/>
  <c r="K115" i="125" a="1"/>
  <c r="X114" i="125" a="1"/>
  <c r="L114" i="125" a="1"/>
  <c r="Y113" i="125" a="1"/>
  <c r="M113" i="125" a="1"/>
  <c r="Z112" i="125" a="1"/>
  <c r="N112" i="125" a="1"/>
  <c r="AA111" i="125" a="1"/>
  <c r="O111" i="125" a="1"/>
  <c r="C111" i="125" a="1"/>
  <c r="P110" i="125" a="1"/>
  <c r="AE43" i="125" a="1"/>
  <c r="AB62" i="125" a="1"/>
  <c r="AB76" i="125" a="1"/>
  <c r="AF45" i="125" a="1"/>
  <c r="AC64" i="125" a="1"/>
  <c r="AD77" i="125" a="1"/>
  <c r="AE84" i="125" a="1"/>
  <c r="AB90" i="125" a="1"/>
  <c r="AA139" i="1" s="1"/>
  <c r="AC99" i="125" a="1"/>
  <c r="AF105" i="125" a="1"/>
  <c r="AB111" i="125" a="1"/>
  <c r="AA128" i="1" s="1"/>
  <c r="AD117" i="125" a="1"/>
  <c r="AF122" i="125" a="1"/>
  <c r="AB128" i="125" a="1"/>
  <c r="AE134" i="125" a="1"/>
  <c r="AF139" i="125" a="1"/>
  <c r="AC148" i="125" a="1"/>
  <c r="X6" i="125" a="1"/>
  <c r="W5" i="125" a="1"/>
  <c r="X152" i="125" a="1"/>
  <c r="Y151" i="125" a="1"/>
  <c r="AA150" i="125" a="1"/>
  <c r="E150" i="125" a="1"/>
  <c r="L149" i="125" a="1"/>
  <c r="P148" i="125" a="1"/>
  <c r="S147" i="125" a="1"/>
  <c r="W146" i="125" a="1"/>
  <c r="D146" i="125" a="1"/>
  <c r="H145" i="125" a="1"/>
  <c r="K144" i="125" a="1"/>
  <c r="R143" i="125" a="1"/>
  <c r="W142" i="125" a="1"/>
  <c r="C142" i="125" a="1"/>
  <c r="L139" i="125" a="1"/>
  <c r="Q138" i="125" a="1"/>
  <c r="Z137" i="125" a="1"/>
  <c r="F137" i="125" a="1"/>
  <c r="O136" i="125" a="1"/>
  <c r="T135" i="125" a="1"/>
  <c r="D135" i="125" a="1"/>
  <c r="I134" i="125" a="1"/>
  <c r="S133" i="125" a="1"/>
  <c r="C133" i="125" a="1"/>
  <c r="K132" i="125" a="1"/>
  <c r="U131" i="125" a="1"/>
  <c r="E131" i="125" a="1"/>
  <c r="N130" i="125" a="1"/>
  <c r="Y129" i="125" a="1"/>
  <c r="L129" i="125" a="1"/>
  <c r="X128" i="125" a="1"/>
  <c r="K128" i="125" a="1"/>
  <c r="W127" i="125" a="1"/>
  <c r="I127" i="125" a="1"/>
  <c r="V126" i="125" a="1"/>
  <c r="J126" i="125" a="1"/>
  <c r="W125" i="125" a="1"/>
  <c r="K125" i="125" a="1"/>
  <c r="X124" i="125" a="1"/>
  <c r="L124" i="125" a="1"/>
  <c r="Y123" i="125" a="1"/>
  <c r="M123" i="125" a="1"/>
  <c r="Z122" i="125" a="1"/>
  <c r="N122" i="125" a="1"/>
  <c r="AA121" i="125" a="1"/>
  <c r="O121" i="125" a="1"/>
  <c r="C121" i="125" a="1"/>
  <c r="P120" i="125" a="1"/>
  <c r="D120" i="125" a="1"/>
  <c r="Q119" i="125" a="1"/>
  <c r="E119" i="125" a="1"/>
  <c r="R118" i="125" a="1"/>
  <c r="F118" i="125" a="1"/>
  <c r="S117" i="125" a="1"/>
  <c r="G117" i="125" a="1"/>
  <c r="T116" i="125" a="1"/>
  <c r="H116" i="125" a="1"/>
  <c r="U115" i="125" a="1"/>
  <c r="I115" i="125" a="1"/>
  <c r="V114" i="125" a="1"/>
  <c r="J114" i="125" a="1"/>
  <c r="W113" i="125" a="1"/>
  <c r="K113" i="125" a="1"/>
  <c r="X112" i="125" a="1"/>
  <c r="L112" i="125" a="1"/>
  <c r="Y111" i="125" a="1"/>
  <c r="M111" i="125" a="1"/>
  <c r="Z110" i="125" a="1"/>
  <c r="N110" i="125" a="1"/>
  <c r="AA109" i="125" a="1"/>
  <c r="O109" i="125" a="1"/>
  <c r="C109" i="125" a="1"/>
  <c r="P108" i="125" a="1"/>
  <c r="D108" i="125" a="1"/>
  <c r="Q107" i="125" a="1"/>
  <c r="E107" i="125" a="1"/>
  <c r="R106" i="125" a="1"/>
  <c r="F106" i="125" a="1"/>
  <c r="S105" i="125" a="1"/>
  <c r="AB46" i="125" a="1"/>
  <c r="AD64" i="125" a="1"/>
  <c r="AF77" i="125" a="1"/>
  <c r="AB85" i="125" a="1"/>
  <c r="AC90" i="125" a="1"/>
  <c r="AE100" i="125" a="1"/>
  <c r="AB106" i="125" a="1"/>
  <c r="AA122" i="1" s="1"/>
  <c r="AC111" i="125" a="1"/>
  <c r="AF117" i="125" a="1"/>
  <c r="AB123" i="125" a="1"/>
  <c r="AA136" i="1" s="1"/>
  <c r="AD129" i="125" a="1"/>
  <c r="AF134" i="125" a="1"/>
  <c r="AB142" i="125" a="1"/>
  <c r="AE148" i="125" a="1"/>
  <c r="W6" i="125" a="1"/>
  <c r="U5" i="125" a="1"/>
  <c r="V152" i="125" a="1"/>
  <c r="W151" i="125" a="1"/>
  <c r="Z150" i="125" a="1"/>
  <c r="D150" i="125" a="1"/>
  <c r="H149" i="125" a="1"/>
  <c r="N148" i="125" a="1"/>
  <c r="R147" i="125" a="1"/>
  <c r="U146" i="125" a="1"/>
  <c r="C146" i="125" a="1"/>
  <c r="G145" i="125" a="1"/>
  <c r="J144" i="125" a="1"/>
  <c r="N143" i="125" a="1"/>
  <c r="V142" i="125" a="1"/>
  <c r="AA139" i="125" a="1"/>
  <c r="K139" i="125" a="1"/>
  <c r="P138" i="125" a="1"/>
  <c r="Y137" i="125" a="1"/>
  <c r="E137" i="125" a="1"/>
  <c r="N136" i="125" a="1"/>
  <c r="S135" i="125" a="1"/>
  <c r="C135" i="125" a="1"/>
  <c r="H134" i="125" a="1"/>
  <c r="R133" i="125" a="1"/>
  <c r="AA132" i="125" a="1"/>
  <c r="J132" i="125" a="1"/>
  <c r="T131" i="125" a="1"/>
  <c r="D131" i="125" a="1"/>
  <c r="M130" i="125" a="1"/>
  <c r="X129" i="125" a="1"/>
  <c r="K129" i="125" a="1"/>
  <c r="W128" i="125" a="1"/>
  <c r="J128" i="125" a="1"/>
  <c r="U127" i="125" a="1"/>
  <c r="H127" i="125" a="1"/>
  <c r="U126" i="125" a="1"/>
  <c r="I126" i="125" a="1"/>
  <c r="V125" i="125" a="1"/>
  <c r="J125" i="125" a="1"/>
  <c r="W124" i="125" a="1"/>
  <c r="K124" i="125" a="1"/>
  <c r="X123" i="125" a="1"/>
  <c r="L123" i="125" a="1"/>
  <c r="Y122" i="125" a="1"/>
  <c r="M122" i="125" a="1"/>
  <c r="Z121" i="125" a="1"/>
  <c r="N121" i="125" a="1"/>
  <c r="AA120" i="125" a="1"/>
  <c r="O120" i="125" a="1"/>
  <c r="C120" i="125" a="1"/>
  <c r="P119" i="125" a="1"/>
  <c r="D119" i="125" a="1"/>
  <c r="Q118" i="125" a="1"/>
  <c r="E118" i="125" a="1"/>
  <c r="R117" i="125" a="1"/>
  <c r="F117" i="125" a="1"/>
  <c r="S116" i="125" a="1"/>
  <c r="G116" i="125" a="1"/>
  <c r="T115" i="125" a="1"/>
  <c r="H115" i="125" a="1"/>
  <c r="U114" i="125" a="1"/>
  <c r="I114" i="125" a="1"/>
  <c r="V113" i="125" a="1"/>
  <c r="J113" i="125" a="1"/>
  <c r="W112" i="125" a="1"/>
  <c r="AC52" i="125" a="1"/>
  <c r="AE66" i="125" a="1"/>
  <c r="AB78" i="125" a="1"/>
  <c r="AA104" i="1" s="1"/>
  <c r="AC85" i="125" a="1"/>
  <c r="AD90" i="125" a="1"/>
  <c r="AB101" i="125" a="1"/>
  <c r="AC106" i="125" a="1"/>
  <c r="AE112" i="125" a="1"/>
  <c r="AB118" i="125" a="1"/>
  <c r="AC123" i="125" a="1"/>
  <c r="AF129" i="125" a="1"/>
  <c r="AB135" i="125" a="1"/>
  <c r="AD143" i="125" a="1"/>
  <c r="AF148" i="125" a="1"/>
  <c r="V6" i="125" a="1"/>
  <c r="P5" i="125" a="1"/>
  <c r="Q152" i="125" a="1"/>
  <c r="R151" i="125" a="1"/>
  <c r="X150" i="125" a="1"/>
  <c r="C150" i="125" a="1"/>
  <c r="F149" i="125" a="1"/>
  <c r="M148" i="125" a="1"/>
  <c r="Q147" i="125" a="1"/>
  <c r="T146" i="125" a="1"/>
  <c r="X145" i="125" a="1"/>
  <c r="E145" i="125" a="1"/>
  <c r="I144" i="125" a="1"/>
  <c r="L143" i="125" a="1"/>
  <c r="T142" i="125" a="1"/>
  <c r="Z139" i="125" a="1"/>
  <c r="I139" i="125" a="1"/>
  <c r="O138" i="125" a="1"/>
  <c r="W137" i="125" a="1"/>
  <c r="D137" i="125" a="1"/>
  <c r="L136" i="125" a="1"/>
  <c r="R135" i="125" a="1"/>
  <c r="Z134" i="125" a="1"/>
  <c r="G134" i="125" a="1"/>
  <c r="Q133" i="125" a="1"/>
  <c r="Z132" i="125" a="1"/>
  <c r="I132" i="125" a="1"/>
  <c r="S131" i="125" a="1"/>
  <c r="C131" i="125" a="1"/>
  <c r="L130" i="125" a="1"/>
  <c r="W129" i="125" a="1"/>
  <c r="J129" i="125" a="1"/>
  <c r="V128" i="125" a="1"/>
  <c r="H128" i="125" a="1"/>
  <c r="T127" i="125" a="1"/>
  <c r="G127" i="125" a="1"/>
  <c r="T126" i="125" a="1"/>
  <c r="H126" i="125" a="1"/>
  <c r="U125" i="125" a="1"/>
  <c r="I125" i="125" a="1"/>
  <c r="V124" i="125" a="1"/>
  <c r="J124" i="125" a="1"/>
  <c r="W123" i="125" a="1"/>
  <c r="K123" i="125" a="1"/>
  <c r="X122" i="125" a="1"/>
  <c r="L122" i="125" a="1"/>
  <c r="Y121" i="125" a="1"/>
  <c r="M121" i="125" a="1"/>
  <c r="Z120" i="125" a="1"/>
  <c r="N120" i="125" a="1"/>
  <c r="AA119" i="125" a="1"/>
  <c r="O119" i="125" a="1"/>
  <c r="C119" i="125" a="1"/>
  <c r="P118" i="125" a="1"/>
  <c r="D118" i="125" a="1"/>
  <c r="Q117" i="125" a="1"/>
  <c r="E117" i="125" a="1"/>
  <c r="R116" i="125" a="1"/>
  <c r="F116" i="125" a="1"/>
  <c r="S115" i="125" a="1"/>
  <c r="G115" i="125" a="1"/>
  <c r="T114" i="125" a="1"/>
  <c r="H114" i="125" a="1"/>
  <c r="U113" i="125" a="1"/>
  <c r="I113" i="125" a="1"/>
  <c r="V112" i="125" a="1"/>
  <c r="J112" i="125" a="1"/>
  <c r="W111" i="125" a="1"/>
  <c r="K111" i="125" a="1"/>
  <c r="X110" i="125" a="1"/>
  <c r="L110" i="125" a="1"/>
  <c r="Y109" i="125" a="1"/>
  <c r="M109" i="125" a="1"/>
  <c r="Z108" i="125" a="1"/>
  <c r="N108" i="125" a="1"/>
  <c r="AA107" i="125" a="1"/>
  <c r="O107" i="125" a="1"/>
  <c r="C107" i="125" a="1"/>
  <c r="P106" i="125" a="1"/>
  <c r="D106" i="125" a="1"/>
  <c r="Q105" i="125" a="1"/>
  <c r="E105" i="125" a="1"/>
  <c r="R104" i="125" a="1"/>
  <c r="F104" i="125" a="1"/>
  <c r="S103" i="125" a="1"/>
  <c r="G103" i="125" a="1"/>
  <c r="T102" i="125" a="1"/>
  <c r="H102" i="125" a="1"/>
  <c r="U101" i="125" a="1"/>
  <c r="I101" i="125" a="1"/>
  <c r="V100" i="125" a="1"/>
  <c r="J100" i="125" a="1"/>
  <c r="W99" i="125" a="1"/>
  <c r="K99" i="125" a="1"/>
  <c r="AD52" i="125" a="1"/>
  <c r="AF66" i="125" a="1"/>
  <c r="AD78" i="125" a="1"/>
  <c r="AD85" i="125" a="1"/>
  <c r="AF91" i="125" a="1"/>
  <c r="AC101" i="125" a="1"/>
  <c r="AD106" i="125" a="1"/>
  <c r="AB113" i="125" a="1"/>
  <c r="AC118" i="125" a="1"/>
  <c r="AE124" i="125" a="1"/>
  <c r="AB130" i="125" a="1"/>
  <c r="AC135" i="125" a="1"/>
  <c r="AF143" i="125" a="1"/>
  <c r="AB149" i="125" a="1"/>
  <c r="O6" i="125" a="1"/>
  <c r="N5" i="125" a="1"/>
  <c r="O152" i="125" a="1"/>
  <c r="P151" i="125" a="1"/>
  <c r="W150" i="125" a="1"/>
  <c r="AA149" i="125" a="1"/>
  <c r="E149" i="125" a="1"/>
  <c r="I148" i="125" a="1"/>
  <c r="O147" i="125" a="1"/>
  <c r="S146" i="125" a="1"/>
  <c r="V145" i="125" a="1"/>
  <c r="D145" i="125" a="1"/>
  <c r="H144" i="125" a="1"/>
  <c r="K143" i="125" a="1"/>
  <c r="S142" i="125" a="1"/>
  <c r="Y139" i="125" a="1"/>
  <c r="H139" i="125" a="1"/>
  <c r="N138" i="125" a="1"/>
  <c r="V137" i="125" a="1"/>
  <c r="C137" i="125" a="1"/>
  <c r="K136" i="125" a="1"/>
  <c r="Q135" i="125" a="1"/>
  <c r="Y134" i="125" a="1"/>
  <c r="F134" i="125" a="1"/>
  <c r="O133" i="125" a="1"/>
  <c r="W132" i="125" a="1"/>
  <c r="H132" i="125" a="1"/>
  <c r="Q131" i="125" a="1"/>
  <c r="Y130" i="125" a="1"/>
  <c r="K130" i="125" a="1"/>
  <c r="V129" i="125" a="1"/>
  <c r="I129" i="125" a="1"/>
  <c r="T128" i="125" a="1"/>
  <c r="G128" i="125" a="1"/>
  <c r="S127" i="125" a="1"/>
  <c r="F127" i="125" a="1"/>
  <c r="S126" i="125" a="1"/>
  <c r="G126" i="125" a="1"/>
  <c r="T125" i="125" a="1"/>
  <c r="H125" i="125" a="1"/>
  <c r="U124" i="125" a="1"/>
  <c r="I124" i="125" a="1"/>
  <c r="V123" i="125" a="1"/>
  <c r="J123" i="125" a="1"/>
  <c r="W122" i="125" a="1"/>
  <c r="K122" i="125" a="1"/>
  <c r="X121" i="125" a="1"/>
  <c r="L121" i="125" a="1"/>
  <c r="Y120" i="125" a="1"/>
  <c r="M120" i="125" a="1"/>
  <c r="Z119" i="125" a="1"/>
  <c r="N119" i="125" a="1"/>
  <c r="AA118" i="125" a="1"/>
  <c r="O118" i="125" a="1"/>
  <c r="C118" i="125" a="1"/>
  <c r="P117" i="125" a="1"/>
  <c r="D117" i="125" a="1"/>
  <c r="Q116" i="125" a="1"/>
  <c r="AC83" i="125" a="1"/>
  <c r="X5" i="125" a="1"/>
  <c r="S143" i="125" a="1"/>
  <c r="Z136" i="125" a="1"/>
  <c r="J133" i="125" a="1"/>
  <c r="V130" i="125" a="1"/>
  <c r="Q128" i="125" a="1"/>
  <c r="P126" i="125" a="1"/>
  <c r="R124" i="125" a="1"/>
  <c r="T122" i="125" a="1"/>
  <c r="V120" i="125" a="1"/>
  <c r="X118" i="125" a="1"/>
  <c r="Z116" i="125" a="1"/>
  <c r="J115" i="125" a="1"/>
  <c r="X113" i="125" a="1"/>
  <c r="R112" i="125" a="1"/>
  <c r="S111" i="125" a="1"/>
  <c r="T110" i="125" a="1"/>
  <c r="X109" i="125" a="1"/>
  <c r="H109" i="125" a="1"/>
  <c r="M108" i="125" a="1"/>
  <c r="V107" i="125" a="1"/>
  <c r="AA106" i="125" a="1"/>
  <c r="K106" i="125" a="1"/>
  <c r="P105" i="125" a="1"/>
  <c r="Z104" i="125" a="1"/>
  <c r="I104" i="125" a="1"/>
  <c r="R103" i="125" a="1"/>
  <c r="C103" i="125" a="1"/>
  <c r="K102" i="125" a="1"/>
  <c r="T101" i="125" a="1"/>
  <c r="E101" i="125" a="1"/>
  <c r="M100" i="125" a="1"/>
  <c r="V99" i="125" a="1"/>
  <c r="G99" i="125" a="1"/>
  <c r="P94" i="125" a="1"/>
  <c r="AA93" i="125" a="1"/>
  <c r="M93" i="125" a="1"/>
  <c r="X92" i="125" a="1"/>
  <c r="J92" i="125" a="1"/>
  <c r="S91" i="125" a="1"/>
  <c r="E91" i="125" a="1"/>
  <c r="Q90" i="125" a="1"/>
  <c r="D90" i="125" a="1"/>
  <c r="P89" i="125" a="1"/>
  <c r="C89" i="125" a="1"/>
  <c r="O88" i="125" a="1"/>
  <c r="AA87" i="125" a="1"/>
  <c r="N87" i="125" a="1"/>
  <c r="Y86" i="125" a="1"/>
  <c r="L86" i="125" a="1"/>
  <c r="Y85" i="125" a="1"/>
  <c r="M85" i="125" a="1"/>
  <c r="Z84" i="125" a="1"/>
  <c r="N84" i="125" a="1"/>
  <c r="AA83" i="125" a="1"/>
  <c r="O83" i="125" a="1"/>
  <c r="C83" i="125" a="1"/>
  <c r="P82" i="125" a="1"/>
  <c r="D82" i="125" a="1"/>
  <c r="Q81" i="125" a="1"/>
  <c r="E81" i="125" a="1"/>
  <c r="R80" i="125" a="1"/>
  <c r="F80" i="125" a="1"/>
  <c r="S79" i="125" a="1"/>
  <c r="G79" i="125" a="1"/>
  <c r="T78" i="125" a="1"/>
  <c r="H78" i="125" a="1"/>
  <c r="U77" i="125" a="1"/>
  <c r="I77" i="125" a="1"/>
  <c r="V76" i="125" a="1"/>
  <c r="J76" i="125" a="1"/>
  <c r="W75" i="125" a="1"/>
  <c r="K75" i="125" a="1"/>
  <c r="X74" i="125" a="1"/>
  <c r="L74" i="125" a="1"/>
  <c r="Y73" i="125" a="1"/>
  <c r="M73" i="125" a="1"/>
  <c r="Z68" i="125" a="1"/>
  <c r="N68" i="125" a="1"/>
  <c r="AA67" i="125" a="1"/>
  <c r="O67" i="125" a="1"/>
  <c r="C67" i="125" a="1"/>
  <c r="P66" i="125" a="1"/>
  <c r="D66" i="125" a="1"/>
  <c r="Q65" i="125" a="1"/>
  <c r="E65" i="125" a="1"/>
  <c r="R64" i="125" a="1"/>
  <c r="F64" i="125" a="1"/>
  <c r="S63" i="125" a="1"/>
  <c r="G63" i="125" a="1"/>
  <c r="T62" i="125" a="1"/>
  <c r="H62" i="125" a="1"/>
  <c r="U61" i="125" a="1"/>
  <c r="I61" i="125" a="1"/>
  <c r="V60" i="125" a="1"/>
  <c r="J60" i="125" a="1"/>
  <c r="AF89" i="125" a="1"/>
  <c r="Y152" i="125" a="1"/>
  <c r="X142" i="125" a="1"/>
  <c r="P136" i="125" a="1"/>
  <c r="E133" i="125" a="1"/>
  <c r="P130" i="125" a="1"/>
  <c r="L128" i="125" a="1"/>
  <c r="K126" i="125" a="1"/>
  <c r="M124" i="125" a="1"/>
  <c r="O122" i="125" a="1"/>
  <c r="Q120" i="125" a="1"/>
  <c r="S118" i="125" a="1"/>
  <c r="U116" i="125" a="1"/>
  <c r="F115" i="125" a="1"/>
  <c r="T113" i="125" a="1"/>
  <c r="M112" i="125" a="1"/>
  <c r="N111" i="125" a="1"/>
  <c r="S110" i="125" a="1"/>
  <c r="W109" i="125" a="1"/>
  <c r="E109" i="125" a="1"/>
  <c r="L108" i="125" a="1"/>
  <c r="S107" i="125" a="1"/>
  <c r="Z106" i="125" a="1"/>
  <c r="H106" i="125" a="1"/>
  <c r="O105" i="125" a="1"/>
  <c r="Y104" i="125" a="1"/>
  <c r="H104" i="125" a="1"/>
  <c r="Q103" i="125" a="1"/>
  <c r="AB99" i="125" a="1"/>
  <c r="AA113" i="1" s="1"/>
  <c r="Z151" i="125" a="1"/>
  <c r="N142" i="125" a="1"/>
  <c r="F136" i="125" a="1"/>
  <c r="U132" i="125" a="1"/>
  <c r="I130" i="125" a="1"/>
  <c r="E128" i="125" a="1"/>
  <c r="E126" i="125" a="1"/>
  <c r="G124" i="125" a="1"/>
  <c r="I122" i="125" a="1"/>
  <c r="K120" i="125" a="1"/>
  <c r="M118" i="125" a="1"/>
  <c r="O116" i="125" a="1"/>
  <c r="D115" i="125" a="1"/>
  <c r="R113" i="125" a="1"/>
  <c r="K112" i="125" a="1"/>
  <c r="L111" i="125" a="1"/>
  <c r="O110" i="125" a="1"/>
  <c r="V109" i="125" a="1"/>
  <c r="D109" i="125" a="1"/>
  <c r="K108" i="125" a="1"/>
  <c r="R107" i="125" a="1"/>
  <c r="Y106" i="125" a="1"/>
  <c r="G106" i="125" a="1"/>
  <c r="N105" i="125" a="1"/>
  <c r="V104" i="125" a="1"/>
  <c r="G104" i="125" a="1"/>
  <c r="P103" i="125" a="1"/>
  <c r="X102" i="125" a="1"/>
  <c r="I102" i="125" a="1"/>
  <c r="R101" i="125" a="1"/>
  <c r="Z100" i="125" a="1"/>
  <c r="K100" i="125" a="1"/>
  <c r="T99" i="125" a="1"/>
  <c r="C99" i="125" a="1"/>
  <c r="N94" i="125" a="1"/>
  <c r="Y93" i="125" a="1"/>
  <c r="K93" i="125" a="1"/>
  <c r="V92" i="125" a="1"/>
  <c r="F92" i="125" a="1"/>
  <c r="Q91" i="125" a="1"/>
  <c r="C91" i="125" a="1"/>
  <c r="O90" i="125" a="1"/>
  <c r="AA89" i="125" a="1"/>
  <c r="N89" i="125" a="1"/>
  <c r="Z88" i="125" a="1"/>
  <c r="M88" i="125" a="1"/>
  <c r="X87" i="125" a="1"/>
  <c r="K87" i="125" a="1"/>
  <c r="W86" i="125" a="1"/>
  <c r="J86" i="125" a="1"/>
  <c r="W85" i="125" a="1"/>
  <c r="K85" i="125" a="1"/>
  <c r="X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N66" i="125" a="1"/>
  <c r="AA65" i="125" a="1"/>
  <c r="O65" i="125" a="1"/>
  <c r="C65" i="125" a="1"/>
  <c r="P64" i="125" a="1"/>
  <c r="D64" i="125" a="1"/>
  <c r="Q63" i="125" a="1"/>
  <c r="E63" i="125" a="1"/>
  <c r="AD105" i="125" a="1"/>
  <c r="C151" i="125" a="1"/>
  <c r="G142" i="125" a="1"/>
  <c r="X135" i="125" a="1"/>
  <c r="T132" i="125" a="1"/>
  <c r="H130" i="125" a="1"/>
  <c r="D128" i="125" a="1"/>
  <c r="D126" i="125" a="1"/>
  <c r="F124" i="125" a="1"/>
  <c r="H122" i="125" a="1"/>
  <c r="J120" i="125" a="1"/>
  <c r="L118" i="125" a="1"/>
  <c r="N116" i="125" a="1"/>
  <c r="C115" i="125" a="1"/>
  <c r="Q113" i="125" a="1"/>
  <c r="I112" i="125" a="1"/>
  <c r="J111" i="125" a="1"/>
  <c r="M110" i="125" a="1"/>
  <c r="U109" i="125" a="1"/>
  <c r="AA108" i="125" a="1"/>
  <c r="J108" i="125" a="1"/>
  <c r="P107" i="125" a="1"/>
  <c r="X106" i="125" a="1"/>
  <c r="E106" i="125" a="1"/>
  <c r="M105" i="125" a="1"/>
  <c r="U104" i="125" a="1"/>
  <c r="E104" i="125" a="1"/>
  <c r="O103" i="125" a="1"/>
  <c r="W102" i="125" a="1"/>
  <c r="G102" i="125" a="1"/>
  <c r="Q101" i="125" a="1"/>
  <c r="Y100" i="125" a="1"/>
  <c r="I100" i="125" a="1"/>
  <c r="S99" i="125" a="1"/>
  <c r="AA94" i="125" a="1"/>
  <c r="M94" i="125" a="1"/>
  <c r="X93" i="125" a="1"/>
  <c r="J93" i="125" a="1"/>
  <c r="U92" i="125" a="1"/>
  <c r="E92" i="125" a="1"/>
  <c r="P91" i="125" a="1"/>
  <c r="AA90" i="125" a="1"/>
  <c r="N90" i="125" a="1"/>
  <c r="Z89" i="125" a="1"/>
  <c r="M89" i="125" a="1"/>
  <c r="Y88" i="125" a="1"/>
  <c r="K88" i="125" a="1"/>
  <c r="W87" i="125" a="1"/>
  <c r="J87" i="125" a="1"/>
  <c r="V86" i="125" a="1"/>
  <c r="I86" i="125" a="1"/>
  <c r="V85" i="125" a="1"/>
  <c r="J85" i="125" a="1"/>
  <c r="W84" i="125" a="1"/>
  <c r="K84" i="125" a="1"/>
  <c r="X83" i="125" a="1"/>
  <c r="L83" i="125" a="1"/>
  <c r="Y82" i="125" a="1"/>
  <c r="M82" i="125" a="1"/>
  <c r="Z81" i="125" a="1"/>
  <c r="N81" i="125" a="1"/>
  <c r="AA80" i="125" a="1"/>
  <c r="O80" i="125" a="1"/>
  <c r="C80" i="125" a="1"/>
  <c r="P79" i="125" a="1"/>
  <c r="D79" i="125" a="1"/>
  <c r="Q78" i="125" a="1"/>
  <c r="E78" i="125" a="1"/>
  <c r="R77" i="125" a="1"/>
  <c r="F77" i="125" a="1"/>
  <c r="S76" i="125" a="1"/>
  <c r="G76" i="125" a="1"/>
  <c r="T75" i="125" a="1"/>
  <c r="H75" i="125" a="1"/>
  <c r="U74" i="125" a="1"/>
  <c r="I74" i="125" a="1"/>
  <c r="V73" i="125" a="1"/>
  <c r="J73" i="125" a="1"/>
  <c r="W68" i="125" a="1"/>
  <c r="K68" i="125" a="1"/>
  <c r="X67" i="125" a="1"/>
  <c r="L67" i="125" a="1"/>
  <c r="Y66" i="125" a="1"/>
  <c r="M66" i="125" a="1"/>
  <c r="Z65" i="125" a="1"/>
  <c r="N65" i="125" a="1"/>
  <c r="AA64" i="125" a="1"/>
  <c r="O64" i="125" a="1"/>
  <c r="C64" i="125" a="1"/>
  <c r="P63" i="125" a="1"/>
  <c r="AF110" i="125" a="1"/>
  <c r="G150" i="125" a="1"/>
  <c r="W139" i="125" a="1"/>
  <c r="O135" i="125" a="1"/>
  <c r="N132" i="125" a="1"/>
  <c r="Z129" i="125" a="1"/>
  <c r="X127" i="125" a="1"/>
  <c r="X125" i="125" a="1"/>
  <c r="Z123" i="125" a="1"/>
  <c r="C122" i="125" a="1"/>
  <c r="E120" i="125" a="1"/>
  <c r="G118" i="125" a="1"/>
  <c r="I116" i="125" a="1"/>
  <c r="W114" i="125" a="1"/>
  <c r="L113" i="125" a="1"/>
  <c r="H112" i="125" a="1"/>
  <c r="I111" i="125" a="1"/>
  <c r="K110" i="125" a="1"/>
  <c r="T109" i="125" a="1"/>
  <c r="Y108" i="125" a="1"/>
  <c r="I108" i="125" a="1"/>
  <c r="N107" i="125" a="1"/>
  <c r="W106" i="125" a="1"/>
  <c r="C106" i="125" a="1"/>
  <c r="L105" i="125" a="1"/>
  <c r="T104" i="125" a="1"/>
  <c r="D104" i="125" a="1"/>
  <c r="N103" i="125" a="1"/>
  <c r="V102" i="125" a="1"/>
  <c r="F102" i="125" a="1"/>
  <c r="P101" i="125" a="1"/>
  <c r="X100" i="125" a="1"/>
  <c r="H100" i="125" a="1"/>
  <c r="R99" i="125" a="1"/>
  <c r="Z94" i="125" a="1"/>
  <c r="L94" i="125" a="1"/>
  <c r="W93" i="125" a="1"/>
  <c r="I93" i="125" a="1"/>
  <c r="R92" i="125" a="1"/>
  <c r="D92" i="125" a="1"/>
  <c r="O91" i="125" a="1"/>
  <c r="Z90" i="125" a="1"/>
  <c r="M90" i="125" a="1"/>
  <c r="Y89" i="125" a="1"/>
  <c r="AB116" i="125" a="1"/>
  <c r="AA118" i="1" s="1"/>
  <c r="M149" i="125" a="1"/>
  <c r="M139" i="125" a="1"/>
  <c r="E135" i="125" a="1"/>
  <c r="F132" i="125" a="1"/>
  <c r="S129" i="125" a="1"/>
  <c r="Q127" i="125" a="1"/>
  <c r="R125" i="125" a="1"/>
  <c r="T123" i="125" a="1"/>
  <c r="V121" i="125" a="1"/>
  <c r="X119" i="125" a="1"/>
  <c r="Z117" i="125" a="1"/>
  <c r="E116" i="125" a="1"/>
  <c r="S114" i="125" a="1"/>
  <c r="H113" i="125" a="1"/>
  <c r="G112" i="125" a="1"/>
  <c r="H111" i="125" a="1"/>
  <c r="J110" i="125" a="1"/>
  <c r="Q109" i="125" a="1"/>
  <c r="X108" i="125" a="1"/>
  <c r="F108" i="125" a="1"/>
  <c r="M107" i="125" a="1"/>
  <c r="T106" i="125" a="1"/>
  <c r="AA105" i="125" a="1"/>
  <c r="I105" i="125" a="1"/>
  <c r="S104" i="125" a="1"/>
  <c r="C104" i="125" a="1"/>
  <c r="K103" i="125" a="1"/>
  <c r="U102" i="125" a="1"/>
  <c r="E102" i="125" a="1"/>
  <c r="M101" i="125" a="1"/>
  <c r="W100" i="125" a="1"/>
  <c r="G100" i="125" a="1"/>
  <c r="O99" i="125" a="1"/>
  <c r="Y94" i="125" a="1"/>
  <c r="K94" i="125" a="1"/>
  <c r="V93" i="125" a="1"/>
  <c r="H93" i="125" a="1"/>
  <c r="Q92" i="125" a="1"/>
  <c r="C92" i="125" a="1"/>
  <c r="N91" i="125" a="1"/>
  <c r="Y90" i="125" a="1"/>
  <c r="L90" i="125" a="1"/>
  <c r="X89" i="125" a="1"/>
  <c r="J89" i="125" a="1"/>
  <c r="V88" i="125" a="1"/>
  <c r="I88" i="125" a="1"/>
  <c r="U87" i="125" a="1"/>
  <c r="H87" i="125" a="1"/>
  <c r="T86" i="125" a="1"/>
  <c r="G86" i="125" a="1"/>
  <c r="T85" i="125" a="1"/>
  <c r="H85" i="125" a="1"/>
  <c r="U84" i="125" a="1"/>
  <c r="I84" i="125" a="1"/>
  <c r="V83" i="125" a="1"/>
  <c r="J83" i="125" a="1"/>
  <c r="W82" i="125" a="1"/>
  <c r="K82" i="125" a="1"/>
  <c r="X81" i="125" a="1"/>
  <c r="L81" i="125" a="1"/>
  <c r="Y80" i="125" a="1"/>
  <c r="M80" i="125" a="1"/>
  <c r="Z79" i="125" a="1"/>
  <c r="N79" i="125" a="1"/>
  <c r="AA78" i="125" a="1"/>
  <c r="O78" i="125" a="1"/>
  <c r="C78" i="125" a="1"/>
  <c r="P77" i="125" a="1"/>
  <c r="D77" i="125" a="1"/>
  <c r="Q76" i="125" a="1"/>
  <c r="E76" i="125" a="1"/>
  <c r="R75" i="125" a="1"/>
  <c r="F75" i="125" a="1"/>
  <c r="S74" i="125" a="1"/>
  <c r="G74" i="125" a="1"/>
  <c r="T73" i="125" a="1"/>
  <c r="H73" i="125" a="1"/>
  <c r="U68" i="125" a="1"/>
  <c r="I68" i="125" a="1"/>
  <c r="V67" i="125" a="1"/>
  <c r="J67" i="125" a="1"/>
  <c r="W66" i="125" a="1"/>
  <c r="K66" i="125" a="1"/>
  <c r="X65" i="125" a="1"/>
  <c r="L65" i="125" a="1"/>
  <c r="Y64" i="125" a="1"/>
  <c r="AE122" i="125" a="1"/>
  <c r="Q148" i="125" a="1"/>
  <c r="C139" i="125" a="1"/>
  <c r="T134" i="125" a="1"/>
  <c r="D132" i="125" a="1"/>
  <c r="R129" i="125" a="1"/>
  <c r="P127" i="125" a="1"/>
  <c r="Q125" i="125" a="1"/>
  <c r="S123" i="125" a="1"/>
  <c r="U121" i="125" a="1"/>
  <c r="W119" i="125" a="1"/>
  <c r="Y117" i="125" a="1"/>
  <c r="C116" i="125" a="1"/>
  <c r="Q114" i="125" a="1"/>
  <c r="F113" i="125" a="1"/>
  <c r="F112" i="125" a="1"/>
  <c r="G111" i="125" a="1"/>
  <c r="I110" i="125" a="1"/>
  <c r="P109" i="125" a="1"/>
  <c r="W108" i="125" a="1"/>
  <c r="E108" i="125" a="1"/>
  <c r="L107" i="125" a="1"/>
  <c r="S106" i="125" a="1"/>
  <c r="Z105" i="125" a="1"/>
  <c r="H105" i="125" a="1"/>
  <c r="Q104" i="125" a="1"/>
  <c r="AA103" i="125" a="1"/>
  <c r="J103" i="125" a="1"/>
  <c r="S102" i="125" a="1"/>
  <c r="D102" i="125" a="1"/>
  <c r="L101" i="125" a="1"/>
  <c r="U100" i="125" a="1"/>
  <c r="F100" i="125" a="1"/>
  <c r="N99" i="125" a="1"/>
  <c r="X94" i="125" a="1"/>
  <c r="J94" i="125" a="1"/>
  <c r="U93" i="125" a="1"/>
  <c r="E93" i="125" a="1"/>
  <c r="P92" i="125" a="1"/>
  <c r="AA91" i="125" a="1"/>
  <c r="M91" i="125" a="1"/>
  <c r="X90" i="125" a="1"/>
  <c r="K90" i="125" a="1"/>
  <c r="V89" i="125" a="1"/>
  <c r="I89" i="125" a="1"/>
  <c r="U88" i="125" a="1"/>
  <c r="H88" i="125" a="1"/>
  <c r="T87" i="125" a="1"/>
  <c r="G87" i="125" a="1"/>
  <c r="S86" i="125" a="1"/>
  <c r="F86" i="125" a="1"/>
  <c r="S85" i="125" a="1"/>
  <c r="G85" i="125" a="1"/>
  <c r="T84" i="125" a="1"/>
  <c r="H84" i="125" a="1"/>
  <c r="U83" i="125" a="1"/>
  <c r="I83" i="125" a="1"/>
  <c r="V82" i="125" a="1"/>
  <c r="J82" i="125" a="1"/>
  <c r="W81" i="125" a="1"/>
  <c r="K81" i="125" a="1"/>
  <c r="X80" i="125" a="1"/>
  <c r="L80" i="125" a="1"/>
  <c r="Y79" i="125" a="1"/>
  <c r="M79" i="125" a="1"/>
  <c r="Z78" i="125" a="1"/>
  <c r="N78" i="125" a="1"/>
  <c r="AA77" i="125" a="1"/>
  <c r="O77" i="125" a="1"/>
  <c r="C77" i="125" a="1"/>
  <c r="P76" i="125" a="1"/>
  <c r="D76" i="125" a="1"/>
  <c r="Q75" i="125" a="1"/>
  <c r="E75" i="125" a="1"/>
  <c r="R74" i="125" a="1"/>
  <c r="F74" i="125" a="1"/>
  <c r="S73" i="125" a="1"/>
  <c r="G73" i="125" a="1"/>
  <c r="T68" i="125" a="1"/>
  <c r="H68" i="125" a="1"/>
  <c r="U67" i="125" a="1"/>
  <c r="I67" i="125" a="1"/>
  <c r="V66" i="125" a="1"/>
  <c r="J66" i="125" a="1"/>
  <c r="W65" i="125" a="1"/>
  <c r="AF127" i="125" a="1"/>
  <c r="T147" i="125" a="1"/>
  <c r="U138" i="125" a="1"/>
  <c r="M134" i="125" a="1"/>
  <c r="V131" i="125" a="1"/>
  <c r="M129" i="125" a="1"/>
  <c r="K127" i="125" a="1"/>
  <c r="L125" i="125" a="1"/>
  <c r="N123" i="125" a="1"/>
  <c r="P121" i="125" a="1"/>
  <c r="R119" i="125" a="1"/>
  <c r="T117" i="125" a="1"/>
  <c r="AA115" i="125" a="1"/>
  <c r="P114" i="125" a="1"/>
  <c r="E113" i="125" a="1"/>
  <c r="Z111" i="125" a="1"/>
  <c r="AA110" i="125" a="1"/>
  <c r="H110" i="125" a="1"/>
  <c r="N109" i="125" a="1"/>
  <c r="V108" i="125" a="1"/>
  <c r="C108" i="125" a="1"/>
  <c r="K107" i="125" a="1"/>
  <c r="Q106" i="125" a="1"/>
  <c r="Y105" i="125" a="1"/>
  <c r="G105" i="125" a="1"/>
  <c r="P104" i="125" a="1"/>
  <c r="Z103" i="125" a="1"/>
  <c r="I103" i="125" a="1"/>
  <c r="R102" i="125" a="1"/>
  <c r="C102" i="125" a="1"/>
  <c r="K101" i="125" a="1"/>
  <c r="T100" i="125" a="1"/>
  <c r="E100" i="125" a="1"/>
  <c r="M99" i="125" a="1"/>
  <c r="W94" i="125" a="1"/>
  <c r="I94" i="125" a="1"/>
  <c r="T93" i="125" a="1"/>
  <c r="D93" i="125" a="1"/>
  <c r="O92" i="125" a="1"/>
  <c r="Z91" i="125" a="1"/>
  <c r="L91" i="125" a="1"/>
  <c r="W90" i="125" a="1"/>
  <c r="I90" i="125" a="1"/>
  <c r="U89" i="125" a="1"/>
  <c r="H89" i="125" a="1"/>
  <c r="T88" i="125" a="1"/>
  <c r="G88" i="125" a="1"/>
  <c r="S87" i="125" a="1"/>
  <c r="AC134" i="125" a="1"/>
  <c r="AA146" i="125" a="1"/>
  <c r="L138" i="125" a="1"/>
  <c r="D134" i="125" a="1"/>
  <c r="O131" i="125" a="1"/>
  <c r="F129" i="125" a="1"/>
  <c r="D127" i="125" a="1"/>
  <c r="F125" i="125" a="1"/>
  <c r="H123" i="125" a="1"/>
  <c r="J121" i="125" a="1"/>
  <c r="L119" i="125" a="1"/>
  <c r="N117" i="125" a="1"/>
  <c r="V115" i="125" a="1"/>
  <c r="K114" i="125" a="1"/>
  <c r="Y112" i="125" a="1"/>
  <c r="X111" i="125" a="1"/>
  <c r="Y110" i="125" a="1"/>
  <c r="G110" i="125" a="1"/>
  <c r="L109" i="125" a="1"/>
  <c r="U108" i="125" a="1"/>
  <c r="Z107" i="125" a="1"/>
  <c r="J107" i="125" a="1"/>
  <c r="O106" i="125" a="1"/>
  <c r="X105" i="125" a="1"/>
  <c r="F105" i="125" a="1"/>
  <c r="O104" i="125" a="1"/>
  <c r="W103" i="125" a="1"/>
  <c r="H103" i="125" a="1"/>
  <c r="Q102" i="125" a="1"/>
  <c r="Y101" i="125" a="1"/>
  <c r="J101" i="125" a="1"/>
  <c r="S100" i="125" a="1"/>
  <c r="AA99" i="125" a="1"/>
  <c r="L99" i="125" a="1"/>
  <c r="V94" i="125" a="1"/>
  <c r="H94" i="125" a="1"/>
  <c r="Q93" i="125" a="1"/>
  <c r="C93" i="125" a="1"/>
  <c r="N92" i="125" a="1"/>
  <c r="Y91" i="125" a="1"/>
  <c r="K91" i="125" a="1"/>
  <c r="U90" i="125" a="1"/>
  <c r="H90" i="125" a="1"/>
  <c r="T89" i="125" a="1"/>
  <c r="G89" i="125" a="1"/>
  <c r="S88" i="125" a="1"/>
  <c r="F88" i="125" a="1"/>
  <c r="R87" i="125" a="1"/>
  <c r="E87" i="125" a="1"/>
  <c r="AE139" i="125" a="1"/>
  <c r="F146" i="125" a="1"/>
  <c r="AA137" i="125" a="1"/>
  <c r="AA133" i="125" a="1"/>
  <c r="L131" i="125" a="1"/>
  <c r="E129" i="125" a="1"/>
  <c r="C127" i="125" a="1"/>
  <c r="E125" i="125" a="1"/>
  <c r="G123" i="125" a="1"/>
  <c r="I121" i="125" a="1"/>
  <c r="K119" i="125" a="1"/>
  <c r="M117" i="125" a="1"/>
  <c r="R115" i="125" a="1"/>
  <c r="G114" i="125" a="1"/>
  <c r="U112" i="125" a="1"/>
  <c r="V111" i="125" a="1"/>
  <c r="W110" i="125" a="1"/>
  <c r="D110" i="125" a="1"/>
  <c r="K109" i="125" a="1"/>
  <c r="R108" i="125" a="1"/>
  <c r="Y107" i="125" a="1"/>
  <c r="G107" i="125" a="1"/>
  <c r="N106" i="125" a="1"/>
  <c r="U105" i="125" a="1"/>
  <c r="D105" i="125" a="1"/>
  <c r="N104" i="125" a="1"/>
  <c r="V103" i="125" a="1"/>
  <c r="F103" i="125" a="1"/>
  <c r="P102" i="125" a="1"/>
  <c r="X101" i="125" a="1"/>
  <c r="H101" i="125" a="1"/>
  <c r="R100" i="125" a="1"/>
  <c r="Z99" i="125" a="1"/>
  <c r="J99" i="125" a="1"/>
  <c r="U94" i="125" a="1"/>
  <c r="G94" i="125" a="1"/>
  <c r="P93" i="125" a="1"/>
  <c r="AA92" i="125" a="1"/>
  <c r="M92" i="125" a="1"/>
  <c r="X91" i="125" a="1"/>
  <c r="J91" i="125" a="1"/>
  <c r="T90" i="125" a="1"/>
  <c r="G90" i="125" a="1"/>
  <c r="S89" i="125" a="1"/>
  <c r="F89" i="125" a="1"/>
  <c r="R88" i="125" a="1"/>
  <c r="E88" i="125" a="1"/>
  <c r="Q87" i="125" a="1"/>
  <c r="D87" i="125" a="1"/>
  <c r="P86" i="125" a="1"/>
  <c r="C86" i="125" a="1"/>
  <c r="P85" i="125" a="1"/>
  <c r="D85" i="125" a="1"/>
  <c r="Q84" i="125" a="1"/>
  <c r="E84" i="125" a="1"/>
  <c r="R83" i="125" a="1"/>
  <c r="F83" i="125" a="1"/>
  <c r="S82" i="125" a="1"/>
  <c r="G82" i="125" a="1"/>
  <c r="T81" i="125" a="1"/>
  <c r="H81" i="125" a="1"/>
  <c r="U80" i="125" a="1"/>
  <c r="I80" i="125" a="1"/>
  <c r="V79" i="125" a="1"/>
  <c r="J79" i="125" a="1"/>
  <c r="W78" i="125" a="1"/>
  <c r="K78" i="125" a="1"/>
  <c r="X77" i="125" a="1"/>
  <c r="L77" i="125" a="1"/>
  <c r="Y76" i="125" a="1"/>
  <c r="M76" i="125" a="1"/>
  <c r="Z75" i="125" a="1"/>
  <c r="N75" i="125" a="1"/>
  <c r="AA74" i="125" a="1"/>
  <c r="O74" i="125" a="1"/>
  <c r="C74" i="125" a="1"/>
  <c r="P73" i="125" a="1"/>
  <c r="D73" i="125" a="1"/>
  <c r="Q68" i="125" a="1"/>
  <c r="E68" i="125" a="1"/>
  <c r="R67" i="125" a="1"/>
  <c r="F67" i="125" a="1"/>
  <c r="S66" i="125" a="1"/>
  <c r="G66" i="125" a="1"/>
  <c r="T65" i="125" a="1"/>
  <c r="H65" i="125" a="1"/>
  <c r="U64" i="125" a="1"/>
  <c r="I64" i="125" a="1"/>
  <c r="V63" i="125" a="1"/>
  <c r="J63" i="125" a="1"/>
  <c r="W62" i="125" a="1"/>
  <c r="K62" i="125" a="1"/>
  <c r="X61" i="125" a="1"/>
  <c r="L61" i="125" a="1"/>
  <c r="Y60" i="125" a="1"/>
  <c r="M60" i="125" a="1"/>
  <c r="Z59" i="125" a="1"/>
  <c r="N59" i="125" a="1"/>
  <c r="AA58" i="125" a="1"/>
  <c r="O58" i="125" a="1"/>
  <c r="C58" i="125" a="1"/>
  <c r="P57" i="125" a="1"/>
  <c r="D57" i="125" a="1"/>
  <c r="Q56" i="125" a="1"/>
  <c r="E56" i="125" a="1"/>
  <c r="R55" i="125" a="1"/>
  <c r="F55" i="125" a="1"/>
  <c r="S54" i="125" a="1"/>
  <c r="G54" i="125" a="1"/>
  <c r="T53" i="125" a="1"/>
  <c r="H53" i="125" a="1"/>
  <c r="U52" i="125" a="1"/>
  <c r="I52" i="125" a="1"/>
  <c r="H10" i="125" a="1"/>
  <c r="T10" i="125" a="1"/>
  <c r="G11" i="125" a="1"/>
  <c r="S11" i="125" a="1"/>
  <c r="F12" i="125" a="1"/>
  <c r="R12" i="125" a="1"/>
  <c r="E13" i="125" a="1"/>
  <c r="Q13" i="125" a="1"/>
  <c r="D14" i="125" a="1"/>
  <c r="P14" i="125" a="1"/>
  <c r="C15" i="125" a="1"/>
  <c r="O15" i="125" a="1"/>
  <c r="AA15" i="125" a="1"/>
  <c r="N16" i="125" a="1"/>
  <c r="AF146" i="125" a="1"/>
  <c r="I145" i="125" a="1"/>
  <c r="Q137" i="125" a="1"/>
  <c r="T133" i="125" a="1"/>
  <c r="G131" i="125" a="1"/>
  <c r="Y128" i="125" a="1"/>
  <c r="W126" i="125" a="1"/>
  <c r="Y124" i="125" a="1"/>
  <c r="AA122" i="125" a="1"/>
  <c r="D121" i="125" a="1"/>
  <c r="F119" i="125" a="1"/>
  <c r="H117" i="125" a="1"/>
  <c r="P115" i="125" a="1"/>
  <c r="E114" i="125" a="1"/>
  <c r="T112" i="125" a="1"/>
  <c r="U111" i="125" a="1"/>
  <c r="V110" i="125" a="1"/>
  <c r="C110" i="125" a="1"/>
  <c r="J109" i="125" a="1"/>
  <c r="Q108" i="125" a="1"/>
  <c r="X107" i="125" a="1"/>
  <c r="F107" i="125" a="1"/>
  <c r="M106" i="125" a="1"/>
  <c r="T105" i="125" a="1"/>
  <c r="C105" i="125" a="1"/>
  <c r="M104" i="125" a="1"/>
  <c r="U103" i="125" a="1"/>
  <c r="E103" i="125" a="1"/>
  <c r="O102" i="125" a="1"/>
  <c r="W101" i="125" a="1"/>
  <c r="G101" i="125" a="1"/>
  <c r="Q100" i="125" a="1"/>
  <c r="Y99" i="125" a="1"/>
  <c r="I99" i="125" a="1"/>
  <c r="T94" i="125" a="1"/>
  <c r="D94" i="125" a="1"/>
  <c r="O93" i="125" a="1"/>
  <c r="Z92" i="125" a="1"/>
  <c r="L92" i="125" a="1"/>
  <c r="W91" i="125" a="1"/>
  <c r="G91" i="125" a="1"/>
  <c r="S90" i="125" a="1"/>
  <c r="F90" i="125" a="1"/>
  <c r="R89" i="125" a="1"/>
  <c r="E89" i="125" a="1"/>
  <c r="Q88" i="125" a="1"/>
  <c r="D88" i="125" a="1"/>
  <c r="P87" i="125" a="1"/>
  <c r="C87" i="125" a="1"/>
  <c r="O86" i="125" a="1"/>
  <c r="AA85" i="125" a="1"/>
  <c r="O85" i="125" a="1"/>
  <c r="C85" i="125" a="1"/>
  <c r="P84" i="125" a="1"/>
  <c r="D84" i="125" a="1"/>
  <c r="Q83" i="125" a="1"/>
  <c r="E83" i="125" a="1"/>
  <c r="R82" i="125" a="1"/>
  <c r="F82" i="125" a="1"/>
  <c r="S81" i="125" a="1"/>
  <c r="G81" i="125" a="1"/>
  <c r="T80" i="125" a="1"/>
  <c r="H80" i="125" a="1"/>
  <c r="U79" i="125" a="1"/>
  <c r="I79" i="125" a="1"/>
  <c r="V78" i="125" a="1"/>
  <c r="J78" i="125" a="1"/>
  <c r="W77" i="125" a="1"/>
  <c r="K77" i="125" a="1"/>
  <c r="X76" i="125" a="1"/>
  <c r="L76" i="125" a="1"/>
  <c r="Y75" i="125" a="1"/>
  <c r="M75" i="125" a="1"/>
  <c r="Z74" i="125" a="1"/>
  <c r="N74" i="125" a="1"/>
  <c r="Y6" i="125" a="1"/>
  <c r="M144" i="125" a="1"/>
  <c r="J137" i="125" a="1"/>
  <c r="M133" i="125" a="1"/>
  <c r="W130" i="125" a="1"/>
  <c r="R128" i="125" a="1"/>
  <c r="Q126" i="125" a="1"/>
  <c r="S124" i="125" a="1"/>
  <c r="U122" i="125" a="1"/>
  <c r="W120" i="125" a="1"/>
  <c r="Y118" i="125" a="1"/>
  <c r="AA116" i="125" a="1"/>
  <c r="O115" i="125" a="1"/>
  <c r="D114" i="125" a="1"/>
  <c r="S112" i="125" a="1"/>
  <c r="T111" i="125" a="1"/>
  <c r="U110" i="125" a="1"/>
  <c r="Z109" i="125" a="1"/>
  <c r="I109" i="125" a="1"/>
  <c r="O108" i="125" a="1"/>
  <c r="W107" i="125" a="1"/>
  <c r="D107" i="125" a="1"/>
  <c r="L106" i="125" a="1"/>
  <c r="R105" i="125" a="1"/>
  <c r="AA104" i="125" a="1"/>
  <c r="J104" i="125" a="1"/>
  <c r="T103" i="125" a="1"/>
  <c r="D103" i="125" a="1"/>
  <c r="L102" i="125" a="1"/>
  <c r="V101" i="125" a="1"/>
  <c r="F101" i="125" a="1"/>
  <c r="N100" i="125" a="1"/>
  <c r="X99" i="125" a="1"/>
  <c r="H99" i="125" a="1"/>
  <c r="S94" i="125" a="1"/>
  <c r="C94" i="125" a="1"/>
  <c r="N93" i="125" a="1"/>
  <c r="Y92" i="125" a="1"/>
  <c r="K92" i="125" a="1"/>
  <c r="V91" i="125" a="1"/>
  <c r="F91" i="125" a="1"/>
  <c r="R90" i="125" a="1"/>
  <c r="E90" i="125" a="1"/>
  <c r="Q89" i="125" a="1"/>
  <c r="D89" i="125" a="1"/>
  <c r="P88" i="125" a="1"/>
  <c r="C88" i="125" a="1"/>
  <c r="O87" i="125" a="1"/>
  <c r="AA86" i="125" a="1"/>
  <c r="M86" i="125" a="1"/>
  <c r="Z85" i="125" a="1"/>
  <c r="N85" i="125" a="1"/>
  <c r="AA84" i="125" a="1"/>
  <c r="O84" i="125" a="1"/>
  <c r="C84" i="125" a="1"/>
  <c r="P83" i="125" a="1"/>
  <c r="D83" i="125" a="1"/>
  <c r="Q82" i="125" a="1"/>
  <c r="AA102" i="125" a="1"/>
  <c r="R91" i="125" a="1"/>
  <c r="L87" i="125" a="1"/>
  <c r="U85" i="125" a="1"/>
  <c r="J84" i="125" a="1"/>
  <c r="X82" i="125" a="1"/>
  <c r="R81" i="125" a="1"/>
  <c r="N80" i="125" a="1"/>
  <c r="K79" i="125" a="1"/>
  <c r="G78" i="125" a="1"/>
  <c r="AA76" i="125" a="1"/>
  <c r="X75" i="125" a="1"/>
  <c r="T74" i="125" a="1"/>
  <c r="R73" i="125" a="1"/>
  <c r="S68" i="125" a="1"/>
  <c r="T67" i="125" a="1"/>
  <c r="U66" i="125" a="1"/>
  <c r="V65" i="125" a="1"/>
  <c r="Z64" i="125" a="1"/>
  <c r="H64" i="125" a="1"/>
  <c r="N63" i="125" a="1"/>
  <c r="X62" i="125" a="1"/>
  <c r="I62" i="125" a="1"/>
  <c r="S61" i="125" a="1"/>
  <c r="E61" i="125" a="1"/>
  <c r="P60" i="125" a="1"/>
  <c r="AA59" i="125" a="1"/>
  <c r="M59" i="125" a="1"/>
  <c r="Y58" i="125" a="1"/>
  <c r="L58" i="125" a="1"/>
  <c r="X57" i="125" a="1"/>
  <c r="K57" i="125" a="1"/>
  <c r="W56" i="125" a="1"/>
  <c r="J56" i="125" a="1"/>
  <c r="V55" i="125" a="1"/>
  <c r="I55" i="125" a="1"/>
  <c r="U54" i="125" a="1"/>
  <c r="H54" i="125" a="1"/>
  <c r="S53" i="125" a="1"/>
  <c r="F53" i="125" a="1"/>
  <c r="R52" i="125" a="1"/>
  <c r="E52" i="125" a="1"/>
  <c r="M10" i="125" a="1"/>
  <c r="Z10" i="125" a="1"/>
  <c r="N11" i="125" a="1"/>
  <c r="AA11" i="125" a="1"/>
  <c r="O12" i="125" a="1"/>
  <c r="C13" i="125" a="1"/>
  <c r="P13" i="125" a="1"/>
  <c r="E14" i="125" a="1"/>
  <c r="R14" i="125" a="1"/>
  <c r="F15" i="125" a="1"/>
  <c r="S15" i="125" a="1"/>
  <c r="G16" i="125" a="1"/>
  <c r="T16" i="125" a="1"/>
  <c r="G17" i="125" a="1"/>
  <c r="S17" i="125" a="1"/>
  <c r="F18" i="125" a="1"/>
  <c r="R18" i="125" a="1"/>
  <c r="E19" i="125" a="1"/>
  <c r="Q19" i="125" a="1"/>
  <c r="D20" i="125" a="1"/>
  <c r="P20" i="125" a="1"/>
  <c r="C21" i="125" a="1"/>
  <c r="O21" i="125" a="1"/>
  <c r="AA21" i="125" a="1"/>
  <c r="N22" i="125" a="1"/>
  <c r="Z22" i="125" a="1"/>
  <c r="M23" i="125" a="1"/>
  <c r="Y23" i="125" a="1"/>
  <c r="L24" i="125" a="1"/>
  <c r="X24" i="125" a="1"/>
  <c r="K25" i="125" a="1"/>
  <c r="W25" i="125" a="1"/>
  <c r="J26" i="125" a="1"/>
  <c r="V26" i="125" a="1"/>
  <c r="I27" i="125" a="1"/>
  <c r="U27" i="125" a="1"/>
  <c r="H28" i="125" a="1"/>
  <c r="T28" i="125" a="1"/>
  <c r="G29" i="125" a="1"/>
  <c r="S29" i="125" a="1"/>
  <c r="F30" i="125" a="1"/>
  <c r="R30" i="125" a="1"/>
  <c r="E31" i="125" a="1"/>
  <c r="Q31" i="125" a="1"/>
  <c r="D32" i="125" a="1"/>
  <c r="P32" i="125" a="1"/>
  <c r="C33" i="125" a="1"/>
  <c r="O33" i="125" a="1"/>
  <c r="J102" i="125" a="1"/>
  <c r="D91" i="125" a="1"/>
  <c r="I87" i="125" a="1"/>
  <c r="R85" i="125" a="1"/>
  <c r="G84" i="125" a="1"/>
  <c r="U82" i="125" a="1"/>
  <c r="P81" i="125" a="1"/>
  <c r="K80" i="125" a="1"/>
  <c r="H79" i="125" a="1"/>
  <c r="D78" i="125" a="1"/>
  <c r="Z76" i="125" a="1"/>
  <c r="V75" i="125" a="1"/>
  <c r="Q74" i="125" a="1"/>
  <c r="Q73" i="125" a="1"/>
  <c r="R68" i="125" a="1"/>
  <c r="S67" i="125" a="1"/>
  <c r="T66" i="125" a="1"/>
  <c r="U65" i="125" a="1"/>
  <c r="X64" i="125" a="1"/>
  <c r="G64" i="125" a="1"/>
  <c r="M63" i="125" a="1"/>
  <c r="V62" i="125" a="1"/>
  <c r="G62" i="125" a="1"/>
  <c r="R61" i="125" a="1"/>
  <c r="D61" i="125" a="1"/>
  <c r="O60" i="125" a="1"/>
  <c r="Y59" i="125" a="1"/>
  <c r="L59" i="125" a="1"/>
  <c r="X58" i="125" a="1"/>
  <c r="K58" i="125" a="1"/>
  <c r="W57" i="125" a="1"/>
  <c r="J57" i="125" a="1"/>
  <c r="V56" i="125" a="1"/>
  <c r="I56" i="125" a="1"/>
  <c r="U55" i="125" a="1"/>
  <c r="H55" i="125" a="1"/>
  <c r="T54" i="125" a="1"/>
  <c r="F54" i="125" a="1"/>
  <c r="R53" i="125" a="1"/>
  <c r="E53" i="125" a="1"/>
  <c r="Q52" i="125" a="1"/>
  <c r="D52" i="125" a="1"/>
  <c r="N10" i="125" a="1"/>
  <c r="AA10" i="125" a="1"/>
  <c r="O11" i="125" a="1"/>
  <c r="C12" i="125" a="1"/>
  <c r="P12" i="125" a="1"/>
  <c r="D13" i="125" a="1"/>
  <c r="R13" i="125" a="1"/>
  <c r="F14" i="125" a="1"/>
  <c r="S14" i="125" a="1"/>
  <c r="G15" i="125" a="1"/>
  <c r="T15" i="125" a="1"/>
  <c r="H16" i="125" a="1"/>
  <c r="U16" i="125" a="1"/>
  <c r="H17" i="125" a="1"/>
  <c r="T17" i="125" a="1"/>
  <c r="G18" i="125" a="1"/>
  <c r="S18" i="125" a="1"/>
  <c r="F19" i="125" a="1"/>
  <c r="R19" i="125" a="1"/>
  <c r="E20" i="125" a="1"/>
  <c r="Q20" i="125" a="1"/>
  <c r="D21" i="125" a="1"/>
  <c r="P21" i="125" a="1"/>
  <c r="C22" i="125" a="1"/>
  <c r="O22" i="125" a="1"/>
  <c r="AA22" i="125" a="1"/>
  <c r="N23" i="125" a="1"/>
  <c r="Z23" i="125" a="1"/>
  <c r="M24" i="125" a="1"/>
  <c r="Y24" i="125" a="1"/>
  <c r="L25" i="125" a="1"/>
  <c r="X25" i="125" a="1"/>
  <c r="K26" i="125" a="1"/>
  <c r="W26" i="125" a="1"/>
  <c r="J27" i="125" a="1"/>
  <c r="V27" i="125" a="1"/>
  <c r="I28" i="125" a="1"/>
  <c r="U28" i="125" a="1"/>
  <c r="H29" i="125" a="1"/>
  <c r="T29" i="125" a="1"/>
  <c r="G30" i="125" a="1"/>
  <c r="S30" i="125" a="1"/>
  <c r="F31" i="125" a="1"/>
  <c r="R31" i="125" a="1"/>
  <c r="E32" i="125" a="1"/>
  <c r="Q32" i="125" a="1"/>
  <c r="D33" i="125" a="1"/>
  <c r="P33" i="125" a="1"/>
  <c r="C34" i="125" a="1"/>
  <c r="O34" i="125" a="1"/>
  <c r="AA34" i="125" a="1"/>
  <c r="N35" i="125" a="1"/>
  <c r="Z35" i="125" a="1"/>
  <c r="S101" i="125" a="1"/>
  <c r="P90" i="125" a="1"/>
  <c r="F87" i="125" a="1"/>
  <c r="Q85" i="125" a="1"/>
  <c r="F84" i="125" a="1"/>
  <c r="T82" i="125" a="1"/>
  <c r="M81" i="125" a="1"/>
  <c r="J80" i="125" a="1"/>
  <c r="F79" i="125" a="1"/>
  <c r="Z77" i="125" a="1"/>
  <c r="W76" i="125" a="1"/>
  <c r="S75" i="125" a="1"/>
  <c r="P74" i="125" a="1"/>
  <c r="O73" i="125" a="1"/>
  <c r="P68" i="125" a="1"/>
  <c r="Q67" i="125" a="1"/>
  <c r="R66" i="125" a="1"/>
  <c r="S65" i="125" a="1"/>
  <c r="W64" i="125" a="1"/>
  <c r="E64" i="125" a="1"/>
  <c r="L63" i="125" a="1"/>
  <c r="U62" i="125" a="1"/>
  <c r="F62" i="125" a="1"/>
  <c r="Q61" i="125" a="1"/>
  <c r="C61" i="125" a="1"/>
  <c r="N60" i="125" a="1"/>
  <c r="X59" i="125" a="1"/>
  <c r="K59" i="125" a="1"/>
  <c r="W58" i="125" a="1"/>
  <c r="J58" i="125" a="1"/>
  <c r="V57" i="125" a="1"/>
  <c r="I57" i="125" a="1"/>
  <c r="U56" i="125" a="1"/>
  <c r="H56" i="125" a="1"/>
  <c r="T55" i="125" a="1"/>
  <c r="G55" i="125" a="1"/>
  <c r="R54" i="125" a="1"/>
  <c r="E54" i="125" a="1"/>
  <c r="Q53" i="125" a="1"/>
  <c r="D53" i="125" a="1"/>
  <c r="P52" i="125" a="1"/>
  <c r="C52" i="125" a="1"/>
  <c r="O10" i="125" a="1"/>
  <c r="C11" i="125" a="1"/>
  <c r="P11" i="125" a="1"/>
  <c r="D12" i="125" a="1"/>
  <c r="Q12" i="125" a="1"/>
  <c r="F13" i="125" a="1"/>
  <c r="S13" i="125" a="1"/>
  <c r="G14" i="125" a="1"/>
  <c r="T14" i="125" a="1"/>
  <c r="H15" i="125" a="1"/>
  <c r="U15" i="125" a="1"/>
  <c r="I16" i="125" a="1"/>
  <c r="V16" i="125" a="1"/>
  <c r="I17" i="125" a="1"/>
  <c r="U17" i="125" a="1"/>
  <c r="H18" i="125" a="1"/>
  <c r="T18" i="125" a="1"/>
  <c r="G19" i="125" a="1"/>
  <c r="S19" i="125" a="1"/>
  <c r="F20" i="125" a="1"/>
  <c r="R20" i="125" a="1"/>
  <c r="E21" i="125" a="1"/>
  <c r="Q21" i="125" a="1"/>
  <c r="D22" i="125" a="1"/>
  <c r="P22" i="125" a="1"/>
  <c r="C23" i="125" a="1"/>
  <c r="O23" i="125" a="1"/>
  <c r="AA23" i="125" a="1"/>
  <c r="N24" i="125" a="1"/>
  <c r="Z24" i="125" a="1"/>
  <c r="M25" i="125" a="1"/>
  <c r="Y25" i="125" a="1"/>
  <c r="L26" i="125" a="1"/>
  <c r="X26" i="125" a="1"/>
  <c r="K27" i="125" a="1"/>
  <c r="W27" i="125" a="1"/>
  <c r="J28" i="125" a="1"/>
  <c r="V28" i="125" a="1"/>
  <c r="I29" i="125" a="1"/>
  <c r="U29" i="125" a="1"/>
  <c r="H30" i="125" a="1"/>
  <c r="T30" i="125" a="1"/>
  <c r="G31" i="125" a="1"/>
  <c r="S31" i="125" a="1"/>
  <c r="F32" i="125" a="1"/>
  <c r="R32" i="125" a="1"/>
  <c r="E33" i="125" a="1"/>
  <c r="Q33" i="125" a="1"/>
  <c r="D34" i="125" a="1"/>
  <c r="P34" i="125" a="1"/>
  <c r="C35" i="125" a="1"/>
  <c r="O35" i="125" a="1"/>
  <c r="AA35" i="125" a="1"/>
  <c r="N36" i="125" a="1"/>
  <c r="Z36" i="125" a="1"/>
  <c r="M37" i="125" a="1"/>
  <c r="Y37" i="125" a="1"/>
  <c r="L38" i="125" a="1"/>
  <c r="X38" i="125" a="1"/>
  <c r="K39" i="125" a="1"/>
  <c r="W39" i="125" a="1"/>
  <c r="J40" i="125" a="1"/>
  <c r="V40" i="125" a="1"/>
  <c r="I41" i="125" a="1"/>
  <c r="U41" i="125" a="1"/>
  <c r="H42" i="125" a="1"/>
  <c r="T42" i="125" a="1"/>
  <c r="G43" i="125" a="1"/>
  <c r="S43" i="125" a="1"/>
  <c r="F44" i="125" a="1"/>
  <c r="R44" i="125" a="1"/>
  <c r="E45" i="125" a="1"/>
  <c r="Q45" i="125" a="1"/>
  <c r="D46" i="125" a="1"/>
  <c r="P46" i="125" a="1"/>
  <c r="C47" i="125" a="1"/>
  <c r="O47" i="125" a="1"/>
  <c r="AA47" i="125" a="1"/>
  <c r="D101" i="125" a="1"/>
  <c r="C90" i="125" a="1"/>
  <c r="X86" i="125" a="1"/>
  <c r="L85" i="125" a="1"/>
  <c r="Z83" i="125" a="1"/>
  <c r="O82" i="125" a="1"/>
  <c r="J81" i="125" a="1"/>
  <c r="G80" i="125" a="1"/>
  <c r="C79" i="125" a="1"/>
  <c r="Y77" i="125" a="1"/>
  <c r="U76" i="125" a="1"/>
  <c r="P75" i="125" a="1"/>
  <c r="M74" i="125" a="1"/>
  <c r="N73" i="125" a="1"/>
  <c r="O68" i="125" a="1"/>
  <c r="P67" i="125" a="1"/>
  <c r="Q66" i="125" a="1"/>
  <c r="R65" i="125" a="1"/>
  <c r="V64" i="125" a="1"/>
  <c r="AA63" i="125" a="1"/>
  <c r="K63" i="125" a="1"/>
  <c r="S62" i="125" a="1"/>
  <c r="E62" i="125" a="1"/>
  <c r="P61" i="125" a="1"/>
  <c r="AA60" i="125" a="1"/>
  <c r="L60" i="125" a="1"/>
  <c r="W59" i="125" a="1"/>
  <c r="J59" i="125" a="1"/>
  <c r="V58" i="125" a="1"/>
  <c r="I58" i="125" a="1"/>
  <c r="U57" i="125" a="1"/>
  <c r="H57" i="125" a="1"/>
  <c r="T56" i="125" a="1"/>
  <c r="G56" i="125" a="1"/>
  <c r="S55" i="125" a="1"/>
  <c r="E55" i="125" a="1"/>
  <c r="Q54" i="125" a="1"/>
  <c r="D54" i="125" a="1"/>
  <c r="P53" i="125" a="1"/>
  <c r="C53" i="125" a="1"/>
  <c r="O52" i="125" a="1"/>
  <c r="C10" i="125" a="1"/>
  <c r="P10" i="125" a="1"/>
  <c r="D11" i="125" a="1"/>
  <c r="Q11" i="125" a="1"/>
  <c r="E12" i="125" a="1"/>
  <c r="S12" i="125" a="1"/>
  <c r="G13" i="125" a="1"/>
  <c r="T13" i="125" a="1"/>
  <c r="H14" i="125" a="1"/>
  <c r="U14" i="125" a="1"/>
  <c r="I15" i="125" a="1"/>
  <c r="V15" i="125" a="1"/>
  <c r="J16" i="125" a="1"/>
  <c r="W16" i="125" a="1"/>
  <c r="J17" i="125" a="1"/>
  <c r="V17" i="125" a="1"/>
  <c r="I18" i="125" a="1"/>
  <c r="U18" i="125" a="1"/>
  <c r="H19" i="125" a="1"/>
  <c r="T19" i="125" a="1"/>
  <c r="G20" i="125" a="1"/>
  <c r="S20" i="125" a="1"/>
  <c r="F21" i="125" a="1"/>
  <c r="R21" i="125" a="1"/>
  <c r="E22" i="125" a="1"/>
  <c r="Q22" i="125" a="1"/>
  <c r="D23" i="125" a="1"/>
  <c r="P23" i="125" a="1"/>
  <c r="C24" i="125" a="1"/>
  <c r="O24" i="125" a="1"/>
  <c r="AA24" i="125" a="1"/>
  <c r="N25" i="125" a="1"/>
  <c r="Z25" i="125" a="1"/>
  <c r="M26" i="125" a="1"/>
  <c r="Y26" i="125" a="1"/>
  <c r="L27" i="125" a="1"/>
  <c r="X27" i="125" a="1"/>
  <c r="K28" i="125" a="1"/>
  <c r="W28" i="125" a="1"/>
  <c r="J29" i="125" a="1"/>
  <c r="V29" i="125" a="1"/>
  <c r="I30" i="125" a="1"/>
  <c r="L100" i="125" a="1"/>
  <c r="O89" i="125" a="1"/>
  <c r="U86" i="125" a="1"/>
  <c r="I85" i="125" a="1"/>
  <c r="W83" i="125" a="1"/>
  <c r="L82" i="125" a="1"/>
  <c r="I81" i="125" a="1"/>
  <c r="E80" i="125" a="1"/>
  <c r="Y78" i="125" a="1"/>
  <c r="V77" i="125" a="1"/>
  <c r="R76" i="125" a="1"/>
  <c r="O75" i="125" a="1"/>
  <c r="K74" i="125" a="1"/>
  <c r="L73" i="125" a="1"/>
  <c r="M68" i="125" a="1"/>
  <c r="N67" i="125" a="1"/>
  <c r="O66" i="125" a="1"/>
  <c r="P65" i="125" a="1"/>
  <c r="T64" i="125" a="1"/>
  <c r="Z63" i="125" a="1"/>
  <c r="I63" i="125" a="1"/>
  <c r="R62" i="125" a="1"/>
  <c r="D62" i="125" a="1"/>
  <c r="O61" i="125" a="1"/>
  <c r="Z60" i="125" a="1"/>
  <c r="K60" i="125" a="1"/>
  <c r="V59" i="125" a="1"/>
  <c r="I59" i="125" a="1"/>
  <c r="U58" i="125" a="1"/>
  <c r="H58" i="125" a="1"/>
  <c r="T57" i="125" a="1"/>
  <c r="G57" i="125" a="1"/>
  <c r="S56" i="125" a="1"/>
  <c r="F56" i="125" a="1"/>
  <c r="Q55" i="125" a="1"/>
  <c r="D55" i="125" a="1"/>
  <c r="P54" i="125" a="1"/>
  <c r="C54" i="125" a="1"/>
  <c r="O53" i="125" a="1"/>
  <c r="AA52" i="125" a="1"/>
  <c r="N52" i="125" a="1"/>
  <c r="D10" i="125" a="1"/>
  <c r="Q10" i="125" a="1"/>
  <c r="E11" i="125" a="1"/>
  <c r="R11" i="125" a="1"/>
  <c r="G12" i="125" a="1"/>
  <c r="T12" i="125" a="1"/>
  <c r="H13" i="125" a="1"/>
  <c r="U13" i="125" a="1"/>
  <c r="I14" i="125" a="1"/>
  <c r="V14" i="125" a="1"/>
  <c r="J15" i="125" a="1"/>
  <c r="W15" i="125" a="1"/>
  <c r="K16" i="125" a="1"/>
  <c r="X16" i="125" a="1"/>
  <c r="K17" i="125" a="1"/>
  <c r="W17" i="125" a="1"/>
  <c r="J18" i="125" a="1"/>
  <c r="V18" i="125" a="1"/>
  <c r="I19" i="125" a="1"/>
  <c r="U19" i="125" a="1"/>
  <c r="H20" i="125" a="1"/>
  <c r="T20" i="125" a="1"/>
  <c r="G21" i="125" a="1"/>
  <c r="S21" i="125" a="1"/>
  <c r="F22" i="125" a="1"/>
  <c r="R22" i="125" a="1"/>
  <c r="E23" i="125" a="1"/>
  <c r="Q23" i="125" a="1"/>
  <c r="D24" i="125" a="1"/>
  <c r="P24" i="125" a="1"/>
  <c r="C25" i="125" a="1"/>
  <c r="O25" i="125" a="1"/>
  <c r="AA25" i="125" a="1"/>
  <c r="N26" i="125" a="1"/>
  <c r="Z26" i="125" a="1"/>
  <c r="M27" i="125" a="1"/>
  <c r="Y27" i="125" a="1"/>
  <c r="L28" i="125" a="1"/>
  <c r="X28" i="125" a="1"/>
  <c r="K29" i="125" a="1"/>
  <c r="W29" i="125" a="1"/>
  <c r="J30" i="125" a="1"/>
  <c r="U99" i="125" a="1"/>
  <c r="L89" i="125" a="1"/>
  <c r="R86" i="125" a="1"/>
  <c r="F85" i="125" a="1"/>
  <c r="T83" i="125" a="1"/>
  <c r="I82" i="125" a="1"/>
  <c r="F81" i="125" a="1"/>
  <c r="AA79" i="125" a="1"/>
  <c r="X78" i="125" a="1"/>
  <c r="T77" i="125" a="1"/>
  <c r="O76" i="125" a="1"/>
  <c r="L75" i="125" a="1"/>
  <c r="H74" i="125" a="1"/>
  <c r="I73" i="125" a="1"/>
  <c r="J68" i="125" a="1"/>
  <c r="K67" i="125" a="1"/>
  <c r="L66" i="125" a="1"/>
  <c r="M65" i="125" a="1"/>
  <c r="S64" i="125" a="1"/>
  <c r="Y63" i="125" a="1"/>
  <c r="H63" i="125" a="1"/>
  <c r="Q62" i="125" a="1"/>
  <c r="C62" i="125" a="1"/>
  <c r="N61" i="125" a="1"/>
  <c r="X60" i="125" a="1"/>
  <c r="I60" i="125" a="1"/>
  <c r="U59" i="125" a="1"/>
  <c r="H59" i="125" a="1"/>
  <c r="T58" i="125" a="1"/>
  <c r="G58" i="125" a="1"/>
  <c r="S57" i="125" a="1"/>
  <c r="F57" i="125" a="1"/>
  <c r="R56" i="125" a="1"/>
  <c r="D56" i="125" a="1"/>
  <c r="P55" i="125" a="1"/>
  <c r="C55" i="125" a="1"/>
  <c r="O54" i="125" a="1"/>
  <c r="AA53" i="125" a="1"/>
  <c r="N53" i="125" a="1"/>
  <c r="Z52" i="125" a="1"/>
  <c r="M52" i="125" a="1"/>
  <c r="E10" i="125" a="1"/>
  <c r="R10" i="125" a="1"/>
  <c r="F11" i="125" a="1"/>
  <c r="T11" i="125" a="1"/>
  <c r="H12" i="125" a="1"/>
  <c r="U12" i="125" a="1"/>
  <c r="I13" i="125" a="1"/>
  <c r="V13" i="125" a="1"/>
  <c r="J14" i="125" a="1"/>
  <c r="W14" i="125" a="1"/>
  <c r="K15" i="125" a="1"/>
  <c r="X15" i="125" a="1"/>
  <c r="L16" i="125" a="1"/>
  <c r="Y16" i="125" a="1"/>
  <c r="L17" i="125" a="1"/>
  <c r="X17" i="125" a="1"/>
  <c r="K18" i="125" a="1"/>
  <c r="W18" i="125" a="1"/>
  <c r="J19" i="125" a="1"/>
  <c r="V19" i="125" a="1"/>
  <c r="I20" i="125" a="1"/>
  <c r="U20" i="125" a="1"/>
  <c r="H21" i="125" a="1"/>
  <c r="T21" i="125" a="1"/>
  <c r="F99" i="125" a="1"/>
  <c r="AA88" i="125" a="1"/>
  <c r="Q86" i="125" a="1"/>
  <c r="E85" i="125" a="1"/>
  <c r="S83" i="125" a="1"/>
  <c r="H82" i="125" a="1"/>
  <c r="D81" i="125" a="1"/>
  <c r="X79" i="125" a="1"/>
  <c r="U78" i="125" a="1"/>
  <c r="Q77" i="125" a="1"/>
  <c r="N76" i="125" a="1"/>
  <c r="J75" i="125" a="1"/>
  <c r="E74" i="125" a="1"/>
  <c r="F73" i="125" a="1"/>
  <c r="G68" i="125" a="1"/>
  <c r="H67" i="125" a="1"/>
  <c r="I66" i="125" a="1"/>
  <c r="K65" i="125" a="1"/>
  <c r="Q64" i="125" a="1"/>
  <c r="X63" i="125" a="1"/>
  <c r="F63" i="125" a="1"/>
  <c r="P62" i="125" a="1"/>
  <c r="AA61" i="125" a="1"/>
  <c r="M61" i="125" a="1"/>
  <c r="W60" i="125" a="1"/>
  <c r="H60" i="125" a="1"/>
  <c r="T59" i="125" a="1"/>
  <c r="G59" i="125" a="1"/>
  <c r="S58" i="125" a="1"/>
  <c r="F58" i="125" a="1"/>
  <c r="R57" i="125" a="1"/>
  <c r="E57" i="125" a="1"/>
  <c r="P56" i="125" a="1"/>
  <c r="C56" i="125" a="1"/>
  <c r="O55" i="125" a="1"/>
  <c r="AA54" i="125" a="1"/>
  <c r="N54" i="125" a="1"/>
  <c r="Z53" i="125" a="1"/>
  <c r="M53" i="125" a="1"/>
  <c r="Y52" i="125" a="1"/>
  <c r="L52" i="125" a="1"/>
  <c r="F10" i="125" a="1"/>
  <c r="S10" i="125" a="1"/>
  <c r="H11" i="125" a="1"/>
  <c r="U11" i="125" a="1"/>
  <c r="I12" i="125" a="1"/>
  <c r="V12" i="125" a="1"/>
  <c r="J13" i="125" a="1"/>
  <c r="W13" i="125" a="1"/>
  <c r="K14" i="125" a="1"/>
  <c r="X14" i="125" a="1"/>
  <c r="L15" i="125" a="1"/>
  <c r="Y15" i="125" a="1"/>
  <c r="M16" i="125" a="1"/>
  <c r="Z16" i="125" a="1"/>
  <c r="M17" i="125" a="1"/>
  <c r="Y17" i="125" a="1"/>
  <c r="L18" i="125" a="1"/>
  <c r="X18" i="125" a="1"/>
  <c r="K19" i="125" a="1"/>
  <c r="W19" i="125" a="1"/>
  <c r="J20" i="125" a="1"/>
  <c r="V20" i="125" a="1"/>
  <c r="I21" i="125" a="1"/>
  <c r="U21" i="125" a="1"/>
  <c r="H22" i="125" a="1"/>
  <c r="T22" i="125" a="1"/>
  <c r="G23" i="125" a="1"/>
  <c r="S23" i="125" a="1"/>
  <c r="F24" i="125" a="1"/>
  <c r="R24" i="125" a="1"/>
  <c r="E25" i="125" a="1"/>
  <c r="Q25" i="125" a="1"/>
  <c r="D26" i="125" a="1"/>
  <c r="P26" i="125" a="1"/>
  <c r="C27" i="125" a="1"/>
  <c r="O27" i="125" a="1"/>
  <c r="AA27" i="125" a="1"/>
  <c r="N28" i="125" a="1"/>
  <c r="Z28" i="125" a="1"/>
  <c r="M29" i="125" a="1"/>
  <c r="Y29" i="125" a="1"/>
  <c r="L30" i="125" a="1"/>
  <c r="X30" i="125" a="1"/>
  <c r="K31" i="125" a="1"/>
  <c r="W31" i="125" a="1"/>
  <c r="J32" i="125" a="1"/>
  <c r="V32" i="125" a="1"/>
  <c r="I33" i="125" a="1"/>
  <c r="U33" i="125" a="1"/>
  <c r="H34" i="125" a="1"/>
  <c r="T34" i="125" a="1"/>
  <c r="G35" i="125" a="1"/>
  <c r="S35" i="125" a="1"/>
  <c r="F36" i="125" a="1"/>
  <c r="R36" i="125" a="1"/>
  <c r="E37" i="125" a="1"/>
  <c r="Q37" i="125" a="1"/>
  <c r="D38" i="125" a="1"/>
  <c r="P38" i="125" a="1"/>
  <c r="C39" i="125" a="1"/>
  <c r="O39" i="125" a="1"/>
  <c r="AA39" i="125" a="1"/>
  <c r="N40" i="125" a="1"/>
  <c r="Z40" i="125" a="1"/>
  <c r="M41" i="125" a="1"/>
  <c r="Y41" i="125" a="1"/>
  <c r="L42" i="125" a="1"/>
  <c r="X42" i="125" a="1"/>
  <c r="K43" i="125" a="1"/>
  <c r="W43" i="125" a="1"/>
  <c r="J44" i="125" a="1"/>
  <c r="V44" i="125" a="1"/>
  <c r="I45" i="125" a="1"/>
  <c r="U45" i="125" a="1"/>
  <c r="H46" i="125" a="1"/>
  <c r="T46" i="125" a="1"/>
  <c r="G47" i="125" a="1"/>
  <c r="S47" i="125" a="1"/>
  <c r="W9" i="125" a="1"/>
  <c r="K9" i="125" a="1"/>
  <c r="S24" i="125" a="1"/>
  <c r="F25" i="125" a="1"/>
  <c r="R25" i="125" a="1"/>
  <c r="E26" i="125" a="1"/>
  <c r="Q26" i="125" a="1"/>
  <c r="D27" i="125" a="1"/>
  <c r="O94" i="125" a="1"/>
  <c r="W88" i="125" a="1"/>
  <c r="K86" i="125" a="1"/>
  <c r="Y84" i="125" a="1"/>
  <c r="N83" i="125" a="1"/>
  <c r="E82" i="125" a="1"/>
  <c r="Z80" i="125" a="1"/>
  <c r="W79" i="125" a="1"/>
  <c r="S78" i="125" a="1"/>
  <c r="N77" i="125" a="1"/>
  <c r="K76" i="125" a="1"/>
  <c r="G75" i="125" a="1"/>
  <c r="D74" i="125" a="1"/>
  <c r="E73" i="125" a="1"/>
  <c r="F68" i="125" a="1"/>
  <c r="G67" i="125" a="1"/>
  <c r="H66" i="125" a="1"/>
  <c r="J65" i="125" a="1"/>
  <c r="N64" i="125" a="1"/>
  <c r="W63" i="125" a="1"/>
  <c r="D63" i="125" a="1"/>
  <c r="O62" i="125" a="1"/>
  <c r="Z61" i="125" a="1"/>
  <c r="K61" i="125" a="1"/>
  <c r="U60" i="125" a="1"/>
  <c r="G60" i="125" a="1"/>
  <c r="S59" i="125" a="1"/>
  <c r="F59" i="125" a="1"/>
  <c r="R58" i="125" a="1"/>
  <c r="E58" i="125" a="1"/>
  <c r="Q57" i="125" a="1"/>
  <c r="C57" i="125" a="1"/>
  <c r="O56" i="125" a="1"/>
  <c r="AA55" i="125" a="1"/>
  <c r="N55" i="125" a="1"/>
  <c r="Z54" i="125" a="1"/>
  <c r="M54" i="125" a="1"/>
  <c r="Y53" i="125" a="1"/>
  <c r="L53" i="125" a="1"/>
  <c r="X52" i="125" a="1"/>
  <c r="K52" i="125" a="1"/>
  <c r="G10" i="125" a="1"/>
  <c r="U10" i="125" a="1"/>
  <c r="I11" i="125" a="1"/>
  <c r="V11" i="125" a="1"/>
  <c r="J12" i="125" a="1"/>
  <c r="W12" i="125" a="1"/>
  <c r="K13" i="125" a="1"/>
  <c r="X13" i="125" a="1"/>
  <c r="L14" i="125" a="1"/>
  <c r="Y14" i="125" a="1"/>
  <c r="M15" i="125" a="1"/>
  <c r="Z15" i="125" a="1"/>
  <c r="O16" i="125" a="1"/>
  <c r="AA16" i="125" a="1"/>
  <c r="N17" i="125" a="1"/>
  <c r="Z17" i="125" a="1"/>
  <c r="M18" i="125" a="1"/>
  <c r="Y18" i="125" a="1"/>
  <c r="L19" i="125" a="1"/>
  <c r="X19" i="125" a="1"/>
  <c r="K20" i="125" a="1"/>
  <c r="W20" i="125" a="1"/>
  <c r="J21" i="125" a="1"/>
  <c r="V21" i="125" a="1"/>
  <c r="I22" i="125" a="1"/>
  <c r="U22" i="125" a="1"/>
  <c r="H23" i="125" a="1"/>
  <c r="T23" i="125" a="1"/>
  <c r="G24" i="125" a="1"/>
  <c r="Z93" i="125" a="1"/>
  <c r="N88" i="125" a="1"/>
  <c r="H86" i="125" a="1"/>
  <c r="V84" i="125" a="1"/>
  <c r="K83" i="125" a="1"/>
  <c r="C82" i="125" a="1"/>
  <c r="W80" i="125" a="1"/>
  <c r="T79" i="125" a="1"/>
  <c r="P78" i="125" a="1"/>
  <c r="M77" i="125" a="1"/>
  <c r="I76" i="125" a="1"/>
  <c r="D75" i="125" a="1"/>
  <c r="AA73" i="125" a="1"/>
  <c r="C73" i="125" a="1"/>
  <c r="D68" i="125" a="1"/>
  <c r="E67" i="125" a="1"/>
  <c r="F66" i="125" a="1"/>
  <c r="I65" i="125" a="1"/>
  <c r="M64" i="125" a="1"/>
  <c r="U63" i="125" a="1"/>
  <c r="C63" i="125" a="1"/>
  <c r="N62" i="125" a="1"/>
  <c r="Y61" i="125" a="1"/>
  <c r="J61" i="125" a="1"/>
  <c r="T60" i="125" a="1"/>
  <c r="F60" i="125" a="1"/>
  <c r="R59" i="125" a="1"/>
  <c r="E59" i="125" a="1"/>
  <c r="Q58" i="125" a="1"/>
  <c r="D58" i="125" a="1"/>
  <c r="O57" i="125" a="1"/>
  <c r="AA56" i="125" a="1"/>
  <c r="N56" i="125" a="1"/>
  <c r="Z55" i="125" a="1"/>
  <c r="M55" i="125" a="1"/>
  <c r="Y54" i="125" a="1"/>
  <c r="L54" i="125" a="1"/>
  <c r="X53" i="125" a="1"/>
  <c r="K53" i="125" a="1"/>
  <c r="W52" i="125" a="1"/>
  <c r="J52" i="125" a="1"/>
  <c r="I10" i="125" a="1"/>
  <c r="V10" i="125" a="1"/>
  <c r="J11" i="125" a="1"/>
  <c r="W11" i="125" a="1"/>
  <c r="K12" i="125" a="1"/>
  <c r="X12" i="125" a="1"/>
  <c r="L13" i="125" a="1"/>
  <c r="Y13" i="125" a="1"/>
  <c r="M14" i="125" a="1"/>
  <c r="Z14" i="125" a="1"/>
  <c r="N15" i="125" a="1"/>
  <c r="C16" i="125" a="1"/>
  <c r="P16" i="125" a="1"/>
  <c r="C17" i="125" a="1"/>
  <c r="O17" i="125" a="1"/>
  <c r="AA17" i="125" a="1"/>
  <c r="N18" i="125" a="1"/>
  <c r="Z18" i="125" a="1"/>
  <c r="M19" i="125" a="1"/>
  <c r="Y19" i="125" a="1"/>
  <c r="L20" i="125" a="1"/>
  <c r="X20" i="125" a="1"/>
  <c r="K21" i="125" a="1"/>
  <c r="W21" i="125" a="1"/>
  <c r="J22" i="125" a="1"/>
  <c r="V22" i="125" a="1"/>
  <c r="I23" i="125" a="1"/>
  <c r="U23" i="125" a="1"/>
  <c r="H24" i="125" a="1"/>
  <c r="T24" i="125" a="1"/>
  <c r="G25" i="125" a="1"/>
  <c r="S25" i="125" a="1"/>
  <c r="F26" i="125" a="1"/>
  <c r="R26" i="125" a="1"/>
  <c r="E27" i="125" a="1"/>
  <c r="Q27" i="125" a="1"/>
  <c r="D28" i="125" a="1"/>
  <c r="P28" i="125" a="1"/>
  <c r="C29" i="125" a="1"/>
  <c r="O29" i="125" a="1"/>
  <c r="AA29" i="125" a="1"/>
  <c r="N30" i="125" a="1"/>
  <c r="Z30" i="125" a="1"/>
  <c r="M31" i="125" a="1"/>
  <c r="Y31" i="125" a="1"/>
  <c r="L32" i="125" a="1"/>
  <c r="X32" i="125" a="1"/>
  <c r="K33" i="125" a="1"/>
  <c r="W33" i="125" a="1"/>
  <c r="J34" i="125" a="1"/>
  <c r="V34" i="125" a="1"/>
  <c r="I35" i="125" a="1"/>
  <c r="U35" i="125" a="1"/>
  <c r="H36" i="125" a="1"/>
  <c r="T36" i="125" a="1"/>
  <c r="G37" i="125" a="1"/>
  <c r="S37" i="125" a="1"/>
  <c r="F38" i="125" a="1"/>
  <c r="R38" i="125" a="1"/>
  <c r="E39" i="125" a="1"/>
  <c r="Q39" i="125" a="1"/>
  <c r="D40" i="125" a="1"/>
  <c r="P40" i="125" a="1"/>
  <c r="C41" i="125" a="1"/>
  <c r="O41" i="125" a="1"/>
  <c r="AA41" i="125" a="1"/>
  <c r="N42" i="125" a="1"/>
  <c r="Z42" i="125" a="1"/>
  <c r="M43" i="125" a="1"/>
  <c r="Y43" i="125" a="1"/>
  <c r="L44" i="125" a="1"/>
  <c r="X44" i="125" a="1"/>
  <c r="K45" i="125" a="1"/>
  <c r="W45" i="125" a="1"/>
  <c r="J46" i="125" a="1"/>
  <c r="V46" i="125" a="1"/>
  <c r="I47" i="125" a="1"/>
  <c r="U47" i="125" a="1"/>
  <c r="U9" i="125" a="1"/>
  <c r="I9" i="125" a="1"/>
  <c r="H25" i="125" a="1"/>
  <c r="T25" i="125" a="1"/>
  <c r="G26" i="125" a="1"/>
  <c r="S26" i="125" a="1"/>
  <c r="F27" i="125" a="1"/>
  <c r="R27" i="125" a="1"/>
  <c r="E28" i="125" a="1"/>
  <c r="Q28" i="125" a="1"/>
  <c r="D29" i="125" a="1"/>
  <c r="P29" i="125" a="1"/>
  <c r="C30" i="125" a="1"/>
  <c r="O30" i="125" a="1"/>
  <c r="AA30" i="125" a="1"/>
  <c r="L93" i="125" a="1"/>
  <c r="J88" i="125" a="1"/>
  <c r="E86" i="125" a="1"/>
  <c r="S84" i="125" a="1"/>
  <c r="H83" i="125" a="1"/>
  <c r="Y81" i="125" a="1"/>
  <c r="V80" i="125" a="1"/>
  <c r="R79" i="125" a="1"/>
  <c r="M78" i="125" a="1"/>
  <c r="J77" i="125" a="1"/>
  <c r="F76" i="125" a="1"/>
  <c r="C75" i="125" a="1"/>
  <c r="Z73" i="125" a="1"/>
  <c r="AA68" i="125" a="1"/>
  <c r="C68" i="125" a="1"/>
  <c r="D67" i="125" a="1"/>
  <c r="E66" i="125" a="1"/>
  <c r="G65" i="125" a="1"/>
  <c r="L64" i="125" a="1"/>
  <c r="T63" i="125" a="1"/>
  <c r="AA62" i="125" a="1"/>
  <c r="M62" i="125" a="1"/>
  <c r="W61" i="125" a="1"/>
  <c r="H61" i="125" a="1"/>
  <c r="S60" i="125" a="1"/>
  <c r="E60" i="125" a="1"/>
  <c r="Q59" i="125" a="1"/>
  <c r="D59" i="125" a="1"/>
  <c r="P58" i="125" a="1"/>
  <c r="AA57" i="125" a="1"/>
  <c r="N57" i="125" a="1"/>
  <c r="Z56" i="125" a="1"/>
  <c r="M56" i="125" a="1"/>
  <c r="Y55" i="125" a="1"/>
  <c r="L55" i="125" a="1"/>
  <c r="X54" i="125" a="1"/>
  <c r="K54" i="125" a="1"/>
  <c r="W53" i="125" a="1"/>
  <c r="J53" i="125" a="1"/>
  <c r="V52" i="125" a="1"/>
  <c r="H52" i="125" a="1"/>
  <c r="J10" i="125" a="1"/>
  <c r="W10" i="125" a="1"/>
  <c r="K11" i="125" a="1"/>
  <c r="X11" i="125" a="1"/>
  <c r="L12" i="125" a="1"/>
  <c r="Y12" i="125" a="1"/>
  <c r="M13" i="125" a="1"/>
  <c r="Z13" i="125" a="1"/>
  <c r="N14" i="125" a="1"/>
  <c r="AA14" i="125" a="1"/>
  <c r="P15" i="125" a="1"/>
  <c r="D16" i="125" a="1"/>
  <c r="Q16" i="125" a="1"/>
  <c r="D17" i="125" a="1"/>
  <c r="P17" i="125" a="1"/>
  <c r="C18" i="125" a="1"/>
  <c r="O18" i="125" a="1"/>
  <c r="AA18" i="125" a="1"/>
  <c r="N19" i="125" a="1"/>
  <c r="Z19" i="125" a="1"/>
  <c r="M20" i="125" a="1"/>
  <c r="Y20" i="125" a="1"/>
  <c r="L21" i="125" a="1"/>
  <c r="X21" i="125" a="1"/>
  <c r="K22" i="125" a="1"/>
  <c r="W22" i="125" a="1"/>
  <c r="J23" i="125" a="1"/>
  <c r="V23" i="125" a="1"/>
  <c r="I24" i="125" a="1"/>
  <c r="U24" i="125" a="1"/>
  <c r="W92" i="125" a="1"/>
  <c r="Z87" i="125" a="1"/>
  <c r="D86" i="125" a="1"/>
  <c r="R84" i="125" a="1"/>
  <c r="G83" i="125" a="1"/>
  <c r="V81" i="125" a="1"/>
  <c r="S80" i="125" a="1"/>
  <c r="O79" i="125" a="1"/>
  <c r="L78" i="125" a="1"/>
  <c r="H77" i="125" a="1"/>
  <c r="C76" i="125" a="1"/>
  <c r="Y74" i="125" a="1"/>
  <c r="X73" i="125" a="1"/>
  <c r="Y68" i="125" a="1"/>
  <c r="Z67" i="125" a="1"/>
  <c r="AA66" i="125" a="1"/>
  <c r="C66" i="125" a="1"/>
  <c r="F65" i="125" a="1"/>
  <c r="K64" i="125" a="1"/>
  <c r="R63" i="125" a="1"/>
  <c r="Z62" i="125" a="1"/>
  <c r="L62" i="125" a="1"/>
  <c r="V61" i="125" a="1"/>
  <c r="G61" i="125" a="1"/>
  <c r="R60" i="125" a="1"/>
  <c r="D60" i="125" a="1"/>
  <c r="P59" i="125" a="1"/>
  <c r="C59" i="125" a="1"/>
  <c r="N58" i="125" a="1"/>
  <c r="Z57" i="125" a="1"/>
  <c r="M57" i="125" a="1"/>
  <c r="Y56" i="125" a="1"/>
  <c r="L56" i="125" a="1"/>
  <c r="X55" i="125" a="1"/>
  <c r="K55" i="125" a="1"/>
  <c r="W54" i="125" a="1"/>
  <c r="J54" i="125" a="1"/>
  <c r="V53" i="125" a="1"/>
  <c r="I53" i="125" a="1"/>
  <c r="T52" i="125" a="1"/>
  <c r="G52" i="125" a="1"/>
  <c r="K10" i="125" a="1"/>
  <c r="X10" i="125" a="1"/>
  <c r="L11" i="125" a="1"/>
  <c r="Y11" i="125" a="1"/>
  <c r="M12" i="125" a="1"/>
  <c r="Z12" i="125" a="1"/>
  <c r="N13" i="125" a="1"/>
  <c r="AA13" i="125" a="1"/>
  <c r="O14" i="125" a="1"/>
  <c r="D15" i="125" a="1"/>
  <c r="Q15" i="125" a="1"/>
  <c r="E16" i="125" a="1"/>
  <c r="R16" i="125" a="1"/>
  <c r="E17" i="125" a="1"/>
  <c r="Q17" i="125" a="1"/>
  <c r="D18" i="125" a="1"/>
  <c r="P18" i="125" a="1"/>
  <c r="C19" i="125" a="1"/>
  <c r="O19" i="125" a="1"/>
  <c r="AA19" i="125" a="1"/>
  <c r="N20" i="125" a="1"/>
  <c r="Z20" i="125" a="1"/>
  <c r="M21" i="125" a="1"/>
  <c r="Y21" i="125" a="1"/>
  <c r="L22" i="125" a="1"/>
  <c r="X22" i="125" a="1"/>
  <c r="K23" i="125" a="1"/>
  <c r="W23" i="125" a="1"/>
  <c r="J24" i="125" a="1"/>
  <c r="V24" i="125" a="1"/>
  <c r="I25" i="125" a="1"/>
  <c r="U25" i="125" a="1"/>
  <c r="H26" i="125" a="1"/>
  <c r="T26" i="125" a="1"/>
  <c r="G27" i="125" a="1"/>
  <c r="S27" i="125" a="1"/>
  <c r="F28" i="125" a="1"/>
  <c r="R28" i="125" a="1"/>
  <c r="E29" i="125" a="1"/>
  <c r="Q29" i="125" a="1"/>
  <c r="D30" i="125" a="1"/>
  <c r="P30" i="125" a="1"/>
  <c r="C31" i="125" a="1"/>
  <c r="O31" i="125" a="1"/>
  <c r="AA31" i="125" a="1"/>
  <c r="N32" i="125" a="1"/>
  <c r="Z32" i="125" a="1"/>
  <c r="M33" i="125" a="1"/>
  <c r="Y33" i="125" a="1"/>
  <c r="L34" i="125" a="1"/>
  <c r="X34" i="125" a="1"/>
  <c r="K35" i="125" a="1"/>
  <c r="W35" i="125" a="1"/>
  <c r="J36" i="125" a="1"/>
  <c r="V36" i="125" a="1"/>
  <c r="I92" i="125" a="1"/>
  <c r="V87" i="125" a="1"/>
  <c r="X85" i="125" a="1"/>
  <c r="M84" i="125" a="1"/>
  <c r="AA82" i="125" a="1"/>
  <c r="U81" i="125" a="1"/>
  <c r="Q80" i="125" a="1"/>
  <c r="L79" i="125" a="1"/>
  <c r="I78" i="125" a="1"/>
  <c r="E77" i="125" a="1"/>
  <c r="AA75" i="125" a="1"/>
  <c r="W74" i="125" a="1"/>
  <c r="U73" i="125" a="1"/>
  <c r="V68" i="125" a="1"/>
  <c r="W67" i="125" a="1"/>
  <c r="X66" i="125" a="1"/>
  <c r="Y65" i="125" a="1"/>
  <c r="D65" i="125" a="1"/>
  <c r="J64" i="125" a="1"/>
  <c r="O63" i="125" a="1"/>
  <c r="Y62" i="125" a="1"/>
  <c r="J62" i="125" a="1"/>
  <c r="T61" i="125" a="1"/>
  <c r="F61" i="125" a="1"/>
  <c r="Q60" i="125" a="1"/>
  <c r="C60" i="125" a="1"/>
  <c r="O59" i="125" a="1"/>
  <c r="Z58" i="125" a="1"/>
  <c r="M58" i="125" a="1"/>
  <c r="Y57" i="125" a="1"/>
  <c r="L57" i="125" a="1"/>
  <c r="X56" i="125" a="1"/>
  <c r="K56" i="125" a="1"/>
  <c r="W55" i="125" a="1"/>
  <c r="J55" i="125" a="1"/>
  <c r="V54" i="125" a="1"/>
  <c r="I54" i="125" a="1"/>
  <c r="U53" i="125" a="1"/>
  <c r="G53" i="125" a="1"/>
  <c r="S52" i="125" a="1"/>
  <c r="F52" i="125" a="1"/>
  <c r="L10" i="125" a="1"/>
  <c r="Y10" i="125" a="1"/>
  <c r="M11" i="125" a="1"/>
  <c r="Z11" i="125" a="1"/>
  <c r="N12" i="125" a="1"/>
  <c r="AA12" i="125" a="1"/>
  <c r="O13" i="125" a="1"/>
  <c r="C14" i="125" a="1"/>
  <c r="Q14" i="125" a="1"/>
  <c r="E15" i="125" a="1"/>
  <c r="AA20" i="125" a="1"/>
  <c r="K24" i="125" a="1"/>
  <c r="H27" i="125" a="1"/>
  <c r="F29" i="125" a="1"/>
  <c r="W30" i="125" a="1"/>
  <c r="X31" i="125" a="1"/>
  <c r="W32" i="125" a="1"/>
  <c r="V33" i="125" a="1"/>
  <c r="R34" i="125" a="1"/>
  <c r="M35" i="125" a="1"/>
  <c r="I36" i="125" a="1"/>
  <c r="AA36" i="125" a="1"/>
  <c r="R37" i="125" a="1"/>
  <c r="I38" i="125" a="1"/>
  <c r="Y38" i="125" a="1"/>
  <c r="P39" i="125" a="1"/>
  <c r="G40" i="125" a="1"/>
  <c r="W40" i="125" a="1"/>
  <c r="N41" i="125" a="1"/>
  <c r="E42" i="125" a="1"/>
  <c r="U42" i="125" a="1"/>
  <c r="L43" i="125" a="1"/>
  <c r="C44" i="125" a="1"/>
  <c r="S44" i="125" a="1"/>
  <c r="J45" i="125" a="1"/>
  <c r="Z45" i="125" a="1"/>
  <c r="Q46" i="125" a="1"/>
  <c r="H47" i="125" a="1"/>
  <c r="X47" i="125" a="1"/>
  <c r="O9" i="125" a="1"/>
  <c r="Y44" i="125" a="1"/>
  <c r="Y9" i="125" a="1"/>
  <c r="S22" i="125" a="1"/>
  <c r="J31" i="125" a="1"/>
  <c r="F34" i="125" a="1"/>
  <c r="I37" i="125" a="1"/>
  <c r="C43" i="125" a="1"/>
  <c r="Z44" i="125" a="1"/>
  <c r="X9" i="125" a="1"/>
  <c r="V25" i="125" a="1"/>
  <c r="K32" i="125" a="1"/>
  <c r="G34" i="125" a="1"/>
  <c r="Z37" i="125" a="1"/>
  <c r="O40" i="125" a="1"/>
  <c r="D43" i="125" a="1"/>
  <c r="AA44" i="125" a="1"/>
  <c r="P47" i="125" a="1"/>
  <c r="Q18" i="125" a="1"/>
  <c r="N31" i="125" a="1"/>
  <c r="I34" i="125" a="1"/>
  <c r="Y35" i="125" a="1"/>
  <c r="AA37" i="125" a="1"/>
  <c r="M44" i="125" a="1"/>
  <c r="Z46" i="125" a="1"/>
  <c r="I26" i="125" a="1"/>
  <c r="N33" i="125" a="1"/>
  <c r="L37" i="125" a="1"/>
  <c r="J39" i="125" a="1"/>
  <c r="X41" i="125" a="1"/>
  <c r="V43" i="125" a="1"/>
  <c r="D45" i="125" a="1"/>
  <c r="L46" i="125" a="1"/>
  <c r="R23" i="125" a="1"/>
  <c r="R33" i="125" a="1"/>
  <c r="R15" i="125" a="1"/>
  <c r="N21" i="125" a="1"/>
  <c r="Q24" i="125" a="1"/>
  <c r="N27" i="125" a="1"/>
  <c r="L29" i="125" a="1"/>
  <c r="Y30" i="125" a="1"/>
  <c r="Z31" i="125" a="1"/>
  <c r="Y32" i="125" a="1"/>
  <c r="X33" i="125" a="1"/>
  <c r="S34" i="125" a="1"/>
  <c r="P35" i="125" a="1"/>
  <c r="K36" i="125" a="1"/>
  <c r="C37" i="125" a="1"/>
  <c r="T37" i="125" a="1"/>
  <c r="J38" i="125" a="1"/>
  <c r="Z38" i="125" a="1"/>
  <c r="R39" i="125" a="1"/>
  <c r="H40" i="125" a="1"/>
  <c r="X40" i="125" a="1"/>
  <c r="P41" i="125" a="1"/>
  <c r="F42" i="125" a="1"/>
  <c r="V42" i="125" a="1"/>
  <c r="N43" i="125" a="1"/>
  <c r="D44" i="125" a="1"/>
  <c r="T44" i="125" a="1"/>
  <c r="L45" i="125" a="1"/>
  <c r="AA45" i="125" a="1"/>
  <c r="R46" i="125" a="1"/>
  <c r="J47" i="125" a="1"/>
  <c r="Y47" i="125" a="1"/>
  <c r="N9" i="125" a="1"/>
  <c r="Z27" i="125" a="1"/>
  <c r="H32" i="125" a="1"/>
  <c r="Y34" i="125" a="1"/>
  <c r="H37" i="125" a="1"/>
  <c r="N38" i="125" a="1"/>
  <c r="F39" i="125" a="1"/>
  <c r="U39" i="125" a="1"/>
  <c r="D41" i="125" a="1"/>
  <c r="J42" i="125" a="1"/>
  <c r="H44" i="125" a="1"/>
  <c r="W46" i="125" a="1"/>
  <c r="C28" i="125" a="1"/>
  <c r="Z34" i="125" a="1"/>
  <c r="X37" i="125" a="1"/>
  <c r="G39" i="125" a="1"/>
  <c r="M40" i="125" a="1"/>
  <c r="R43" i="125" a="1"/>
  <c r="P45" i="125" a="1"/>
  <c r="E30" i="125" a="1"/>
  <c r="X35" i="125" a="1"/>
  <c r="J37" i="125" a="1"/>
  <c r="H39" i="125" a="1"/>
  <c r="V41" i="125" a="1"/>
  <c r="K44" i="125" a="1"/>
  <c r="V9" i="125" a="1"/>
  <c r="F23" i="125" a="1"/>
  <c r="S38" i="125" a="1"/>
  <c r="Q40" i="125" a="1"/>
  <c r="E43" i="125" a="1"/>
  <c r="K46" i="125" a="1"/>
  <c r="D19" i="125" a="1"/>
  <c r="P31" i="125" a="1"/>
  <c r="C36" i="125" a="1"/>
  <c r="H41" i="125" a="1"/>
  <c r="S32" i="125" a="1"/>
  <c r="D36" i="125" a="1"/>
  <c r="F16" i="125" a="1"/>
  <c r="Z21" i="125" a="1"/>
  <c r="W24" i="125" a="1"/>
  <c r="P27" i="125" a="1"/>
  <c r="N29" i="125" a="1"/>
  <c r="D31" i="125" a="1"/>
  <c r="C32" i="125" a="1"/>
  <c r="AA32" i="125" a="1"/>
  <c r="Z33" i="125" a="1"/>
  <c r="U34" i="125" a="1"/>
  <c r="Q35" i="125" a="1"/>
  <c r="L36" i="125" a="1"/>
  <c r="D37" i="125" a="1"/>
  <c r="U37" i="125" a="1"/>
  <c r="K38" i="125" a="1"/>
  <c r="AA38" i="125" a="1"/>
  <c r="S39" i="125" a="1"/>
  <c r="I40" i="125" a="1"/>
  <c r="Y40" i="125" a="1"/>
  <c r="Q41" i="125" a="1"/>
  <c r="G42" i="125" a="1"/>
  <c r="W42" i="125" a="1"/>
  <c r="O43" i="125" a="1"/>
  <c r="E44" i="125" a="1"/>
  <c r="U44" i="125" a="1"/>
  <c r="M45" i="125" a="1"/>
  <c r="C46" i="125" a="1"/>
  <c r="S46" i="125" a="1"/>
  <c r="K47" i="125" a="1"/>
  <c r="Z47" i="125" a="1"/>
  <c r="M9" i="125" a="1"/>
  <c r="G44" i="125" a="1"/>
  <c r="Z9" i="125" a="1"/>
  <c r="L9" i="125" a="1"/>
  <c r="X29" i="125" a="1"/>
  <c r="O36" i="125" a="1"/>
  <c r="L40" i="125" a="1"/>
  <c r="AA42" i="125" a="1"/>
  <c r="O45" i="125" a="1"/>
  <c r="R17" i="125" a="1"/>
  <c r="Z29" i="125" a="1"/>
  <c r="H33" i="125" a="1"/>
  <c r="P36" i="125" a="1"/>
  <c r="N47" i="125" a="1"/>
  <c r="Y22" i="125" a="1"/>
  <c r="L31" i="125" a="1"/>
  <c r="J33" i="125" a="1"/>
  <c r="Q36" i="125" a="1"/>
  <c r="Y46" i="125" a="1"/>
  <c r="C26" i="125" a="1"/>
  <c r="M32" i="125" a="1"/>
  <c r="L33" i="125" a="1"/>
  <c r="K37" i="125" a="1"/>
  <c r="Y39" i="125" a="1"/>
  <c r="O42" i="125" a="1"/>
  <c r="C45" i="125" a="1"/>
  <c r="Q47" i="125" a="1"/>
  <c r="L23" i="125" a="1"/>
  <c r="K34" i="125" a="1"/>
  <c r="U36" i="125" a="1"/>
  <c r="T38" i="125" a="1"/>
  <c r="R40" i="125" a="1"/>
  <c r="F43" i="125" a="1"/>
  <c r="E9" i="125" a="1"/>
  <c r="P19" i="125" a="1"/>
  <c r="M34" i="125" a="1"/>
  <c r="W36" i="125" a="1"/>
  <c r="S16" i="125" a="1"/>
  <c r="G22" i="125" a="1"/>
  <c r="D25" i="125" a="1"/>
  <c r="T27" i="125" a="1"/>
  <c r="R29" i="125" a="1"/>
  <c r="H31" i="125" a="1"/>
  <c r="G32" i="125" a="1"/>
  <c r="F33" i="125" a="1"/>
  <c r="AA33" i="125" a="1"/>
  <c r="W34" i="125" a="1"/>
  <c r="R35" i="125" a="1"/>
  <c r="M36" i="125" a="1"/>
  <c r="F37" i="125" a="1"/>
  <c r="V37" i="125" a="1"/>
  <c r="M38" i="125" a="1"/>
  <c r="D39" i="125" a="1"/>
  <c r="T39" i="125" a="1"/>
  <c r="K40" i="125" a="1"/>
  <c r="AA40" i="125" a="1"/>
  <c r="R41" i="125" a="1"/>
  <c r="I42" i="125" a="1"/>
  <c r="Y42" i="125" a="1"/>
  <c r="P43" i="125" a="1"/>
  <c r="W44" i="125" a="1"/>
  <c r="N45" i="125" a="1"/>
  <c r="E46" i="125" a="1"/>
  <c r="U46" i="125" a="1"/>
  <c r="L47" i="125" a="1"/>
  <c r="G33" i="125" a="1"/>
  <c r="W37" i="125" a="1"/>
  <c r="Q43" i="125" a="1"/>
  <c r="F46" i="125" a="1"/>
  <c r="M47" i="125" a="1"/>
  <c r="J9" i="125" a="1"/>
  <c r="P25" i="125" a="1"/>
  <c r="V35" i="125" a="1"/>
  <c r="O38" i="125" a="1"/>
  <c r="E41" i="125" a="1"/>
  <c r="K42" i="125" a="1"/>
  <c r="G46" i="125" a="1"/>
  <c r="H9" i="125" a="1"/>
  <c r="G28" i="125" a="1"/>
  <c r="Q38" i="125" a="1"/>
  <c r="X39" i="125" a="1"/>
  <c r="F41" i="125" a="1"/>
  <c r="T43" i="125" a="1"/>
  <c r="R45" i="125" a="1"/>
  <c r="G9" i="125" a="1"/>
  <c r="M28" i="125" a="1"/>
  <c r="I39" i="125" a="1"/>
  <c r="G41" i="125" a="1"/>
  <c r="U43" i="125" a="1"/>
  <c r="S45" i="125" a="1"/>
  <c r="T9" i="125" a="1"/>
  <c r="O28" i="125" a="1"/>
  <c r="O32" i="125" a="1"/>
  <c r="F35" i="125" a="1"/>
  <c r="P42" i="125" a="1"/>
  <c r="N44" i="125" a="1"/>
  <c r="T45" i="125" a="1"/>
  <c r="AA46" i="125" a="1"/>
  <c r="Q30" i="125" a="1"/>
  <c r="H35" i="125" a="1"/>
  <c r="N37" i="125" a="1"/>
  <c r="O37" i="125" a="1"/>
  <c r="T40" i="125" a="1"/>
  <c r="Z43" i="125" a="1"/>
  <c r="Q9" i="125" a="1"/>
  <c r="W38" i="125" a="1"/>
  <c r="O46" i="125" a="1"/>
  <c r="F17" i="125" a="1"/>
  <c r="M22" i="125" a="1"/>
  <c r="J25" i="125" a="1"/>
  <c r="I31" i="125" a="1"/>
  <c r="E34" i="125" a="1"/>
  <c r="T35" i="125" a="1"/>
  <c r="S41" i="125" a="1"/>
  <c r="I32" i="125" a="1"/>
  <c r="V39" i="125" a="1"/>
  <c r="T41" i="125" a="1"/>
  <c r="I44" i="125" a="1"/>
  <c r="X46" i="125" a="1"/>
  <c r="E18" i="125" a="1"/>
  <c r="D35" i="125" a="1"/>
  <c r="M42" i="125" a="1"/>
  <c r="I46" i="125" a="1"/>
  <c r="K30" i="125" a="1"/>
  <c r="E35" i="125" a="1"/>
  <c r="S36" i="125" a="1"/>
  <c r="W41" i="125" a="1"/>
  <c r="F9" i="125" a="1"/>
  <c r="M30" i="125" a="1"/>
  <c r="Z39" i="125" a="1"/>
  <c r="R47" i="125" a="1"/>
  <c r="S28" i="125" a="1"/>
  <c r="D9" i="125" a="1"/>
  <c r="X45" i="125" a="1"/>
  <c r="D42" i="125" a="1"/>
  <c r="C38" i="125" a="1"/>
  <c r="S9" i="125" a="1"/>
  <c r="T31" i="125" a="1"/>
  <c r="O26" i="125" a="1"/>
  <c r="X43" i="125" a="1"/>
  <c r="X36" i="125" a="1"/>
  <c r="E40" i="125" a="1"/>
  <c r="I43" i="125" a="1"/>
  <c r="G45" i="125" a="1"/>
  <c r="E47" i="125" a="1"/>
  <c r="V47" i="125" a="1"/>
  <c r="F40" i="125" a="1"/>
  <c r="Q44" i="125" a="1"/>
  <c r="U38" i="125" a="1"/>
  <c r="Z41" i="125" a="1"/>
  <c r="H43" i="125" a="1"/>
  <c r="G38" i="125" a="1"/>
  <c r="N46" i="125" a="1"/>
  <c r="P37" i="125" a="1"/>
  <c r="S42" i="125" a="1"/>
  <c r="L39" i="125" a="1"/>
  <c r="J41" i="125" a="1"/>
  <c r="O44" i="125" a="1"/>
  <c r="V45" i="125" a="1"/>
  <c r="D47" i="125" a="1"/>
  <c r="T47" i="125" a="1"/>
  <c r="E36" i="125" a="1"/>
  <c r="K41" i="125" a="1"/>
  <c r="C9" i="125" a="1"/>
  <c r="H38" i="125" a="1"/>
  <c r="AA43" i="125" a="1"/>
  <c r="E38" i="125" a="1"/>
  <c r="C40" i="125" a="1"/>
  <c r="S40" i="125" a="1"/>
  <c r="Q42" i="125" a="1"/>
  <c r="F45" i="125" a="1"/>
  <c r="M46" i="125" a="1"/>
  <c r="R9" i="125" a="1"/>
  <c r="S33" i="125" a="1"/>
  <c r="V38" i="125" a="1"/>
  <c r="C42" i="125" a="1"/>
  <c r="N39" i="125" a="1"/>
  <c r="H45" i="125" a="1"/>
  <c r="AA9" i="125" a="1"/>
  <c r="C20" i="125" a="1"/>
  <c r="X23" i="125" a="1"/>
  <c r="U26" i="125" a="1"/>
  <c r="Y28" i="125" a="1"/>
  <c r="U30" i="125" a="1"/>
  <c r="U31" i="125" a="1"/>
  <c r="T32" i="125" a="1"/>
  <c r="N34" i="125" a="1"/>
  <c r="J35" i="125" a="1"/>
  <c r="M39" i="125" a="1"/>
  <c r="R42" i="125" a="1"/>
  <c r="P44" i="125" a="1"/>
  <c r="U40" i="125" a="1"/>
  <c r="J43" i="125" a="1"/>
  <c r="F47" i="125" a="1"/>
  <c r="P9" i="125" a="1"/>
  <c r="O20" i="125" a="1"/>
  <c r="E24" i="125" a="1"/>
  <c r="AA26" i="125" a="1"/>
  <c r="AA28" i="125" a="1"/>
  <c r="V30" i="125" a="1"/>
  <c r="V31" i="125" a="1"/>
  <c r="U32" i="125" a="1"/>
  <c r="T33" i="125" a="1"/>
  <c r="Q34" i="125" a="1"/>
  <c r="L35" i="125" a="1"/>
  <c r="G36" i="125" a="1"/>
  <c r="Y36" i="125" a="1"/>
  <c r="L41" i="125" a="1"/>
  <c r="Y45" i="125" a="1"/>
  <c r="W47" i="125" a="1"/>
  <c r="F55" i="1" s="1"/>
  <c r="K55" i="1" s="1"/>
  <c r="N55" i="1" s="1"/>
  <c r="B55" i="1" s="1"/>
  <c r="T70" i="125" s="1"/>
  <c r="AA125" i="1" l="1"/>
  <c r="AA129" i="1" s="1"/>
  <c r="AA106" i="1"/>
  <c r="AA37" i="1"/>
  <c r="AA143" i="1"/>
  <c r="AA150" i="1"/>
  <c r="AA120" i="1"/>
  <c r="AA137" i="1"/>
  <c r="AA114" i="1"/>
  <c r="V55" i="1"/>
  <c r="J55" i="1"/>
  <c r="O55" i="1"/>
  <c r="U55" i="1"/>
  <c r="M55" i="1"/>
  <c r="I55" i="1"/>
  <c r="D112" i="1"/>
  <c r="C112" i="1"/>
  <c r="C143" i="1" s="1"/>
  <c r="O112" i="1"/>
  <c r="O143" i="1" s="1"/>
  <c r="S112" i="1"/>
  <c r="P112" i="1"/>
  <c r="P143" i="1" s="1"/>
  <c r="H112" i="1" s="1"/>
  <c r="N112" i="1" s="1"/>
  <c r="N143" i="1" s="1"/>
  <c r="F112" i="1" s="1"/>
  <c r="F143" i="1" s="1"/>
  <c r="G112" i="1"/>
  <c r="G143" i="1" s="1"/>
  <c r="S55" i="1"/>
  <c r="C55" i="1"/>
  <c r="F71" i="125"/>
  <c r="W112" i="1"/>
  <c r="E55" i="1"/>
  <c r="Q55" i="1"/>
  <c r="G55" i="1"/>
  <c r="T55" i="1"/>
  <c r="Y55" i="1"/>
  <c r="R55" i="1"/>
  <c r="X70" i="125"/>
  <c r="W55" i="1"/>
  <c r="AA71" i="125"/>
  <c r="O71" i="125"/>
  <c r="Q71" i="125"/>
  <c r="S71" i="125"/>
  <c r="H71" i="125"/>
  <c r="M70" i="125"/>
  <c r="E112" i="1"/>
  <c r="E143" i="1" s="1"/>
  <c r="J112" i="1"/>
  <c r="J143" i="1" s="1"/>
  <c r="U112" i="1"/>
  <c r="Z112" i="1"/>
  <c r="Z143" i="1" s="1"/>
  <c r="X112" i="1"/>
  <c r="X143" i="1" s="1"/>
  <c r="L70" i="125"/>
  <c r="Q70" i="125"/>
  <c r="R70" i="125"/>
  <c r="Q112" i="1"/>
  <c r="K112" i="1"/>
  <c r="K143" i="1" s="1"/>
  <c r="AF70" i="125"/>
  <c r="V112" i="1"/>
  <c r="V143" i="1" s="1"/>
  <c r="AF71" i="125"/>
  <c r="I112" i="1"/>
  <c r="I143" i="1" s="1"/>
  <c r="B112" i="1"/>
  <c r="B143" i="1" s="1"/>
  <c r="Y112" i="1"/>
  <c r="Y143" i="1" s="1"/>
  <c r="L112" i="1"/>
  <c r="L143" i="1" s="1"/>
  <c r="I71" i="125"/>
  <c r="Z70" i="125"/>
  <c r="AD70" i="125"/>
  <c r="AE71" i="125"/>
  <c r="AC71" i="125"/>
  <c r="AC70" i="125"/>
  <c r="E70" i="125"/>
  <c r="H70" i="125"/>
  <c r="N70" i="125"/>
  <c r="U70" i="125"/>
  <c r="W70" i="125"/>
  <c r="D70" i="125"/>
  <c r="K70" i="125"/>
  <c r="W71" i="125"/>
  <c r="AA70" i="125"/>
  <c r="G71" i="125"/>
  <c r="S70" i="125"/>
  <c r="C71" i="125"/>
  <c r="X71" i="125"/>
  <c r="M71" i="125"/>
  <c r="F70" i="125"/>
  <c r="J71" i="125"/>
  <c r="P71" i="125"/>
  <c r="Z71" i="125"/>
  <c r="L71" i="125"/>
  <c r="Y70" i="125"/>
  <c r="V70" i="125"/>
  <c r="P70" i="125"/>
  <c r="V71" i="125"/>
  <c r="K71" i="125"/>
  <c r="R71" i="125"/>
  <c r="I70" i="125"/>
  <c r="T71" i="125"/>
  <c r="N71" i="125"/>
  <c r="X55" i="1"/>
  <c r="U71" i="125"/>
  <c r="L55" i="1"/>
  <c r="P55" i="1"/>
  <c r="Z55" i="1"/>
  <c r="H55" i="1"/>
  <c r="D55" i="1"/>
  <c r="M112" i="1"/>
  <c r="M143" i="1" s="1"/>
  <c r="T112" i="1"/>
  <c r="T143" i="1" s="1"/>
  <c r="R112" i="1"/>
  <c r="R143" i="1" s="1"/>
  <c r="AB71" i="125"/>
  <c r="E71" i="125"/>
  <c r="O70" i="125"/>
  <c r="G70" i="125"/>
  <c r="AE70" i="125"/>
  <c r="C70" i="125"/>
  <c r="Y71" i="125"/>
  <c r="S143" i="1"/>
  <c r="J70" i="125"/>
  <c r="D71" i="125"/>
  <c r="AD71" i="125"/>
  <c r="AB70" i="125"/>
  <c r="D143" i="1"/>
  <c r="C73" i="1"/>
  <c r="G73" i="1"/>
  <c r="D72" i="1"/>
  <c r="K73" i="1"/>
  <c r="H72" i="1"/>
  <c r="O73" i="1"/>
  <c r="L72" i="1"/>
  <c r="S73" i="1"/>
  <c r="T72" i="1"/>
  <c r="X72" i="1"/>
  <c r="P72" i="1"/>
  <c r="W73" i="1"/>
  <c r="E72" i="1"/>
  <c r="I72" i="1"/>
  <c r="M72" i="1"/>
  <c r="Q72" i="1"/>
  <c r="U72" i="1"/>
  <c r="Y72" i="1"/>
  <c r="D73" i="1"/>
  <c r="H73" i="1"/>
  <c r="L73" i="1"/>
  <c r="P73" i="1"/>
  <c r="T73" i="1"/>
  <c r="X73" i="1"/>
  <c r="B72" i="1"/>
  <c r="F72" i="1"/>
  <c r="J72" i="1"/>
  <c r="N72" i="1"/>
  <c r="R72" i="1"/>
  <c r="V72" i="1"/>
  <c r="Z72" i="1"/>
  <c r="E73" i="1"/>
  <c r="I73" i="1"/>
  <c r="M73" i="1"/>
  <c r="Q73" i="1"/>
  <c r="U73" i="1"/>
  <c r="Y73" i="1"/>
  <c r="C72" i="1"/>
  <c r="G72" i="1"/>
  <c r="K72" i="1"/>
  <c r="O72" i="1"/>
  <c r="S72" i="1"/>
  <c r="W72" i="1"/>
  <c r="B73" i="1"/>
  <c r="F73" i="1"/>
  <c r="J73" i="1"/>
  <c r="N73" i="1"/>
  <c r="R73" i="1"/>
  <c r="V73" i="1"/>
  <c r="Z73" i="1"/>
  <c r="W143" i="1" l="1"/>
  <c r="H143" i="1"/>
  <c r="AA39" i="1"/>
  <c r="AA47" i="1" s="1"/>
  <c r="AA76" i="1"/>
  <c r="AA81" i="1"/>
  <c r="AA115" i="1"/>
  <c r="AA158" i="1"/>
  <c r="AA77" i="1"/>
  <c r="AA145" i="1"/>
  <c r="AA146" i="1" s="1"/>
  <c r="AA154" i="1" s="1"/>
  <c r="AA155" i="1" s="1"/>
  <c r="U143" i="1"/>
  <c r="Q143" i="1"/>
  <c r="A1" i="132"/>
  <c r="AA50" i="1" l="1"/>
  <c r="AA52" i="1" s="1"/>
  <c r="AA56" i="1" s="1"/>
  <c r="AA83" i="1"/>
  <c r="AA60" i="1"/>
  <c r="Y35" i="1"/>
  <c r="AE44" i="1"/>
  <c r="AE43" i="1"/>
  <c r="AD44" i="1"/>
  <c r="AD43" i="1"/>
  <c r="AC44" i="1"/>
  <c r="AC43" i="1"/>
  <c r="FK5" i="132" a="1"/>
  <c r="HG5" i="132" a="1"/>
  <c r="HA6" i="132" a="1"/>
  <c r="GU7" i="132" a="1"/>
  <c r="GO8" i="132" a="1"/>
  <c r="GI9" i="132" a="1"/>
  <c r="GC11" i="132" a="1"/>
  <c r="FW12" i="132" a="1"/>
  <c r="FQ13" i="132" a="1"/>
  <c r="FK14" i="132" a="1"/>
  <c r="HG14" i="132" a="1"/>
  <c r="GN5" i="132" a="1"/>
  <c r="GX6" i="132" a="1"/>
  <c r="HH7" i="132" a="1"/>
  <c r="FP9" i="132" a="1"/>
  <c r="FZ11" i="132" a="1"/>
  <c r="GJ12" i="132" a="1"/>
  <c r="GT13" i="132" a="1"/>
  <c r="HD14" i="132" a="1"/>
  <c r="HE15" i="132" a="1"/>
  <c r="GY16" i="132" a="1"/>
  <c r="FN6" i="132" a="1"/>
  <c r="FX7" i="132" a="1"/>
  <c r="GH8" i="132" a="1"/>
  <c r="GR9" i="132" a="1"/>
  <c r="HB11" i="132" a="1"/>
  <c r="FO13" i="132" a="1"/>
  <c r="FS15" i="132" a="1"/>
  <c r="GD8" i="132" a="1"/>
  <c r="GB11" i="132" a="1"/>
  <c r="GQ13" i="132" a="1"/>
  <c r="GQ15" i="132" a="1"/>
  <c r="FT13" i="132" a="1"/>
  <c r="HB15" i="132" a="1"/>
  <c r="FP5" i="132" a="1"/>
  <c r="FZ6" i="132" a="1"/>
  <c r="GO7" i="132" a="1"/>
  <c r="GS9" i="132" a="1"/>
  <c r="GL13" i="132" a="1"/>
  <c r="FI16" i="132" a="1"/>
  <c r="FP7" i="132" a="1"/>
  <c r="HD12" i="132" a="1"/>
  <c r="FV5" i="132" a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FV14" i="132" a="1"/>
  <c r="GQ6" i="132" a="1"/>
  <c r="GX12" i="132" a="1"/>
  <c r="GT16" i="132" a="1"/>
  <c r="HF8" i="132" a="1"/>
  <c r="GR14" i="132" a="1"/>
  <c r="FJ7" i="132" a="1"/>
  <c r="FR13" i="132" a="1"/>
  <c r="FY8" i="132" a="1"/>
  <c r="GL7" i="132" a="1"/>
  <c r="GI16" i="132" a="1"/>
  <c r="FV9" i="132" a="1"/>
  <c r="GF11" i="132" a="1"/>
  <c r="GB16" i="132" a="1"/>
  <c r="FN15" i="132" a="1"/>
  <c r="FN7" i="132" a="1"/>
  <c r="HD15" i="132" a="1"/>
  <c r="GP16" i="132" a="1"/>
  <c r="FG11" i="132" a="1"/>
  <c r="FJ6" i="132" a="1"/>
  <c r="FH9" i="132" a="1"/>
  <c r="GT11" i="132" a="1"/>
  <c r="GL14" i="132" a="1"/>
  <c r="GB14" i="132" a="1"/>
  <c r="GQ7" i="132" a="1"/>
  <c r="FY11" i="132" a="1"/>
  <c r="HC14" i="132" a="1"/>
  <c r="GN13" i="132" a="1"/>
  <c r="GU16" i="132" a="1"/>
  <c r="GF13" i="132" a="1"/>
  <c r="FT6" i="132" a="1"/>
  <c r="GH9" i="132" a="1"/>
  <c r="GH12" i="132" a="1"/>
  <c r="GJ15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GM11" i="132" a="1"/>
  <c r="HG13" i="132" a="1"/>
  <c r="FY16" i="132" a="1"/>
  <c r="HF7" i="132" a="1"/>
  <c r="GR13" i="132" a="1"/>
  <c r="FK6" i="132" a="1"/>
  <c r="GY11" i="132" a="1"/>
  <c r="FV16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GN7" i="132" a="1"/>
  <c r="GX8" i="132" a="1"/>
  <c r="HH9" i="132" a="1"/>
  <c r="FU12" i="132" a="1"/>
  <c r="GP13" i="132" a="1"/>
  <c r="GP15" i="132" a="1"/>
  <c r="FM9" i="132" a="1"/>
  <c r="HH11" i="132" a="1"/>
  <c r="FP14" i="132" a="1"/>
  <c r="FM16" i="132" a="1"/>
  <c r="FI14" i="132" a="1"/>
  <c r="FX16" i="132" a="1"/>
  <c r="GF5" i="132" a="1"/>
  <c r="GP6" i="132" a="1"/>
  <c r="HE7" i="132" a="1"/>
  <c r="GX11" i="132" a="1"/>
  <c r="FU14" i="132" a="1"/>
  <c r="GG16" i="132" a="1"/>
  <c r="FZ8" i="132" a="1"/>
  <c r="FL14" i="132" a="1"/>
  <c r="GF6" i="132" a="1"/>
  <c r="FR12" i="132" a="1"/>
  <c r="GL16" i="132" a="1"/>
  <c r="FY9" i="132" a="1"/>
  <c r="FK15" i="132" a="1"/>
  <c r="GF7" i="132" a="1"/>
  <c r="HH13" i="132" a="1"/>
  <c r="HB16" i="132" a="1"/>
  <c r="GW14" i="132" a="1"/>
  <c r="GR12" i="132" a="1"/>
  <c r="GZ14" i="132" a="1"/>
  <c r="HA5" i="132" a="1"/>
  <c r="FO15" i="132" a="1"/>
  <c r="FJ8" i="132" a="1"/>
  <c r="GX13" i="132" a="1"/>
  <c r="FP6" i="132" a="1"/>
  <c r="HD11" i="132" a="1"/>
  <c r="FI9" i="132" a="1"/>
  <c r="FM11" i="132" a="1"/>
  <c r="FL8" i="132" a="1"/>
  <c r="GD12" i="132" a="1"/>
  <c r="FJ13" i="132" a="1"/>
  <c r="FP12" i="132" a="1"/>
  <c r="GD7" i="132" a="1"/>
  <c r="GA15" i="132" a="1"/>
  <c r="FH11" i="132" a="1"/>
  <c r="GC12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FW15" i="132" a="1"/>
  <c r="FS16" i="132" a="1"/>
  <c r="FY5" i="132" a="1"/>
  <c r="GI6" i="132" a="1"/>
  <c r="GS7" i="132" a="1"/>
  <c r="HC8" i="132" a="1"/>
  <c r="FK11" i="132" a="1"/>
  <c r="FZ12" i="132" a="1"/>
  <c r="GU13" i="132" a="1"/>
  <c r="GX15" i="132" a="1"/>
  <c r="FX9" i="132" a="1"/>
  <c r="FQ12" i="132" a="1"/>
  <c r="FZ14" i="132" a="1"/>
  <c r="FU16" i="132" a="1"/>
  <c r="FT14" i="132" a="1"/>
  <c r="GF16" i="132" a="1"/>
  <c r="GK5" i="132" a="1"/>
  <c r="GU6" i="132" a="1"/>
  <c r="FH8" i="132" a="1"/>
  <c r="HC11" i="132" a="1"/>
  <c r="GF14" i="132" a="1"/>
  <c r="GO16" i="132" a="1"/>
  <c r="GU8" i="132" a="1"/>
  <c r="GG14" i="132" a="1"/>
  <c r="HB6" i="132" a="1"/>
  <c r="GN12" i="132" a="1"/>
  <c r="GT9" i="132" a="1"/>
  <c r="GF15" i="132" a="1"/>
  <c r="HA7" i="132" a="1"/>
  <c r="FT16" i="132" a="1"/>
  <c r="GS16" i="132" a="1"/>
  <c r="GR16" i="132" a="1"/>
  <c r="FI7" i="132" a="1"/>
  <c r="GL12" i="132" a="1"/>
  <c r="GN11" i="132" a="1"/>
  <c r="GK6" i="132" a="1"/>
  <c r="FG12" i="132" a="1"/>
  <c r="GQ14" i="132" a="1"/>
  <c r="GB6" i="132" a="1"/>
  <c r="FN12" i="132" a="1"/>
  <c r="GV12" i="132" a="1"/>
  <c r="HD9" i="132" a="1"/>
  <c r="GE8" i="132" a="1"/>
  <c r="FX12" i="132" a="1"/>
  <c r="GD9" i="132" a="1"/>
  <c r="GT14" i="132" a="1"/>
  <c r="FT7" i="132" a="1"/>
  <c r="FR16" i="132" a="1"/>
  <c r="GK8" i="132" a="1"/>
  <c r="GR6" i="132" a="1"/>
  <c r="HB7" i="132" a="1"/>
  <c r="GX14" i="132" a="1"/>
  <c r="FR7" i="132" a="1"/>
  <c r="GL9" i="132" a="1"/>
  <c r="HB5" i="132" a="1"/>
  <c r="FO8" i="132" a="1"/>
  <c r="FN16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GZ6" i="132" a="1"/>
  <c r="FX8" i="132" a="1"/>
  <c r="FL12" i="132" a="1"/>
  <c r="GV14" i="132" a="1"/>
  <c r="GW16" i="132" a="1"/>
  <c r="FN9" i="132" a="1"/>
  <c r="HB14" i="132" a="1"/>
  <c r="FU7" i="132" a="1"/>
  <c r="FG13" i="132" a="1"/>
  <c r="GB5" i="132" a="1"/>
  <c r="FN11" i="132" a="1"/>
  <c r="GV15" i="132" a="1"/>
  <c r="FT8" i="132" a="1"/>
  <c r="GZ15" i="132" a="1"/>
  <c r="GD16" i="132" a="1"/>
  <c r="FQ5" i="132" a="1"/>
  <c r="GQ5" i="132" a="1"/>
  <c r="HC12" i="132" a="1"/>
  <c r="FX13" i="132" a="1"/>
  <c r="GH14" i="132" a="1"/>
  <c r="GO15" i="132" a="1"/>
  <c r="HD6" i="132" a="1"/>
  <c r="GW12" i="132" a="1"/>
  <c r="HA16" i="132" a="1"/>
  <c r="HF5" i="132" a="1"/>
  <c r="HB12" i="132" a="1"/>
  <c r="GL5" i="132" a="1"/>
  <c r="GL6" i="132" a="1"/>
  <c r="GM13" i="132" a="1"/>
  <c r="FK13" i="132" a="1"/>
  <c r="HE16" i="132" a="1"/>
  <c r="GZ16" i="132" a="1"/>
  <c r="HH5" i="132" a="1"/>
  <c r="GZ8" i="132" a="1"/>
  <c r="HF16" i="132" a="1"/>
  <c r="FP15" i="132" a="1"/>
  <c r="GW6" i="132" a="1"/>
  <c r="FM13" i="132" a="1"/>
  <c r="GB8" i="132" a="1"/>
  <c r="FH15" i="132" a="1"/>
  <c r="FR11" i="132" a="1"/>
  <c r="HH16" i="132" a="1"/>
  <c r="GV6" i="132" a="1"/>
  <c r="HC13" i="132" a="1"/>
  <c r="GI5" i="132" a="1"/>
  <c r="GC6" i="132" a="1"/>
  <c r="FW7" i="132" a="1"/>
  <c r="FQ8" i="132" a="1"/>
  <c r="FK9" i="132" a="1"/>
  <c r="HG9" i="132" a="1"/>
  <c r="HA11" i="132" a="1"/>
  <c r="GU12" i="132" a="1"/>
  <c r="GO13" i="132" a="1"/>
  <c r="GI14" i="132" a="1"/>
  <c r="GC15" i="132" a="1"/>
  <c r="FR6" i="132" a="1"/>
  <c r="GB7" i="132" a="1"/>
  <c r="GL8" i="132" a="1"/>
  <c r="GV9" i="132" a="1"/>
  <c r="HF11" i="132" a="1"/>
  <c r="FN13" i="132" a="1"/>
  <c r="FX14" i="132" a="1"/>
  <c r="GG15" i="132" a="1"/>
  <c r="GA16" i="132" a="1"/>
  <c r="GJ5" i="132" a="1"/>
  <c r="GT6" i="132" a="1"/>
  <c r="HD7" i="132" a="1"/>
  <c r="FL9" i="132" a="1"/>
  <c r="FV11" i="132" a="1"/>
  <c r="GK12" i="132" a="1"/>
  <c r="FN14" i="132" a="1"/>
  <c r="FL16" i="132" a="1"/>
  <c r="GN9" i="132" a="1"/>
  <c r="GG12" i="132" a="1"/>
  <c r="GP14" i="132" a="1"/>
  <c r="GK16" i="132" a="1"/>
  <c r="GO14" i="132" a="1"/>
  <c r="GN16" i="132" a="1"/>
  <c r="GV5" i="132" a="1"/>
  <c r="HF6" i="132" a="1"/>
  <c r="GI8" i="132" a="1"/>
  <c r="GB12" i="132" a="1"/>
  <c r="HF14" i="132" a="1"/>
  <c r="FL5" i="132" a="1"/>
  <c r="GJ9" i="132" a="1"/>
  <c r="FV15" i="132" a="1"/>
  <c r="GP7" i="132" a="1"/>
  <c r="GB13" i="132" a="1"/>
  <c r="GW5" i="132" a="1"/>
  <c r="GI11" i="132" a="1"/>
  <c r="FJ16" i="132" a="1"/>
  <c r="GP8" i="132" a="1"/>
  <c r="HF9" i="132" a="1"/>
  <c r="GJ14" i="132" a="1"/>
  <c r="FJ15" i="132" a="1"/>
  <c r="GV16" i="132" a="1"/>
  <c r="GY8" i="132" a="1"/>
  <c r="FZ15" i="132" a="1"/>
  <c r="FX11" i="132" a="1"/>
  <c r="FT15" i="132" a="1"/>
  <c r="GD15" i="132" a="1"/>
  <c r="HH12" i="132" a="1"/>
  <c r="HG6" i="132" a="1"/>
  <c r="GZ9" i="132" a="1"/>
  <c r="HC5" i="132" a="1"/>
  <c r="FG14" i="132" a="1"/>
  <c r="FS8" i="132" a="1"/>
  <c r="GT15" i="132" a="1"/>
  <c r="FH12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GM14" i="132" a="1"/>
  <c r="FM5" i="132" a="1"/>
  <c r="FW6" i="132" a="1"/>
  <c r="GG7" i="132" a="1"/>
  <c r="GQ8" i="132" a="1"/>
  <c r="HA9" i="132" a="1"/>
  <c r="FI12" i="132" a="1"/>
  <c r="FS13" i="132" a="1"/>
  <c r="GC14" i="132" a="1"/>
  <c r="GK15" i="132" a="1"/>
  <c r="GE16" i="132" a="1"/>
  <c r="GO5" i="132" a="1"/>
  <c r="GY6" i="132" a="1"/>
  <c r="FG8" i="132" a="1"/>
  <c r="FQ9" i="132" a="1"/>
  <c r="GA11" i="132" a="1"/>
  <c r="GP12" i="132" a="1"/>
  <c r="FY14" i="132" a="1"/>
  <c r="GX9" i="132" a="1"/>
  <c r="HA14" i="132" a="1"/>
  <c r="GN8" i="132" a="1"/>
  <c r="HE9" i="132" a="1"/>
  <c r="GN15" i="132" a="1"/>
  <c r="FZ16" i="132" a="1"/>
  <c r="GE7" i="132" a="1"/>
  <c r="FS9" i="132" a="1"/>
  <c r="GW13" i="132" a="1"/>
  <c r="FR5" i="132" a="1"/>
  <c r="GV8" i="132" a="1"/>
  <c r="GT5" i="132" a="1"/>
  <c r="FQ14" i="132" a="1"/>
  <c r="GJ7" i="132" a="1"/>
  <c r="GS12" i="132" a="1"/>
  <c r="GE9" i="132" a="1"/>
  <c r="FJ9" i="132" a="1"/>
  <c r="HC15" i="132" a="1"/>
  <c r="GV7" i="132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FX5" i="132" a="1"/>
  <c r="GH6" i="132" a="1"/>
  <c r="GR7" i="132" a="1"/>
  <c r="HB8" i="132" a="1"/>
  <c r="FJ11" i="132" a="1"/>
  <c r="FT12" i="132" a="1"/>
  <c r="GD13" i="132" a="1"/>
  <c r="GN14" i="132" a="1"/>
  <c r="GS15" i="132" a="1"/>
  <c r="GM16" i="132" a="1"/>
  <c r="GZ5" i="132" a="1"/>
  <c r="FH7" i="132" a="1"/>
  <c r="FR8" i="132" a="1"/>
  <c r="GB9" i="132" a="1"/>
  <c r="GL11" i="132" a="1"/>
  <c r="HA12" i="132" a="1"/>
  <c r="GI15" i="132" a="1"/>
  <c r="FS12" i="132" a="1"/>
  <c r="FT11" i="132" a="1"/>
  <c r="HA15" i="132" a="1"/>
  <c r="FH6" i="132" a="1"/>
  <c r="GV11" i="132" a="1"/>
  <c r="GX16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GS14" i="132" a="1"/>
  <c r="GW15" i="132" a="1"/>
  <c r="GQ16" i="132" a="1"/>
  <c r="HE5" i="132" a="1"/>
  <c r="FM7" i="132" a="1"/>
  <c r="FW8" i="132" a="1"/>
  <c r="GG9" i="132" a="1"/>
  <c r="GQ11" i="132" a="1"/>
  <c r="HF12" i="132" a="1"/>
  <c r="HE14" i="132" a="1"/>
  <c r="FN8" i="132" a="1"/>
  <c r="FL11" i="132" a="1"/>
  <c r="FV13" i="132" a="1"/>
  <c r="GE15" i="132" a="1"/>
  <c r="FN5" i="132" a="1"/>
  <c r="GL15" i="132" a="1"/>
  <c r="HD16" i="132" a="1"/>
  <c r="FO6" i="132" a="1"/>
  <c r="FY7" i="132" a="1"/>
  <c r="FR9" i="132" a="1"/>
  <c r="FP13" i="132" a="1"/>
  <c r="GU15" i="132" a="1"/>
  <c r="GA6" i="132" a="1"/>
  <c r="FM12" i="132" a="1"/>
  <c r="GH16" i="132" a="1"/>
  <c r="FT9" i="132" a="1"/>
  <c r="HH14" i="132" a="1"/>
  <c r="FZ7" i="132" a="1"/>
  <c r="FL13" i="132" a="1"/>
  <c r="GG5" i="132" a="1"/>
  <c r="FS11" i="132" a="1"/>
  <c r="GH5" i="132" a="1"/>
  <c r="GM15" i="132" a="1"/>
  <c r="GA13" i="132" a="1"/>
  <c r="GO9" i="132" a="1"/>
  <c r="GH13" i="132" a="1"/>
  <c r="GR15" i="132" a="1"/>
  <c r="FV6" i="132" a="1"/>
  <c r="JX16" i="132" s="1"/>
  <c r="A1" i="130"/>
  <c r="JX9" i="132" l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JZ15" i="132"/>
  <c r="KE15" i="132"/>
  <c r="KD8" i="132"/>
  <c r="JU15" i="132"/>
  <c r="JV15" i="132"/>
  <c r="KG15" i="132"/>
  <c r="KC15" i="132"/>
  <c r="JY15" i="132"/>
  <c r="KA8" i="132"/>
  <c r="JT8" i="132"/>
  <c r="KE7" i="132"/>
  <c r="KC7" i="132"/>
  <c r="JU7" i="132"/>
  <c r="KB14" i="132"/>
  <c r="KF15" i="132"/>
  <c r="KB15" i="132"/>
  <c r="JX14" i="132"/>
  <c r="JY14" i="132"/>
  <c r="JV14" i="132"/>
  <c r="JU14" i="132"/>
  <c r="JQ14" i="132"/>
  <c r="KD7" i="132"/>
  <c r="KD14" i="132"/>
  <c r="KA14" i="132"/>
  <c r="JZ14" i="132"/>
  <c r="JX7" i="132"/>
  <c r="KH15" i="132"/>
  <c r="JZ7" i="132"/>
  <c r="JT7" i="132"/>
  <c r="JX15" i="132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JS8" i="132"/>
  <c r="JW15" i="132"/>
  <c r="JS14" i="132"/>
  <c r="KG14" i="132"/>
  <c r="KC8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AB43" i="1"/>
  <c r="AB44" i="1"/>
  <c r="JR21" i="132" l="1"/>
  <c r="BY89" i="1" s="1"/>
  <c r="JQ21" i="132"/>
  <c r="BX89" i="1" s="1"/>
  <c r="KC21" i="132"/>
  <c r="KB21" i="132"/>
  <c r="JX21" i="132"/>
  <c r="JY21" i="132"/>
  <c r="KE21" i="132"/>
  <c r="JT21" i="132"/>
  <c r="JV21" i="132"/>
  <c r="KF21" i="132"/>
  <c r="JW21" i="132"/>
  <c r="JX20" i="132"/>
  <c r="JU19" i="132"/>
  <c r="KD20" i="132"/>
  <c r="JZ21" i="132"/>
  <c r="KD21" i="132"/>
  <c r="JU21" i="132"/>
  <c r="KA21" i="132"/>
  <c r="JZ20" i="132"/>
  <c r="KH21" i="132"/>
  <c r="JS21" i="132"/>
  <c r="KB20" i="132"/>
  <c r="JY19" i="132"/>
  <c r="JT20" i="132"/>
  <c r="JV19" i="132"/>
  <c r="JV20" i="132"/>
  <c r="KB19" i="132"/>
  <c r="JX19" i="132"/>
  <c r="KD19" i="132"/>
  <c r="JZ19" i="132"/>
  <c r="KE19" i="132"/>
  <c r="KA20" i="132"/>
  <c r="KC19" i="132"/>
  <c r="JU20" i="132"/>
  <c r="JQ19" i="132"/>
  <c r="BX90" i="1" s="1"/>
  <c r="KE20" i="132"/>
  <c r="KH19" i="132"/>
  <c r="JY20" i="132"/>
  <c r="KG19" i="132"/>
  <c r="KA19" i="132"/>
  <c r="JR19" i="132"/>
  <c r="BY90" i="1" s="1"/>
  <c r="KC20" i="132"/>
  <c r="KF19" i="132"/>
  <c r="JW20" i="132"/>
  <c r="JS19" i="132"/>
  <c r="JQ20" i="132"/>
  <c r="BX91" i="1" s="1"/>
  <c r="V36" i="1"/>
  <c r="F44" i="1"/>
  <c r="F38" i="1"/>
  <c r="C127" i="1"/>
  <c r="M135" i="1"/>
  <c r="H44" i="1"/>
  <c r="E149" i="1"/>
  <c r="F153" i="1"/>
  <c r="C36" i="1"/>
  <c r="U135" i="1"/>
  <c r="D144" i="1"/>
  <c r="R105" i="1"/>
  <c r="T122" i="1"/>
  <c r="R38" i="1"/>
  <c r="Q38" i="1"/>
  <c r="C149" i="1"/>
  <c r="H43" i="1"/>
  <c r="F54" i="1"/>
  <c r="F53" i="1"/>
  <c r="B43" i="1"/>
  <c r="J44" i="1"/>
  <c r="J43" i="1"/>
  <c r="C105" i="1"/>
  <c r="G153" i="1"/>
  <c r="C35" i="1"/>
  <c r="Z43" i="1"/>
  <c r="O135" i="1"/>
  <c r="B49" i="1"/>
  <c r="B41" i="1"/>
  <c r="U108" i="1"/>
  <c r="S131" i="1"/>
  <c r="B131" i="1"/>
  <c r="G53" i="1"/>
  <c r="D149" i="1"/>
  <c r="T153" i="1"/>
  <c r="I128" i="1"/>
  <c r="Z122" i="1"/>
  <c r="L124" i="1"/>
  <c r="S59" i="1"/>
  <c r="G36" i="1"/>
  <c r="W153" i="1"/>
  <c r="U44" i="1"/>
  <c r="Y43" i="1"/>
  <c r="K38" i="1"/>
  <c r="H138" i="1"/>
  <c r="O142" i="1"/>
  <c r="X153" i="1"/>
  <c r="X49" i="1"/>
  <c r="I149" i="1"/>
  <c r="L142" i="1"/>
  <c r="B35" i="1"/>
  <c r="G51" i="1"/>
  <c r="U149" i="1"/>
  <c r="B44" i="1"/>
  <c r="H49" i="1"/>
  <c r="I59" i="1"/>
  <c r="Z135" i="1"/>
  <c r="Z139" i="1"/>
  <c r="Y51" i="1"/>
  <c r="Z44" i="1"/>
  <c r="K43" i="1"/>
  <c r="J134" i="1"/>
  <c r="N108" i="1"/>
  <c r="W124" i="1"/>
  <c r="R49" i="1"/>
  <c r="P43" i="1"/>
  <c r="C54" i="1"/>
  <c r="I134" i="1"/>
  <c r="K41" i="1"/>
  <c r="L35" i="1"/>
  <c r="N49" i="1"/>
  <c r="V38" i="1"/>
  <c r="O59" i="1"/>
  <c r="C59" i="1"/>
  <c r="W49" i="1"/>
  <c r="D111" i="1"/>
  <c r="Q104" i="1"/>
  <c r="K36" i="1"/>
  <c r="V54" i="1"/>
  <c r="V131" i="1"/>
  <c r="X51" i="1"/>
  <c r="E59" i="1"/>
  <c r="M124" i="1"/>
  <c r="M128" i="1"/>
  <c r="D54" i="1"/>
  <c r="L59" i="1"/>
  <c r="M103" i="1"/>
  <c r="B124" i="1"/>
  <c r="S51" i="1"/>
  <c r="D53" i="1"/>
  <c r="T105" i="1"/>
  <c r="Q153" i="1"/>
  <c r="H35" i="1"/>
  <c r="O104" i="1"/>
  <c r="O43" i="1"/>
  <c r="X108" i="1"/>
  <c r="S43" i="1"/>
  <c r="Y44" i="1"/>
  <c r="B59" i="1"/>
  <c r="H41" i="1"/>
  <c r="Q44" i="1"/>
  <c r="M41" i="1"/>
  <c r="P123" i="1"/>
  <c r="V35" i="1"/>
  <c r="Q51" i="1"/>
  <c r="P35" i="1"/>
  <c r="F43" i="1"/>
  <c r="U123" i="1"/>
  <c r="F127" i="1"/>
  <c r="E44" i="1"/>
  <c r="P38" i="1"/>
  <c r="R36" i="1"/>
  <c r="V43" i="1"/>
  <c r="R35" i="1"/>
  <c r="S38" i="1"/>
  <c r="W44" i="1"/>
  <c r="F108" i="1"/>
  <c r="K53" i="1"/>
  <c r="O51" i="1"/>
  <c r="L153" i="1"/>
  <c r="J54" i="1"/>
  <c r="W51" i="1"/>
  <c r="F41" i="1"/>
  <c r="R54" i="1"/>
  <c r="S54" i="1"/>
  <c r="Z134" i="1"/>
  <c r="O41" i="1"/>
  <c r="Z54" i="1"/>
  <c r="B105" i="1"/>
  <c r="B110" i="1"/>
  <c r="J149" i="1"/>
  <c r="T144" i="1"/>
  <c r="R53" i="1"/>
  <c r="X59" i="1"/>
  <c r="Q152" i="1"/>
  <c r="E148" i="1"/>
  <c r="T41" i="1"/>
  <c r="K144" i="1"/>
  <c r="Y148" i="1"/>
  <c r="E127" i="1"/>
  <c r="H134" i="1"/>
  <c r="C124" i="1"/>
  <c r="C123" i="1"/>
  <c r="R149" i="1"/>
  <c r="U139" i="1"/>
  <c r="Q135" i="1"/>
  <c r="N38" i="1"/>
  <c r="Z153" i="1"/>
  <c r="P131" i="1"/>
  <c r="J139" i="1"/>
  <c r="P53" i="1"/>
  <c r="G104" i="1"/>
  <c r="J36" i="1"/>
  <c r="H127" i="1"/>
  <c r="D153" i="1"/>
  <c r="U131" i="1"/>
  <c r="C44" i="1"/>
  <c r="X123" i="1"/>
  <c r="I54" i="1"/>
  <c r="X104" i="1"/>
  <c r="U38" i="1"/>
  <c r="Q43" i="1"/>
  <c r="M59" i="1"/>
  <c r="J138" i="1"/>
  <c r="M35" i="1"/>
  <c r="L118" i="1"/>
  <c r="N148" i="1"/>
  <c r="X43" i="1"/>
  <c r="B38" i="1"/>
  <c r="N41" i="1"/>
  <c r="D49" i="1"/>
  <c r="X149" i="1"/>
  <c r="Y36" i="1"/>
  <c r="Y37" i="1" s="1"/>
  <c r="H149" i="1"/>
  <c r="P148" i="1"/>
  <c r="F134" i="1"/>
  <c r="K153" i="1"/>
  <c r="E43" i="1"/>
  <c r="K49" i="1"/>
  <c r="S139" i="1"/>
  <c r="Y49" i="1"/>
  <c r="O44" i="1"/>
  <c r="F118" i="1"/>
  <c r="L127" i="1"/>
  <c r="U43" i="1"/>
  <c r="M127" i="1"/>
  <c r="E122" i="1"/>
  <c r="N36" i="1"/>
  <c r="H38" i="1"/>
  <c r="W140" i="1"/>
  <c r="H153" i="1"/>
  <c r="Z149" i="1"/>
  <c r="M149" i="1"/>
  <c r="M38" i="1"/>
  <c r="W122" i="1"/>
  <c r="G38" i="1"/>
  <c r="N53" i="1"/>
  <c r="U53" i="1"/>
  <c r="N35" i="1"/>
  <c r="T44" i="1"/>
  <c r="I135" i="1"/>
  <c r="P41" i="1"/>
  <c r="L38" i="1"/>
  <c r="C153" i="1"/>
  <c r="Q53" i="1"/>
  <c r="I41" i="1"/>
  <c r="S49" i="1"/>
  <c r="C51" i="1"/>
  <c r="Z128" i="1"/>
  <c r="S148" i="1"/>
  <c r="P51" i="1"/>
  <c r="K148" i="1"/>
  <c r="K35" i="1"/>
  <c r="O53" i="1"/>
  <c r="N153" i="1"/>
  <c r="D148" i="1"/>
  <c r="S41" i="1"/>
  <c r="L131" i="1"/>
  <c r="K44" i="1"/>
  <c r="O149" i="1"/>
  <c r="O36" i="1"/>
  <c r="Q122" i="1"/>
  <c r="Z148" i="1"/>
  <c r="J103" i="1"/>
  <c r="O35" i="1"/>
  <c r="Z35" i="1"/>
  <c r="F124" i="1"/>
  <c r="Q148" i="1"/>
  <c r="C142" i="1"/>
  <c r="N105" i="1"/>
  <c r="S134" i="1"/>
  <c r="P44" i="1"/>
  <c r="X35" i="1"/>
  <c r="J123" i="1"/>
  <c r="K149" i="1"/>
  <c r="D59" i="1"/>
  <c r="E36" i="1"/>
  <c r="T43" i="1"/>
  <c r="K140" i="1"/>
  <c r="X111" i="1"/>
  <c r="I138" i="1"/>
  <c r="M153" i="1"/>
  <c r="E38" i="1"/>
  <c r="C131" i="1"/>
  <c r="I148" i="1"/>
  <c r="L44" i="1"/>
  <c r="P59" i="1"/>
  <c r="Z49" i="1"/>
  <c r="W135" i="1"/>
  <c r="Y41" i="1"/>
  <c r="T35" i="1"/>
  <c r="E144" i="1"/>
  <c r="K54" i="1"/>
  <c r="H53" i="1"/>
  <c r="W43" i="1"/>
  <c r="T135" i="1"/>
  <c r="T38" i="1"/>
  <c r="J51" i="1"/>
  <c r="X139" i="1"/>
  <c r="X122" i="1"/>
  <c r="F140" i="1"/>
  <c r="R51" i="1"/>
  <c r="T49" i="1"/>
  <c r="J113" i="1"/>
  <c r="O131" i="1"/>
  <c r="O140" i="1"/>
  <c r="T113" i="1"/>
  <c r="U35" i="1"/>
  <c r="E124" i="1"/>
  <c r="D38" i="1"/>
  <c r="Q59" i="1"/>
  <c r="C53" i="1"/>
  <c r="N54" i="1"/>
  <c r="C38" i="1"/>
  <c r="W38" i="1"/>
  <c r="U148" i="1"/>
  <c r="V110" i="1"/>
  <c r="H36" i="1"/>
  <c r="I44" i="1"/>
  <c r="Z41" i="1"/>
  <c r="M152" i="1"/>
  <c r="B153" i="1"/>
  <c r="T59" i="1"/>
  <c r="E152" i="1"/>
  <c r="O144" i="1"/>
  <c r="X140" i="1"/>
  <c r="Z38" i="1"/>
  <c r="X138" i="1"/>
  <c r="D131" i="1"/>
  <c r="Q35" i="1"/>
  <c r="M131" i="1"/>
  <c r="X38" i="1"/>
  <c r="Q41" i="1"/>
  <c r="X144" i="1"/>
  <c r="D35" i="1"/>
  <c r="C41" i="1"/>
  <c r="M53" i="1"/>
  <c r="W35" i="1"/>
  <c r="G35" i="1"/>
  <c r="I53" i="1"/>
  <c r="U144" i="1"/>
  <c r="G41" i="1"/>
  <c r="Q49" i="1"/>
  <c r="R59" i="1"/>
  <c r="E135" i="1"/>
  <c r="Y104" i="1"/>
  <c r="K122" i="1"/>
  <c r="V41" i="1"/>
  <c r="G108" i="1"/>
  <c r="F111" i="1"/>
  <c r="T152" i="1"/>
  <c r="N149" i="1"/>
  <c r="U54" i="1"/>
  <c r="L49" i="1"/>
  <c r="H59" i="1"/>
  <c r="D135" i="1"/>
  <c r="V49" i="1"/>
  <c r="O49" i="1"/>
  <c r="J53" i="1"/>
  <c r="I35" i="1"/>
  <c r="B135" i="1"/>
  <c r="B142" i="1"/>
  <c r="T142" i="1"/>
  <c r="H131" i="1"/>
  <c r="H148" i="1"/>
  <c r="N59" i="1"/>
  <c r="L43" i="1"/>
  <c r="D36" i="1"/>
  <c r="Y140" i="1"/>
  <c r="C122" i="1"/>
  <c r="J110" i="1"/>
  <c r="E53" i="1"/>
  <c r="L54" i="1"/>
  <c r="W54" i="1"/>
  <c r="K51" i="1"/>
  <c r="R111" i="1"/>
  <c r="F135" i="1"/>
  <c r="I139" i="1"/>
  <c r="Z127" i="1"/>
  <c r="E140" i="1"/>
  <c r="H51" i="1"/>
  <c r="C43" i="1"/>
  <c r="S153" i="1"/>
  <c r="R113" i="1"/>
  <c r="P127" i="1"/>
  <c r="V111" i="1"/>
  <c r="R127" i="1"/>
  <c r="E111" i="1"/>
  <c r="S108" i="1"/>
  <c r="I131" i="1"/>
  <c r="N123" i="1"/>
  <c r="J108" i="1"/>
  <c r="G148" i="1"/>
  <c r="J111" i="1"/>
  <c r="L138" i="1"/>
  <c r="I51" i="1"/>
  <c r="Y111" i="1"/>
  <c r="G122" i="1"/>
  <c r="I36" i="1"/>
  <c r="O152" i="1"/>
  <c r="N43" i="1"/>
  <c r="M138" i="1"/>
  <c r="V153" i="1"/>
  <c r="G49" i="1"/>
  <c r="S152" i="1"/>
  <c r="Q142" i="1"/>
  <c r="P105" i="1"/>
  <c r="W113" i="1"/>
  <c r="P142" i="1"/>
  <c r="N44" i="1"/>
  <c r="D41" i="1"/>
  <c r="Q144" i="1"/>
  <c r="V53" i="1"/>
  <c r="H54" i="1"/>
  <c r="U153" i="1"/>
  <c r="K134" i="1"/>
  <c r="I49" i="1"/>
  <c r="E41" i="1"/>
  <c r="L152" i="1"/>
  <c r="Y127" i="1"/>
  <c r="L51" i="1"/>
  <c r="Z59" i="1"/>
  <c r="M36" i="1"/>
  <c r="D103" i="1"/>
  <c r="G43" i="1"/>
  <c r="E54" i="1"/>
  <c r="X142" i="1"/>
  <c r="D105" i="1"/>
  <c r="J118" i="1"/>
  <c r="B148" i="1"/>
  <c r="I111" i="1"/>
  <c r="W144" i="1"/>
  <c r="X41" i="1"/>
  <c r="H139" i="1"/>
  <c r="N104" i="1"/>
  <c r="S113" i="1"/>
  <c r="U140" i="1"/>
  <c r="R142" i="1"/>
  <c r="N51" i="1"/>
  <c r="B111" i="1"/>
  <c r="F36" i="1"/>
  <c r="M51" i="1"/>
  <c r="L103" i="1"/>
  <c r="O138" i="1"/>
  <c r="G131" i="1"/>
  <c r="R108" i="1"/>
  <c r="O134" i="1"/>
  <c r="D123" i="1"/>
  <c r="K128" i="1"/>
  <c r="S36" i="1"/>
  <c r="B53" i="1"/>
  <c r="R41" i="1"/>
  <c r="I38" i="1"/>
  <c r="M122" i="1"/>
  <c r="W104" i="1"/>
  <c r="Z113" i="1"/>
  <c r="Q127" i="1"/>
  <c r="V148" i="1"/>
  <c r="H140" i="1"/>
  <c r="H123" i="1"/>
  <c r="S149" i="1"/>
  <c r="J128" i="1"/>
  <c r="S142" i="1"/>
  <c r="N152" i="1"/>
  <c r="V104" i="1"/>
  <c r="F144" i="1"/>
  <c r="T128" i="1"/>
  <c r="P36" i="1"/>
  <c r="G113" i="1"/>
  <c r="E35" i="1"/>
  <c r="M43" i="1"/>
  <c r="U138" i="1"/>
  <c r="P108" i="1"/>
  <c r="R44" i="1"/>
  <c r="Q111" i="1"/>
  <c r="I144" i="1"/>
  <c r="J35" i="1"/>
  <c r="D134" i="1"/>
  <c r="F51" i="1"/>
  <c r="E105" i="1"/>
  <c r="T131" i="1"/>
  <c r="Z140" i="1"/>
  <c r="O38" i="1"/>
  <c r="E113" i="1"/>
  <c r="F139" i="1"/>
  <c r="R152" i="1"/>
  <c r="F105" i="1"/>
  <c r="V152" i="1"/>
  <c r="R153" i="1"/>
  <c r="V44" i="1"/>
  <c r="Q139" i="1"/>
  <c r="U118" i="1"/>
  <c r="Y105" i="1"/>
  <c r="O108" i="1"/>
  <c r="B118" i="1"/>
  <c r="W128" i="1"/>
  <c r="X113" i="1"/>
  <c r="Z51" i="1"/>
  <c r="R140" i="1"/>
  <c r="F128" i="1"/>
  <c r="O110" i="1"/>
  <c r="Z124" i="1"/>
  <c r="D104" i="1"/>
  <c r="C148" i="1"/>
  <c r="X53" i="1"/>
  <c r="K104" i="1"/>
  <c r="H152" i="1"/>
  <c r="D142" i="1"/>
  <c r="E153" i="1"/>
  <c r="X135" i="1"/>
  <c r="Q128" i="1"/>
  <c r="O148" i="1"/>
  <c r="W41" i="1"/>
  <c r="F123" i="1"/>
  <c r="W152" i="1"/>
  <c r="P49" i="1"/>
  <c r="D118" i="1"/>
  <c r="T148" i="1"/>
  <c r="Z123" i="1"/>
  <c r="M110" i="1"/>
  <c r="Q131" i="1"/>
  <c r="F103" i="1"/>
  <c r="Y38" i="1"/>
  <c r="F148" i="1"/>
  <c r="X54" i="1"/>
  <c r="T140" i="1"/>
  <c r="Q36" i="1"/>
  <c r="J148" i="1"/>
  <c r="G123" i="1"/>
  <c r="F138" i="1"/>
  <c r="Y142" i="1"/>
  <c r="U111" i="1"/>
  <c r="F142" i="1"/>
  <c r="E123" i="1"/>
  <c r="T138" i="1"/>
  <c r="O118" i="1"/>
  <c r="U128" i="1"/>
  <c r="U113" i="1"/>
  <c r="D140" i="1"/>
  <c r="E104" i="1"/>
  <c r="B54" i="1"/>
  <c r="Q54" i="1"/>
  <c r="L41" i="1"/>
  <c r="J38" i="1"/>
  <c r="O123" i="1"/>
  <c r="B128" i="1"/>
  <c r="K131" i="1"/>
  <c r="I127" i="1"/>
  <c r="F59" i="1"/>
  <c r="G59" i="1"/>
  <c r="J49" i="1"/>
  <c r="V135" i="1"/>
  <c r="M54" i="1"/>
  <c r="U127" i="1"/>
  <c r="E131" i="1"/>
  <c r="R43" i="1"/>
  <c r="H108" i="1"/>
  <c r="L113" i="1"/>
  <c r="E51" i="1"/>
  <c r="M44" i="1"/>
  <c r="G44" i="1"/>
  <c r="R122" i="1"/>
  <c r="J59" i="1"/>
  <c r="F49" i="1"/>
  <c r="J122" i="1"/>
  <c r="W53" i="1"/>
  <c r="D124" i="1"/>
  <c r="Z36" i="1"/>
  <c r="N110" i="1"/>
  <c r="Y122" i="1"/>
  <c r="J131" i="1"/>
  <c r="G128" i="1"/>
  <c r="P144" i="1"/>
  <c r="T36" i="1"/>
  <c r="O153" i="1"/>
  <c r="T53" i="1"/>
  <c r="L36" i="1"/>
  <c r="G110" i="1"/>
  <c r="E49" i="1"/>
  <c r="Y54" i="1"/>
  <c r="Y149" i="1"/>
  <c r="X44" i="1"/>
  <c r="R135" i="1"/>
  <c r="M113" i="1"/>
  <c r="B122" i="1"/>
  <c r="E110" i="1"/>
  <c r="H111" i="1"/>
  <c r="S140" i="1"/>
  <c r="Z144" i="1"/>
  <c r="T110" i="1"/>
  <c r="G140" i="1"/>
  <c r="L135" i="1"/>
  <c r="S35" i="1"/>
  <c r="L53" i="1"/>
  <c r="F104" i="1"/>
  <c r="N128" i="1"/>
  <c r="R118" i="1"/>
  <c r="B138" i="1"/>
  <c r="W59" i="1"/>
  <c r="U59" i="1"/>
  <c r="J153" i="1"/>
  <c r="W127" i="1"/>
  <c r="G54" i="1"/>
  <c r="B149" i="1"/>
  <c r="G139" i="1"/>
  <c r="T124" i="1"/>
  <c r="T134" i="1"/>
  <c r="Z53" i="1"/>
  <c r="B51" i="1"/>
  <c r="W36" i="1"/>
  <c r="O54" i="1"/>
  <c r="R128" i="1"/>
  <c r="S53" i="1"/>
  <c r="J41" i="1"/>
  <c r="F35" i="1"/>
  <c r="W149" i="1"/>
  <c r="H118" i="1"/>
  <c r="Y108" i="1"/>
  <c r="W139" i="1"/>
  <c r="M148" i="1"/>
  <c r="V139" i="1"/>
  <c r="Q123" i="1"/>
  <c r="B134" i="1"/>
  <c r="R123" i="1"/>
  <c r="B36" i="1"/>
  <c r="V51" i="1"/>
  <c r="K59" i="1"/>
  <c r="D51" i="1"/>
  <c r="S44" i="1"/>
  <c r="T149" i="1"/>
  <c r="G138" i="1"/>
  <c r="V113" i="1"/>
  <c r="V128" i="1"/>
  <c r="R138" i="1"/>
  <c r="X134" i="1"/>
  <c r="Y128" i="1"/>
  <c r="O113" i="1"/>
  <c r="G149" i="1"/>
  <c r="U110" i="1"/>
  <c r="Y153" i="1"/>
  <c r="Z104" i="1"/>
  <c r="N131" i="1"/>
  <c r="L104" i="1"/>
  <c r="C139" i="1"/>
  <c r="E134" i="1"/>
  <c r="J144" i="1"/>
  <c r="D43" i="1"/>
  <c r="T123" i="1"/>
  <c r="D108" i="1"/>
  <c r="I43" i="1"/>
  <c r="G142" i="1"/>
  <c r="M134" i="1"/>
  <c r="V122" i="1"/>
  <c r="I113" i="1"/>
  <c r="K152" i="1"/>
  <c r="T51" i="1"/>
  <c r="J124" i="1"/>
  <c r="T118" i="1"/>
  <c r="B144" i="1"/>
  <c r="P128" i="1"/>
  <c r="F110" i="1"/>
  <c r="Y118" i="1"/>
  <c r="P122" i="1"/>
  <c r="L140" i="1"/>
  <c r="C135" i="1"/>
  <c r="J127" i="1"/>
  <c r="H128" i="1"/>
  <c r="D138" i="1"/>
  <c r="M140" i="1"/>
  <c r="G124" i="1"/>
  <c r="B139" i="1"/>
  <c r="I122" i="1"/>
  <c r="U41" i="1"/>
  <c r="M49" i="1"/>
  <c r="X36" i="1"/>
  <c r="S111" i="1"/>
  <c r="D128" i="1"/>
  <c r="B108" i="1"/>
  <c r="T111" i="1"/>
  <c r="B113" i="1"/>
  <c r="Y138" i="1"/>
  <c r="K142" i="1"/>
  <c r="P152" i="1"/>
  <c r="S127" i="1"/>
  <c r="L105" i="1"/>
  <c r="R139" i="1"/>
  <c r="O124" i="1"/>
  <c r="B152" i="1"/>
  <c r="B123" i="1"/>
  <c r="W108" i="1"/>
  <c r="S105" i="1"/>
  <c r="N127" i="1"/>
  <c r="N139" i="1"/>
  <c r="C144" i="1"/>
  <c r="X118" i="1"/>
  <c r="Q140" i="1"/>
  <c r="N144" i="1"/>
  <c r="K124" i="1"/>
  <c r="U49" i="1"/>
  <c r="K110" i="1"/>
  <c r="R148" i="1"/>
  <c r="T127" i="1"/>
  <c r="I110" i="1"/>
  <c r="K127" i="1"/>
  <c r="I104" i="1"/>
  <c r="P135" i="1"/>
  <c r="Y135" i="1"/>
  <c r="W118" i="1"/>
  <c r="O103" i="1"/>
  <c r="P54" i="1"/>
  <c r="K113" i="1"/>
  <c r="W105" i="1"/>
  <c r="C128" i="1"/>
  <c r="S124" i="1"/>
  <c r="V138" i="1"/>
  <c r="P111" i="1"/>
  <c r="Q138" i="1"/>
  <c r="P118" i="1"/>
  <c r="P113" i="1"/>
  <c r="N138" i="1"/>
  <c r="H135" i="1"/>
  <c r="P110" i="1"/>
  <c r="W134" i="1"/>
  <c r="N118" i="1"/>
  <c r="C138" i="1"/>
  <c r="Y59" i="1"/>
  <c r="D122" i="1"/>
  <c r="W142" i="1"/>
  <c r="G152" i="1"/>
  <c r="H105" i="1"/>
  <c r="Z105" i="1"/>
  <c r="V123" i="1"/>
  <c r="W148" i="1"/>
  <c r="L128" i="1"/>
  <c r="Y110" i="1"/>
  <c r="I108" i="1"/>
  <c r="M118" i="1"/>
  <c r="G135" i="1"/>
  <c r="V142" i="1"/>
  <c r="J135" i="1"/>
  <c r="K138" i="1"/>
  <c r="P134" i="1"/>
  <c r="H122" i="1"/>
  <c r="X131" i="1"/>
  <c r="E108" i="1"/>
  <c r="L139" i="1"/>
  <c r="B140" i="1"/>
  <c r="J152" i="1"/>
  <c r="X127" i="1"/>
  <c r="Y144" i="1"/>
  <c r="R144" i="1"/>
  <c r="N122" i="1"/>
  <c r="S110" i="1"/>
  <c r="V118" i="1"/>
  <c r="S138" i="1"/>
  <c r="Q105" i="1"/>
  <c r="I140" i="1"/>
  <c r="Z138" i="1"/>
  <c r="O128" i="1"/>
  <c r="W111" i="1"/>
  <c r="C108" i="1"/>
  <c r="U124" i="1"/>
  <c r="V59" i="1"/>
  <c r="I153" i="1"/>
  <c r="C111" i="1"/>
  <c r="Z108" i="1"/>
  <c r="W138" i="1"/>
  <c r="G105" i="1"/>
  <c r="Z118" i="1"/>
  <c r="V124" i="1"/>
  <c r="E142" i="1"/>
  <c r="K135" i="1"/>
  <c r="L111" i="1"/>
  <c r="G111" i="1"/>
  <c r="F113" i="1"/>
  <c r="K118" i="1"/>
  <c r="N135" i="1"/>
  <c r="V140" i="1"/>
  <c r="D139" i="1"/>
  <c r="K111" i="1"/>
  <c r="C118" i="1"/>
  <c r="T54" i="1"/>
  <c r="C49" i="1"/>
  <c r="P153" i="1"/>
  <c r="G127" i="1"/>
  <c r="P124" i="1"/>
  <c r="B103" i="1"/>
  <c r="P140" i="1"/>
  <c r="P139" i="1"/>
  <c r="I105" i="1"/>
  <c r="C140" i="1"/>
  <c r="R131" i="1"/>
  <c r="K108" i="1"/>
  <c r="Y124" i="1"/>
  <c r="Y113" i="1"/>
  <c r="W110" i="1"/>
  <c r="Q108" i="1"/>
  <c r="Y131" i="1"/>
  <c r="O139" i="1"/>
  <c r="H142" i="1"/>
  <c r="R134" i="1"/>
  <c r="P138" i="1"/>
  <c r="U51" i="1"/>
  <c r="N111" i="1"/>
  <c r="S122" i="1"/>
  <c r="X110" i="1"/>
  <c r="Q110" i="1"/>
  <c r="Q124" i="1"/>
  <c r="S144" i="1"/>
  <c r="C104" i="1"/>
  <c r="E138" i="1"/>
  <c r="E128" i="1"/>
  <c r="X148" i="1"/>
  <c r="U105" i="1"/>
  <c r="D127" i="1"/>
  <c r="Q149" i="1"/>
  <c r="L148" i="1"/>
  <c r="C110" i="1"/>
  <c r="N134" i="1"/>
  <c r="M105" i="1"/>
  <c r="U142" i="1"/>
  <c r="F152" i="1"/>
  <c r="N140" i="1"/>
  <c r="W123" i="1"/>
  <c r="M104" i="1"/>
  <c r="C113" i="1"/>
  <c r="L110" i="1"/>
  <c r="N142" i="1"/>
  <c r="K123" i="1"/>
  <c r="M111" i="1"/>
  <c r="G103" i="1"/>
  <c r="K139" i="1"/>
  <c r="Y123" i="1"/>
  <c r="M108" i="1"/>
  <c r="I103" i="1"/>
  <c r="L134" i="1"/>
  <c r="L123" i="1"/>
  <c r="R110" i="1"/>
  <c r="I142" i="1"/>
  <c r="N103" i="1"/>
  <c r="P149" i="1"/>
  <c r="M123" i="1"/>
  <c r="Q118" i="1"/>
  <c r="Y53" i="1"/>
  <c r="B104" i="1"/>
  <c r="G144" i="1"/>
  <c r="K105" i="1"/>
  <c r="B127" i="1"/>
  <c r="Z110" i="1"/>
  <c r="S123" i="1"/>
  <c r="S135" i="1"/>
  <c r="E103" i="1"/>
  <c r="U122" i="1"/>
  <c r="H113" i="1"/>
  <c r="F149" i="1"/>
  <c r="V105" i="1"/>
  <c r="Q134" i="1"/>
  <c r="U104" i="1"/>
  <c r="D152" i="1"/>
  <c r="G134" i="1"/>
  <c r="H103" i="1"/>
  <c r="D44" i="1"/>
  <c r="C134" i="1"/>
  <c r="Z111" i="1"/>
  <c r="M144" i="1"/>
  <c r="H110" i="1"/>
  <c r="I152" i="1"/>
  <c r="Z142" i="1"/>
  <c r="V134" i="1"/>
  <c r="L108" i="1"/>
  <c r="Y134" i="1"/>
  <c r="X124" i="1"/>
  <c r="F122" i="1"/>
  <c r="E139" i="1"/>
  <c r="S118" i="1"/>
  <c r="I124" i="1"/>
  <c r="Q113" i="1"/>
  <c r="N113" i="1"/>
  <c r="W131" i="1"/>
  <c r="Y139" i="1"/>
  <c r="D110" i="1"/>
  <c r="P104" i="1"/>
  <c r="V144" i="1"/>
  <c r="O127" i="1"/>
  <c r="V149" i="1"/>
  <c r="T108" i="1"/>
  <c r="U134" i="1"/>
  <c r="J104" i="1"/>
  <c r="S128" i="1"/>
  <c r="G118" i="1"/>
  <c r="Y152" i="1"/>
  <c r="K103" i="1"/>
  <c r="V108" i="1"/>
  <c r="I118" i="1"/>
  <c r="I123" i="1"/>
  <c r="T139" i="1"/>
  <c r="J105" i="1"/>
  <c r="M142" i="1"/>
  <c r="R124" i="1"/>
  <c r="X152" i="1"/>
  <c r="U152" i="1"/>
  <c r="O111" i="1"/>
  <c r="L144" i="1"/>
  <c r="N124" i="1"/>
  <c r="O105" i="1"/>
  <c r="J140" i="1"/>
  <c r="C152" i="1"/>
  <c r="E118" i="1"/>
  <c r="X128" i="1"/>
  <c r="J142" i="1"/>
  <c r="V127" i="1"/>
  <c r="T104" i="1"/>
  <c r="D113" i="1"/>
  <c r="H144" i="1"/>
  <c r="Z152" i="1"/>
  <c r="C103" i="1"/>
  <c r="X105" i="1"/>
  <c r="M139" i="1"/>
  <c r="F131" i="1"/>
  <c r="R104" i="1"/>
  <c r="Z131" i="1"/>
  <c r="H104" i="1"/>
  <c r="O122" i="1"/>
  <c r="L149" i="1"/>
  <c r="H124" i="1"/>
  <c r="U36" i="1"/>
  <c r="L122" i="1"/>
  <c r="S104" i="1"/>
  <c r="T89" i="130" a="1"/>
  <c r="G89" i="130" a="1"/>
  <c r="D89" i="130" a="1"/>
  <c r="L89" i="130" a="1"/>
  <c r="AV89" i="130" a="1"/>
  <c r="B2" i="125" a="1"/>
  <c r="R94" i="130" a="1"/>
  <c r="AN91" i="130" a="1"/>
  <c r="D88" i="130" a="1"/>
  <c r="G85" i="130" a="1"/>
  <c r="BE82" i="130" a="1"/>
  <c r="AN59" i="130" a="1"/>
  <c r="N94" i="130" a="1"/>
  <c r="AK91" i="130" a="1"/>
  <c r="BK87" i="130" a="1"/>
  <c r="BK84" i="130" a="1"/>
  <c r="BA82" i="130" a="1"/>
  <c r="AL59" i="130" a="1"/>
  <c r="AT56" i="130" a="1"/>
  <c r="AM51" i="130" a="1"/>
  <c r="BK97" i="130" a="1"/>
  <c r="J96" i="130" a="1"/>
  <c r="X94" i="130" a="1"/>
  <c r="AU91" i="130" a="1"/>
  <c r="L88" i="130" a="1"/>
  <c r="O85" i="130" a="1"/>
  <c r="BJ82" i="130" a="1"/>
  <c r="AV59" i="130" a="1"/>
  <c r="U94" i="130" a="1"/>
  <c r="AQ91" i="130" a="1"/>
  <c r="H88" i="130" a="1"/>
  <c r="L85" i="130" a="1"/>
  <c r="BH82" i="130" a="1"/>
  <c r="AQ59" i="130" a="1"/>
  <c r="BD56" i="130" a="1"/>
  <c r="AT51" i="130" a="1"/>
  <c r="F50" i="130" a="1"/>
  <c r="O96" i="130" a="1"/>
  <c r="AZ51" i="130" a="1"/>
  <c r="AD96" i="130" a="1"/>
  <c r="C94" i="130" a="1"/>
  <c r="AM91" i="130" a="1"/>
  <c r="X88" i="130" a="1"/>
  <c r="S86" i="130" a="1"/>
  <c r="G84" i="130" a="1"/>
  <c r="D82" i="130" a="1"/>
  <c r="AK57" i="130" a="1"/>
  <c r="AV51" i="130" a="1"/>
  <c r="R96" i="130" a="1"/>
  <c r="BG93" i="130" a="1"/>
  <c r="AH91" i="130" a="1"/>
  <c r="V88" i="130" a="1"/>
  <c r="N86" i="130" a="1"/>
  <c r="F84" i="130" a="1"/>
  <c r="P56" i="130" a="1"/>
  <c r="AX97" i="130" a="1"/>
  <c r="AZ94" i="130" a="1"/>
  <c r="AC92" i="130" a="1"/>
  <c r="AA90" i="130" a="1"/>
  <c r="I87" i="130" a="1"/>
  <c r="AY84" i="130" a="1"/>
  <c r="BB82" i="130" a="1"/>
  <c r="AK59" i="130" a="1"/>
  <c r="BE55" i="130" a="1"/>
  <c r="Q51" i="130" a="1"/>
  <c r="AL51" i="130" a="1"/>
  <c r="H96" i="130" a="1"/>
  <c r="BB93" i="130" a="1"/>
  <c r="AD91" i="130" a="1"/>
  <c r="N88" i="130" a="1"/>
  <c r="AG82" i="130" a="1"/>
  <c r="M56" i="130" a="1"/>
  <c r="BG50" i="130" a="1"/>
  <c r="AD97" i="130" a="1"/>
  <c r="AI95" i="130" a="1"/>
  <c r="AE93" i="130" a="1"/>
  <c r="U91" i="130" a="1"/>
  <c r="J89" i="130" a="1"/>
  <c r="BI89" i="130" a="1"/>
  <c r="BK89" i="130" a="1"/>
  <c r="BG89" i="130" a="1"/>
  <c r="AR89" i="130" a="1"/>
  <c r="AR96" i="130" a="1"/>
  <c r="BH93" i="130" a="1"/>
  <c r="Y91" i="130" a="1"/>
  <c r="AV87" i="130" a="1"/>
  <c r="AW84" i="130" a="1"/>
  <c r="AS82" i="130" a="1"/>
  <c r="AN96" i="130" a="1"/>
  <c r="BE93" i="130" a="1"/>
  <c r="P91" i="130" a="1"/>
  <c r="AT87" i="130" a="1"/>
  <c r="AU84" i="130" a="1"/>
  <c r="AQ82" i="130" a="1"/>
  <c r="Y59" i="130" a="1"/>
  <c r="AF56" i="130" a="1"/>
  <c r="AF51" i="130" a="1"/>
  <c r="BC97" i="130" a="1"/>
  <c r="BG95" i="130" a="1"/>
  <c r="K94" i="130" a="1"/>
  <c r="AI91" i="130" a="1"/>
  <c r="BH87" i="130" a="1"/>
  <c r="BE84" i="130" a="1"/>
  <c r="AX82" i="130" a="1"/>
  <c r="AI59" i="130" a="1"/>
  <c r="BK93" i="130" a="1"/>
  <c r="AC91" i="130" a="1"/>
  <c r="BA87" i="130" a="1"/>
  <c r="BA84" i="130" a="1"/>
  <c r="AV82" i="130" a="1"/>
  <c r="AE59" i="130" a="1"/>
  <c r="AK56" i="130" a="1"/>
  <c r="AJ51" i="130" a="1"/>
  <c r="BF97" i="130" a="1"/>
  <c r="AB59" i="130" a="1"/>
  <c r="AH51" i="130" a="1"/>
  <c r="BK95" i="130" a="1"/>
  <c r="BA93" i="130" a="1"/>
  <c r="AB91" i="130" a="1"/>
  <c r="J88" i="130" a="1"/>
  <c r="F86" i="130" a="1"/>
  <c r="BI83" i="130" a="1"/>
  <c r="AJ61" i="130" a="1"/>
  <c r="X59" i="130" a="1"/>
  <c r="AE51" i="130" a="1"/>
  <c r="BJ95" i="130" a="1"/>
  <c r="AX93" i="130" a="1"/>
  <c r="Z91" i="130" a="1"/>
  <c r="I88" i="130" a="1"/>
  <c r="C86" i="130" a="1"/>
  <c r="BH83" i="130" a="1"/>
  <c r="AJ55" i="130" a="1"/>
  <c r="AG97" i="130" a="1"/>
  <c r="AQ94" i="130" a="1"/>
  <c r="T92" i="130" a="1"/>
  <c r="N90" i="130" a="1"/>
  <c r="BG86" i="130" a="1"/>
  <c r="AK84" i="130" a="1"/>
  <c r="AP82" i="130" a="1"/>
  <c r="AE58" i="130" a="1"/>
  <c r="AP55" i="130" a="1"/>
  <c r="H59" i="130" a="1"/>
  <c r="W51" i="130" a="1"/>
  <c r="BB95" i="130" a="1"/>
  <c r="AR93" i="130" a="1"/>
  <c r="V91" i="130" a="1"/>
  <c r="C88" i="130" a="1"/>
  <c r="M82" i="130" a="1"/>
  <c r="BA55" i="130" a="1"/>
  <c r="AZ50" i="130" a="1"/>
  <c r="X97" i="130" a="1"/>
  <c r="V95" i="130" a="1"/>
  <c r="O93" i="130" a="1"/>
  <c r="K91" i="130" a="1"/>
  <c r="BD87" i="130" a="1"/>
  <c r="AW85" i="130" a="1"/>
  <c r="BD82" i="130" a="1"/>
  <c r="BI59" i="130" a="1"/>
  <c r="O57" i="130" a="1"/>
  <c r="Z54" i="130" a="1"/>
  <c r="V61" i="130" a="1"/>
  <c r="AE55" i="130" a="1"/>
  <c r="AR50" i="130" a="1"/>
  <c r="P97" i="130" a="1"/>
  <c r="L95" i="130" a="1"/>
  <c r="C93" i="130" a="1"/>
  <c r="AV90" i="130" a="1"/>
  <c r="AR87" i="130" a="1"/>
  <c r="AM85" i="130" a="1"/>
  <c r="AM82" i="130" a="1"/>
  <c r="AT85" i="130" a="1"/>
  <c r="E58" i="130" a="1"/>
  <c r="BA51" i="130" a="1"/>
  <c r="M50" i="130" a="1"/>
  <c r="AT96" i="130" a="1"/>
  <c r="AC94" i="130" a="1"/>
  <c r="Q92" i="130" a="1"/>
  <c r="BH88" i="130" a="1"/>
  <c r="BF86" i="130" a="1"/>
  <c r="AZ84" i="130" a="1"/>
  <c r="X61" i="130" a="1"/>
  <c r="AZ58" i="130" a="1"/>
  <c r="AF85" i="130" a="1"/>
  <c r="BH57" i="130" a="1"/>
  <c r="AY51" i="130" a="1"/>
  <c r="K50" i="130" a="1"/>
  <c r="AP96" i="130" a="1"/>
  <c r="Z94" i="130" a="1"/>
  <c r="M92" i="130" a="1"/>
  <c r="E89" i="130" a="1"/>
  <c r="BC89" i="130" a="1"/>
  <c r="AY89" i="130" a="1"/>
  <c r="BD89" i="130" a="1"/>
  <c r="AP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AH55" i="130" a="1"/>
  <c r="AT50" i="130" a="1"/>
  <c r="Q97" i="130" a="1"/>
  <c r="N95" i="130" a="1"/>
  <c r="E93" i="130" a="1"/>
  <c r="BF90" i="130" a="1"/>
  <c r="AU87" i="130" a="1"/>
  <c r="AO85" i="130" a="1"/>
  <c r="AO82" i="130" a="1"/>
  <c r="AS59" i="130" a="1"/>
  <c r="AW56" i="130" a="1"/>
  <c r="Q54" i="130" a="1"/>
  <c r="BA60" i="130" a="1"/>
  <c r="K55" i="130" a="1"/>
  <c r="AJ50" i="130" a="1"/>
  <c r="I97" i="130" a="1"/>
  <c r="C95" i="130" a="1"/>
  <c r="BA92" i="130" a="1"/>
  <c r="AI90" i="130" a="1"/>
  <c r="BH89" i="130" a="1"/>
  <c r="AW89" i="130" a="1"/>
  <c r="AI89" i="130" a="1"/>
  <c r="BA89" i="130" a="1"/>
  <c r="AD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A50" i="130" a="1"/>
  <c r="AJ95" i="130" a="1"/>
  <c r="V93" i="130" a="1"/>
  <c r="D91" i="130" a="1"/>
  <c r="AN87" i="130" a="1"/>
  <c r="BH60" i="130" a="1"/>
  <c r="S55" i="130" a="1"/>
  <c r="AL50" i="130" a="1"/>
  <c r="M97" i="130" a="1"/>
  <c r="E95" i="130" a="1"/>
  <c r="BD92" i="130" a="1"/>
  <c r="AK90" i="130" a="1"/>
  <c r="AH87" i="130" a="1"/>
  <c r="AE85" i="130" a="1"/>
  <c r="AE82" i="130" a="1"/>
  <c r="AD59" i="130" a="1"/>
  <c r="AL56" i="130" a="1"/>
  <c r="X87" i="130" a="1"/>
  <c r="J60" i="130" a="1"/>
  <c r="BD54" i="130" a="1"/>
  <c r="AC50" i="130" a="1"/>
  <c r="BI96" i="130" a="1"/>
  <c r="BB94" i="130" a="1"/>
  <c r="AO92" i="130" a="1"/>
  <c r="Y90" i="130" a="1"/>
  <c r="V87" i="130" a="1"/>
  <c r="I85" i="130" a="1"/>
  <c r="Q82" i="130" a="1"/>
  <c r="P84" i="130" a="1"/>
  <c r="S57" i="130" a="1"/>
  <c r="AG51" i="130" a="1"/>
  <c r="BG97" i="130" a="1"/>
  <c r="T96" i="130" a="1"/>
  <c r="H94" i="130" a="1"/>
  <c r="BF91" i="130" a="1"/>
  <c r="AP88" i="130" a="1"/>
  <c r="AP86" i="130" a="1"/>
  <c r="AB84" i="130" a="1"/>
  <c r="BK60" i="130" a="1"/>
  <c r="AD58" i="130" a="1"/>
  <c r="J84" i="130" a="1"/>
  <c r="Q57" i="130" a="1"/>
  <c r="AD51" i="130" a="1"/>
  <c r="BD97" i="130" a="1"/>
  <c r="P96" i="130" a="1"/>
  <c r="F94" i="130" a="1"/>
  <c r="BE91" i="130" a="1"/>
  <c r="AM88" i="130" a="1"/>
  <c r="AM86" i="130" a="1"/>
  <c r="Z84" i="130" a="1"/>
  <c r="BC60" i="130" a="1"/>
  <c r="E56" i="130" a="1"/>
  <c r="AJ81" i="130" a="1"/>
  <c r="AW80" i="130" a="1"/>
  <c r="BJ79" i="130" a="1"/>
  <c r="N79" i="130" a="1"/>
  <c r="AA78" i="130" a="1"/>
  <c r="AN77" i="130" a="1"/>
  <c r="BA76" i="130" a="1"/>
  <c r="AX89" i="130" a="1"/>
  <c r="AS89" i="130" a="1"/>
  <c r="R89" i="130" a="1"/>
  <c r="AH89" i="130" a="1"/>
  <c r="X89" i="130" a="1"/>
  <c r="I96" i="130" a="1"/>
  <c r="U93" i="130" a="1"/>
  <c r="AQ90" i="130" a="1"/>
  <c r="AZ86" i="130" a="1"/>
  <c r="M84" i="130" a="1"/>
  <c r="H82" i="130" a="1"/>
  <c r="F96" i="130" a="1"/>
  <c r="R93" i="130" a="1"/>
  <c r="AM90" i="130" a="1"/>
  <c r="AY86" i="130" a="1"/>
  <c r="I84" i="130" a="1"/>
  <c r="E82" i="130" a="1"/>
  <c r="AT58" i="130" a="1"/>
  <c r="AI55" i="130" a="1"/>
  <c r="K51" i="130" a="1"/>
  <c r="AE97" i="130" a="1"/>
  <c r="Q96" i="130" a="1"/>
  <c r="Z93" i="130" a="1"/>
  <c r="AW90" i="130" a="1"/>
  <c r="BH86" i="130" a="1"/>
  <c r="Q84" i="130" a="1"/>
  <c r="L82" i="130" a="1"/>
  <c r="K96" i="130" a="1"/>
  <c r="X93" i="130" a="1"/>
  <c r="AT90" i="130" a="1"/>
  <c r="BC86" i="130" a="1"/>
  <c r="N84" i="130" a="1"/>
  <c r="I82" i="130" a="1"/>
  <c r="AY58" i="130" a="1"/>
  <c r="AL55" i="130" a="1"/>
  <c r="O51" i="130" a="1"/>
  <c r="AI97" i="130" a="1"/>
  <c r="D58" i="130" a="1"/>
  <c r="AV50" i="130" a="1"/>
  <c r="AH95" i="130" a="1"/>
  <c r="S93" i="130" a="1"/>
  <c r="BK90" i="130" a="1"/>
  <c r="AK87" i="130" a="1"/>
  <c r="AC85" i="130" a="1"/>
  <c r="AK83" i="130" a="1"/>
  <c r="AX60" i="130" a="1"/>
  <c r="BE57" i="130" a="1"/>
  <c r="AQ50" i="130" a="1"/>
  <c r="AE95" i="130" a="1"/>
  <c r="P93" i="130" a="1"/>
  <c r="BI90" i="130" a="1"/>
  <c r="AI87" i="130" a="1"/>
  <c r="AA85" i="130" a="1"/>
  <c r="AF83" i="130" a="1"/>
  <c r="BI51" i="130" a="1"/>
  <c r="AM96" i="130" a="1"/>
  <c r="G94" i="130" a="1"/>
  <c r="AS91" i="130" a="1"/>
  <c r="AD88" i="130" a="1"/>
  <c r="X86" i="130" a="1"/>
  <c r="K84" i="130" a="1"/>
  <c r="K82" i="130" a="1"/>
  <c r="AR57" i="130" a="1"/>
  <c r="BK54" i="130" a="1"/>
  <c r="AV57" i="130" a="1"/>
  <c r="AI50" i="130" a="1"/>
  <c r="Y95" i="130" a="1"/>
  <c r="K93" i="130" a="1"/>
  <c r="BC90" i="130" a="1"/>
  <c r="AD87" i="130" a="1"/>
  <c r="AA60" i="130" a="1"/>
  <c r="BH54" i="130" a="1"/>
  <c r="AD50" i="130" a="1"/>
  <c r="C97" i="130" a="1"/>
  <c r="BD94" i="130" a="1"/>
  <c r="AR92" i="130" a="1"/>
  <c r="AB90" i="130" a="1"/>
  <c r="W87" i="130" a="1"/>
  <c r="K85" i="130" a="1"/>
  <c r="S82" i="130" a="1"/>
  <c r="Q59" i="130" a="1"/>
  <c r="U56" i="130" a="1"/>
  <c r="AN86" i="130" a="1"/>
  <c r="AG59" i="130" a="1"/>
  <c r="AC54" i="130" a="1"/>
  <c r="V50" i="130" a="1"/>
  <c r="BC96" i="130" a="1"/>
  <c r="AP94" i="130" a="1"/>
  <c r="AD92" i="130" a="1"/>
  <c r="L90" i="130" a="1"/>
  <c r="J87" i="130" a="1"/>
  <c r="BI84" i="130" a="1"/>
  <c r="BF81" i="130" a="1"/>
  <c r="AV83" i="130" a="1"/>
  <c r="D57" i="130" a="1"/>
  <c r="V51" i="130" a="1"/>
  <c r="AU89" i="130" a="1"/>
  <c r="AO89" i="130" a="1"/>
  <c r="BF89" i="130" a="1"/>
  <c r="AE89" i="130" a="1"/>
  <c r="U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B87" i="130" a="1"/>
  <c r="U85" i="130" a="1"/>
  <c r="U83" i="130" a="1"/>
  <c r="AF60" i="130" a="1"/>
  <c r="AF57" i="130" a="1"/>
  <c r="X50" i="130" a="1"/>
  <c r="T95" i="130" a="1"/>
  <c r="BI92" i="130" a="1"/>
  <c r="AY90" i="130" a="1"/>
  <c r="Z87" i="130" a="1"/>
  <c r="R85" i="130" a="1"/>
  <c r="T83" i="130" a="1"/>
  <c r="AO51" i="130" a="1"/>
  <c r="M96" i="130" a="1"/>
  <c r="BD93" i="130" a="1"/>
  <c r="AF91" i="130" a="1"/>
  <c r="Q88" i="130" a="1"/>
  <c r="K86" i="130" a="1"/>
  <c r="D84" i="130" a="1"/>
  <c r="BG81" i="130" a="1"/>
  <c r="AE57" i="130" a="1"/>
  <c r="AS54" i="130" a="1"/>
  <c r="M57" i="130" a="1"/>
  <c r="P50" i="130" a="1"/>
  <c r="O95" i="130" a="1"/>
  <c r="BB92" i="130" a="1"/>
  <c r="AU90" i="130" a="1"/>
  <c r="BD86" i="130" a="1"/>
  <c r="AP59" i="130" a="1"/>
  <c r="AH54" i="130" a="1"/>
  <c r="Y50" i="130" a="1"/>
  <c r="BE96" i="130" a="1"/>
  <c r="AS94" i="130" a="1"/>
  <c r="AH92" i="130" a="1"/>
  <c r="O90" i="130" a="1"/>
  <c r="AQ89" i="130" a="1"/>
  <c r="AK89" i="130" a="1"/>
  <c r="BB89" i="130" a="1"/>
  <c r="AB89" i="130" a="1"/>
  <c r="M89" i="130" a="1"/>
  <c r="AS95" i="130" a="1"/>
  <c r="BG92" i="130" a="1"/>
  <c r="S90" i="130" a="1"/>
  <c r="AA86" i="130" a="1"/>
  <c r="BB83" i="130" a="1"/>
  <c r="G61" i="130" a="1"/>
  <c r="AQ95" i="130" a="1"/>
  <c r="BF92" i="130" a="1"/>
  <c r="P90" i="130" a="1"/>
  <c r="V86" i="130" a="1"/>
  <c r="BA83" i="130" a="1"/>
  <c r="BJ60" i="130" a="1"/>
  <c r="R58" i="130" a="1"/>
  <c r="F55" i="130" a="1"/>
  <c r="BD50" i="130" a="1"/>
  <c r="J97" i="130" a="1"/>
  <c r="BA95" i="130" a="1"/>
  <c r="D93" i="130" a="1"/>
  <c r="X90" i="130" a="1"/>
  <c r="AH86" i="130" a="1"/>
  <c r="BG83" i="130" a="1"/>
  <c r="AA61" i="130" a="1"/>
  <c r="AX95" i="130" a="1"/>
  <c r="BK92" i="130" a="1"/>
  <c r="U90" i="130" a="1"/>
  <c r="AF86" i="130" a="1"/>
  <c r="BD83" i="130" a="1"/>
  <c r="L61" i="130" a="1"/>
  <c r="Y58" i="130" a="1"/>
  <c r="M55" i="130" a="1"/>
  <c r="BH50" i="130" a="1"/>
  <c r="L97" i="130" a="1"/>
  <c r="H57" i="130" a="1"/>
  <c r="AL89" i="130" a="1"/>
  <c r="AG89" i="130" a="1"/>
  <c r="AM89" i="130" a="1"/>
  <c r="AA89" i="130" a="1"/>
  <c r="H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I90" i="130" a="1"/>
  <c r="Q86" i="130" a="1"/>
  <c r="AW83" i="130" a="1"/>
  <c r="BE60" i="130" a="1"/>
  <c r="F58" i="130" a="1"/>
  <c r="BG54" i="130" a="1"/>
  <c r="AX50" i="130" a="1"/>
  <c r="G97" i="130" a="1"/>
  <c r="AG56" i="130" a="1"/>
  <c r="BE97" i="130" a="1"/>
  <c r="BE94" i="130" a="1"/>
  <c r="AJ92" i="130" a="1"/>
  <c r="AH90" i="130" a="1"/>
  <c r="L87" i="130" a="1"/>
  <c r="BF84" i="130" a="1"/>
  <c r="BG82" i="130" a="1"/>
  <c r="AT59" i="130" a="1"/>
  <c r="Y56" i="130" a="1"/>
  <c r="BA97" i="130" a="1"/>
  <c r="BC94" i="130" a="1"/>
  <c r="AG92" i="130" a="1"/>
  <c r="AF90" i="130" a="1"/>
  <c r="BJ89" i="130" a="1"/>
  <c r="AF89" i="130" a="1"/>
  <c r="V89" i="130" a="1"/>
  <c r="AJ89" i="130" a="1"/>
  <c r="Q89" i="130" a="1"/>
  <c r="C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E89" i="130" a="1"/>
  <c r="AC89" i="130" a="1"/>
  <c r="O89" i="130" a="1"/>
  <c r="Z89" i="130" a="1"/>
  <c r="N89" i="130" a="1"/>
  <c r="BK94" i="130" a="1"/>
  <c r="Z92" i="130" a="1"/>
  <c r="AQ88" i="130" a="1"/>
  <c r="AQ85" i="130" a="1"/>
  <c r="AE83" i="130" a="1"/>
  <c r="Q60" i="130" a="1"/>
  <c r="BH94" i="130" a="1"/>
  <c r="U92" i="130" a="1"/>
  <c r="AN88" i="130" a="1"/>
  <c r="AN85" i="130" a="1"/>
  <c r="AC83" i="130" a="1"/>
  <c r="N60" i="130" a="1"/>
  <c r="AJ57" i="130" a="1"/>
  <c r="R54" i="130" a="1"/>
  <c r="Z50" i="130" a="1"/>
  <c r="AS96" i="130" a="1"/>
  <c r="H95" i="130" a="1"/>
  <c r="AF92" i="130" a="1"/>
  <c r="AV88" i="130" a="1"/>
  <c r="BB85" i="130" a="1"/>
  <c r="AI83" i="130" a="1"/>
  <c r="W60" i="130" a="1"/>
  <c r="F95" i="130" a="1"/>
  <c r="AE92" i="130" a="1"/>
  <c r="AT88" i="130" a="1"/>
  <c r="AY85" i="130" a="1"/>
  <c r="AG83" i="130" a="1"/>
  <c r="T60" i="130" a="1"/>
  <c r="AQ57" i="130" a="1"/>
  <c r="Y54" i="130" a="1"/>
  <c r="AG50" i="130" a="1"/>
  <c r="AW96" i="130" a="1"/>
  <c r="AB55" i="130" a="1"/>
  <c r="W97" i="130" a="1"/>
  <c r="AK94" i="130" a="1"/>
  <c r="O92" i="130" a="1"/>
  <c r="G90" i="130" a="1"/>
  <c r="AU86" i="130" a="1"/>
  <c r="AG84" i="130" a="1"/>
  <c r="AJ82" i="130" a="1"/>
  <c r="W58" i="130" a="1"/>
  <c r="T55" i="130" a="1"/>
  <c r="R97" i="130" a="1"/>
  <c r="AH94" i="130" a="1"/>
  <c r="K92" i="130" a="1"/>
  <c r="D90" i="130" a="1"/>
  <c r="AT86" i="130" a="1"/>
  <c r="AE84" i="130" a="1"/>
  <c r="BA57" i="130" a="1"/>
  <c r="AM50" i="130" a="1"/>
  <c r="AB95" i="130" a="1"/>
  <c r="N93" i="130" a="1"/>
  <c r="BD90" i="130" a="1"/>
  <c r="AF87" i="130" a="1"/>
  <c r="Y85" i="130" a="1"/>
  <c r="AB83" i="130" a="1"/>
  <c r="AP60" i="130" a="1"/>
  <c r="AU56" i="130" a="1"/>
  <c r="AQ51" i="130" a="1"/>
  <c r="BJ54" i="130" a="1"/>
  <c r="H97" i="130" a="1"/>
  <c r="AB94" i="130" a="1"/>
  <c r="E92" i="130" a="1"/>
  <c r="BF88" i="130" a="1"/>
  <c r="BJ83" i="130" a="1"/>
  <c r="N57" i="130" a="1"/>
  <c r="AB51" i="130" a="1"/>
  <c r="BB97" i="130" a="1"/>
  <c r="N96" i="130" a="1"/>
  <c r="D94" i="130" a="1"/>
  <c r="BD91" i="130" a="1"/>
  <c r="AK88" i="130" a="1"/>
  <c r="AD86" i="130" a="1"/>
  <c r="W84" i="130" a="1"/>
  <c r="AZ60" i="130" a="1"/>
  <c r="X58" i="130" a="1"/>
  <c r="AT89" i="130" a="1"/>
  <c r="Y89" i="130" a="1"/>
  <c r="K89" i="130" a="1"/>
  <c r="W89" i="130" a="1"/>
  <c r="F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A57" i="130" a="1"/>
  <c r="BK51" i="130" a="1"/>
  <c r="W50" i="130" a="1"/>
  <c r="AO96" i="130" a="1"/>
  <c r="AZ54" i="130" a="1"/>
  <c r="E97" i="130" a="1"/>
  <c r="Y94" i="130" a="1"/>
  <c r="BK91" i="130" a="1"/>
  <c r="BD88" i="130" a="1"/>
  <c r="AL86" i="130" a="1"/>
  <c r="X84" i="130" a="1"/>
  <c r="X82" i="130" a="1"/>
  <c r="AA94" i="130" a="1"/>
  <c r="T88" i="130" a="1"/>
  <c r="N50" i="130" a="1"/>
  <c r="X92" i="130" a="1"/>
  <c r="AW82" i="130" a="1"/>
  <c r="BJ96" i="130" a="1"/>
  <c r="AU88" i="130" a="1"/>
  <c r="P59" i="130" a="1"/>
  <c r="AL95" i="130" a="1"/>
  <c r="AN90" i="130" a="1"/>
  <c r="AX83" i="130" a="1"/>
  <c r="AC56" i="130" a="1"/>
  <c r="BH97" i="130" a="1"/>
  <c r="R92" i="130" a="1"/>
  <c r="BC82" i="130" a="1"/>
  <c r="I50" i="130" a="1"/>
  <c r="BC93" i="130" a="1"/>
  <c r="E88" i="130" a="1"/>
  <c r="AD83" i="130" a="1"/>
  <c r="AU58" i="130" a="1"/>
  <c r="AK54" i="130" a="1"/>
  <c r="F57" i="130" a="1"/>
  <c r="AY50" i="130" a="1"/>
  <c r="L96" i="130" a="1"/>
  <c r="L93" i="130" a="1"/>
  <c r="AG88" i="130" a="1"/>
  <c r="BC85" i="130" a="1"/>
  <c r="AC61" i="130" a="1"/>
  <c r="BJ81" i="130" a="1"/>
  <c r="BA54" i="130" a="1"/>
  <c r="AW97" i="130" a="1"/>
  <c r="AN95" i="130" a="1"/>
  <c r="I93" i="130" a="1"/>
  <c r="AD90" i="130" a="1"/>
  <c r="H87" i="130" a="1"/>
  <c r="AJ83" i="130" a="1"/>
  <c r="P60" i="130" a="1"/>
  <c r="BE56" i="130" a="1"/>
  <c r="AK60" i="130" a="1"/>
  <c r="BH51" i="130" a="1"/>
  <c r="AT97" i="130" a="1"/>
  <c r="AK95" i="130" a="1"/>
  <c r="H93" i="130" a="1"/>
  <c r="AC90" i="130" a="1"/>
  <c r="P87" i="130" a="1"/>
  <c r="BG84" i="130" a="1"/>
  <c r="U61" i="130" a="1"/>
  <c r="W56" i="130" a="1"/>
  <c r="AF81" i="130" a="1"/>
  <c r="AO80" i="130" a="1"/>
  <c r="AX79" i="130" a="1"/>
  <c r="BG78" i="130" a="1"/>
  <c r="G78" i="130" a="1"/>
  <c r="P77" i="130" a="1"/>
  <c r="Y76" i="130" a="1"/>
  <c r="AL75" i="130" a="1"/>
  <c r="AY74" i="130" a="1"/>
  <c r="C74" i="130" a="1"/>
  <c r="P73" i="130" a="1"/>
  <c r="AC72" i="130" a="1"/>
  <c r="AP71" i="130" a="1"/>
  <c r="BC70" i="130" a="1"/>
  <c r="G70" i="130" a="1"/>
  <c r="T69" i="130" a="1"/>
  <c r="Z55" i="130" a="1"/>
  <c r="AA81" i="130" a="1"/>
  <c r="AN80" i="130" a="1"/>
  <c r="BA79" i="130" a="1"/>
  <c r="E79" i="130" a="1"/>
  <c r="R78" i="130" a="1"/>
  <c r="AE77" i="130" a="1"/>
  <c r="AR76" i="130" a="1"/>
  <c r="BE75" i="130" a="1"/>
  <c r="I75" i="130" a="1"/>
  <c r="V74" i="130" a="1"/>
  <c r="AI73" i="130" a="1"/>
  <c r="AV72" i="130" a="1"/>
  <c r="BI71" i="130" a="1"/>
  <c r="M71" i="130" a="1"/>
  <c r="Z70" i="130" a="1"/>
  <c r="AM69" i="130" a="1"/>
  <c r="AZ68" i="130" a="1"/>
  <c r="D68" i="130" a="1"/>
  <c r="Q67" i="130" a="1"/>
  <c r="AD66" i="130" a="1"/>
  <c r="V55" i="130" a="1"/>
  <c r="AX91" i="130" a="1"/>
  <c r="Z85" i="130" a="1"/>
  <c r="BG96" i="130" a="1"/>
  <c r="AW91" i="130" a="1"/>
  <c r="N82" i="130" a="1"/>
  <c r="AQ96" i="130" a="1"/>
  <c r="AI88" i="130" a="1"/>
  <c r="AV58" i="130" a="1"/>
  <c r="Q95" i="130" a="1"/>
  <c r="F88" i="130" a="1"/>
  <c r="AN83" i="130" a="1"/>
  <c r="J56" i="130" a="1"/>
  <c r="AU97" i="130" a="1"/>
  <c r="BA91" i="130" a="1"/>
  <c r="T58" i="130" a="1"/>
  <c r="BJ97" i="130" a="1"/>
  <c r="AQ93" i="130" a="1"/>
  <c r="O87" i="130" a="1"/>
  <c r="Q83" i="130" a="1"/>
  <c r="AJ58" i="130" a="1"/>
  <c r="BH85" i="130" a="1"/>
  <c r="AZ56" i="130" a="1"/>
  <c r="O50" i="130" a="1"/>
  <c r="BF95" i="130" a="1"/>
  <c r="S92" i="130" a="1"/>
  <c r="AA88" i="130" a="1"/>
  <c r="AU85" i="130" a="1"/>
  <c r="S61" i="130" a="1"/>
  <c r="O61" i="130" a="1"/>
  <c r="BJ51" i="130" a="1"/>
  <c r="AN97" i="130" a="1"/>
  <c r="AD95" i="130" a="1"/>
  <c r="BJ92" i="130" a="1"/>
  <c r="W90" i="130" a="1"/>
  <c r="AX86" i="130" a="1"/>
  <c r="Y83" i="130" a="1"/>
  <c r="E60" i="130" a="1"/>
  <c r="AR56" i="130" a="1"/>
  <c r="AX59" i="130" a="1"/>
  <c r="AP51" i="130" a="1"/>
  <c r="AM97" i="130" a="1"/>
  <c r="Z95" i="130" a="1"/>
  <c r="BH92" i="130" a="1"/>
  <c r="R90" i="130" a="1"/>
  <c r="E87" i="130" a="1"/>
  <c r="AX84" i="130" a="1"/>
  <c r="K61" i="130" a="1"/>
  <c r="AW55" i="130" a="1"/>
  <c r="AB81" i="130" a="1"/>
  <c r="AK80" i="130" a="1"/>
  <c r="AT79" i="130" a="1"/>
  <c r="BC78" i="130" a="1"/>
  <c r="C78" i="130" a="1"/>
  <c r="L77" i="130" a="1"/>
  <c r="U76" i="130" a="1"/>
  <c r="AH75" i="130" a="1"/>
  <c r="AU74" i="130" a="1"/>
  <c r="BH73" i="130" a="1"/>
  <c r="L73" i="130" a="1"/>
  <c r="Y72" i="130" a="1"/>
  <c r="AL71" i="130" a="1"/>
  <c r="AY70" i="130" a="1"/>
  <c r="C70" i="130" a="1"/>
  <c r="G60" i="130" a="1"/>
  <c r="I55" i="130" a="1"/>
  <c r="W81" i="130" a="1"/>
  <c r="AJ80" i="130" a="1"/>
  <c r="AW79" i="130" a="1"/>
  <c r="BJ78" i="130" a="1"/>
  <c r="N78" i="130" a="1"/>
  <c r="AA77" i="130" a="1"/>
  <c r="AN76" i="130" a="1"/>
  <c r="BA75" i="130" a="1"/>
  <c r="E75" i="130" a="1"/>
  <c r="R74" i="130" a="1"/>
  <c r="AE73" i="130" a="1"/>
  <c r="AR72" i="130" a="1"/>
  <c r="M88" i="130" a="1"/>
  <c r="L83" i="130" a="1"/>
  <c r="AE96" i="130" a="1"/>
  <c r="AS90" i="130" a="1"/>
  <c r="D60" i="130" a="1"/>
  <c r="D95" i="130" a="1"/>
  <c r="T87" i="130" a="1"/>
  <c r="V58" i="130" a="1"/>
  <c r="BJ94" i="130" a="1"/>
  <c r="BB87" i="130" a="1"/>
  <c r="R83" i="130" a="1"/>
  <c r="P54" i="130" a="1"/>
  <c r="AB97" i="130" a="1"/>
  <c r="AP91" i="130" a="1"/>
  <c r="AT57" i="130" a="1"/>
  <c r="AR97" i="130" a="1"/>
  <c r="V92" i="130" a="1"/>
  <c r="C87" i="130" a="1"/>
  <c r="G83" i="130" a="1"/>
  <c r="M58" i="130" a="1"/>
  <c r="N85" i="130" a="1"/>
  <c r="AE56" i="130" a="1"/>
  <c r="G50" i="130" a="1"/>
  <c r="AT95" i="130" a="1"/>
  <c r="H92" i="130" a="1"/>
  <c r="P88" i="130" a="1"/>
  <c r="W85" i="130" a="1"/>
  <c r="E61" i="130" a="1"/>
  <c r="AS60" i="130" a="1"/>
  <c r="AR51" i="130" a="1"/>
  <c r="AH97" i="130" a="1"/>
  <c r="R95" i="130" a="1"/>
  <c r="AZ92" i="130" a="1"/>
  <c r="J90" i="130" a="1"/>
  <c r="Z86" i="130" a="1"/>
  <c r="J83" i="130" a="1"/>
  <c r="BB59" i="130" a="1"/>
  <c r="AD56" i="130" a="1"/>
  <c r="Z58" i="130" a="1"/>
  <c r="T51" i="130" a="1"/>
  <c r="AF97" i="130" a="1"/>
  <c r="P95" i="130" a="1"/>
  <c r="AU92" i="130" a="1"/>
  <c r="H90" i="130" a="1"/>
  <c r="BE86" i="130" a="1"/>
  <c r="AL84" i="130" a="1"/>
  <c r="AO60" i="130" a="1"/>
  <c r="AF55" i="130" a="1"/>
  <c r="X81" i="130" a="1"/>
  <c r="AG80" i="130" a="1"/>
  <c r="AP79" i="130" a="1"/>
  <c r="AY78" i="130" a="1"/>
  <c r="BH77" i="130" a="1"/>
  <c r="H77" i="130" a="1"/>
  <c r="Q76" i="130" a="1"/>
  <c r="AD75" i="130" a="1"/>
  <c r="AQ74" i="130" a="1"/>
  <c r="BD73" i="130" a="1"/>
  <c r="H73" i="130" a="1"/>
  <c r="U72" i="130" a="1"/>
  <c r="AH71" i="130" a="1"/>
  <c r="AU70" i="130" a="1"/>
  <c r="BH69" i="130" a="1"/>
  <c r="AM59" i="130" a="1"/>
  <c r="AY54" i="130" a="1"/>
  <c r="S81" i="130" a="1"/>
  <c r="AF80" i="130" a="1"/>
  <c r="AS79" i="130" a="1"/>
  <c r="BF78" i="130" a="1"/>
  <c r="J78" i="130" a="1"/>
  <c r="W77" i="130" a="1"/>
  <c r="AJ76" i="130" a="1"/>
  <c r="AW75" i="130" a="1"/>
  <c r="BJ74" i="130" a="1"/>
  <c r="N74" i="130" a="1"/>
  <c r="AA73" i="130" a="1"/>
  <c r="AN72" i="130" a="1"/>
  <c r="BA71" i="130" a="1"/>
  <c r="E71" i="130" a="1"/>
  <c r="R70" i="130" a="1"/>
  <c r="AE69" i="130" a="1"/>
  <c r="AR68" i="130" a="1"/>
  <c r="BE67" i="130" a="1"/>
  <c r="I67" i="130" a="1"/>
  <c r="AH59" i="130" a="1"/>
  <c r="AT54" i="130" a="1"/>
  <c r="S85" i="130" a="1"/>
  <c r="BH59" i="130" a="1"/>
  <c r="BG55" i="130" a="1"/>
  <c r="T90" i="130" a="1"/>
  <c r="AO58" i="130" a="1"/>
  <c r="AR94" i="130" a="1"/>
  <c r="K87" i="130" a="1"/>
  <c r="W57" i="130" a="1"/>
  <c r="AV93" i="130" a="1"/>
  <c r="AP87" i="130" a="1"/>
  <c r="F83" i="130" a="1"/>
  <c r="BE51" i="130" a="1"/>
  <c r="AY96" i="130" a="1"/>
  <c r="AL90" i="130" a="1"/>
  <c r="Y57" i="130" a="1"/>
  <c r="AK97" i="130" a="1"/>
  <c r="J92" i="130" a="1"/>
  <c r="BB86" i="130" a="1"/>
  <c r="BI81" i="130" a="1"/>
  <c r="BB57" i="130" a="1"/>
  <c r="AA84" i="130" a="1"/>
  <c r="I56" i="130" a="1"/>
  <c r="BI97" i="130" a="1"/>
  <c r="AF95" i="130" a="1"/>
  <c r="BH91" i="130" a="1"/>
  <c r="BJ87" i="130" a="1"/>
  <c r="BB84" i="130" a="1"/>
  <c r="AV60" i="130" a="1"/>
  <c r="BG59" i="130" a="1"/>
  <c r="J51" i="130" a="1"/>
  <c r="Z97" i="130" a="1"/>
  <c r="I95" i="130" a="1"/>
  <c r="AM92" i="130" a="1"/>
  <c r="AZ88" i="130" a="1"/>
  <c r="M86" i="130" a="1"/>
  <c r="BI82" i="130" a="1"/>
  <c r="AJ59" i="130" a="1"/>
  <c r="F87" i="130" a="1"/>
  <c r="AB57" i="130" a="1"/>
  <c r="I51" i="130" a="1"/>
  <c r="Y97" i="130" a="1"/>
  <c r="G95" i="130" a="1"/>
  <c r="AK92" i="130" a="1"/>
  <c r="BE88" i="130" a="1"/>
  <c r="AV86" i="130" a="1"/>
  <c r="AH83" i="130" a="1"/>
  <c r="Y60" i="130" a="1"/>
  <c r="L55" i="130" a="1"/>
  <c r="T81" i="130" a="1"/>
  <c r="AC80" i="130" a="1"/>
  <c r="AL79" i="130" a="1"/>
  <c r="AU78" i="130" a="1"/>
  <c r="BD77" i="130" a="1"/>
  <c r="D77" i="130" a="1"/>
  <c r="M76" i="130" a="1"/>
  <c r="Z75" i="130" a="1"/>
  <c r="AM74" i="130" a="1"/>
  <c r="AZ73" i="130" a="1"/>
  <c r="D73" i="130" a="1"/>
  <c r="Q72" i="130" a="1"/>
  <c r="AD71" i="130" a="1"/>
  <c r="AQ70" i="130" a="1"/>
  <c r="BD69" i="130" a="1"/>
  <c r="N59" i="130" a="1"/>
  <c r="AI54" i="130" a="1"/>
  <c r="O81" i="130" a="1"/>
  <c r="AB80" i="130" a="1"/>
  <c r="AO79" i="130" a="1"/>
  <c r="BB78" i="130" a="1"/>
  <c r="F78" i="130" a="1"/>
  <c r="S77" i="130" a="1"/>
  <c r="AF76" i="130" a="1"/>
  <c r="AS75" i="130" a="1"/>
  <c r="BF74" i="130" a="1"/>
  <c r="J74" i="130" a="1"/>
  <c r="W73" i="130" a="1"/>
  <c r="AJ72" i="130" a="1"/>
  <c r="AW71" i="130" a="1"/>
  <c r="BJ70" i="130" a="1"/>
  <c r="N70" i="130" a="1"/>
  <c r="AA69" i="130" a="1"/>
  <c r="AN68" i="130" a="1"/>
  <c r="BA67" i="130" a="1"/>
  <c r="E67" i="130" a="1"/>
  <c r="I59" i="130" a="1"/>
  <c r="AF54" i="130" a="1"/>
  <c r="N81" i="130" a="1"/>
  <c r="BK82" i="130" a="1"/>
  <c r="AG94" i="130" a="1"/>
  <c r="V54" i="130" a="1"/>
  <c r="AL88" i="130" a="1"/>
  <c r="H58" i="130" a="1"/>
  <c r="V94" i="130" a="1"/>
  <c r="BK86" i="130" a="1"/>
  <c r="AY56" i="130" a="1"/>
  <c r="AI93" i="130" a="1"/>
  <c r="Y87" i="130" a="1"/>
  <c r="Z61" i="130" a="1"/>
  <c r="AW51" i="130" a="1"/>
  <c r="AG96" i="130" a="1"/>
  <c r="V90" i="130" a="1"/>
  <c r="BC56" i="130" a="1"/>
  <c r="AX96" i="130" a="1"/>
  <c r="BI91" i="130" a="1"/>
  <c r="AS86" i="130" a="1"/>
  <c r="AF61" i="130" a="1"/>
  <c r="AL57" i="130" a="1"/>
  <c r="BE83" i="130" a="1"/>
  <c r="AX55" i="130" a="1"/>
  <c r="AY97" i="130" a="1"/>
  <c r="S95" i="130" a="1"/>
  <c r="AZ91" i="130" a="1"/>
  <c r="BC87" i="130" a="1"/>
  <c r="AR84" i="130" a="1"/>
  <c r="AH60" i="130" a="1"/>
  <c r="AH58" i="130" a="1"/>
  <c r="BK50" i="130" a="1"/>
  <c r="T97" i="130" a="1"/>
  <c r="AY59" i="130" a="1"/>
  <c r="BJ91" i="130" a="1"/>
  <c r="L50" i="130" a="1"/>
  <c r="U87" i="130" a="1"/>
  <c r="AX57" i="130" a="1"/>
  <c r="J94" i="130" a="1"/>
  <c r="AJ86" i="130" a="1"/>
  <c r="AA51" i="130" a="1"/>
  <c r="Y93" i="130" a="1"/>
  <c r="Q87" i="130" a="1"/>
  <c r="N61" i="130" a="1"/>
  <c r="AI51" i="130" a="1"/>
  <c r="BG94" i="130" a="1"/>
  <c r="M90" i="130" a="1"/>
  <c r="AJ56" i="130" a="1"/>
  <c r="AJ96" i="130" a="1"/>
  <c r="AR91" i="130" a="1"/>
  <c r="T86" i="130" a="1"/>
  <c r="T61" i="130" a="1"/>
  <c r="K56" i="130" a="1"/>
  <c r="O83" i="130" a="1"/>
  <c r="BC51" i="130" a="1"/>
  <c r="AO97" i="130" a="1"/>
  <c r="AF94" i="130" a="1"/>
  <c r="AO91" i="130" a="1"/>
  <c r="AE87" i="130" a="1"/>
  <c r="AF84" i="130" a="1"/>
  <c r="S60" i="130" a="1"/>
  <c r="AH57" i="130" a="1"/>
  <c r="BC50" i="130" a="1"/>
  <c r="O97" i="130" a="1"/>
  <c r="AY94" i="130" a="1"/>
  <c r="F92" i="130" a="1"/>
  <c r="Y88" i="130" a="1"/>
  <c r="AZ85" i="130" a="1"/>
  <c r="AK82" i="130" a="1"/>
  <c r="J59" i="130" a="1"/>
  <c r="AT84" i="130" a="1"/>
  <c r="AM56" i="130" a="1"/>
  <c r="BB50" i="130" a="1"/>
  <c r="N97" i="130" a="1"/>
  <c r="AV94" i="130" a="1"/>
  <c r="D92" i="130" a="1"/>
  <c r="AC88" i="130" a="1"/>
  <c r="G86" i="130" a="1"/>
  <c r="H83" i="130" a="1"/>
  <c r="AW59" i="130" a="1"/>
  <c r="AO54" i="130" a="1"/>
  <c r="L81" i="130" a="1"/>
  <c r="U80" i="130" a="1"/>
  <c r="AD79" i="130" a="1"/>
  <c r="AM78" i="130" a="1"/>
  <c r="AV77" i="130" a="1"/>
  <c r="BE76" i="130" a="1"/>
  <c r="E76" i="130" a="1"/>
  <c r="R75" i="130" a="1"/>
  <c r="AE74" i="130" a="1"/>
  <c r="AR73" i="130" a="1"/>
  <c r="BE72" i="130" a="1"/>
  <c r="I72" i="130" a="1"/>
  <c r="V71" i="130" a="1"/>
  <c r="AI70" i="130" a="1"/>
  <c r="AV69" i="130" a="1"/>
  <c r="AG58" i="130" a="1"/>
  <c r="BC81" i="130" a="1"/>
  <c r="G81" i="130" a="1"/>
  <c r="T80" i="130" a="1"/>
  <c r="AG79" i="130" a="1"/>
  <c r="AT78" i="130" a="1"/>
  <c r="BG77" i="130" a="1"/>
  <c r="K77" i="130" a="1"/>
  <c r="X76" i="130" a="1"/>
  <c r="AK75" i="130" a="1"/>
  <c r="AX74" i="130" a="1"/>
  <c r="BK73" i="130" a="1"/>
  <c r="O73" i="130" a="1"/>
  <c r="AB72" i="130" a="1"/>
  <c r="AO71" i="130" a="1"/>
  <c r="BB70" i="130" a="1"/>
  <c r="F70" i="130" a="1"/>
  <c r="S69" i="130" a="1"/>
  <c r="AF68" i="130" a="1"/>
  <c r="AS67" i="130" a="1"/>
  <c r="BF66" i="130" a="1"/>
  <c r="AB58" i="130" a="1"/>
  <c r="BB81" i="130" a="1"/>
  <c r="F81" i="130" a="1"/>
  <c r="S80" i="130" a="1"/>
  <c r="AF79" i="130" a="1"/>
  <c r="AS78" i="130" a="1"/>
  <c r="BF77" i="130" a="1"/>
  <c r="J77" i="130" a="1"/>
  <c r="W76" i="130" a="1"/>
  <c r="AJ75" i="130" a="1"/>
  <c r="AW74" i="130" a="1"/>
  <c r="BJ73" i="130" a="1"/>
  <c r="N73" i="130" a="1"/>
  <c r="AA72" i="130" a="1"/>
  <c r="AN71" i="130" a="1"/>
  <c r="BA70" i="130" a="1"/>
  <c r="E70" i="130" a="1"/>
  <c r="R69" i="130" a="1"/>
  <c r="AE68" i="130" a="1"/>
  <c r="AR67" i="130" a="1"/>
  <c r="BE66" i="130" a="1"/>
  <c r="AA59" i="130" a="1"/>
  <c r="AR54" i="130" a="1"/>
  <c r="Q81" i="130" a="1"/>
  <c r="AD80" i="130" a="1"/>
  <c r="AQ79" i="130" a="1"/>
  <c r="BD78" i="130" a="1"/>
  <c r="H78" i="130" a="1"/>
  <c r="U77" i="130" a="1"/>
  <c r="AH76" i="130" a="1"/>
  <c r="AU75" i="130" a="1"/>
  <c r="BH74" i="130" a="1"/>
  <c r="L74" i="130" a="1"/>
  <c r="Y73" i="130" a="1"/>
  <c r="AL72" i="130" a="1"/>
  <c r="AY71" i="130" a="1"/>
  <c r="C71" i="130" a="1"/>
  <c r="P70" i="130" a="1"/>
  <c r="AC69" i="130" a="1"/>
  <c r="AP68" i="130" a="1"/>
  <c r="BC67" i="130" a="1"/>
  <c r="G67" i="130" a="1"/>
  <c r="T66" i="130" a="1"/>
  <c r="AD94" i="130" a="1"/>
  <c r="BK56" i="130" a="1"/>
  <c r="R88" i="130" a="1"/>
  <c r="AQ97" i="130" a="1"/>
  <c r="D87" i="130" a="1"/>
  <c r="BG56" i="130" a="1"/>
  <c r="AW92" i="130" a="1"/>
  <c r="Y86" i="130" a="1"/>
  <c r="M51" i="130" a="1"/>
  <c r="BE92" i="130" a="1"/>
  <c r="BJ85" i="130" a="1"/>
  <c r="BD60" i="130" a="1"/>
  <c r="Z51" i="130" a="1"/>
  <c r="AX94" i="130" a="1"/>
  <c r="AO88" i="130" a="1"/>
  <c r="BF51" i="130" a="1"/>
  <c r="Y96" i="130" a="1"/>
  <c r="AG91" i="130" a="1"/>
  <c r="E86" i="130" a="1"/>
  <c r="J61" i="130" a="1"/>
  <c r="BD55" i="130" a="1"/>
  <c r="AZ82" i="130" a="1"/>
  <c r="AS51" i="130" a="1"/>
  <c r="AJ97" i="130" a="1"/>
  <c r="T94" i="130" a="1"/>
  <c r="AE91" i="130" a="1"/>
  <c r="BI86" i="130" a="1"/>
  <c r="U84" i="130" a="1"/>
  <c r="N87" i="130" a="1"/>
  <c r="AX56" i="130" a="1"/>
  <c r="AW50" i="130" a="1"/>
  <c r="F97" i="130" a="1"/>
  <c r="AN94" i="130" a="1"/>
  <c r="AY91" i="130" a="1"/>
  <c r="K88" i="130" a="1"/>
  <c r="AS85" i="130" a="1"/>
  <c r="Y82" i="130" a="1"/>
  <c r="BI58" i="130" a="1"/>
  <c r="AM83" i="130" a="1"/>
  <c r="V56" i="130" a="1"/>
  <c r="AU50" i="130" a="1"/>
  <c r="D97" i="130" a="1"/>
  <c r="AL94" i="130" a="1"/>
  <c r="AV91" i="130" a="1"/>
  <c r="U88" i="130" a="1"/>
  <c r="BG85" i="130" a="1"/>
  <c r="BF82" i="130" a="1"/>
  <c r="S59" i="130" a="1"/>
  <c r="X54" i="130" a="1"/>
  <c r="H81" i="130" a="1"/>
  <c r="Q80" i="130" a="1"/>
  <c r="Z79" i="130" a="1"/>
  <c r="AI78" i="130" a="1"/>
  <c r="AR77" i="130" a="1"/>
  <c r="AW76" i="130" a="1"/>
  <c r="BJ75" i="130" a="1"/>
  <c r="N75" i="130" a="1"/>
  <c r="AA74" i="130" a="1"/>
  <c r="AN73" i="130" a="1"/>
  <c r="BA72" i="130" a="1"/>
  <c r="E72" i="130" a="1"/>
  <c r="R71" i="130" a="1"/>
  <c r="AE70" i="130" a="1"/>
  <c r="AR69" i="130" a="1"/>
  <c r="J58" i="130" a="1"/>
  <c r="AY81" i="130" a="1"/>
  <c r="C81" i="130" a="1"/>
  <c r="P80" i="130" a="1"/>
  <c r="AC79" i="130" a="1"/>
  <c r="AP78" i="130" a="1"/>
  <c r="BC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AS74" i="130" a="1"/>
  <c r="BF73" i="130" a="1"/>
  <c r="J73" i="130" a="1"/>
  <c r="W72" i="130" a="1"/>
  <c r="AJ71" i="130" a="1"/>
  <c r="AW70" i="130" a="1"/>
  <c r="BJ69" i="130" a="1"/>
  <c r="N69" i="130" a="1"/>
  <c r="AA68" i="130" a="1"/>
  <c r="AN67" i="130" a="1"/>
  <c r="BA66" i="130" a="1"/>
  <c r="D59" i="130" a="1"/>
  <c r="AB54" i="130" a="1"/>
  <c r="M81" i="130" a="1"/>
  <c r="Z80" i="130" a="1"/>
  <c r="AM79" i="130" a="1"/>
  <c r="AZ78" i="130" a="1"/>
  <c r="D78" i="130" a="1"/>
  <c r="Q77" i="130" a="1"/>
  <c r="AD76" i="130" a="1"/>
  <c r="AQ75" i="130" a="1"/>
  <c r="BD74" i="130" a="1"/>
  <c r="H74" i="130" a="1"/>
  <c r="U73" i="130" a="1"/>
  <c r="AH72" i="130" a="1"/>
  <c r="AU71" i="130" a="1"/>
  <c r="BH70" i="130" a="1"/>
  <c r="L70" i="130" a="1"/>
  <c r="Y69" i="130" a="1"/>
  <c r="AL68" i="130" a="1"/>
  <c r="AY67" i="130" a="1"/>
  <c r="C67" i="130" a="1"/>
  <c r="P66" i="130" a="1"/>
  <c r="Z66" i="130" a="1"/>
  <c r="AG65" i="130" a="1"/>
  <c r="AN89" i="130" a="1"/>
  <c r="BB91" i="130" a="1"/>
  <c r="AX51" i="130" a="1"/>
  <c r="X85" i="130" a="1"/>
  <c r="AU96" i="130" a="1"/>
  <c r="AB86" i="130" a="1"/>
  <c r="AU55" i="130" a="1"/>
  <c r="W92" i="130" a="1"/>
  <c r="H85" i="130" a="1"/>
  <c r="BF50" i="130" a="1"/>
  <c r="AS92" i="130" a="1"/>
  <c r="AV85" i="130" a="1"/>
  <c r="X60" i="130" a="1"/>
  <c r="AP56" i="130" a="1"/>
  <c r="AM94" i="130" a="1"/>
  <c r="Z88" i="130" a="1"/>
  <c r="AU51" i="130" a="1"/>
  <c r="BH95" i="130" a="1"/>
  <c r="E90" i="130" a="1"/>
  <c r="BE85" i="130" a="1"/>
  <c r="AL60" i="130" a="1"/>
  <c r="AQ55" i="130" a="1"/>
  <c r="AA82" i="130" a="1"/>
  <c r="AK51" i="130" a="1"/>
  <c r="AC97" i="130" a="1"/>
  <c r="I94" i="130" a="1"/>
  <c r="S89" i="130" a="1"/>
  <c r="O88" i="130" a="1"/>
  <c r="J50" i="130" a="1"/>
  <c r="I83" i="130" a="1"/>
  <c r="K95" i="130" a="1"/>
  <c r="J85" i="130" a="1"/>
  <c r="AQ54" i="130" a="1"/>
  <c r="BG91" i="130" a="1"/>
  <c r="BC84" i="130" a="1"/>
  <c r="U50" i="130" a="1"/>
  <c r="X91" i="130" a="1"/>
  <c r="AH85" i="130" a="1"/>
  <c r="AZ59" i="130" a="1"/>
  <c r="G56" i="130" a="1"/>
  <c r="O94" i="130" a="1"/>
  <c r="I86" i="130" a="1"/>
  <c r="AN51" i="130" a="1"/>
  <c r="AU95" i="130" a="1"/>
  <c r="BC88" i="130" a="1"/>
  <c r="C85" i="130" a="1"/>
  <c r="V60" i="130" a="1"/>
  <c r="AD55" i="130" a="1"/>
  <c r="F82" i="130" a="1"/>
  <c r="X51" i="130" a="1"/>
  <c r="V97" i="130" a="1"/>
  <c r="BJ93" i="130" a="1"/>
  <c r="I91" i="130" a="1"/>
  <c r="AR86" i="130" a="1"/>
  <c r="N83" i="130" a="1"/>
  <c r="BJ84" i="130" a="1"/>
  <c r="F56" i="130" a="1"/>
  <c r="AH50" i="130" a="1"/>
  <c r="BA96" i="130" a="1"/>
  <c r="BI93" i="130" a="1"/>
  <c r="AA91" i="130" a="1"/>
  <c r="AZ87" i="130" a="1"/>
  <c r="Q85" i="130" a="1"/>
  <c r="AL61" i="130" a="1"/>
  <c r="Q58" i="130" a="1"/>
  <c r="AL82" i="130" a="1"/>
  <c r="AM55" i="130" a="1"/>
  <c r="AF50" i="130" a="1"/>
  <c r="AZ96" i="130" a="1"/>
  <c r="BF93" i="130" a="1"/>
  <c r="W91" i="130" a="1"/>
  <c r="BF87" i="130" a="1"/>
  <c r="AP85" i="130" a="1"/>
  <c r="AI82" i="130" a="1"/>
  <c r="AM58" i="130" a="1"/>
  <c r="AZ81" i="130" a="1"/>
  <c r="BI80" i="130" a="1"/>
  <c r="I80" i="130" a="1"/>
  <c r="R79" i="130" a="1"/>
  <c r="W78" i="130" a="1"/>
  <c r="AF77" i="130" a="1"/>
  <c r="AO76" i="130" a="1"/>
  <c r="BB75" i="130" a="1"/>
  <c r="F75" i="130" a="1"/>
  <c r="S74" i="130" a="1"/>
  <c r="AF73" i="130" a="1"/>
  <c r="AS72" i="130" a="1"/>
  <c r="BF71" i="130" a="1"/>
  <c r="J71" i="130" a="1"/>
  <c r="W70" i="130" a="1"/>
  <c r="AJ69" i="130" a="1"/>
  <c r="AS56" i="130" a="1"/>
  <c r="AQ81" i="130" a="1"/>
  <c r="BD80" i="130" a="1"/>
  <c r="H80" i="130" a="1"/>
  <c r="U79" i="130" a="1"/>
  <c r="AH78" i="130" a="1"/>
  <c r="AU77" i="130" a="1"/>
  <c r="BH76" i="130" a="1"/>
  <c r="L76" i="130" a="1"/>
  <c r="Y75" i="130" a="1"/>
  <c r="AL74" i="130" a="1"/>
  <c r="AY73" i="130" a="1"/>
  <c r="C73" i="130" a="1"/>
  <c r="P72" i="130" a="1"/>
  <c r="AC71" i="130" a="1"/>
  <c r="AP70" i="130" a="1"/>
  <c r="BC69" i="130" a="1"/>
  <c r="G69" i="130" a="1"/>
  <c r="T68" i="130" a="1"/>
  <c r="AG67" i="130" a="1"/>
  <c r="AT66" i="130" a="1"/>
  <c r="AO56" i="130" a="1"/>
  <c r="AP81" i="130" a="1"/>
  <c r="BC80" i="130" a="1"/>
  <c r="G80" i="130" a="1"/>
  <c r="T79" i="130" a="1"/>
  <c r="AG78" i="130" a="1"/>
  <c r="AT77" i="130" a="1"/>
  <c r="BG76" i="130" a="1"/>
  <c r="K76" i="130" a="1"/>
  <c r="X75" i="130" a="1"/>
  <c r="AK74" i="130" a="1"/>
  <c r="AX73" i="130" a="1"/>
  <c r="BK72" i="130" a="1"/>
  <c r="O72" i="130" a="1"/>
  <c r="AB71" i="130" a="1"/>
  <c r="AO70" i="130" a="1"/>
  <c r="BB69" i="130" a="1"/>
  <c r="F69" i="130" a="1"/>
  <c r="S68" i="130" a="1"/>
  <c r="AF67" i="130" a="1"/>
  <c r="AS66" i="130" a="1"/>
  <c r="U58" i="130" a="1"/>
  <c r="BA81" i="130" a="1"/>
  <c r="E81" i="130" a="1"/>
  <c r="R80" i="130" a="1"/>
  <c r="AE79" i="130" a="1"/>
  <c r="AR78" i="130" a="1"/>
  <c r="BE77" i="130" a="1"/>
  <c r="I77" i="130" a="1"/>
  <c r="V76" i="130" a="1"/>
  <c r="AI75" i="130" a="1"/>
  <c r="AV74" i="130" a="1"/>
  <c r="BI73" i="130" a="1"/>
  <c r="M73" i="130" a="1"/>
  <c r="Z72" i="130" a="1"/>
  <c r="AM71" i="130" a="1"/>
  <c r="AZ70" i="130" a="1"/>
  <c r="D70" i="130" a="1"/>
  <c r="Q69" i="130" a="1"/>
  <c r="AD68" i="130" a="1"/>
  <c r="AQ67" i="130" a="1"/>
  <c r="BD66" i="130" a="1"/>
  <c r="BI68" i="130" a="1"/>
  <c r="L66" i="130" a="1"/>
  <c r="Y65" i="130" a="1"/>
  <c r="AL64" i="130" a="1"/>
  <c r="I89" i="130" a="1"/>
  <c r="T85" i="130" a="1"/>
  <c r="V96" i="130" a="1"/>
  <c r="BF59" i="130" a="1"/>
  <c r="AU94" i="130" a="1"/>
  <c r="AQ84" i="130" a="1"/>
  <c r="O54" i="130" a="1"/>
  <c r="AT91" i="130" a="1"/>
  <c r="AN84" i="130" a="1"/>
  <c r="D50" i="130" a="1"/>
  <c r="Q91" i="130" a="1"/>
  <c r="P85" i="130" a="1"/>
  <c r="T57" i="130" a="1"/>
  <c r="AG55" i="130" a="1"/>
  <c r="E94" i="130" a="1"/>
  <c r="V85" i="130" a="1"/>
  <c r="N51" i="130" a="1"/>
  <c r="AI94" i="130" a="1"/>
  <c r="AW88" i="130" a="1"/>
  <c r="BD84" i="130" a="1"/>
  <c r="I60" i="130" a="1"/>
  <c r="O55" i="130" a="1"/>
  <c r="K58" i="130" a="1"/>
  <c r="L51" i="130" a="1"/>
  <c r="AV96" i="130" a="1"/>
  <c r="AZ93" i="130" a="1"/>
  <c r="BK88" i="130" a="1"/>
  <c r="AC86" i="130" a="1"/>
  <c r="D83" i="130" a="1"/>
  <c r="K83" i="130" a="1"/>
  <c r="AR55" i="130" a="1"/>
  <c r="AB50" i="130" a="1"/>
  <c r="AB96" i="130" a="1"/>
  <c r="AW93" i="130" a="1"/>
  <c r="O91" i="130" a="1"/>
  <c r="AO87" i="130" a="1"/>
  <c r="F85" i="130" a="1"/>
  <c r="P61" i="130" a="1"/>
  <c r="G58" i="130" a="1"/>
  <c r="P82" i="130" a="1"/>
  <c r="U55" i="130" a="1"/>
  <c r="AA50" i="130" a="1"/>
  <c r="Z96" i="130" a="1"/>
  <c r="AT93" i="130" a="1"/>
  <c r="L91" i="130" a="1"/>
  <c r="AX87" i="130" a="1"/>
  <c r="AG85" i="130" a="1"/>
  <c r="W82" i="130" a="1"/>
  <c r="P58" i="130" a="1"/>
  <c r="AV81" i="130" a="1"/>
  <c r="BE80" i="130" a="1"/>
  <c r="E80" i="130" a="1"/>
  <c r="J79" i="130" a="1"/>
  <c r="S78" i="130" a="1"/>
  <c r="AB77" i="130" a="1"/>
  <c r="AK76" i="130" a="1"/>
  <c r="AX75" i="130" a="1"/>
  <c r="BK74" i="130" a="1"/>
  <c r="O74" i="130" a="1"/>
  <c r="P89" i="130" a="1"/>
  <c r="C83" i="130" a="1"/>
  <c r="AJ94" i="130" a="1"/>
  <c r="K57" i="130" a="1"/>
  <c r="M94" i="130" a="1"/>
  <c r="O84" i="130" a="1"/>
  <c r="H50" i="130" a="1"/>
  <c r="AP90" i="130" a="1"/>
  <c r="T84" i="130" a="1"/>
  <c r="BD95" i="130" a="1"/>
  <c r="G91" i="130" a="1"/>
  <c r="D85" i="130" a="1"/>
  <c r="J57" i="130" a="1"/>
  <c r="AA54" i="130" a="1"/>
  <c r="AQ92" i="130" a="1"/>
  <c r="AJ84" i="130" a="1"/>
  <c r="H51" i="130" a="1"/>
  <c r="W94" i="130" a="1"/>
  <c r="AB88" i="130" a="1"/>
  <c r="AV84" i="130" a="1"/>
  <c r="F59" i="130" a="1"/>
  <c r="BI54" i="130" a="1"/>
  <c r="AN57" i="130" a="1"/>
  <c r="E51" i="130" a="1"/>
  <c r="AH96" i="130" a="1"/>
  <c r="AM93" i="130" a="1"/>
  <c r="BB88" i="130" a="1"/>
  <c r="P86" i="130" a="1"/>
  <c r="AY82" i="130" a="1"/>
  <c r="AU82" i="130" a="1"/>
  <c r="Y55" i="130" a="1"/>
  <c r="T50" i="130" a="1"/>
  <c r="G96" i="130" a="1"/>
  <c r="AJ93" i="130" a="1"/>
  <c r="F91" i="130" a="1"/>
  <c r="AC87" i="130" a="1"/>
  <c r="BH84" i="130" a="1"/>
  <c r="AT60" i="130" a="1"/>
  <c r="AS57" i="130" a="1"/>
  <c r="AM61" i="130" a="1"/>
  <c r="E55" i="130" a="1"/>
  <c r="R50" i="130" a="1"/>
  <c r="D96" i="130" a="1"/>
  <c r="AG93" i="130" a="1"/>
  <c r="BJ90" i="130" a="1"/>
  <c r="AM87" i="130" a="1"/>
  <c r="M85" i="130" a="1"/>
  <c r="G82" i="130" a="1"/>
  <c r="AO57" i="130" a="1"/>
  <c r="AR81" i="130" a="1"/>
  <c r="BA80" i="130" a="1"/>
  <c r="BF79" i="130" a="1"/>
  <c r="F79" i="130" a="1"/>
  <c r="O78" i="130" a="1"/>
  <c r="X77" i="130" a="1"/>
  <c r="AG76" i="130" a="1"/>
  <c r="AT75" i="130" a="1"/>
  <c r="BG74" i="130" a="1"/>
  <c r="K74" i="130" a="1"/>
  <c r="X73" i="130" a="1"/>
  <c r="AK72" i="130" a="1"/>
  <c r="AX71" i="130" a="1"/>
  <c r="BK70" i="130" a="1"/>
  <c r="O70" i="130" a="1"/>
  <c r="AB69" i="130" a="1"/>
  <c r="BK55" i="130" a="1"/>
  <c r="AI81" i="130" a="1"/>
  <c r="AV80" i="130" a="1"/>
  <c r="BI79" i="130" a="1"/>
  <c r="M79" i="130" a="1"/>
  <c r="Z78" i="130" a="1"/>
  <c r="AM77" i="130" a="1"/>
  <c r="AZ76" i="130" a="1"/>
  <c r="D76" i="130" a="1"/>
  <c r="Q75" i="130" a="1"/>
  <c r="AD74" i="130" a="1"/>
  <c r="AQ73" i="130" a="1"/>
  <c r="BD72" i="130" a="1"/>
  <c r="H72" i="130" a="1"/>
  <c r="U71" i="130" a="1"/>
  <c r="AH70" i="130" a="1"/>
  <c r="AU69" i="130" a="1"/>
  <c r="BH68" i="130" a="1"/>
  <c r="L68" i="130" a="1"/>
  <c r="Y67" i="130" a="1"/>
  <c r="AL66" i="130" a="1"/>
  <c r="BF55" i="130" a="1"/>
  <c r="AH81" i="130" a="1"/>
  <c r="AU80" i="130" a="1"/>
  <c r="BH79" i="130" a="1"/>
  <c r="L79" i="130" a="1"/>
  <c r="Y78" i="130" a="1"/>
  <c r="AL77" i="130" a="1"/>
  <c r="AY76" i="130" a="1"/>
  <c r="C76" i="130" a="1"/>
  <c r="P75" i="130" a="1"/>
  <c r="AC74" i="130" a="1"/>
  <c r="AP73" i="130" a="1"/>
  <c r="BC72" i="130" a="1"/>
  <c r="G72" i="130" a="1"/>
  <c r="T71" i="130" a="1"/>
  <c r="AG70" i="130" a="1"/>
  <c r="AT69" i="130" a="1"/>
  <c r="BG68" i="130" a="1"/>
  <c r="K68" i="130" a="1"/>
  <c r="X67" i="130" a="1"/>
  <c r="AK66" i="130" a="1"/>
  <c r="G57" i="130" a="1"/>
  <c r="AS81" i="130" a="1"/>
  <c r="AZ89" i="130" a="1"/>
  <c r="BC59" i="130" a="1"/>
  <c r="C92" i="130" a="1"/>
  <c r="BB51" i="130" a="1"/>
  <c r="AY92" i="130" a="1"/>
  <c r="M83" i="130" a="1"/>
  <c r="AL97" i="130" a="1"/>
  <c r="Q90" i="130" a="1"/>
  <c r="L84" i="130" a="1"/>
  <c r="AV95" i="130" a="1"/>
  <c r="AX90" i="130" a="1"/>
  <c r="BF83" i="130" a="1"/>
  <c r="BH56" i="130" a="1"/>
  <c r="BD51" i="130" a="1"/>
  <c r="AB92" i="130" a="1"/>
  <c r="X83" i="130" a="1"/>
  <c r="Q50" i="130" a="1"/>
  <c r="L94" i="130" a="1"/>
  <c r="S88" i="130" a="1"/>
  <c r="AI84" i="130" a="1"/>
  <c r="BF58" i="130" a="1"/>
  <c r="AU54" i="130" a="1"/>
  <c r="V57" i="130" a="1"/>
  <c r="BE50" i="130" a="1"/>
  <c r="W96" i="130" a="1"/>
  <c r="AB93" i="130" a="1"/>
  <c r="AS88" i="130" a="1"/>
  <c r="BK85" i="130" a="1"/>
  <c r="AB82" i="130" a="1"/>
  <c r="U82" i="130" a="1"/>
  <c r="G55" i="130" a="1"/>
  <c r="E50" i="130" a="1"/>
  <c r="BE95" i="130" a="1"/>
  <c r="W93" i="130" a="1"/>
  <c r="AR90" i="130" a="1"/>
  <c r="S87" i="130" a="1"/>
  <c r="AO84" i="130" a="1"/>
  <c r="AC60" i="130" a="1"/>
  <c r="AD57" i="130" a="1"/>
  <c r="I61" i="130" a="1"/>
  <c r="AN54" i="130" a="1"/>
  <c r="C50" i="130" a="1"/>
  <c r="AY95" i="130" a="1"/>
  <c r="T93" i="130" a="1"/>
  <c r="AO90" i="130" a="1"/>
  <c r="AA87" i="130" a="1"/>
  <c r="E85" i="130" a="1"/>
  <c r="AH61" i="130" a="1"/>
  <c r="S91" i="130" a="1"/>
  <c r="BG87" i="130" a="1"/>
  <c r="AN50" i="130" a="1"/>
  <c r="AR82" i="130" a="1"/>
  <c r="BB79" i="130" a="1"/>
  <c r="AC76" i="130" a="1"/>
  <c r="AB73" i="130" a="1"/>
  <c r="F71" i="130" a="1"/>
  <c r="T56" i="130" a="1"/>
  <c r="D80" i="130" a="1"/>
  <c r="AQ77" i="130" a="1"/>
  <c r="U75" i="130" a="1"/>
  <c r="BH72" i="130" a="1"/>
  <c r="BF70" i="130" a="1"/>
  <c r="C69" i="130" a="1"/>
  <c r="M67" i="130" a="1"/>
  <c r="AT81" i="130" a="1"/>
  <c r="AE80" i="130" a="1"/>
  <c r="P79" i="130" a="1"/>
  <c r="I78" i="130" a="1"/>
  <c r="BC76" i="130" a="1"/>
  <c r="AV75" i="130" a="1"/>
  <c r="AG74" i="130" a="1"/>
  <c r="Z73" i="130" a="1"/>
  <c r="K72" i="130" a="1"/>
  <c r="D71" i="130" a="1"/>
  <c r="AX69" i="130" a="1"/>
  <c r="AQ68" i="130" a="1"/>
  <c r="AB67" i="130" a="1"/>
  <c r="U66" i="130" a="1"/>
  <c r="AW81" i="130" a="1"/>
  <c r="AT80" i="130" a="1"/>
  <c r="AU79" i="130" a="1"/>
  <c r="AJ78" i="130" a="1"/>
  <c r="AK77" i="130" a="1"/>
  <c r="AL76" i="130" a="1"/>
  <c r="AA75" i="130" a="1"/>
  <c r="AB74" i="130" a="1"/>
  <c r="AC73" i="130" a="1"/>
  <c r="R72" i="130" a="1"/>
  <c r="S71" i="130" a="1"/>
  <c r="T70" i="130" a="1"/>
  <c r="I69" i="130" a="1"/>
  <c r="J68" i="130" a="1"/>
  <c r="K67" i="130" a="1"/>
  <c r="AC68" i="130" a="1"/>
  <c r="BE65" i="130" a="1"/>
  <c r="BJ64" i="130" a="1"/>
  <c r="J64" i="130" a="1"/>
  <c r="W63" i="130" a="1"/>
  <c r="AJ62" i="130" a="1"/>
  <c r="AW61" i="130" a="1"/>
  <c r="O59" i="130" a="1"/>
  <c r="BH55" i="130" a="1"/>
  <c r="AW47" i="130" a="1"/>
  <c r="BJ46" i="130" a="1"/>
  <c r="N46" i="130" a="1"/>
  <c r="AA45" i="130" a="1"/>
  <c r="AN44" i="130" a="1"/>
  <c r="BA43" i="130" a="1"/>
  <c r="E43" i="130" a="1"/>
  <c r="R42" i="130" a="1"/>
  <c r="AE41" i="130" a="1"/>
  <c r="AR40" i="130" a="1"/>
  <c r="AO68" i="130" a="1"/>
  <c r="G66" i="130" a="1"/>
  <c r="T65" i="130" a="1"/>
  <c r="AG64" i="130" a="1"/>
  <c r="AT63" i="130" a="1"/>
  <c r="BG62" i="130" a="1"/>
  <c r="K62" i="130" a="1"/>
  <c r="AU60" i="130" a="1"/>
  <c r="AC57" i="130" a="1"/>
  <c r="J54" i="130" a="1"/>
  <c r="T47" i="130" a="1"/>
  <c r="AG46" i="130" a="1"/>
  <c r="AT45" i="130" a="1"/>
  <c r="BG44" i="130" a="1"/>
  <c r="K44" i="130" a="1"/>
  <c r="X43" i="130" a="1"/>
  <c r="AK42" i="130" a="1"/>
  <c r="AX41" i="130" a="1"/>
  <c r="BK40" i="130" a="1"/>
  <c r="BA86" i="130" a="1"/>
  <c r="BI85" i="130" a="1"/>
  <c r="S97" i="130" a="1"/>
  <c r="M60" i="130" a="1"/>
  <c r="AH79" i="130" a="1"/>
  <c r="I76" i="130" a="1"/>
  <c r="T73" i="130" a="1"/>
  <c r="BG70" i="130" a="1"/>
  <c r="AT55" i="130" a="1"/>
  <c r="BE79" i="130" a="1"/>
  <c r="AI77" i="130" a="1"/>
  <c r="M75" i="130" a="1"/>
  <c r="AZ72" i="130" a="1"/>
  <c r="AT70" i="130" a="1"/>
  <c r="BD68" i="130" a="1"/>
  <c r="BJ66" i="130" a="1"/>
  <c r="AL81" i="130" a="1"/>
  <c r="AA80" i="130" a="1"/>
  <c r="H79" i="130" a="1"/>
  <c r="E78" i="130" a="1"/>
  <c r="AU76" i="130" a="1"/>
  <c r="AR75" i="130" a="1"/>
  <c r="Y74" i="130" a="1"/>
  <c r="V73" i="130" a="1"/>
  <c r="C72" i="130" a="1"/>
  <c r="BI70" i="130" a="1"/>
  <c r="AP69" i="130" a="1"/>
  <c r="AM68" i="130" a="1"/>
  <c r="T67" i="130" a="1"/>
  <c r="Q66" i="130" a="1"/>
  <c r="AO81" i="130" a="1"/>
  <c r="AP80" i="130" a="1"/>
  <c r="AI79" i="130" a="1"/>
  <c r="AF78" i="130" a="1"/>
  <c r="AG77" i="130" a="1"/>
  <c r="Z76" i="130" a="1"/>
  <c r="W75" i="130" a="1"/>
  <c r="X74" i="130" a="1"/>
  <c r="Q73" i="130" a="1"/>
  <c r="N72" i="130" a="1"/>
  <c r="O71" i="130" a="1"/>
  <c r="H70" i="130" a="1"/>
  <c r="E69" i="130" a="1"/>
  <c r="F68" i="130" a="1"/>
  <c r="BH66" i="130" a="1"/>
  <c r="M68" i="130" a="1"/>
  <c r="BA65" i="130" a="1"/>
  <c r="BF64" i="130" a="1"/>
  <c r="F64" i="130" a="1"/>
  <c r="S63" i="130" a="1"/>
  <c r="AF62" i="130" a="1"/>
  <c r="AS61" i="130" a="1"/>
  <c r="C59" i="130" a="1"/>
  <c r="AS55" i="130" a="1"/>
  <c r="AS47" i="130" a="1"/>
  <c r="BF46" i="130" a="1"/>
  <c r="J46" i="130" a="1"/>
  <c r="W45" i="130" a="1"/>
  <c r="AJ44" i="130" a="1"/>
  <c r="AW43" i="130" a="1"/>
  <c r="BJ42" i="130" a="1"/>
  <c r="N42" i="130" a="1"/>
  <c r="AA41" i="130" a="1"/>
  <c r="AN40" i="130" a="1"/>
  <c r="Y68" i="130" a="1"/>
  <c r="C66" i="130" a="1"/>
  <c r="P65" i="130" a="1"/>
  <c r="AC64" i="130" a="1"/>
  <c r="AP63" i="130" a="1"/>
  <c r="BC62" i="130" a="1"/>
  <c r="G62" i="130" a="1"/>
  <c r="AG60" i="130" a="1"/>
  <c r="L57" i="130" a="1"/>
  <c r="F54" i="130" a="1"/>
  <c r="P47" i="130" a="1"/>
  <c r="AC46" i="130" a="1"/>
  <c r="AP45" i="130" a="1"/>
  <c r="BC44" i="130" a="1"/>
  <c r="G44" i="130" a="1"/>
  <c r="T43" i="130" a="1"/>
  <c r="AG42" i="130" a="1"/>
  <c r="AT41" i="130" a="1"/>
  <c r="BG40" i="130" a="1"/>
  <c r="K40" i="130" a="1"/>
  <c r="X39" i="130" a="1"/>
  <c r="H69" i="130" a="1"/>
  <c r="N66" i="130" a="1"/>
  <c r="AA65" i="130" a="1"/>
  <c r="AN64" i="130" a="1"/>
  <c r="BA63" i="130" a="1"/>
  <c r="E63" i="130" a="1"/>
  <c r="R62" i="130" a="1"/>
  <c r="H61" i="130" a="1"/>
  <c r="BI57" i="130" a="1"/>
  <c r="AD54" i="130" a="1"/>
  <c r="AE47" i="130" a="1"/>
  <c r="AA83" i="130" a="1"/>
  <c r="AI85" i="130" a="1"/>
  <c r="BF96" i="130" a="1"/>
  <c r="BG58" i="130" a="1"/>
  <c r="V79" i="130" a="1"/>
  <c r="BF75" i="130" a="1"/>
  <c r="BI72" i="130" a="1"/>
  <c r="AM70" i="130" a="1"/>
  <c r="U54" i="130" a="1"/>
  <c r="AK79" i="130" a="1"/>
  <c r="O77" i="130" a="1"/>
  <c r="BB74" i="130" a="1"/>
  <c r="AF72" i="130" a="1"/>
  <c r="AL70" i="130" a="1"/>
  <c r="AV68" i="130" a="1"/>
  <c r="AX66" i="130" a="1"/>
  <c r="AD81" i="130" a="1"/>
  <c r="W80" i="130" a="1"/>
  <c r="D79" i="130" a="1"/>
  <c r="BJ77" i="130" a="1"/>
  <c r="AQ76" i="130" a="1"/>
  <c r="AN75" i="130" a="1"/>
  <c r="U74" i="130" a="1"/>
  <c r="R73" i="130" a="1"/>
  <c r="BH71" i="130" a="1"/>
  <c r="BE70" i="130" a="1"/>
  <c r="AL69" i="130" a="1"/>
  <c r="AI68" i="130" a="1"/>
  <c r="P67" i="130" a="1"/>
  <c r="BD59" i="130" a="1"/>
  <c r="AK81" i="130" a="1"/>
  <c r="AL80" i="130" a="1"/>
  <c r="AA79" i="130" a="1"/>
  <c r="AB78" i="130" a="1"/>
  <c r="AC77" i="130" a="1"/>
  <c r="R76" i="130" a="1"/>
  <c r="S75" i="130" a="1"/>
  <c r="T74" i="130" a="1"/>
  <c r="I73" i="130" a="1"/>
  <c r="J72" i="130" a="1"/>
  <c r="K71" i="130" a="1"/>
  <c r="BI69" i="130" a="1"/>
  <c r="BJ68" i="130" a="1"/>
  <c r="BK67" i="130" a="1"/>
  <c r="AZ66" i="130" a="1"/>
  <c r="BF67" i="130" a="1"/>
  <c r="AW65" i="130" a="1"/>
  <c r="BB64" i="130" a="1"/>
  <c r="BK63" i="130" a="1"/>
  <c r="O63" i="130" a="1"/>
  <c r="AB62" i="130" a="1"/>
  <c r="AO61" i="130" a="1"/>
  <c r="BC58" i="130" a="1"/>
  <c r="N55" i="130" a="1"/>
  <c r="AO47" i="130" a="1"/>
  <c r="BB46" i="130" a="1"/>
  <c r="F46" i="130" a="1"/>
  <c r="S45" i="130" a="1"/>
  <c r="AF44" i="130" a="1"/>
  <c r="AS43" i="130" a="1"/>
  <c r="BF42" i="130" a="1"/>
  <c r="J42" i="130" a="1"/>
  <c r="W41" i="130" a="1"/>
  <c r="AJ40" i="130" a="1"/>
  <c r="I68" i="130" a="1"/>
  <c r="BH65" i="130" a="1"/>
  <c r="L65" i="130" a="1"/>
  <c r="Y64" i="130" a="1"/>
  <c r="AL63" i="130" a="1"/>
  <c r="AY62" i="130" a="1"/>
  <c r="C62" i="130" a="1"/>
  <c r="R60" i="130" a="1"/>
  <c r="BI56" i="130" a="1"/>
  <c r="BH47" i="130" a="1"/>
  <c r="L47" i="130" a="1"/>
  <c r="Y46" i="130" a="1"/>
  <c r="AL45" i="130" a="1"/>
  <c r="AY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AE86" i="130" a="1"/>
  <c r="AT82" i="130" a="1"/>
  <c r="BF94" i="130" a="1"/>
  <c r="BA56" i="130" a="1"/>
  <c r="BK78" i="130" a="1"/>
  <c r="AP75" i="130" a="1"/>
  <c r="AW72" i="130" a="1"/>
  <c r="AA70" i="130" a="1"/>
  <c r="AU81" i="130" a="1"/>
  <c r="Y79" i="130" a="1"/>
  <c r="C77" i="130" a="1"/>
  <c r="AP74" i="130" a="1"/>
  <c r="T72" i="130" a="1"/>
  <c r="AD70" i="130" a="1"/>
  <c r="AJ68" i="130" a="1"/>
  <c r="AP66" i="130" a="1"/>
  <c r="Z81" i="130" a="1"/>
  <c r="K80" i="130" a="1"/>
  <c r="BI78" i="130" a="1"/>
  <c r="AX77" i="130" a="1"/>
  <c r="AM76" i="130" a="1"/>
  <c r="AB75" i="130" a="1"/>
  <c r="Q74" i="130" a="1"/>
  <c r="F73" i="130" a="1"/>
  <c r="BD71" i="130" a="1"/>
  <c r="AS70" i="130" a="1"/>
  <c r="AH69" i="130" a="1"/>
  <c r="W68" i="130" a="1"/>
  <c r="L67" i="130" a="1"/>
  <c r="AR58" i="130" a="1"/>
  <c r="AG81" i="130" a="1"/>
  <c r="AH80" i="130" a="1"/>
  <c r="W79" i="130" a="1"/>
  <c r="X78" i="130" a="1"/>
  <c r="Y77" i="130" a="1"/>
  <c r="N76" i="130" a="1"/>
  <c r="O75" i="130" a="1"/>
  <c r="P74" i="130" a="1"/>
  <c r="E73" i="130" a="1"/>
  <c r="F72" i="130" a="1"/>
  <c r="G71" i="130" a="1"/>
  <c r="BE69" i="130" a="1"/>
  <c r="BF68" i="130" a="1"/>
  <c r="BG67" i="130" a="1"/>
  <c r="AV66" i="130" a="1"/>
  <c r="AP67" i="130" a="1"/>
  <c r="AS65" i="130" a="1"/>
  <c r="AX64" i="130" a="1"/>
  <c r="BG63" i="130" a="1"/>
  <c r="K63" i="130" a="1"/>
  <c r="X62" i="130" a="1"/>
  <c r="AE61" i="130" a="1"/>
  <c r="AI58" i="130" a="1"/>
  <c r="BC54" i="130" a="1"/>
  <c r="AK47" i="130" a="1"/>
  <c r="AX46" i="130" a="1"/>
  <c r="BK45" i="130" a="1"/>
  <c r="O45" i="130" a="1"/>
  <c r="AB44" i="130" a="1"/>
  <c r="AO43" i="130" a="1"/>
  <c r="BB42" i="130" a="1"/>
  <c r="F42" i="130" a="1"/>
  <c r="S41" i="130" a="1"/>
  <c r="AF40" i="130" a="1"/>
  <c r="BB67" i="130" a="1"/>
  <c r="BD65" i="130" a="1"/>
  <c r="H65" i="130" a="1"/>
  <c r="U64" i="130" a="1"/>
  <c r="AH63" i="130" a="1"/>
  <c r="Z56" i="130" a="1"/>
  <c r="J82" i="130" a="1"/>
  <c r="Q94" i="130" a="1"/>
  <c r="BB54" i="130" a="1"/>
  <c r="AQ78" i="130" a="1"/>
  <c r="V75" i="130" a="1"/>
  <c r="AO72" i="130" a="1"/>
  <c r="S70" i="130" a="1"/>
  <c r="AM81" i="130" a="1"/>
  <c r="Q79" i="130" a="1"/>
  <c r="BD76" i="130" a="1"/>
  <c r="AH74" i="130" a="1"/>
  <c r="L72" i="130" a="1"/>
  <c r="V70" i="130" a="1"/>
  <c r="X68" i="130" a="1"/>
  <c r="AH66" i="130" a="1"/>
  <c r="V81" i="130" a="1"/>
  <c r="C80" i="130" a="1"/>
  <c r="BE78" i="130" a="1"/>
  <c r="AP77" i="130" a="1"/>
  <c r="AI76" i="130" a="1"/>
  <c r="T75" i="130" a="1"/>
  <c r="M74" i="130" a="1"/>
  <c r="BG72" i="130" a="1"/>
  <c r="AZ71" i="130" a="1"/>
  <c r="AK70" i="130" a="1"/>
  <c r="AD69" i="130" a="1"/>
  <c r="O68" i="130" a="1"/>
  <c r="H67" i="130" a="1"/>
  <c r="AW57" i="130" a="1"/>
  <c r="AC81" i="130" a="1"/>
  <c r="V80" i="130" a="1"/>
  <c r="S79" i="130" a="1"/>
  <c r="T78" i="130" a="1"/>
  <c r="M77" i="130" a="1"/>
  <c r="J76" i="130" a="1"/>
  <c r="K75" i="130" a="1"/>
  <c r="D74" i="130" a="1"/>
  <c r="BJ72" i="130" a="1"/>
  <c r="BK71" i="130" a="1"/>
  <c r="BD70" i="130" a="1"/>
  <c r="BA69" i="130" a="1"/>
  <c r="BB68" i="130" a="1"/>
  <c r="AU67" i="130" a="1"/>
  <c r="AR66" i="130" a="1"/>
  <c r="Z67" i="130" a="1"/>
  <c r="AO65" i="130" a="1"/>
  <c r="AT64" i="130" a="1"/>
  <c r="BC63" i="130" a="1"/>
  <c r="G63" i="130" a="1"/>
  <c r="T62" i="130" a="1"/>
  <c r="Q61" i="130" a="1"/>
  <c r="L58" i="130" a="1"/>
  <c r="AL54" i="130" a="1"/>
  <c r="AG47" i="130" a="1"/>
  <c r="AT46" i="130" a="1"/>
  <c r="BG45" i="130" a="1"/>
  <c r="K45" i="130" a="1"/>
  <c r="X44" i="130" a="1"/>
  <c r="AK43" i="130" a="1"/>
  <c r="AX42" i="130" a="1"/>
  <c r="BK41" i="130" a="1"/>
  <c r="O41" i="130" a="1"/>
  <c r="AB40" i="130" a="1"/>
  <c r="AL67" i="130" a="1"/>
  <c r="AZ65" i="130" a="1"/>
  <c r="D65" i="130" a="1"/>
  <c r="Q64" i="130" a="1"/>
  <c r="AD63" i="130" a="1"/>
  <c r="AQ62" i="130" a="1"/>
  <c r="BD61" i="130" a="1"/>
  <c r="AO59" i="130" a="1"/>
  <c r="AA56" i="130" a="1"/>
  <c r="AZ47" i="130" a="1"/>
  <c r="D47" i="130" a="1"/>
  <c r="Q46" i="130" a="1"/>
  <c r="AD45" i="130" a="1"/>
  <c r="AQ44" i="130" a="1"/>
  <c r="BD43" i="130" a="1"/>
  <c r="H43" i="130" a="1"/>
  <c r="U42" i="130" a="1"/>
  <c r="AH41" i="130" a="1"/>
  <c r="AU40" i="130" a="1"/>
  <c r="BH39" i="130" a="1"/>
  <c r="L39" i="130" a="1"/>
  <c r="U68" i="130" a="1"/>
  <c r="BK65" i="130" a="1"/>
  <c r="O65" i="130" a="1"/>
  <c r="AB64" i="130" a="1"/>
  <c r="AO63" i="130" a="1"/>
  <c r="BB62" i="130" a="1"/>
  <c r="F62" i="130" a="1"/>
  <c r="AD60" i="130" a="1"/>
  <c r="I57" i="130" a="1"/>
  <c r="E54" i="130" a="1"/>
  <c r="S47" i="130" a="1"/>
  <c r="AP50" i="130" a="1"/>
  <c r="V59" i="130" a="1"/>
  <c r="Y92" i="130" a="1"/>
  <c r="BD81" i="130" a="1"/>
  <c r="AE78" i="130" a="1"/>
  <c r="J75" i="130" a="1"/>
  <c r="AG72" i="130" a="1"/>
  <c r="K70" i="130" a="1"/>
  <c r="AE81" i="130" a="1"/>
  <c r="I79" i="130" a="1"/>
  <c r="AV76" i="130" a="1"/>
  <c r="Z74" i="130" a="1"/>
  <c r="D72" i="130" a="1"/>
  <c r="J70" i="130" a="1"/>
  <c r="P68" i="130" a="1"/>
  <c r="C60" i="130" a="1"/>
  <c r="R81" i="130" a="1"/>
  <c r="BD79" i="130" a="1"/>
  <c r="BA78" i="130" a="1"/>
  <c r="AH77" i="130" a="1"/>
  <c r="AE76" i="130" a="1"/>
  <c r="L75" i="130" a="1"/>
  <c r="I74" i="130" a="1"/>
  <c r="AY72" i="130" a="1"/>
  <c r="AV71" i="130" a="1"/>
  <c r="AC70" i="130" a="1"/>
  <c r="Z69" i="130" a="1"/>
  <c r="G68" i="130" a="1"/>
  <c r="D67" i="130" a="1"/>
  <c r="AH56" i="130" a="1"/>
  <c r="Y81" i="130" a="1"/>
  <c r="N80" i="130" a="1"/>
  <c r="O79" i="130" a="1"/>
  <c r="P78" i="130" a="1"/>
  <c r="E77" i="130" a="1"/>
  <c r="F76" i="130" a="1"/>
  <c r="G75" i="130" a="1"/>
  <c r="BE73" i="130" a="1"/>
  <c r="BF72" i="130" a="1"/>
  <c r="BG71" i="130" a="1"/>
  <c r="AV70" i="130" a="1"/>
  <c r="AW69" i="130" a="1"/>
  <c r="AX68" i="130" a="1"/>
  <c r="AM67" i="130" a="1"/>
  <c r="AN66" i="130" a="1"/>
  <c r="J67" i="130" a="1"/>
  <c r="AK65" i="130" a="1"/>
  <c r="AP64" i="130" a="1"/>
  <c r="AY63" i="130" a="1"/>
  <c r="C63" i="130" a="1"/>
  <c r="P62" i="130" a="1"/>
  <c r="C61" i="130" a="1"/>
  <c r="BC57" i="130" a="1"/>
  <c r="T54" i="130" a="1"/>
  <c r="AC47" i="130" a="1"/>
  <c r="AP46" i="130" a="1"/>
  <c r="BC45" i="130" a="1"/>
  <c r="G45" i="130" a="1"/>
  <c r="T44" i="130" a="1"/>
  <c r="AG43" i="130" a="1"/>
  <c r="AT42" i="130" a="1"/>
  <c r="BG41" i="130" a="1"/>
  <c r="K41" i="130" a="1"/>
  <c r="X40" i="130" a="1"/>
  <c r="V67" i="130" a="1"/>
  <c r="AV65" i="130" a="1"/>
  <c r="BI64" i="130" a="1"/>
  <c r="M64" i="130" a="1"/>
  <c r="Z63" i="130" a="1"/>
  <c r="AM62" i="130" a="1"/>
  <c r="AZ61" i="130" a="1"/>
  <c r="W59" i="130" a="1"/>
  <c r="H56" i="130" a="1"/>
  <c r="AV47" i="130" a="1"/>
  <c r="BI46" i="130" a="1"/>
  <c r="M46" i="130" a="1"/>
  <c r="Z45" i="130" a="1"/>
  <c r="AM44" i="130" a="1"/>
  <c r="AZ43" i="130" a="1"/>
  <c r="D43" i="130" a="1"/>
  <c r="Q42" i="130" a="1"/>
  <c r="AD41" i="130" a="1"/>
  <c r="AQ40" i="130" a="1"/>
  <c r="BD39" i="130" a="1"/>
  <c r="H39" i="130" a="1"/>
  <c r="E68" i="130" a="1"/>
  <c r="BG65" i="130" a="1"/>
  <c r="K65" i="130" a="1"/>
  <c r="X64" i="130" a="1"/>
  <c r="AK63" i="130" a="1"/>
  <c r="AX62" i="130" a="1"/>
  <c r="BK61" i="130" a="1"/>
  <c r="O60" i="130" a="1"/>
  <c r="BF56" i="130" a="1"/>
  <c r="BK47" i="130" a="1"/>
  <c r="O47" i="130" a="1"/>
  <c r="AB46" i="130" a="1"/>
  <c r="AO45" i="130" a="1"/>
  <c r="BB44" i="130" a="1"/>
  <c r="F44" i="130" a="1"/>
  <c r="S43" i="130" a="1"/>
  <c r="AF42" i="130" a="1"/>
  <c r="AS41" i="130" a="1"/>
  <c r="BF40" i="130" a="1"/>
  <c r="J40" i="130" a="1"/>
  <c r="W39" i="130" a="1"/>
  <c r="Q68" i="130" a="1"/>
  <c r="BJ65" i="130" a="1"/>
  <c r="N65" i="130" a="1"/>
  <c r="AA64" i="130" a="1"/>
  <c r="AN63" i="130" a="1"/>
  <c r="BA62" i="130" a="1"/>
  <c r="E62" i="130" a="1"/>
  <c r="Z60" i="130" a="1"/>
  <c r="E57" i="130" a="1"/>
  <c r="D54" i="130" a="1"/>
  <c r="R47" i="130" a="1"/>
  <c r="AE46" i="130" a="1"/>
  <c r="AR45" i="130" a="1"/>
  <c r="BE44" i="130" a="1"/>
  <c r="I44" i="130" a="1"/>
  <c r="V43" i="130" a="1"/>
  <c r="AI42" i="130" a="1"/>
  <c r="AV41" i="130" a="1"/>
  <c r="BI40" i="130" a="1"/>
  <c r="BH96" i="130" a="1"/>
  <c r="AP58" i="130" a="1"/>
  <c r="AJ91" i="130" a="1"/>
  <c r="AN81" i="130" a="1"/>
  <c r="K78" i="130" a="1"/>
  <c r="BC74" i="130" a="1"/>
  <c r="M72" i="130" a="1"/>
  <c r="AZ69" i="130" a="1"/>
  <c r="K81" i="130" a="1"/>
  <c r="AX78" i="130" a="1"/>
  <c r="AB76" i="130" a="1"/>
  <c r="F74" i="130" a="1"/>
  <c r="BE71" i="130" a="1"/>
  <c r="BG69" i="130" a="1"/>
  <c r="H68" i="130" a="1"/>
  <c r="AW58" i="130" a="1"/>
  <c r="J81" i="130" a="1"/>
  <c r="AZ79" i="130" a="1"/>
  <c r="AW78" i="130" a="1"/>
  <c r="AD77" i="130" a="1"/>
  <c r="AA76" i="130" a="1"/>
  <c r="H75" i="130" a="1"/>
  <c r="E74" i="130" a="1"/>
  <c r="AU72" i="130" a="1"/>
  <c r="AR71" i="130" a="1"/>
  <c r="Y70" i="130" a="1"/>
  <c r="V69" i="130" a="1"/>
  <c r="C68" i="130" a="1"/>
  <c r="BI66" i="130" a="1"/>
  <c r="N56" i="130" a="1"/>
  <c r="U81" i="130" a="1"/>
  <c r="J80" i="130" a="1"/>
  <c r="K79" i="130" a="1"/>
  <c r="L78" i="130" a="1"/>
  <c r="BJ76" i="130" a="1"/>
  <c r="BK75" i="130" a="1"/>
  <c r="C75" i="130" a="1"/>
  <c r="BA73" i="130" a="1"/>
  <c r="BB72" i="130" a="1"/>
  <c r="BC71" i="130" a="1"/>
  <c r="AR70" i="130" a="1"/>
  <c r="AS69" i="130" a="1"/>
  <c r="AT68" i="130" a="1"/>
  <c r="AI67" i="130" a="1"/>
  <c r="AJ66" i="130" a="1"/>
  <c r="BC66" i="130" a="1"/>
  <c r="AC65" i="130" a="1"/>
  <c r="AH64" i="130" a="1"/>
  <c r="AU63" i="130" a="1"/>
  <c r="BH62" i="130" a="1"/>
  <c r="L62" i="130" a="1"/>
  <c r="AY60" i="130" a="1"/>
  <c r="AG57" i="130" a="1"/>
  <c r="K54" i="130" a="1"/>
  <c r="Y47" i="130" a="1"/>
  <c r="AL46" i="130" a="1"/>
  <c r="AY45" i="130" a="1"/>
  <c r="C45" i="130" a="1"/>
  <c r="P44" i="130" a="1"/>
  <c r="AC43" i="130" a="1"/>
  <c r="AP42" i="130" a="1"/>
  <c r="BC41" i="130" a="1"/>
  <c r="G41" i="130" a="1"/>
  <c r="T40" i="130" a="1"/>
  <c r="F67" i="130" a="1"/>
  <c r="AR65" i="130" a="1"/>
  <c r="BE64" i="130" a="1"/>
  <c r="I64" i="130" a="1"/>
  <c r="V63" i="130" a="1"/>
  <c r="AI62" i="130" a="1"/>
  <c r="AV61" i="130" a="1"/>
  <c r="L59" i="130" a="1"/>
  <c r="BB55" i="130" a="1"/>
  <c r="AR47" i="130" a="1"/>
  <c r="BE46" i="130" a="1"/>
  <c r="I46" i="130" a="1"/>
  <c r="V45" i="130" a="1"/>
  <c r="AI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K47" i="130" a="1"/>
  <c r="X46" i="130" a="1"/>
  <c r="AK45" i="130" a="1"/>
  <c r="AX44" i="130" a="1"/>
  <c r="BK43" i="130" a="1"/>
  <c r="BI94" i="130" a="1"/>
  <c r="U86" i="130" a="1"/>
  <c r="AX88" i="130" a="1"/>
  <c r="P81" i="130" a="1"/>
  <c r="AZ77" i="130" a="1"/>
  <c r="AI74" i="130" a="1"/>
  <c r="BJ71" i="130" a="1"/>
  <c r="AN69" i="130" a="1"/>
  <c r="BH80" i="130" a="1"/>
  <c r="AL78" i="130" a="1"/>
  <c r="P76" i="130" a="1"/>
  <c r="BC73" i="130" a="1"/>
  <c r="AS71" i="130" a="1"/>
  <c r="AY69" i="130" a="1"/>
  <c r="BI67" i="130" a="1"/>
  <c r="X57" i="130" a="1"/>
  <c r="BG80" i="130" a="1"/>
  <c r="AV79" i="130" a="1"/>
  <c r="AK78" i="130" a="1"/>
  <c r="Z77" i="130" a="1"/>
  <c r="O76" i="130" a="1"/>
  <c r="D75" i="130" a="1"/>
  <c r="BB73" i="130" a="1"/>
  <c r="AQ72" i="130" a="1"/>
  <c r="AF71" i="130" a="1"/>
  <c r="U70" i="130" a="1"/>
  <c r="J69" i="130" a="1"/>
  <c r="BH67" i="130" a="1"/>
  <c r="AW66" i="130" a="1"/>
  <c r="AZ55" i="130" a="1"/>
  <c r="I81" i="130" a="1"/>
  <c r="F80" i="130" a="1"/>
  <c r="G79" i="130" a="1"/>
  <c r="BI77" i="130" a="1"/>
  <c r="BF76" i="130" a="1"/>
  <c r="BG75" i="130" a="1"/>
  <c r="AZ74" i="130" a="1"/>
  <c r="AW73" i="130" a="1"/>
  <c r="AX72" i="130" a="1"/>
  <c r="AQ71" i="130" a="1"/>
  <c r="AN70" i="130" a="1"/>
  <c r="AO69" i="130" a="1"/>
  <c r="AH68" i="130" a="1"/>
  <c r="AE67" i="130" a="1"/>
  <c r="AF66" i="130" a="1"/>
  <c r="AM66" i="130" a="1"/>
  <c r="U65" i="130" a="1"/>
  <c r="AD64" i="130" a="1"/>
  <c r="AQ63" i="130" a="1"/>
  <c r="BD62" i="130" a="1"/>
  <c r="H62" i="130" a="1"/>
  <c r="AJ60" i="130" a="1"/>
  <c r="P57" i="130" a="1"/>
  <c r="G54" i="130" a="1"/>
  <c r="U47" i="130" a="1"/>
  <c r="AH46" i="130" a="1"/>
  <c r="AU45" i="130" a="1"/>
  <c r="BH44" i="130" a="1"/>
  <c r="L44" i="130" a="1"/>
  <c r="Y43" i="130" a="1"/>
  <c r="AL42" i="130" a="1"/>
  <c r="AY41" i="130" a="1"/>
  <c r="C41" i="130" a="1"/>
  <c r="P40" i="130" a="1"/>
  <c r="AY66" i="130" a="1"/>
  <c r="AN65" i="130" a="1"/>
  <c r="BA64" i="130" a="1"/>
  <c r="E64" i="130" a="1"/>
  <c r="R63" i="130" a="1"/>
  <c r="AE62" i="130" a="1"/>
  <c r="AR61" i="130" a="1"/>
  <c r="BK58" i="130" a="1"/>
  <c r="AO55" i="130" a="1"/>
  <c r="AN47" i="130" a="1"/>
  <c r="BA46" i="130" a="1"/>
  <c r="E46" i="130" a="1"/>
  <c r="R45" i="130" a="1"/>
  <c r="AE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C61" i="130" a="1"/>
  <c r="AF59" i="130" a="1"/>
  <c r="X56" i="130" a="1"/>
  <c r="BC47" i="130" a="1"/>
  <c r="G47" i="130" a="1"/>
  <c r="T46" i="130" a="1"/>
  <c r="AG45" i="130" a="1"/>
  <c r="AT44" i="130" a="1"/>
  <c r="BG43" i="130" a="1"/>
  <c r="K43" i="130" a="1"/>
  <c r="X42" i="130" a="1"/>
  <c r="AK41" i="130" a="1"/>
  <c r="AX40" i="130" a="1"/>
  <c r="BK39" i="130" a="1"/>
  <c r="O39" i="130" a="1"/>
  <c r="AT67" i="130" a="1"/>
  <c r="BB65" i="130" a="1"/>
  <c r="F65" i="130" a="1"/>
  <c r="S64" i="130" a="1"/>
  <c r="AF63" i="130" a="1"/>
  <c r="AS62" i="130" a="1"/>
  <c r="BF61" i="130" a="1"/>
  <c r="AU59" i="130" a="1"/>
  <c r="AI56" i="130" a="1"/>
  <c r="BF47" i="130" a="1"/>
  <c r="J47" i="130" a="1"/>
  <c r="W46" i="130" a="1"/>
  <c r="AJ45" i="130" a="1"/>
  <c r="AW44" i="130" a="1"/>
  <c r="BJ43" i="130" a="1"/>
  <c r="N43" i="130" a="1"/>
  <c r="AA42" i="130" a="1"/>
  <c r="AN41" i="130" a="1"/>
  <c r="BA40" i="130" a="1"/>
  <c r="E40" i="130" a="1"/>
  <c r="R39" i="130" a="1"/>
  <c r="S94" i="130" a="1"/>
  <c r="E83" i="130" a="1"/>
  <c r="G88" i="130" a="1"/>
  <c r="D81" i="130" a="1"/>
  <c r="AJ77" i="130" a="1"/>
  <c r="W74" i="130" a="1"/>
  <c r="BB71" i="130" a="1"/>
  <c r="AF69" i="130" a="1"/>
  <c r="AZ80" i="130" a="1"/>
  <c r="AD78" i="130" a="1"/>
  <c r="H76" i="130" a="1"/>
  <c r="AU73" i="130" a="1"/>
  <c r="AG71" i="130" a="1"/>
  <c r="AQ69" i="130" a="1"/>
  <c r="AW67" i="130" a="1"/>
  <c r="Q56" i="130" a="1"/>
  <c r="AY80" i="130" a="1"/>
  <c r="AR79" i="130" a="1"/>
  <c r="AC78" i="130" a="1"/>
  <c r="V77" i="130" a="1"/>
  <c r="G76" i="130" a="1"/>
  <c r="BI74" i="130" a="1"/>
  <c r="AT73" i="130" a="1"/>
  <c r="AM72" i="130" a="1"/>
  <c r="X71" i="130" a="1"/>
  <c r="Q70" i="130" a="1"/>
  <c r="BK68" i="130" a="1"/>
  <c r="BD67" i="130" a="1"/>
  <c r="AO66" i="130" a="1"/>
  <c r="AK55" i="130" a="1"/>
  <c r="BJ80" i="130" a="1"/>
  <c r="BK79" i="130" a="1"/>
  <c r="C79" i="130" a="1"/>
  <c r="BA77" i="130" a="1"/>
  <c r="BB76" i="130" a="1"/>
  <c r="BC75" i="130" a="1"/>
  <c r="AR74" i="130" a="1"/>
  <c r="AS73" i="130" a="1"/>
  <c r="AT72" i="130" a="1"/>
  <c r="AI71" i="130" a="1"/>
  <c r="AJ70" i="130" a="1"/>
  <c r="AK69" i="130" a="1"/>
  <c r="Z68" i="130" a="1"/>
  <c r="AA67" i="130" a="1"/>
  <c r="AB66" i="130" a="1"/>
  <c r="R66" i="130" a="1"/>
  <c r="Q65" i="130" a="1"/>
  <c r="Z64" i="130" a="1"/>
  <c r="AM63" i="130" a="1"/>
  <c r="AZ62" i="130" a="1"/>
  <c r="D62" i="130" a="1"/>
  <c r="U60" i="130" a="1"/>
  <c r="C57" i="130" a="1"/>
  <c r="C54" i="130" a="1"/>
  <c r="Q47" i="130" a="1"/>
  <c r="AD46" i="130" a="1"/>
  <c r="AQ45" i="130" a="1"/>
  <c r="BD44" i="130" a="1"/>
  <c r="H44" i="130" a="1"/>
  <c r="U43" i="130" a="1"/>
  <c r="AH42" i="130" a="1"/>
  <c r="AU41" i="130" a="1"/>
  <c r="BH40" i="130" a="1"/>
  <c r="L40" i="130" a="1"/>
  <c r="AI66" i="130" a="1"/>
  <c r="AJ65" i="130" a="1"/>
  <c r="AW64" i="130" a="1"/>
  <c r="BJ63" i="130" a="1"/>
  <c r="N63" i="130" a="1"/>
  <c r="AA62" i="130" a="1"/>
  <c r="AN61" i="130" a="1"/>
  <c r="AX58" i="130" a="1"/>
  <c r="H55" i="130" a="1"/>
  <c r="AJ47" i="130" a="1"/>
  <c r="AW46" i="130" a="1"/>
  <c r="BJ45" i="130" a="1"/>
  <c r="N45" i="130" a="1"/>
  <c r="AA44" i="130" a="1"/>
  <c r="AN43" i="130" a="1"/>
  <c r="BA42" i="130" a="1"/>
  <c r="E42" i="130" a="1"/>
  <c r="R41" i="130" a="1"/>
  <c r="AE40" i="130" a="1"/>
  <c r="AR39" i="130" a="1"/>
  <c r="BE38" i="130" a="1"/>
  <c r="R67" i="130" a="1"/>
  <c r="AU65" i="130" a="1"/>
  <c r="BH64" i="130" a="1"/>
  <c r="L64" i="130" a="1"/>
  <c r="Y63" i="130" a="1"/>
  <c r="AL62" i="130" a="1"/>
  <c r="AY61" i="130" a="1"/>
  <c r="U59" i="130" a="1"/>
  <c r="D56" i="130" a="1"/>
  <c r="AY47" i="130" a="1"/>
  <c r="C47" i="130" a="1"/>
  <c r="P46" i="130" a="1"/>
  <c r="AC45" i="130" a="1"/>
  <c r="AP44" i="130" a="1"/>
  <c r="AA92" i="130" a="1"/>
  <c r="BJ56" i="130" a="1"/>
  <c r="W86" i="130" a="1"/>
  <c r="AS80" i="130" a="1"/>
  <c r="T77" i="130" a="1"/>
  <c r="G74" i="130" a="1"/>
  <c r="AT71" i="130" a="1"/>
  <c r="X69" i="130" a="1"/>
  <c r="AR80" i="130" a="1"/>
  <c r="V78" i="130" a="1"/>
  <c r="BI75" i="130" a="1"/>
  <c r="AM73" i="130" a="1"/>
  <c r="Y71" i="130" a="1"/>
  <c r="AI69" i="130" a="1"/>
  <c r="AK67" i="130" a="1"/>
  <c r="AN55" i="130" a="1"/>
  <c r="AQ80" i="130" a="1"/>
  <c r="AN79" i="130" a="1"/>
  <c r="U78" i="130" a="1"/>
  <c r="R77" i="130" a="1"/>
  <c r="BH75" i="130" a="1"/>
  <c r="BE74" i="130" a="1"/>
  <c r="AL73" i="130" a="1"/>
  <c r="AI72" i="130" a="1"/>
  <c r="P71" i="130" a="1"/>
  <c r="M70" i="130" a="1"/>
  <c r="BC68" i="130" a="1"/>
  <c r="AZ67" i="130" a="1"/>
  <c r="AG66" i="130" a="1"/>
  <c r="R55" i="130" a="1"/>
  <c r="BF80" i="130" a="1"/>
  <c r="BG79" i="130" a="1"/>
  <c r="BH78" i="130" a="1"/>
  <c r="AW77" i="130" a="1"/>
  <c r="AX76" i="130" a="1"/>
  <c r="AY75" i="130" a="1"/>
  <c r="AN74" i="130" a="1"/>
  <c r="AO73" i="130" a="1"/>
  <c r="AP72" i="130" a="1"/>
  <c r="AE71" i="130" a="1"/>
  <c r="AF70" i="130" a="1"/>
  <c r="AG69" i="130" a="1"/>
  <c r="V68" i="130" a="1"/>
  <c r="W67" i="130" a="1"/>
  <c r="X66" i="130" a="1"/>
  <c r="H66" i="130" a="1"/>
  <c r="M65" i="130" a="1"/>
  <c r="V64" i="130" a="1"/>
  <c r="AI63" i="130" a="1"/>
  <c r="AV62" i="130" a="1"/>
  <c r="BI61" i="130" a="1"/>
  <c r="BK59" i="130" a="1"/>
  <c r="AV56" i="130" a="1"/>
  <c r="BI47" i="130" a="1"/>
  <c r="M47" i="130" a="1"/>
  <c r="Z46" i="130" a="1"/>
  <c r="AM45" i="130" a="1"/>
  <c r="AZ44" i="130" a="1"/>
  <c r="D44" i="130" a="1"/>
  <c r="Q43" i="130" a="1"/>
  <c r="AD42" i="130" a="1"/>
  <c r="AQ41" i="130" a="1"/>
  <c r="BD40" i="130" a="1"/>
  <c r="H40" i="130" a="1"/>
  <c r="W66" i="130" a="1"/>
  <c r="AF65" i="130" a="1"/>
  <c r="AS64" i="130" a="1"/>
  <c r="BF63" i="130" a="1"/>
  <c r="J63" i="130" a="1"/>
  <c r="W62" i="130" a="1"/>
  <c r="AB61" i="130" a="1"/>
  <c r="AA58" i="130" a="1"/>
  <c r="AX54" i="130" a="1"/>
  <c r="AF47" i="130" a="1"/>
  <c r="AS46" i="130" a="1"/>
  <c r="BF45" i="130" a="1"/>
  <c r="J45" i="130" a="1"/>
  <c r="W44" i="130" a="1"/>
  <c r="AJ43" i="130" a="1"/>
  <c r="AW42" i="130" a="1"/>
  <c r="BJ41" i="130" a="1"/>
  <c r="N41" i="130" a="1"/>
  <c r="AA40" i="130" a="1"/>
  <c r="AN39" i="130" a="1"/>
  <c r="BA38" i="130" a="1"/>
  <c r="AL91" i="130" a="1"/>
  <c r="BI55" i="130" a="1"/>
  <c r="AX85" i="130" a="1"/>
  <c r="Y80" i="130" a="1"/>
  <c r="BI76" i="130" a="1"/>
  <c r="AV73" i="130" a="1"/>
  <c r="Z71" i="130" a="1"/>
  <c r="BA58" i="130" a="1"/>
  <c r="X80" i="130" a="1"/>
  <c r="BK77" i="130" a="1"/>
  <c r="AO75" i="130" a="1"/>
  <c r="S73" i="130" a="1"/>
  <c r="Q71" i="130" a="1"/>
  <c r="W69" i="130" a="1"/>
  <c r="AC67" i="130" a="1"/>
  <c r="C55" i="130" a="1"/>
  <c r="AM80" i="130" a="1"/>
  <c r="AJ79" i="130" a="1"/>
  <c r="Q78" i="130" a="1"/>
  <c r="N77" i="130" a="1"/>
  <c r="BD75" i="130" a="1"/>
  <c r="BA74" i="130" a="1"/>
  <c r="AH73" i="130" a="1"/>
  <c r="AE72" i="130" a="1"/>
  <c r="L71" i="130" a="1"/>
  <c r="I70" i="130" a="1"/>
  <c r="AY68" i="130" a="1"/>
  <c r="AV67" i="130" a="1"/>
  <c r="AC66" i="130" a="1"/>
  <c r="BE54" i="130" a="1"/>
  <c r="BB80" i="130" a="1"/>
  <c r="BC79" i="130" a="1"/>
  <c r="AV78" i="130" a="1"/>
  <c r="AS77" i="130" a="1"/>
  <c r="AT76" i="130" a="1"/>
  <c r="AM75" i="130" a="1"/>
  <c r="AJ74" i="130" a="1"/>
  <c r="AK73" i="130" a="1"/>
  <c r="AD72" i="130" a="1"/>
  <c r="AA71" i="130" a="1"/>
  <c r="AB70" i="130" a="1"/>
  <c r="U69" i="130" a="1"/>
  <c r="R68" i="130" a="1"/>
  <c r="S67" i="130" a="1"/>
  <c r="AF88" i="130" a="1"/>
  <c r="BI50" i="130" a="1"/>
  <c r="V83" i="130" a="1"/>
  <c r="M80" i="130" a="1"/>
  <c r="AS76" i="130" a="1"/>
  <c r="AJ73" i="130" a="1"/>
  <c r="N71" i="130" a="1"/>
  <c r="AI57" i="130" a="1"/>
  <c r="L80" i="130" a="1"/>
  <c r="AY77" i="130" a="1"/>
  <c r="AC75" i="130" a="1"/>
  <c r="G73" i="130" a="1"/>
  <c r="S72" i="130" a="1"/>
  <c r="AE75" i="130" a="1"/>
  <c r="BI65" i="130" a="1"/>
  <c r="Z59" i="130" a="1"/>
  <c r="AR44" i="130" a="1"/>
  <c r="BE68" i="130" a="1"/>
  <c r="S62" i="130" a="1"/>
  <c r="AB47" i="130" a="1"/>
  <c r="S44" i="130" a="1"/>
  <c r="J41" i="130" a="1"/>
  <c r="AS38" i="130" a="1"/>
  <c r="S65" i="130" a="1"/>
  <c r="Q63" i="130" a="1"/>
  <c r="Y61" i="130" a="1"/>
  <c r="AU47" i="130" a="1"/>
  <c r="L46" i="130" a="1"/>
  <c r="BJ44" i="130" a="1"/>
  <c r="AQ43" i="130" a="1"/>
  <c r="AN42" i="130" a="1"/>
  <c r="AG41" i="130" a="1"/>
  <c r="AH40" i="130" a="1"/>
  <c r="AE39" i="130" a="1"/>
  <c r="AD67" i="130" a="1"/>
  <c r="AL65" i="130" a="1"/>
  <c r="AI64" i="130" a="1"/>
  <c r="AB63" i="130" a="1"/>
  <c r="AC62" i="130" a="1"/>
  <c r="BB60" i="130" a="1"/>
  <c r="R56" i="130" a="1"/>
  <c r="AP47" i="130" a="1"/>
  <c r="AM46" i="130" a="1"/>
  <c r="AF45" i="130" a="1"/>
  <c r="AG44" i="130" a="1"/>
  <c r="AD43" i="130" a="1"/>
  <c r="W42" i="130" a="1"/>
  <c r="X41" i="130" a="1"/>
  <c r="U40" i="130" a="1"/>
  <c r="Z39" i="130" a="1"/>
  <c r="AG38" i="130" a="1"/>
  <c r="AT37" i="130" a="1"/>
  <c r="BG36" i="130" a="1"/>
  <c r="K36" i="130" a="1"/>
  <c r="X35" i="130" a="1"/>
  <c r="AK34" i="130" a="1"/>
  <c r="AX33" i="130" a="1"/>
  <c r="BK32" i="130" a="1"/>
  <c r="O32" i="130" a="1"/>
  <c r="AB31" i="130" a="1"/>
  <c r="AO30" i="130" a="1"/>
  <c r="BB29" i="130" a="1"/>
  <c r="F29" i="130" a="1"/>
  <c r="S28" i="130" a="1"/>
  <c r="AF27" i="130" a="1"/>
  <c r="AS26" i="130" a="1"/>
  <c r="BF25" i="130" a="1"/>
  <c r="J25" i="130" a="1"/>
  <c r="W24" i="130" a="1"/>
  <c r="AJ23" i="130" a="1"/>
  <c r="AW22" i="130" a="1"/>
  <c r="AJ38" i="130" a="1"/>
  <c r="AW37" i="130" a="1"/>
  <c r="BJ36" i="130" a="1"/>
  <c r="N36" i="130" a="1"/>
  <c r="AA35" i="130" a="1"/>
  <c r="AN34" i="130" a="1"/>
  <c r="BA33" i="130" a="1"/>
  <c r="E33" i="130" a="1"/>
  <c r="R32" i="130" a="1"/>
  <c r="AE31" i="130" a="1"/>
  <c r="AR30" i="130" a="1"/>
  <c r="BE29" i="130" a="1"/>
  <c r="I29" i="130" a="1"/>
  <c r="V28" i="130" a="1"/>
  <c r="AI27" i="130" a="1"/>
  <c r="AV26" i="130" a="1"/>
  <c r="BI25" i="130" a="1"/>
  <c r="M25" i="130" a="1"/>
  <c r="Z24" i="130" a="1"/>
  <c r="AM23" i="130" a="1"/>
  <c r="AZ22" i="130" a="1"/>
  <c r="D22" i="130" a="1"/>
  <c r="AR38" i="130" a="1"/>
  <c r="BD37" i="130" a="1"/>
  <c r="H37" i="130" a="1"/>
  <c r="U36" i="130" a="1"/>
  <c r="AH35" i="130" a="1"/>
  <c r="AU34" i="130" a="1"/>
  <c r="BH33" i="130" a="1"/>
  <c r="L33" i="130" a="1"/>
  <c r="Y32" i="130" a="1"/>
  <c r="AL31" i="130" a="1"/>
  <c r="AY30" i="130" a="1"/>
  <c r="C30" i="130" a="1"/>
  <c r="P29" i="130" a="1"/>
  <c r="AC28" i="130" a="1"/>
  <c r="AP27" i="130" a="1"/>
  <c r="BC26" i="130" a="1"/>
  <c r="G26" i="130" a="1"/>
  <c r="T25" i="130" a="1"/>
  <c r="AG24" i="130" a="1"/>
  <c r="AT23" i="130" a="1"/>
  <c r="BG22" i="130" a="1"/>
  <c r="BK38" i="130" a="1"/>
  <c r="F38" i="130" a="1"/>
  <c r="S37" i="130" a="1"/>
  <c r="I71" i="130" a="1"/>
  <c r="H71" i="130" a="1"/>
  <c r="AF74" i="130" a="1"/>
  <c r="I65" i="130" a="1"/>
  <c r="AB56" i="130" a="1"/>
  <c r="BI43" i="130" a="1"/>
  <c r="O66" i="130" a="1"/>
  <c r="O62" i="130" a="1"/>
  <c r="X47" i="130" a="1"/>
  <c r="O44" i="130" a="1"/>
  <c r="F41" i="130" a="1"/>
  <c r="AO38" i="130" a="1"/>
  <c r="BD64" i="130" a="1"/>
  <c r="M63" i="130" a="1"/>
  <c r="AQ60" i="130" a="1"/>
  <c r="AQ47" i="130" a="1"/>
  <c r="H46" i="130" a="1"/>
  <c r="BF44" i="130" a="1"/>
  <c r="AM43" i="130" a="1"/>
  <c r="AJ42" i="130" a="1"/>
  <c r="AC41" i="130" a="1"/>
  <c r="AD40" i="130" a="1"/>
  <c r="AA39" i="130" a="1"/>
  <c r="N67" i="130" a="1"/>
  <c r="AH65" i="130" a="1"/>
  <c r="AE64" i="130" a="1"/>
  <c r="X63" i="130" a="1"/>
  <c r="Y62" i="130" a="1"/>
  <c r="AN60" i="130" a="1"/>
  <c r="BJ55" i="130" a="1"/>
  <c r="AL47" i="130" a="1"/>
  <c r="AI46" i="130" a="1"/>
  <c r="AB45" i="130" a="1"/>
  <c r="AC44" i="130" a="1"/>
  <c r="Z43" i="130" a="1"/>
  <c r="S42" i="130" a="1"/>
  <c r="T41" i="130" a="1"/>
  <c r="Q40" i="130" a="1"/>
  <c r="V39" i="130" a="1"/>
  <c r="AC38" i="130" a="1"/>
  <c r="AP37" i="130" a="1"/>
  <c r="BC36" i="130" a="1"/>
  <c r="G36" i="130" a="1"/>
  <c r="T35" i="130" a="1"/>
  <c r="AG34" i="130" a="1"/>
  <c r="AT33" i="130" a="1"/>
  <c r="BG32" i="130" a="1"/>
  <c r="K32" i="130" a="1"/>
  <c r="X31" i="130" a="1"/>
  <c r="AK30" i="130" a="1"/>
  <c r="AX29" i="130" a="1"/>
  <c r="BK28" i="130" a="1"/>
  <c r="O28" i="130" a="1"/>
  <c r="AB27" i="130" a="1"/>
  <c r="AO26" i="130" a="1"/>
  <c r="BB25" i="130" a="1"/>
  <c r="F25" i="130" a="1"/>
  <c r="S24" i="130" a="1"/>
  <c r="AF23" i="130" a="1"/>
  <c r="AS22" i="130" a="1"/>
  <c r="AF38" i="130" a="1"/>
  <c r="AS37" i="130" a="1"/>
  <c r="BF36" i="130" a="1"/>
  <c r="J36" i="130" a="1"/>
  <c r="W35" i="130" a="1"/>
  <c r="AJ34" i="130" a="1"/>
  <c r="AW33" i="130" a="1"/>
  <c r="BJ32" i="130" a="1"/>
  <c r="N32" i="130" a="1"/>
  <c r="AA31" i="130" a="1"/>
  <c r="AN30" i="130" a="1"/>
  <c r="BA29" i="130" a="1"/>
  <c r="E29" i="130" a="1"/>
  <c r="R28" i="130" a="1"/>
  <c r="AE27" i="130" a="1"/>
  <c r="AR26" i="130" a="1"/>
  <c r="BE25" i="130" a="1"/>
  <c r="I25" i="130" a="1"/>
  <c r="V24" i="130" a="1"/>
  <c r="AI23" i="130" a="1"/>
  <c r="AV22" i="130" a="1"/>
  <c r="BI21" i="130" a="1"/>
  <c r="AM38" i="130" a="1"/>
  <c r="AZ37" i="130" a="1"/>
  <c r="D37" i="130" a="1"/>
  <c r="Q36" i="130" a="1"/>
  <c r="AD35" i="130" a="1"/>
  <c r="AQ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BK37" i="130" a="1"/>
  <c r="O37" i="130" a="1"/>
  <c r="AB36" i="130" a="1"/>
  <c r="AO35" i="130" a="1"/>
  <c r="BB34" i="130" a="1"/>
  <c r="F34" i="130" a="1"/>
  <c r="S33" i="130" a="1"/>
  <c r="AF32" i="130" a="1"/>
  <c r="AS31" i="130" a="1"/>
  <c r="BF30" i="130" a="1"/>
  <c r="J30" i="130" a="1"/>
  <c r="W29" i="130" a="1"/>
  <c r="AJ28" i="130" a="1"/>
  <c r="K69" i="130" a="1"/>
  <c r="BF69" i="130" a="1"/>
  <c r="AG73" i="130" a="1"/>
  <c r="E65" i="130" a="1"/>
  <c r="O56" i="130" a="1"/>
  <c r="BE43" i="130" a="1"/>
  <c r="K66" i="130" a="1"/>
  <c r="BH61" i="130" a="1"/>
  <c r="H47" i="130" a="1"/>
  <c r="BH43" i="130" a="1"/>
  <c r="AY40" i="130" a="1"/>
  <c r="AK68" i="130" a="1"/>
  <c r="AZ64" i="130" a="1"/>
  <c r="I63" i="130" a="1"/>
  <c r="K59" i="130" a="1"/>
  <c r="AM47" i="130" a="1"/>
  <c r="D46" i="130" a="1"/>
  <c r="AL44" i="130" a="1"/>
  <c r="AI43" i="130" a="1"/>
  <c r="AB42" i="130" a="1"/>
  <c r="Y41" i="130" a="1"/>
  <c r="Z40" i="130" a="1"/>
  <c r="S39" i="130" a="1"/>
  <c r="BG66" i="130" a="1"/>
  <c r="AD65" i="130" a="1"/>
  <c r="W64" i="130" a="1"/>
  <c r="T63" i="130" a="1"/>
  <c r="U62" i="130" a="1"/>
  <c r="K60" i="130" a="1"/>
  <c r="AV55" i="130" a="1"/>
  <c r="AH47" i="130" a="1"/>
  <c r="AA46" i="130" a="1"/>
  <c r="X45" i="130" a="1"/>
  <c r="Y44" i="130" a="1"/>
  <c r="R43" i="130" a="1"/>
  <c r="O42" i="130" a="1"/>
  <c r="P41" i="130" a="1"/>
  <c r="M40" i="130" a="1"/>
  <c r="D40" i="130" a="1"/>
  <c r="Y38" i="130" a="1"/>
  <c r="AL37" i="130" a="1"/>
  <c r="AY36" i="130" a="1"/>
  <c r="C36" i="130" a="1"/>
  <c r="P35" i="130" a="1"/>
  <c r="AC34" i="130" a="1"/>
  <c r="AP33" i="130" a="1"/>
  <c r="BC32" i="130" a="1"/>
  <c r="G32" i="130" a="1"/>
  <c r="T31" i="130" a="1"/>
  <c r="AG30" i="130" a="1"/>
  <c r="AT29" i="130" a="1"/>
  <c r="BG28" i="130" a="1"/>
  <c r="K28" i="130" a="1"/>
  <c r="X27" i="130" a="1"/>
  <c r="AK26" i="130" a="1"/>
  <c r="AX25" i="130" a="1"/>
  <c r="BK24" i="130" a="1"/>
  <c r="O24" i="130" a="1"/>
  <c r="AB23" i="130" a="1"/>
  <c r="AO22" i="130" a="1"/>
  <c r="AB38" i="130" a="1"/>
  <c r="AO37" i="130" a="1"/>
  <c r="BB36" i="130" a="1"/>
  <c r="F36" i="130" a="1"/>
  <c r="S35" i="130" a="1"/>
  <c r="AF34" i="130" a="1"/>
  <c r="AS33" i="130" a="1"/>
  <c r="BF32" i="130" a="1"/>
  <c r="J32" i="130" a="1"/>
  <c r="W31" i="130" a="1"/>
  <c r="AJ30" i="130" a="1"/>
  <c r="AW29" i="130" a="1"/>
  <c r="BJ28" i="130" a="1"/>
  <c r="N28" i="130" a="1"/>
  <c r="AA27" i="130" a="1"/>
  <c r="AN26" i="130" a="1"/>
  <c r="BA25" i="130" a="1"/>
  <c r="E25" i="130" a="1"/>
  <c r="R24" i="130" a="1"/>
  <c r="AE23" i="130" a="1"/>
  <c r="AR22" i="130" a="1"/>
  <c r="BE21" i="130" a="1"/>
  <c r="AI38" i="130" a="1"/>
  <c r="AV37" i="130" a="1"/>
  <c r="BI36" i="130" a="1"/>
  <c r="M36" i="130" a="1"/>
  <c r="Z35" i="130" a="1"/>
  <c r="AM34" i="130" a="1"/>
  <c r="AZ33" i="130" a="1"/>
  <c r="D33" i="130" a="1"/>
  <c r="Q32" i="130" a="1"/>
  <c r="AD31" i="130" a="1"/>
  <c r="AQ30" i="130" a="1"/>
  <c r="BD29" i="130" a="1"/>
  <c r="H29" i="130" a="1"/>
  <c r="U28" i="130" a="1"/>
  <c r="AH27" i="130" a="1"/>
  <c r="AU26" i="130" a="1"/>
  <c r="BH25" i="130" a="1"/>
  <c r="L25" i="130" a="1"/>
  <c r="Y24" i="130" a="1"/>
  <c r="AL23" i="130" a="1"/>
  <c r="AY22" i="130" a="1"/>
  <c r="AV38" i="130" a="1"/>
  <c r="BG37" i="130" a="1"/>
  <c r="K37" i="130" a="1"/>
  <c r="X36" i="130" a="1"/>
  <c r="AK35" i="130" a="1"/>
  <c r="AX34" i="130" a="1"/>
  <c r="BK33" i="130" a="1"/>
  <c r="O33" i="130" a="1"/>
  <c r="AB32" i="130" a="1"/>
  <c r="AO31" i="130" a="1"/>
  <c r="BB30" i="130" a="1"/>
  <c r="F30" i="130" a="1"/>
  <c r="S29" i="130" a="1"/>
  <c r="AF28" i="130" a="1"/>
  <c r="AS27" i="130" a="1"/>
  <c r="BF26" i="130" a="1"/>
  <c r="J26" i="130" a="1"/>
  <c r="W25" i="130" a="1"/>
  <c r="AJ24" i="130" a="1"/>
  <c r="AW23" i="130" a="1"/>
  <c r="BJ22" i="130" a="1"/>
  <c r="N22" i="130" a="1"/>
  <c r="BJ21" i="130" a="1"/>
  <c r="F21" i="130" a="1"/>
  <c r="U67" i="130" a="1"/>
  <c r="AU68" i="130" a="1"/>
  <c r="V72" i="130" a="1"/>
  <c r="R64" i="130" a="1"/>
  <c r="BE47" i="130" a="1"/>
  <c r="M43" i="130" a="1"/>
  <c r="AB65" i="130" a="1"/>
  <c r="M61" i="130" a="1"/>
  <c r="AO46" i="130" a="1"/>
  <c r="AF43" i="130" a="1"/>
  <c r="W40" i="130" a="1"/>
  <c r="BK66" i="130" a="1"/>
  <c r="AV64" i="130" a="1"/>
  <c r="BF62" i="130" a="1"/>
  <c r="BH58" i="130" a="1"/>
  <c r="AI47" i="130" a="1"/>
  <c r="BI45" i="130" a="1"/>
  <c r="AH44" i="130" a="1"/>
  <c r="AA43" i="130" a="1"/>
  <c r="T42" i="130" a="1"/>
  <c r="U41" i="130" a="1"/>
  <c r="R40" i="130" a="1"/>
  <c r="K39" i="130" a="1"/>
  <c r="AQ66" i="130" a="1"/>
  <c r="V65" i="130" a="1"/>
  <c r="O64" i="130" a="1"/>
  <c r="P63" i="130" a="1"/>
  <c r="M62" i="130" a="1"/>
  <c r="AC59" i="130" a="1"/>
  <c r="Q55" i="130" a="1"/>
  <c r="Z47" i="130" a="1"/>
  <c r="S46" i="130" a="1"/>
  <c r="T45" i="130" a="1"/>
  <c r="Q44" i="130" a="1"/>
  <c r="J43" i="130" a="1"/>
  <c r="K42" i="130" a="1"/>
  <c r="H41" i="130" a="1"/>
  <c r="I40" i="130" a="1"/>
  <c r="AW39" i="130" a="1"/>
  <c r="U38" i="130" a="1"/>
  <c r="AH37" i="130" a="1"/>
  <c r="AU36" i="130" a="1"/>
  <c r="BH35" i="130" a="1"/>
  <c r="L35" i="130" a="1"/>
  <c r="Y34" i="130" a="1"/>
  <c r="AL33" i="130" a="1"/>
  <c r="AY32" i="130" a="1"/>
  <c r="C32" i="130" a="1"/>
  <c r="P31" i="130" a="1"/>
  <c r="AC30" i="130" a="1"/>
  <c r="AP29" i="130" a="1"/>
  <c r="BC28" i="130" a="1"/>
  <c r="G28" i="130" a="1"/>
  <c r="T27" i="130" a="1"/>
  <c r="AG26" i="130" a="1"/>
  <c r="AT25" i="130" a="1"/>
  <c r="BG24" i="130" a="1"/>
  <c r="K24" i="130" a="1"/>
  <c r="X23" i="130" a="1"/>
  <c r="BI39" i="130" a="1"/>
  <c r="X38" i="130" a="1"/>
  <c r="AK37" i="130" a="1"/>
  <c r="AX36" i="130" a="1"/>
  <c r="BK35" i="130" a="1"/>
  <c r="O35" i="130" a="1"/>
  <c r="AB34" i="130" a="1"/>
  <c r="AO33" i="130" a="1"/>
  <c r="BB32" i="130" a="1"/>
  <c r="F32" i="130" a="1"/>
  <c r="S31" i="130" a="1"/>
  <c r="AF30" i="130" a="1"/>
  <c r="AS29" i="130" a="1"/>
  <c r="BF28" i="130" a="1"/>
  <c r="J28" i="130" a="1"/>
  <c r="W27" i="130" a="1"/>
  <c r="AJ26" i="130" a="1"/>
  <c r="AW25" i="130" a="1"/>
  <c r="BJ24" i="130" a="1"/>
  <c r="N24" i="130" a="1"/>
  <c r="AA23" i="130" a="1"/>
  <c r="AN22" i="130" a="1"/>
  <c r="BA21" i="130" a="1"/>
  <c r="AE38" i="130" a="1"/>
  <c r="AR37" i="130" a="1"/>
  <c r="BE36" i="130" a="1"/>
  <c r="I36" i="130" a="1"/>
  <c r="V35" i="130" a="1"/>
  <c r="AI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BD25" i="130" a="1"/>
  <c r="H25" i="130" a="1"/>
  <c r="U24" i="130" a="1"/>
  <c r="AH23" i="130" a="1"/>
  <c r="AU22" i="130" a="1"/>
  <c r="S54" i="130" a="1"/>
  <c r="AJ67" i="130" a="1"/>
  <c r="W71" i="130" a="1"/>
  <c r="N64" i="130" a="1"/>
  <c r="BA47" i="130" a="1"/>
  <c r="I43" i="130" a="1"/>
  <c r="X65" i="130" a="1"/>
  <c r="BI60" i="130" a="1"/>
  <c r="AK46" i="130" a="1"/>
  <c r="AB43" i="130" a="1"/>
  <c r="S40" i="130" a="1"/>
  <c r="AU66" i="130" a="1"/>
  <c r="AR64" i="130" a="1"/>
  <c r="AH62" i="130" a="1"/>
  <c r="AQ58" i="130" a="1"/>
  <c r="W47" i="130" a="1"/>
  <c r="BE45" i="130" a="1"/>
  <c r="AD44" i="130" a="1"/>
  <c r="W43" i="130" a="1"/>
  <c r="P42" i="130" a="1"/>
  <c r="Q41" i="130" a="1"/>
  <c r="N40" i="130" a="1"/>
  <c r="G39" i="130" a="1"/>
  <c r="AA66" i="130" a="1"/>
  <c r="R65" i="130" a="1"/>
  <c r="K64" i="130" a="1"/>
  <c r="L63" i="130" a="1"/>
  <c r="I62" i="130" a="1"/>
  <c r="R59" i="130" a="1"/>
  <c r="BF54" i="130" a="1"/>
  <c r="V47" i="130" a="1"/>
  <c r="O46" i="130" a="1"/>
  <c r="P45" i="130" a="1"/>
  <c r="M44" i="130" a="1"/>
  <c r="F43" i="130" a="1"/>
  <c r="G42" i="130" a="1"/>
  <c r="D41" i="130" a="1"/>
  <c r="BJ39" i="130" a="1"/>
  <c r="AG39" i="130" a="1"/>
  <c r="Q38" i="130" a="1"/>
  <c r="AD37" i="130" a="1"/>
  <c r="AQ36" i="130" a="1"/>
  <c r="BD35" i="130" a="1"/>
  <c r="H35" i="130" a="1"/>
  <c r="U34" i="130" a="1"/>
  <c r="AH33" i="130" a="1"/>
  <c r="AU32" i="130" a="1"/>
  <c r="BH31" i="130" a="1"/>
  <c r="L31" i="130" a="1"/>
  <c r="Y30" i="130" a="1"/>
  <c r="AL29" i="130" a="1"/>
  <c r="AY28" i="130" a="1"/>
  <c r="C28" i="130" a="1"/>
  <c r="P27" i="130" a="1"/>
  <c r="AC26" i="130" a="1"/>
  <c r="AP25" i="130" a="1"/>
  <c r="BC24" i="130" a="1"/>
  <c r="G24" i="130" a="1"/>
  <c r="T23" i="130" a="1"/>
  <c r="AS39" i="130" a="1"/>
  <c r="T38" i="130" a="1"/>
  <c r="AG37" i="130" a="1"/>
  <c r="AT36" i="130" a="1"/>
  <c r="BG35" i="130" a="1"/>
  <c r="K35" i="130" a="1"/>
  <c r="X34" i="130" a="1"/>
  <c r="AI80" i="130" a="1"/>
  <c r="Y66" i="130" a="1"/>
  <c r="X70" i="130" a="1"/>
  <c r="AE63" i="130" a="1"/>
  <c r="I47" i="130" a="1"/>
  <c r="Z42" i="130" a="1"/>
  <c r="AO64" i="130" a="1"/>
  <c r="BE59" i="130" a="1"/>
  <c r="U46" i="130" a="1"/>
  <c r="L43" i="130" a="1"/>
  <c r="O40" i="130" a="1"/>
  <c r="AE66" i="130" a="1"/>
  <c r="AF64" i="130" a="1"/>
  <c r="AD62" i="130" a="1"/>
  <c r="S58" i="130" a="1"/>
  <c r="BH46" i="130" a="1"/>
  <c r="AW45" i="130" a="1"/>
  <c r="Z44" i="130" a="1"/>
  <c r="O43" i="130" a="1"/>
  <c r="L42" i="130" a="1"/>
  <c r="M41" i="130" a="1"/>
  <c r="F40" i="130" a="1"/>
  <c r="C39" i="130" a="1"/>
  <c r="S66" i="130" a="1"/>
  <c r="J65" i="130" a="1"/>
  <c r="G64" i="130" a="1"/>
  <c r="H63" i="130" a="1"/>
  <c r="BJ61" i="130" a="1"/>
  <c r="G59" i="130" a="1"/>
  <c r="AP54" i="130" a="1"/>
  <c r="N47" i="130" a="1"/>
  <c r="K46" i="130" a="1"/>
  <c r="L45" i="130" a="1"/>
  <c r="E44" i="130" a="1"/>
  <c r="BK42" i="130" a="1"/>
  <c r="C42" i="130" a="1"/>
  <c r="BE40" i="130" a="1"/>
  <c r="BF39" i="130" a="1"/>
  <c r="Q39" i="130" a="1"/>
  <c r="M38" i="130" a="1"/>
  <c r="Z37" i="130" a="1"/>
  <c r="AM36" i="130" a="1"/>
  <c r="AZ35" i="130" a="1"/>
  <c r="D35" i="130" a="1"/>
  <c r="Q34" i="130" a="1"/>
  <c r="AD33" i="130" a="1"/>
  <c r="AQ32" i="130" a="1"/>
  <c r="BD31" i="130" a="1"/>
  <c r="H31" i="130" a="1"/>
  <c r="U30" i="130" a="1"/>
  <c r="AH29" i="130" a="1"/>
  <c r="AU28" i="130" a="1"/>
  <c r="BH27" i="130" a="1"/>
  <c r="L27" i="130" a="1"/>
  <c r="Y26" i="130" a="1"/>
  <c r="AL25" i="130" a="1"/>
  <c r="AY24" i="130" a="1"/>
  <c r="C24" i="130" a="1"/>
  <c r="P23" i="130" a="1"/>
  <c r="AC39" i="130" a="1"/>
  <c r="P38" i="130" a="1"/>
  <c r="AC37" i="130" a="1"/>
  <c r="AP36" i="130" a="1"/>
  <c r="BC35" i="130" a="1"/>
  <c r="G35" i="130" a="1"/>
  <c r="T34" i="130" a="1"/>
  <c r="AG33" i="130" a="1"/>
  <c r="AT32" i="130" a="1"/>
  <c r="BG31" i="130" a="1"/>
  <c r="K31" i="130" a="1"/>
  <c r="X30" i="130" a="1"/>
  <c r="AK29" i="130" a="1"/>
  <c r="AX28" i="130" a="1"/>
  <c r="BK27" i="130" a="1"/>
  <c r="O27" i="130" a="1"/>
  <c r="AB26" i="130" a="1"/>
  <c r="AO25" i="130" a="1"/>
  <c r="BB24" i="130" a="1"/>
  <c r="F24" i="130" a="1"/>
  <c r="S23" i="130" a="1"/>
  <c r="AF22" i="130" a="1"/>
  <c r="BE39" i="130" a="1"/>
  <c r="W38" i="130" a="1"/>
  <c r="AJ37" i="130" a="1"/>
  <c r="AW36" i="130" a="1"/>
  <c r="BJ35" i="130" a="1"/>
  <c r="N35" i="130" a="1"/>
  <c r="AA34" i="130" a="1"/>
  <c r="AN33" i="130" a="1"/>
  <c r="BA32" i="130" a="1"/>
  <c r="E32" i="130" a="1"/>
  <c r="R31" i="130" a="1"/>
  <c r="AE30" i="130" a="1"/>
  <c r="AR29" i="130" a="1"/>
  <c r="BE28" i="130" a="1"/>
  <c r="I28" i="130" a="1"/>
  <c r="V27" i="130" a="1"/>
  <c r="AI26" i="130" a="1"/>
  <c r="AV25" i="130" a="1"/>
  <c r="BI24" i="130" a="1"/>
  <c r="M24" i="130" a="1"/>
  <c r="Z23" i="130" a="1"/>
  <c r="AM22" i="130" a="1"/>
  <c r="AH38" i="130" a="1"/>
  <c r="AU37" i="130" a="1"/>
  <c r="BH36" i="130" a="1"/>
  <c r="L36" i="130" a="1"/>
  <c r="Y35" i="130" a="1"/>
  <c r="AL34" i="130" a="1"/>
  <c r="AY33" i="130" a="1"/>
  <c r="C33" i="130" a="1"/>
  <c r="P32" i="130" a="1"/>
  <c r="AC31" i="130" a="1"/>
  <c r="AP30" i="130" a="1"/>
  <c r="BC29" i="130" a="1"/>
  <c r="G29" i="130" a="1"/>
  <c r="T28" i="130" a="1"/>
  <c r="AG27" i="130" a="1"/>
  <c r="AT26" i="130" a="1"/>
  <c r="BG25" i="130" a="1"/>
  <c r="K25" i="130" a="1"/>
  <c r="X24" i="130" a="1"/>
  <c r="AK23" i="130" a="1"/>
  <c r="AX22" i="130" a="1"/>
  <c r="BK21" i="130" a="1"/>
  <c r="AP21" i="130" a="1"/>
  <c r="BC20" i="130" a="1"/>
  <c r="X79" i="130" a="1"/>
  <c r="BE81" i="130" a="1"/>
  <c r="M69" i="130" a="1"/>
  <c r="AA63" i="130" a="1"/>
  <c r="E47" i="130" a="1"/>
  <c r="V42" i="130" a="1"/>
  <c r="AK64" i="130" a="1"/>
  <c r="C58" i="130" a="1"/>
  <c r="BB45" i="130" a="1"/>
  <c r="AS42" i="130" a="1"/>
  <c r="C40" i="130" a="1"/>
  <c r="V66" i="130" a="1"/>
  <c r="H64" i="130" a="1"/>
  <c r="Z62" i="130" a="1"/>
  <c r="Z57" i="130" a="1"/>
  <c r="BD46" i="130" a="1"/>
  <c r="AS45" i="130" a="1"/>
  <c r="V44" i="130" a="1"/>
  <c r="G43" i="130" a="1"/>
  <c r="H42" i="130" a="1"/>
  <c r="E41" i="130" a="1"/>
  <c r="BG39" i="130" a="1"/>
  <c r="BH38" i="130" a="1"/>
  <c r="I66" i="130" a="1"/>
  <c r="BK64" i="130" a="1"/>
  <c r="C64" i="130" a="1"/>
  <c r="BI62" i="130" a="1"/>
  <c r="BB61" i="130" a="1"/>
  <c r="BD58" i="130" a="1"/>
  <c r="L54" i="130" a="1"/>
  <c r="F47" i="130" a="1"/>
  <c r="G46" i="130" a="1"/>
  <c r="D45" i="130" a="1"/>
  <c r="BF43" i="130" a="1"/>
  <c r="BG42" i="130" a="1"/>
  <c r="BD41" i="130" a="1"/>
  <c r="AW40" i="130" a="1"/>
  <c r="BB39" i="130" a="1"/>
  <c r="I39" i="130" a="1"/>
  <c r="I38" i="130" a="1"/>
  <c r="V37" i="130" a="1"/>
  <c r="AI36" i="130" a="1"/>
  <c r="AV35" i="130" a="1"/>
  <c r="BI34" i="130" a="1"/>
  <c r="M34" i="130" a="1"/>
  <c r="Z33" i="130" a="1"/>
  <c r="AM32" i="130" a="1"/>
  <c r="AZ31" i="130" a="1"/>
  <c r="D31" i="130" a="1"/>
  <c r="Q30" i="130" a="1"/>
  <c r="AD29" i="130" a="1"/>
  <c r="AQ28" i="130" a="1"/>
  <c r="BD27" i="130" a="1"/>
  <c r="H27" i="130" a="1"/>
  <c r="U26" i="130" a="1"/>
  <c r="AH25" i="130" a="1"/>
  <c r="AU24" i="130" a="1"/>
  <c r="BH23" i="130" a="1"/>
  <c r="L23" i="130" a="1"/>
  <c r="N39" i="130" a="1"/>
  <c r="L38" i="130" a="1"/>
  <c r="Y37" i="130" a="1"/>
  <c r="AL36" i="130" a="1"/>
  <c r="AY35" i="130" a="1"/>
  <c r="C35" i="130" a="1"/>
  <c r="P34" i="130" a="1"/>
  <c r="AC33" i="130" a="1"/>
  <c r="AP32" i="130" a="1"/>
  <c r="BC31" i="130" a="1"/>
  <c r="G31" i="130" a="1"/>
  <c r="T30" i="130" a="1"/>
  <c r="AG29" i="130" a="1"/>
  <c r="AT28" i="130" a="1"/>
  <c r="BG27" i="130" a="1"/>
  <c r="K27" i="130" a="1"/>
  <c r="X26" i="130" a="1"/>
  <c r="AK25" i="130" a="1"/>
  <c r="AX24" i="130" a="1"/>
  <c r="BK23" i="130" a="1"/>
  <c r="O23" i="130" a="1"/>
  <c r="AB22" i="130" a="1"/>
  <c r="AO39" i="130" a="1"/>
  <c r="S38" i="130" a="1"/>
  <c r="AF37" i="130" a="1"/>
  <c r="AS36" i="130" a="1"/>
  <c r="BF35" i="130" a="1"/>
  <c r="J35" i="130" a="1"/>
  <c r="W34" i="130" a="1"/>
  <c r="AJ33" i="130" a="1"/>
  <c r="AW32" i="130" a="1"/>
  <c r="BJ31" i="130" a="1"/>
  <c r="N31" i="130" a="1"/>
  <c r="AA30" i="130" a="1"/>
  <c r="AN29" i="130" a="1"/>
  <c r="BA28" i="130" a="1"/>
  <c r="E28" i="130" a="1"/>
  <c r="R27" i="130" a="1"/>
  <c r="M78" i="130" a="1"/>
  <c r="AX80" i="130" a="1"/>
  <c r="N68" i="130" a="1"/>
  <c r="AR62" i="130" a="1"/>
  <c r="V46" i="130" a="1"/>
  <c r="AM41" i="130" a="1"/>
  <c r="BB63" i="130" a="1"/>
  <c r="AZ57" i="130" a="1"/>
  <c r="AX45" i="130" a="1"/>
  <c r="AO42" i="130" a="1"/>
  <c r="AJ39" i="130" a="1"/>
  <c r="F66" i="130" a="1"/>
  <c r="D64" i="130" a="1"/>
  <c r="V62" i="130" a="1"/>
  <c r="AY55" i="130" a="1"/>
  <c r="AZ46" i="130" a="1"/>
  <c r="Y45" i="130" a="1"/>
  <c r="N44" i="130" a="1"/>
  <c r="C43" i="130" a="1"/>
  <c r="D42" i="130" a="1"/>
  <c r="BJ40" i="130" a="1"/>
  <c r="BC39" i="130" a="1"/>
  <c r="BD38" i="130" a="1"/>
  <c r="E66" i="130" a="1"/>
  <c r="BG64" i="130" a="1"/>
  <c r="BH63" i="130" a="1"/>
  <c r="BE62" i="130" a="1"/>
  <c r="AX61" i="130" a="1"/>
  <c r="AL58" i="130" a="1"/>
  <c r="H54" i="130" a="1"/>
  <c r="BK46" i="130" a="1"/>
  <c r="C46" i="130" a="1"/>
  <c r="BI44" i="130" a="1"/>
  <c r="BB43" i="130" a="1"/>
  <c r="BC42" i="130" a="1"/>
  <c r="AZ41" i="130" a="1"/>
  <c r="AS40" i="130" a="1"/>
  <c r="AX39" i="130" a="1"/>
  <c r="BJ38" i="130" a="1"/>
  <c r="E38" i="130" a="1"/>
  <c r="R37" i="130" a="1"/>
  <c r="AE36" i="130" a="1"/>
  <c r="AR35" i="130" a="1"/>
  <c r="BE34" i="130" a="1"/>
  <c r="I34" i="130" a="1"/>
  <c r="V33" i="130" a="1"/>
  <c r="AI32" i="130" a="1"/>
  <c r="AV31" i="130" a="1"/>
  <c r="BI30" i="130" a="1"/>
  <c r="M30" i="130" a="1"/>
  <c r="Z29" i="130" a="1"/>
  <c r="AM28" i="130" a="1"/>
  <c r="AZ27" i="130" a="1"/>
  <c r="D27" i="130" a="1"/>
  <c r="Q26" i="130" a="1"/>
  <c r="AD25" i="130" a="1"/>
  <c r="AQ24" i="130" a="1"/>
  <c r="BD23" i="130" a="1"/>
  <c r="H23" i="130" a="1"/>
  <c r="F39" i="130" a="1"/>
  <c r="H38" i="130" a="1"/>
  <c r="U37" i="130" a="1"/>
  <c r="AH36" i="130" a="1"/>
  <c r="AU35" i="130" a="1"/>
  <c r="BH34" i="130" a="1"/>
  <c r="L34" i="130" a="1"/>
  <c r="Y33" i="130" a="1"/>
  <c r="AL32" i="130" a="1"/>
  <c r="AY31" i="130" a="1"/>
  <c r="C31" i="130" a="1"/>
  <c r="P30" i="130" a="1"/>
  <c r="AC29" i="130" a="1"/>
  <c r="AP28" i="130" a="1"/>
  <c r="BC27" i="130" a="1"/>
  <c r="G27" i="130" a="1"/>
  <c r="T26" i="130" a="1"/>
  <c r="AG25" i="130" a="1"/>
  <c r="AT24" i="130" a="1"/>
  <c r="BG23" i="130" a="1"/>
  <c r="K23" i="130" a="1"/>
  <c r="X22" i="130" a="1"/>
  <c r="Y39" i="130" a="1"/>
  <c r="O38" i="130" a="1"/>
  <c r="AB37" i="130" a="1"/>
  <c r="AO36" i="130" a="1"/>
  <c r="BB35" i="130" a="1"/>
  <c r="F35" i="130" a="1"/>
  <c r="S34" i="130" a="1"/>
  <c r="AF33" i="130" a="1"/>
  <c r="AS32" i="130" a="1"/>
  <c r="BF31" i="130" a="1"/>
  <c r="J31" i="130" a="1"/>
  <c r="W30" i="130" a="1"/>
  <c r="AJ29" i="130" a="1"/>
  <c r="AW28" i="130" a="1"/>
  <c r="BJ27" i="130" a="1"/>
  <c r="N27" i="130" a="1"/>
  <c r="AA26" i="130" a="1"/>
  <c r="AN25" i="130" a="1"/>
  <c r="BA24" i="130" a="1"/>
  <c r="E24" i="130" a="1"/>
  <c r="R23" i="130" a="1"/>
  <c r="AE22" i="130" a="1"/>
  <c r="Z38" i="130" a="1"/>
  <c r="AM37" i="130" a="1"/>
  <c r="AZ36" i="130" a="1"/>
  <c r="D36" i="130" a="1"/>
  <c r="Q35" i="130" a="1"/>
  <c r="AD34" i="130" a="1"/>
  <c r="BK76" i="130" a="1"/>
  <c r="AY79" i="130" a="1"/>
  <c r="O67" i="130" a="1"/>
  <c r="AN62" i="130" a="1"/>
  <c r="R46" i="130" a="1"/>
  <c r="AI41" i="130" a="1"/>
  <c r="AX63" i="130" a="1"/>
  <c r="AQ56" i="130" a="1"/>
  <c r="AH45" i="130" a="1"/>
  <c r="Y42" i="130" a="1"/>
  <c r="AF39" i="130" a="1"/>
  <c r="AQ65" i="130" a="1"/>
  <c r="BI63" i="130" a="1"/>
  <c r="J62" i="130" a="1"/>
  <c r="W55" i="130" a="1"/>
  <c r="AV46" i="130" a="1"/>
  <c r="U45" i="130" a="1"/>
  <c r="J44" i="130" a="1"/>
  <c r="BH42" i="130" a="1"/>
  <c r="BI41" i="130" a="1"/>
  <c r="BB40" i="130" a="1"/>
  <c r="AY39" i="130" a="1"/>
  <c r="AZ38" i="130" a="1"/>
  <c r="BF65" i="130" a="1"/>
  <c r="BC64" i="130" a="1"/>
  <c r="BD63" i="130" a="1"/>
  <c r="AW62" i="130" a="1"/>
  <c r="AT61" i="130" a="1"/>
  <c r="N58" i="130" a="1"/>
  <c r="BJ47" i="130" a="1"/>
  <c r="BG46" i="130" a="1"/>
  <c r="BH45" i="130" a="1"/>
  <c r="BA44" i="130" a="1"/>
  <c r="AX43" i="130" a="1"/>
  <c r="AY42" i="130" a="1"/>
  <c r="AR41" i="130" a="1"/>
  <c r="AO40" i="130" a="1"/>
  <c r="AT39" i="130" a="1"/>
  <c r="BB38" i="130" a="1"/>
  <c r="BJ37" i="130" a="1"/>
  <c r="N37" i="130" a="1"/>
  <c r="AA36" i="130" a="1"/>
  <c r="AN35" i="130" a="1"/>
  <c r="BA34" i="130" a="1"/>
  <c r="E34" i="130" a="1"/>
  <c r="R33" i="130" a="1"/>
  <c r="AE32" i="130" a="1"/>
  <c r="AR31" i="130" a="1"/>
  <c r="BE30" i="130" a="1"/>
  <c r="I30" i="130" a="1"/>
  <c r="V29" i="130" a="1"/>
  <c r="AI28" i="130" a="1"/>
  <c r="AV27" i="130" a="1"/>
  <c r="BI26" i="130" a="1"/>
  <c r="M26" i="130" a="1"/>
  <c r="Z25" i="130" a="1"/>
  <c r="AM24" i="130" a="1"/>
  <c r="AZ23" i="130" a="1"/>
  <c r="D23" i="130" a="1"/>
  <c r="BG38" i="130" a="1"/>
  <c r="D38" i="130" a="1"/>
  <c r="Q37" i="130" a="1"/>
  <c r="AD36" i="130" a="1"/>
  <c r="AQ35" i="130" a="1"/>
  <c r="BD34" i="130" a="1"/>
  <c r="H34" i="130" a="1"/>
  <c r="U33" i="130" a="1"/>
  <c r="AH32" i="130" a="1"/>
  <c r="AU31" i="130" a="1"/>
  <c r="BH30" i="130" a="1"/>
  <c r="L30" i="130" a="1"/>
  <c r="Y29" i="130" a="1"/>
  <c r="AL28" i="130" a="1"/>
  <c r="AY27" i="130" a="1"/>
  <c r="C27" i="130" a="1"/>
  <c r="P26" i="130" a="1"/>
  <c r="AC25" i="130" a="1"/>
  <c r="AP24" i="130" a="1"/>
  <c r="BC23" i="130" a="1"/>
  <c r="G23" i="130" a="1"/>
  <c r="T22" i="130" a="1"/>
  <c r="M39" i="130" a="1"/>
  <c r="K38" i="130" a="1"/>
  <c r="X37" i="130" a="1"/>
  <c r="AK36" i="130" a="1"/>
  <c r="AX35" i="130" a="1"/>
  <c r="BK34" i="130" a="1"/>
  <c r="O34" i="130" a="1"/>
  <c r="AB33" i="130" a="1"/>
  <c r="AO32" i="130" a="1"/>
  <c r="BB31" i="130" a="1"/>
  <c r="F31" i="130" a="1"/>
  <c r="S30" i="130" a="1"/>
  <c r="AF29" i="130" a="1"/>
  <c r="AS28" i="130" a="1"/>
  <c r="BF27" i="130" a="1"/>
  <c r="J27" i="130" a="1"/>
  <c r="W26" i="130" a="1"/>
  <c r="AZ75" i="130" a="1"/>
  <c r="AN78" i="130" a="1"/>
  <c r="P69" i="130" a="1"/>
  <c r="BE61" i="130" a="1"/>
  <c r="AI45" i="130" a="1"/>
  <c r="AZ40" i="130" a="1"/>
  <c r="F63" i="130" a="1"/>
  <c r="AG54" i="130" a="1"/>
  <c r="F45" i="130" a="1"/>
  <c r="BF41" i="130" a="1"/>
  <c r="AB39" i="130" a="1"/>
  <c r="AM65" i="130" a="1"/>
  <c r="BE63" i="130" a="1"/>
  <c r="AU61" i="130" a="1"/>
  <c r="D55" i="130" a="1"/>
  <c r="AR46" i="130" a="1"/>
  <c r="Q45" i="130" a="1"/>
  <c r="BC43" i="130" a="1"/>
  <c r="BD42" i="130" a="1"/>
  <c r="BA41" i="130" a="1"/>
  <c r="AT40" i="130" a="1"/>
  <c r="AU39" i="130" a="1"/>
  <c r="AW68" i="130" a="1"/>
  <c r="AX65" i="130" a="1"/>
  <c r="AY64" i="130" a="1"/>
  <c r="AV63" i="130" a="1"/>
  <c r="AO62" i="130" a="1"/>
  <c r="AP61" i="130" a="1"/>
  <c r="AP57" i="130" a="1"/>
  <c r="BB47" i="130" a="1"/>
  <c r="BC46" i="130" a="1"/>
  <c r="AZ45" i="130" a="1"/>
  <c r="AS44" i="130" a="1"/>
  <c r="AT43" i="130" a="1"/>
  <c r="AQ42" i="130" a="1"/>
  <c r="AJ41" i="130" a="1"/>
  <c r="AK40" i="130" a="1"/>
  <c r="AP39" i="130" a="1"/>
  <c r="AU38" i="130" a="1"/>
  <c r="BF37" i="130" a="1"/>
  <c r="J37" i="130" a="1"/>
  <c r="W36" i="130" a="1"/>
  <c r="AJ35" i="130" a="1"/>
  <c r="AW34" i="130" a="1"/>
  <c r="BJ33" i="130" a="1"/>
  <c r="N33" i="130" a="1"/>
  <c r="AA32" i="130" a="1"/>
  <c r="AN31" i="130" a="1"/>
  <c r="BA30" i="130" a="1"/>
  <c r="E30" i="130" a="1"/>
  <c r="R29" i="130" a="1"/>
  <c r="AE28" i="130" a="1"/>
  <c r="AR27" i="130" a="1"/>
  <c r="BE26" i="130" a="1"/>
  <c r="I26" i="130" a="1"/>
  <c r="V25" i="130" a="1"/>
  <c r="AI24" i="130" a="1"/>
  <c r="AV23" i="130" a="1"/>
  <c r="BI22" i="130" a="1"/>
  <c r="AY38" i="130" a="1"/>
  <c r="BI37" i="130" a="1"/>
  <c r="M37" i="130" a="1"/>
  <c r="Z36" i="130" a="1"/>
  <c r="AM35" i="130" a="1"/>
  <c r="AZ34" i="130" a="1"/>
  <c r="D34" i="130" a="1"/>
  <c r="Q33" i="130" a="1"/>
  <c r="AO74" i="130" a="1"/>
  <c r="AO77" i="130" a="1"/>
  <c r="AS68" i="130" a="1"/>
  <c r="BA61" i="130" a="1"/>
  <c r="AE45" i="130" a="1"/>
  <c r="AV40" i="130" a="1"/>
  <c r="BK62" i="130" a="1"/>
  <c r="N54" i="130" a="1"/>
  <c r="BK44" i="130" a="1"/>
  <c r="BB41" i="130" a="1"/>
  <c r="P39" i="130" a="1"/>
  <c r="AI65" i="130" a="1"/>
  <c r="AS63" i="130" a="1"/>
  <c r="AQ61" i="130" a="1"/>
  <c r="AV54" i="130" a="1"/>
  <c r="AJ46" i="130" a="1"/>
  <c r="M45" i="130" a="1"/>
  <c r="AY43" i="130" a="1"/>
  <c r="AZ42" i="130" a="1"/>
  <c r="AW41" i="130" a="1"/>
  <c r="AP40" i="130" a="1"/>
  <c r="AQ39" i="130" a="1"/>
  <c r="AG68" i="130" a="1"/>
  <c r="AT65" i="130" a="1"/>
  <c r="AU64" i="130" a="1"/>
  <c r="AR63" i="130" a="1"/>
  <c r="AK62" i="130" a="1"/>
  <c r="AI61" i="130" a="1"/>
  <c r="U57" i="130" a="1"/>
  <c r="AX47" i="130" a="1"/>
  <c r="AY46" i="130" a="1"/>
  <c r="AV45" i="130" a="1"/>
  <c r="AO44" i="130" a="1"/>
  <c r="AP43" i="130" a="1"/>
  <c r="AM42" i="130" a="1"/>
  <c r="AF41" i="130" a="1"/>
  <c r="AG40" i="130" a="1"/>
  <c r="AH39" i="130" a="1"/>
  <c r="AP38" i="130" a="1"/>
  <c r="BB37" i="130" a="1"/>
  <c r="F37" i="130" a="1"/>
  <c r="S36" i="130" a="1"/>
  <c r="AF35" i="130" a="1"/>
  <c r="AS34" i="130" a="1"/>
  <c r="BF33" i="130" a="1"/>
  <c r="J33" i="130" a="1"/>
  <c r="W32" i="130" a="1"/>
  <c r="AJ31" i="130" a="1"/>
  <c r="AW30" i="130" a="1"/>
  <c r="BJ29" i="130" a="1"/>
  <c r="N29" i="130" a="1"/>
  <c r="AA28" i="130" a="1"/>
  <c r="AN27" i="130" a="1"/>
  <c r="BA26" i="130" a="1"/>
  <c r="E26" i="130" a="1"/>
  <c r="R25" i="130" a="1"/>
  <c r="AE24" i="130" a="1"/>
  <c r="AR23" i="130" a="1"/>
  <c r="BE22" i="130" a="1"/>
  <c r="AT38" i="130" a="1"/>
  <c r="BE37" i="130" a="1"/>
  <c r="AD73" i="130" a="1"/>
  <c r="AP76" i="130" a="1"/>
  <c r="D66" i="130" a="1"/>
  <c r="AR59" i="130" a="1"/>
  <c r="AV44" i="130" a="1"/>
  <c r="L69" i="130" a="1"/>
  <c r="AU62" i="130" a="1"/>
  <c r="BD47" i="130" a="1"/>
  <c r="AU44" i="130" a="1"/>
  <c r="AL41" i="130" a="1"/>
  <c r="AW38" i="130" a="1"/>
  <c r="AE65" i="130" a="1"/>
  <c r="U63" i="130" a="1"/>
  <c r="AK61" i="130" a="1"/>
  <c r="I54" i="130" a="1"/>
  <c r="AF46" i="130" a="1"/>
  <c r="I45" i="130" a="1"/>
  <c r="AU43" i="130" a="1"/>
  <c r="AV42" i="130" a="1"/>
  <c r="AO41" i="130" a="1"/>
  <c r="AL40" i="130" a="1"/>
  <c r="AM39" i="130" a="1"/>
  <c r="BJ67" i="130" a="1"/>
  <c r="AP65" i="130" a="1"/>
  <c r="AQ64" i="130" a="1"/>
  <c r="AJ63" i="130" a="1"/>
  <c r="AG62" i="130" a="1"/>
  <c r="W61" i="130" a="1"/>
  <c r="BB56" i="130" a="1"/>
  <c r="AT47" i="130" a="1"/>
  <c r="AU46" i="130" a="1"/>
  <c r="AN45" i="130" a="1"/>
  <c r="AK44" i="130" a="1"/>
  <c r="AL43" i="130" a="1"/>
  <c r="AE42" i="130" a="1"/>
  <c r="AB41" i="130" a="1"/>
  <c r="AC40" i="130" a="1"/>
  <c r="AD39" i="130" a="1"/>
  <c r="AK38" i="130" a="1"/>
  <c r="AX37" i="130" a="1"/>
  <c r="BK36" i="130" a="1"/>
  <c r="O36" i="130" a="1"/>
  <c r="AB35" i="130" a="1"/>
  <c r="AO34" i="130" a="1"/>
  <c r="BB33" i="130" a="1"/>
  <c r="F33" i="130" a="1"/>
  <c r="S32" i="130" a="1"/>
  <c r="AF31" i="130" a="1"/>
  <c r="AS30" i="130" a="1"/>
  <c r="BF29" i="130" a="1"/>
  <c r="J29" i="130" a="1"/>
  <c r="W28" i="130" a="1"/>
  <c r="AJ27" i="130" a="1"/>
  <c r="AW26" i="130" a="1"/>
  <c r="BJ25" i="130" a="1"/>
  <c r="N25" i="130" a="1"/>
  <c r="AA24" i="130" a="1"/>
  <c r="AN23" i="130" a="1"/>
  <c r="BA22" i="130" a="1"/>
  <c r="AN38" i="130" a="1"/>
  <c r="BA37" i="130" a="1"/>
  <c r="E37" i="130" a="1"/>
  <c r="R36" i="130" a="1"/>
  <c r="AE35" i="130" a="1"/>
  <c r="AR34" i="130" a="1"/>
  <c r="BE33" i="130" a="1"/>
  <c r="I33" i="130" a="1"/>
  <c r="V32" i="130" a="1"/>
  <c r="AI31" i="130" a="1"/>
  <c r="AV30" i="130" a="1"/>
  <c r="BI29" i="130" a="1"/>
  <c r="M29" i="130" a="1"/>
  <c r="Z28" i="130" a="1"/>
  <c r="AM27" i="130" a="1"/>
  <c r="AZ26" i="130" a="1"/>
  <c r="D26" i="130" a="1"/>
  <c r="Q25" i="130" a="1"/>
  <c r="AD24" i="130" a="1"/>
  <c r="AQ23" i="130" a="1"/>
  <c r="BD22" i="130" a="1"/>
  <c r="H22" i="130" a="1"/>
  <c r="AX38" i="130" a="1"/>
  <c r="BH37" i="130" a="1"/>
  <c r="L37" i="130" a="1"/>
  <c r="Y36" i="130" a="1"/>
  <c r="AL35" i="130" a="1"/>
  <c r="AY34" i="130" a="1"/>
  <c r="C34" i="130" a="1"/>
  <c r="P33" i="130" a="1"/>
  <c r="AC32" i="130" a="1"/>
  <c r="AP31" i="130" a="1"/>
  <c r="BC30" i="130" a="1"/>
  <c r="G30" i="130" a="1"/>
  <c r="T29" i="130" a="1"/>
  <c r="AG28" i="130" a="1"/>
  <c r="AT27" i="130" a="1"/>
  <c r="BG26" i="130" a="1"/>
  <c r="K26" i="130" a="1"/>
  <c r="X25" i="130" a="1"/>
  <c r="AK24" i="130" a="1"/>
  <c r="AX23" i="130" a="1"/>
  <c r="BK22" i="130" a="1"/>
  <c r="J39" i="130" a="1"/>
  <c r="J38" i="130" a="1"/>
  <c r="W37" i="130" a="1"/>
  <c r="AJ36" i="130" a="1"/>
  <c r="AW35" i="130" a="1"/>
  <c r="BJ34" i="130" a="1"/>
  <c r="N34" i="130" a="1"/>
  <c r="AA33" i="130" a="1"/>
  <c r="AN32" i="130" a="1"/>
  <c r="BA31" i="130" a="1"/>
  <c r="E31" i="130" a="1"/>
  <c r="R30" i="130" a="1"/>
  <c r="AE29" i="130" a="1"/>
  <c r="AR28" i="130" a="1"/>
  <c r="I37" i="130" a="1"/>
  <c r="AM31" i="130" a="1"/>
  <c r="AD28" i="130" a="1"/>
  <c r="U25" i="130" a="1"/>
  <c r="L22" i="130" a="1"/>
  <c r="AC36" i="130" a="1"/>
  <c r="T33" i="130" a="1"/>
  <c r="K30" i="130" a="1"/>
  <c r="BK26" i="130" a="1"/>
  <c r="AW24" i="130" a="1"/>
  <c r="F23" i="130" a="1"/>
  <c r="BC37" i="130" a="1"/>
  <c r="AF36" i="130" a="1"/>
  <c r="I35" i="130" a="1"/>
  <c r="AU33" i="130" a="1"/>
  <c r="AR32" i="130" a="1"/>
  <c r="Y31" i="130" a="1"/>
  <c r="V30" i="130" a="1"/>
  <c r="C29" i="130" a="1"/>
  <c r="BI27" i="130" a="1"/>
  <c r="E27" i="130" a="1"/>
  <c r="F26" i="130" a="1"/>
  <c r="G25" i="130" a="1"/>
  <c r="L24" i="130" a="1"/>
  <c r="Q23" i="130" a="1"/>
  <c r="V22" i="130" a="1"/>
  <c r="BB21" i="130" a="1"/>
  <c r="AY20" i="130" a="1"/>
  <c r="C20" i="130" a="1"/>
  <c r="P19" i="130" a="1"/>
  <c r="AC18" i="130" a="1"/>
  <c r="AP17" i="130" a="1"/>
  <c r="BC16" i="130" a="1"/>
  <c r="G16" i="130" a="1"/>
  <c r="T15" i="130" a="1"/>
  <c r="AG14" i="130" a="1"/>
  <c r="AT13" i="130" a="1"/>
  <c r="BG12" i="130" a="1"/>
  <c r="K12" i="130" a="1"/>
  <c r="X11" i="130" a="1"/>
  <c r="AK10" i="130" a="1"/>
  <c r="AX9" i="130" a="1"/>
  <c r="BK8" i="130" a="1"/>
  <c r="O8" i="130" a="1"/>
  <c r="AA7" i="130" a="1"/>
  <c r="AN5" i="130" a="1"/>
  <c r="FE9" i="132" a="1"/>
  <c r="ES8" i="132" a="1"/>
  <c r="AU8" i="132" a="1"/>
  <c r="AM13" i="132" a="1"/>
  <c r="DF15" i="132" a="1"/>
  <c r="AI13" i="132" a="1"/>
  <c r="EE6" i="132" a="1"/>
  <c r="BC7" i="132" a="1"/>
  <c r="CZ8" i="132" a="1"/>
  <c r="DB7" i="132" a="1"/>
  <c r="DL15" i="132" a="1"/>
  <c r="BP5" i="132" a="1"/>
  <c r="H13" i="132" a="1"/>
  <c r="DQ14" i="132" a="1"/>
  <c r="DU11" i="132" a="1"/>
  <c r="EG11" i="132" a="1"/>
  <c r="AC21" i="130" a="1"/>
  <c r="AP20" i="130" a="1"/>
  <c r="BC19" i="130" a="1"/>
  <c r="G19" i="130" a="1"/>
  <c r="T18" i="130" a="1"/>
  <c r="AG17" i="130" a="1"/>
  <c r="AT16" i="130" a="1"/>
  <c r="BG15" i="130" a="1"/>
  <c r="K15" i="130" a="1"/>
  <c r="X14" i="130" a="1"/>
  <c r="AK13" i="130" a="1"/>
  <c r="AX12" i="130" a="1"/>
  <c r="BK11" i="130" a="1"/>
  <c r="O11" i="130" a="1"/>
  <c r="AB10" i="130" a="1"/>
  <c r="AO9" i="130" a="1"/>
  <c r="BB8" i="130" a="1"/>
  <c r="F8" i="130" a="1"/>
  <c r="R7" i="130" a="1"/>
  <c r="AE5" i="130" a="1"/>
  <c r="FE11" i="132" a="1"/>
  <c r="EV7" i="132" a="1"/>
  <c r="FD11" i="132" a="1"/>
  <c r="DW11" i="132" a="1"/>
  <c r="BK12" i="132" a="1"/>
  <c r="BQ11" i="132" a="1"/>
  <c r="EX12" i="132" a="1"/>
  <c r="AK12" i="132" a="1"/>
  <c r="AJ8" i="132" a="1"/>
  <c r="BZ11" i="132" a="1"/>
  <c r="DZ11" i="132" a="1"/>
  <c r="EK7" i="132" a="1"/>
  <c r="AR12" i="132" a="1"/>
  <c r="AX21" i="130" a="1"/>
  <c r="BI20" i="130" a="1"/>
  <c r="M20" i="130" a="1"/>
  <c r="Z19" i="130" a="1"/>
  <c r="AM18" i="130" a="1"/>
  <c r="AZ17" i="130" a="1"/>
  <c r="D17" i="130" a="1"/>
  <c r="Q16" i="130" a="1"/>
  <c r="AD15" i="130" a="1"/>
  <c r="AQ14" i="130" a="1"/>
  <c r="BD13" i="130" a="1"/>
  <c r="H13" i="130" a="1"/>
  <c r="U12" i="130" a="1"/>
  <c r="AH11" i="130" a="1"/>
  <c r="AU10" i="130" a="1"/>
  <c r="BH9" i="130" a="1"/>
  <c r="L9" i="130" a="1"/>
  <c r="Y8" i="130" a="1"/>
  <c r="V36" i="130" a="1"/>
  <c r="O31" i="130" a="1"/>
  <c r="F28" i="130" a="1"/>
  <c r="BF24" i="130" a="1"/>
  <c r="AW21" i="130" a="1"/>
  <c r="E36" i="130" a="1"/>
  <c r="BE32" i="130" a="1"/>
  <c r="AV29" i="130" a="1"/>
  <c r="AM26" i="130" a="1"/>
  <c r="AS24" i="130" a="1"/>
  <c r="AQ22" i="130" a="1"/>
  <c r="AY37" i="130" a="1"/>
  <c r="T36" i="130" a="1"/>
  <c r="E35" i="130" a="1"/>
  <c r="AQ33" i="130" a="1"/>
  <c r="AJ32" i="130" a="1"/>
  <c r="U31" i="130" a="1"/>
  <c r="N30" i="130" a="1"/>
  <c r="BH28" i="130" a="1"/>
  <c r="BE27" i="130" a="1"/>
  <c r="BJ26" i="130" a="1"/>
  <c r="BK25" i="130" a="1"/>
  <c r="C25" i="130" a="1"/>
  <c r="H24" i="130" a="1"/>
  <c r="M23" i="130" a="1"/>
  <c r="R22" i="130" a="1"/>
  <c r="AT21" i="130" a="1"/>
  <c r="AU20" i="130" a="1"/>
  <c r="BH19" i="130" a="1"/>
  <c r="L19" i="130" a="1"/>
  <c r="Y18" i="130" a="1"/>
  <c r="AL17" i="130" a="1"/>
  <c r="AY16" i="130" a="1"/>
  <c r="C16" i="130" a="1"/>
  <c r="P15" i="130" a="1"/>
  <c r="AC14" i="130" a="1"/>
  <c r="AP13" i="130" a="1"/>
  <c r="BC12" i="130" a="1"/>
  <c r="G12" i="130" a="1"/>
  <c r="T11" i="130" a="1"/>
  <c r="AG10" i="130" a="1"/>
  <c r="AT9" i="130" a="1"/>
  <c r="BG8" i="130" a="1"/>
  <c r="K8" i="130" a="1"/>
  <c r="W7" i="130" a="1"/>
  <c r="AJ5" i="130" a="1"/>
  <c r="FE5" i="132" a="1"/>
  <c r="EX7" i="132" a="1"/>
  <c r="DX15" i="132" a="1"/>
  <c r="CQ6" i="132" a="1"/>
  <c r="BH16" i="132" a="1"/>
  <c r="AD16" i="132" a="1"/>
  <c r="CU7" i="132" a="1"/>
  <c r="DU15" i="132" a="1"/>
  <c r="DR8" i="132" a="1"/>
  <c r="DI5" i="132" a="1"/>
  <c r="CW8" i="132" a="1"/>
  <c r="DY14" i="132" a="1"/>
  <c r="BR13" i="132" a="1"/>
  <c r="AL16" i="132" a="1"/>
  <c r="BW6" i="132" a="1"/>
  <c r="DG9" i="132" a="1"/>
  <c r="Y21" i="130" a="1"/>
  <c r="AL20" i="130" a="1"/>
  <c r="AY19" i="130" a="1"/>
  <c r="C19" i="130" a="1"/>
  <c r="P18" i="130" a="1"/>
  <c r="AC17" i="130" a="1"/>
  <c r="AP16" i="130" a="1"/>
  <c r="BC15" i="130" a="1"/>
  <c r="G15" i="130" a="1"/>
  <c r="T14" i="130" a="1"/>
  <c r="AG13" i="130" a="1"/>
  <c r="AT12" i="130" a="1"/>
  <c r="BG11" i="130" a="1"/>
  <c r="K11" i="130" a="1"/>
  <c r="X10" i="130" a="1"/>
  <c r="AK9" i="130" a="1"/>
  <c r="AX8" i="130" a="1"/>
  <c r="BJ7" i="130" a="1"/>
  <c r="N7" i="130" a="1"/>
  <c r="AA5" i="130" a="1"/>
  <c r="AO13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I35" i="130" a="1"/>
  <c r="BD30" i="130" a="1"/>
  <c r="AU27" i="130" a="1"/>
  <c r="AL24" i="130" a="1"/>
  <c r="E39" i="130" a="1"/>
  <c r="AT35" i="130" a="1"/>
  <c r="AK32" i="130" a="1"/>
  <c r="AB29" i="130" a="1"/>
  <c r="AE26" i="130" a="1"/>
  <c r="AO24" i="130" a="1"/>
  <c r="AI22" i="130" a="1"/>
  <c r="AQ37" i="130" a="1"/>
  <c r="P36" i="130" a="1"/>
  <c r="BF34" i="130" a="1"/>
  <c r="AM33" i="130" a="1"/>
  <c r="X32" i="130" a="1"/>
  <c r="Q31" i="130" a="1"/>
  <c r="BK29" i="130" a="1"/>
  <c r="BD28" i="130" a="1"/>
  <c r="BA27" i="130" a="1"/>
  <c r="BB26" i="130" a="1"/>
  <c r="BC25" i="130" a="1"/>
  <c r="BH24" i="130" a="1"/>
  <c r="D24" i="130" a="1"/>
  <c r="I23" i="130" a="1"/>
  <c r="J22" i="130" a="1"/>
  <c r="AL21" i="130" a="1"/>
  <c r="AQ20" i="130" a="1"/>
  <c r="BD19" i="130" a="1"/>
  <c r="H19" i="130" a="1"/>
  <c r="U18" i="130" a="1"/>
  <c r="AH17" i="130" a="1"/>
  <c r="AU16" i="130" a="1"/>
  <c r="BH15" i="130" a="1"/>
  <c r="L15" i="130" a="1"/>
  <c r="Y14" i="130" a="1"/>
  <c r="AL13" i="130" a="1"/>
  <c r="AY12" i="130" a="1"/>
  <c r="C12" i="130" a="1"/>
  <c r="P11" i="130" a="1"/>
  <c r="AC10" i="130" a="1"/>
  <c r="AP9" i="130" a="1"/>
  <c r="BC8" i="130" a="1"/>
  <c r="G8" i="130" a="1"/>
  <c r="S7" i="130" a="1"/>
  <c r="AF5" i="130" a="1"/>
  <c r="FD6" i="132" a="1"/>
  <c r="AO14" i="132" a="1"/>
  <c r="BQ15" i="132" a="1"/>
  <c r="DF16" i="132" a="1"/>
  <c r="CA15" i="132" a="1"/>
  <c r="AU7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AY15" i="130" a="1"/>
  <c r="C15" i="130" a="1"/>
  <c r="P14" i="130" a="1"/>
  <c r="AC13" i="130" a="1"/>
  <c r="AP12" i="130" a="1"/>
  <c r="BC11" i="130" a="1"/>
  <c r="G11" i="130" a="1"/>
  <c r="T10" i="130" a="1"/>
  <c r="AG9" i="130" a="1"/>
  <c r="AT8" i="130" a="1"/>
  <c r="BF7" i="130" a="1"/>
  <c r="J7" i="130" a="1"/>
  <c r="W5" i="130" a="1"/>
  <c r="FA14" i="132" a="1"/>
  <c r="CD11" i="132" a="1"/>
  <c r="N9" i="132" a="1"/>
  <c r="CD14" i="132" a="1"/>
  <c r="Z6" i="132" a="1"/>
  <c r="BL14" i="132" a="1"/>
  <c r="CH11" i="132" a="1"/>
  <c r="EI7" i="132" a="1"/>
  <c r="BC8" i="132" a="1"/>
  <c r="BW16" i="132" a="1"/>
  <c r="DA13" i="132" a="1"/>
  <c r="CP8" i="132" a="1"/>
  <c r="DV7" i="132" a="1"/>
  <c r="AN21" i="130" a="1"/>
  <c r="BA20" i="130" a="1"/>
  <c r="E20" i="130" a="1"/>
  <c r="R19" i="130" a="1"/>
  <c r="AE18" i="130" a="1"/>
  <c r="AR17" i="130" a="1"/>
  <c r="BE16" i="130" a="1"/>
  <c r="I16" i="130" a="1"/>
  <c r="V15" i="130" a="1"/>
  <c r="AI14" i="130" a="1"/>
  <c r="AV13" i="130" a="1"/>
  <c r="BI12" i="130" a="1"/>
  <c r="M12" i="130" a="1"/>
  <c r="Z11" i="130" a="1"/>
  <c r="AM10" i="130" a="1"/>
  <c r="AV34" i="130" a="1"/>
  <c r="AZ30" i="130" a="1"/>
  <c r="AQ27" i="130" a="1"/>
  <c r="AH24" i="130" a="1"/>
  <c r="BF38" i="130" a="1"/>
  <c r="AP35" i="130" a="1"/>
  <c r="AG32" i="130" a="1"/>
  <c r="X29" i="130" a="1"/>
  <c r="S26" i="130" a="1"/>
  <c r="Q24" i="130" a="1"/>
  <c r="BA39" i="130" a="1"/>
  <c r="AI37" i="130" a="1"/>
  <c r="H36" i="130" a="1"/>
  <c r="AT34" i="130" a="1"/>
  <c r="AI33" i="130" a="1"/>
  <c r="T32" i="130" a="1"/>
  <c r="M31" i="130" a="1"/>
  <c r="BG29" i="130" a="1"/>
  <c r="AZ28" i="130" a="1"/>
  <c r="AW27" i="130" a="1"/>
  <c r="AX26" i="130" a="1"/>
  <c r="AY25" i="130" a="1"/>
  <c r="BD24" i="130" a="1"/>
  <c r="BI23" i="130" a="1"/>
  <c r="E23" i="130" a="1"/>
  <c r="F22" i="130" a="1"/>
  <c r="AH21" i="130" a="1"/>
  <c r="AM20" i="130" a="1"/>
  <c r="AZ19" i="130" a="1"/>
  <c r="D19" i="130" a="1"/>
  <c r="Q18" i="130" a="1"/>
  <c r="AD17" i="130" a="1"/>
  <c r="AQ16" i="130" a="1"/>
  <c r="BD15" i="130" a="1"/>
  <c r="H15" i="130" a="1"/>
  <c r="U14" i="130" a="1"/>
  <c r="AH13" i="130" a="1"/>
  <c r="AU12" i="130" a="1"/>
  <c r="BH11" i="130" a="1"/>
  <c r="L11" i="130" a="1"/>
  <c r="Y10" i="130" a="1"/>
  <c r="AL9" i="130" a="1"/>
  <c r="AY8" i="130" a="1"/>
  <c r="BK7" i="130" a="1"/>
  <c r="O7" i="130" a="1"/>
  <c r="AB5" i="130" a="1"/>
  <c r="BG7" i="132" a="1"/>
  <c r="EB15" i="132" a="1"/>
  <c r="W11" i="132" a="1"/>
  <c r="EW7" i="132" a="1"/>
  <c r="DB16" i="132" a="1"/>
  <c r="EK13" i="132" a="1"/>
  <c r="C8" i="132" a="1"/>
  <c r="M9" i="132" a="1"/>
  <c r="EF9" i="132" a="1"/>
  <c r="BG9" i="132" a="1"/>
  <c r="CL16" i="132" a="1"/>
  <c r="CY7" i="132" a="1"/>
  <c r="DJ6" i="132" a="1"/>
  <c r="L7" i="132" a="1"/>
  <c r="EJ11" i="132" a="1"/>
  <c r="W22" i="130" a="1"/>
  <c r="Q21" i="130" a="1"/>
  <c r="AD20" i="130" a="1"/>
  <c r="AQ19" i="130" a="1"/>
  <c r="BD18" i="130" a="1"/>
  <c r="H18" i="130" a="1"/>
  <c r="U17" i="130" a="1"/>
  <c r="AH16" i="130" a="1"/>
  <c r="AU15" i="130" a="1"/>
  <c r="BH14" i="130" a="1"/>
  <c r="L14" i="130" a="1"/>
  <c r="Y13" i="130" a="1"/>
  <c r="AL12" i="130" a="1"/>
  <c r="AY11" i="130" a="1"/>
  <c r="C11" i="130" a="1"/>
  <c r="P10" i="130" a="1"/>
  <c r="AC9" i="130" a="1"/>
  <c r="AP8" i="130" a="1"/>
  <c r="BB7" i="130" a="1"/>
  <c r="F7" i="130" a="1"/>
  <c r="S5" i="130" a="1"/>
  <c r="J6" i="132" a="1"/>
  <c r="FD8" i="132" a="1"/>
  <c r="CE13" i="132" a="1"/>
  <c r="CC8" i="132" a="1"/>
  <c r="FA12" i="132" a="1"/>
  <c r="CY13" i="132" a="1"/>
  <c r="EX5" i="132" a="1"/>
  <c r="EY13" i="132" a="1"/>
  <c r="CU5" i="132" a="1"/>
  <c r="G14" i="132" a="1"/>
  <c r="CC15" i="132" a="1"/>
  <c r="AW9" i="132" a="1"/>
  <c r="CA16" i="132" a="1"/>
  <c r="AJ21" i="130" a="1"/>
  <c r="AW20" i="130" a="1"/>
  <c r="BJ19" i="130" a="1"/>
  <c r="N19" i="130" a="1"/>
  <c r="AA18" i="130" a="1"/>
  <c r="AN17" i="130" a="1"/>
  <c r="BA16" i="130" a="1"/>
  <c r="E16" i="130" a="1"/>
  <c r="R15" i="130" a="1"/>
  <c r="AE14" i="130" a="1"/>
  <c r="AR13" i="130" a="1"/>
  <c r="BE12" i="130" a="1"/>
  <c r="I12" i="130" a="1"/>
  <c r="V11" i="130" a="1"/>
  <c r="AI10" i="130" a="1"/>
  <c r="AV9" i="130" a="1"/>
  <c r="BI8" i="130" a="1"/>
  <c r="M8" i="130" a="1"/>
  <c r="Y7" i="130" a="1"/>
  <c r="AL5" i="130" a="1"/>
  <c r="FD14" i="132" a="1"/>
  <c r="EL13" i="132" a="1"/>
  <c r="AL14" i="132" a="1"/>
  <c r="J8" i="132" a="1"/>
  <c r="CM16" i="132" a="1"/>
  <c r="CT11" i="132" a="1"/>
  <c r="DG6" i="132" a="1"/>
  <c r="CR16" i="132" a="1"/>
  <c r="CZ14" i="132" a="1"/>
  <c r="AR13" i="132" a="1"/>
  <c r="DK12" i="132" a="1"/>
  <c r="BI33" i="130" a="1"/>
  <c r="AB30" i="130" a="1"/>
  <c r="S27" i="130" a="1"/>
  <c r="J24" i="130" a="1"/>
  <c r="AA38" i="130" a="1"/>
  <c r="R35" i="130" a="1"/>
  <c r="I32" i="130" a="1"/>
  <c r="BI28" i="130" a="1"/>
  <c r="O26" i="130" a="1"/>
  <c r="I24" i="130" a="1"/>
  <c r="AK39" i="130" a="1"/>
  <c r="AE37" i="130" a="1"/>
  <c r="BI35" i="130" a="1"/>
  <c r="AP34" i="130" a="1"/>
  <c r="AE33" i="130" a="1"/>
  <c r="L32" i="130" a="1"/>
  <c r="I31" i="130" a="1"/>
  <c r="AY29" i="130" a="1"/>
  <c r="AV28" i="130" a="1"/>
  <c r="AO27" i="130" a="1"/>
  <c r="AP26" i="130" a="1"/>
  <c r="AU25" i="130" a="1"/>
  <c r="AZ24" i="130" a="1"/>
  <c r="BE23" i="130" a="1"/>
  <c r="BF22" i="130" a="1"/>
  <c r="BG21" i="130" a="1"/>
  <c r="AD21" i="130" a="1"/>
  <c r="AI20" i="130" a="1"/>
  <c r="AV19" i="130" a="1"/>
  <c r="BI18" i="130" a="1"/>
  <c r="M18" i="130" a="1"/>
  <c r="Z17" i="130" a="1"/>
  <c r="AM16" i="130" a="1"/>
  <c r="AZ15" i="130" a="1"/>
  <c r="D15" i="130" a="1"/>
  <c r="Q14" i="130" a="1"/>
  <c r="AD13" i="130" a="1"/>
  <c r="AQ12" i="130" a="1"/>
  <c r="BD11" i="130" a="1"/>
  <c r="H11" i="130" a="1"/>
  <c r="U10" i="130" a="1"/>
  <c r="AH9" i="130" a="1"/>
  <c r="AU8" i="130" a="1"/>
  <c r="BG7" i="130" a="1"/>
  <c r="K7" i="130" a="1"/>
  <c r="X5" i="130" a="1"/>
  <c r="CK11" i="132" a="1"/>
  <c r="FF9" i="132" a="1"/>
  <c r="CO11" i="132" a="1"/>
  <c r="DJ5" i="132" a="1"/>
  <c r="AF5" i="132" a="1"/>
  <c r="DN16" i="132" a="1"/>
  <c r="BR8" i="132" a="1"/>
  <c r="AA12" i="132" a="1"/>
  <c r="CP14" i="132" a="1"/>
  <c r="H8" i="132" a="1"/>
  <c r="DE12" i="132" a="1"/>
  <c r="AY13" i="132" a="1"/>
  <c r="EK5" i="132" a="1"/>
  <c r="ET6" i="132" a="1"/>
  <c r="X12" i="132" a="1"/>
  <c r="O22" i="130" a="1"/>
  <c r="M21" i="130" a="1"/>
  <c r="Z20" i="130" a="1"/>
  <c r="AM19" i="130" a="1"/>
  <c r="AZ18" i="130" a="1"/>
  <c r="D18" i="130" a="1"/>
  <c r="Q17" i="130" a="1"/>
  <c r="AD16" i="130" a="1"/>
  <c r="AQ15" i="130" a="1"/>
  <c r="BD14" i="130" a="1"/>
  <c r="H14" i="130" a="1"/>
  <c r="U13" i="130" a="1"/>
  <c r="AH12" i="130" a="1"/>
  <c r="AU11" i="130" a="1"/>
  <c r="BH10" i="130" a="1"/>
  <c r="L10" i="130" a="1"/>
  <c r="Y9" i="130" a="1"/>
  <c r="AL8" i="130" a="1"/>
  <c r="AX7" i="130" a="1"/>
  <c r="BK5" i="130" a="1"/>
  <c r="O5" i="130" a="1"/>
  <c r="DY5" i="132" a="1"/>
  <c r="FF12" i="132" a="1"/>
  <c r="EW12" i="132" a="1"/>
  <c r="CT16" i="132" a="1"/>
  <c r="DW16" i="132" a="1"/>
  <c r="AV12" i="132" a="1"/>
  <c r="EU5" i="132" a="1"/>
  <c r="DG12" i="132" a="1"/>
  <c r="CV16" i="132" a="1"/>
  <c r="CX9" i="132" a="1"/>
  <c r="Q11" i="132" a="1"/>
  <c r="BH13" i="132" a="1"/>
  <c r="BW11" i="132" a="1"/>
  <c r="AF21" i="130" a="1"/>
  <c r="AS20" i="130" a="1"/>
  <c r="BF19" i="130" a="1"/>
  <c r="J19" i="130" a="1"/>
  <c r="W18" i="130" a="1"/>
  <c r="AJ17" i="130" a="1"/>
  <c r="AW16" i="130" a="1"/>
  <c r="BJ15" i="130" a="1"/>
  <c r="AK33" i="130" a="1"/>
  <c r="H30" i="130" a="1"/>
  <c r="BH26" i="130" a="1"/>
  <c r="AY23" i="130" a="1"/>
  <c r="G38" i="130" a="1"/>
  <c r="BG34" i="130" a="1"/>
  <c r="AX31" i="130" a="1"/>
  <c r="AO28" i="130" a="1"/>
  <c r="AZ25" i="130" a="1"/>
  <c r="BJ23" i="130" a="1"/>
  <c r="U39" i="130" a="1"/>
  <c r="AA37" i="130" a="1"/>
  <c r="BE35" i="130" a="1"/>
  <c r="AH34" i="130" a="1"/>
  <c r="W33" i="130" a="1"/>
  <c r="H32" i="130" a="1"/>
  <c r="BJ30" i="130" a="1"/>
  <c r="AU29" i="130" a="1"/>
  <c r="AN28" i="130" a="1"/>
  <c r="AK27" i="130" a="1"/>
  <c r="AL26" i="130" a="1"/>
  <c r="AQ25" i="130" a="1"/>
  <c r="AV24" i="130" a="1"/>
  <c r="BA23" i="130" a="1"/>
  <c r="BB22" i="130" a="1"/>
  <c r="BC21" i="130" a="1"/>
  <c r="Z21" i="130" a="1"/>
  <c r="AE20" i="130" a="1"/>
  <c r="AR19" i="130" a="1"/>
  <c r="BE18" i="130" a="1"/>
  <c r="I18" i="130" a="1"/>
  <c r="V17" i="130" a="1"/>
  <c r="AI16" i="130" a="1"/>
  <c r="AV15" i="130" a="1"/>
  <c r="BI14" i="130" a="1"/>
  <c r="M14" i="130" a="1"/>
  <c r="Z13" i="130" a="1"/>
  <c r="AM12" i="130" a="1"/>
  <c r="AZ11" i="130" a="1"/>
  <c r="D11" i="130" a="1"/>
  <c r="Q10" i="130" a="1"/>
  <c r="AD9" i="130" a="1"/>
  <c r="AQ8" i="130" a="1"/>
  <c r="BC7" i="130" a="1"/>
  <c r="G7" i="130" a="1"/>
  <c r="T5" i="130" a="1"/>
  <c r="BC15" i="132" a="1"/>
  <c r="FE7" i="132" a="1"/>
  <c r="CZ15" i="132" a="1"/>
  <c r="AE13" i="132" a="1"/>
  <c r="EK12" i="132" a="1"/>
  <c r="CH15" i="132" a="1"/>
  <c r="CS7" i="132" a="1"/>
  <c r="AH7" i="132" a="1"/>
  <c r="K15" i="132" a="1"/>
  <c r="DZ5" i="132" a="1"/>
  <c r="CG8" i="132" a="1"/>
  <c r="L8" i="132" a="1"/>
  <c r="AH6" i="132" a="1"/>
  <c r="EB9" i="132" a="1"/>
  <c r="EY16" i="132" a="1"/>
  <c r="G22" i="130" a="1"/>
  <c r="I21" i="130" a="1"/>
  <c r="V20" i="130" a="1"/>
  <c r="AI19" i="130" a="1"/>
  <c r="AV18" i="130" a="1"/>
  <c r="BI17" i="130" a="1"/>
  <c r="M17" i="130" a="1"/>
  <c r="Z16" i="130" a="1"/>
  <c r="AM15" i="130" a="1"/>
  <c r="AZ14" i="130" a="1"/>
  <c r="D14" i="130" a="1"/>
  <c r="Q13" i="130" a="1"/>
  <c r="AD12" i="130" a="1"/>
  <c r="AQ11" i="130" a="1"/>
  <c r="BD10" i="130" a="1"/>
  <c r="H10" i="130" a="1"/>
  <c r="U9" i="130" a="1"/>
  <c r="AH8" i="130" a="1"/>
  <c r="AT7" i="130" a="1"/>
  <c r="BG5" i="130" a="1"/>
  <c r="K5" i="130" a="1"/>
  <c r="AP8" i="132" a="1"/>
  <c r="BY5" i="132" a="1"/>
  <c r="DK9" i="132" a="1"/>
  <c r="CI7" i="132" a="1"/>
  <c r="EZ12" i="132" a="1"/>
  <c r="DE5" i="132" a="1"/>
  <c r="P15" i="132" a="1"/>
  <c r="CL14" i="132" a="1"/>
  <c r="EU14" i="132" a="1"/>
  <c r="BD15" i="132" a="1"/>
  <c r="AB8" i="132" a="1"/>
  <c r="CN8" i="132" a="1"/>
  <c r="BR7" i="132" a="1"/>
  <c r="AB21" i="130" a="1"/>
  <c r="AO20" i="130" a="1"/>
  <c r="BB19" i="130" a="1"/>
  <c r="F19" i="130" a="1"/>
  <c r="S18" i="130" a="1"/>
  <c r="AF17" i="130" a="1"/>
  <c r="AS16" i="130" a="1"/>
  <c r="BF15" i="130" a="1"/>
  <c r="J15" i="130" a="1"/>
  <c r="W14" i="130" a="1"/>
  <c r="AJ13" i="130" a="1"/>
  <c r="AW12" i="130" a="1"/>
  <c r="BJ11" i="130" a="1"/>
  <c r="N11" i="130" a="1"/>
  <c r="AA10" i="130" a="1"/>
  <c r="AN9" i="130" a="1"/>
  <c r="BA8" i="130" a="1"/>
  <c r="E8" i="130" a="1"/>
  <c r="Q7" i="130" a="1"/>
  <c r="AD5" i="130" a="1"/>
  <c r="FF15" i="132" a="1"/>
  <c r="DC7" i="132" a="1"/>
  <c r="FF14" i="132" a="1"/>
  <c r="DP11" i="132" a="1"/>
  <c r="J14" i="132" a="1"/>
  <c r="AI15" i="132" a="1"/>
  <c r="CD13" i="132" a="1"/>
  <c r="AX6" i="132" a="1"/>
  <c r="BC11" i="132" a="1"/>
  <c r="AV11" i="132" a="1"/>
  <c r="DD7" i="132" a="1"/>
  <c r="EN12" i="132" a="1"/>
  <c r="EI6" i="132" a="1"/>
  <c r="EQ16" i="132" a="1"/>
  <c r="AS15" i="132" a="1"/>
  <c r="AM8" i="132" a="1"/>
  <c r="AK16" i="132" a="1"/>
  <c r="BD11" i="132" a="1"/>
  <c r="L11" i="132" a="1"/>
  <c r="L13" i="132" a="1"/>
  <c r="AA16" i="132" a="1"/>
  <c r="CW12" i="132" a="1"/>
  <c r="C22" i="130" a="1"/>
  <c r="G21" i="130" a="1"/>
  <c r="T20" i="130" a="1"/>
  <c r="AG19" i="130" a="1"/>
  <c r="AT18" i="130" a="1"/>
  <c r="BG17" i="130" a="1"/>
  <c r="K17" i="130" a="1"/>
  <c r="X16" i="130" a="1"/>
  <c r="M33" i="130" a="1"/>
  <c r="D30" i="130" a="1"/>
  <c r="BD26" i="130" a="1"/>
  <c r="AU23" i="130" a="1"/>
  <c r="C38" i="130" a="1"/>
  <c r="BC34" i="130" a="1"/>
  <c r="AT31" i="130" a="1"/>
  <c r="AK28" i="130" a="1"/>
  <c r="AR25" i="130" a="1"/>
  <c r="BF23" i="130" a="1"/>
  <c r="AQ38" i="130" a="1"/>
  <c r="G37" i="130" a="1"/>
  <c r="BA35" i="130" a="1"/>
  <c r="Z34" i="130" a="1"/>
  <c r="K33" i="130" a="1"/>
  <c r="D32" i="130" a="1"/>
  <c r="AX30" i="130" a="1"/>
  <c r="AQ29" i="130" a="1"/>
  <c r="AB28" i="130" a="1"/>
  <c r="AC27" i="130" a="1"/>
  <c r="AH26" i="130" a="1"/>
  <c r="AM25" i="130" a="1"/>
  <c r="AR24" i="130" a="1"/>
  <c r="AS23" i="130" a="1"/>
  <c r="AT22" i="130" a="1"/>
  <c r="AY21" i="130" a="1"/>
  <c r="V21" i="130" a="1"/>
  <c r="AA20" i="130" a="1"/>
  <c r="AN19" i="130" a="1"/>
  <c r="BA18" i="130" a="1"/>
  <c r="E18" i="130" a="1"/>
  <c r="R17" i="130" a="1"/>
  <c r="AE16" i="130" a="1"/>
  <c r="AR15" i="130" a="1"/>
  <c r="BE14" i="130" a="1"/>
  <c r="I14" i="130" a="1"/>
  <c r="V13" i="130" a="1"/>
  <c r="AI12" i="130" a="1"/>
  <c r="AV11" i="130" a="1"/>
  <c r="BI10" i="130" a="1"/>
  <c r="M10" i="130" a="1"/>
  <c r="Z9" i="130" a="1"/>
  <c r="AM8" i="130" a="1"/>
  <c r="AY7" i="130" a="1"/>
  <c r="C7" i="130" a="1"/>
  <c r="P5" i="130" a="1"/>
  <c r="DM7" i="132" a="1"/>
  <c r="Z11" i="132" a="1"/>
  <c r="ES14" i="132" a="1"/>
  <c r="CP7" i="132" a="1"/>
  <c r="AR16" i="132" a="1"/>
  <c r="K9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I17" i="130" a="1"/>
  <c r="V16" i="130" a="1"/>
  <c r="AI15" i="130" a="1"/>
  <c r="AV14" i="130" a="1"/>
  <c r="BI13" i="130" a="1"/>
  <c r="M13" i="130" a="1"/>
  <c r="Z12" i="130" a="1"/>
  <c r="AM11" i="130" a="1"/>
  <c r="AZ10" i="130" a="1"/>
  <c r="D10" i="130" a="1"/>
  <c r="Q9" i="130" a="1"/>
  <c r="AD8" i="130" a="1"/>
  <c r="AP7" i="130" a="1"/>
  <c r="BC5" i="130" a="1"/>
  <c r="G5" i="130" a="1"/>
  <c r="BZ14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AS12" i="130" a="1"/>
  <c r="AX32" i="130" a="1"/>
  <c r="AO29" i="130" a="1"/>
  <c r="AF26" i="130" a="1"/>
  <c r="W23" i="130" a="1"/>
  <c r="AN37" i="130" a="1"/>
  <c r="AE34" i="130" a="1"/>
  <c r="V31" i="130" a="1"/>
  <c r="M28" i="130" a="1"/>
  <c r="AJ25" i="130" a="1"/>
  <c r="BB23" i="130" a="1"/>
  <c r="AL38" i="130" a="1"/>
  <c r="C37" i="130" a="1"/>
  <c r="AS35" i="130" a="1"/>
  <c r="V34" i="130" a="1"/>
  <c r="G33" i="130" a="1"/>
  <c r="BI31" i="130" a="1"/>
  <c r="AT30" i="130" a="1"/>
  <c r="AM29" i="130" a="1"/>
  <c r="X28" i="130" a="1"/>
  <c r="Y27" i="130" a="1"/>
  <c r="AD26" i="130" a="1"/>
  <c r="AI25" i="130" a="1"/>
  <c r="AN24" i="130" a="1"/>
  <c r="AO23" i="130" a="1"/>
  <c r="AP22" i="130" a="1"/>
  <c r="AU21" i="130" a="1"/>
  <c r="R21" i="130" a="1"/>
  <c r="W20" i="130" a="1"/>
  <c r="AJ19" i="130" a="1"/>
  <c r="AW18" i="130" a="1"/>
  <c r="BJ17" i="130" a="1"/>
  <c r="N17" i="130" a="1"/>
  <c r="AA16" i="130" a="1"/>
  <c r="AN15" i="130" a="1"/>
  <c r="BA14" i="130" a="1"/>
  <c r="E14" i="130" a="1"/>
  <c r="R13" i="130" a="1"/>
  <c r="AE12" i="130" a="1"/>
  <c r="AR11" i="130" a="1"/>
  <c r="BE10" i="130" a="1"/>
  <c r="I10" i="130" a="1"/>
  <c r="V9" i="130" a="1"/>
  <c r="AI8" i="130" a="1"/>
  <c r="AU7" i="130" a="1"/>
  <c r="BH5" i="130" a="1"/>
  <c r="L5" i="130" a="1"/>
  <c r="D13" i="132" a="1"/>
  <c r="CC13" i="132" a="1"/>
  <c r="EO14" i="132" a="1"/>
  <c r="CQ11" i="132" a="1"/>
  <c r="CT7" i="132" a="1"/>
  <c r="BO15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C5" i="130" a="1"/>
  <c r="CC14" i="132" a="1"/>
  <c r="AU13" i="132" a="1"/>
  <c r="EQ5" i="132" a="1"/>
  <c r="AZ15" i="132" a="1"/>
  <c r="AB5" i="132" a="1"/>
  <c r="C7" i="132" a="1"/>
  <c r="Y5" i="132" a="1"/>
  <c r="DD12" i="132" a="1"/>
  <c r="DV16" i="132" a="1"/>
  <c r="AI5" i="132" a="1"/>
  <c r="CS11" i="132" a="1"/>
  <c r="DJ14" i="132" a="1"/>
  <c r="AC22" i="130" a="1"/>
  <c r="T21" i="130" a="1"/>
  <c r="AG20" i="130" a="1"/>
  <c r="AT19" i="130" a="1"/>
  <c r="BG18" i="130" a="1"/>
  <c r="K18" i="130" a="1"/>
  <c r="X17" i="130" a="1"/>
  <c r="AK16" i="130" a="1"/>
  <c r="AX15" i="130" a="1"/>
  <c r="BK14" i="130" a="1"/>
  <c r="O14" i="130" a="1"/>
  <c r="AB13" i="130" a="1"/>
  <c r="AO12" i="130" a="1"/>
  <c r="BB11" i="130" a="1"/>
  <c r="F11" i="130" a="1"/>
  <c r="S10" i="130" a="1"/>
  <c r="AF9" i="130" a="1"/>
  <c r="AS8" i="130" a="1"/>
  <c r="BE7" i="130" a="1"/>
  <c r="I7" i="130" a="1"/>
  <c r="V5" i="130" a="1"/>
  <c r="EU15" i="132" a="1"/>
  <c r="EQ6" i="132" a="1"/>
  <c r="AD32" i="130" a="1"/>
  <c r="U29" i="130" a="1"/>
  <c r="L26" i="130" a="1"/>
  <c r="C23" i="130" a="1"/>
  <c r="T37" i="130" a="1"/>
  <c r="K34" i="130" a="1"/>
  <c r="BK30" i="130" a="1"/>
  <c r="BB27" i="130" a="1"/>
  <c r="AF25" i="130" a="1"/>
  <c r="AD23" i="130" a="1"/>
  <c r="AD38" i="130" a="1"/>
  <c r="BD36" i="130" a="1"/>
  <c r="AG35" i="130" a="1"/>
  <c r="R34" i="130" a="1"/>
  <c r="BH32" i="130" a="1"/>
  <c r="BE31" i="130" a="1"/>
  <c r="AL30" i="130" a="1"/>
  <c r="AI29" i="130" a="1"/>
  <c r="P28" i="130" a="1"/>
  <c r="U27" i="130" a="1"/>
  <c r="Z26" i="130" a="1"/>
  <c r="AE25" i="130" a="1"/>
  <c r="AF24" i="130" a="1"/>
  <c r="AG23" i="130" a="1"/>
  <c r="AL22" i="130" a="1"/>
  <c r="AK22" i="130" a="1"/>
  <c r="N21" i="130" a="1"/>
  <c r="S20" i="130" a="1"/>
  <c r="AF19" i="130" a="1"/>
  <c r="AS18" i="130" a="1"/>
  <c r="BF17" i="130" a="1"/>
  <c r="J17" i="130" a="1"/>
  <c r="W16" i="130" a="1"/>
  <c r="AJ15" i="130" a="1"/>
  <c r="AW14" i="130" a="1"/>
  <c r="BJ13" i="130" a="1"/>
  <c r="N13" i="130" a="1"/>
  <c r="AA12" i="130" a="1"/>
  <c r="AN11" i="130" a="1"/>
  <c r="BA10" i="130" a="1"/>
  <c r="E10" i="130" a="1"/>
  <c r="R9" i="130" a="1"/>
  <c r="AE8" i="130" a="1"/>
  <c r="AQ7" i="130" a="1"/>
  <c r="BD5" i="130" a="1"/>
  <c r="H5" i="130" a="1"/>
  <c r="CQ5" i="132" a="1"/>
  <c r="CA9" i="132" a="1"/>
  <c r="CT14" i="132" a="1"/>
  <c r="DI12" i="132" a="1"/>
  <c r="DM8" i="132" a="1"/>
  <c r="U14" i="132" a="1"/>
  <c r="D8" i="132" a="1"/>
  <c r="S12" i="132" a="1"/>
  <c r="EJ9" i="132" a="1"/>
  <c r="BY12" i="132" a="1"/>
  <c r="BM16" i="132" a="1"/>
  <c r="AF8" i="132" a="1"/>
  <c r="BO6" i="132" a="1"/>
  <c r="DB13" i="132" a="1"/>
  <c r="EQ14" i="132" a="1"/>
  <c r="AS21" i="130" a="1"/>
  <c r="BF20" i="130" a="1"/>
  <c r="J20" i="130" a="1"/>
  <c r="W19" i="130" a="1"/>
  <c r="AJ18" i="130" a="1"/>
  <c r="AW17" i="130" a="1"/>
  <c r="BJ16" i="130" a="1"/>
  <c r="N16" i="130" a="1"/>
  <c r="AA15" i="130" a="1"/>
  <c r="AN14" i="130" a="1"/>
  <c r="BA13" i="130" a="1"/>
  <c r="E13" i="130" a="1"/>
  <c r="R12" i="130" a="1"/>
  <c r="AE11" i="130" a="1"/>
  <c r="AR10" i="130" a="1"/>
  <c r="BE9" i="130" a="1"/>
  <c r="I9" i="130" a="1"/>
  <c r="V8" i="130" a="1"/>
  <c r="AH7" i="130" a="1"/>
  <c r="AU5" i="130" a="1"/>
  <c r="FD16" i="132" a="1"/>
  <c r="CH5" i="132" a="1"/>
  <c r="AZ9" i="132" a="1"/>
  <c r="AS11" i="132" a="1"/>
  <c r="BV5" i="132" a="1"/>
  <c r="Y9" i="132" a="1"/>
  <c r="DH16" i="132" a="1"/>
  <c r="BJ12" i="132" a="1"/>
  <c r="W16" i="132" a="1"/>
  <c r="EG5" i="132" a="1"/>
  <c r="FC8" i="132" a="1"/>
  <c r="D14" i="132" a="1"/>
  <c r="CJ7" i="132" a="1"/>
  <c r="U22" i="130" a="1"/>
  <c r="P21" i="130" a="1"/>
  <c r="AC20" i="130" a="1"/>
  <c r="AP19" i="130" a="1"/>
  <c r="BC18" i="130" a="1"/>
  <c r="G18" i="130" a="1"/>
  <c r="T17" i="130" a="1"/>
  <c r="AG16" i="130" a="1"/>
  <c r="AT15" i="130" a="1"/>
  <c r="BG14" i="130" a="1"/>
  <c r="K14" i="130" a="1"/>
  <c r="X13" i="130" a="1"/>
  <c r="AK12" i="130" a="1"/>
  <c r="AX11" i="130" a="1"/>
  <c r="BK10" i="130" a="1"/>
  <c r="O10" i="130" a="1"/>
  <c r="AB9" i="130" a="1"/>
  <c r="AO8" i="130" a="1"/>
  <c r="BA7" i="130" a="1"/>
  <c r="E7" i="130" a="1"/>
  <c r="R5" i="130" a="1"/>
  <c r="AA13" i="132" a="1"/>
  <c r="FF11" i="132" a="1"/>
  <c r="BQ5" i="132" a="1"/>
  <c r="H12" i="132" a="1"/>
  <c r="FB13" i="132" a="1"/>
  <c r="BG11" i="132" a="1"/>
  <c r="CE11" i="132" a="1"/>
  <c r="EC8" i="132" a="1"/>
  <c r="AA14" i="132" a="1"/>
  <c r="ES16" i="132" a="1"/>
  <c r="EE11" i="132" a="1"/>
  <c r="DO14" i="132" a="1"/>
  <c r="BH5" i="132" a="1"/>
  <c r="AM5" i="132" a="1"/>
  <c r="BV9" i="132" a="1"/>
  <c r="CH14" i="132" a="1"/>
  <c r="CA12" i="132" a="1"/>
  <c r="V8" i="132" a="1"/>
  <c r="EL15" i="132" a="1"/>
  <c r="BM6" i="132" a="1"/>
  <c r="K6" i="132" a="1"/>
  <c r="BF13" i="132" a="1"/>
  <c r="AQ21" i="130" a="1"/>
  <c r="BD20" i="130" a="1"/>
  <c r="H20" i="130" a="1"/>
  <c r="U19" i="130" a="1"/>
  <c r="AH18" i="130" a="1"/>
  <c r="AU17" i="130" a="1"/>
  <c r="BH16" i="130" a="1"/>
  <c r="L16" i="130" a="1"/>
  <c r="Y15" i="130" a="1"/>
  <c r="AL14" i="130" a="1"/>
  <c r="AY13" i="130" a="1"/>
  <c r="C13" i="130" a="1"/>
  <c r="P12" i="130" a="1"/>
  <c r="AC11" i="130" a="1"/>
  <c r="AP10" i="130" a="1"/>
  <c r="BC9" i="130" a="1"/>
  <c r="G9" i="130" a="1"/>
  <c r="T8" i="130" a="1"/>
  <c r="Z32" i="130" a="1"/>
  <c r="Q29" i="130" a="1"/>
  <c r="H26" i="130" a="1"/>
  <c r="BH22" i="130" a="1"/>
  <c r="P37" i="130" a="1"/>
  <c r="G34" i="130" a="1"/>
  <c r="BG30" i="130" a="1"/>
  <c r="AX27" i="130" a="1"/>
  <c r="AB25" i="130" a="1"/>
  <c r="V23" i="130" a="1"/>
  <c r="V38" i="130" a="1"/>
  <c r="AV36" i="130" a="1"/>
  <c r="AC35" i="130" a="1"/>
  <c r="J34" i="130" a="1"/>
  <c r="BD32" i="130" a="1"/>
  <c r="AW31" i="130" a="1"/>
  <c r="AH30" i="130" a="1"/>
  <c r="AA29" i="130" a="1"/>
  <c r="L28" i="130" a="1"/>
  <c r="Q27" i="130" a="1"/>
  <c r="V26" i="130" a="1"/>
  <c r="AA25" i="130" a="1"/>
  <c r="AB24" i="130" a="1"/>
  <c r="AC23" i="130" a="1"/>
  <c r="AH22" i="130" a="1"/>
  <c r="Y22" i="130" a="1"/>
  <c r="J21" i="130" a="1"/>
  <c r="O20" i="130" a="1"/>
  <c r="AB19" i="130" a="1"/>
  <c r="AO18" i="130" a="1"/>
  <c r="BB17" i="130" a="1"/>
  <c r="F17" i="130" a="1"/>
  <c r="S16" i="130" a="1"/>
  <c r="AF15" i="130" a="1"/>
  <c r="AS14" i="130" a="1"/>
  <c r="BF13" i="130" a="1"/>
  <c r="J13" i="130" a="1"/>
  <c r="W12" i="130" a="1"/>
  <c r="AJ11" i="130" a="1"/>
  <c r="AW10" i="130" a="1"/>
  <c r="BJ9" i="130" a="1"/>
  <c r="N9" i="130" a="1"/>
  <c r="AA8" i="130" a="1"/>
  <c r="AM7" i="130" a="1"/>
  <c r="AZ5" i="130" a="1"/>
  <c r="D5" i="130" a="1"/>
  <c r="FB15" i="132" a="1"/>
  <c r="Y16" i="132" a="1"/>
  <c r="BN14" i="132" a="1"/>
  <c r="T12" i="132" a="1"/>
  <c r="CL13" i="132" a="1"/>
  <c r="CT13" i="132" a="1"/>
  <c r="BC5" i="132" a="1"/>
  <c r="CB16" i="132" a="1"/>
  <c r="DE16" i="132" a="1"/>
  <c r="CL11" i="132" a="1"/>
  <c r="DO6" i="132" a="1"/>
  <c r="CV7" i="132" a="1"/>
  <c r="Y15" i="132" a="1"/>
  <c r="T14" i="132" a="1"/>
  <c r="CP11" i="132" a="1"/>
  <c r="AO21" i="130" a="1"/>
  <c r="BB20" i="130" a="1"/>
  <c r="F20" i="130" a="1"/>
  <c r="S19" i="130" a="1"/>
  <c r="AF18" i="130" a="1"/>
  <c r="AS17" i="130" a="1"/>
  <c r="BF16" i="130" a="1"/>
  <c r="J16" i="130" a="1"/>
  <c r="W15" i="130" a="1"/>
  <c r="AJ14" i="130" a="1"/>
  <c r="AW13" i="130" a="1"/>
  <c r="BJ12" i="130" a="1"/>
  <c r="N12" i="130" a="1"/>
  <c r="AA11" i="130" a="1"/>
  <c r="AN10" i="130" a="1"/>
  <c r="BA9" i="130" a="1"/>
  <c r="E9" i="130" a="1"/>
  <c r="R8" i="130" a="1"/>
  <c r="AD7" i="130" a="1"/>
  <c r="AQ5" i="130" a="1"/>
  <c r="FF6" i="132" a="1"/>
  <c r="CG6" i="132" a="1"/>
  <c r="CW13" i="132" a="1"/>
  <c r="FA7" i="132" a="1"/>
  <c r="C12" i="132" a="1"/>
  <c r="EL14" i="132" a="1"/>
  <c r="R16" i="132" a="1"/>
  <c r="J16" i="132" a="1"/>
  <c r="BS5" i="132" a="1"/>
  <c r="AO8" i="132" a="1"/>
  <c r="AJ16" i="132" a="1"/>
  <c r="AY7" i="132" a="1"/>
  <c r="EC6" i="132" a="1"/>
  <c r="M22" i="130" a="1"/>
  <c r="L21" i="130" a="1"/>
  <c r="Y20" i="130" a="1"/>
  <c r="AL19" i="130" a="1"/>
  <c r="AY18" i="130" a="1"/>
  <c r="C18" i="130" a="1"/>
  <c r="P17" i="130" a="1"/>
  <c r="AC16" i="130" a="1"/>
  <c r="AP15" i="130" a="1"/>
  <c r="BC14" i="130" a="1"/>
  <c r="G14" i="130" a="1"/>
  <c r="T13" i="130" a="1"/>
  <c r="AG12" i="130" a="1"/>
  <c r="AT11" i="130" a="1"/>
  <c r="BG10" i="130" a="1"/>
  <c r="K10" i="130" a="1"/>
  <c r="X9" i="130" a="1"/>
  <c r="AK8" i="130" a="1"/>
  <c r="AW7" i="130" a="1"/>
  <c r="BJ5" i="130" a="1"/>
  <c r="N5" i="130" a="1"/>
  <c r="P16" i="132" a="1"/>
  <c r="FF7" i="132" a="1"/>
  <c r="BM15" i="132" a="1"/>
  <c r="EA5" i="132" a="1"/>
  <c r="EY12" i="132" a="1"/>
  <c r="BZ15" i="132" a="1"/>
  <c r="Z9" i="132" a="1"/>
  <c r="BL11" i="132" a="1"/>
  <c r="BE13" i="132" a="1"/>
  <c r="CL6" i="132" a="1"/>
  <c r="DW8" i="132" a="1"/>
  <c r="BX16" i="132" a="1"/>
  <c r="AC9" i="132" a="1"/>
  <c r="CK13" i="132" a="1"/>
  <c r="AO15" i="132" a="1"/>
  <c r="I16" i="132" a="1"/>
  <c r="H9" i="132" a="1"/>
  <c r="DT8" i="132" a="1"/>
  <c r="DK7" i="132" a="1"/>
  <c r="ER14" i="132" a="1"/>
  <c r="AS6" i="132" a="1"/>
  <c r="DH13" i="132" a="1"/>
  <c r="AM21" i="130" a="1"/>
  <c r="AZ20" i="130" a="1"/>
  <c r="AQ31" i="130" a="1"/>
  <c r="AH28" i="130" a="1"/>
  <c r="Y25" i="130" a="1"/>
  <c r="P22" i="130" a="1"/>
  <c r="AG36" i="130" a="1"/>
  <c r="X33" i="130" a="1"/>
  <c r="O30" i="130" a="1"/>
  <c r="F27" i="130" a="1"/>
  <c r="BE24" i="130" a="1"/>
  <c r="J23" i="130" a="1"/>
  <c r="N38" i="130" a="1"/>
  <c r="AN36" i="130" a="1"/>
  <c r="M35" i="130" a="1"/>
  <c r="BC33" i="130" a="1"/>
  <c r="AV32" i="130" a="1"/>
  <c r="AG31" i="130" a="1"/>
  <c r="Z30" i="130" a="1"/>
  <c r="K29" i="130" a="1"/>
  <c r="D28" i="130" a="1"/>
  <c r="I27" i="130" a="1"/>
  <c r="N26" i="130" a="1"/>
  <c r="O25" i="130" a="1"/>
  <c r="P24" i="130" a="1"/>
  <c r="U23" i="130" a="1"/>
  <c r="Z22" i="130" a="1"/>
  <c r="I22" i="130" a="1"/>
  <c r="BG20" i="130" a="1"/>
  <c r="G20" i="130" a="1"/>
  <c r="T19" i="130" a="1"/>
  <c r="AG18" i="130" a="1"/>
  <c r="AT17" i="130" a="1"/>
  <c r="BG16" i="130" a="1"/>
  <c r="K16" i="130" a="1"/>
  <c r="X15" i="130" a="1"/>
  <c r="AK14" i="130" a="1"/>
  <c r="AX13" i="130" a="1"/>
  <c r="BK12" i="130" a="1"/>
  <c r="O12" i="130" a="1"/>
  <c r="AB11" i="130" a="1"/>
  <c r="AO10" i="130" a="1"/>
  <c r="BB9" i="130" a="1"/>
  <c r="F9" i="130" a="1"/>
  <c r="S8" i="130" a="1"/>
  <c r="AE7" i="130" a="1"/>
  <c r="AR5" i="130" a="1"/>
  <c r="FE13" i="132" a="1"/>
  <c r="CJ6" i="132" a="1"/>
  <c r="DF13" i="132" a="1"/>
  <c r="FD15" i="132" a="1"/>
  <c r="BY7" i="132" a="1"/>
  <c r="CM12" i="132" a="1"/>
  <c r="DS9" i="132" a="1"/>
  <c r="CG12" i="132" a="1"/>
  <c r="J12" i="132" a="1"/>
  <c r="CJ14" i="132" a="1"/>
  <c r="DH15" i="132" a="1"/>
  <c r="DX8" i="132" a="1"/>
  <c r="AH5" i="132" a="1"/>
  <c r="CR11" i="132" a="1"/>
  <c r="AM11" i="132" a="1"/>
  <c r="U7" i="132" a="1"/>
  <c r="AG21" i="130" a="1"/>
  <c r="AT20" i="130" a="1"/>
  <c r="BG19" i="130" a="1"/>
  <c r="K19" i="130" a="1"/>
  <c r="X18" i="130" a="1"/>
  <c r="AK17" i="130" a="1"/>
  <c r="AX16" i="130" a="1"/>
  <c r="BK15" i="130" a="1"/>
  <c r="O15" i="130" a="1"/>
  <c r="AB14" i="130" a="1"/>
  <c r="AO13" i="130" a="1"/>
  <c r="BB12" i="130" a="1"/>
  <c r="F12" i="130" a="1"/>
  <c r="S11" i="130" a="1"/>
  <c r="AF10" i="130" a="1"/>
  <c r="AS9" i="130" a="1"/>
  <c r="BF8" i="130" a="1"/>
  <c r="J8" i="130" a="1"/>
  <c r="V7" i="130" a="1"/>
  <c r="AI5" i="130" a="1"/>
  <c r="FF5" i="132" a="1"/>
  <c r="DL14" i="132" a="1"/>
  <c r="BI9" i="132" a="1"/>
  <c r="AR14" i="132" a="1"/>
  <c r="DR9" i="132" a="1"/>
  <c r="EK14" i="132" a="1"/>
  <c r="AY9" i="132" a="1"/>
  <c r="F14" i="132" a="1"/>
  <c r="ES9" i="132" a="1"/>
  <c r="DZ14" i="132" a="1"/>
  <c r="DO12" i="132" a="1"/>
  <c r="DH14" i="132" a="1"/>
  <c r="DD5" i="132" a="1"/>
  <c r="BF21" i="130" a="1"/>
  <c r="D21" i="130" a="1"/>
  <c r="Q20" i="130" a="1"/>
  <c r="AD19" i="130" a="1"/>
  <c r="AQ18" i="130" a="1"/>
  <c r="BD17" i="130" a="1"/>
  <c r="H17" i="130" a="1"/>
  <c r="U16" i="130" a="1"/>
  <c r="AH15" i="130" a="1"/>
  <c r="AU14" i="130" a="1"/>
  <c r="BH13" i="130" a="1"/>
  <c r="L13" i="130" a="1"/>
  <c r="Y12" i="130" a="1"/>
  <c r="AL11" i="130" a="1"/>
  <c r="AY10" i="130" a="1"/>
  <c r="C10" i="130" a="1"/>
  <c r="P9" i="130" a="1"/>
  <c r="AC8" i="130" a="1"/>
  <c r="AO7" i="130" a="1"/>
  <c r="BB5" i="130" a="1"/>
  <c r="F5" i="130" a="1"/>
  <c r="CE7" i="132" a="1"/>
  <c r="DY7" i="132" a="1"/>
  <c r="AJ6" i="132" a="1"/>
  <c r="AW16" i="132" a="1"/>
  <c r="DX12" i="132" a="1"/>
  <c r="CW9" i="132" a="1"/>
  <c r="EL16" i="132" a="1"/>
  <c r="CG14" i="132" a="1"/>
  <c r="EE9" i="132" a="1"/>
  <c r="DK14" i="132" a="1"/>
  <c r="CB13" i="132" a="1"/>
  <c r="EE7" i="132" a="1"/>
  <c r="BK31" i="130" a="1"/>
  <c r="U35" i="130" a="1"/>
  <c r="AD22" i="130" a="1"/>
  <c r="F13" i="130" a="1"/>
  <c r="DY15" i="132" a="1"/>
  <c r="DB15" i="132" a="1"/>
  <c r="BF12" i="130" a="1"/>
  <c r="FE6" i="132" a="1"/>
  <c r="U20" i="130" a="1"/>
  <c r="AZ13" i="130" a="1"/>
  <c r="J11" i="130" a="1"/>
  <c r="D9" i="130" a="1"/>
  <c r="U7" i="130" a="1"/>
  <c r="FF13" i="132" a="1"/>
  <c r="DM11" i="132" a="1"/>
  <c r="BK13" i="132" a="1"/>
  <c r="DJ16" i="132" a="1"/>
  <c r="EZ8" i="132" a="1"/>
  <c r="BD16" i="132" a="1"/>
  <c r="EJ15" i="132" a="1"/>
  <c r="DL6" i="132" a="1"/>
  <c r="CH13" i="132" a="1"/>
  <c r="DC8" i="132" a="1"/>
  <c r="AM9" i="132" a="1"/>
  <c r="CV14" i="132" a="1"/>
  <c r="ER15" i="132" a="1"/>
  <c r="CI8" i="132" a="1"/>
  <c r="EX6" i="132" a="1"/>
  <c r="W21" i="130" a="1"/>
  <c r="X20" i="130" a="1"/>
  <c r="Y19" i="130" a="1"/>
  <c r="Z18" i="130" a="1"/>
  <c r="AE17" i="130" a="1"/>
  <c r="AJ16" i="130" a="1"/>
  <c r="AO15" i="130" a="1"/>
  <c r="AX14" i="130" a="1"/>
  <c r="BG13" i="130" a="1"/>
  <c r="G13" i="130" a="1"/>
  <c r="L12" i="130" a="1"/>
  <c r="U11" i="130" a="1"/>
  <c r="AD10" i="130" a="1"/>
  <c r="AM9" i="130" a="1"/>
  <c r="AV8" i="130" a="1"/>
  <c r="BD7" i="130" a="1"/>
  <c r="H7" i="130" a="1"/>
  <c r="U5" i="130" a="1"/>
  <c r="Y14" i="132" a="1"/>
  <c r="FE12" i="132" a="1"/>
  <c r="CK12" i="132" a="1"/>
  <c r="ER16" i="132" a="1"/>
  <c r="EL7" i="132" a="1"/>
  <c r="CR5" i="132" a="1"/>
  <c r="EC13" i="132" a="1"/>
  <c r="G5" i="132" a="1"/>
  <c r="H15" i="132" a="1"/>
  <c r="X9" i="132" a="1"/>
  <c r="O11" i="132" a="1"/>
  <c r="EV16" i="132" a="1"/>
  <c r="Q8" i="132" a="1"/>
  <c r="V7" i="132" a="1"/>
  <c r="CM11" i="132" a="1"/>
  <c r="ET11" i="132" a="1"/>
  <c r="AU6" i="132" a="1"/>
  <c r="CZ16" i="132" a="1"/>
  <c r="BT11" i="132" a="1"/>
  <c r="W5" i="132" a="1"/>
  <c r="P13" i="132" a="1"/>
  <c r="CH16" i="132" a="1"/>
  <c r="E8" i="132" a="1"/>
  <c r="DI11" i="132" a="1"/>
  <c r="AO12" i="132" a="1"/>
  <c r="BV12" i="132" a="1"/>
  <c r="DA11" i="132" a="1"/>
  <c r="DY13" i="132" a="1"/>
  <c r="BT13" i="132" a="1"/>
  <c r="DN15" i="132" a="1"/>
  <c r="E11" i="132" a="1"/>
  <c r="CC11" i="132" a="1"/>
  <c r="DZ7" i="132" a="1"/>
  <c r="AX12" i="132" a="1"/>
  <c r="BJ15" i="132" a="1"/>
  <c r="EU11" i="132" a="1"/>
  <c r="AE9" i="132" a="1"/>
  <c r="AL8" i="132" a="1"/>
  <c r="AM16" i="132" a="1"/>
  <c r="BL6" i="132" a="1"/>
  <c r="DZ6" i="132" a="1"/>
  <c r="CM13" i="132" a="1"/>
  <c r="EX14" i="132" a="1"/>
  <c r="CI11" i="132" a="1"/>
  <c r="FA8" i="132" a="1"/>
  <c r="EP16" i="132" a="1"/>
  <c r="DQ15" i="132" a="1"/>
  <c r="AJ15" i="132" a="1"/>
  <c r="ED14" i="132" a="1"/>
  <c r="AD13" i="132" a="1"/>
  <c r="DX6" i="132" a="1"/>
  <c r="BC13" i="132" a="1"/>
  <c r="BW14" i="132" a="1"/>
  <c r="FA16" i="132" a="1"/>
  <c r="BF11" i="132" a="1"/>
  <c r="AS8" i="132" a="1"/>
  <c r="EC9" i="132" a="1"/>
  <c r="O16" i="132" a="1"/>
  <c r="BB8" i="132" a="1"/>
  <c r="F11" i="132" a="1"/>
  <c r="BM7" i="132" a="1"/>
  <c r="BX15" i="132" a="1"/>
  <c r="EA8" i="132" a="1"/>
  <c r="N13" i="132" a="1"/>
  <c r="DR11" i="132" a="1"/>
  <c r="CR7" i="132" a="1"/>
  <c r="CQ14" i="132" a="1"/>
  <c r="T8" i="132" a="1"/>
  <c r="DT11" i="132" a="1"/>
  <c r="AC8" i="132" a="1"/>
  <c r="CA5" i="132" a="1"/>
  <c r="BB6" i="132" a="1"/>
  <c r="CJ15" i="132" a="1"/>
  <c r="EA12" i="132" a="1"/>
  <c r="DI6" i="132" a="1"/>
  <c r="BO5" i="132" a="1"/>
  <c r="AE11" i="132" a="1"/>
  <c r="DI15" i="132" a="1"/>
  <c r="C5" i="132" a="1"/>
  <c r="R5" i="132" a="1"/>
  <c r="DO13" i="132" a="1"/>
  <c r="BB28" i="130" a="1"/>
  <c r="BG33" i="130" a="1"/>
  <c r="Q22" i="130" a="1"/>
  <c r="S12" i="130" a="1"/>
  <c r="M14" i="132" a="1"/>
  <c r="AK21" i="130" a="1"/>
  <c r="J12" i="130" a="1"/>
  <c r="T16" i="132" a="1"/>
  <c r="AH19" i="130" a="1"/>
  <c r="AN13" i="130" a="1"/>
  <c r="BC10" i="130" a="1"/>
  <c r="BE8" i="130" a="1"/>
  <c r="M7" i="130" a="1"/>
  <c r="S9" i="132" a="1"/>
  <c r="EO13" i="132" a="1"/>
  <c r="DC9" i="132" a="1"/>
  <c r="BK7" i="132" a="1"/>
  <c r="EM6" i="132" a="1"/>
  <c r="BZ7" i="132" a="1"/>
  <c r="FA13" i="132" a="1"/>
  <c r="DQ16" i="132" a="1"/>
  <c r="BX9" i="132" a="1"/>
  <c r="EU16" i="132" a="1"/>
  <c r="CB11" i="132" a="1"/>
  <c r="DN5" i="132" a="1"/>
  <c r="CI9" i="132" a="1"/>
  <c r="CT15" i="132" a="1"/>
  <c r="EV13" i="132" a="1"/>
  <c r="S21" i="130" a="1"/>
  <c r="P20" i="130" a="1"/>
  <c r="Q19" i="130" a="1"/>
  <c r="V18" i="130" a="1"/>
  <c r="AA17" i="130" a="1"/>
  <c r="AF16" i="130" a="1"/>
  <c r="AK15" i="130" a="1"/>
  <c r="AT14" i="130" a="1"/>
  <c r="BC13" i="130" a="1"/>
  <c r="BH12" i="130" a="1"/>
  <c r="H12" i="130" a="1"/>
  <c r="Q11" i="130" a="1"/>
  <c r="Z10" i="130" a="1"/>
  <c r="AI9" i="130" a="1"/>
  <c r="AR8" i="130" a="1"/>
  <c r="AZ7" i="130" a="1"/>
  <c r="D7" i="130" a="1"/>
  <c r="Q5" i="130" a="1"/>
  <c r="DM5" i="132" a="1"/>
  <c r="EW5" i="132" a="1"/>
  <c r="N15" i="132" a="1"/>
  <c r="EC15" i="132" a="1"/>
  <c r="AE16" i="132" a="1"/>
  <c r="AO9" i="132" a="1"/>
  <c r="G13" i="132" a="1"/>
  <c r="Y13" i="132" a="1"/>
  <c r="AY14" i="132" a="1"/>
  <c r="EI9" i="132" a="1"/>
  <c r="DR13" i="132" a="1"/>
  <c r="ES5" i="132" a="1"/>
  <c r="DL11" i="132" a="1"/>
  <c r="BC14" i="132" a="1"/>
  <c r="BH15" i="132" a="1"/>
  <c r="CL12" i="132" a="1"/>
  <c r="DJ11" i="132" a="1"/>
  <c r="BL8" i="132" a="1"/>
  <c r="BX6" i="132" a="1"/>
  <c r="CC16" i="132" a="1"/>
  <c r="BP7" i="132" a="1"/>
  <c r="BA14" i="132" a="1"/>
  <c r="AO7" i="132" a="1"/>
  <c r="EB11" i="132" a="1"/>
  <c r="FC15" i="132" a="1"/>
  <c r="DC15" i="132" a="1"/>
  <c r="DL8" i="132" a="1"/>
  <c r="CX7" i="132" a="1"/>
  <c r="BJ14" i="132" a="1"/>
  <c r="EY8" i="132" a="1"/>
  <c r="CV5" i="132" a="1"/>
  <c r="DW7" i="132" a="1"/>
  <c r="CB8" i="132" a="1"/>
  <c r="BL7" i="132" a="1"/>
  <c r="DF5" i="132" a="1"/>
  <c r="EG9" i="132" a="1"/>
  <c r="EC7" i="132" a="1"/>
  <c r="AR5" i="132" a="1"/>
  <c r="BT16" i="132" a="1"/>
  <c r="W15" i="132" a="1"/>
  <c r="AS25" i="130" a="1"/>
  <c r="AZ32" i="130" a="1"/>
  <c r="BK20" i="130" a="1"/>
  <c r="AF11" i="130" a="1"/>
  <c r="FB7" i="132" a="1"/>
  <c r="AX20" i="130" a="1"/>
  <c r="W11" i="130" a="1"/>
  <c r="AB13" i="132" a="1"/>
  <c r="AU18" i="130" a="1"/>
  <c r="P13" i="130" a="1"/>
  <c r="AQ10" i="130" a="1"/>
  <c r="AW8" i="130" a="1"/>
  <c r="BF5" i="130" a="1"/>
  <c r="BX13" i="132" a="1"/>
  <c r="BJ5" i="132" a="1"/>
  <c r="DV6" i="132" a="1"/>
  <c r="AX14" i="132" a="1"/>
  <c r="BC6" i="132" a="1"/>
  <c r="AJ11" i="132" a="1"/>
  <c r="BP15" i="132" a="1"/>
  <c r="CI5" i="132" a="1"/>
  <c r="P11" i="132" a="1"/>
  <c r="EA9" i="132" a="1"/>
  <c r="AU16" i="132" a="1"/>
  <c r="CQ9" i="132" a="1"/>
  <c r="DB14" i="132" a="1"/>
  <c r="DX11" i="132" a="1"/>
  <c r="CP9" i="132" a="1"/>
  <c r="O21" i="130" a="1"/>
  <c r="L20" i="130" a="1"/>
  <c r="M19" i="130" a="1"/>
  <c r="R18" i="130" a="1"/>
  <c r="W17" i="130" a="1"/>
  <c r="AB16" i="130" a="1"/>
  <c r="AG15" i="130" a="1"/>
  <c r="AP14" i="130" a="1"/>
  <c r="AU13" i="130" a="1"/>
  <c r="BD12" i="130" a="1"/>
  <c r="D12" i="130" a="1"/>
  <c r="M11" i="130" a="1"/>
  <c r="V10" i="130" a="1"/>
  <c r="AE9" i="130" a="1"/>
  <c r="AN8" i="130" a="1"/>
  <c r="AV7" i="130" a="1"/>
  <c r="BI5" i="130" a="1"/>
  <c r="M5" i="130" a="1"/>
  <c r="DL12" i="132" a="1"/>
  <c r="DM12" i="132" a="1"/>
  <c r="BE5" i="132" a="1"/>
  <c r="CS14" i="132" a="1"/>
  <c r="BS15" i="132" a="1"/>
  <c r="DY8" i="132" a="1"/>
  <c r="DT15" i="132" a="1"/>
  <c r="AG5" i="132" a="1"/>
  <c r="EQ7" i="132" a="1"/>
  <c r="CL7" i="132" a="1"/>
  <c r="DO7" i="132" a="1"/>
  <c r="AF12" i="132" a="1"/>
  <c r="DL13" i="132" a="1"/>
  <c r="E16" i="132" a="1"/>
  <c r="AN14" i="132" a="1"/>
  <c r="AV8" i="132" a="1"/>
  <c r="CD16" i="132" a="1"/>
  <c r="CJ9" i="132" a="1"/>
  <c r="C14" i="132" a="1"/>
  <c r="CQ13" i="132" a="1"/>
  <c r="DQ12" i="132" a="1"/>
  <c r="EG7" i="132" a="1"/>
  <c r="I7" i="132" a="1"/>
  <c r="DG14" i="132" a="1"/>
  <c r="AK8" i="132" a="1"/>
  <c r="EO8" i="132" a="1"/>
  <c r="EI12" i="132" a="1"/>
  <c r="BG8" i="132" a="1"/>
  <c r="CO15" i="132" a="1"/>
  <c r="AJ13" i="132" a="1"/>
  <c r="AE5" i="132" a="1"/>
  <c r="EM8" i="132" a="1"/>
  <c r="DO9" i="132" a="1"/>
  <c r="Z16" i="132" a="1"/>
  <c r="H16" i="132" a="1"/>
  <c r="CR14" i="132" a="1"/>
  <c r="CH6" i="132" a="1"/>
  <c r="DI13" i="132" a="1"/>
  <c r="AX15" i="132" a="1"/>
  <c r="CV12" i="132" a="1"/>
  <c r="ED9" i="132" a="1"/>
  <c r="CM9" i="132" a="1"/>
  <c r="BD14" i="132" a="1"/>
  <c r="BQ13" i="132" a="1"/>
  <c r="EU8" i="132" a="1"/>
  <c r="CF13" i="132" a="1"/>
  <c r="EM14" i="132" a="1"/>
  <c r="AE14" i="132" a="1"/>
  <c r="X11" i="132" a="1"/>
  <c r="AD7" i="132" a="1"/>
  <c r="CW15" i="132" a="1"/>
  <c r="BR12" i="132" a="1"/>
  <c r="FA5" i="132" a="1"/>
  <c r="N7" i="132" a="1"/>
  <c r="ED16" i="132" a="1"/>
  <c r="BE11" i="132" a="1"/>
  <c r="Z7" i="132" a="1"/>
  <c r="AJ22" i="130" a="1"/>
  <c r="AK31" i="130" a="1"/>
  <c r="K20" i="130" a="1"/>
  <c r="AS10" i="130" a="1"/>
  <c r="DD9" i="132" a="1"/>
  <c r="BK19" i="130" a="1"/>
  <c r="AJ10" i="130" a="1"/>
  <c r="ER13" i="132" a="1"/>
  <c r="BH17" i="130" a="1"/>
  <c r="D13" i="130" a="1"/>
  <c r="AE10" i="130" a="1"/>
  <c r="AG8" i="130" a="1"/>
  <c r="AX5" i="130" a="1"/>
  <c r="EM9" i="132" a="1"/>
  <c r="EF15" i="132" a="1"/>
  <c r="AQ9" i="132" a="1"/>
  <c r="BA16" i="132" a="1"/>
  <c r="AV14" i="132" a="1"/>
  <c r="L9" i="132" a="1"/>
  <c r="DL7" i="132" a="1"/>
  <c r="EG6" i="132" a="1"/>
  <c r="DF7" i="132" a="1"/>
  <c r="ED15" i="132" a="1"/>
  <c r="EH13" i="132" a="1"/>
  <c r="BE7" i="132" a="1"/>
  <c r="S13" i="132" a="1"/>
  <c r="BL9" i="132" a="1"/>
  <c r="DJ13" i="132" a="1"/>
  <c r="K21" i="130" a="1"/>
  <c r="D20" i="130" a="1"/>
  <c r="I19" i="130" a="1"/>
  <c r="N18" i="130" a="1"/>
  <c r="S17" i="130" a="1"/>
  <c r="T16" i="130" a="1"/>
  <c r="AC15" i="130" a="1"/>
  <c r="AH14" i="130" a="1"/>
  <c r="AQ13" i="130" a="1"/>
  <c r="AZ12" i="130" a="1"/>
  <c r="BI11" i="130" a="1"/>
  <c r="I11" i="130" a="1"/>
  <c r="R10" i="130" a="1"/>
  <c r="AA9" i="130" a="1"/>
  <c r="AJ8" i="130" a="1"/>
  <c r="AR7" i="130" a="1"/>
  <c r="BE5" i="130" a="1"/>
  <c r="I5" i="130" a="1"/>
  <c r="Q12" i="132" a="1"/>
  <c r="EC11" i="132" a="1"/>
  <c r="DE7" i="132" a="1"/>
  <c r="BB11" i="132" a="1"/>
  <c r="AD15" i="132" a="1"/>
  <c r="K16" i="132" a="1"/>
  <c r="ET7" i="132" a="1"/>
  <c r="DW12" i="132" a="1"/>
  <c r="V13" i="132" a="1"/>
  <c r="O6" i="132" a="1"/>
  <c r="O5" i="132" a="1"/>
  <c r="EE8" i="132" a="1"/>
  <c r="S7" i="132" a="1"/>
  <c r="DI9" i="132" a="1"/>
  <c r="DK13" i="132" a="1"/>
  <c r="DQ9" i="132" a="1"/>
  <c r="FB12" i="132" a="1"/>
  <c r="CZ7" i="132" a="1"/>
  <c r="BE9" i="132" a="1"/>
  <c r="CN14" i="132" a="1"/>
  <c r="EH8" i="132" a="1"/>
  <c r="DS12" i="132" a="1"/>
  <c r="EN14" i="132" a="1"/>
  <c r="AD8" i="132" a="1"/>
  <c r="CC7" i="132" a="1"/>
  <c r="M8" i="132" a="1"/>
  <c r="DV12" i="132" a="1"/>
  <c r="F16" i="132" a="1"/>
  <c r="AY16" i="132" a="1"/>
  <c r="DR12" i="132" a="1"/>
  <c r="DW5" i="132" a="1"/>
  <c r="DJ7" i="132" a="1"/>
  <c r="CN13" i="132" a="1"/>
  <c r="AK6" i="132" a="1"/>
  <c r="AA15" i="132" a="1"/>
  <c r="CL9" i="132" a="1"/>
  <c r="Q5" i="132" a="1"/>
  <c r="BT9" i="132" a="1"/>
  <c r="AL6" i="132" a="1"/>
  <c r="EV6" i="132" a="1"/>
  <c r="CV13" i="132" a="1"/>
  <c r="BV16" i="132" a="1"/>
  <c r="CC5" i="132" a="1"/>
  <c r="FC6" i="132" a="1"/>
  <c r="CF11" i="132" a="1"/>
  <c r="CA6" i="132" a="1"/>
  <c r="I9" i="132" a="1"/>
  <c r="AF9" i="132" a="1"/>
  <c r="EQ11" i="132" a="1"/>
  <c r="EJ13" i="132" a="1"/>
  <c r="AH16" i="132" a="1"/>
  <c r="BA36" i="130" a="1"/>
  <c r="AD30" i="130" a="1"/>
  <c r="X19" i="130" a="1"/>
  <c r="BF9" i="130" a="1"/>
  <c r="EU12" i="132" a="1"/>
  <c r="O19" i="130" a="1"/>
  <c r="AW9" i="130" a="1"/>
  <c r="CW14" i="132" a="1"/>
  <c r="L17" i="130" a="1"/>
  <c r="BA12" i="130" a="1"/>
  <c r="W10" i="130" a="1"/>
  <c r="U8" i="130" a="1"/>
  <c r="AT5" i="130" a="1"/>
  <c r="EY5" i="132" a="1"/>
  <c r="K8" i="132" a="1"/>
  <c r="CU16" i="132" a="1"/>
  <c r="C13" i="132" a="1"/>
  <c r="DC13" i="132" a="1"/>
  <c r="DV15" i="132" a="1"/>
  <c r="BX5" i="132" a="1"/>
  <c r="DP8" i="132" a="1"/>
  <c r="ED12" i="132" a="1"/>
  <c r="DG8" i="132" a="1"/>
  <c r="CA8" i="132" a="1"/>
  <c r="BQ8" i="132" a="1"/>
  <c r="BA11" i="132" a="1"/>
  <c r="EG12" i="132" a="1"/>
  <c r="AA22" i="130" a="1"/>
  <c r="C21" i="130" a="1"/>
  <c r="BI19" i="130" a="1"/>
  <c r="E19" i="130" a="1"/>
  <c r="J18" i="130" a="1"/>
  <c r="O17" i="130" a="1"/>
  <c r="P16" i="130" a="1"/>
  <c r="U15" i="130" a="1"/>
  <c r="AD14" i="130" a="1"/>
  <c r="AM13" i="130" a="1"/>
  <c r="AV12" i="130" a="1"/>
  <c r="BE11" i="130" a="1"/>
  <c r="E11" i="130" a="1"/>
  <c r="N10" i="130" a="1"/>
  <c r="W9" i="130" a="1"/>
  <c r="AF8" i="130" a="1"/>
  <c r="AN7" i="130" a="1"/>
  <c r="BA5" i="130" a="1"/>
  <c r="E5" i="130" a="1"/>
  <c r="AZ6" i="132" a="1"/>
  <c r="DQ8" i="132" a="1"/>
  <c r="AS12" i="132" a="1"/>
  <c r="EM12" i="132" a="1"/>
  <c r="EJ12" i="132" a="1"/>
  <c r="DQ11" i="132" a="1"/>
  <c r="AU11" i="132" a="1"/>
  <c r="EQ9" i="132" a="1"/>
  <c r="AG11" i="132" a="1"/>
  <c r="DT9" i="132" a="1"/>
  <c r="BB9" i="132" a="1"/>
  <c r="EH6" i="132" a="1"/>
  <c r="AH9" i="132" a="1"/>
  <c r="CT6" i="132" a="1"/>
  <c r="BC16" i="132" a="1"/>
  <c r="CP15" i="132" a="1"/>
  <c r="EB13" i="132" a="1"/>
  <c r="J11" i="132" a="1"/>
  <c r="AJ9" i="132" a="1"/>
  <c r="F12" i="132" a="1"/>
  <c r="DY6" i="132" a="1"/>
  <c r="CJ8" i="132" a="1"/>
  <c r="CX12" i="132" a="1"/>
  <c r="BV8" i="132" a="1"/>
  <c r="DQ13" i="132" a="1"/>
  <c r="EK9" i="132" a="1"/>
  <c r="DB12" i="132" a="1"/>
  <c r="DS11" i="132" a="1"/>
  <c r="I5" i="132" a="1"/>
  <c r="AV13" i="132" a="1"/>
  <c r="BM13" i="132" a="1"/>
  <c r="CE15" i="132" a="1"/>
  <c r="ET5" i="132" a="1"/>
  <c r="CO6" i="132" a="1"/>
  <c r="EJ5" i="132" a="1"/>
  <c r="CS5" i="132" a="1"/>
  <c r="AK5" i="132" a="1"/>
  <c r="BK15" i="132" a="1"/>
  <c r="D11" i="132" a="1"/>
  <c r="CB15" i="132" a="1"/>
  <c r="BA5" i="132" a="1"/>
  <c r="BF16" i="132" a="1"/>
  <c r="BU13" i="132" a="1"/>
  <c r="DT6" i="132" a="1"/>
  <c r="AR33" i="130" a="1"/>
  <c r="O29" i="130" a="1"/>
  <c r="AK18" i="130" a="1"/>
  <c r="J9" i="130" a="1"/>
  <c r="ER11" i="132" a="1"/>
  <c r="AB18" i="130" a="1"/>
  <c r="BJ8" i="130" a="1"/>
  <c r="EM5" i="132" a="1"/>
  <c r="Y16" i="130" a="1"/>
  <c r="AC12" i="130" a="1"/>
  <c r="G10" i="130" a="1"/>
  <c r="Q8" i="130" a="1"/>
  <c r="AP5" i="130" a="1"/>
  <c r="ER12" i="132" a="1"/>
  <c r="DD16" i="132" a="1"/>
  <c r="AB16" i="132" a="1"/>
  <c r="V5" i="132" a="1"/>
  <c r="P8" i="132" a="1"/>
  <c r="AZ5" i="132" a="1"/>
  <c r="CH9" i="132" a="1"/>
  <c r="EF11" i="132" a="1"/>
  <c r="AB14" i="132" a="1"/>
  <c r="AK11" i="132" a="1"/>
  <c r="CF14" i="132" a="1"/>
  <c r="CG5" i="132" a="1"/>
  <c r="CD6" i="132" a="1"/>
  <c r="M12" i="132" a="1"/>
  <c r="S22" i="130" a="1"/>
  <c r="BH20" i="130" a="1"/>
  <c r="BE19" i="130" a="1"/>
  <c r="BJ18" i="130" a="1"/>
  <c r="F18" i="130" a="1"/>
  <c r="G17" i="130" a="1"/>
  <c r="H16" i="130" a="1"/>
  <c r="Q15" i="130" a="1"/>
  <c r="Z14" i="130" a="1"/>
  <c r="AI13" i="130" a="1"/>
  <c r="AR12" i="130" a="1"/>
  <c r="BA11" i="130" a="1"/>
  <c r="BJ10" i="130" a="1"/>
  <c r="J10" i="130" a="1"/>
  <c r="S9" i="130" a="1"/>
  <c r="AB8" i="130" a="1"/>
  <c r="AJ7" i="130" a="1"/>
  <c r="AW5" i="130" a="1"/>
  <c r="FF8" i="132" a="1"/>
  <c r="CF9" i="132" a="1"/>
  <c r="ER9" i="132" a="1"/>
  <c r="DG7" i="132" a="1"/>
  <c r="N12" i="132" a="1"/>
  <c r="DQ5" i="132" a="1"/>
  <c r="AD11" i="132" a="1"/>
  <c r="T9" i="132" a="1"/>
  <c r="AB6" i="132" a="1"/>
  <c r="AD5" i="132" a="1"/>
  <c r="P5" i="132" a="1"/>
  <c r="EN6" i="132" a="1"/>
  <c r="M16" i="132" a="1"/>
  <c r="EH7" i="132" a="1"/>
  <c r="AI11" i="132" a="1"/>
  <c r="EG16" i="132" a="1"/>
  <c r="CG16" i="132" a="1"/>
  <c r="DN9" i="132" a="1"/>
  <c r="E5" i="132" a="1"/>
  <c r="BP14" i="132" a="1"/>
  <c r="BA9" i="132" a="1"/>
  <c r="G15" i="132" a="1"/>
  <c r="EO5" i="132" a="1"/>
  <c r="EN11" i="132" a="1"/>
  <c r="W6" i="132" a="1"/>
  <c r="AI30" i="130" a="1"/>
  <c r="H28" i="130" a="1"/>
  <c r="AX17" i="130" a="1"/>
  <c r="W8" i="130" a="1"/>
  <c r="AQ5" i="132" a="1"/>
  <c r="AO17" i="130" a="1"/>
  <c r="N8" i="130" a="1"/>
  <c r="D6" i="132" a="1"/>
  <c r="AL15" i="130" a="1"/>
  <c r="Q12" i="130" a="1"/>
  <c r="BD9" i="130" a="1"/>
  <c r="I8" i="130" a="1"/>
  <c r="AH5" i="130" a="1"/>
  <c r="BR5" i="132" a="1"/>
  <c r="FD9" i="132" a="1"/>
  <c r="EX15" i="132" a="1"/>
  <c r="EU13" i="132" a="1"/>
  <c r="CG9" i="132" a="1"/>
  <c r="AY5" i="132" a="1"/>
  <c r="BV13" i="132" a="1"/>
  <c r="BM8" i="132" a="1"/>
  <c r="J15" i="132" a="1"/>
  <c r="BY15" i="132" a="1"/>
  <c r="CD8" i="132" a="1"/>
  <c r="BK9" i="132" a="1"/>
  <c r="DH9" i="132" a="1"/>
  <c r="BY16" i="132" a="1"/>
  <c r="K22" i="130" a="1"/>
  <c r="AV20" i="130" a="1"/>
  <c r="BA19" i="130" a="1"/>
  <c r="BF18" i="130" a="1"/>
  <c r="Z27" i="130" a="1"/>
  <c r="M27" i="130" a="1"/>
  <c r="BK16" i="130" a="1"/>
  <c r="AI7" i="130" a="1"/>
  <c r="EO15" i="132" a="1"/>
  <c r="BB16" i="130" a="1"/>
  <c r="Z7" i="130" a="1"/>
  <c r="M5" i="132" a="1"/>
  <c r="N15" i="130" a="1"/>
  <c r="E12" i="130" a="1"/>
  <c r="AZ9" i="130" a="1"/>
  <c r="BI7" i="130" a="1"/>
  <c r="Z5" i="130" a="1"/>
  <c r="CM5" i="132" a="1"/>
  <c r="BS16" i="132" a="1"/>
  <c r="U9" i="132" a="1"/>
  <c r="CY16" i="132" a="1"/>
  <c r="BX12" i="132" a="1"/>
  <c r="CN5" i="132" a="1"/>
  <c r="BK11" i="132" a="1"/>
  <c r="DG11" i="132" a="1"/>
  <c r="W13" i="132" a="1"/>
  <c r="EH15" i="132" a="1"/>
  <c r="I6" i="132" a="1"/>
  <c r="EO11" i="132" a="1"/>
  <c r="DP5" i="132" a="1"/>
  <c r="DV9" i="132" a="1"/>
  <c r="BD21" i="130" a="1"/>
  <c r="AR20" i="130" a="1"/>
  <c r="AW19" i="130" a="1"/>
  <c r="BB18" i="130" a="1"/>
  <c r="BC17" i="130" a="1"/>
  <c r="BD16" i="130" a="1"/>
  <c r="BI15" i="130" a="1"/>
  <c r="I15" i="130" a="1"/>
  <c r="R14" i="130" a="1"/>
  <c r="AA13" i="130" a="1"/>
  <c r="AJ12" i="130" a="1"/>
  <c r="AS11" i="130" a="1"/>
  <c r="BB10" i="130" a="1"/>
  <c r="BK9" i="130" a="1"/>
  <c r="K9" i="130" a="1"/>
  <c r="P8" i="130" a="1"/>
  <c r="AB7" i="130" a="1"/>
  <c r="AO5" i="130" a="1"/>
  <c r="FF16" i="132" a="1"/>
  <c r="AN16" i="132" a="1"/>
  <c r="BJ8" i="132" a="1"/>
  <c r="DE8" i="132" a="1"/>
  <c r="CQ8" i="132" a="1"/>
  <c r="CR12" i="132" a="1"/>
  <c r="CE14" i="132" a="1"/>
  <c r="W7" i="132" a="1"/>
  <c r="EJ16" i="132" a="1"/>
  <c r="F9" i="132" a="1"/>
  <c r="AR7" i="132" a="1"/>
  <c r="DP12" i="132" a="1"/>
  <c r="AM14" i="132" a="1"/>
  <c r="CQ12" i="132" a="1"/>
  <c r="DB9" i="132" a="1"/>
  <c r="AA7" i="132" a="1"/>
  <c r="AK15" i="132" a="1"/>
  <c r="N23" i="130" a="1"/>
  <c r="S25" i="130" a="1"/>
  <c r="AB15" i="130" a="1"/>
  <c r="FD5" i="132" a="1"/>
  <c r="BS7" i="132" a="1"/>
  <c r="S15" i="130" a="1"/>
  <c r="FD12" i="132" a="1"/>
  <c r="EF16" i="132" a="1"/>
  <c r="AM14" i="130" a="1"/>
  <c r="AP11" i="130" a="1"/>
  <c r="AJ9" i="130" a="1"/>
  <c r="AK7" i="130" a="1"/>
  <c r="C8" i="130" a="1"/>
  <c r="BI11" i="132" a="1"/>
  <c r="DK11" i="132" a="1"/>
  <c r="AQ16" i="132" a="1"/>
  <c r="BJ6" i="132" a="1"/>
  <c r="CV8" i="132" a="1"/>
  <c r="BR6" i="132" a="1"/>
  <c r="BV7" i="132" a="1"/>
  <c r="DI7" i="132" a="1"/>
  <c r="FA6" i="132" a="1"/>
  <c r="DK6" i="132" a="1"/>
  <c r="F15" i="132" a="1"/>
  <c r="D5" i="132" a="1"/>
  <c r="V16" i="132" a="1"/>
  <c r="O13" i="132" a="1"/>
  <c r="AI21" i="130" a="1"/>
  <c r="AJ20" i="130" a="1"/>
  <c r="AO19" i="130" a="1"/>
  <c r="AP18" i="130" a="1"/>
  <c r="AQ17" i="130" a="1"/>
  <c r="AV16" i="130" a="1"/>
  <c r="BA15" i="130" a="1"/>
  <c r="R38" i="130" a="1"/>
  <c r="T24" i="130" a="1"/>
  <c r="AO14" i="130" a="1"/>
  <c r="AK13" i="132" a="1"/>
  <c r="BY13" i="132" a="1"/>
  <c r="AF14" i="130" a="1"/>
  <c r="CK5" i="132" a="1"/>
  <c r="E22" i="130" a="1"/>
  <c r="AA14" i="130" a="1"/>
  <c r="AD11" i="130" a="1"/>
  <c r="T9" i="130" a="1"/>
  <c r="AG7" i="130" a="1"/>
  <c r="FE8" i="132" a="1"/>
  <c r="Q14" i="132" a="1"/>
  <c r="G11" i="132" a="1"/>
  <c r="S8" i="132" a="1"/>
  <c r="R13" i="132" a="1"/>
  <c r="EZ7" i="132" a="1"/>
  <c r="BS6" i="132" a="1"/>
  <c r="DX16" i="132" a="1"/>
  <c r="DO16" i="132" a="1"/>
  <c r="BU9" i="132" a="1"/>
  <c r="EP5" i="132" a="1"/>
  <c r="CE8" i="132" a="1"/>
  <c r="EZ6" i="132" a="1"/>
  <c r="BH14" i="132" a="1"/>
  <c r="CS16" i="132" a="1"/>
  <c r="AE21" i="130" a="1"/>
  <c r="AF20" i="130" a="1"/>
  <c r="AK19" i="130" a="1"/>
  <c r="AL18" i="130" a="1"/>
  <c r="AM17" i="130" a="1"/>
  <c r="AR16" i="130" a="1"/>
  <c r="AW15" i="130" a="1"/>
  <c r="BF14" i="130" a="1"/>
  <c r="F14" i="130" a="1"/>
  <c r="O13" i="130" a="1"/>
  <c r="X12" i="130" a="1"/>
  <c r="AG11" i="130" a="1"/>
  <c r="AL10" i="130" a="1"/>
  <c r="AU9" i="130" a="1"/>
  <c r="BD8" i="130" a="1"/>
  <c r="D8" i="130" a="1"/>
  <c r="P7" i="130" a="1"/>
  <c r="AC5" i="130" a="1"/>
  <c r="R8" i="132" a="1"/>
  <c r="BI6" i="132" a="1"/>
  <c r="BG16" i="132" a="1"/>
  <c r="EH12" i="132" a="1"/>
  <c r="E13" i="132" a="1"/>
  <c r="AE15" i="132" a="1"/>
  <c r="Y12" i="132" a="1"/>
  <c r="EQ13" i="132" a="1"/>
  <c r="AC12" i="132" a="1"/>
  <c r="AI8" i="132" a="1"/>
  <c r="EW16" i="132" a="1"/>
  <c r="CY11" i="132" a="1"/>
  <c r="DG15" i="132" a="1"/>
  <c r="C6" i="132" a="1"/>
  <c r="R11" i="132" a="1"/>
  <c r="AC11" i="132" a="1"/>
  <c r="ER8" i="132" a="1"/>
  <c r="DZ9" i="132" a="1"/>
  <c r="BN13" i="132" a="1"/>
  <c r="AC14" i="132" a="1"/>
  <c r="BA12" i="132" a="1"/>
  <c r="CR9" i="132" a="1"/>
  <c r="AA6" i="132" a="1"/>
  <c r="AM15" i="132" a="1"/>
  <c r="FC16" i="132" a="1"/>
  <c r="EV5" i="132" a="1"/>
  <c r="BW12" i="132" a="1"/>
  <c r="EH11" i="132" a="1"/>
  <c r="G9" i="132" a="1"/>
  <c r="FA15" i="132" a="1"/>
  <c r="EU9" i="132" a="1"/>
  <c r="EV11" i="132" a="1"/>
  <c r="BJ11" i="132" a="1"/>
  <c r="CR13" i="132" a="1"/>
  <c r="CW5" i="132" a="1"/>
  <c r="EB16" i="132" a="1"/>
  <c r="BW8" i="132" a="1"/>
  <c r="FB8" i="132" a="1"/>
  <c r="BF5" i="132" a="1"/>
  <c r="BG14" i="132" a="1"/>
  <c r="S11" i="132" a="1"/>
  <c r="EC5" i="132" a="1"/>
  <c r="Y6" i="132" a="1"/>
  <c r="U8" i="132" a="1"/>
  <c r="K11" i="132" a="1"/>
  <c r="V14" i="132" a="1"/>
  <c r="DR14" i="132" a="1"/>
  <c r="AP6" i="132" a="1"/>
  <c r="DR6" i="132" a="1"/>
  <c r="EP15" i="132" a="1"/>
  <c r="CB9" i="132" a="1"/>
  <c r="AZ16" i="132" a="1"/>
  <c r="CT12" i="132" a="1"/>
  <c r="D25" i="130" a="1"/>
  <c r="AM5" i="130" a="1"/>
  <c r="J5" i="130" a="1"/>
  <c r="L15" i="132" a="1"/>
  <c r="EB8" i="132" a="1"/>
  <c r="AX18" i="130" a="1"/>
  <c r="E15" i="130" a="1"/>
  <c r="AF12" i="130" a="1"/>
  <c r="BG9" i="130" a="1"/>
  <c r="X7" i="130" a="1"/>
  <c r="DU5" i="132" a="1"/>
  <c r="ES15" i="132" a="1"/>
  <c r="EF13" i="132" a="1"/>
  <c r="BB14" i="132" a="1"/>
  <c r="BU14" i="132" a="1"/>
  <c r="EZ16" i="132" a="1"/>
  <c r="DW6" i="132" a="1"/>
  <c r="CT9" i="132" a="1"/>
  <c r="BK6" i="132" a="1"/>
  <c r="DJ12" i="132" a="1"/>
  <c r="AB11" i="132" a="1"/>
  <c r="U16" i="132" a="1"/>
  <c r="M15" i="132" a="1"/>
  <c r="BF6" i="132" a="1"/>
  <c r="BS14" i="132" a="1"/>
  <c r="BD9" i="132" a="1"/>
  <c r="CN11" i="132" a="1"/>
  <c r="BR9" i="132" a="1"/>
  <c r="CC6" i="132" a="1"/>
  <c r="BX7" i="132" a="1"/>
  <c r="BN5" i="132" a="1"/>
  <c r="AZ14" i="132" a="1"/>
  <c r="AI14" i="132" a="1"/>
  <c r="BI7" i="132" a="1"/>
  <c r="EH14" i="132" a="1"/>
  <c r="AX13" i="132" a="1"/>
  <c r="BA13" i="132" a="1"/>
  <c r="AE8" i="132" a="1"/>
  <c r="DV5" i="132" a="1"/>
  <c r="AD6" i="132" a="1"/>
  <c r="AC5" i="132" a="1"/>
  <c r="CX11" i="132" a="1"/>
  <c r="DS6" i="132" a="1"/>
  <c r="W14" i="132" a="1"/>
  <c r="EY9" i="132" a="1"/>
  <c r="AR36" i="130" a="1"/>
  <c r="EA7" i="132" a="1"/>
  <c r="FE16" i="132" a="1"/>
  <c r="CA11" i="132" a="1"/>
  <c r="N6" i="132" a="1"/>
  <c r="AD18" i="130" a="1"/>
  <c r="BJ14" i="130" a="1"/>
  <c r="AB12" i="130" a="1"/>
  <c r="AY9" i="130" a="1"/>
  <c r="T7" i="130" a="1"/>
  <c r="EB12" i="132" a="1"/>
  <c r="I12" i="132" a="1"/>
  <c r="FC9" i="132" a="1"/>
  <c r="BA8" i="132" a="1"/>
  <c r="AT16" i="132" a="1"/>
  <c r="BP6" i="132" a="1"/>
  <c r="AN12" i="132" a="1"/>
  <c r="C11" i="132" a="1"/>
  <c r="DG5" i="132" a="1"/>
  <c r="AN5" i="132" a="1"/>
  <c r="EH5" i="132" a="1"/>
  <c r="EP14" i="132" a="1"/>
  <c r="CK15" i="132" a="1"/>
  <c r="EJ8" i="132" a="1"/>
  <c r="BM9" i="132" a="1"/>
  <c r="ET14" i="132" a="1"/>
  <c r="AG13" i="132" a="1"/>
  <c r="BF14" i="132" a="1"/>
  <c r="BH8" i="132" a="1"/>
  <c r="ES12" i="132" a="1"/>
  <c r="DF8" i="132" a="1"/>
  <c r="CZ9" i="132" a="1"/>
  <c r="CY12" i="132" a="1"/>
  <c r="EX13" i="132" a="1"/>
  <c r="EN13" i="132" a="1"/>
  <c r="AV15" i="132" a="1"/>
  <c r="F13" i="132" a="1"/>
  <c r="AW14" i="132" a="1"/>
  <c r="EE13" i="132" a="1"/>
  <c r="EH16" i="132" a="1"/>
  <c r="DV11" i="132" a="1"/>
  <c r="Q9" i="132" a="1"/>
  <c r="DG16" i="132" a="1"/>
  <c r="CY9" i="132" a="1"/>
  <c r="BQ9" i="132" a="1"/>
  <c r="AP15" i="132" a="1"/>
  <c r="BX14" i="132" a="1"/>
  <c r="EC12" i="132" a="1"/>
  <c r="CP16" i="132" a="1"/>
  <c r="ER5" i="132" a="1"/>
  <c r="U6" i="132" a="1"/>
  <c r="DE6" i="132" a="1"/>
  <c r="AJ12" i="132" a="1"/>
  <c r="DT13" i="132" a="1"/>
  <c r="EN15" i="132" a="1"/>
  <c r="AD12" i="132" a="1"/>
  <c r="AC16" i="132" a="1"/>
  <c r="DS14" i="132" a="1"/>
  <c r="CN12" i="132" a="1"/>
  <c r="BK14" i="132" a="1"/>
  <c r="AL12" i="132" a="1"/>
  <c r="X13" i="132" a="1"/>
  <c r="CY6" i="132" a="1"/>
  <c r="AU9" i="132" a="1"/>
  <c r="BQ16" i="132" a="1"/>
  <c r="CJ16" i="132" a="1"/>
  <c r="DT16" i="132" a="1"/>
  <c r="BJ7" i="132" a="1"/>
  <c r="BO13" i="132" a="1"/>
  <c r="AM7" i="132" a="1"/>
  <c r="DX5" i="132" a="1"/>
  <c r="M7" i="132" a="1"/>
  <c r="CM15" i="132" a="1"/>
  <c r="DY16" i="132" a="1"/>
  <c r="BJ13" i="132" a="1"/>
  <c r="R26" i="130" a="1"/>
  <c r="BO7" i="132" a="1"/>
  <c r="AP13" i="132" a="1"/>
  <c r="EE16" i="132" a="1"/>
  <c r="DE14" i="132" a="1"/>
  <c r="BK17" i="130" a="1"/>
  <c r="BB14" i="130" a="1"/>
  <c r="T12" i="130" a="1"/>
  <c r="AQ9" i="130" a="1"/>
  <c r="L7" i="130" a="1"/>
  <c r="CK16" i="132" a="1"/>
  <c r="ES7" i="132" a="1"/>
  <c r="CH7" i="132" a="1"/>
  <c r="DJ9" i="132" a="1"/>
  <c r="DD15" i="132" a="1"/>
  <c r="AQ8" i="132" a="1"/>
  <c r="U11" i="132" a="1"/>
  <c r="DJ15" i="132" a="1"/>
  <c r="AD14" i="132" a="1"/>
  <c r="DX9" i="132" a="1"/>
  <c r="BO14" i="132" a="1"/>
  <c r="CI12" i="132" a="1"/>
  <c r="BU7" i="132" a="1"/>
  <c r="FC13" i="132" a="1"/>
  <c r="EX9" i="132" a="1"/>
  <c r="DM15" i="132" a="1"/>
  <c r="Z12" i="132" a="1"/>
  <c r="BN9" i="132" a="1"/>
  <c r="W12" i="132" a="1"/>
  <c r="J9" i="132" a="1"/>
  <c r="ES11" i="132" a="1"/>
  <c r="AM12" i="132" a="1"/>
  <c r="DA12" i="132" a="1"/>
  <c r="CC12" i="132" a="1"/>
  <c r="EU6" i="132" a="1"/>
  <c r="DX7" i="132" a="1"/>
  <c r="DP16" i="132" a="1"/>
  <c r="EF7" i="132" a="1"/>
  <c r="BU11" i="132" a="1"/>
  <c r="X8" i="132" a="1"/>
  <c r="BB7" i="132" a="1"/>
  <c r="CE5" i="132" a="1"/>
  <c r="E12" i="132" a="1"/>
  <c r="AB9" i="132" a="1"/>
  <c r="K13" i="132" a="1"/>
  <c r="DC6" i="132" a="1"/>
  <c r="AI9" i="132" a="1"/>
  <c r="EB5" i="132" a="1"/>
  <c r="BO16" i="132" a="1"/>
  <c r="EI15" i="132" a="1"/>
  <c r="CY14" i="132" a="1"/>
  <c r="FB11" i="132" a="1"/>
  <c r="BF15" i="132" a="1"/>
  <c r="AW5" i="132" a="1"/>
  <c r="EG14" i="132" a="1"/>
  <c r="Z15" i="132" a="1"/>
  <c r="AH11" i="132" a="1"/>
  <c r="CS9" i="132" a="1"/>
  <c r="FA9" i="132" a="1"/>
  <c r="DS7" i="132" a="1"/>
  <c r="BI16" i="132" a="1"/>
  <c r="X5" i="132" a="1"/>
  <c r="I13" i="132" a="1"/>
  <c r="L16" i="132" a="1"/>
  <c r="BP11" i="132" a="1"/>
  <c r="AL13" i="132" a="1"/>
  <c r="BH11" i="132" a="1"/>
  <c r="EM16" i="132" a="1"/>
  <c r="AT11" i="132" a="1"/>
  <c r="BU15" i="132" a="1"/>
  <c r="EP6" i="132" a="1"/>
  <c r="BT15" i="132" a="1"/>
  <c r="O12" i="132" a="1"/>
  <c r="CH8" i="132" a="1"/>
  <c r="DU12" i="132" a="1"/>
  <c r="DV13" i="132" a="1"/>
  <c r="K5" i="132" a="1"/>
  <c r="I15" i="132" a="1"/>
  <c r="CI15" i="132" a="1"/>
  <c r="EY15" i="132" a="1"/>
  <c r="AP12" i="132" a="1"/>
  <c r="AA11" i="132" a="1"/>
  <c r="EZ11" i="132" a="1"/>
  <c r="DH7" i="132" a="1"/>
  <c r="BU12" i="132" a="1"/>
  <c r="BB5" i="132" a="1"/>
  <c r="BD7" i="132" a="1"/>
  <c r="EF14" i="132" a="1"/>
  <c r="EF12" i="132" a="1"/>
  <c r="N8" i="132" a="1"/>
  <c r="AZ8" i="132" a="1"/>
  <c r="EC16" i="132" a="1"/>
  <c r="BN15" i="132" a="1"/>
  <c r="CX15" i="132" a="1"/>
  <c r="EP11" i="132" a="1"/>
  <c r="T15" i="132" a="1"/>
  <c r="DH8" i="132" a="1"/>
  <c r="BM12" i="132" a="1"/>
  <c r="S16" i="132" a="1"/>
  <c r="BP9" i="132" a="1"/>
  <c r="DT7" i="132" a="1"/>
  <c r="EB14" i="132" a="1"/>
  <c r="CU13" i="132" a="1"/>
  <c r="AA5" i="132" a="1"/>
  <c r="DD11" i="132" a="1"/>
  <c r="BS8" i="132" a="1"/>
  <c r="AC7" i="132" a="1"/>
  <c r="AF11" i="132" a="1"/>
  <c r="E7" i="132" a="1"/>
  <c r="AX7" i="132" a="1"/>
  <c r="BH6" i="132" a="1"/>
  <c r="BL5" i="132" a="1"/>
  <c r="EJ7" i="132" a="1"/>
  <c r="DY9" i="132" a="1"/>
  <c r="AS7" i="132" a="1"/>
  <c r="AT8" i="132" a="1"/>
  <c r="DL9" i="132" a="1"/>
  <c r="R15" i="132" a="1"/>
  <c r="I14" i="132" a="1"/>
  <c r="ED7" i="132" a="1"/>
  <c r="EO6" i="132" a="1"/>
  <c r="EC14" i="132" a="1"/>
  <c r="K7" i="132" a="1"/>
  <c r="ET16" i="132" a="1"/>
  <c r="E15" i="132" a="1"/>
  <c r="Y23" i="130" a="1"/>
  <c r="H21" i="130" a="1"/>
  <c r="AT6" i="132" a="1"/>
  <c r="AB12" i="132" a="1"/>
  <c r="DK8" i="132" a="1"/>
  <c r="AY17" i="130" a="1"/>
  <c r="V14" i="130" a="1"/>
  <c r="AW11" i="130" a="1"/>
  <c r="O9" i="130" a="1"/>
  <c r="AS5" i="130" a="1"/>
  <c r="CU6" i="132" a="1"/>
  <c r="BM5" i="132" a="1"/>
  <c r="EG13" i="132" a="1"/>
  <c r="DP6" i="132" a="1"/>
  <c r="AP7" i="132" a="1"/>
  <c r="AE12" i="132" a="1"/>
  <c r="T7" i="132" a="1"/>
  <c r="EX11" i="132" a="1"/>
  <c r="CU12" i="132" a="1"/>
  <c r="ES6" i="132" a="1"/>
  <c r="BZ12" i="132" a="1"/>
  <c r="C15" i="132" a="1"/>
  <c r="EL12" i="132" a="1"/>
  <c r="AS13" i="132" a="1"/>
  <c r="BJ16" i="132" a="1"/>
  <c r="AH13" i="132" a="1"/>
  <c r="S5" i="132" a="1"/>
  <c r="DT12" i="132" a="1"/>
  <c r="EE5" i="132" a="1"/>
  <c r="DN14" i="132" a="1"/>
  <c r="DH11" i="132" a="1"/>
  <c r="CP12" i="132" a="1"/>
  <c r="DH6" i="132" a="1"/>
  <c r="AO11" i="132" a="1"/>
  <c r="AA8" i="132" a="1"/>
  <c r="BH12" i="132" a="1"/>
  <c r="N11" i="132" a="1"/>
  <c r="EX16" i="132" a="1"/>
  <c r="EJ14" i="132" a="1"/>
  <c r="BM14" i="132" a="1"/>
  <c r="EQ8" i="132" a="1"/>
  <c r="CT8" i="132" a="1"/>
  <c r="O16" i="130" a="1"/>
  <c r="AY14" i="130" a="1"/>
  <c r="DS15" i="132" a="1"/>
  <c r="CY15" i="132" a="1"/>
  <c r="BI15" i="132" a="1"/>
  <c r="AI17" i="130" a="1"/>
  <c r="N14" i="130" a="1"/>
  <c r="AO11" i="130" a="1"/>
  <c r="C9" i="130" a="1"/>
  <c r="AK5" i="130" a="1"/>
  <c r="BD6" i="132" a="1"/>
  <c r="DS13" i="132" a="1"/>
  <c r="BQ6" i="132" a="1"/>
  <c r="BU8" i="132" a="1"/>
  <c r="CE12" i="132" a="1"/>
  <c r="BW5" i="132" a="1"/>
  <c r="X14" i="132" a="1"/>
  <c r="BA7" i="132" a="1"/>
  <c r="EL8" i="132" a="1"/>
  <c r="DU9" i="132" a="1"/>
  <c r="FB6" i="132" a="1"/>
  <c r="R7" i="132" a="1"/>
  <c r="DB6" i="132" a="1"/>
  <c r="E14" i="132" a="1"/>
  <c r="EY6" i="132" a="1"/>
  <c r="EY14" i="132" a="1"/>
  <c r="FC11" i="132" a="1"/>
  <c r="DY11" i="132" a="1"/>
  <c r="P14" i="132" a="1"/>
  <c r="AG14" i="132" a="1"/>
  <c r="CR15" i="132" a="1"/>
  <c r="AS9" i="132" a="1"/>
  <c r="EM13" i="132" a="1"/>
  <c r="CI13" i="132" a="1"/>
  <c r="EG15" i="132" a="1"/>
  <c r="DD14" i="132" a="1"/>
  <c r="CG13" i="132" a="1"/>
  <c r="CF12" i="132" a="1"/>
  <c r="BE16" i="132" a="1"/>
  <c r="EV8" i="132" a="1"/>
  <c r="DO8" i="132" a="1"/>
  <c r="CV15" i="132" a="1"/>
  <c r="DA15" i="132" a="1"/>
  <c r="CS8" i="132" a="1"/>
  <c r="ED8" i="132" a="1"/>
  <c r="E9" i="132" a="1"/>
  <c r="G8" i="132" a="1"/>
  <c r="DT5" i="132" a="1"/>
  <c r="BJ9" i="132" a="1"/>
  <c r="BL12" i="132" a="1"/>
  <c r="EN9" i="132" a="1"/>
  <c r="V15" i="132" a="1"/>
  <c r="T13" i="132" a="1"/>
  <c r="BP12" i="132" a="1"/>
  <c r="AH8" i="132" a="1"/>
  <c r="AP5" i="132" a="1"/>
  <c r="DP7" i="132" a="1"/>
  <c r="ED13" i="132" a="1"/>
  <c r="CX5" i="132" a="1"/>
  <c r="CY8" i="132" a="1"/>
  <c r="BF12" i="132" a="1"/>
  <c r="DB8" i="132" a="1"/>
  <c r="Z14" i="132" a="1"/>
  <c r="BE12" i="132" a="1"/>
  <c r="EK6" i="132" a="1"/>
  <c r="FC12" i="132" a="1"/>
  <c r="CX8" i="132" a="1"/>
  <c r="V12" i="132" a="1"/>
  <c r="CS15" i="132" a="1"/>
  <c r="CI14" i="132" a="1"/>
  <c r="CQ16" i="132" a="1"/>
  <c r="AS14" i="132" a="1"/>
  <c r="N16" i="132" a="1"/>
  <c r="CK14" i="132" a="1"/>
  <c r="DB11" i="132" a="1"/>
  <c r="BB13" i="130" a="1"/>
  <c r="C14" i="130" a="1"/>
  <c r="CV6" i="132" a="1"/>
  <c r="AE7" i="132" a="1"/>
  <c r="EZ15" i="132" a="1"/>
  <c r="C17" i="130" a="1"/>
  <c r="J14" i="130" a="1"/>
  <c r="AK11" i="130" a="1"/>
  <c r="BH8" i="130" a="1"/>
  <c r="AG5" i="130" a="1"/>
  <c r="FB16" i="132" a="1"/>
  <c r="AW12" i="132" a="1"/>
  <c r="BD13" i="132" a="1"/>
  <c r="BX8" i="132" a="1"/>
  <c r="CU9" i="132" a="1"/>
  <c r="ER7" i="132" a="1"/>
  <c r="EV12" i="132" a="1"/>
  <c r="AG15" i="132" a="1"/>
  <c r="BK16" i="132" a="1"/>
  <c r="AY12" i="132" a="1"/>
  <c r="N14" i="132" a="1"/>
  <c r="S15" i="132" a="1"/>
  <c r="AV9" i="132" a="1"/>
  <c r="AP11" i="132" a="1"/>
  <c r="CM7" i="132" a="1"/>
  <c r="EN8" i="132" a="1"/>
  <c r="DD8" i="132" a="1"/>
  <c r="EK15" i="132" a="1"/>
  <c r="AW13" i="132" a="1"/>
  <c r="K14" i="132" a="1"/>
  <c r="EW9" i="132" a="1"/>
  <c r="FB5" i="132" a="1"/>
  <c r="R6" i="132" a="1"/>
  <c r="CN6" i="132" a="1"/>
  <c r="BA15" i="132" a="1"/>
  <c r="EY7" i="132" a="1"/>
  <c r="AG9" i="132" a="1"/>
  <c r="BZ6" i="132" a="1"/>
  <c r="CT5" i="132" a="1"/>
  <c r="CE6" i="132" a="1"/>
  <c r="CE16" i="132" a="1"/>
  <c r="AZ7" i="132" a="1"/>
  <c r="AF15" i="132" a="1"/>
  <c r="BC9" i="132" a="1"/>
  <c r="CO13" i="132" a="1"/>
  <c r="CJ11" i="132" a="1"/>
  <c r="EM11" i="132" a="1"/>
  <c r="BU5" i="132" a="1"/>
  <c r="DI14" i="132" a="1"/>
  <c r="Q13" i="132" a="1"/>
  <c r="AJ5" i="132" a="1"/>
  <c r="ED11" i="132" a="1"/>
  <c r="BK5" i="132" a="1"/>
  <c r="DF12" i="132" a="1"/>
  <c r="EK16" i="132" a="1"/>
  <c r="AR8" i="132" a="1"/>
  <c r="AK9" i="132" a="1"/>
  <c r="AS5" i="132" a="1"/>
  <c r="AY8" i="132" a="1"/>
  <c r="DV8" i="132" a="1"/>
  <c r="G12" i="132" a="1"/>
  <c r="BN11" i="132" a="1"/>
  <c r="CB14" i="132" a="1"/>
  <c r="BE8" i="132" a="1"/>
  <c r="AG6" i="132" a="1"/>
  <c r="BT6" i="132" a="1"/>
  <c r="CO14" i="132" a="1"/>
  <c r="DC14" i="132" a="1"/>
  <c r="EL6" i="132" a="1"/>
  <c r="O9" i="132" a="1"/>
  <c r="I11" i="132" a="1"/>
  <c r="CI6" i="132" a="1"/>
  <c r="BN16" i="132" a="1"/>
  <c r="CO16" i="132" a="1"/>
  <c r="DU14" i="132" a="1"/>
  <c r="AV5" i="130" a="1"/>
  <c r="BF11" i="130" a="1"/>
  <c r="EO12" i="132" a="1"/>
  <c r="CA14" i="132" a="1"/>
  <c r="AV21" i="130" a="1"/>
  <c r="AZ16" i="130" a="1"/>
  <c r="BK13" i="130" a="1"/>
  <c r="Y11" i="130" a="1"/>
  <c r="AZ8" i="130" a="1"/>
  <c r="Y5" i="130" a="1"/>
  <c r="AG8" i="132" a="1"/>
  <c r="CB6" i="132" a="1"/>
  <c r="CK7" i="132" a="1"/>
  <c r="AW8" i="132" a="1"/>
  <c r="CZ11" i="132" a="1"/>
  <c r="EA15" i="132" a="1"/>
  <c r="AF16" i="132" a="1"/>
  <c r="AX16" i="132" a="1"/>
  <c r="BV11" i="132" a="1"/>
  <c r="Z8" i="132" a="1"/>
  <c r="AZ13" i="132" a="1"/>
  <c r="AD9" i="132" a="1"/>
  <c r="F7" i="132" a="1"/>
  <c r="BE15" i="132" a="1"/>
  <c r="CD9" i="132" a="1"/>
  <c r="AF14" i="132" a="1"/>
  <c r="DU16" i="132" a="1"/>
  <c r="DE11" i="132" a="1"/>
  <c r="EZ9" i="132" a="1"/>
  <c r="CU15" i="132" a="1"/>
  <c r="DA8" i="132" a="1"/>
  <c r="EE14" i="132" a="1"/>
  <c r="L5" i="132" a="1"/>
  <c r="DN13" i="132" a="1"/>
  <c r="AP14" i="132" a="1"/>
  <c r="CL8" i="132" a="1"/>
  <c r="R11" i="130" a="1"/>
  <c r="CB7" i="132" a="1"/>
  <c r="EX8" i="132" a="1"/>
  <c r="AA21" i="130" a="1"/>
  <c r="AN16" i="130" a="1"/>
  <c r="AE13" i="130" a="1"/>
  <c r="BF10" i="130" a="1"/>
  <c r="X8" i="130" a="1"/>
  <c r="FE14" i="132" a="1"/>
  <c r="FD13" i="132" a="1"/>
  <c r="O14" i="132" a="1"/>
  <c r="AX9" i="132" a="1"/>
  <c r="CG7" i="132" a="1"/>
  <c r="CP5" i="132" a="1"/>
  <c r="EA16" i="132" a="1"/>
  <c r="CE9" i="132" a="1"/>
  <c r="CZ12" i="132" a="1"/>
  <c r="CA7" i="132" a="1"/>
  <c r="AC15" i="132" a="1"/>
  <c r="BI13" i="132" a="1"/>
  <c r="BG12" i="132" a="1"/>
  <c r="EN5" i="132" a="1"/>
  <c r="Y7" i="132" a="1"/>
  <c r="AR6" i="132" a="1"/>
  <c r="EE15" i="132" a="1"/>
  <c r="AB7" i="132" a="1"/>
  <c r="DK16" i="132" a="1"/>
  <c r="CM8" i="132" a="1"/>
  <c r="ET8" i="132" a="1"/>
  <c r="FC7" i="132" a="1"/>
  <c r="EA11" i="132" a="1"/>
  <c r="BM11" i="132" a="1"/>
  <c r="EI11" i="132" a="1"/>
  <c r="EZ14" i="132" a="1"/>
  <c r="DR15" i="132" a="1"/>
  <c r="CH12" i="132" a="1"/>
  <c r="BT5" i="132" a="1"/>
  <c r="AY15" i="132" a="1"/>
  <c r="EP9" i="132" a="1"/>
  <c r="J7" i="132" a="1"/>
  <c r="DH12" i="132" a="1"/>
  <c r="BC12" i="132" a="1"/>
  <c r="DA16" i="132" a="1"/>
  <c r="H14" i="132" a="1"/>
  <c r="AN8" i="132" a="1"/>
  <c r="DP13" i="132" a="1"/>
  <c r="AV5" i="132" a="1"/>
  <c r="DW13" i="132" a="1"/>
  <c r="DW15" i="132" a="1"/>
  <c r="W8" i="132" a="1"/>
  <c r="AR15" i="132" a="1"/>
  <c r="AF6" i="132" a="1"/>
  <c r="EI16" i="132" a="1"/>
  <c r="EW14" i="132" a="1"/>
  <c r="EI8" i="132" a="1"/>
  <c r="BT8" i="132" a="1"/>
  <c r="AL7" i="132" a="1"/>
  <c r="U5" i="132" a="1"/>
  <c r="BV15" i="132" a="1"/>
  <c r="DF6" i="132" a="1"/>
  <c r="CJ13" i="132" a="1"/>
  <c r="DM13" i="132" a="1"/>
  <c r="CK8" i="132" a="1"/>
  <c r="X16" i="132" a="1"/>
  <c r="BL16" i="132" a="1"/>
  <c r="BB16" i="132" a="1"/>
  <c r="AR9" i="130" a="1"/>
  <c r="DS16" i="132" a="1"/>
  <c r="CJ5" i="132" a="1"/>
  <c r="AN20" i="130" a="1"/>
  <c r="D16" i="130" a="1"/>
  <c r="W13" i="130" a="1"/>
  <c r="AX10" i="130" a="1"/>
  <c r="L8" i="130" a="1"/>
  <c r="FD7" i="132" a="1"/>
  <c r="EL11" i="132" a="1"/>
  <c r="H11" i="132" a="1"/>
  <c r="M6" i="132" a="1"/>
  <c r="DD6" i="132" a="1"/>
  <c r="CG15" i="132" a="1"/>
  <c r="DF9" i="132" a="1"/>
  <c r="CR6" i="132" a="1"/>
  <c r="AQ11" i="132" a="1"/>
  <c r="D7" i="132" a="1"/>
  <c r="CS6" i="132" a="1"/>
  <c r="DC5" i="132" a="1"/>
  <c r="T5" i="132" a="1"/>
  <c r="AU14" i="132" a="1"/>
  <c r="EB6" i="132" a="1"/>
  <c r="BR15" i="132" a="1"/>
  <c r="ES13" i="132" a="1"/>
  <c r="CI16" i="132" a="1"/>
  <c r="EP7" i="132" a="1"/>
  <c r="AT12" i="132" a="1"/>
  <c r="DR7" i="132" a="1"/>
  <c r="CB5" i="132" a="1"/>
  <c r="DN8" i="132" a="1"/>
  <c r="EP8" i="132" a="1"/>
  <c r="Y8" i="132" a="1"/>
  <c r="AA9" i="132" a="1"/>
  <c r="CO5" i="132" a="1"/>
  <c r="AX8" i="132" a="1"/>
  <c r="FC14" i="132" a="1"/>
  <c r="H9" i="130" a="1"/>
  <c r="CZ5" i="132" a="1"/>
  <c r="K12" i="132" a="1"/>
  <c r="AB20" i="130" a="1"/>
  <c r="BE15" i="130" a="1"/>
  <c r="S13" i="130" a="1"/>
  <c r="AT10" i="130" a="1"/>
  <c r="H8" i="130" a="1"/>
  <c r="FE15" i="132" a="1"/>
  <c r="AT15" i="132" a="1"/>
  <c r="CD7" i="132" a="1"/>
  <c r="AQ7" i="132" a="1"/>
  <c r="BP13" i="132" a="1"/>
  <c r="DE13" i="132" a="1"/>
  <c r="EN16" i="132" a="1"/>
  <c r="CJ12" i="132" a="1"/>
  <c r="Q7" i="132" a="1"/>
  <c r="EO9" i="132" a="1"/>
  <c r="Y11" i="132" a="1"/>
  <c r="AV16" i="132" a="1"/>
  <c r="BB15" i="132" a="1"/>
  <c r="AH15" i="132" a="1"/>
  <c r="BS12" i="132" a="1"/>
  <c r="AQ15" i="132" a="1"/>
  <c r="F8" i="132" a="1"/>
  <c r="BE14" i="132" a="1"/>
  <c r="BY9" i="132" a="1"/>
  <c r="L14" i="132" a="1"/>
  <c r="BW15" i="132" a="1"/>
  <c r="DA5" i="132" a="1"/>
  <c r="Z13" i="132" a="1"/>
  <c r="BB13" i="132" a="1"/>
  <c r="BZ13" i="132" a="1"/>
  <c r="P7" i="132" a="1"/>
  <c r="BI14" i="132" a="1"/>
  <c r="DO5" i="132" a="1"/>
  <c r="Q15" i="132" a="1"/>
  <c r="O8" i="132" a="1"/>
  <c r="CY5" i="132" a="1"/>
  <c r="BY14" i="132" a="1"/>
  <c r="AY11" i="132" a="1"/>
  <c r="BD5" i="132" a="1"/>
  <c r="EW8" i="132" a="1"/>
  <c r="DA7" i="132" a="1"/>
  <c r="CN7" i="132" a="1"/>
  <c r="DC11" i="132" a="1"/>
  <c r="EV15" i="132" a="1"/>
  <c r="AF7" i="132" a="1"/>
  <c r="EP12" i="132" a="1"/>
  <c r="DS8" i="132" a="1"/>
  <c r="CK9" i="132" a="1"/>
  <c r="P6" i="132" a="1"/>
  <c r="DR16" i="132" a="1"/>
  <c r="CV9" i="132" a="1"/>
  <c r="BY8" i="132" a="1"/>
  <c r="DO15" i="132" a="1"/>
  <c r="BF7" i="132" a="1"/>
  <c r="CX14" i="132" a="1"/>
  <c r="BV14" i="132" a="1"/>
  <c r="AI16" i="132" a="1"/>
  <c r="DQ6" i="132" a="1"/>
  <c r="DG13" i="132" a="1"/>
  <c r="BS9" i="132" a="1"/>
  <c r="EZ13" i="132" a="1"/>
  <c r="DI8" i="132" a="1"/>
  <c r="BH7" i="130" a="1"/>
  <c r="DL16" i="132" a="1"/>
  <c r="CF6" i="132" a="1"/>
  <c r="BY6" i="132" a="1"/>
  <c r="DX13" i="132" a="1"/>
  <c r="AR9" i="132" a="1"/>
  <c r="BN8" i="132" a="1"/>
  <c r="CP6" i="132" a="1"/>
  <c r="BB12" i="132" a="1"/>
  <c r="C9" i="132" a="1"/>
  <c r="DP14" i="132" a="1"/>
  <c r="D9" i="132" a="1"/>
  <c r="EN7" i="132" a="1"/>
  <c r="EW15" i="132" a="1"/>
  <c r="BG13" i="132" a="1"/>
  <c r="EY11" i="132" a="1"/>
  <c r="BL13" i="132" a="1"/>
  <c r="AU15" i="132" a="1"/>
  <c r="F16" i="130" a="1"/>
  <c r="AS7" i="130" a="1"/>
  <c r="AL15" i="132" a="1"/>
  <c r="CR8" i="132" a="1"/>
  <c r="AS19" i="130" a="1"/>
  <c r="AS15" i="130" a="1"/>
  <c r="K13" i="130" a="1"/>
  <c r="AH10" i="130" a="1"/>
  <c r="CU8" i="132" a="1"/>
  <c r="BD12" i="132" a="1"/>
  <c r="EH9" i="132" a="1"/>
  <c r="DA6" i="132" a="1"/>
  <c r="CU14" i="132" a="1"/>
  <c r="AM6" i="132" a="1"/>
  <c r="AI7" i="132" a="1"/>
  <c r="AQ12" i="132" a="1"/>
  <c r="EP13" i="132" a="1"/>
  <c r="AT5" i="132" a="1"/>
  <c r="AJ14" i="132" a="1"/>
  <c r="EA14" i="132" a="1"/>
  <c r="T6" i="132" a="1"/>
  <c r="V6" i="132" a="1"/>
  <c r="DM14" i="132" a="1"/>
  <c r="DZ13" i="132" a="1"/>
  <c r="AT13" i="132" a="1"/>
  <c r="EO16" i="132" a="1"/>
  <c r="AU5" i="132" a="1"/>
  <c r="BI8" i="132" a="1"/>
  <c r="CW16" i="132" a="1"/>
  <c r="H6" i="132" a="1"/>
  <c r="AV7" i="132" a="1"/>
  <c r="ER6" i="132" a="1"/>
  <c r="AW7" i="132" a="1"/>
  <c r="U13" i="132" a="1"/>
  <c r="DZ12" i="132" a="1"/>
  <c r="CZ13" i="132" a="1"/>
  <c r="DR5" i="132" a="1"/>
  <c r="DF14" i="132" a="1"/>
  <c r="AC13" i="132" a="1"/>
  <c r="AG7" i="132" a="1"/>
  <c r="BT12" i="132" a="1"/>
  <c r="X15" i="132" a="1"/>
  <c r="DZ16" i="132" a="1"/>
  <c r="AQ13" i="132" a="1"/>
  <c r="AR11" i="132" a="1"/>
  <c r="BF9" i="132" a="1"/>
  <c r="M11" i="132" a="1"/>
  <c r="T11" i="132" a="1"/>
  <c r="AL5" i="132" a="1"/>
  <c r="AI12" i="132" a="1"/>
  <c r="DM9" i="132" a="1"/>
  <c r="AS13" i="130" a="1"/>
  <c r="AC7" i="130" a="1"/>
  <c r="M13" i="132" a="1"/>
  <c r="CX6" i="132" a="1"/>
  <c r="AC19" i="130" a="1"/>
  <c r="M15" i="130" a="1"/>
  <c r="AN12" i="130" a="1"/>
  <c r="F10" i="130" a="1"/>
  <c r="AF7" i="130" a="1"/>
  <c r="BW13" i="132" a="1"/>
  <c r="EV9" i="132" a="1"/>
  <c r="BH9" i="132" a="1"/>
  <c r="D15" i="132" a="1"/>
  <c r="BP8" i="132" a="1"/>
  <c r="AN13" i="132" a="1"/>
  <c r="DT14" i="132" a="1"/>
  <c r="CP13" i="132" a="1"/>
  <c r="DC16" i="132" a="1"/>
  <c r="CW7" i="132" a="1"/>
  <c r="CD15" i="132" a="1"/>
  <c r="BN6" i="132" a="1"/>
  <c r="BO12" i="132" a="1"/>
  <c r="BS13" i="132" a="1"/>
  <c r="BU16" i="132" a="1"/>
  <c r="CF7" i="132" a="1"/>
  <c r="C16" i="132" a="1"/>
  <c r="EI13" i="132" a="1"/>
  <c r="EU7" i="132" a="1"/>
  <c r="AC6" i="132" a="1"/>
  <c r="BT7" i="132" a="1"/>
  <c r="CS12" i="132" a="1"/>
  <c r="CF5" i="132" a="1"/>
  <c r="BE6" i="132" a="1"/>
  <c r="AU12" i="132" a="1"/>
  <c r="H5" i="132" a="1"/>
  <c r="CN9" i="132" a="1"/>
  <c r="EO7" i="132" a="1"/>
  <c r="DS5" i="132" a="1"/>
  <c r="W9" i="132" a="1"/>
  <c r="P9" i="132" a="1"/>
  <c r="CF16" i="132" a="1"/>
  <c r="S14" i="132" a="1"/>
  <c r="EM15" i="132" a="1"/>
  <c r="CF8" i="132" a="1"/>
  <c r="G7" i="132" a="1"/>
  <c r="BG15" i="132" a="1"/>
  <c r="CN16" i="132" a="1"/>
  <c r="EF6" i="132" a="1"/>
  <c r="H7" i="132" a="1"/>
  <c r="AW15" i="132" a="1"/>
  <c r="DZ15" i="132" a="1"/>
  <c r="EI5" i="132" a="1"/>
  <c r="AO6" i="132" a="1"/>
  <c r="DC12" i="132" a="1"/>
  <c r="DH5" i="132" a="1"/>
  <c r="R9" i="132" a="1"/>
  <c r="AJ7" i="132" a="1"/>
  <c r="L12" i="132" a="1"/>
  <c r="O7" i="132" a="1"/>
  <c r="AT14" i="132" a="1"/>
  <c r="CQ7" i="132" a="1"/>
  <c r="V9" i="132" a="1"/>
  <c r="BO8" i="132" a="1"/>
  <c r="EW11" i="132" a="1"/>
  <c r="CA13" i="132" a="1"/>
  <c r="CO7" i="132" a="1"/>
  <c r="AH12" i="132" a="1"/>
  <c r="CM14" i="132" a="1"/>
  <c r="R12" i="132" a="1"/>
  <c r="BZ9" i="132" a="1"/>
  <c r="BS11" i="132" a="1"/>
  <c r="CF15" i="132" a="1"/>
  <c r="BZ5" i="132" a="1"/>
  <c r="AW6" i="132" a="1"/>
  <c r="BX11" i="132" a="1"/>
  <c r="EV14" i="132" a="1"/>
  <c r="P12" i="132" a="1"/>
  <c r="ET13" i="132" a="1"/>
  <c r="DW9" i="132" a="1"/>
  <c r="EL5" i="132" a="1"/>
  <c r="CU11" i="132" a="1"/>
  <c r="Q6" i="132" a="1"/>
  <c r="BA6" i="132" a="1"/>
  <c r="D12" i="132" a="1"/>
  <c r="DU13" i="132" a="1"/>
  <c r="AX11" i="132" a="1"/>
  <c r="DJ8" i="132" a="1"/>
  <c r="F5" i="132" a="1"/>
  <c r="BN12" i="132" a="1"/>
  <c r="BL15" i="132" a="1"/>
  <c r="AQ6" i="132" a="1"/>
  <c r="DD13" i="132" a="1"/>
  <c r="BD8" i="132" a="1"/>
  <c r="G16" i="132" a="1"/>
  <c r="BO9" i="132" a="1"/>
  <c r="EM7" i="132" a="1"/>
  <c r="DM6" i="132" a="1"/>
  <c r="DW14" i="132" a="1"/>
  <c r="BO11" i="132" a="1"/>
  <c r="AZ11" i="132" a="1"/>
  <c r="ET15" i="132" a="1"/>
  <c r="DA9" i="132" a="1"/>
  <c r="AH14" i="132" a="1"/>
  <c r="V11" i="132" a="1"/>
  <c r="EW13" i="132" a="1"/>
  <c r="DM16" i="132" a="1"/>
  <c r="BG6" i="132" a="1"/>
  <c r="DE15" i="132" a="1"/>
  <c r="FA11" i="132" a="1"/>
  <c r="EE12" i="132" a="1"/>
  <c r="EB7" i="132" a="1"/>
  <c r="AG12" i="132" a="1"/>
  <c r="AN9" i="132" a="1"/>
  <c r="AO16" i="132" a="1"/>
  <c r="BG5" i="132" a="1"/>
  <c r="BT14" i="132" a="1"/>
  <c r="DQ7" i="132" a="1"/>
  <c r="AI6" i="132" a="1"/>
  <c r="BF8" i="132" a="1"/>
  <c r="AL11" i="132" a="1"/>
  <c r="CN15" i="132" a="1"/>
  <c r="AN7" i="132" a="1"/>
  <c r="AP16" i="132" a="1"/>
  <c r="DO11" i="132" a="1"/>
  <c r="BW9" i="132" a="1"/>
  <c r="DN11" i="132" a="1"/>
  <c r="DK5" i="132" a="1"/>
  <c r="O15" i="132" a="1"/>
  <c r="FB14" i="132" a="1"/>
  <c r="AE6" i="132" a="1"/>
  <c r="U15" i="132" a="1"/>
  <c r="BQ14" i="132" a="1"/>
  <c r="AX5" i="132" a="1"/>
  <c r="DY12" i="132" a="1"/>
  <c r="N5" i="132" a="1"/>
  <c r="BV6" i="132" a="1"/>
  <c r="EI14" i="132" a="1"/>
  <c r="EF8" i="132" a="1"/>
  <c r="DI16" i="132" a="1"/>
  <c r="AN11" i="132" a="1"/>
  <c r="BR16" i="132" a="1"/>
  <c r="AL9" i="132" a="1"/>
  <c r="AS16" i="132" a="1"/>
  <c r="DU7" i="132" a="1"/>
  <c r="DL5" i="132" a="1"/>
  <c r="EF5" i="132" a="1"/>
  <c r="X6" i="132" a="1"/>
  <c r="AV6" i="132" a="1"/>
  <c r="G6" i="132" a="1"/>
  <c r="CM6" i="132" a="1"/>
  <c r="BQ12" i="132" a="1"/>
  <c r="BI12" i="132" a="1"/>
  <c r="DK15" i="132" a="1"/>
  <c r="AW11" i="132" a="1"/>
  <c r="BU6" i="132" a="1"/>
  <c r="DU6" i="132" a="1"/>
  <c r="DB5" i="132" a="1"/>
  <c r="EZ5" i="132" a="1"/>
  <c r="AP9" i="132" a="1"/>
  <c r="ET9" i="132" a="1"/>
  <c r="BZ8" i="132" a="1"/>
  <c r="BR11" i="132" a="1"/>
  <c r="AT9" i="132" a="1"/>
  <c r="BY11" i="132" a="1"/>
  <c r="AT7" i="132" a="1"/>
  <c r="DF11" i="132" a="1"/>
  <c r="E6" i="132" a="1"/>
  <c r="BN7" i="132" a="1"/>
  <c r="DP9" i="132" a="1"/>
  <c r="Q16" i="132" a="1"/>
  <c r="J5" i="132" a="1"/>
  <c r="R14" i="132" a="1"/>
  <c r="AO5" i="132" a="1"/>
  <c r="F6" i="132" a="1"/>
  <c r="DV14" i="132" a="1"/>
  <c r="AN6" i="132" a="1"/>
  <c r="EJ6" i="132" a="1"/>
  <c r="ED6" i="132" a="1"/>
  <c r="DN7" i="132" a="1"/>
  <c r="DN6" i="132" a="1"/>
  <c r="AN15" i="132" a="1"/>
  <c r="CO12" i="132" a="1"/>
  <c r="EK11" i="132" a="1"/>
  <c r="BR14" i="132" a="1"/>
  <c r="AZ12" i="132" a="1"/>
  <c r="BI5" i="132" a="1"/>
  <c r="DZ8" i="132" a="1"/>
  <c r="A3" i="3"/>
  <c r="EL9" i="132" a="1"/>
  <c r="EA13" i="132" a="1"/>
  <c r="EA6" i="132" a="1"/>
  <c r="DU8" i="132" a="1"/>
  <c r="CD12" i="132" a="1"/>
  <c r="L6" i="132" a="1"/>
  <c r="KG20" i="132"/>
  <c r="JW19" i="132"/>
  <c r="KF20" i="132"/>
  <c r="JR20" i="132"/>
  <c r="BY91" i="1" s="1"/>
  <c r="JS20" i="132"/>
  <c r="KH20" i="132"/>
  <c r="JT19" i="132"/>
  <c r="P136" i="1"/>
  <c r="W133" i="1"/>
  <c r="J133" i="1"/>
  <c r="L133" i="1"/>
  <c r="I119" i="1"/>
  <c r="E133" i="1"/>
  <c r="V133" i="1"/>
  <c r="S133" i="1"/>
  <c r="Z133" i="1"/>
  <c r="B133" i="1"/>
  <c r="M133" i="1"/>
  <c r="Q133" i="1"/>
  <c r="U133" i="1"/>
  <c r="T133" i="1"/>
  <c r="D133" i="1"/>
  <c r="O133" i="1"/>
  <c r="R133" i="1"/>
  <c r="F133" i="1"/>
  <c r="X133" i="1"/>
  <c r="N133" i="1"/>
  <c r="P133" i="1"/>
  <c r="H133" i="1"/>
  <c r="I133" i="1"/>
  <c r="G133" i="1"/>
  <c r="K133" i="1"/>
  <c r="Y133" i="1"/>
  <c r="C133" i="1"/>
  <c r="Y136" i="1"/>
  <c r="M136" i="1"/>
  <c r="N119" i="1"/>
  <c r="X136" i="1"/>
  <c r="S136" i="1"/>
  <c r="I136" i="1"/>
  <c r="T136" i="1"/>
  <c r="G119" i="1"/>
  <c r="Z136" i="1"/>
  <c r="K136" i="1"/>
  <c r="D136" i="1"/>
  <c r="C37" i="1"/>
  <c r="O136" i="1"/>
  <c r="U119" i="1"/>
  <c r="O119" i="1"/>
  <c r="N136" i="1"/>
  <c r="H119" i="1"/>
  <c r="V136" i="1"/>
  <c r="G136" i="1"/>
  <c r="L136" i="1"/>
  <c r="X119" i="1"/>
  <c r="J136" i="1"/>
  <c r="T119" i="1"/>
  <c r="E119" i="1"/>
  <c r="K42" i="1"/>
  <c r="D42" i="1"/>
  <c r="O42" i="1"/>
  <c r="H42" i="1"/>
  <c r="M119" i="1"/>
  <c r="R136" i="1"/>
  <c r="E136" i="1"/>
  <c r="B119" i="1"/>
  <c r="T103" i="1"/>
  <c r="K119" i="1"/>
  <c r="U136" i="1"/>
  <c r="J119" i="1"/>
  <c r="T42" i="1"/>
  <c r="P42" i="1"/>
  <c r="B42" i="1"/>
  <c r="B46" i="1" s="1"/>
  <c r="W119" i="1"/>
  <c r="C42" i="1"/>
  <c r="R103" i="1"/>
  <c r="H136" i="1"/>
  <c r="C119" i="1"/>
  <c r="S119" i="1"/>
  <c r="Z42" i="1"/>
  <c r="V103" i="1"/>
  <c r="N42" i="1"/>
  <c r="P119" i="1"/>
  <c r="Y42" i="1"/>
  <c r="L42" i="1"/>
  <c r="S42" i="1"/>
  <c r="F119" i="1"/>
  <c r="Q119" i="1"/>
  <c r="S103" i="1"/>
  <c r="G42" i="1"/>
  <c r="Z119" i="1"/>
  <c r="AA160" i="1" s="1"/>
  <c r="J42" i="1"/>
  <c r="I42" i="1"/>
  <c r="Q136" i="1"/>
  <c r="X42" i="1"/>
  <c r="Q42" i="1"/>
  <c r="U103" i="1"/>
  <c r="W103" i="1"/>
  <c r="C136" i="1"/>
  <c r="Y103" i="1"/>
  <c r="B136" i="1"/>
  <c r="R119" i="1"/>
  <c r="F42" i="1"/>
  <c r="D119" i="1"/>
  <c r="F136" i="1"/>
  <c r="X103" i="1"/>
  <c r="E42" i="1"/>
  <c r="L119" i="1"/>
  <c r="M42" i="1"/>
  <c r="V42" i="1"/>
  <c r="Z103" i="1"/>
  <c r="Q103" i="1"/>
  <c r="V119" i="1"/>
  <c r="U42" i="1"/>
  <c r="Y119" i="1"/>
  <c r="W42" i="1"/>
  <c r="R42" i="1"/>
  <c r="P103" i="1"/>
  <c r="W13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I150" i="1" l="1"/>
  <c r="E150" i="1"/>
  <c r="D150" i="1"/>
  <c r="C39" i="1"/>
  <c r="M145" i="1"/>
  <c r="K37" i="1"/>
  <c r="K39" i="1" s="1"/>
  <c r="O46" i="1"/>
  <c r="J145" i="1"/>
  <c r="L145" i="1"/>
  <c r="P46" i="1"/>
  <c r="N46" i="1"/>
  <c r="L46" i="1"/>
  <c r="G46" i="1"/>
  <c r="X46" i="1"/>
  <c r="O145" i="1"/>
  <c r="M37" i="1"/>
  <c r="M39" i="1" s="1"/>
  <c r="L37" i="1"/>
  <c r="L39" i="1" s="1"/>
  <c r="E46" i="1"/>
  <c r="R46" i="1"/>
  <c r="V37" i="1"/>
  <c r="V39" i="1" s="1"/>
  <c r="D37" i="1"/>
  <c r="D39" i="1" s="1"/>
  <c r="H46" i="1"/>
  <c r="V114" i="1"/>
  <c r="C46" i="1"/>
  <c r="X145" i="1"/>
  <c r="N150" i="1"/>
  <c r="S46" i="1"/>
  <c r="I46" i="1"/>
  <c r="W37" i="1"/>
  <c r="W39" i="1" s="1"/>
  <c r="Y150" i="1"/>
  <c r="B114" i="1"/>
  <c r="K150" i="1"/>
  <c r="M46" i="1"/>
  <c r="U46" i="1"/>
  <c r="U150" i="1"/>
  <c r="R37" i="1"/>
  <c r="R39" i="1" s="1"/>
  <c r="K46" i="1"/>
  <c r="I37" i="1"/>
  <c r="Z150" i="1"/>
  <c r="O37" i="1"/>
  <c r="T46" i="1"/>
  <c r="Z46" i="1"/>
  <c r="U145" i="1"/>
  <c r="Q46" i="1"/>
  <c r="F46" i="1"/>
  <c r="Y39" i="1"/>
  <c r="T125" i="1"/>
  <c r="O114" i="1"/>
  <c r="W46" i="1"/>
  <c r="D46" i="1"/>
  <c r="I145" i="1"/>
  <c r="Y46" i="1"/>
  <c r="N37" i="1"/>
  <c r="N39" i="1" s="1"/>
  <c r="G145" i="1"/>
  <c r="Q37" i="1"/>
  <c r="Q39" i="1" s="1"/>
  <c r="H145" i="1"/>
  <c r="M114" i="1"/>
  <c r="P37" i="1"/>
  <c r="P39" i="1" s="1"/>
  <c r="V46" i="1"/>
  <c r="J114" i="1"/>
  <c r="E125" i="1"/>
  <c r="H37" i="1"/>
  <c r="H39" i="1" s="1"/>
  <c r="AQ59" i="1"/>
  <c r="AM43" i="1"/>
  <c r="HZ14" i="132" s="1"/>
  <c r="AI43" i="1"/>
  <c r="BA38" i="1"/>
  <c r="AV44" i="1"/>
  <c r="AS53" i="1"/>
  <c r="AN51" i="1"/>
  <c r="BR51" i="1"/>
  <c r="BE38" i="1"/>
  <c r="BN49" i="1"/>
  <c r="AL35" i="1"/>
  <c r="AP41" i="1"/>
  <c r="JF7" i="132" s="1"/>
  <c r="JB7" i="132" s="1"/>
  <c r="BU53" i="1"/>
  <c r="BP41" i="1"/>
  <c r="BD59" i="1"/>
  <c r="BU35" i="1"/>
  <c r="BK59" i="1"/>
  <c r="AK59" i="1"/>
  <c r="BR38" i="1"/>
  <c r="AU59" i="1"/>
  <c r="BU36" i="1"/>
  <c r="BR35" i="1"/>
  <c r="AZ44" i="1"/>
  <c r="BK35" i="1"/>
  <c r="BT53" i="1"/>
  <c r="AT53" i="1"/>
  <c r="BO51" i="1"/>
  <c r="IG14" i="132"/>
  <c r="IG7" i="132"/>
  <c r="JO8" i="132"/>
  <c r="IA14" i="132"/>
  <c r="AI49" i="1"/>
  <c r="HS8" i="132"/>
  <c r="IN15" i="132"/>
  <c r="JB15" i="132"/>
  <c r="IB14" i="132"/>
  <c r="JN14" i="132"/>
  <c r="JC15" i="132"/>
  <c r="JC8" i="132"/>
  <c r="IJ8" i="132"/>
  <c r="HV7" i="132"/>
  <c r="JG15" i="132"/>
  <c r="JN7" i="132"/>
  <c r="IU14" i="132"/>
  <c r="HS14" i="132"/>
  <c r="HU7" i="132"/>
  <c r="IX7" i="132"/>
  <c r="IX14" i="132"/>
  <c r="HW14" i="132"/>
  <c r="IR15" i="132"/>
  <c r="JG7" i="132"/>
  <c r="IN9" i="132"/>
  <c r="HT9" i="132" s="1"/>
  <c r="IP16" i="132" s="1"/>
  <c r="IH9" i="132" s="1"/>
  <c r="BW35" i="1" s="1"/>
  <c r="JA9" i="132" s="1"/>
  <c r="JH9" i="132" s="1"/>
  <c r="AO35" i="1" s="1"/>
  <c r="ID16" i="132" s="1"/>
  <c r="BX36" i="1"/>
  <c r="J150" i="1"/>
  <c r="I120" i="1"/>
  <c r="X150" i="1"/>
  <c r="Z37" i="1"/>
  <c r="Z39" i="1" s="1"/>
  <c r="AA40" i="1" s="1"/>
  <c r="G37" i="1"/>
  <c r="G39" i="1" s="1"/>
  <c r="H150" i="1"/>
  <c r="N120" i="1"/>
  <c r="U37" i="1"/>
  <c r="U39" i="1" s="1"/>
  <c r="C150" i="1"/>
  <c r="O150" i="1"/>
  <c r="M150" i="1"/>
  <c r="W150" i="1"/>
  <c r="S150" i="1"/>
  <c r="G120" i="1"/>
  <c r="C125" i="1"/>
  <c r="C129" i="1" s="1"/>
  <c r="U120" i="1"/>
  <c r="R114" i="1"/>
  <c r="H120" i="1"/>
  <c r="X114" i="1"/>
  <c r="S37" i="1"/>
  <c r="S39" i="1" s="1"/>
  <c r="G114" i="1"/>
  <c r="E37" i="1"/>
  <c r="E39" i="1" s="1"/>
  <c r="X120" i="1"/>
  <c r="S145" i="1"/>
  <c r="T120" i="1"/>
  <c r="F125" i="1"/>
  <c r="F129" i="1" s="1"/>
  <c r="BV141" i="1"/>
  <c r="BV143" i="1"/>
  <c r="BV152" i="1"/>
  <c r="BV149" i="1"/>
  <c r="BV133" i="1"/>
  <c r="BV128" i="1"/>
  <c r="BW148" i="1"/>
  <c r="BW144" i="1"/>
  <c r="BW141" i="1"/>
  <c r="BW136" i="1"/>
  <c r="BW134" i="1"/>
  <c r="BW133" i="1"/>
  <c r="BW118" i="1"/>
  <c r="BW110" i="1"/>
  <c r="N145" i="1"/>
  <c r="L150" i="1"/>
  <c r="B150" i="1"/>
  <c r="I114" i="1"/>
  <c r="K114" i="1"/>
  <c r="Q150" i="1"/>
  <c r="S114" i="1"/>
  <c r="Y125" i="1"/>
  <c r="Y129" i="1" s="1"/>
  <c r="E120" i="1"/>
  <c r="X125" i="1"/>
  <c r="X129" i="1" s="1"/>
  <c r="R145" i="1"/>
  <c r="J37" i="1"/>
  <c r="J39" i="1" s="1"/>
  <c r="C145" i="1"/>
  <c r="B145" i="1"/>
  <c r="T114" i="1"/>
  <c r="W114" i="1"/>
  <c r="P114" i="1"/>
  <c r="Z114" i="1"/>
  <c r="AA161" i="1" s="1"/>
  <c r="L114" i="1"/>
  <c r="D125" i="1"/>
  <c r="D129" i="1" s="1"/>
  <c r="U114" i="1"/>
  <c r="F37" i="1"/>
  <c r="F39" i="1" s="1"/>
  <c r="B120" i="1"/>
  <c r="E145" i="1"/>
  <c r="F145" i="1"/>
  <c r="P145" i="1"/>
  <c r="H125" i="1"/>
  <c r="H129" i="1" s="1"/>
  <c r="Y114" i="1"/>
  <c r="F114" i="1"/>
  <c r="J125" i="1"/>
  <c r="J129" i="1" s="1"/>
  <c r="E114" i="1"/>
  <c r="R125" i="1"/>
  <c r="R129" i="1" s="1"/>
  <c r="T145" i="1"/>
  <c r="T37" i="1"/>
  <c r="T39" i="1" s="1"/>
  <c r="W125" i="1"/>
  <c r="W129" i="1" s="1"/>
  <c r="Z125" i="1"/>
  <c r="Z129" i="1" s="1"/>
  <c r="Q145" i="1"/>
  <c r="I125" i="1"/>
  <c r="I129" i="1" s="1"/>
  <c r="T150" i="1"/>
  <c r="N114" i="1"/>
  <c r="G150" i="1"/>
  <c r="S125" i="1"/>
  <c r="S129" i="1" s="1"/>
  <c r="R150" i="1"/>
  <c r="Y145" i="1"/>
  <c r="D145" i="1"/>
  <c r="F150" i="1"/>
  <c r="J46" i="1"/>
  <c r="W145" i="1"/>
  <c r="Z145" i="1"/>
  <c r="K145" i="1"/>
  <c r="B125" i="1"/>
  <c r="B129" i="1" s="1"/>
  <c r="M125" i="1"/>
  <c r="M129" i="1" s="1"/>
  <c r="X37" i="1"/>
  <c r="X39" i="1" s="1"/>
  <c r="P150" i="1"/>
  <c r="L125" i="1"/>
  <c r="L129" i="1" s="1"/>
  <c r="C114" i="1"/>
  <c r="G125" i="1"/>
  <c r="G129" i="1" s="1"/>
  <c r="Q125" i="1"/>
  <c r="Q129" i="1" s="1"/>
  <c r="O125" i="1"/>
  <c r="O129" i="1" s="1"/>
  <c r="D114" i="1"/>
  <c r="H114" i="1"/>
  <c r="N125" i="1"/>
  <c r="N129" i="1" s="1"/>
  <c r="V145" i="1"/>
  <c r="P125" i="1"/>
  <c r="P129" i="1" s="1"/>
  <c r="V150" i="1"/>
  <c r="Q114" i="1"/>
  <c r="U125" i="1"/>
  <c r="U129" i="1" s="1"/>
  <c r="V125" i="1"/>
  <c r="V129" i="1" s="1"/>
  <c r="K125" i="1"/>
  <c r="K129" i="1" s="1"/>
  <c r="JL8" i="132"/>
  <c r="BV49" i="1"/>
  <c r="II15" i="132"/>
  <c r="HP15" i="132"/>
  <c r="JL7" i="132"/>
  <c r="JI15" i="132"/>
  <c r="BF59" i="1"/>
  <c r="AI53" i="1"/>
  <c r="AL43" i="1"/>
  <c r="BE44" i="1"/>
  <c r="BL38" i="1"/>
  <c r="AK41" i="1"/>
  <c r="JD14" i="132"/>
  <c r="JH8" i="132" s="1"/>
  <c r="BJ36" i="1"/>
  <c r="AZ53" i="1"/>
  <c r="AS41" i="1"/>
  <c r="AX43" i="1"/>
  <c r="HT14" i="132"/>
  <c r="AW41" i="1"/>
  <c r="AH51" i="1"/>
  <c r="AT43" i="1"/>
  <c r="JB9" i="132" s="1"/>
  <c r="BQ36" i="1"/>
  <c r="BB43" i="1"/>
  <c r="BM38" i="1"/>
  <c r="BV53" i="1"/>
  <c r="JA16" i="132" s="1"/>
  <c r="BF35" i="1"/>
  <c r="BI53" i="1"/>
  <c r="ID7" i="132" s="1"/>
  <c r="HU15" i="132" s="1"/>
  <c r="BS53" i="1"/>
  <c r="AJ36" i="1"/>
  <c r="IB9" i="132" s="1"/>
  <c r="BN35" i="1"/>
  <c r="BS35" i="1"/>
  <c r="AQ44" i="1"/>
  <c r="BR53" i="1"/>
  <c r="IM9" i="132" s="1"/>
  <c r="IW9" i="132" s="1"/>
  <c r="AX41" i="1"/>
  <c r="IC16" i="132" s="1"/>
  <c r="AM53" i="1"/>
  <c r="AI36" i="1"/>
  <c r="IS15" i="132"/>
  <c r="BR49" i="1"/>
  <c r="BG41" i="1"/>
  <c r="AR35" i="1"/>
  <c r="AR59" i="1"/>
  <c r="BJ49" i="1"/>
  <c r="AU49" i="1"/>
  <c r="IB7" i="132" s="1"/>
  <c r="IJ7" i="132" s="1"/>
  <c r="BP44" i="1"/>
  <c r="BO49" i="1"/>
  <c r="BK41" i="1"/>
  <c r="BG59" i="1"/>
  <c r="JC7" i="132" s="1"/>
  <c r="AH38" i="1"/>
  <c r="AM35" i="1"/>
  <c r="BR41" i="1"/>
  <c r="AW49" i="1"/>
  <c r="JI14" i="132" s="1"/>
  <c r="BM35" i="1"/>
  <c r="JL9" i="132" s="1"/>
  <c r="BN43" i="1"/>
  <c r="BM53" i="1"/>
  <c r="BH44" i="1"/>
  <c r="AP51" i="1"/>
  <c r="BA41" i="1"/>
  <c r="BO38" i="1"/>
  <c r="AI44" i="1"/>
  <c r="AZ49" i="1"/>
  <c r="AV51" i="1"/>
  <c r="BD44" i="1"/>
  <c r="BC44" i="1"/>
  <c r="AX35" i="1"/>
  <c r="HS15" i="132" s="1"/>
  <c r="IJ15" i="132" s="1"/>
  <c r="AM51" i="1"/>
  <c r="IH8" i="132" s="1"/>
  <c r="JD8" i="132" s="1"/>
  <c r="AL38" i="1"/>
  <c r="AO36" i="1"/>
  <c r="IB16" i="132" s="1"/>
  <c r="AK36" i="1"/>
  <c r="BM49" i="1"/>
  <c r="AZ41" i="1"/>
  <c r="AY43" i="1"/>
  <c r="AT59" i="1"/>
  <c r="BE35" i="1"/>
  <c r="IY8" i="132"/>
  <c r="JA14" i="132"/>
  <c r="AT49" i="1"/>
  <c r="IF14" i="132"/>
  <c r="HP7" i="132"/>
  <c r="IC14" i="132"/>
  <c r="HY15" i="132"/>
  <c r="IV15" i="132"/>
  <c r="IF15" i="132"/>
  <c r="JK7" i="132"/>
  <c r="JG14" i="132"/>
  <c r="IV7" i="132"/>
  <c r="IU7" i="132"/>
  <c r="AQ36" i="1"/>
  <c r="IX15" i="132"/>
  <c r="IV8" i="132"/>
  <c r="JO15" i="132"/>
  <c r="IK15" i="132"/>
  <c r="JH7" i="132"/>
  <c r="ID14" i="132"/>
  <c r="HT15" i="132"/>
  <c r="ID8" i="132"/>
  <c r="IC15" i="132"/>
  <c r="HZ15" i="132"/>
  <c r="IS7" i="132"/>
  <c r="IQ14" i="132"/>
  <c r="IK7" i="132"/>
  <c r="HQ7" i="132"/>
  <c r="JB14" i="132"/>
  <c r="BN36" i="1"/>
  <c r="IT8" i="132"/>
  <c r="HR7" i="132"/>
  <c r="HQ15" i="132"/>
  <c r="HY7" i="132"/>
  <c r="IW8" i="132"/>
  <c r="IM15" i="132"/>
  <c r="BP36" i="1"/>
  <c r="IZ14" i="132"/>
  <c r="JA8" i="132"/>
  <c r="IS8" i="132"/>
  <c r="HV8" i="132"/>
  <c r="IS14" i="132"/>
  <c r="BD49" i="1"/>
  <c r="JG8" i="132"/>
  <c r="IP8" i="132"/>
  <c r="HX8" i="132"/>
  <c r="HR15" i="132"/>
  <c r="HQ14" i="132"/>
  <c r="IL8" i="132"/>
  <c r="JA7" i="132"/>
  <c r="HT8" i="132"/>
  <c r="IR14" i="132"/>
  <c r="IU15" i="132"/>
  <c r="IL15" i="132"/>
  <c r="IP15" i="132"/>
  <c r="JO7" i="132"/>
  <c r="II7" i="132"/>
  <c r="IE7" i="132"/>
  <c r="IN14" i="132"/>
  <c r="BA36" i="1"/>
  <c r="HY8" i="132"/>
  <c r="IF7" i="132"/>
  <c r="HP14" i="132"/>
  <c r="IX8" i="132"/>
  <c r="HV14" i="132"/>
  <c r="II8" i="132"/>
  <c r="BA49" i="1"/>
  <c r="IT7" i="132"/>
  <c r="JM14" i="132"/>
  <c r="IC8" i="132"/>
  <c r="II14" i="132"/>
  <c r="JK15" i="132"/>
  <c r="IH15" i="132"/>
  <c r="BH36" i="1"/>
  <c r="IW7" i="132"/>
  <c r="HW8" i="132"/>
  <c r="BD36" i="1"/>
  <c r="IZ8" i="132"/>
  <c r="HZ7" i="132"/>
  <c r="HV15" i="132"/>
  <c r="IM7" i="132"/>
  <c r="IY14" i="132"/>
  <c r="HP8" i="132"/>
  <c r="IK8" i="132"/>
  <c r="HZ8" i="132"/>
  <c r="HR14" i="132"/>
  <c r="HU8" i="132"/>
  <c r="JN8" i="132"/>
  <c r="BF36" i="1"/>
  <c r="IH14" i="132"/>
  <c r="JE15" i="132"/>
  <c r="JF15" i="132"/>
  <c r="IR7" i="132"/>
  <c r="BB36" i="1"/>
  <c r="BR36" i="1"/>
  <c r="BE36" i="1"/>
  <c r="BG42" i="1"/>
  <c r="AW42" i="1"/>
  <c r="BW55" i="1"/>
  <c r="BY45" i="1"/>
  <c r="BM36" i="1"/>
  <c r="BC55" i="1"/>
  <c r="BY36" i="1"/>
  <c r="JE8" i="132"/>
  <c r="BY55" i="1"/>
  <c r="JO14" i="132"/>
  <c r="JD7" i="132"/>
  <c r="IG8" i="132"/>
  <c r="JF14" i="132"/>
  <c r="JM15" i="132"/>
  <c r="JM8" i="132"/>
  <c r="JK8" i="132"/>
  <c r="IE15" i="132"/>
  <c r="HX7" i="132"/>
  <c r="IO7" i="132"/>
  <c r="HY14" i="132"/>
  <c r="IE8" i="132"/>
  <c r="IO14" i="132"/>
  <c r="AN36" i="1"/>
  <c r="IU8" i="132"/>
  <c r="AL42" i="1"/>
  <c r="IC7" i="132"/>
  <c r="IF8" i="132"/>
  <c r="IQ15" i="132"/>
  <c r="HW15" i="132"/>
  <c r="JH14" i="132"/>
  <c r="HX14" i="132"/>
  <c r="HS7" i="132"/>
  <c r="JC14" i="132"/>
  <c r="JC19" i="132" s="1"/>
  <c r="BJ90" i="1" s="1"/>
  <c r="JI8" i="132"/>
  <c r="AI42" i="1"/>
  <c r="IA15" i="132"/>
  <c r="BU42" i="1"/>
  <c r="IZ7" i="132"/>
  <c r="AM42" i="1"/>
  <c r="JH15" i="132"/>
  <c r="JH20" i="132" s="1"/>
  <c r="BO91" i="1" s="1"/>
  <c r="AR42" i="1"/>
  <c r="BS42" i="1"/>
  <c r="AU42" i="1"/>
  <c r="JD15" i="132"/>
  <c r="IE14" i="132"/>
  <c r="IO8" i="132"/>
  <c r="JE7" i="132"/>
  <c r="IN7" i="132"/>
  <c r="BO42" i="1"/>
  <c r="IM14" i="132"/>
  <c r="IV14" i="132"/>
  <c r="IZ15" i="132"/>
  <c r="AN45" i="1"/>
  <c r="BQ42" i="1"/>
  <c r="JL14" i="132"/>
  <c r="JL19" i="132" s="1"/>
  <c r="BS90" i="1" s="1"/>
  <c r="JJ14" i="132"/>
  <c r="BC42" i="1"/>
  <c r="BA42" i="1"/>
  <c r="BW42" i="1"/>
  <c r="AV55" i="1"/>
  <c r="AX42" i="1"/>
  <c r="BV36" i="1"/>
  <c r="BR45" i="1"/>
  <c r="BM42" i="1"/>
  <c r="BV42" i="1"/>
  <c r="AH36" i="1"/>
  <c r="BI42" i="1"/>
  <c r="IJ14" i="132"/>
  <c r="IP14" i="132"/>
  <c r="AY42" i="1"/>
  <c r="IH7" i="132"/>
  <c r="BP42" i="1"/>
  <c r="BP45" i="1"/>
  <c r="HX15" i="132"/>
  <c r="HX20" i="132" s="1"/>
  <c r="IT15" i="132"/>
  <c r="IT20" i="132" s="1"/>
  <c r="BA91" i="1" s="1"/>
  <c r="IW14" i="132"/>
  <c r="IW19" i="132" s="1"/>
  <c r="BD90" i="1" s="1"/>
  <c r="AX36" i="1"/>
  <c r="AT42" i="1"/>
  <c r="BX42" i="1"/>
  <c r="BW45" i="1"/>
  <c r="BD42" i="1"/>
  <c r="BK42" i="1"/>
  <c r="BC49" i="1"/>
  <c r="BF55" i="1"/>
  <c r="BI45" i="1"/>
  <c r="BJ55" i="1"/>
  <c r="AU36" i="1"/>
  <c r="BM45" i="1"/>
  <c r="AM45" i="1"/>
  <c r="BN55" i="1"/>
  <c r="AI55" i="1"/>
  <c r="BT42" i="1"/>
  <c r="BS55" i="1"/>
  <c r="BF49" i="1"/>
  <c r="BP49" i="1"/>
  <c r="BU55" i="1"/>
  <c r="BJ45" i="1"/>
  <c r="AX55" i="1"/>
  <c r="AJ55" i="1"/>
  <c r="AY49" i="1"/>
  <c r="BA45" i="1"/>
  <c r="AN42" i="1"/>
  <c r="BK55" i="1"/>
  <c r="AN55" i="1"/>
  <c r="BR55" i="1"/>
  <c r="BO55" i="1"/>
  <c r="AP55" i="1"/>
  <c r="AR55" i="1"/>
  <c r="BV45" i="1"/>
  <c r="AO55" i="1"/>
  <c r="IY15" i="132"/>
  <c r="IY20" i="132" s="1"/>
  <c r="BF91" i="1" s="1"/>
  <c r="IN8" i="132"/>
  <c r="JL15" i="132"/>
  <c r="JE14" i="132"/>
  <c r="BX45" i="1"/>
  <c r="AS45" i="1"/>
  <c r="BV55" i="1"/>
  <c r="AU45" i="1"/>
  <c r="JF8" i="132"/>
  <c r="IK14" i="132"/>
  <c r="JJ7" i="132"/>
  <c r="IB15" i="132"/>
  <c r="AW45" i="1"/>
  <c r="AQ45" i="1"/>
  <c r="BX49" i="1"/>
  <c r="P137" i="1"/>
  <c r="M137" i="1"/>
  <c r="O160" i="1"/>
  <c r="X137" i="1"/>
  <c r="N160" i="1"/>
  <c r="Y137" i="1"/>
  <c r="S137" i="1"/>
  <c r="V160" i="1"/>
  <c r="I137" i="1"/>
  <c r="R137" i="1"/>
  <c r="J137" i="1"/>
  <c r="T137" i="1"/>
  <c r="Z137" i="1"/>
  <c r="I160" i="1"/>
  <c r="H160" i="1"/>
  <c r="O120" i="1"/>
  <c r="T160" i="1"/>
  <c r="K137" i="1"/>
  <c r="D137" i="1"/>
  <c r="H137" i="1"/>
  <c r="L137" i="1"/>
  <c r="O137" i="1"/>
  <c r="U160" i="1"/>
  <c r="V137" i="1"/>
  <c r="N137" i="1"/>
  <c r="G137" i="1"/>
  <c r="E137" i="1"/>
  <c r="C160" i="1"/>
  <c r="C137" i="1"/>
  <c r="M120" i="1"/>
  <c r="R160" i="1"/>
  <c r="F137" i="1"/>
  <c r="R120" i="1"/>
  <c r="Y160" i="1"/>
  <c r="Y120" i="1"/>
  <c r="V120" i="1"/>
  <c r="L120" i="1"/>
  <c r="M160" i="1"/>
  <c r="L160" i="1"/>
  <c r="Q120" i="1"/>
  <c r="Q160" i="1"/>
  <c r="K120" i="1"/>
  <c r="K160" i="1"/>
  <c r="W137" i="1"/>
  <c r="B137" i="1"/>
  <c r="Z120" i="1"/>
  <c r="Z160" i="1"/>
  <c r="G160" i="1"/>
  <c r="F160" i="1"/>
  <c r="F120" i="1"/>
  <c r="P120" i="1"/>
  <c r="P160" i="1"/>
  <c r="W120" i="1"/>
  <c r="W160" i="1"/>
  <c r="X160" i="1"/>
  <c r="J120" i="1"/>
  <c r="J160" i="1"/>
  <c r="C120" i="1"/>
  <c r="S120" i="1"/>
  <c r="S160" i="1"/>
  <c r="Q137" i="1"/>
  <c r="D120" i="1"/>
  <c r="D160" i="1"/>
  <c r="E160" i="1"/>
  <c r="U137" i="1"/>
  <c r="AX49" i="1"/>
  <c r="BU49" i="1"/>
  <c r="AO49" i="1"/>
  <c r="BK36" i="1"/>
  <c r="BE49" i="1"/>
  <c r="AR49" i="1"/>
  <c r="BB49" i="1"/>
  <c r="BS49" i="1"/>
  <c r="IL14" i="132"/>
  <c r="AZ36" i="1"/>
  <c r="AM49" i="1"/>
  <c r="AM36" i="1"/>
  <c r="AJ49" i="1"/>
  <c r="AV49" i="1"/>
  <c r="AP36" i="1"/>
  <c r="AH49" i="1"/>
  <c r="BV125" i="1"/>
  <c r="BV108" i="1"/>
  <c r="BV104" i="1"/>
  <c r="BV118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IJ19" i="132" l="1"/>
  <c r="AQ90" i="1" s="1"/>
  <c r="IH19" i="132"/>
  <c r="AO90" i="1" s="1"/>
  <c r="I39" i="1"/>
  <c r="O39" i="1"/>
  <c r="T129" i="1"/>
  <c r="E129" i="1"/>
  <c r="IK19" i="132"/>
  <c r="AR90" i="1" s="1"/>
  <c r="HX19" i="132"/>
  <c r="M146" i="1"/>
  <c r="X146" i="1"/>
  <c r="G81" i="1"/>
  <c r="G77" i="1"/>
  <c r="G76" i="1"/>
  <c r="U81" i="1"/>
  <c r="U77" i="1"/>
  <c r="U76" i="1"/>
  <c r="H81" i="1"/>
  <c r="H76" i="1"/>
  <c r="H77" i="1"/>
  <c r="X81" i="1"/>
  <c r="X76" i="1"/>
  <c r="L146" i="1"/>
  <c r="O146" i="1"/>
  <c r="D40" i="1"/>
  <c r="M40" i="1"/>
  <c r="W40" i="1"/>
  <c r="L40" i="1"/>
  <c r="U146" i="1"/>
  <c r="JA21" i="132"/>
  <c r="BH89" i="1" s="1"/>
  <c r="JD20" i="132"/>
  <c r="BK91" i="1" s="1"/>
  <c r="IE19" i="132"/>
  <c r="AL90" i="1" s="1"/>
  <c r="IN19" i="132"/>
  <c r="AU90" i="1" s="1"/>
  <c r="IM19" i="132"/>
  <c r="AT90" i="1" s="1"/>
  <c r="IV19" i="132"/>
  <c r="BC90" i="1" s="1"/>
  <c r="IZ20" i="132"/>
  <c r="BG91" i="1" s="1"/>
  <c r="JJ19" i="132"/>
  <c r="BQ90" i="1" s="1"/>
  <c r="X77" i="1"/>
  <c r="N81" i="1"/>
  <c r="N76" i="1"/>
  <c r="N77" i="1"/>
  <c r="T81" i="1"/>
  <c r="T76" i="1"/>
  <c r="T77" i="1"/>
  <c r="E81" i="1"/>
  <c r="E76" i="1"/>
  <c r="E77" i="1"/>
  <c r="B81" i="1"/>
  <c r="B76" i="1"/>
  <c r="B77" i="1"/>
  <c r="I81" i="1"/>
  <c r="I77" i="1"/>
  <c r="J146" i="1"/>
  <c r="IB19" i="132"/>
  <c r="AI90" i="1" s="1"/>
  <c r="IG19" i="132"/>
  <c r="AN90" i="1" s="1"/>
  <c r="JN19" i="132"/>
  <c r="BU90" i="1" s="1"/>
  <c r="JC20" i="132"/>
  <c r="BJ91" i="1" s="1"/>
  <c r="IX19" i="132"/>
  <c r="BE90" i="1" s="1"/>
  <c r="I76" i="1"/>
  <c r="U40" i="1"/>
  <c r="Y146" i="1"/>
  <c r="V40" i="1"/>
  <c r="S146" i="1"/>
  <c r="I146" i="1"/>
  <c r="I154" i="1" s="1"/>
  <c r="R146" i="1"/>
  <c r="T146" i="1"/>
  <c r="T154" i="1" s="1"/>
  <c r="Z40" i="1"/>
  <c r="Z146" i="1"/>
  <c r="R40" i="1"/>
  <c r="H146" i="1"/>
  <c r="G146" i="1"/>
  <c r="Q40" i="1"/>
  <c r="N40" i="1"/>
  <c r="JO19" i="132"/>
  <c r="BV90" i="1" s="1"/>
  <c r="JM20" i="132"/>
  <c r="BT91" i="1" s="1"/>
  <c r="HY19" i="132"/>
  <c r="HW20" i="132"/>
  <c r="JE19" i="132"/>
  <c r="BL90" i="1" s="1"/>
  <c r="E40" i="1"/>
  <c r="X40" i="1"/>
  <c r="S40" i="1"/>
  <c r="JL20" i="132"/>
  <c r="BS91" i="1" s="1"/>
  <c r="IJ20" i="132"/>
  <c r="AQ91" i="1" s="1"/>
  <c r="IU19" i="132"/>
  <c r="BB90" i="1" s="1"/>
  <c r="HV20" i="132"/>
  <c r="IN20" i="132"/>
  <c r="AU91" i="1" s="1"/>
  <c r="JD19" i="132"/>
  <c r="BK90" i="1" s="1"/>
  <c r="HS19" i="132"/>
  <c r="JG20" i="132"/>
  <c r="BN91" i="1" s="1"/>
  <c r="JE20" i="132"/>
  <c r="BL91" i="1" s="1"/>
  <c r="HR19" i="132"/>
  <c r="HZ19" i="132"/>
  <c r="HU20" i="132"/>
  <c r="JF20" i="132"/>
  <c r="BM91" i="1" s="1"/>
  <c r="JJ16" i="132"/>
  <c r="JK20" i="132"/>
  <c r="BR91" i="1" s="1"/>
  <c r="IU20" i="132"/>
  <c r="BB91" i="1" s="1"/>
  <c r="P146" i="1"/>
  <c r="M161" i="1"/>
  <c r="K146" i="1"/>
  <c r="X161" i="1"/>
  <c r="H161" i="1"/>
  <c r="D146" i="1"/>
  <c r="V146" i="1"/>
  <c r="S161" i="1"/>
  <c r="N146" i="1"/>
  <c r="N154" i="1" s="1"/>
  <c r="T161" i="1"/>
  <c r="E146" i="1"/>
  <c r="U161" i="1"/>
  <c r="C146" i="1"/>
  <c r="L161" i="1"/>
  <c r="D161" i="1"/>
  <c r="F40" i="1"/>
  <c r="K40" i="1"/>
  <c r="T40" i="1"/>
  <c r="G40" i="1"/>
  <c r="AO37" i="1"/>
  <c r="Y40" i="1"/>
  <c r="V161" i="1"/>
  <c r="F146" i="1"/>
  <c r="O161" i="1"/>
  <c r="W161" i="1"/>
  <c r="C161" i="1"/>
  <c r="H40" i="1"/>
  <c r="Y161" i="1"/>
  <c r="Z161" i="1"/>
  <c r="N161" i="1"/>
  <c r="E161" i="1"/>
  <c r="W146" i="1"/>
  <c r="K161" i="1"/>
  <c r="J161" i="1"/>
  <c r="B146" i="1"/>
  <c r="B154" i="1" s="1"/>
  <c r="I161" i="1"/>
  <c r="Q161" i="1"/>
  <c r="R161" i="1"/>
  <c r="Q146" i="1"/>
  <c r="P161" i="1"/>
  <c r="G161" i="1"/>
  <c r="F161" i="1"/>
  <c r="HP20" i="132"/>
  <c r="JI20" i="132"/>
  <c r="BP91" i="1" s="1"/>
  <c r="II20" i="132"/>
  <c r="AP91" i="1" s="1"/>
  <c r="IB21" i="132"/>
  <c r="AI89" i="1" s="1"/>
  <c r="JA19" i="132"/>
  <c r="BH90" i="1" s="1"/>
  <c r="IF19" i="132"/>
  <c r="AM90" i="1" s="1"/>
  <c r="HP19" i="132"/>
  <c r="IZ19" i="132"/>
  <c r="BG90" i="1" s="1"/>
  <c r="IC19" i="132"/>
  <c r="AJ90" i="1" s="1"/>
  <c r="IF20" i="132"/>
  <c r="AM91" i="1" s="1"/>
  <c r="HY20" i="132"/>
  <c r="IV20" i="132"/>
  <c r="BC91" i="1" s="1"/>
  <c r="JO20" i="132"/>
  <c r="BV91" i="1" s="1"/>
  <c r="HT20" i="132"/>
  <c r="IH20" i="132"/>
  <c r="AO91" i="1" s="1"/>
  <c r="JG19" i="132"/>
  <c r="BN90" i="1" s="1"/>
  <c r="JH19" i="132"/>
  <c r="BO90" i="1" s="1"/>
  <c r="HZ20" i="132"/>
  <c r="IX20" i="132"/>
  <c r="BE91" i="1" s="1"/>
  <c r="IP20" i="132"/>
  <c r="AW91" i="1" s="1"/>
  <c r="IC20" i="132"/>
  <c r="AJ91" i="1" s="1"/>
  <c r="IO19" i="132"/>
  <c r="AV90" i="1" s="1"/>
  <c r="IL20" i="132"/>
  <c r="AS91" i="1" s="1"/>
  <c r="HQ19" i="132"/>
  <c r="HS20" i="132"/>
  <c r="ID19" i="132"/>
  <c r="AK90" i="1" s="1"/>
  <c r="JB19" i="132"/>
  <c r="BI90" i="1" s="1"/>
  <c r="IS20" i="132"/>
  <c r="AZ91" i="1" s="1"/>
  <c r="IK20" i="132"/>
  <c r="AR91" i="1" s="1"/>
  <c r="IR19" i="132"/>
  <c r="AY90" i="1" s="1"/>
  <c r="IS19" i="132"/>
  <c r="AZ90" i="1" s="1"/>
  <c r="HV19" i="132"/>
  <c r="II19" i="132"/>
  <c r="AP90" i="1" s="1"/>
  <c r="JF19" i="132"/>
  <c r="BM90" i="1" s="1"/>
  <c r="IE20" i="132"/>
  <c r="AL91" i="1" s="1"/>
  <c r="O81" i="1"/>
  <c r="O76" i="1"/>
  <c r="O77" i="1"/>
  <c r="M81" i="1"/>
  <c r="M77" i="1"/>
  <c r="M76" i="1"/>
  <c r="R81" i="1"/>
  <c r="R76" i="1"/>
  <c r="R77" i="1"/>
  <c r="Y81" i="1"/>
  <c r="Y77" i="1"/>
  <c r="Y76" i="1"/>
  <c r="V81" i="1"/>
  <c r="V77" i="1"/>
  <c r="V76" i="1"/>
  <c r="L81" i="1"/>
  <c r="L77" i="1"/>
  <c r="L76" i="1"/>
  <c r="Q81" i="1"/>
  <c r="Q76" i="1"/>
  <c r="Q77" i="1"/>
  <c r="K81" i="1"/>
  <c r="K77" i="1"/>
  <c r="K76" i="1"/>
  <c r="Z81" i="1"/>
  <c r="AA82" i="1" s="1"/>
  <c r="AA80" i="1" s="1"/>
  <c r="Z76" i="1"/>
  <c r="Z77" i="1"/>
  <c r="F76" i="1"/>
  <c r="F77" i="1"/>
  <c r="P81" i="1"/>
  <c r="P76" i="1"/>
  <c r="P77" i="1"/>
  <c r="W81" i="1"/>
  <c r="W77" i="1"/>
  <c r="W76" i="1"/>
  <c r="J81" i="1"/>
  <c r="J76" i="1"/>
  <c r="J77" i="1"/>
  <c r="C77" i="1"/>
  <c r="C76" i="1"/>
  <c r="S81" i="1"/>
  <c r="S77" i="1"/>
  <c r="S76" i="1"/>
  <c r="D81" i="1"/>
  <c r="D77" i="1"/>
  <c r="D76" i="1"/>
  <c r="AM37" i="1"/>
  <c r="F81" i="1"/>
  <c r="C81" i="1"/>
  <c r="I40" i="1" l="1"/>
  <c r="O40" i="1"/>
  <c r="X154" i="1"/>
  <c r="E154" i="1"/>
  <c r="J40" i="1"/>
  <c r="P40" i="1"/>
  <c r="U154" i="1"/>
  <c r="O154" i="1"/>
  <c r="M154" i="1"/>
  <c r="L154" i="1"/>
  <c r="H154" i="1"/>
  <c r="G154" i="1"/>
  <c r="Y154" i="1"/>
  <c r="R154" i="1"/>
  <c r="J154" i="1"/>
  <c r="Z154" i="1"/>
  <c r="S154" i="1"/>
  <c r="AW35" i="1"/>
  <c r="BF41" i="1" s="1"/>
  <c r="Q154" i="1"/>
  <c r="V154" i="1"/>
  <c r="F154" i="1"/>
  <c r="C154" i="1"/>
  <c r="W154" i="1"/>
  <c r="D154" i="1"/>
  <c r="K154" i="1"/>
  <c r="P154" i="1"/>
  <c r="HW9" i="132" l="1"/>
  <c r="IQ16" i="132" s="1"/>
  <c r="BA35" i="1" l="1"/>
  <c r="JC16" i="132" s="1"/>
  <c r="IF16" i="132" l="1"/>
  <c r="BM37" i="1"/>
  <c r="BF37" i="1"/>
  <c r="AX37" i="1"/>
  <c r="BU37" i="1"/>
  <c r="BE37" i="1"/>
  <c r="HV16" i="132" l="1"/>
  <c r="V90" i="1"/>
  <c r="D91" i="1"/>
  <c r="R91" i="1"/>
  <c r="L89" i="1"/>
  <c r="C89" i="1"/>
  <c r="F91" i="1"/>
  <c r="L90" i="1"/>
  <c r="P89" i="1"/>
  <c r="Y90" i="1"/>
  <c r="I91" i="1"/>
  <c r="J89" i="1"/>
  <c r="E89" i="1"/>
  <c r="Q90" i="1"/>
  <c r="V91" i="1"/>
  <c r="P90" i="1"/>
  <c r="B91" i="1"/>
  <c r="Y89" i="1"/>
  <c r="U89" i="1"/>
  <c r="O90" i="1"/>
  <c r="M91" i="1"/>
  <c r="Z91" i="1"/>
  <c r="K89" i="1"/>
  <c r="K90" i="1"/>
  <c r="H89" i="1"/>
  <c r="M90" i="1"/>
  <c r="V89" i="1"/>
  <c r="T91" i="1"/>
  <c r="D13" i="1"/>
  <c r="X90" i="1"/>
  <c r="X91" i="1"/>
  <c r="D15" i="1"/>
  <c r="R90" i="1"/>
  <c r="N90" i="1"/>
  <c r="Z89" i="1"/>
  <c r="E90" i="1"/>
  <c r="S89" i="1"/>
  <c r="W89" i="1"/>
  <c r="L91" i="1"/>
  <c r="T90" i="1"/>
  <c r="J91" i="1"/>
  <c r="O89" i="1"/>
  <c r="D89" i="1"/>
  <c r="S90" i="1"/>
  <c r="U91" i="1"/>
  <c r="I90" i="1"/>
  <c r="G90" i="1"/>
  <c r="C91" i="1"/>
  <c r="B89" i="1"/>
  <c r="B97" i="1" s="1"/>
  <c r="F90" i="1"/>
  <c r="W91" i="1"/>
  <c r="Z90" i="1"/>
  <c r="U90" i="1"/>
  <c r="Q89" i="1"/>
  <c r="Q91" i="1"/>
  <c r="G89" i="1"/>
  <c r="M89" i="1"/>
  <c r="S91" i="1"/>
  <c r="R89" i="1"/>
  <c r="F89" i="1"/>
  <c r="X89" i="1"/>
  <c r="Y91" i="1"/>
  <c r="N89" i="1"/>
  <c r="W90" i="1"/>
  <c r="P91" i="1"/>
  <c r="D22" i="1"/>
  <c r="J90" i="1"/>
  <c r="H90" i="1"/>
  <c r="H91" i="1"/>
  <c r="C90" i="1"/>
  <c r="G91" i="1"/>
  <c r="I89" i="1"/>
  <c r="N91" i="1"/>
  <c r="D90" i="1"/>
  <c r="K91" i="1"/>
  <c r="T89" i="1"/>
  <c r="D20" i="1"/>
  <c r="O91" i="1"/>
  <c r="E91" i="1"/>
  <c r="B90" i="1"/>
  <c r="BM39" i="1"/>
  <c r="BA37" i="1"/>
  <c r="BA39" i="1" s="1"/>
  <c r="BE39" i="1"/>
  <c r="BR37" i="1"/>
  <c r="BR39" i="1" s="1"/>
  <c r="BN37" i="1"/>
  <c r="BK37" i="1"/>
  <c r="IW16" i="132" l="1"/>
  <c r="AT141" i="1"/>
  <c r="AT144" i="1"/>
  <c r="AT142" i="1"/>
  <c r="AT153" i="1"/>
  <c r="AT119" i="1"/>
  <c r="AT136" i="1"/>
  <c r="AT135" i="1"/>
  <c r="AT113" i="1"/>
  <c r="AT143" i="1"/>
  <c r="AT152" i="1"/>
  <c r="AT148" i="1"/>
  <c r="AT131" i="1"/>
  <c r="AT149" i="1"/>
  <c r="AT134" i="1"/>
  <c r="AT133" i="1"/>
  <c r="AT118" i="1"/>
  <c r="AT126" i="1"/>
  <c r="AT125" i="1"/>
  <c r="AT140" i="1"/>
  <c r="AT138" i="1"/>
  <c r="AT139" i="1"/>
  <c r="AT108" i="1"/>
  <c r="AT111" i="1"/>
  <c r="AT110" i="1"/>
  <c r="AT104" i="1"/>
  <c r="AT103" i="1"/>
  <c r="BC128" i="1"/>
  <c r="AU152" i="1"/>
  <c r="AU142" i="1"/>
  <c r="AU153" i="1"/>
  <c r="AU143" i="1"/>
  <c r="AU113" i="1"/>
  <c r="AU144" i="1"/>
  <c r="AU136" i="1"/>
  <c r="AU149" i="1"/>
  <c r="AU141" i="1"/>
  <c r="AU119" i="1"/>
  <c r="AU135" i="1"/>
  <c r="AU134" i="1"/>
  <c r="AU133" i="1"/>
  <c r="AU118" i="1"/>
  <c r="AU126" i="1"/>
  <c r="AU148" i="1"/>
  <c r="AU131" i="1"/>
  <c r="AU125" i="1"/>
  <c r="AU138" i="1"/>
  <c r="AU139" i="1"/>
  <c r="AU140" i="1"/>
  <c r="AU111" i="1"/>
  <c r="AU110" i="1"/>
  <c r="AU108" i="1"/>
  <c r="AU104" i="1"/>
  <c r="AU103" i="1"/>
  <c r="AN144" i="1"/>
  <c r="AN142" i="1"/>
  <c r="AN153" i="1"/>
  <c r="AN136" i="1"/>
  <c r="AN119" i="1"/>
  <c r="AN143" i="1"/>
  <c r="AN141" i="1"/>
  <c r="AN152" i="1"/>
  <c r="AN113" i="1"/>
  <c r="AN149" i="1"/>
  <c r="AN135" i="1"/>
  <c r="AN131" i="1"/>
  <c r="AN134" i="1"/>
  <c r="AN133" i="1"/>
  <c r="AN118" i="1"/>
  <c r="AN148" i="1"/>
  <c r="AN126" i="1"/>
  <c r="AN140" i="1"/>
  <c r="AN139" i="1"/>
  <c r="AN125" i="1"/>
  <c r="AN128" i="1"/>
  <c r="AN138" i="1"/>
  <c r="AN111" i="1"/>
  <c r="AN108" i="1"/>
  <c r="AN104" i="1"/>
  <c r="AN110" i="1"/>
  <c r="AN103" i="1"/>
  <c r="BU128" i="1"/>
  <c r="BL128" i="1"/>
  <c r="BG128" i="1"/>
  <c r="AM144" i="1"/>
  <c r="AM142" i="1"/>
  <c r="AM153" i="1"/>
  <c r="AM143" i="1"/>
  <c r="AM152" i="1"/>
  <c r="AM113" i="1"/>
  <c r="AM136" i="1"/>
  <c r="AM149" i="1"/>
  <c r="AM135" i="1"/>
  <c r="AM141" i="1"/>
  <c r="AM119" i="1"/>
  <c r="AM131" i="1"/>
  <c r="AM134" i="1"/>
  <c r="AM133" i="1"/>
  <c r="AM118" i="1"/>
  <c r="AM148" i="1"/>
  <c r="AM126" i="1"/>
  <c r="AM138" i="1"/>
  <c r="AM125" i="1"/>
  <c r="AM140" i="1"/>
  <c r="AM111" i="1"/>
  <c r="AM110" i="1"/>
  <c r="AM139" i="1"/>
  <c r="AM108" i="1"/>
  <c r="AM104" i="1"/>
  <c r="AM103" i="1"/>
  <c r="BF128" i="1"/>
  <c r="AK143" i="1"/>
  <c r="AK113" i="1"/>
  <c r="AK152" i="1"/>
  <c r="AK144" i="1"/>
  <c r="AK142" i="1"/>
  <c r="AK153" i="1"/>
  <c r="AK141" i="1"/>
  <c r="AK119" i="1"/>
  <c r="AK160" i="1" s="1"/>
  <c r="AK136" i="1"/>
  <c r="AK149" i="1"/>
  <c r="AK134" i="1"/>
  <c r="AK135" i="1"/>
  <c r="AK148" i="1"/>
  <c r="AK131" i="1"/>
  <c r="AK133" i="1"/>
  <c r="AK118" i="1"/>
  <c r="AK125" i="1"/>
  <c r="AK126" i="1"/>
  <c r="AK108" i="1"/>
  <c r="AK138" i="1"/>
  <c r="AK139" i="1"/>
  <c r="AK140" i="1"/>
  <c r="AK110" i="1"/>
  <c r="AK104" i="1"/>
  <c r="AK111" i="1"/>
  <c r="AK103" i="1"/>
  <c r="BE128" i="1"/>
  <c r="AW128" i="1"/>
  <c r="BT128" i="1"/>
  <c r="AH144" i="1"/>
  <c r="AH142" i="1"/>
  <c r="AH119" i="1"/>
  <c r="AH149" i="1"/>
  <c r="AH153" i="1"/>
  <c r="AH141" i="1"/>
  <c r="AH143" i="1"/>
  <c r="AH152" i="1"/>
  <c r="AH113" i="1"/>
  <c r="AH135" i="1"/>
  <c r="AH148" i="1"/>
  <c r="AH136" i="1"/>
  <c r="AH126" i="1"/>
  <c r="AH118" i="1"/>
  <c r="AH134" i="1"/>
  <c r="AH133" i="1"/>
  <c r="AH131" i="1"/>
  <c r="AH125" i="1"/>
  <c r="AH140" i="1"/>
  <c r="AH139" i="1"/>
  <c r="AH111" i="1"/>
  <c r="AH138" i="1"/>
  <c r="AH110" i="1"/>
  <c r="AH108" i="1"/>
  <c r="AH104" i="1"/>
  <c r="AH103" i="1"/>
  <c r="AJ153" i="1"/>
  <c r="AJ141" i="1"/>
  <c r="AJ143" i="1"/>
  <c r="AJ152" i="1"/>
  <c r="AJ113" i="1"/>
  <c r="AJ144" i="1"/>
  <c r="AJ142" i="1"/>
  <c r="AJ119" i="1"/>
  <c r="AJ136" i="1"/>
  <c r="AJ149" i="1"/>
  <c r="AJ133" i="1"/>
  <c r="AJ118" i="1"/>
  <c r="AJ135" i="1"/>
  <c r="AJ134" i="1"/>
  <c r="AJ148" i="1"/>
  <c r="AJ131" i="1"/>
  <c r="AJ125" i="1"/>
  <c r="AJ126" i="1"/>
  <c r="AJ128" i="1"/>
  <c r="AJ138" i="1"/>
  <c r="AJ139" i="1"/>
  <c r="AJ140" i="1"/>
  <c r="AJ110" i="1"/>
  <c r="AJ108" i="1"/>
  <c r="AJ104" i="1"/>
  <c r="AJ111" i="1"/>
  <c r="AJ103" i="1"/>
  <c r="AI153" i="1"/>
  <c r="AI143" i="1"/>
  <c r="AI152" i="1"/>
  <c r="AI113" i="1"/>
  <c r="AI135" i="1"/>
  <c r="AI144" i="1"/>
  <c r="AI142" i="1"/>
  <c r="AI136" i="1"/>
  <c r="AI141" i="1"/>
  <c r="AI119" i="1"/>
  <c r="AI149" i="1"/>
  <c r="AI134" i="1"/>
  <c r="AI133" i="1"/>
  <c r="AI118" i="1"/>
  <c r="AI148" i="1"/>
  <c r="AI131" i="1"/>
  <c r="AI128" i="1"/>
  <c r="AI125" i="1"/>
  <c r="AI140" i="1"/>
  <c r="AI126" i="1"/>
  <c r="AI138" i="1"/>
  <c r="AI139" i="1"/>
  <c r="AI111" i="1"/>
  <c r="AI110" i="1"/>
  <c r="AI108" i="1"/>
  <c r="AI104" i="1"/>
  <c r="AI103" i="1"/>
  <c r="AZ128" i="1"/>
  <c r="AP153" i="1"/>
  <c r="AP149" i="1"/>
  <c r="AP143" i="1"/>
  <c r="AP136" i="1"/>
  <c r="AP113" i="1"/>
  <c r="AP119" i="1"/>
  <c r="AP152" i="1"/>
  <c r="AP141" i="1"/>
  <c r="AP144" i="1"/>
  <c r="AP142" i="1"/>
  <c r="AP148" i="1"/>
  <c r="AP135" i="1"/>
  <c r="AP118" i="1"/>
  <c r="AP134" i="1"/>
  <c r="AP133" i="1"/>
  <c r="AP125" i="1"/>
  <c r="AP131" i="1"/>
  <c r="AP126" i="1"/>
  <c r="AP111" i="1"/>
  <c r="AP138" i="1"/>
  <c r="AP139" i="1"/>
  <c r="AP140" i="1"/>
  <c r="AP110" i="1"/>
  <c r="AP108" i="1"/>
  <c r="AP104" i="1"/>
  <c r="AP103" i="1"/>
  <c r="BI128" i="1"/>
  <c r="BP128" i="1"/>
  <c r="AL113" i="1"/>
  <c r="AL152" i="1"/>
  <c r="AL144" i="1"/>
  <c r="AL142" i="1"/>
  <c r="AL153" i="1"/>
  <c r="AL119" i="1"/>
  <c r="AL143" i="1"/>
  <c r="AL141" i="1"/>
  <c r="AL136" i="1"/>
  <c r="AL126" i="1"/>
  <c r="AL148" i="1"/>
  <c r="AL149" i="1"/>
  <c r="AL135" i="1"/>
  <c r="AL131" i="1"/>
  <c r="AL134" i="1"/>
  <c r="AL133" i="1"/>
  <c r="AL125" i="1"/>
  <c r="AL118" i="1"/>
  <c r="AL138" i="1"/>
  <c r="AL139" i="1"/>
  <c r="AL140" i="1"/>
  <c r="AL110" i="1"/>
  <c r="AL108" i="1"/>
  <c r="AL111" i="1"/>
  <c r="AL104" i="1"/>
  <c r="AL103" i="1"/>
  <c r="BA128" i="1"/>
  <c r="AS152" i="1"/>
  <c r="AS141" i="1"/>
  <c r="AS144" i="1"/>
  <c r="AS142" i="1"/>
  <c r="AS153" i="1"/>
  <c r="AS143" i="1"/>
  <c r="AS113" i="1"/>
  <c r="AS134" i="1"/>
  <c r="AS119" i="1"/>
  <c r="AS149" i="1"/>
  <c r="AS136" i="1"/>
  <c r="AS135" i="1"/>
  <c r="AS148" i="1"/>
  <c r="AS131" i="1"/>
  <c r="AS118" i="1"/>
  <c r="AS133" i="1"/>
  <c r="AS126" i="1"/>
  <c r="AS139" i="1"/>
  <c r="AS128" i="1"/>
  <c r="AS125" i="1"/>
  <c r="AS140" i="1"/>
  <c r="AS138" i="1"/>
  <c r="AS111" i="1"/>
  <c r="AS110" i="1"/>
  <c r="AS108" i="1"/>
  <c r="AS104" i="1"/>
  <c r="AS103" i="1"/>
  <c r="AR143" i="1"/>
  <c r="AR152" i="1"/>
  <c r="AR113" i="1"/>
  <c r="AR119" i="1"/>
  <c r="AR141" i="1"/>
  <c r="AR144" i="1"/>
  <c r="AR142" i="1"/>
  <c r="AR153" i="1"/>
  <c r="AR136" i="1"/>
  <c r="AR135" i="1"/>
  <c r="AR134" i="1"/>
  <c r="AR133" i="1"/>
  <c r="AR149" i="1"/>
  <c r="AR131" i="1"/>
  <c r="AR125" i="1"/>
  <c r="AR148" i="1"/>
  <c r="AR118" i="1"/>
  <c r="AR126" i="1"/>
  <c r="AR128" i="1"/>
  <c r="AR139" i="1"/>
  <c r="AR140" i="1"/>
  <c r="AR104" i="1"/>
  <c r="AR138" i="1"/>
  <c r="AR110" i="1"/>
  <c r="AR108" i="1"/>
  <c r="AR111" i="1"/>
  <c r="AR103" i="1"/>
  <c r="AV128" i="1"/>
  <c r="AO142" i="1"/>
  <c r="AO152" i="1"/>
  <c r="AO153" i="1"/>
  <c r="AO143" i="1"/>
  <c r="AO113" i="1"/>
  <c r="AO144" i="1"/>
  <c r="AO149" i="1"/>
  <c r="AO141" i="1"/>
  <c r="AO119" i="1"/>
  <c r="AO134" i="1"/>
  <c r="AO136" i="1"/>
  <c r="AO135" i="1"/>
  <c r="AO148" i="1"/>
  <c r="AO118" i="1"/>
  <c r="AO133" i="1"/>
  <c r="AO131" i="1"/>
  <c r="AO125" i="1"/>
  <c r="AO128" i="1"/>
  <c r="AO126" i="1"/>
  <c r="AO138" i="1"/>
  <c r="AO139" i="1"/>
  <c r="AO140" i="1"/>
  <c r="AO111" i="1"/>
  <c r="AO104" i="1"/>
  <c r="AO110" i="1"/>
  <c r="AO108" i="1"/>
  <c r="AO103" i="1"/>
  <c r="BH128" i="1"/>
  <c r="AQ143" i="1"/>
  <c r="AQ152" i="1"/>
  <c r="AQ113" i="1"/>
  <c r="AQ144" i="1"/>
  <c r="AQ142" i="1"/>
  <c r="AQ153" i="1"/>
  <c r="AQ135" i="1"/>
  <c r="AQ136" i="1"/>
  <c r="AQ118" i="1"/>
  <c r="AQ141" i="1"/>
  <c r="AQ119" i="1"/>
  <c r="AQ149" i="1"/>
  <c r="AQ134" i="1"/>
  <c r="AQ133" i="1"/>
  <c r="AQ131" i="1"/>
  <c r="AQ148" i="1"/>
  <c r="AQ125" i="1"/>
  <c r="AQ126" i="1"/>
  <c r="AQ138" i="1"/>
  <c r="AQ139" i="1"/>
  <c r="AQ140" i="1"/>
  <c r="AQ108" i="1"/>
  <c r="AQ110" i="1"/>
  <c r="AQ111" i="1"/>
  <c r="AQ104" i="1"/>
  <c r="AQ103" i="1"/>
  <c r="BN128" i="1"/>
  <c r="BD128" i="1"/>
  <c r="BM128" i="1"/>
  <c r="BE40" i="1"/>
  <c r="Q82" i="1"/>
  <c r="P82" i="1"/>
  <c r="P80" i="1" s="1"/>
  <c r="I106" i="1"/>
  <c r="I158" i="1" s="1"/>
  <c r="X106" i="1"/>
  <c r="X158" i="1" s="1"/>
  <c r="U106" i="1"/>
  <c r="U158" i="1" s="1"/>
  <c r="L106" i="1"/>
  <c r="L158" i="1" s="1"/>
  <c r="Z106" i="1"/>
  <c r="Z158" i="1" s="1"/>
  <c r="K106" i="1"/>
  <c r="B106" i="1"/>
  <c r="B158" i="1" s="1"/>
  <c r="T106" i="1"/>
  <c r="T158" i="1" s="1"/>
  <c r="E106" i="1"/>
  <c r="E158" i="1" s="1"/>
  <c r="V82" i="1"/>
  <c r="Z82" i="1"/>
  <c r="H82" i="1"/>
  <c r="R82" i="1"/>
  <c r="J106" i="1"/>
  <c r="U82" i="1"/>
  <c r="E47" i="1"/>
  <c r="R106" i="1"/>
  <c r="R158" i="1" s="1"/>
  <c r="P106" i="1"/>
  <c r="P158" i="1" s="1"/>
  <c r="D106" i="1"/>
  <c r="D158" i="1" s="1"/>
  <c r="O106" i="1"/>
  <c r="O158" i="1" s="1"/>
  <c r="Y106" i="1"/>
  <c r="Y158" i="1" s="1"/>
  <c r="V106" i="1"/>
  <c r="V158" i="1" s="1"/>
  <c r="G106" i="1"/>
  <c r="G158" i="1" s="1"/>
  <c r="C106" i="1"/>
  <c r="C158" i="1" s="1"/>
  <c r="D18" i="1"/>
  <c r="M106" i="1"/>
  <c r="H106" i="1"/>
  <c r="H158" i="1" s="1"/>
  <c r="F106" i="1"/>
  <c r="F158" i="1" s="1"/>
  <c r="W106" i="1"/>
  <c r="W158" i="1" s="1"/>
  <c r="D12" i="1"/>
  <c r="D14" i="1" s="1"/>
  <c r="D17" i="1" s="1"/>
  <c r="B37" i="1"/>
  <c r="B39" i="1" s="1"/>
  <c r="C40" i="1" s="1"/>
  <c r="N106" i="1"/>
  <c r="N158" i="1" s="1"/>
  <c r="E82" i="1"/>
  <c r="E80" i="1" s="1"/>
  <c r="Q106" i="1"/>
  <c r="Q158" i="1" s="1"/>
  <c r="P47" i="1"/>
  <c r="S106" i="1"/>
  <c r="S158" i="1" s="1"/>
  <c r="Y82" i="1"/>
  <c r="W82" i="1"/>
  <c r="X82" i="1"/>
  <c r="F82" i="1"/>
  <c r="G82" i="1"/>
  <c r="CA89" i="1"/>
  <c r="IW21" i="132" l="1"/>
  <c r="BD89" i="1" s="1"/>
  <c r="BI35" i="1"/>
  <c r="AN120" i="1"/>
  <c r="AN81" i="1" s="1"/>
  <c r="AK128" i="1"/>
  <c r="AK129" i="1" s="1"/>
  <c r="BR128" i="1"/>
  <c r="BK128" i="1"/>
  <c r="BQ128" i="1"/>
  <c r="AY128" i="1"/>
  <c r="BJ128" i="1"/>
  <c r="AT128" i="1"/>
  <c r="AT129" i="1" s="1"/>
  <c r="AU128" i="1"/>
  <c r="AU129" i="1" s="1"/>
  <c r="AP128" i="1"/>
  <c r="AP129" i="1" s="1"/>
  <c r="AL128" i="1"/>
  <c r="AL129" i="1" s="1"/>
  <c r="BS128" i="1"/>
  <c r="AX128" i="1"/>
  <c r="AM128" i="1"/>
  <c r="AM129" i="1" s="1"/>
  <c r="AH128" i="1"/>
  <c r="AH129" i="1" s="1"/>
  <c r="BB128" i="1"/>
  <c r="AQ128" i="1"/>
  <c r="AQ129" i="1" s="1"/>
  <c r="BO128" i="1"/>
  <c r="AN77" i="1"/>
  <c r="AN76" i="1"/>
  <c r="AO150" i="1"/>
  <c r="AQ160" i="1"/>
  <c r="AR160" i="1"/>
  <c r="AM162" i="1"/>
  <c r="AM120" i="1"/>
  <c r="AK150" i="1"/>
  <c r="AL160" i="1"/>
  <c r="AO160" i="1"/>
  <c r="AI150" i="1"/>
  <c r="AH150" i="1"/>
  <c r="AQ137" i="1"/>
  <c r="AO137" i="1"/>
  <c r="AR120" i="1"/>
  <c r="AJ150" i="1"/>
  <c r="AM137" i="1"/>
  <c r="AN137" i="1"/>
  <c r="AR150" i="1"/>
  <c r="AR129" i="1"/>
  <c r="AP120" i="1"/>
  <c r="AK162" i="1"/>
  <c r="AU150" i="1"/>
  <c r="AO129" i="1"/>
  <c r="AR145" i="1"/>
  <c r="AS120" i="1"/>
  <c r="AL145" i="1"/>
  <c r="AH137" i="1"/>
  <c r="AM150" i="1"/>
  <c r="AS162" i="1"/>
  <c r="AP162" i="1"/>
  <c r="AK145" i="1"/>
  <c r="AT150" i="1"/>
  <c r="AI120" i="1"/>
  <c r="AI129" i="1"/>
  <c r="AI137" i="1"/>
  <c r="AN145" i="1"/>
  <c r="AO145" i="1"/>
  <c r="AS145" i="1"/>
  <c r="AQ150" i="1"/>
  <c r="AO162" i="1"/>
  <c r="AL162" i="1"/>
  <c r="AI145" i="1"/>
  <c r="AU145" i="1"/>
  <c r="AT120" i="1"/>
  <c r="AQ145" i="1"/>
  <c r="AR162" i="1"/>
  <c r="AS137" i="1"/>
  <c r="AL120" i="1"/>
  <c r="AL150" i="1"/>
  <c r="AH145" i="1"/>
  <c r="AM160" i="1"/>
  <c r="AN160" i="1"/>
  <c r="AT137" i="1"/>
  <c r="AQ120" i="1"/>
  <c r="AO120" i="1"/>
  <c r="AS129" i="1"/>
  <c r="AS160" i="1"/>
  <c r="AP145" i="1"/>
  <c r="AP150" i="1"/>
  <c r="AP160" i="1"/>
  <c r="AJ129" i="1"/>
  <c r="AJ120" i="1"/>
  <c r="AK120" i="1"/>
  <c r="AN129" i="1"/>
  <c r="AT145" i="1"/>
  <c r="AQ162" i="1"/>
  <c r="AR137" i="1"/>
  <c r="AS150" i="1"/>
  <c r="AL137" i="1"/>
  <c r="AP137" i="1"/>
  <c r="AJ145" i="1"/>
  <c r="AJ137" i="1"/>
  <c r="AH120" i="1"/>
  <c r="AK137" i="1"/>
  <c r="AN150" i="1"/>
  <c r="AN162" i="1"/>
  <c r="AU120" i="1"/>
  <c r="AM145" i="1"/>
  <c r="AU137" i="1"/>
  <c r="E50" i="1"/>
  <c r="E52" i="1" s="1"/>
  <c r="E56" i="1" s="1"/>
  <c r="P50" i="1"/>
  <c r="P52" i="1" s="1"/>
  <c r="P56" i="1" s="1"/>
  <c r="BU138" i="1"/>
  <c r="BS149" i="1"/>
  <c r="BJ131" i="1"/>
  <c r="BI142" i="1"/>
  <c r="BF103" i="1"/>
  <c r="BH138" i="1"/>
  <c r="BF131" i="1"/>
  <c r="BT139" i="1"/>
  <c r="BA142" i="1"/>
  <c r="BF110" i="1"/>
  <c r="BH142" i="1"/>
  <c r="BM142" i="1"/>
  <c r="BS104" i="1"/>
  <c r="BN111" i="1"/>
  <c r="BC140" i="1"/>
  <c r="BT138" i="1"/>
  <c r="BL111" i="1"/>
  <c r="AT160" i="1"/>
  <c r="AV110" i="1"/>
  <c r="BD139" i="1"/>
  <c r="BT153" i="1"/>
  <c r="BB143" i="1"/>
  <c r="BM133" i="1"/>
  <c r="BK139" i="1"/>
  <c r="BB142" i="1"/>
  <c r="BQ149" i="1"/>
  <c r="BR134" i="1"/>
  <c r="BH103" i="1"/>
  <c r="BD136" i="1"/>
  <c r="BU111" i="1"/>
  <c r="BB135" i="1"/>
  <c r="BL149" i="1"/>
  <c r="AY152" i="1"/>
  <c r="BU140" i="1"/>
  <c r="AV142" i="1"/>
  <c r="AZ134" i="1"/>
  <c r="BH111" i="1"/>
  <c r="BR108" i="1"/>
  <c r="BB110" i="1"/>
  <c r="BG126" i="1"/>
  <c r="BF135" i="1"/>
  <c r="AV126" i="1"/>
  <c r="AZ113" i="1"/>
  <c r="BM118" i="1"/>
  <c r="BM135" i="1"/>
  <c r="AZ149" i="1"/>
  <c r="BI135" i="1"/>
  <c r="BL141" i="1"/>
  <c r="BE135" i="1"/>
  <c r="AW110" i="1"/>
  <c r="BN152" i="1"/>
  <c r="BH119" i="1"/>
  <c r="BK144" i="1"/>
  <c r="BR110" i="1"/>
  <c r="BF152" i="1"/>
  <c r="BH110" i="1"/>
  <c r="BD152" i="1"/>
  <c r="AZ138" i="1"/>
  <c r="BM103" i="1"/>
  <c r="BN103" i="1" s="1"/>
  <c r="BK111" i="1"/>
  <c r="BG131" i="1"/>
  <c r="BP133" i="1"/>
  <c r="BU136" i="1"/>
  <c r="BH143" i="1"/>
  <c r="BM153" i="1"/>
  <c r="BB133" i="1"/>
  <c r="BT143" i="1"/>
  <c r="AY113" i="1"/>
  <c r="BD149" i="1"/>
  <c r="BH148" i="1"/>
  <c r="BC110" i="1"/>
  <c r="BF111" i="1"/>
  <c r="BE152" i="1"/>
  <c r="BO138" i="1"/>
  <c r="BI139" i="1"/>
  <c r="BP108" i="1"/>
  <c r="BO134" i="1"/>
  <c r="AX118" i="1"/>
  <c r="AZ153" i="1"/>
  <c r="BQ135" i="1"/>
  <c r="BG108" i="1"/>
  <c r="AX139" i="1"/>
  <c r="BB113" i="1"/>
  <c r="BA103" i="1"/>
  <c r="BA131" i="1"/>
  <c r="BU148" i="1"/>
  <c r="BQ138" i="1"/>
  <c r="BS135" i="1"/>
  <c r="AW108" i="1"/>
  <c r="BN125" i="1"/>
  <c r="BC111" i="1"/>
  <c r="AY143" i="1"/>
  <c r="BJ134" i="1"/>
  <c r="BJ110" i="1"/>
  <c r="BH131" i="1"/>
  <c r="BT136" i="1"/>
  <c r="BO152" i="1"/>
  <c r="BK103" i="1"/>
  <c r="AY133" i="1"/>
  <c r="BA119" i="1"/>
  <c r="BJ144" i="1"/>
  <c r="AV152" i="1"/>
  <c r="BT152" i="1"/>
  <c r="BB108" i="1"/>
  <c r="BB104" i="1"/>
  <c r="BP111" i="1"/>
  <c r="BC144" i="1"/>
  <c r="BO111" i="1"/>
  <c r="BG152" i="1"/>
  <c r="AW144" i="1"/>
  <c r="BA134" i="1"/>
  <c r="BA126" i="1"/>
  <c r="BR135" i="1"/>
  <c r="AZ110" i="1"/>
  <c r="AY141" i="1"/>
  <c r="BT144" i="1"/>
  <c r="BR125" i="1"/>
  <c r="BB138" i="1"/>
  <c r="BD111" i="1"/>
  <c r="BG118" i="1"/>
  <c r="AZ148" i="1"/>
  <c r="BU133" i="1"/>
  <c r="AW149" i="1"/>
  <c r="BQ108" i="1"/>
  <c r="BP113" i="1"/>
  <c r="AX103" i="1"/>
  <c r="BI143" i="1"/>
  <c r="AW135" i="1"/>
  <c r="BA139" i="1"/>
  <c r="BP153" i="1"/>
  <c r="BB153" i="1"/>
  <c r="BB140" i="1"/>
  <c r="BM113" i="1"/>
  <c r="BR152" i="1"/>
  <c r="AX148" i="1"/>
  <c r="BF143" i="1"/>
  <c r="BG104" i="1"/>
  <c r="BQ110" i="1"/>
  <c r="BA111" i="1"/>
  <c r="BJ139" i="1"/>
  <c r="BU131" i="1"/>
  <c r="AX153" i="1"/>
  <c r="BD126" i="1"/>
  <c r="BG139" i="1"/>
  <c r="BT104" i="1"/>
  <c r="BE144" i="1"/>
  <c r="BQ126" i="1"/>
  <c r="BN118" i="1"/>
  <c r="BQ136" i="1"/>
  <c r="AW125" i="1"/>
  <c r="BO153" i="1"/>
  <c r="BI103" i="1"/>
  <c r="BF140" i="1"/>
  <c r="AV143" i="1"/>
  <c r="AY118" i="1"/>
  <c r="BA110" i="1"/>
  <c r="BO149" i="1"/>
  <c r="BD133" i="1"/>
  <c r="BO142" i="1"/>
  <c r="BD118" i="1"/>
  <c r="BO143" i="1"/>
  <c r="BA125" i="1"/>
  <c r="BH140" i="1"/>
  <c r="AX125" i="1"/>
  <c r="BQ153" i="1"/>
  <c r="AV131" i="1"/>
  <c r="AV141" i="1"/>
  <c r="BE153" i="1"/>
  <c r="BA133" i="1"/>
  <c r="BM149" i="1"/>
  <c r="BR149" i="1"/>
  <c r="BD143" i="1"/>
  <c r="BI110" i="1"/>
  <c r="AV133" i="1"/>
  <c r="BA104" i="1"/>
  <c r="BM111" i="1"/>
  <c r="BJ152" i="1"/>
  <c r="BK142" i="1"/>
  <c r="AY142" i="1"/>
  <c r="BN136" i="1"/>
  <c r="BG148" i="1"/>
  <c r="BN143" i="1"/>
  <c r="BO144" i="1"/>
  <c r="BO103" i="1"/>
  <c r="BP103" i="1" s="1"/>
  <c r="BF142" i="1"/>
  <c r="AV118" i="1"/>
  <c r="BM136" i="1"/>
  <c r="BL135" i="1"/>
  <c r="BK143" i="1"/>
  <c r="BH139" i="1"/>
  <c r="BP131" i="1"/>
  <c r="AZ126" i="1"/>
  <c r="BI118" i="1"/>
  <c r="BK153" i="1"/>
  <c r="BJ143" i="1"/>
  <c r="BA140" i="1"/>
  <c r="BF138" i="1"/>
  <c r="BS110" i="1"/>
  <c r="BQ111" i="1"/>
  <c r="BR142" i="1"/>
  <c r="BE141" i="1"/>
  <c r="BS133" i="1"/>
  <c r="BK148" i="1"/>
  <c r="BC138" i="1"/>
  <c r="AW104" i="1"/>
  <c r="BQ104" i="1"/>
  <c r="BQ152" i="1"/>
  <c r="BU135" i="1"/>
  <c r="BE126" i="1"/>
  <c r="AZ131" i="1"/>
  <c r="BF133" i="1"/>
  <c r="BE148" i="1"/>
  <c r="BI138" i="1"/>
  <c r="AV144" i="1"/>
  <c r="AX135" i="1"/>
  <c r="AZ139" i="1"/>
  <c r="AZ108" i="1"/>
  <c r="BR140" i="1"/>
  <c r="BE108" i="1"/>
  <c r="AY131" i="1"/>
  <c r="AU160" i="1"/>
  <c r="BK134" i="1"/>
  <c r="BE143" i="1"/>
  <c r="BB118" i="1"/>
  <c r="BT108" i="1"/>
  <c r="BC141" i="1"/>
  <c r="BM143" i="1"/>
  <c r="BF149" i="1"/>
  <c r="BL104" i="1"/>
  <c r="BJ138" i="1"/>
  <c r="BQ113" i="1"/>
  <c r="BA113" i="1"/>
  <c r="BG143" i="1"/>
  <c r="BF119" i="1"/>
  <c r="BN113" i="1"/>
  <c r="AW119" i="1"/>
  <c r="AW160" i="1" s="1"/>
  <c r="BO125" i="1"/>
  <c r="BA138" i="1"/>
  <c r="BC118" i="1"/>
  <c r="BE113" i="1"/>
  <c r="BP119" i="1"/>
  <c r="BI148" i="1"/>
  <c r="BJ118" i="1"/>
  <c r="BH152" i="1"/>
  <c r="BO113" i="1"/>
  <c r="AV149" i="1"/>
  <c r="BN119" i="1"/>
  <c r="BA153" i="1"/>
  <c r="BS108" i="1"/>
  <c r="BK108" i="1"/>
  <c r="BL142" i="1"/>
  <c r="BH134" i="1"/>
  <c r="BQ118" i="1"/>
  <c r="BC134" i="1"/>
  <c r="BJ119" i="1"/>
  <c r="BL136" i="1"/>
  <c r="BG149" i="1"/>
  <c r="BL108" i="1"/>
  <c r="BJ142" i="1"/>
  <c r="BM108" i="1"/>
  <c r="BQ103" i="1"/>
  <c r="BR103" i="1" s="1"/>
  <c r="AZ140" i="1"/>
  <c r="AX138" i="1"/>
  <c r="BP149" i="1"/>
  <c r="BN135" i="1"/>
  <c r="BC108" i="1"/>
  <c r="BU142" i="1"/>
  <c r="AZ142" i="1"/>
  <c r="BO108" i="1"/>
  <c r="BQ125" i="1"/>
  <c r="BC113" i="1"/>
  <c r="BU134" i="1"/>
  <c r="BK149" i="1"/>
  <c r="AW152" i="1"/>
  <c r="BG110" i="1"/>
  <c r="BM131" i="1"/>
  <c r="BU125" i="1"/>
  <c r="BR119" i="1"/>
  <c r="BN133" i="1"/>
  <c r="BN141" i="1"/>
  <c r="AY119" i="1"/>
  <c r="BK141" i="1"/>
  <c r="BF118" i="1"/>
  <c r="BN131" i="1"/>
  <c r="AZ133" i="1"/>
  <c r="BD135" i="1"/>
  <c r="BM134" i="1"/>
  <c r="AY138" i="1"/>
  <c r="BK104" i="1"/>
  <c r="BP125" i="1"/>
  <c r="BF148" i="1"/>
  <c r="AV135" i="1"/>
  <c r="BN148" i="1"/>
  <c r="BF108" i="1"/>
  <c r="BC136" i="1"/>
  <c r="BI134" i="1"/>
  <c r="BI119" i="1"/>
  <c r="BH118" i="1"/>
  <c r="BD134" i="1"/>
  <c r="BK125" i="1"/>
  <c r="BS103" i="1"/>
  <c r="BT103" i="1" s="1"/>
  <c r="BR141" i="1"/>
  <c r="BR136" i="1"/>
  <c r="AX119" i="1"/>
  <c r="BF153" i="1"/>
  <c r="BP118" i="1"/>
  <c r="BJ148" i="1"/>
  <c r="BH135" i="1"/>
  <c r="BJ141" i="1"/>
  <c r="AZ118" i="1"/>
  <c r="BA136" i="1"/>
  <c r="AX136" i="1"/>
  <c r="BA141" i="1"/>
  <c r="BG153" i="1"/>
  <c r="BO140" i="1"/>
  <c r="AX143" i="1"/>
  <c r="BA108" i="1"/>
  <c r="AV125" i="1"/>
  <c r="BP134" i="1"/>
  <c r="BS131" i="1"/>
  <c r="BE139" i="1"/>
  <c r="BI141" i="1"/>
  <c r="BM139" i="1"/>
  <c r="BG140" i="1"/>
  <c r="BT134" i="1"/>
  <c r="AX110" i="1"/>
  <c r="AW113" i="1"/>
  <c r="AV113" i="1"/>
  <c r="AZ152" i="1"/>
  <c r="BP139" i="1"/>
  <c r="BO135" i="1"/>
  <c r="BQ134" i="1"/>
  <c r="BF134" i="1"/>
  <c r="BP136" i="1"/>
  <c r="BE103" i="1"/>
  <c r="BG144" i="1"/>
  <c r="BG125" i="1"/>
  <c r="BG141" i="1"/>
  <c r="BC119" i="1"/>
  <c r="AV119" i="1"/>
  <c r="AV160" i="1" s="1"/>
  <c r="BE118" i="1"/>
  <c r="BL134" i="1"/>
  <c r="BQ142" i="1"/>
  <c r="BS119" i="1"/>
  <c r="AX111" i="1"/>
  <c r="AY111" i="1"/>
  <c r="BG133" i="1"/>
  <c r="AW141" i="1"/>
  <c r="BH126" i="1"/>
  <c r="BK140" i="1"/>
  <c r="BD103" i="1"/>
  <c r="BE125" i="1"/>
  <c r="BQ131" i="1"/>
  <c r="BB144" i="1"/>
  <c r="BD108" i="1"/>
  <c r="BL126" i="1"/>
  <c r="BD148" i="1"/>
  <c r="AZ141" i="1"/>
  <c r="AZ111" i="1"/>
  <c r="BG113" i="1"/>
  <c r="BC131" i="1"/>
  <c r="AV138" i="1"/>
  <c r="BM148" i="1"/>
  <c r="BS136" i="1"/>
  <c r="BG135" i="1"/>
  <c r="BN140" i="1"/>
  <c r="BC126" i="1"/>
  <c r="AZ119" i="1"/>
  <c r="BA118" i="1"/>
  <c r="AW142" i="1"/>
  <c r="BP126" i="1"/>
  <c r="BO110" i="1"/>
  <c r="BE142" i="1"/>
  <c r="BI126" i="1"/>
  <c r="BL144" i="1"/>
  <c r="AY149" i="1"/>
  <c r="BG119" i="1"/>
  <c r="BL133" i="1"/>
  <c r="BP110" i="1"/>
  <c r="AX142" i="1"/>
  <c r="BC104" i="1"/>
  <c r="AZ143" i="1"/>
  <c r="BU143" i="1"/>
  <c r="BS111" i="1"/>
  <c r="AX140" i="1"/>
  <c r="BB139" i="1"/>
  <c r="AZ144" i="1"/>
  <c r="BJ133" i="1"/>
  <c r="BC143" i="1"/>
  <c r="AV111" i="1"/>
  <c r="AZ125" i="1"/>
  <c r="AY126" i="1"/>
  <c r="AY110" i="1"/>
  <c r="BF125" i="1"/>
  <c r="AW140" i="1"/>
  <c r="AV153" i="1"/>
  <c r="BT148" i="1"/>
  <c r="BT131" i="1"/>
  <c r="BO148" i="1"/>
  <c r="AY144" i="1"/>
  <c r="BL125" i="1"/>
  <c r="BG103" i="1"/>
  <c r="BS141" i="1"/>
  <c r="BI125" i="1"/>
  <c r="BU118" i="1"/>
  <c r="BJ111" i="1"/>
  <c r="BI152" i="1"/>
  <c r="BU104" i="1"/>
  <c r="BP148" i="1"/>
  <c r="BJ113" i="1"/>
  <c r="BT149" i="1"/>
  <c r="BL113" i="1"/>
  <c r="BS152" i="1"/>
  <c r="AY148" i="1"/>
  <c r="BP138" i="1"/>
  <c r="AX131" i="1"/>
  <c r="AX133" i="1"/>
  <c r="BP143" i="1"/>
  <c r="AW138" i="1"/>
  <c r="BE149" i="1"/>
  <c r="BL103" i="1"/>
  <c r="BG111" i="1"/>
  <c r="BR139" i="1"/>
  <c r="BJ108" i="1"/>
  <c r="BM144" i="1"/>
  <c r="BE110" i="1"/>
  <c r="BU141" i="1"/>
  <c r="BH141" i="1"/>
  <c r="BR131" i="1"/>
  <c r="BN126" i="1"/>
  <c r="BB136" i="1"/>
  <c r="BE140" i="1"/>
  <c r="BS113" i="1"/>
  <c r="BQ133" i="1"/>
  <c r="BU126" i="1"/>
  <c r="BL138" i="1"/>
  <c r="BP152" i="1"/>
  <c r="BO141" i="1"/>
  <c r="AY139" i="1"/>
  <c r="BD141" i="1"/>
  <c r="BK119" i="1"/>
  <c r="BE133" i="1"/>
  <c r="BM141" i="1"/>
  <c r="BR133" i="1"/>
  <c r="BP142" i="1"/>
  <c r="BC133" i="1"/>
  <c r="BL139" i="1"/>
  <c r="BJ149" i="1"/>
  <c r="BN110" i="1"/>
  <c r="BU110" i="1"/>
  <c r="AV148" i="1"/>
  <c r="AV108" i="1"/>
  <c r="BL153" i="1"/>
  <c r="BK135" i="1"/>
  <c r="BC139" i="1"/>
  <c r="BH108" i="1"/>
  <c r="BR144" i="1"/>
  <c r="BG136" i="1"/>
  <c r="BI144" i="1"/>
  <c r="BC142" i="1"/>
  <c r="BJ135" i="1"/>
  <c r="BT141" i="1"/>
  <c r="AX104" i="1"/>
  <c r="BP141" i="1"/>
  <c r="BS140" i="1"/>
  <c r="BS148" i="1"/>
  <c r="BC149" i="1"/>
  <c r="BR148" i="1"/>
  <c r="BU108" i="1"/>
  <c r="BE131" i="1"/>
  <c r="AW148" i="1"/>
  <c r="BK138" i="1"/>
  <c r="BO119" i="1"/>
  <c r="BB149" i="1"/>
  <c r="BD131" i="1"/>
  <c r="BB103" i="1"/>
  <c r="BM110" i="1"/>
  <c r="AX141" i="1"/>
  <c r="BK133" i="1"/>
  <c r="BO126" i="1"/>
  <c r="BB148" i="1"/>
  <c r="BH133" i="1"/>
  <c r="BQ119" i="1"/>
  <c r="BD142" i="1"/>
  <c r="BC135" i="1"/>
  <c r="AW111" i="1"/>
  <c r="BL140" i="1"/>
  <c r="BM104" i="1"/>
  <c r="BE136" i="1"/>
  <c r="BH149" i="1"/>
  <c r="AX126" i="1"/>
  <c r="AW139" i="1"/>
  <c r="BN144" i="1"/>
  <c r="AV103" i="1"/>
  <c r="BH104" i="1"/>
  <c r="BS144" i="1"/>
  <c r="AV134" i="1"/>
  <c r="BL152" i="1"/>
  <c r="BC148" i="1"/>
  <c r="BB126" i="1"/>
  <c r="AW143" i="1"/>
  <c r="BS138" i="1"/>
  <c r="BQ140" i="1"/>
  <c r="BM152" i="1"/>
  <c r="AY108" i="1"/>
  <c r="BI153" i="1"/>
  <c r="BA135" i="1"/>
  <c r="BU119" i="1"/>
  <c r="BU152" i="1"/>
  <c r="AV104" i="1"/>
  <c r="BM125" i="1"/>
  <c r="AW134" i="1"/>
  <c r="AW126" i="1"/>
  <c r="BB134" i="1"/>
  <c r="BC152" i="1"/>
  <c r="BA149" i="1"/>
  <c r="BF141" i="1"/>
  <c r="AY136" i="1"/>
  <c r="BN153" i="1"/>
  <c r="BI136" i="1"/>
  <c r="BP140" i="1"/>
  <c r="BL131" i="1"/>
  <c r="AX152" i="1"/>
  <c r="AZ135" i="1"/>
  <c r="AY104" i="1"/>
  <c r="BI108" i="1"/>
  <c r="BT110" i="1"/>
  <c r="AY134" i="1"/>
  <c r="BT142" i="1"/>
  <c r="BS125" i="1"/>
  <c r="BC153" i="1"/>
  <c r="BK110" i="1"/>
  <c r="BR153" i="1"/>
  <c r="BG142" i="1"/>
  <c r="BN139" i="1"/>
  <c r="BS139" i="1"/>
  <c r="BD125" i="1"/>
  <c r="AV140" i="1"/>
  <c r="BO139" i="1"/>
  <c r="BI111" i="1"/>
  <c r="BG134" i="1"/>
  <c r="BH144" i="1"/>
  <c r="BB119" i="1"/>
  <c r="BE119" i="1"/>
  <c r="BT135" i="1"/>
  <c r="BD104" i="1"/>
  <c r="AX149" i="1"/>
  <c r="BQ141" i="1"/>
  <c r="BI133" i="1"/>
  <c r="BB111" i="1"/>
  <c r="AW133" i="1"/>
  <c r="BA143" i="1"/>
  <c r="BD113" i="1"/>
  <c r="BE134" i="1"/>
  <c r="AW153" i="1"/>
  <c r="AV139" i="1"/>
  <c r="BT125" i="1"/>
  <c r="AX113" i="1"/>
  <c r="BR143" i="1"/>
  <c r="BC125" i="1"/>
  <c r="AY103" i="1"/>
  <c r="BP144" i="1"/>
  <c r="BR138" i="1"/>
  <c r="BF136" i="1"/>
  <c r="BH125" i="1"/>
  <c r="BI140" i="1"/>
  <c r="BS153" i="1"/>
  <c r="BI113" i="1"/>
  <c r="AW136" i="1"/>
  <c r="AX134" i="1"/>
  <c r="BF144" i="1"/>
  <c r="BN149" i="1"/>
  <c r="BU149" i="1"/>
  <c r="BN134" i="1"/>
  <c r="BJ104" i="1"/>
  <c r="BN108" i="1"/>
  <c r="BU144" i="1"/>
  <c r="BD110" i="1"/>
  <c r="BA152" i="1"/>
  <c r="BF126" i="1"/>
  <c r="BE138" i="1"/>
  <c r="BR111" i="1"/>
  <c r="AZ103" i="1"/>
  <c r="BI149" i="1"/>
  <c r="BL110" i="1"/>
  <c r="BO133" i="1"/>
  <c r="BM140" i="1"/>
  <c r="BK136" i="1"/>
  <c r="BS142" i="1"/>
  <c r="BK118" i="1"/>
  <c r="AX108" i="1"/>
  <c r="BH136" i="1"/>
  <c r="AY135" i="1"/>
  <c r="BB141" i="1"/>
  <c r="BQ143" i="1"/>
  <c r="BB152" i="1"/>
  <c r="BJ126" i="1"/>
  <c r="BJ125" i="1"/>
  <c r="BJ153" i="1"/>
  <c r="AY125" i="1"/>
  <c r="BO104" i="1"/>
  <c r="BF113" i="1"/>
  <c r="AX144" i="1"/>
  <c r="BN138" i="1"/>
  <c r="BH153" i="1"/>
  <c r="BQ139" i="1"/>
  <c r="BR113" i="1"/>
  <c r="AY140" i="1"/>
  <c r="BD138" i="1"/>
  <c r="BA148" i="1"/>
  <c r="BT111" i="1"/>
  <c r="BL118" i="1"/>
  <c r="AV136" i="1"/>
  <c r="BU103" i="1"/>
  <c r="BV103" i="1" s="1"/>
  <c r="AY153" i="1"/>
  <c r="BP135" i="1"/>
  <c r="BJ136" i="1"/>
  <c r="AW103" i="1"/>
  <c r="BU153" i="1"/>
  <c r="BQ144" i="1"/>
  <c r="BU113" i="1"/>
  <c r="BB131" i="1"/>
  <c r="BD140" i="1"/>
  <c r="BD144" i="1"/>
  <c r="BK152" i="1"/>
  <c r="BC103" i="1"/>
  <c r="BK126" i="1"/>
  <c r="BM119" i="1"/>
  <c r="BU139" i="1"/>
  <c r="BD119" i="1"/>
  <c r="BR126" i="1"/>
  <c r="BL148" i="1"/>
  <c r="BK131" i="1"/>
  <c r="BM138" i="1"/>
  <c r="BE111" i="1"/>
  <c r="BS143" i="1"/>
  <c r="BT140" i="1"/>
  <c r="BS118" i="1"/>
  <c r="BJ140" i="1"/>
  <c r="BI131" i="1"/>
  <c r="BG138" i="1"/>
  <c r="BO136" i="1"/>
  <c r="BQ148" i="1"/>
  <c r="BJ103" i="1"/>
  <c r="BT133" i="1"/>
  <c r="BR104" i="1"/>
  <c r="AW131" i="1"/>
  <c r="BK113" i="1"/>
  <c r="BO131" i="1"/>
  <c r="BD153" i="1"/>
  <c r="BL143" i="1"/>
  <c r="BM126" i="1"/>
  <c r="BF139" i="1"/>
  <c r="BS134" i="1"/>
  <c r="BA144" i="1"/>
  <c r="BT118" i="1"/>
  <c r="AZ136" i="1"/>
  <c r="BH113" i="1"/>
  <c r="AW118" i="1"/>
  <c r="BL119" i="1"/>
  <c r="BT126" i="1"/>
  <c r="BB125" i="1"/>
  <c r="BN142" i="1"/>
  <c r="BS126" i="1"/>
  <c r="BR118" i="1"/>
  <c r="K82" i="1"/>
  <c r="K80" i="1" s="1"/>
  <c r="J4" i="1"/>
  <c r="J158" i="1"/>
  <c r="K115" i="1"/>
  <c r="K155" i="1" s="1"/>
  <c r="K158" i="1"/>
  <c r="M115" i="1"/>
  <c r="M155" i="1" s="1"/>
  <c r="M158" i="1"/>
  <c r="S82" i="1"/>
  <c r="S80" i="1" s="1"/>
  <c r="E9" i="1"/>
  <c r="BO118" i="1"/>
  <c r="E4" i="1"/>
  <c r="R47" i="1"/>
  <c r="R80" i="1"/>
  <c r="J47" i="1"/>
  <c r="P4" i="1"/>
  <c r="D82" i="1"/>
  <c r="D80" i="1" s="1"/>
  <c r="D19" i="1"/>
  <c r="D21" i="1" s="1"/>
  <c r="D23" i="1" s="1"/>
  <c r="Q80" i="1"/>
  <c r="M9" i="1"/>
  <c r="K9" i="1"/>
  <c r="F47" i="1"/>
  <c r="F48" i="1" s="1"/>
  <c r="K4" i="1"/>
  <c r="G115" i="1"/>
  <c r="G155" i="1" s="1"/>
  <c r="G9" i="1"/>
  <c r="O115" i="1"/>
  <c r="L9" i="1"/>
  <c r="D9" i="1"/>
  <c r="D4" i="1"/>
  <c r="L4" i="1"/>
  <c r="L115" i="1"/>
  <c r="I47" i="1"/>
  <c r="O9" i="1"/>
  <c r="K47" i="1"/>
  <c r="B47" i="1"/>
  <c r="E115" i="1"/>
  <c r="D115" i="1"/>
  <c r="F80" i="1"/>
  <c r="M4" i="1"/>
  <c r="Z115" i="1"/>
  <c r="Z155" i="1" s="1"/>
  <c r="O4" i="1"/>
  <c r="L82" i="1"/>
  <c r="L80" i="1" s="1"/>
  <c r="M82" i="1"/>
  <c r="M80" i="1" s="1"/>
  <c r="C47" i="1"/>
  <c r="T82" i="1"/>
  <c r="T80" i="1" s="1"/>
  <c r="G80" i="1"/>
  <c r="G4" i="1"/>
  <c r="F4" i="1"/>
  <c r="R4" i="1"/>
  <c r="Q4" i="1"/>
  <c r="U9" i="1"/>
  <c r="U115" i="1"/>
  <c r="U155" i="1" s="1"/>
  <c r="D47" i="1"/>
  <c r="B115" i="1"/>
  <c r="B155" i="1" s="1"/>
  <c r="F115" i="1"/>
  <c r="F9" i="1"/>
  <c r="V115" i="1"/>
  <c r="S47" i="1"/>
  <c r="Y115" i="1"/>
  <c r="Y155" i="1" s="1"/>
  <c r="I9" i="1"/>
  <c r="I115" i="1"/>
  <c r="Q47" i="1"/>
  <c r="Q48" i="1" s="1"/>
  <c r="N9" i="1"/>
  <c r="N115" i="1"/>
  <c r="U4" i="1"/>
  <c r="O47" i="1"/>
  <c r="N82" i="1"/>
  <c r="N80" i="1" s="1"/>
  <c r="O82" i="1"/>
  <c r="O80" i="1" s="1"/>
  <c r="C115" i="1"/>
  <c r="C155" i="1" s="1"/>
  <c r="W115" i="1"/>
  <c r="W155" i="1" s="1"/>
  <c r="Q9" i="1"/>
  <c r="Q115" i="1"/>
  <c r="Q155" i="1" s="1"/>
  <c r="J9" i="1"/>
  <c r="J115" i="1"/>
  <c r="J82" i="1"/>
  <c r="J80" i="1" s="1"/>
  <c r="T115" i="1"/>
  <c r="T9" i="1"/>
  <c r="G47" i="1"/>
  <c r="S9" i="1"/>
  <c r="S4" i="1"/>
  <c r="T4" i="1"/>
  <c r="H80" i="1"/>
  <c r="P9" i="1"/>
  <c r="P115" i="1"/>
  <c r="N4" i="1"/>
  <c r="R9" i="1"/>
  <c r="R115" i="1"/>
  <c r="H115" i="1"/>
  <c r="H9" i="1"/>
  <c r="I82" i="1"/>
  <c r="I80" i="1" s="1"/>
  <c r="I4" i="1"/>
  <c r="H4" i="1"/>
  <c r="X115" i="1"/>
  <c r="X155" i="1" s="1"/>
  <c r="S115" i="1"/>
  <c r="U80" i="1"/>
  <c r="CB89" i="1"/>
  <c r="JN9" i="132" l="1"/>
  <c r="HX9" i="132" s="1"/>
  <c r="IS16" i="132" s="1"/>
  <c r="BV119" i="1"/>
  <c r="BV160" i="1"/>
  <c r="BV120" i="1"/>
  <c r="AM81" i="1"/>
  <c r="AN82" i="1" s="1"/>
  <c r="AM77" i="1"/>
  <c r="AM76" i="1"/>
  <c r="AR81" i="1"/>
  <c r="AR77" i="1"/>
  <c r="AR76" i="1"/>
  <c r="AP81" i="1"/>
  <c r="AP76" i="1"/>
  <c r="AP77" i="1"/>
  <c r="AS81" i="1"/>
  <c r="AS77" i="1"/>
  <c r="AS76" i="1"/>
  <c r="AI81" i="1"/>
  <c r="AI76" i="1"/>
  <c r="AI77" i="1"/>
  <c r="AT81" i="1"/>
  <c r="AT76" i="1"/>
  <c r="AT77" i="1"/>
  <c r="AL81" i="1"/>
  <c r="AL76" i="1"/>
  <c r="AL77" i="1"/>
  <c r="AQ81" i="1"/>
  <c r="AQ76" i="1"/>
  <c r="AQ77" i="1"/>
  <c r="AO81" i="1"/>
  <c r="AO82" i="1" s="1"/>
  <c r="AO80" i="1" s="1"/>
  <c r="AO77" i="1"/>
  <c r="AO76" i="1"/>
  <c r="AJ81" i="1"/>
  <c r="AJ77" i="1"/>
  <c r="AJ76" i="1"/>
  <c r="AK81" i="1"/>
  <c r="AK76" i="1"/>
  <c r="AK77" i="1"/>
  <c r="AU77" i="1"/>
  <c r="AU76" i="1"/>
  <c r="E83" i="1"/>
  <c r="E60" i="1"/>
  <c r="AW120" i="1"/>
  <c r="AL146" i="1"/>
  <c r="AL154" i="1" s="1"/>
  <c r="AP146" i="1"/>
  <c r="AP154" i="1" s="1"/>
  <c r="AS146" i="1"/>
  <c r="AS154" i="1" s="1"/>
  <c r="AH146" i="1"/>
  <c r="AH154" i="1" s="1"/>
  <c r="AR146" i="1"/>
  <c r="AR154" i="1" s="1"/>
  <c r="AQ146" i="1"/>
  <c r="AQ154" i="1" s="1"/>
  <c r="BR120" i="1"/>
  <c r="BH160" i="1"/>
  <c r="AO146" i="1"/>
  <c r="AO154" i="1" s="1"/>
  <c r="AU146" i="1"/>
  <c r="AU154" i="1" s="1"/>
  <c r="AN146" i="1"/>
  <c r="AN154" i="1" s="1"/>
  <c r="AM146" i="1"/>
  <c r="AM154" i="1" s="1"/>
  <c r="BQ150" i="1"/>
  <c r="AK146" i="1"/>
  <c r="AK154" i="1" s="1"/>
  <c r="BT120" i="1"/>
  <c r="BJ162" i="1"/>
  <c r="AT146" i="1"/>
  <c r="AT154" i="1" s="1"/>
  <c r="AI146" i="1"/>
  <c r="AI154" i="1" s="1"/>
  <c r="BL160" i="1"/>
  <c r="BS150" i="1"/>
  <c r="AJ146" i="1"/>
  <c r="AJ154" i="1" s="1"/>
  <c r="BD150" i="1"/>
  <c r="BK162" i="1"/>
  <c r="BU150" i="1"/>
  <c r="BM150" i="1"/>
  <c r="D50" i="1"/>
  <c r="D52" i="1" s="1"/>
  <c r="D56" i="1" s="1"/>
  <c r="E57" i="1" s="1"/>
  <c r="E48" i="1"/>
  <c r="J50" i="1"/>
  <c r="J52" i="1" s="1"/>
  <c r="J56" i="1" s="1"/>
  <c r="K48" i="1"/>
  <c r="O50" i="1"/>
  <c r="O52" i="1" s="1"/>
  <c r="O56" i="1" s="1"/>
  <c r="P57" i="1" s="1"/>
  <c r="P48" i="1"/>
  <c r="S50" i="1"/>
  <c r="S52" i="1" s="1"/>
  <c r="S56" i="1" s="1"/>
  <c r="G48" i="1"/>
  <c r="C50" i="1"/>
  <c r="C52" i="1" s="1"/>
  <c r="C56" i="1" s="1"/>
  <c r="C60" i="1" s="1"/>
  <c r="D48" i="1"/>
  <c r="Q50" i="1"/>
  <c r="Q52" i="1" s="1"/>
  <c r="Q56" i="1" s="1"/>
  <c r="Q57" i="1" s="1"/>
  <c r="R48" i="1"/>
  <c r="B50" i="1"/>
  <c r="B52" i="1" s="1"/>
  <c r="B56" i="1" s="1"/>
  <c r="B60" i="1" s="1"/>
  <c r="C48" i="1"/>
  <c r="I50" i="1"/>
  <c r="I52" i="1" s="1"/>
  <c r="I56" i="1" s="1"/>
  <c r="J48" i="1"/>
  <c r="S48" i="1"/>
  <c r="G50" i="1"/>
  <c r="G52" i="1" s="1"/>
  <c r="G56" i="1" s="1"/>
  <c r="BM162" i="1"/>
  <c r="AZ150" i="1"/>
  <c r="BL150" i="1"/>
  <c r="AY150" i="1"/>
  <c r="BR150" i="1"/>
  <c r="BK150" i="1"/>
  <c r="BE150" i="1"/>
  <c r="AX162" i="1"/>
  <c r="BG129" i="1"/>
  <c r="BN120" i="1"/>
  <c r="BU129" i="1"/>
  <c r="BO150" i="1"/>
  <c r="AV137" i="1"/>
  <c r="AY160" i="1"/>
  <c r="BE104" i="1"/>
  <c r="BP150" i="1"/>
  <c r="BI104" i="1"/>
  <c r="BB160" i="1"/>
  <c r="BN129" i="1"/>
  <c r="AU162" i="1"/>
  <c r="BG162" i="1"/>
  <c r="AZ104" i="1"/>
  <c r="BA129" i="1"/>
  <c r="BB150" i="1"/>
  <c r="BR160" i="1"/>
  <c r="BA120" i="1"/>
  <c r="BM129" i="1"/>
  <c r="AY129" i="1"/>
  <c r="BF137" i="1"/>
  <c r="BT150" i="1"/>
  <c r="AX150" i="1"/>
  <c r="BO162" i="1"/>
  <c r="BQ137" i="1"/>
  <c r="BB129" i="1"/>
  <c r="BU162" i="1"/>
  <c r="BN145" i="1"/>
  <c r="BM145" i="1"/>
  <c r="BE137" i="1"/>
  <c r="BT145" i="1"/>
  <c r="AV150" i="1"/>
  <c r="BO160" i="1"/>
  <c r="BI129" i="1"/>
  <c r="AZ129" i="1"/>
  <c r="BJ137" i="1"/>
  <c r="AZ160" i="1"/>
  <c r="BL129" i="1"/>
  <c r="AV162" i="1"/>
  <c r="BF150" i="1"/>
  <c r="BJ160" i="1"/>
  <c r="BP162" i="1"/>
  <c r="BO129" i="1"/>
  <c r="BQ162" i="1"/>
  <c r="BF162" i="1"/>
  <c r="BS129" i="1"/>
  <c r="BA162" i="1"/>
  <c r="AX137" i="1"/>
  <c r="BL162" i="1"/>
  <c r="BC162" i="1"/>
  <c r="BF120" i="1"/>
  <c r="BJ129" i="1"/>
  <c r="BA150" i="1"/>
  <c r="BD162" i="1"/>
  <c r="BE129" i="1"/>
  <c r="BL137" i="1"/>
  <c r="BN150" i="1"/>
  <c r="BQ129" i="1"/>
  <c r="BG120" i="1"/>
  <c r="BE120" i="1"/>
  <c r="AZ137" i="1"/>
  <c r="AZ145" i="1"/>
  <c r="BS137" i="1"/>
  <c r="BI120" i="1"/>
  <c r="BD129" i="1"/>
  <c r="BA145" i="1"/>
  <c r="AX145" i="1"/>
  <c r="AZ162" i="1"/>
  <c r="BM137" i="1"/>
  <c r="BK137" i="1"/>
  <c r="AV145" i="1"/>
  <c r="BG137" i="1"/>
  <c r="BK129" i="1"/>
  <c r="BP129" i="1"/>
  <c r="BE162" i="1"/>
  <c r="BB120" i="1"/>
  <c r="AW150" i="1"/>
  <c r="BD137" i="1"/>
  <c r="BK145" i="1"/>
  <c r="AW162" i="1"/>
  <c r="BF145" i="1"/>
  <c r="AW137" i="1"/>
  <c r="BR129" i="1"/>
  <c r="BH145" i="1"/>
  <c r="BT129" i="1"/>
  <c r="BC150" i="1"/>
  <c r="BN137" i="1"/>
  <c r="BQ120" i="1"/>
  <c r="BN160" i="1"/>
  <c r="BT162" i="1"/>
  <c r="BH150" i="1"/>
  <c r="BR137" i="1"/>
  <c r="AY145" i="1"/>
  <c r="BI145" i="1"/>
  <c r="AX129" i="1"/>
  <c r="AY120" i="1"/>
  <c r="AY137" i="1"/>
  <c r="BB162" i="1"/>
  <c r="BF104" i="1"/>
  <c r="BO120" i="1"/>
  <c r="BD160" i="1"/>
  <c r="BF160" i="1"/>
  <c r="BG150" i="1"/>
  <c r="BA137" i="1"/>
  <c r="BP137" i="1"/>
  <c r="AZ120" i="1"/>
  <c r="AX160" i="1"/>
  <c r="AT162" i="1"/>
  <c r="BO137" i="1"/>
  <c r="BE145" i="1"/>
  <c r="BI162" i="1"/>
  <c r="BQ145" i="1"/>
  <c r="BI137" i="1"/>
  <c r="BO145" i="1"/>
  <c r="BP160" i="1"/>
  <c r="BL145" i="1"/>
  <c r="BJ145" i="1"/>
  <c r="BK120" i="1"/>
  <c r="BF129" i="1"/>
  <c r="BR145" i="1"/>
  <c r="AW145" i="1"/>
  <c r="BQ160" i="1"/>
  <c r="BC145" i="1"/>
  <c r="BC137" i="1"/>
  <c r="BD145" i="1"/>
  <c r="BB137" i="1"/>
  <c r="BP145" i="1"/>
  <c r="BB145" i="1"/>
  <c r="AV129" i="1"/>
  <c r="BJ150" i="1"/>
  <c r="BU145" i="1"/>
  <c r="BC120" i="1"/>
  <c r="BU137" i="1"/>
  <c r="BD120" i="1"/>
  <c r="BE160" i="1"/>
  <c r="BJ120" i="1"/>
  <c r="BM160" i="1"/>
  <c r="BT160" i="1"/>
  <c r="BP120" i="1"/>
  <c r="BG160" i="1"/>
  <c r="BK160" i="1"/>
  <c r="BN162" i="1"/>
  <c r="BA160" i="1"/>
  <c r="BG145" i="1"/>
  <c r="BS120" i="1"/>
  <c r="AU81" i="1"/>
  <c r="BT137" i="1"/>
  <c r="AW129" i="1"/>
  <c r="BI150" i="1"/>
  <c r="BH129" i="1"/>
  <c r="BS145" i="1"/>
  <c r="BH137" i="1"/>
  <c r="BM120" i="1"/>
  <c r="BH162" i="1"/>
  <c r="BL120" i="1"/>
  <c r="BC129" i="1"/>
  <c r="BR162" i="1"/>
  <c r="BI160" i="1"/>
  <c r="BS162" i="1"/>
  <c r="BC160" i="1"/>
  <c r="AV120" i="1"/>
  <c r="BS160" i="1"/>
  <c r="BU160" i="1"/>
  <c r="BU120" i="1"/>
  <c r="AY162" i="1"/>
  <c r="AX120" i="1"/>
  <c r="BH120" i="1"/>
  <c r="M5" i="1"/>
  <c r="N22" i="1" s="1"/>
  <c r="F50" i="1"/>
  <c r="F52" i="1" s="1"/>
  <c r="K50" i="1"/>
  <c r="K52" i="1" s="1"/>
  <c r="R50" i="1"/>
  <c r="R52" i="1" s="1"/>
  <c r="L155" i="1"/>
  <c r="F5" i="1"/>
  <c r="G20" i="1" s="1"/>
  <c r="E5" i="1"/>
  <c r="F15" i="1" s="1"/>
  <c r="P5" i="1"/>
  <c r="Q13" i="1" s="1"/>
  <c r="O155" i="1"/>
  <c r="O5" i="1"/>
  <c r="P13" i="1" s="1"/>
  <c r="D155" i="1"/>
  <c r="L5" i="1"/>
  <c r="M15" i="1" s="1"/>
  <c r="G5" i="1"/>
  <c r="H13" i="1" s="1"/>
  <c r="E155" i="1"/>
  <c r="V155" i="1"/>
  <c r="D5" i="1"/>
  <c r="E12" i="1" s="1"/>
  <c r="N155" i="1"/>
  <c r="Q5" i="1"/>
  <c r="R15" i="1" s="1"/>
  <c r="F155" i="1"/>
  <c r="U5" i="1"/>
  <c r="T155" i="1"/>
  <c r="U47" i="1"/>
  <c r="L47" i="1"/>
  <c r="L48" i="1" s="1"/>
  <c r="P83" i="1"/>
  <c r="P60" i="1"/>
  <c r="H5" i="1"/>
  <c r="H155" i="1"/>
  <c r="I5" i="1"/>
  <c r="N5" i="1"/>
  <c r="M47" i="1"/>
  <c r="P155" i="1"/>
  <c r="S155" i="1"/>
  <c r="T5" i="1"/>
  <c r="N47" i="1"/>
  <c r="O48" i="1" s="1"/>
  <c r="K5" i="1"/>
  <c r="J155" i="1"/>
  <c r="S5" i="1"/>
  <c r="J5" i="1"/>
  <c r="I155" i="1"/>
  <c r="H47" i="1"/>
  <c r="H48" i="1" s="1"/>
  <c r="R155" i="1"/>
  <c r="T47" i="1"/>
  <c r="T48" i="1" s="1"/>
  <c r="R5" i="1"/>
  <c r="CC89" i="1"/>
  <c r="IJ16" i="132" l="1"/>
  <c r="AJ82" i="1"/>
  <c r="AI82" i="1"/>
  <c r="AR82" i="1"/>
  <c r="BV77" i="1"/>
  <c r="BV76" i="1"/>
  <c r="AM82" i="1"/>
  <c r="AM80" i="1" s="1"/>
  <c r="AS82" i="1"/>
  <c r="AT82" i="1"/>
  <c r="AQ82" i="1"/>
  <c r="AL82" i="1"/>
  <c r="AP82" i="1"/>
  <c r="AK82" i="1"/>
  <c r="AW81" i="1"/>
  <c r="AW76" i="1"/>
  <c r="AW77" i="1"/>
  <c r="BR81" i="1"/>
  <c r="BR76" i="1"/>
  <c r="BR77" i="1"/>
  <c r="BT81" i="1"/>
  <c r="BT77" i="1"/>
  <c r="BT76" i="1"/>
  <c r="BN81" i="1"/>
  <c r="BN76" i="1"/>
  <c r="BN77" i="1"/>
  <c r="BA81" i="1"/>
  <c r="BA76" i="1"/>
  <c r="BA77" i="1"/>
  <c r="BF81" i="1"/>
  <c r="BF76" i="1"/>
  <c r="BF77" i="1"/>
  <c r="BG81" i="1"/>
  <c r="BG76" i="1"/>
  <c r="BG77" i="1"/>
  <c r="BE81" i="1"/>
  <c r="BE77" i="1"/>
  <c r="BE76" i="1"/>
  <c r="BI81" i="1"/>
  <c r="BI76" i="1"/>
  <c r="BI77" i="1"/>
  <c r="BB81" i="1"/>
  <c r="BB76" i="1"/>
  <c r="BB77" i="1"/>
  <c r="BQ81" i="1"/>
  <c r="BQ76" i="1"/>
  <c r="BQ77" i="1"/>
  <c r="AY81" i="1"/>
  <c r="AY77" i="1"/>
  <c r="AY76" i="1"/>
  <c r="BO81" i="1"/>
  <c r="BO77" i="1"/>
  <c r="BO76" i="1"/>
  <c r="AZ81" i="1"/>
  <c r="AZ76" i="1"/>
  <c r="AZ77" i="1"/>
  <c r="BK81" i="1"/>
  <c r="BK77" i="1"/>
  <c r="BK76" i="1"/>
  <c r="BC81" i="1"/>
  <c r="BC76" i="1"/>
  <c r="BC77" i="1"/>
  <c r="BD81" i="1"/>
  <c r="BD76" i="1"/>
  <c r="BD77" i="1"/>
  <c r="BJ81" i="1"/>
  <c r="BJ77" i="1"/>
  <c r="BJ76" i="1"/>
  <c r="BP81" i="1"/>
  <c r="BP76" i="1"/>
  <c r="BP77" i="1"/>
  <c r="BS81" i="1"/>
  <c r="BS76" i="1"/>
  <c r="BS77" i="1"/>
  <c r="BM81" i="1"/>
  <c r="BM76" i="1"/>
  <c r="BM77" i="1"/>
  <c r="BL81" i="1"/>
  <c r="BL77" i="1"/>
  <c r="BL76" i="1"/>
  <c r="AV81" i="1"/>
  <c r="AV76" i="1"/>
  <c r="AV77" i="1"/>
  <c r="BU81" i="1"/>
  <c r="BU76" i="1"/>
  <c r="BU77" i="1"/>
  <c r="AX81" i="1"/>
  <c r="AX77" i="1"/>
  <c r="AX76" i="1"/>
  <c r="BH77" i="1"/>
  <c r="BH76" i="1"/>
  <c r="BL146" i="1"/>
  <c r="BL154" i="1" s="1"/>
  <c r="I83" i="1"/>
  <c r="I60" i="1"/>
  <c r="D57" i="1"/>
  <c r="J57" i="1"/>
  <c r="J83" i="1"/>
  <c r="L50" i="1"/>
  <c r="L52" i="1" s="1"/>
  <c r="L56" i="1" s="1"/>
  <c r="M48" i="1"/>
  <c r="C57" i="1"/>
  <c r="U50" i="1"/>
  <c r="U52" i="1" s="1"/>
  <c r="U56" i="1" s="1"/>
  <c r="H50" i="1"/>
  <c r="H52" i="1" s="1"/>
  <c r="H56" i="1" s="1"/>
  <c r="I57" i="1" s="1"/>
  <c r="I48" i="1"/>
  <c r="J60" i="1"/>
  <c r="T50" i="1"/>
  <c r="T52" i="1" s="1"/>
  <c r="T56" i="1" s="1"/>
  <c r="T57" i="1" s="1"/>
  <c r="U48" i="1"/>
  <c r="M50" i="1"/>
  <c r="M52" i="1" s="1"/>
  <c r="M56" i="1" s="1"/>
  <c r="M83" i="1" s="1"/>
  <c r="N48" i="1"/>
  <c r="BS146" i="1"/>
  <c r="BS154" i="1" s="1"/>
  <c r="BM146" i="1"/>
  <c r="BM154" i="1" s="1"/>
  <c r="AV146" i="1"/>
  <c r="AV154" i="1" s="1"/>
  <c r="BE146" i="1"/>
  <c r="BE154" i="1" s="1"/>
  <c r="BC146" i="1"/>
  <c r="BC154" i="1" s="1"/>
  <c r="AY146" i="1"/>
  <c r="AY154" i="1" s="1"/>
  <c r="BT146" i="1"/>
  <c r="BT154" i="1" s="1"/>
  <c r="AX146" i="1"/>
  <c r="AX154" i="1" s="1"/>
  <c r="BQ146" i="1"/>
  <c r="BQ154" i="1" s="1"/>
  <c r="BK146" i="1"/>
  <c r="BK154" i="1" s="1"/>
  <c r="BJ146" i="1"/>
  <c r="BJ154" i="1" s="1"/>
  <c r="BA146" i="1"/>
  <c r="BA154" i="1" s="1"/>
  <c r="BF146" i="1"/>
  <c r="BF154" i="1" s="1"/>
  <c r="BP146" i="1"/>
  <c r="BP154" i="1" s="1"/>
  <c r="BR146" i="1"/>
  <c r="BR154" i="1" s="1"/>
  <c r="AZ146" i="1"/>
  <c r="AZ154" i="1" s="1"/>
  <c r="BD146" i="1"/>
  <c r="BD154" i="1" s="1"/>
  <c r="BO146" i="1"/>
  <c r="BO154" i="1" s="1"/>
  <c r="BN146" i="1"/>
  <c r="BN154" i="1" s="1"/>
  <c r="BI146" i="1"/>
  <c r="BI154" i="1" s="1"/>
  <c r="BB146" i="1"/>
  <c r="BB154" i="1" s="1"/>
  <c r="AW146" i="1"/>
  <c r="AW154" i="1" s="1"/>
  <c r="BU146" i="1"/>
  <c r="BU154" i="1" s="1"/>
  <c r="BG146" i="1"/>
  <c r="BG154" i="1" s="1"/>
  <c r="K56" i="1"/>
  <c r="F56" i="1"/>
  <c r="R56" i="1"/>
  <c r="BH146" i="1"/>
  <c r="BH154" i="1" s="1"/>
  <c r="BH81" i="1"/>
  <c r="N18" i="1"/>
  <c r="N12" i="1"/>
  <c r="N13" i="1"/>
  <c r="N15" i="1"/>
  <c r="N20" i="1"/>
  <c r="N50" i="1"/>
  <c r="N52" i="1" s="1"/>
  <c r="N56" i="1" s="1"/>
  <c r="O57" i="1" s="1"/>
  <c r="Q20" i="1"/>
  <c r="Q22" i="1"/>
  <c r="AU82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60" i="1"/>
  <c r="S83" i="1"/>
  <c r="Q83" i="1"/>
  <c r="Q60" i="1"/>
  <c r="V12" i="1"/>
  <c r="U7" i="1"/>
  <c r="O60" i="1"/>
  <c r="O83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83" i="1"/>
  <c r="G60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60" i="1"/>
  <c r="D83" i="1"/>
  <c r="CD89" i="1"/>
  <c r="AB89" i="1"/>
  <c r="HS9" i="132" l="1"/>
  <c r="JI16" i="132" s="1"/>
  <c r="BF82" i="1"/>
  <c r="BF80" i="1" s="1"/>
  <c r="BN82" i="1"/>
  <c r="BN80" i="1" s="1"/>
  <c r="BK82" i="1"/>
  <c r="BK80" i="1" s="1"/>
  <c r="BQ82" i="1"/>
  <c r="BE82" i="1"/>
  <c r="BE80" i="1" s="1"/>
  <c r="BA82" i="1"/>
  <c r="BA80" i="1" s="1"/>
  <c r="BR82" i="1"/>
  <c r="BR80" i="1" s="1"/>
  <c r="BL82" i="1"/>
  <c r="BM82" i="1"/>
  <c r="BM80" i="1" s="1"/>
  <c r="AY82" i="1"/>
  <c r="BS82" i="1"/>
  <c r="AX82" i="1"/>
  <c r="AX80" i="1" s="1"/>
  <c r="BJ82" i="1"/>
  <c r="BT82" i="1"/>
  <c r="BC82" i="1"/>
  <c r="BP82" i="1"/>
  <c r="BU82" i="1"/>
  <c r="BU80" i="1" s="1"/>
  <c r="BG82" i="1"/>
  <c r="AZ82" i="1"/>
  <c r="BO82" i="1"/>
  <c r="BD82" i="1"/>
  <c r="BB82" i="1"/>
  <c r="BH82" i="1"/>
  <c r="AW82" i="1"/>
  <c r="AV82" i="1"/>
  <c r="N57" i="1"/>
  <c r="S57" i="1"/>
  <c r="M57" i="1"/>
  <c r="M60" i="1"/>
  <c r="G57" i="1"/>
  <c r="F57" i="1"/>
  <c r="K60" i="1"/>
  <c r="L57" i="1"/>
  <c r="U57" i="1"/>
  <c r="H57" i="1"/>
  <c r="R57" i="1"/>
  <c r="K57" i="1"/>
  <c r="F83" i="1"/>
  <c r="R83" i="1"/>
  <c r="F60" i="1"/>
  <c r="K83" i="1"/>
  <c r="R60" i="1"/>
  <c r="BI82" i="1"/>
  <c r="N14" i="1"/>
  <c r="N17" i="1" s="1"/>
  <c r="N19" i="1" s="1"/>
  <c r="N21" i="1" s="1"/>
  <c r="N23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83" i="1"/>
  <c r="N60" i="1"/>
  <c r="T83" i="1"/>
  <c r="T60" i="1"/>
  <c r="L83" i="1"/>
  <c r="L60" i="1"/>
  <c r="H60" i="1"/>
  <c r="H83" i="1"/>
  <c r="U83" i="1"/>
  <c r="U60" i="1"/>
  <c r="CE89" i="1"/>
  <c r="HY9" i="132" l="1"/>
  <c r="JM9" i="132" s="1"/>
  <c r="ID9" i="132" s="1"/>
  <c r="CF89" i="1"/>
  <c r="II16" i="132" l="1"/>
  <c r="ID21" i="132"/>
  <c r="AK89" i="1" s="1"/>
  <c r="IU9" i="132"/>
  <c r="JJ9" i="132" s="1"/>
  <c r="CG89" i="1"/>
  <c r="AC89" i="1" s="1"/>
  <c r="IG16" i="132" l="1"/>
  <c r="JJ21" i="132"/>
  <c r="BQ89" i="1" s="1"/>
  <c r="IC9" i="132"/>
  <c r="CH89" i="1"/>
  <c r="HT7" i="132" l="1"/>
  <c r="IC21" i="132"/>
  <c r="AJ89" i="1" s="1"/>
  <c r="JE9" i="132"/>
  <c r="HR16" i="132" s="1"/>
  <c r="CI89" i="1"/>
  <c r="HT19" i="132" l="1"/>
  <c r="JL16" i="132"/>
  <c r="JL21" i="132" s="1"/>
  <c r="BS89" i="1" s="1"/>
  <c r="JA15" i="132" s="1"/>
  <c r="JA20" i="132" s="1"/>
  <c r="BH91" i="1" s="1"/>
  <c r="JB16" i="132"/>
  <c r="CJ89" i="1"/>
  <c r="JB21" i="132" l="1"/>
  <c r="BI89" i="1" s="1"/>
  <c r="IJ9" i="132"/>
  <c r="CK89" i="1"/>
  <c r="AD89" i="1" s="1"/>
  <c r="V20" i="1"/>
  <c r="V15" i="1"/>
  <c r="IZ9" i="132" l="1"/>
  <c r="JG16" i="132" s="1"/>
  <c r="IJ21" i="132"/>
  <c r="AQ89" i="1" s="1"/>
  <c r="JE16" i="132"/>
  <c r="CL89" i="1"/>
  <c r="V18" i="1"/>
  <c r="JE21" i="132" l="1"/>
  <c r="BL89" i="1" s="1"/>
  <c r="IA7" i="132"/>
  <c r="CM89" i="1"/>
  <c r="V13" i="1"/>
  <c r="V14" i="1" s="1"/>
  <c r="V17" i="1" s="1"/>
  <c r="IK16" i="132" l="1"/>
  <c r="IA19" i="132"/>
  <c r="AH90" i="1" s="1"/>
  <c r="IK9" i="132"/>
  <c r="IY16" i="132" s="1"/>
  <c r="CN89" i="1"/>
  <c r="V47" i="1"/>
  <c r="V80" i="1"/>
  <c r="V19" i="1"/>
  <c r="V21" i="1" s="1"/>
  <c r="IK21" i="132" l="1"/>
  <c r="AR89" i="1" s="1"/>
  <c r="JH16" i="132"/>
  <c r="V50" i="1"/>
  <c r="V52" i="1" s="1"/>
  <c r="V56" i="1" s="1"/>
  <c r="V48" i="1"/>
  <c r="CO89" i="1"/>
  <c r="AE89" i="1" s="1"/>
  <c r="JH21" i="132" l="1"/>
  <c r="BO89" i="1" s="1"/>
  <c r="ID15" i="132"/>
  <c r="V57" i="1"/>
  <c r="V22" i="1"/>
  <c r="V23" i="1" s="1"/>
  <c r="ID20" i="132" l="1"/>
  <c r="AK91" i="1" s="1"/>
  <c r="JO9" i="132"/>
  <c r="HU16" i="132" s="1"/>
  <c r="V83" i="1"/>
  <c r="JN16" i="132" l="1"/>
  <c r="V60" i="1"/>
  <c r="JN21" i="132" l="1"/>
  <c r="BU89" i="1" s="1"/>
  <c r="JF16" i="132"/>
  <c r="V4" i="1"/>
  <c r="V9" i="1"/>
  <c r="JO16" i="132" l="1"/>
  <c r="V5" i="1"/>
  <c r="V7" i="1" s="1"/>
  <c r="JO21" i="132" l="1"/>
  <c r="BV89" i="1" s="1"/>
  <c r="IT9" i="132"/>
  <c r="JM16" i="132" s="1"/>
  <c r="JM21" i="132" l="1"/>
  <c r="BT89" i="1" s="1"/>
  <c r="AS35" i="1"/>
  <c r="BJ41" i="1" l="1"/>
  <c r="BN41" i="1" l="1"/>
  <c r="AR45" i="1" l="1"/>
  <c r="HP9" i="132" s="1"/>
  <c r="JP16" i="132" s="1"/>
  <c r="BV41" i="1" l="1"/>
  <c r="W12" i="1"/>
  <c r="JD9" i="132" l="1"/>
  <c r="HU9" i="132" s="1"/>
  <c r="W80" i="1"/>
  <c r="W13" i="1"/>
  <c r="W14" i="1" s="1"/>
  <c r="W15" i="1"/>
  <c r="AO44" i="1" l="1"/>
  <c r="II9" i="132" s="1"/>
  <c r="HU21" i="132"/>
  <c r="IP9" i="132"/>
  <c r="W17" i="1"/>
  <c r="W18" i="1"/>
  <c r="II21" i="132" l="1"/>
  <c r="AP89" i="1" s="1"/>
  <c r="JN15" i="132"/>
  <c r="JN20" i="132" s="1"/>
  <c r="BU91" i="1" s="1"/>
  <c r="AW44" i="1"/>
  <c r="IX16" i="132" s="1"/>
  <c r="IP21" i="132"/>
  <c r="AW89" i="1" s="1"/>
  <c r="JI9" i="132"/>
  <c r="W19" i="1"/>
  <c r="W47" i="1"/>
  <c r="W22" i="1"/>
  <c r="IM8" i="132" l="1"/>
  <c r="JI21" i="132"/>
  <c r="BP89" i="1" s="1"/>
  <c r="AS42" i="1"/>
  <c r="W50" i="1"/>
  <c r="W52" i="1" s="1"/>
  <c r="W56" i="1" s="1"/>
  <c r="W48" i="1"/>
  <c r="W20" i="1"/>
  <c r="W21" i="1" s="1"/>
  <c r="W23" i="1" s="1"/>
  <c r="IM20" i="132" l="1"/>
  <c r="AT91" i="1" s="1"/>
  <c r="IR8" i="132"/>
  <c r="JB8" i="132"/>
  <c r="HQ9" i="132"/>
  <c r="W57" i="1"/>
  <c r="W83" i="1"/>
  <c r="IR20" i="132" l="1"/>
  <c r="AY91" i="1" s="1"/>
  <c r="HZ9" i="132"/>
  <c r="IF9" i="132" s="1"/>
  <c r="JB20" i="132"/>
  <c r="BI91" i="1" s="1"/>
  <c r="IU16" i="132"/>
  <c r="IU21" i="132" s="1"/>
  <c r="BB89" i="1" s="1"/>
  <c r="W60" i="1"/>
  <c r="IF21" i="132" l="1"/>
  <c r="AM89" i="1" s="1"/>
  <c r="JK9" i="132"/>
  <c r="BQ35" i="1" s="1"/>
  <c r="BQ37" i="1" s="1"/>
  <c r="BQ80" i="1" s="1"/>
  <c r="W9" i="1"/>
  <c r="W4" i="1"/>
  <c r="W5" i="1" l="1"/>
  <c r="W7" i="1" s="1"/>
  <c r="X13" i="1" l="1"/>
  <c r="X12" i="1"/>
  <c r="X15" i="1"/>
  <c r="X14" i="1" l="1"/>
  <c r="X17" i="1" s="1"/>
  <c r="X47" i="1" l="1"/>
  <c r="X80" i="1"/>
  <c r="Y47" i="1"/>
  <c r="Y80" i="1"/>
  <c r="X18" i="1"/>
  <c r="X19" i="1" s="1"/>
  <c r="Y50" i="1" l="1"/>
  <c r="Y52" i="1" s="1"/>
  <c r="Y56" i="1" s="1"/>
  <c r="X50" i="1"/>
  <c r="X52" i="1" s="1"/>
  <c r="X56" i="1" s="1"/>
  <c r="Y48" i="1"/>
  <c r="X48" i="1"/>
  <c r="Y57" i="1" l="1"/>
  <c r="X57" i="1"/>
  <c r="X22" i="1"/>
  <c r="X20" i="1"/>
  <c r="X21" i="1" s="1"/>
  <c r="X23" i="1" l="1"/>
  <c r="X83" i="1"/>
  <c r="Y60" i="1" l="1"/>
  <c r="Y83" i="1"/>
  <c r="X60" i="1"/>
  <c r="X9" i="1" l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Z80" i="1" l="1"/>
  <c r="Z47" i="1" l="1"/>
  <c r="AA48" i="1" s="1"/>
  <c r="Z50" i="1" l="1"/>
  <c r="Z52" i="1" s="1"/>
  <c r="Z56" i="1" s="1"/>
  <c r="AA57" i="1" s="1"/>
  <c r="Z48" i="1"/>
  <c r="Z57" i="1" l="1"/>
  <c r="Z83" i="1"/>
  <c r="Z60" i="1" l="1"/>
  <c r="Z9" i="1"/>
  <c r="AB42" i="1" l="1"/>
  <c r="AC42" i="1" l="1"/>
  <c r="AD42" i="1" l="1"/>
  <c r="AE42" i="1" l="1"/>
  <c r="BX120" i="1" l="1"/>
  <c r="BX114" i="1"/>
  <c r="BX76" i="1" l="1"/>
  <c r="BX77" i="1"/>
  <c r="AA9" i="1" l="1"/>
  <c r="BY103" i="1" l="1"/>
  <c r="BZ103" i="1"/>
  <c r="CA103" i="1"/>
  <c r="CB103" i="1"/>
  <c r="CC103" i="1"/>
  <c r="CC62" i="1"/>
  <c r="AB62" i="1"/>
  <c r="AA62" i="1" s="1"/>
  <c r="BY63" i="1"/>
  <c r="BZ63" i="1"/>
  <c r="CA63" i="1"/>
  <c r="CB63" i="1"/>
  <c r="CC63" i="1"/>
  <c r="AB63" i="1"/>
  <c r="AA63" i="1" s="1"/>
  <c r="Z63" i="1" s="1"/>
  <c r="Y63" i="1" s="1"/>
  <c r="X63" i="1" s="1"/>
  <c r="IG9" i="132"/>
  <c r="IG21" i="132" s="1"/>
  <c r="AN89" i="1" s="1"/>
  <c r="AH41" i="1"/>
  <c r="AO42" i="1"/>
  <c r="IY7" i="132"/>
  <c r="IY19" i="132" s="1"/>
  <c r="BF90" i="1" s="1"/>
  <c r="HR9" i="132"/>
  <c r="HR21" i="132" s="1"/>
  <c r="AH35" i="1"/>
  <c r="IX9" i="132"/>
  <c r="IX21" i="132" s="1"/>
  <c r="BE89" i="1" s="1"/>
  <c r="AO41" i="1"/>
  <c r="BN44" i="1"/>
  <c r="HW7" i="132"/>
  <c r="HW19" i="132" s="1"/>
  <c r="JJ8" i="132"/>
  <c r="BY35" i="1"/>
  <c r="AT35" i="1"/>
  <c r="IL16" i="132"/>
  <c r="IO16" i="132"/>
  <c r="AT41" i="1"/>
  <c r="IQ9" i="132"/>
  <c r="IQ21" i="132" s="1"/>
  <c r="AX89" i="1" s="1"/>
  <c r="AU44" i="1"/>
  <c r="HS16" i="132"/>
  <c r="IA16" i="132"/>
  <c r="HV9" i="132"/>
  <c r="HV21" i="132" s="1"/>
  <c r="AK35" i="1"/>
  <c r="BB41" i="1"/>
  <c r="IA9" i="132"/>
  <c r="IZ16" i="132"/>
  <c r="AY41" i="1"/>
  <c r="AJ35" i="1"/>
  <c r="JG9" i="132"/>
  <c r="JG21" i="132" s="1"/>
  <c r="BN89" i="1" s="1"/>
  <c r="IP7" i="132"/>
  <c r="IP19" i="132" s="1"/>
  <c r="AW90" i="1" s="1"/>
  <c r="AP35" i="1"/>
  <c r="AU41" i="1"/>
  <c r="IE9" i="132"/>
  <c r="BX41" i="1"/>
  <c r="JC9" i="132"/>
  <c r="JC21" i="132" s="1"/>
  <c r="BJ89" i="1" s="1"/>
  <c r="BB42" i="1"/>
  <c r="AM44" i="1"/>
  <c r="AY45" i="1"/>
  <c r="AR51" i="1"/>
  <c r="AT44" i="1"/>
  <c r="HQ16" i="132"/>
  <c r="BC41" i="1"/>
  <c r="HZ16" i="132"/>
  <c r="HT16" i="132"/>
  <c r="HT21" i="132"/>
  <c r="AJ41" i="1"/>
  <c r="AN35" i="1"/>
  <c r="BJ42" i="1"/>
  <c r="BL44" i="1"/>
  <c r="BG45" i="1"/>
  <c r="AZ51" i="1"/>
  <c r="AZ45" i="1"/>
  <c r="BD38" i="1"/>
  <c r="AL41" i="1"/>
  <c r="JJ15" i="132"/>
  <c r="BB35" i="1"/>
  <c r="AY44" i="1"/>
  <c r="AI35" i="1"/>
  <c r="BE42" i="1"/>
  <c r="AN41" i="1"/>
  <c r="HU14" i="132"/>
  <c r="BO44" i="1"/>
  <c r="BH51" i="1"/>
  <c r="BH45" i="1"/>
  <c r="BH38" i="1"/>
  <c r="BG44" i="1"/>
  <c r="JD16" i="132"/>
  <c r="AR41" i="1"/>
  <c r="JK14" i="132"/>
  <c r="AV35" i="1"/>
  <c r="BR42" i="1"/>
  <c r="BT44" i="1"/>
  <c r="BS45" i="1"/>
  <c r="BP51" i="1"/>
  <c r="BR43" i="1"/>
  <c r="BJ35" i="1"/>
  <c r="AW36" i="1"/>
  <c r="BO41" i="1"/>
  <c r="IN16" i="132"/>
  <c r="IV16" i="132"/>
  <c r="IO9" i="132"/>
  <c r="HY16" i="132"/>
  <c r="AQ35" i="1"/>
  <c r="AV41" i="1"/>
  <c r="IS9" i="132"/>
  <c r="IS21" i="132" s="1"/>
  <c r="AZ89" i="1" s="1"/>
  <c r="AZ35" i="1"/>
  <c r="BE41" i="1"/>
  <c r="BX44" i="1"/>
  <c r="BG49" i="1"/>
  <c r="AK43" i="1"/>
  <c r="BU51" i="1"/>
  <c r="AK42" i="1"/>
  <c r="HW16" i="132"/>
  <c r="IA8" i="132"/>
  <c r="IA20" i="132" s="1"/>
  <c r="AH91" i="1" s="1"/>
  <c r="JK16" i="132"/>
  <c r="JP15" i="132"/>
  <c r="BS41" i="1"/>
  <c r="BF42" i="1"/>
  <c r="IL7" i="132"/>
  <c r="IL19" i="132" s="1"/>
  <c r="AS90" i="1" s="1"/>
  <c r="IQ7" i="132"/>
  <c r="IQ19" i="132" s="1"/>
  <c r="AX90" i="1" s="1"/>
  <c r="IB8" i="132"/>
  <c r="IB20" i="132" s="1"/>
  <c r="AI91" i="1" s="1"/>
  <c r="AU35" i="1"/>
  <c r="AK44" i="1"/>
  <c r="JF9" i="132"/>
  <c r="JF21" i="132" s="1"/>
  <c r="BM89" i="1" s="1"/>
  <c r="IQ8" i="132"/>
  <c r="IQ20" i="132" s="1"/>
  <c r="AX91" i="1" s="1"/>
  <c r="IW15" i="132"/>
  <c r="JP7" i="132"/>
  <c r="IG15" i="132"/>
  <c r="BD35" i="1"/>
  <c r="BI41" i="1"/>
  <c r="BE43" i="1"/>
  <c r="AY53" i="1"/>
  <c r="AK51" i="1"/>
  <c r="BO36" i="1"/>
  <c r="BW41" i="1"/>
  <c r="IV9" i="132"/>
  <c r="AY35" i="1"/>
  <c r="AL36" i="1"/>
  <c r="BD41" i="1"/>
  <c r="AS44" i="1"/>
  <c r="HQ8" i="132"/>
  <c r="HQ20" i="132" s="1"/>
  <c r="IT14" i="132"/>
  <c r="JP9" i="132"/>
  <c r="JP21" i="132" s="1"/>
  <c r="BW89" i="1" s="1"/>
  <c r="BH35" i="1"/>
  <c r="AH42" i="1"/>
  <c r="AQ42" i="1"/>
  <c r="BM41" i="1"/>
  <c r="BH42" i="1"/>
  <c r="AP38" i="1"/>
  <c r="BI43" i="1"/>
  <c r="BO53" i="1"/>
  <c r="AM38" i="1"/>
  <c r="BE51" i="1"/>
  <c r="IT16" i="132"/>
  <c r="IT21" i="132"/>
  <c r="BA89" i="1"/>
  <c r="HR8" i="132"/>
  <c r="HR20" i="132" s="1"/>
  <c r="JP14" i="132"/>
  <c r="BV35" i="1"/>
  <c r="BI36" i="1"/>
  <c r="AV42" i="1"/>
  <c r="BN42" i="1"/>
  <c r="IO15" i="132"/>
  <c r="JP8" i="132"/>
  <c r="BC35" i="1"/>
  <c r="BY42" i="1"/>
  <c r="BH41" i="1"/>
  <c r="BA44" i="1"/>
  <c r="IR16" i="132"/>
  <c r="JM7" i="132"/>
  <c r="JM19" i="132" s="1"/>
  <c r="BT90" i="1" s="1"/>
  <c r="BL35" i="1"/>
  <c r="AY36" i="1"/>
  <c r="BQ41" i="1"/>
  <c r="BL42" i="1"/>
  <c r="AJ44" i="1"/>
  <c r="AI45" i="1"/>
  <c r="AX38" i="1"/>
  <c r="BX55" i="1"/>
  <c r="AL49" i="1"/>
  <c r="BM43" i="1"/>
  <c r="BK38" i="1"/>
  <c r="BT55" i="1"/>
  <c r="AZ42" i="1"/>
  <c r="AI41" i="1"/>
  <c r="IM16" i="132"/>
  <c r="JI7" i="132"/>
  <c r="JI19" i="132" s="1"/>
  <c r="BP90" i="1" s="1"/>
  <c r="BG35" i="1"/>
  <c r="AT36" i="1"/>
  <c r="AT37" i="1"/>
  <c r="BL41" i="1"/>
  <c r="BK44" i="1"/>
  <c r="BP35" i="1"/>
  <c r="BU41" i="1"/>
  <c r="AN44" i="1"/>
  <c r="BB38" i="1"/>
  <c r="BU43" i="1"/>
  <c r="BM44" i="1"/>
  <c r="AM41" i="1"/>
  <c r="IY9" i="132"/>
  <c r="IY21" i="132" s="1"/>
  <c r="BF89" i="1" s="1"/>
  <c r="HX16" i="132"/>
  <c r="IH16" i="132"/>
  <c r="BT35" i="1"/>
  <c r="BY41" i="1"/>
  <c r="BN38" i="1"/>
  <c r="BU44" i="1"/>
  <c r="AQ41" i="1"/>
  <c r="BO35" i="1"/>
  <c r="BT41" i="1"/>
  <c r="BX35" i="1"/>
  <c r="BV38" i="1"/>
  <c r="AP44" i="1"/>
  <c r="BA43" i="1"/>
  <c r="BA46" i="1" s="1"/>
  <c r="BA47" i="1" s="1"/>
  <c r="AN53" i="1"/>
  <c r="BG38" i="1"/>
  <c r="AP43" i="1"/>
  <c r="AL44" i="1"/>
  <c r="BU45" i="1"/>
  <c r="AZ38" i="1"/>
  <c r="AW38" i="1"/>
  <c r="BH53" i="1"/>
  <c r="BG54" i="1"/>
  <c r="BR59" i="1"/>
  <c r="BQ53" i="1"/>
  <c r="BP54" i="1"/>
  <c r="AM59" i="1"/>
  <c r="BP55" i="1"/>
  <c r="BY138" i="1"/>
  <c r="BX51" i="1"/>
  <c r="AJ43" i="1"/>
  <c r="BT51" i="1"/>
  <c r="BL53" i="1"/>
  <c r="BK54" i="1"/>
  <c r="BV139" i="1"/>
  <c r="BY140" i="1"/>
  <c r="BT54" i="1"/>
  <c r="BW139" i="1"/>
  <c r="BI59" i="1"/>
  <c r="AQ43" i="1"/>
  <c r="AR36" i="1"/>
  <c r="AN43" i="1"/>
  <c r="BY51" i="1"/>
  <c r="BO54" i="1"/>
  <c r="BY53" i="1"/>
  <c r="BX54" i="1"/>
  <c r="BY111" i="1"/>
  <c r="BF53" i="1"/>
  <c r="AJ59" i="1"/>
  <c r="BM59" i="1"/>
  <c r="AN49" i="1"/>
  <c r="BS38" i="1"/>
  <c r="AO51" i="1"/>
  <c r="AQ53" i="1"/>
  <c r="AX44" i="1"/>
  <c r="AK45" i="1"/>
  <c r="BT45" i="1"/>
  <c r="AU43" i="1"/>
  <c r="AH45" i="1"/>
  <c r="BQ45" i="1"/>
  <c r="BI38" i="1"/>
  <c r="AV36" i="1"/>
  <c r="AR43" i="1"/>
  <c r="BX53" i="1"/>
  <c r="BS54" i="1"/>
  <c r="AY59" i="1"/>
  <c r="BJ53" i="1"/>
  <c r="BL59" i="1"/>
  <c r="BU105" i="1"/>
  <c r="BU106" i="1" s="1"/>
  <c r="BQ43" i="1"/>
  <c r="BD51" i="1"/>
  <c r="BI44" i="1"/>
  <c r="BW38" i="1"/>
  <c r="BF43" i="1"/>
  <c r="AS51" i="1"/>
  <c r="BC53" i="1"/>
  <c r="BB44" i="1"/>
  <c r="AO45" i="1"/>
  <c r="AK49" i="1"/>
  <c r="BP38" i="1"/>
  <c r="BC36" i="1"/>
  <c r="AL51" i="1"/>
  <c r="AJ53" i="1"/>
  <c r="AL45" i="1"/>
  <c r="BI49" i="1"/>
  <c r="AV43" i="1"/>
  <c r="AI51" i="1"/>
  <c r="BW54" i="1"/>
  <c r="BC59" i="1"/>
  <c r="BN53" i="1"/>
  <c r="BV138" i="1"/>
  <c r="BW49" i="1"/>
  <c r="BJ43" i="1"/>
  <c r="AW51" i="1"/>
  <c r="BF44" i="1"/>
  <c r="BT38" i="1"/>
  <c r="BG36" i="1"/>
  <c r="BC43" i="1"/>
  <c r="AR53" i="1"/>
  <c r="AP45" i="1"/>
  <c r="BQ38" i="1"/>
  <c r="AZ43" i="1"/>
  <c r="AH59" i="1"/>
  <c r="BW59" i="1"/>
  <c r="BK49" i="1"/>
  <c r="AT38" i="1"/>
  <c r="BY43" i="1"/>
  <c r="BL51" i="1"/>
  <c r="BQ44" i="1"/>
  <c r="BD45" i="1"/>
  <c r="AI38" i="1"/>
  <c r="BA51" i="1"/>
  <c r="BJ44" i="1"/>
  <c r="AJ45" i="1"/>
  <c r="AS49" i="1"/>
  <c r="BX38" i="1"/>
  <c r="BT49" i="1"/>
  <c r="BG43" i="1"/>
  <c r="AT51" i="1"/>
  <c r="BG53" i="1"/>
  <c r="AT45" i="1"/>
  <c r="AP49" i="1"/>
  <c r="BU38" i="1"/>
  <c r="BQ49" i="1"/>
  <c r="BD43" i="1"/>
  <c r="AQ51" i="1"/>
  <c r="AU53" i="1"/>
  <c r="AP59" i="1"/>
  <c r="AJ54" i="1"/>
  <c r="AQ55" i="1"/>
  <c r="AS54" i="1"/>
  <c r="BK43" i="1"/>
  <c r="AX51" i="1"/>
  <c r="BW53" i="1"/>
  <c r="AX45" i="1"/>
  <c r="BY38" i="1"/>
  <c r="BL36" i="1"/>
  <c r="BH43" i="1"/>
  <c r="AU51" i="1"/>
  <c r="BK53" i="1"/>
  <c r="AH55" i="1"/>
  <c r="AK53" i="1"/>
  <c r="AR54" i="1"/>
  <c r="AU55" i="1"/>
  <c r="BV140" i="1"/>
  <c r="AW54" i="1"/>
  <c r="BY44" i="1"/>
  <c r="BL45" i="1"/>
  <c r="BH49" i="1"/>
  <c r="AQ38" i="1"/>
  <c r="BM55" i="1"/>
  <c r="AZ55" i="1"/>
  <c r="BV43" i="1"/>
  <c r="BI51" i="1"/>
  <c r="BR44" i="1"/>
  <c r="BE45" i="1"/>
  <c r="AJ38" i="1"/>
  <c r="BS36" i="1"/>
  <c r="AS55" i="1"/>
  <c r="BO43" i="1"/>
  <c r="BB51" i="1"/>
  <c r="BB45" i="1"/>
  <c r="BK45" i="1"/>
  <c r="BY49" i="1"/>
  <c r="BL43" i="1"/>
  <c r="AY51" i="1"/>
  <c r="AM54" i="1"/>
  <c r="AL55" i="1"/>
  <c r="AX59" i="1"/>
  <c r="AO53" i="1"/>
  <c r="AV54" i="1"/>
  <c r="AY55" i="1"/>
  <c r="BA54" i="1"/>
  <c r="AJ42" i="1"/>
  <c r="AR44" i="1"/>
  <c r="BN45" i="1"/>
  <c r="BF38" i="1"/>
  <c r="AS36" i="1"/>
  <c r="AO43" i="1"/>
  <c r="BC45" i="1"/>
  <c r="AP42" i="1"/>
  <c r="BL49" i="1"/>
  <c r="AU38" i="1"/>
  <c r="BQ55" i="1"/>
  <c r="BD55" i="1"/>
  <c r="AQ49" i="1"/>
  <c r="BM51" i="1"/>
  <c r="BV44" i="1"/>
  <c r="AV45" i="1"/>
  <c r="AN38" i="1"/>
  <c r="BW36" i="1"/>
  <c r="AW55" i="1"/>
  <c r="BS43" i="1"/>
  <c r="BF51" i="1"/>
  <c r="BS44" i="1"/>
  <c r="BF45" i="1"/>
  <c r="BO45" i="1"/>
  <c r="AK38" i="1"/>
  <c r="BT36" i="1"/>
  <c r="BG55" i="1"/>
  <c r="BP43" i="1"/>
  <c r="BP46" i="1" s="1"/>
  <c r="BC51" i="1"/>
  <c r="AH54" i="1"/>
  <c r="AQ54" i="1"/>
  <c r="AT55" i="1"/>
  <c r="BB59" i="1"/>
  <c r="AW53" i="1"/>
  <c r="BD54" i="1"/>
  <c r="AS105" i="1"/>
  <c r="AS106" i="1" s="1"/>
  <c r="BJ38" i="1"/>
  <c r="AS43" i="1"/>
  <c r="AS46" i="1" s="1"/>
  <c r="AY38" i="1"/>
  <c r="AH43" i="1"/>
  <c r="BQ51" i="1"/>
  <c r="AR38" i="1"/>
  <c r="BW43" i="1"/>
  <c r="BJ51" i="1"/>
  <c r="BW44" i="1"/>
  <c r="AO38" i="1"/>
  <c r="BT43" i="1"/>
  <c r="BG51" i="1"/>
  <c r="AU54" i="1"/>
  <c r="BE53" i="1"/>
  <c r="BH54" i="1"/>
  <c r="BS51" i="1"/>
  <c r="BF105" i="1"/>
  <c r="BF106" i="1" s="1"/>
  <c r="AW43" i="1"/>
  <c r="AW46" i="1" s="1"/>
  <c r="AJ51" i="1"/>
  <c r="BC38" i="1"/>
  <c r="BV51" i="1"/>
  <c r="AH44" i="1"/>
  <c r="AV38" i="1"/>
  <c r="BN51" i="1"/>
  <c r="AS38" i="1"/>
  <c r="BX43" i="1"/>
  <c r="BK51" i="1"/>
  <c r="BD53" i="1"/>
  <c r="AY54" i="1"/>
  <c r="BB55" i="1"/>
  <c r="BJ59" i="1"/>
  <c r="AV105" i="1"/>
  <c r="AV106" i="1" s="1"/>
  <c r="BL54" i="1"/>
  <c r="BW51" i="1"/>
  <c r="BE54" i="1"/>
  <c r="AN59" i="1"/>
  <c r="BW140" i="1"/>
  <c r="AL54" i="1"/>
  <c r="BQ59" i="1"/>
  <c r="BV135" i="1"/>
  <c r="BW135" i="1"/>
  <c r="BW137" i="1" s="1"/>
  <c r="AH105" i="1"/>
  <c r="AH106" i="1" s="1"/>
  <c r="BI54" i="1"/>
  <c r="AP54" i="1"/>
  <c r="BU59" i="1"/>
  <c r="BW128" i="1"/>
  <c r="BV134" i="1"/>
  <c r="AU105" i="1"/>
  <c r="AU106" i="1" s="1"/>
  <c r="AV53" i="1"/>
  <c r="AI54" i="1"/>
  <c r="BN59" i="1"/>
  <c r="BM105" i="1"/>
  <c r="BM106" i="1" s="1"/>
  <c r="BW138" i="1"/>
  <c r="BB105" i="1"/>
  <c r="BB106" i="1" s="1"/>
  <c r="BM54" i="1"/>
  <c r="AV59" i="1"/>
  <c r="BV111" i="1"/>
  <c r="AT54" i="1"/>
  <c r="BY59" i="1"/>
  <c r="BO59" i="1"/>
  <c r="AH53" i="1"/>
  <c r="BQ54" i="1"/>
  <c r="AZ59" i="1"/>
  <c r="AX54" i="1"/>
  <c r="AK55" i="1"/>
  <c r="BY139" i="1"/>
  <c r="BW125" i="1"/>
  <c r="BV126" i="1"/>
  <c r="AR105" i="1"/>
  <c r="AR106" i="1" s="1"/>
  <c r="BY128" i="1"/>
  <c r="BV59" i="1"/>
  <c r="BA53" i="1"/>
  <c r="AN54" i="1"/>
  <c r="BS59" i="1"/>
  <c r="AL53" i="1"/>
  <c r="BU54" i="1"/>
  <c r="BH55" i="1"/>
  <c r="AL105" i="1"/>
  <c r="AL106" i="1" s="1"/>
  <c r="BB54" i="1"/>
  <c r="BL105" i="1"/>
  <c r="BL106" i="1" s="1"/>
  <c r="AP53" i="1"/>
  <c r="BY54" i="1"/>
  <c r="BL55" i="1"/>
  <c r="BH59" i="1"/>
  <c r="BE105" i="1"/>
  <c r="BE106" i="1" s="1"/>
  <c r="BF54" i="1"/>
  <c r="AO59" i="1"/>
  <c r="BD105" i="1"/>
  <c r="BD106" i="1" s="1"/>
  <c r="BJ54" i="1"/>
  <c r="AS59" i="1"/>
  <c r="BW126" i="1"/>
  <c r="BY149" i="1"/>
  <c r="BP53" i="1"/>
  <c r="BC54" i="1"/>
  <c r="AL59" i="1"/>
  <c r="AZ54" i="1"/>
  <c r="AM55" i="1"/>
  <c r="AI59" i="1"/>
  <c r="AX53" i="1"/>
  <c r="AK54" i="1"/>
  <c r="BP59" i="1"/>
  <c r="BN54" i="1"/>
  <c r="BA55" i="1"/>
  <c r="AW59" i="1"/>
  <c r="BB53" i="1"/>
  <c r="AO54" i="1"/>
  <c r="BT59" i="1"/>
  <c r="BR54" i="1"/>
  <c r="BE55" i="1"/>
  <c r="BA59" i="1"/>
  <c r="BW104" i="1"/>
  <c r="BW111" i="1"/>
  <c r="BV131" i="1"/>
  <c r="BY118" i="1"/>
  <c r="BX59" i="1"/>
  <c r="BY110" i="1"/>
  <c r="BV54" i="1"/>
  <c r="BI55" i="1"/>
  <c r="BE59" i="1"/>
  <c r="BY134" i="1"/>
  <c r="AX105" i="1"/>
  <c r="AX106" i="1" s="1"/>
  <c r="BV136" i="1"/>
  <c r="BV144" i="1"/>
  <c r="BW143" i="1"/>
  <c r="BW149" i="1"/>
  <c r="BY135" i="1"/>
  <c r="BY125" i="1"/>
  <c r="BY136" i="1"/>
  <c r="AT112" i="1"/>
  <c r="AT114" i="1" s="1"/>
  <c r="BY152" i="1"/>
  <c r="AM112" i="1"/>
  <c r="AM114" i="1" s="1"/>
  <c r="BV148" i="1"/>
  <c r="BS105" i="1"/>
  <c r="BS106" i="1" s="1"/>
  <c r="BY133" i="1"/>
  <c r="BW105" i="1"/>
  <c r="AJ105" i="1"/>
  <c r="AJ106" i="1" s="1"/>
  <c r="BV113" i="1"/>
  <c r="AK105" i="1"/>
  <c r="AK106" i="1" s="1"/>
  <c r="AW112" i="1"/>
  <c r="AW114" i="1" s="1"/>
  <c r="BY104" i="1"/>
  <c r="BR112" i="1"/>
  <c r="BR114" i="1" s="1"/>
  <c r="BY62" i="1"/>
  <c r="BY64" i="1"/>
  <c r="AZ105" i="1"/>
  <c r="AZ106" i="1" s="1"/>
  <c r="BW63" i="1"/>
  <c r="BY131" i="1"/>
  <c r="BQ105" i="1"/>
  <c r="BQ106" i="1" s="1"/>
  <c r="AO105" i="1"/>
  <c r="AO106" i="1" s="1"/>
  <c r="BW113" i="1"/>
  <c r="BW131" i="1"/>
  <c r="BY148" i="1"/>
  <c r="AM105" i="1"/>
  <c r="AM106" i="1" s="1"/>
  <c r="BY126" i="1"/>
  <c r="BH105" i="1"/>
  <c r="BH106" i="1" s="1"/>
  <c r="BI105" i="1"/>
  <c r="BI106" i="1" s="1"/>
  <c r="BY141" i="1"/>
  <c r="AN105" i="1"/>
  <c r="AN106" i="1" s="1"/>
  <c r="BA105" i="1"/>
  <c r="BA106" i="1" s="1"/>
  <c r="BY108" i="1"/>
  <c r="BG105" i="1"/>
  <c r="BG106" i="1" s="1"/>
  <c r="BY143" i="1"/>
  <c r="AJ112" i="1"/>
  <c r="AJ114" i="1" s="1"/>
  <c r="BA112" i="1"/>
  <c r="BA114" i="1" s="1"/>
  <c r="AO112" i="1"/>
  <c r="AO114" i="1" s="1"/>
  <c r="BC112" i="1"/>
  <c r="BC114" i="1" s="1"/>
  <c r="BY105" i="1"/>
  <c r="BY113" i="1"/>
  <c r="AR112" i="1"/>
  <c r="AR114" i="1" s="1"/>
  <c r="BD112" i="1"/>
  <c r="BD114" i="1" s="1"/>
  <c r="AS112" i="1"/>
  <c r="AS114" i="1" s="1"/>
  <c r="BG112" i="1"/>
  <c r="BG114" i="1" s="1"/>
  <c r="AU112" i="1"/>
  <c r="AU114" i="1" s="1"/>
  <c r="BN112" i="1"/>
  <c r="BN114" i="1" s="1"/>
  <c r="AZ112" i="1"/>
  <c r="AZ114" i="1" s="1"/>
  <c r="BJ112" i="1"/>
  <c r="BJ114" i="1" s="1"/>
  <c r="BC105" i="1"/>
  <c r="BC106" i="1" s="1"/>
  <c r="BK105" i="1"/>
  <c r="BK106" i="1" s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BV110" i="1"/>
  <c r="BW119" i="1"/>
  <c r="BY119" i="1"/>
  <c r="AL112" i="1"/>
  <c r="AL114" i="1" s="1"/>
  <c r="BE112" i="1"/>
  <c r="BE114" i="1" s="1"/>
  <c r="BQ112" i="1"/>
  <c r="BQ114" i="1" s="1"/>
  <c r="BK112" i="1"/>
  <c r="BK114" i="1" s="1"/>
  <c r="BP112" i="1"/>
  <c r="BP114" i="1" s="1"/>
  <c r="AQ112" i="1"/>
  <c r="AQ114" i="1" s="1"/>
  <c r="BF112" i="1"/>
  <c r="BF114" i="1" s="1"/>
  <c r="BO112" i="1"/>
  <c r="BO114" i="1" s="1"/>
  <c r="BU112" i="1"/>
  <c r="BU114" i="1" s="1"/>
  <c r="BW152" i="1"/>
  <c r="BY144" i="1"/>
  <c r="BW103" i="1"/>
  <c r="AY112" i="1"/>
  <c r="AY114" i="1" s="1"/>
  <c r="BI112" i="1"/>
  <c r="BI114" i="1" s="1"/>
  <c r="BS112" i="1"/>
  <c r="BS114" i="1" s="1"/>
  <c r="BY112" i="1"/>
  <c r="AY105" i="1"/>
  <c r="AY106" i="1" s="1"/>
  <c r="BP104" i="1"/>
  <c r="BB112" i="1"/>
  <c r="BB114" i="1" s="1"/>
  <c r="BL112" i="1"/>
  <c r="BL114" i="1" s="1"/>
  <c r="AV112" i="1"/>
  <c r="AV114" i="1" s="1"/>
  <c r="BW112" i="1"/>
  <c r="AI105" i="1"/>
  <c r="AI106" i="1" s="1"/>
  <c r="BH112" i="1"/>
  <c r="BH114" i="1" s="1"/>
  <c r="BM112" i="1"/>
  <c r="BM114" i="1" s="1"/>
  <c r="BY142" i="1"/>
  <c r="BX62" i="1"/>
  <c r="BW108" i="1"/>
  <c r="AW105" i="1"/>
  <c r="AW106" i="1" s="1"/>
  <c r="BY153" i="1"/>
  <c r="BW142" i="1"/>
  <c r="AP105" i="1"/>
  <c r="AP106" i="1" s="1"/>
  <c r="BW153" i="1"/>
  <c r="BT112" i="1"/>
  <c r="BT114" i="1" s="1"/>
  <c r="AI112" i="1"/>
  <c r="AI114" i="1" s="1"/>
  <c r="BV142" i="1"/>
  <c r="BV153" i="1"/>
  <c r="BN104" i="1"/>
  <c r="BO105" i="1"/>
  <c r="BO106" i="1" s="1"/>
  <c r="BJ105" i="1"/>
  <c r="BJ106" i="1" s="1"/>
  <c r="BV112" i="1"/>
  <c r="AN112" i="1"/>
  <c r="AN114" i="1" s="1"/>
  <c r="AQ105" i="1"/>
  <c r="AQ106" i="1" s="1"/>
  <c r="AT105" i="1"/>
  <c r="AT106" i="1" s="1"/>
  <c r="BX63" i="1"/>
  <c r="A1" i="1"/>
  <c r="AP112" i="1"/>
  <c r="AP114" i="1" s="1"/>
  <c r="AH112" i="1"/>
  <c r="AH114" i="1" s="1"/>
  <c r="AK112" i="1"/>
  <c r="AK114" i="1" s="1"/>
  <c r="AX112" i="1"/>
  <c r="AX114" i="1" s="1"/>
  <c r="HP16" i="132"/>
  <c r="HP21" i="132"/>
  <c r="IE16" i="132"/>
  <c r="AN37" i="1"/>
  <c r="BD37" i="1"/>
  <c r="CD63" i="1"/>
  <c r="CE63" i="1"/>
  <c r="CF63" i="1"/>
  <c r="CG63" i="1"/>
  <c r="AC63" i="1"/>
  <c r="CH63" i="1"/>
  <c r="CI63" i="1"/>
  <c r="CJ63" i="1"/>
  <c r="CK63" i="1"/>
  <c r="AD63" i="1"/>
  <c r="CL63" i="1"/>
  <c r="CM63" i="1"/>
  <c r="CN63" i="1"/>
  <c r="CO63" i="1"/>
  <c r="AE63" i="1"/>
  <c r="BX103" i="1"/>
  <c r="BZ62" i="1"/>
  <c r="BZ64" i="1"/>
  <c r="CA62" i="1"/>
  <c r="CA64" i="1"/>
  <c r="CB62" i="1"/>
  <c r="AB64" i="1"/>
  <c r="AB103" i="1"/>
  <c r="CC64" i="1"/>
  <c r="CD103" i="1"/>
  <c r="CE103" i="1"/>
  <c r="CD62" i="1"/>
  <c r="CF103" i="1"/>
  <c r="CG103" i="1"/>
  <c r="CG62" i="1"/>
  <c r="AC103" i="1"/>
  <c r="CH103" i="1"/>
  <c r="CH62" i="1"/>
  <c r="AC62" i="1"/>
  <c r="CI103" i="1"/>
  <c r="CI62" i="1"/>
  <c r="CG64" i="1"/>
  <c r="CJ103" i="1"/>
  <c r="CJ62" i="1"/>
  <c r="CK103" i="1"/>
  <c r="HQ21" i="132"/>
  <c r="IL9" i="132"/>
  <c r="IR9" i="132"/>
  <c r="AW62" i="1" l="1"/>
  <c r="AV62" i="1" s="1"/>
  <c r="AU62" i="1" s="1"/>
  <c r="AT62" i="1" s="1"/>
  <c r="AS62" i="1" s="1"/>
  <c r="AR62" i="1" s="1"/>
  <c r="AQ62" i="1" s="1"/>
  <c r="BJ46" i="1"/>
  <c r="AP62" i="1"/>
  <c r="AO62" i="1" s="1"/>
  <c r="AN62" i="1" s="1"/>
  <c r="AM62" i="1" s="1"/>
  <c r="AL62" i="1" s="1"/>
  <c r="AK62" i="1" s="1"/>
  <c r="AJ62" i="1" s="1"/>
  <c r="AI62" i="1" s="1"/>
  <c r="AH62" i="1" s="1"/>
  <c r="AX46" i="1"/>
  <c r="IZ21" i="132"/>
  <c r="BG89" i="1" s="1"/>
  <c r="HS21" i="132"/>
  <c r="HZ21" i="132"/>
  <c r="IA21" i="132"/>
  <c r="BQ39" i="1"/>
  <c r="BQ40" i="1" s="1"/>
  <c r="BR46" i="1"/>
  <c r="IE21" i="132"/>
  <c r="AL89" i="1" s="1"/>
  <c r="AH37" i="1"/>
  <c r="AH39" i="1" s="1"/>
  <c r="BY160" i="1"/>
  <c r="BZ160" i="1" s="1"/>
  <c r="BZ119" i="1" s="1"/>
  <c r="Z62" i="1"/>
  <c r="AA64" i="1"/>
  <c r="W63" i="1"/>
  <c r="BN46" i="1"/>
  <c r="AZ46" i="1"/>
  <c r="BG46" i="1"/>
  <c r="BK46" i="1"/>
  <c r="BV46" i="1"/>
  <c r="AP46" i="1"/>
  <c r="BV137" i="1"/>
  <c r="AK46" i="1"/>
  <c r="AH89" i="1"/>
  <c r="AY46" i="1"/>
  <c r="BY37" i="1"/>
  <c r="JK19" i="132"/>
  <c r="BR90" i="1" s="1"/>
  <c r="AQ37" i="1"/>
  <c r="AQ80" i="1" s="1"/>
  <c r="AI37" i="1"/>
  <c r="AI80" i="1" s="1"/>
  <c r="AK37" i="1"/>
  <c r="AK80" i="1" s="1"/>
  <c r="AJ37" i="1"/>
  <c r="AJ80" i="1" s="1"/>
  <c r="HU19" i="132"/>
  <c r="JJ20" i="132"/>
  <c r="BQ91" i="1" s="1"/>
  <c r="BW120" i="1"/>
  <c r="AP37" i="1"/>
  <c r="AP39" i="1" s="1"/>
  <c r="AM39" i="1"/>
  <c r="BB37" i="1"/>
  <c r="BB39" i="1" s="1"/>
  <c r="BH37" i="1"/>
  <c r="BH39" i="1" s="1"/>
  <c r="BJ37" i="1"/>
  <c r="AZ37" i="1"/>
  <c r="AZ39" i="1" s="1"/>
  <c r="BD39" i="1"/>
  <c r="AW37" i="1"/>
  <c r="AW39" i="1" s="1"/>
  <c r="BO37" i="1"/>
  <c r="BO39" i="1" s="1"/>
  <c r="AY37" i="1"/>
  <c r="BP37" i="1"/>
  <c r="BP39" i="1" s="1"/>
  <c r="AV37" i="1"/>
  <c r="BV37" i="1"/>
  <c r="BV39" i="1" s="1"/>
  <c r="BV40" i="1" s="1"/>
  <c r="AX39" i="1"/>
  <c r="BK39" i="1"/>
  <c r="BN39" i="1"/>
  <c r="BR40" i="1" s="1"/>
  <c r="BW160" i="1"/>
  <c r="BX108" i="1"/>
  <c r="AN80" i="1"/>
  <c r="BF46" i="1"/>
  <c r="CE62" i="1"/>
  <c r="BW114" i="1"/>
  <c r="BX64" i="1"/>
  <c r="CB64" i="1"/>
  <c r="CF62" i="1"/>
  <c r="CK62" i="1"/>
  <c r="AD62" i="1" s="1"/>
  <c r="CL103" i="1"/>
  <c r="AD103" i="1"/>
  <c r="IV21" i="132"/>
  <c r="BC89" i="1" s="1"/>
  <c r="IR21" i="132"/>
  <c r="AY89" i="1" s="1"/>
  <c r="IL21" i="132"/>
  <c r="AS89" i="1" s="1"/>
  <c r="HY21" i="132"/>
  <c r="IH21" i="132"/>
  <c r="AO89" i="1" s="1"/>
  <c r="IN21" i="132"/>
  <c r="AU89" i="1" s="1"/>
  <c r="JD21" i="132"/>
  <c r="BK89" i="1" s="1"/>
  <c r="HW21" i="132"/>
  <c r="JK21" i="132"/>
  <c r="BR89" i="1" s="1"/>
  <c r="HX21" i="132"/>
  <c r="IO20" i="132"/>
  <c r="AV91" i="1" s="1"/>
  <c r="BQ46" i="1"/>
  <c r="BY137" i="1"/>
  <c r="BY150" i="1"/>
  <c r="IM21" i="132"/>
  <c r="AT89" i="1" s="1"/>
  <c r="BX37" i="1"/>
  <c r="AL46" i="1"/>
  <c r="AI46" i="1"/>
  <c r="BU46" i="1"/>
  <c r="AR46" i="1"/>
  <c r="BS46" i="1"/>
  <c r="IO21" i="132"/>
  <c r="AV89" i="1" s="1"/>
  <c r="BO46" i="1"/>
  <c r="BC46" i="1"/>
  <c r="AT46" i="1"/>
  <c r="BD46" i="1"/>
  <c r="AU37" i="1"/>
  <c r="BT46" i="1"/>
  <c r="AN46" i="1"/>
  <c r="BY106" i="1"/>
  <c r="BY46" i="1"/>
  <c r="BY145" i="1"/>
  <c r="BZ143" i="1" s="1"/>
  <c r="BZ145" i="1" s="1"/>
  <c r="CA143" i="1" s="1"/>
  <c r="CA145" i="1" s="1"/>
  <c r="CB143" i="1" s="1"/>
  <c r="CB145" i="1" s="1"/>
  <c r="CC143" i="1" s="1"/>
  <c r="BY120" i="1"/>
  <c r="BY114" i="1"/>
  <c r="BY129" i="1"/>
  <c r="BY162" i="1"/>
  <c r="BZ162" i="1" s="1"/>
  <c r="BW37" i="1"/>
  <c r="AQ46" i="1"/>
  <c r="BW64" i="1"/>
  <c r="AH46" i="1"/>
  <c r="AJ46" i="1"/>
  <c r="JP19" i="132"/>
  <c r="BW90" i="1" s="1"/>
  <c r="AV46" i="1"/>
  <c r="AO46" i="1"/>
  <c r="BH46" i="1"/>
  <c r="BE46" i="1"/>
  <c r="BB46" i="1"/>
  <c r="BL46" i="1"/>
  <c r="JP20" i="132"/>
  <c r="BW91" i="1" s="1"/>
  <c r="AT39" i="1"/>
  <c r="BW129" i="1"/>
  <c r="BW162" i="1"/>
  <c r="BX162" i="1" s="1"/>
  <c r="BW106" i="1"/>
  <c r="BW145" i="1"/>
  <c r="BX143" i="1" s="1"/>
  <c r="BX145" i="1" s="1"/>
  <c r="AL37" i="1"/>
  <c r="IT19" i="132"/>
  <c r="BA90" i="1" s="1"/>
  <c r="IW20" i="132"/>
  <c r="BD91" i="1" s="1"/>
  <c r="IG20" i="132"/>
  <c r="AN91" i="1" s="1"/>
  <c r="BX128" i="1"/>
  <c r="BV150" i="1"/>
  <c r="BX104" i="1"/>
  <c r="BZ104" i="1"/>
  <c r="BV145" i="1"/>
  <c r="AM46" i="1"/>
  <c r="BW46" i="1"/>
  <c r="BM46" i="1"/>
  <c r="BI46" i="1"/>
  <c r="BX46" i="1"/>
  <c r="AU46" i="1"/>
  <c r="AN39" i="1"/>
  <c r="AR37" i="1"/>
  <c r="AS37" i="1"/>
  <c r="BZ128" i="1"/>
  <c r="CA128" i="1" s="1"/>
  <c r="CB128" i="1" s="1"/>
  <c r="CC128" i="1" s="1"/>
  <c r="BV129" i="1"/>
  <c r="BW150" i="1"/>
  <c r="AO39" i="1"/>
  <c r="BX125" i="1"/>
  <c r="BX129" i="1" s="1"/>
  <c r="BZ53" i="1"/>
  <c r="BZ125" i="1"/>
  <c r="BG37" i="1"/>
  <c r="BC37" i="1"/>
  <c r="BF39" i="1"/>
  <c r="BU39" i="1"/>
  <c r="BL37" i="1"/>
  <c r="BT37" i="1"/>
  <c r="BS37" i="1"/>
  <c r="BZ54" i="1"/>
  <c r="BI37" i="1"/>
  <c r="BZ108" i="1"/>
  <c r="CA108" i="1" s="1"/>
  <c r="CB108" i="1" s="1"/>
  <c r="CC108" i="1" s="1"/>
  <c r="BV162" i="1"/>
  <c r="BV81" i="1"/>
  <c r="AT80" i="1"/>
  <c r="BD80" i="1"/>
  <c r="CD64" i="1"/>
  <c r="CH64" i="1"/>
  <c r="AC64" i="1"/>
  <c r="CI64" i="1"/>
  <c r="CJ64" i="1"/>
  <c r="BV63" i="1"/>
  <c r="BA50" i="1"/>
  <c r="BA52" i="1" s="1"/>
  <c r="BA56" i="1" s="1"/>
  <c r="AT4" i="1"/>
  <c r="BG4" i="1"/>
  <c r="AW4" i="1"/>
  <c r="BX136" i="1"/>
  <c r="BX137" i="1" s="1"/>
  <c r="AH4" i="1"/>
  <c r="AI4" i="1"/>
  <c r="AV4" i="1"/>
  <c r="BC4" i="1"/>
  <c r="AS4" i="1"/>
  <c r="AM4" i="1"/>
  <c r="BM4" i="1"/>
  <c r="BF4" i="1"/>
  <c r="BE115" i="1"/>
  <c r="BE4" i="1"/>
  <c r="AY4" i="1"/>
  <c r="AT9" i="1"/>
  <c r="AT158" i="1"/>
  <c r="AT161" i="1"/>
  <c r="AT115" i="1"/>
  <c r="AM158" i="1"/>
  <c r="AM115" i="1"/>
  <c r="AM9" i="1"/>
  <c r="AM161" i="1"/>
  <c r="AK4" i="1"/>
  <c r="AL4" i="1"/>
  <c r="AW115" i="1"/>
  <c r="AW9" i="1"/>
  <c r="AW158" i="1"/>
  <c r="AW161" i="1"/>
  <c r="BR161" i="1"/>
  <c r="BA4" i="1"/>
  <c r="AP4" i="1"/>
  <c r="AN4" i="1"/>
  <c r="BI4" i="1"/>
  <c r="BJ4" i="1"/>
  <c r="BI115" i="1"/>
  <c r="AO4" i="1"/>
  <c r="BB4" i="1"/>
  <c r="BH4" i="1"/>
  <c r="AJ158" i="1"/>
  <c r="AJ115" i="1"/>
  <c r="AJ9" i="1"/>
  <c r="BA9" i="1"/>
  <c r="BA158" i="1"/>
  <c r="BA115" i="1"/>
  <c r="BA161" i="1"/>
  <c r="AO9" i="1"/>
  <c r="AO161" i="1"/>
  <c r="AO115" i="1"/>
  <c r="AO158" i="1"/>
  <c r="BC9" i="1"/>
  <c r="BC158" i="1"/>
  <c r="BC115" i="1"/>
  <c r="BC161" i="1"/>
  <c r="AR161" i="1"/>
  <c r="AR115" i="1"/>
  <c r="AR9" i="1"/>
  <c r="AR158" i="1"/>
  <c r="BD115" i="1"/>
  <c r="BD161" i="1"/>
  <c r="BD158" i="1"/>
  <c r="BD9" i="1"/>
  <c r="AS9" i="1"/>
  <c r="AS115" i="1"/>
  <c r="AS161" i="1"/>
  <c r="AS158" i="1"/>
  <c r="BG161" i="1"/>
  <c r="BG9" i="1"/>
  <c r="BG115" i="1"/>
  <c r="BG158" i="1"/>
  <c r="AU158" i="1"/>
  <c r="AU9" i="1"/>
  <c r="AU161" i="1"/>
  <c r="AU115" i="1"/>
  <c r="BN161" i="1"/>
  <c r="AZ9" i="1"/>
  <c r="AZ115" i="1"/>
  <c r="AZ158" i="1"/>
  <c r="AZ161" i="1"/>
  <c r="BJ9" i="1"/>
  <c r="BJ158" i="1"/>
  <c r="BJ161" i="1"/>
  <c r="BJ115" i="1"/>
  <c r="BD4" i="1"/>
  <c r="BL4" i="1"/>
  <c r="AL115" i="1"/>
  <c r="AL9" i="1"/>
  <c r="AL158" i="1"/>
  <c r="AL161" i="1"/>
  <c r="BE9" i="1"/>
  <c r="BE158" i="1"/>
  <c r="BE161" i="1"/>
  <c r="BQ9" i="1"/>
  <c r="BQ158" i="1"/>
  <c r="BQ115" i="1"/>
  <c r="BQ161" i="1"/>
  <c r="BK9" i="1"/>
  <c r="BK158" i="1"/>
  <c r="BK161" i="1"/>
  <c r="BK115" i="1"/>
  <c r="BP161" i="1"/>
  <c r="AQ9" i="1"/>
  <c r="AQ115" i="1"/>
  <c r="AQ158" i="1"/>
  <c r="AQ161" i="1"/>
  <c r="BF158" i="1"/>
  <c r="BF115" i="1"/>
  <c r="BF9" i="1"/>
  <c r="BF161" i="1"/>
  <c r="BO9" i="1"/>
  <c r="BO158" i="1"/>
  <c r="BO115" i="1"/>
  <c r="BO161" i="1"/>
  <c r="BV114" i="1"/>
  <c r="BU115" i="1"/>
  <c r="BU158" i="1"/>
  <c r="BU161" i="1"/>
  <c r="BU9" i="1"/>
  <c r="AY158" i="1"/>
  <c r="AY9" i="1"/>
  <c r="AY161" i="1"/>
  <c r="AY115" i="1"/>
  <c r="BI9" i="1"/>
  <c r="BI158" i="1"/>
  <c r="BI161" i="1"/>
  <c r="BS115" i="1"/>
  <c r="BS9" i="1"/>
  <c r="BS158" i="1"/>
  <c r="BS161" i="1"/>
  <c r="AZ4" i="1"/>
  <c r="BB161" i="1"/>
  <c r="BB158" i="1"/>
  <c r="BB115" i="1"/>
  <c r="BB9" i="1"/>
  <c r="BL9" i="1"/>
  <c r="BL158" i="1"/>
  <c r="BL161" i="1"/>
  <c r="BL115" i="1"/>
  <c r="AV115" i="1"/>
  <c r="AV9" i="1"/>
  <c r="AV158" i="1"/>
  <c r="AV161" i="1"/>
  <c r="AJ4" i="1"/>
  <c r="BH9" i="1"/>
  <c r="BH158" i="1"/>
  <c r="BH161" i="1"/>
  <c r="BH115" i="1"/>
  <c r="BM9" i="1"/>
  <c r="BM158" i="1"/>
  <c r="BM161" i="1"/>
  <c r="BM115" i="1"/>
  <c r="AX4" i="1"/>
  <c r="AQ4" i="1"/>
  <c r="BX161" i="1"/>
  <c r="BT161" i="1"/>
  <c r="AI9" i="1"/>
  <c r="AI115" i="1"/>
  <c r="AI158" i="1"/>
  <c r="BK4" i="1"/>
  <c r="AN9" i="1"/>
  <c r="AN115" i="1"/>
  <c r="AN158" i="1"/>
  <c r="AN161" i="1"/>
  <c r="AR4" i="1"/>
  <c r="AU4" i="1"/>
  <c r="AP9" i="1"/>
  <c r="AP115" i="1"/>
  <c r="AP161" i="1"/>
  <c r="AP158" i="1"/>
  <c r="AH158" i="1"/>
  <c r="AH9" i="1"/>
  <c r="AH115" i="1"/>
  <c r="AK9" i="1"/>
  <c r="AK115" i="1"/>
  <c r="AK158" i="1"/>
  <c r="AK161" i="1"/>
  <c r="AX161" i="1"/>
  <c r="AX158" i="1"/>
  <c r="AX9" i="1"/>
  <c r="AX115" i="1"/>
  <c r="BW81" i="1" l="1"/>
  <c r="BV146" i="1"/>
  <c r="BZ120" i="1"/>
  <c r="CA160" i="1"/>
  <c r="AH47" i="1"/>
  <c r="AQ39" i="1"/>
  <c r="BY39" i="1"/>
  <c r="AI39" i="1"/>
  <c r="AJ39" i="1"/>
  <c r="AY39" i="1"/>
  <c r="AV39" i="1"/>
  <c r="BJ39" i="1"/>
  <c r="BF40" i="1"/>
  <c r="AX47" i="1"/>
  <c r="BB40" i="1"/>
  <c r="BV47" i="1"/>
  <c r="BP47" i="1"/>
  <c r="AW47" i="1"/>
  <c r="BA40" i="1"/>
  <c r="BO40" i="1"/>
  <c r="BH40" i="1"/>
  <c r="AP80" i="1"/>
  <c r="AZ80" i="1"/>
  <c r="BB80" i="1"/>
  <c r="BH80" i="1"/>
  <c r="AW80" i="1"/>
  <c r="AV80" i="1"/>
  <c r="BJ80" i="1"/>
  <c r="BP80" i="1"/>
  <c r="BR47" i="1"/>
  <c r="BN47" i="1"/>
  <c r="AZ47" i="1"/>
  <c r="BK47" i="1"/>
  <c r="AP47" i="1"/>
  <c r="Z64" i="1"/>
  <c r="Y62" i="1"/>
  <c r="AA65" i="1"/>
  <c r="AA66" i="1" s="1"/>
  <c r="AA69" i="1"/>
  <c r="AA74" i="1"/>
  <c r="AK39" i="1"/>
  <c r="BY81" i="1"/>
  <c r="BB47" i="1"/>
  <c r="V63" i="1"/>
  <c r="BW76" i="1"/>
  <c r="BW77" i="1"/>
  <c r="BD40" i="1"/>
  <c r="AY80" i="1"/>
  <c r="BO80" i="1"/>
  <c r="CE64" i="1"/>
  <c r="CF64" i="1"/>
  <c r="CK64" i="1"/>
  <c r="AD64" i="1"/>
  <c r="CM103" i="1"/>
  <c r="CL62" i="1"/>
  <c r="CL64" i="1" s="1"/>
  <c r="BW161" i="1"/>
  <c r="BQ47" i="1"/>
  <c r="BZ136" i="1"/>
  <c r="BZ137" i="1" s="1"/>
  <c r="BY146" i="1"/>
  <c r="BY154" i="1" s="1"/>
  <c r="BX39" i="1"/>
  <c r="BO47" i="1"/>
  <c r="BD47" i="1"/>
  <c r="AU80" i="1"/>
  <c r="AU39" i="1"/>
  <c r="BY69" i="1"/>
  <c r="BY70" i="1" s="1"/>
  <c r="AB143" i="1"/>
  <c r="AB145" i="1" s="1"/>
  <c r="CC145" i="1"/>
  <c r="CD143" i="1" s="1"/>
  <c r="CD145" i="1" s="1"/>
  <c r="CE143" i="1" s="1"/>
  <c r="CE145" i="1" s="1"/>
  <c r="CF143" i="1" s="1"/>
  <c r="CF145" i="1" s="1"/>
  <c r="CG143" i="1" s="1"/>
  <c r="BY77" i="1"/>
  <c r="BZ77" i="1" s="1"/>
  <c r="BY76" i="1"/>
  <c r="BY9" i="1"/>
  <c r="BY161" i="1"/>
  <c r="BY115" i="1"/>
  <c r="BY158" i="1"/>
  <c r="BZ113" i="1"/>
  <c r="BZ114" i="1" s="1"/>
  <c r="CA162" i="1"/>
  <c r="BW39" i="1"/>
  <c r="BH47" i="1"/>
  <c r="BE47" i="1"/>
  <c r="AX40" i="1"/>
  <c r="AT40" i="1"/>
  <c r="AT47" i="1"/>
  <c r="BW69" i="1"/>
  <c r="BW70" i="1" s="1"/>
  <c r="AL80" i="1"/>
  <c r="AL39" i="1"/>
  <c r="CA104" i="1"/>
  <c r="AM47" i="1"/>
  <c r="BM47" i="1"/>
  <c r="AN47" i="1"/>
  <c r="AR80" i="1"/>
  <c r="AR39" i="1"/>
  <c r="AS80" i="1"/>
  <c r="AS39" i="1"/>
  <c r="AB128" i="1"/>
  <c r="CD128" i="1"/>
  <c r="CE128" i="1" s="1"/>
  <c r="CF128" i="1" s="1"/>
  <c r="CG128" i="1" s="1"/>
  <c r="AO47" i="1"/>
  <c r="AS40" i="1"/>
  <c r="CA53" i="1"/>
  <c r="CB53" i="1" s="1"/>
  <c r="CC53" i="1" s="1"/>
  <c r="CD53" i="1" s="1"/>
  <c r="CA125" i="1"/>
  <c r="BZ129" i="1"/>
  <c r="BG80" i="1"/>
  <c r="BG39" i="1"/>
  <c r="BC80" i="1"/>
  <c r="BC39" i="1"/>
  <c r="BF47" i="1"/>
  <c r="BU47" i="1"/>
  <c r="BL80" i="1"/>
  <c r="BL39" i="1"/>
  <c r="BT80" i="1"/>
  <c r="BT39" i="1"/>
  <c r="BS80" i="1"/>
  <c r="BS39" i="1"/>
  <c r="CA54" i="1"/>
  <c r="CB54" i="1" s="1"/>
  <c r="CC54" i="1" s="1"/>
  <c r="CD54" i="1" s="1"/>
  <c r="BI80" i="1"/>
  <c r="BI39" i="1"/>
  <c r="AB108" i="1"/>
  <c r="CD108" i="1"/>
  <c r="CE108" i="1" s="1"/>
  <c r="CF108" i="1" s="1"/>
  <c r="CG108" i="1" s="1"/>
  <c r="BV82" i="1"/>
  <c r="BV80" i="1" s="1"/>
  <c r="BU63" i="1"/>
  <c r="BV64" i="1"/>
  <c r="BA60" i="1"/>
  <c r="BF5" i="1"/>
  <c r="BE155" i="1"/>
  <c r="AU5" i="1"/>
  <c r="AT155" i="1"/>
  <c r="AN5" i="1"/>
  <c r="AM155" i="1"/>
  <c r="AX5" i="1"/>
  <c r="AW155" i="1"/>
  <c r="BJ5" i="1"/>
  <c r="BI155" i="1"/>
  <c r="AJ155" i="1"/>
  <c r="AK5" i="1"/>
  <c r="BA155" i="1"/>
  <c r="BB5" i="1"/>
  <c r="AO155" i="1"/>
  <c r="AP5" i="1"/>
  <c r="BD5" i="1"/>
  <c r="BC155" i="1"/>
  <c r="AS5" i="1"/>
  <c r="AR155" i="1"/>
  <c r="BE5" i="1"/>
  <c r="BD155" i="1"/>
  <c r="AS155" i="1"/>
  <c r="AT5" i="1"/>
  <c r="BH5" i="1"/>
  <c r="BG155" i="1"/>
  <c r="AV5" i="1"/>
  <c r="AU155" i="1"/>
  <c r="BA5" i="1"/>
  <c r="AZ155" i="1"/>
  <c r="BK5" i="1"/>
  <c r="BJ155" i="1"/>
  <c r="AL155" i="1"/>
  <c r="AM5" i="1"/>
  <c r="BQ155" i="1"/>
  <c r="BL5" i="1"/>
  <c r="BK155" i="1"/>
  <c r="AR5" i="1"/>
  <c r="AQ155" i="1"/>
  <c r="BG5" i="1"/>
  <c r="BF155" i="1"/>
  <c r="BO155" i="1"/>
  <c r="BV161" i="1"/>
  <c r="BZ161" i="1" s="1"/>
  <c r="CD161" i="1" s="1"/>
  <c r="CH161" i="1" s="1"/>
  <c r="CL161" i="1" s="1"/>
  <c r="BU155" i="1"/>
  <c r="AZ5" i="1"/>
  <c r="AY155" i="1"/>
  <c r="BS155" i="1"/>
  <c r="BC5" i="1"/>
  <c r="BB155" i="1"/>
  <c r="BM5" i="1"/>
  <c r="BL155" i="1"/>
  <c r="AV155" i="1"/>
  <c r="AW5" i="1"/>
  <c r="BI5" i="1"/>
  <c r="BH155" i="1"/>
  <c r="BM155" i="1"/>
  <c r="AI155" i="1"/>
  <c r="AJ5" i="1"/>
  <c r="AO5" i="1"/>
  <c r="AN155" i="1"/>
  <c r="AQ5" i="1"/>
  <c r="AP155" i="1"/>
  <c r="AI5" i="1"/>
  <c r="AH5" i="1"/>
  <c r="AH155" i="1"/>
  <c r="AL5" i="1"/>
  <c r="AK155" i="1"/>
  <c r="AX155" i="1"/>
  <c r="AY5" i="1"/>
  <c r="BU40" i="1"/>
  <c r="BW146" i="1"/>
  <c r="BW154" i="1" s="1"/>
  <c r="BX146" i="1"/>
  <c r="BW158" i="1"/>
  <c r="BW9" i="1"/>
  <c r="BW115" i="1"/>
  <c r="BW82" i="1" l="1"/>
  <c r="BV154" i="1"/>
  <c r="BJ40" i="1"/>
  <c r="CA119" i="1"/>
  <c r="CA120" i="1" s="1"/>
  <c r="CB160" i="1"/>
  <c r="CC161" i="1"/>
  <c r="CG161" i="1" s="1"/>
  <c r="CK161" i="1" s="1"/>
  <c r="CO161" i="1" s="1"/>
  <c r="AH50" i="1"/>
  <c r="AH52" i="1" s="1"/>
  <c r="AH56" i="1" s="1"/>
  <c r="AQ40" i="1"/>
  <c r="AQ47" i="1"/>
  <c r="AU40" i="1"/>
  <c r="AO40" i="1"/>
  <c r="AK47" i="1"/>
  <c r="BY47" i="1"/>
  <c r="AM40" i="1"/>
  <c r="AI47" i="1"/>
  <c r="AJ47" i="1"/>
  <c r="AN40" i="1"/>
  <c r="BY40" i="1"/>
  <c r="AY47" i="1"/>
  <c r="BC40" i="1"/>
  <c r="AZ40" i="1"/>
  <c r="AV47" i="1"/>
  <c r="BN40" i="1"/>
  <c r="BJ47" i="1"/>
  <c r="BB50" i="1"/>
  <c r="BB52" i="1" s="1"/>
  <c r="BB56" i="1" s="1"/>
  <c r="BB48" i="1"/>
  <c r="AX50" i="1"/>
  <c r="AX52" i="1" s="1"/>
  <c r="AX56" i="1" s="1"/>
  <c r="BV50" i="1"/>
  <c r="BV52" i="1" s="1"/>
  <c r="BV56" i="1" s="1"/>
  <c r="BP50" i="1"/>
  <c r="BP52" i="1" s="1"/>
  <c r="BP56" i="1" s="1"/>
  <c r="BA48" i="1"/>
  <c r="AW50" i="1"/>
  <c r="AW52" i="1" s="1"/>
  <c r="AW56" i="1" s="1"/>
  <c r="BV48" i="1"/>
  <c r="BR50" i="1"/>
  <c r="BR52" i="1" s="1"/>
  <c r="BR56" i="1" s="1"/>
  <c r="BR48" i="1"/>
  <c r="BN50" i="1"/>
  <c r="BN52" i="1" s="1"/>
  <c r="BN56" i="1" s="1"/>
  <c r="AZ50" i="1"/>
  <c r="AZ52" i="1" s="1"/>
  <c r="AZ56" i="1" s="1"/>
  <c r="BK50" i="1"/>
  <c r="BK52" i="1" s="1"/>
  <c r="BK56" i="1" s="1"/>
  <c r="AP50" i="1"/>
  <c r="AP52" i="1" s="1"/>
  <c r="AP56" i="1" s="1"/>
  <c r="Z69" i="1"/>
  <c r="Z65" i="1"/>
  <c r="Z66" i="1" s="1"/>
  <c r="Z74" i="1"/>
  <c r="X62" i="1"/>
  <c r="Y64" i="1"/>
  <c r="AA70" i="1"/>
  <c r="BE18" i="1"/>
  <c r="BM18" i="1"/>
  <c r="U63" i="1"/>
  <c r="BF48" i="1"/>
  <c r="CA161" i="1"/>
  <c r="CE161" i="1" s="1"/>
  <c r="CI161" i="1" s="1"/>
  <c r="CM161" i="1" s="1"/>
  <c r="CB119" i="1"/>
  <c r="CN103" i="1"/>
  <c r="CM62" i="1"/>
  <c r="CM64" i="1" s="1"/>
  <c r="BD18" i="1"/>
  <c r="BH18" i="1"/>
  <c r="AM18" i="1"/>
  <c r="BU48" i="1"/>
  <c r="BQ50" i="1"/>
  <c r="BQ52" i="1" s="1"/>
  <c r="BQ56" i="1" s="1"/>
  <c r="BZ146" i="1"/>
  <c r="CA136" i="1"/>
  <c r="CA137" i="1" s="1"/>
  <c r="BX47" i="1"/>
  <c r="BO50" i="1"/>
  <c r="BO52" i="1" s="1"/>
  <c r="BO56" i="1" s="1"/>
  <c r="BH48" i="1"/>
  <c r="BD50" i="1"/>
  <c r="BD52" i="1" s="1"/>
  <c r="BD56" i="1" s="1"/>
  <c r="AY40" i="1"/>
  <c r="AU47" i="1"/>
  <c r="BY99" i="1"/>
  <c r="BZ99" i="1" s="1"/>
  <c r="BY98" i="1"/>
  <c r="BZ98" i="1" s="1"/>
  <c r="BY97" i="1"/>
  <c r="AC143" i="1"/>
  <c r="AC145" i="1" s="1"/>
  <c r="CG145" i="1"/>
  <c r="CH143" i="1" s="1"/>
  <c r="CH145" i="1" s="1"/>
  <c r="CI143" i="1" s="1"/>
  <c r="CI145" i="1" s="1"/>
  <c r="CJ143" i="1" s="1"/>
  <c r="CJ145" i="1" s="1"/>
  <c r="CK143" i="1" s="1"/>
  <c r="CA77" i="1"/>
  <c r="BZ73" i="1"/>
  <c r="BZ74" i="1" s="1"/>
  <c r="CB162" i="1"/>
  <c r="BW47" i="1"/>
  <c r="BH50" i="1"/>
  <c r="BH52" i="1" s="1"/>
  <c r="BH56" i="1" s="1"/>
  <c r="BE48" i="1"/>
  <c r="BE50" i="1"/>
  <c r="BE52" i="1" s="1"/>
  <c r="BE56" i="1" s="1"/>
  <c r="AX48" i="1"/>
  <c r="AT50" i="1"/>
  <c r="AT52" i="1" s="1"/>
  <c r="AT56" i="1" s="1"/>
  <c r="BW99" i="1"/>
  <c r="BW98" i="1"/>
  <c r="BW97" i="1"/>
  <c r="AP40" i="1"/>
  <c r="AL47" i="1"/>
  <c r="AL40" i="1"/>
  <c r="CB104" i="1"/>
  <c r="AM50" i="1"/>
  <c r="AM52" i="1" s="1"/>
  <c r="AM56" i="1" s="1"/>
  <c r="BQ48" i="1"/>
  <c r="BM50" i="1"/>
  <c r="BM52" i="1" s="1"/>
  <c r="BM56" i="1" s="1"/>
  <c r="AN50" i="1"/>
  <c r="AN52" i="1" s="1"/>
  <c r="AN56" i="1" s="1"/>
  <c r="AV40" i="1"/>
  <c r="AR47" i="1"/>
  <c r="AW40" i="1"/>
  <c r="AS47" i="1"/>
  <c r="AC128" i="1"/>
  <c r="CH128" i="1"/>
  <c r="CI128" i="1" s="1"/>
  <c r="CJ128" i="1" s="1"/>
  <c r="CK128" i="1" s="1"/>
  <c r="AO50" i="1"/>
  <c r="AO52" i="1" s="1"/>
  <c r="AO56" i="1" s="1"/>
  <c r="CE53" i="1"/>
  <c r="CF53" i="1" s="1"/>
  <c r="CG53" i="1" s="1"/>
  <c r="CH53" i="1" s="1"/>
  <c r="CA129" i="1"/>
  <c r="CB125" i="1"/>
  <c r="BK40" i="1"/>
  <c r="BG47" i="1"/>
  <c r="BG40" i="1"/>
  <c r="BC47" i="1"/>
  <c r="BF50" i="1"/>
  <c r="BF52" i="1" s="1"/>
  <c r="BF56" i="1" s="1"/>
  <c r="BU50" i="1"/>
  <c r="BU52" i="1" s="1"/>
  <c r="BU56" i="1" s="1"/>
  <c r="BP40" i="1"/>
  <c r="BL47" i="1"/>
  <c r="BL40" i="1"/>
  <c r="BT40" i="1"/>
  <c r="BT47" i="1"/>
  <c r="BX40" i="1"/>
  <c r="BS40" i="1"/>
  <c r="BS47" i="1"/>
  <c r="BW40" i="1"/>
  <c r="CE54" i="1"/>
  <c r="CF54" i="1" s="1"/>
  <c r="CG54" i="1" s="1"/>
  <c r="CH54" i="1" s="1"/>
  <c r="BI40" i="1"/>
  <c r="BM40" i="1"/>
  <c r="BI47" i="1"/>
  <c r="CH108" i="1"/>
  <c r="CI108" i="1" s="1"/>
  <c r="CJ108" i="1" s="1"/>
  <c r="CK108" i="1" s="1"/>
  <c r="AC108" i="1"/>
  <c r="BU64" i="1"/>
  <c r="BU69" i="1" s="1"/>
  <c r="BU70" i="1" s="1"/>
  <c r="BT63" i="1"/>
  <c r="BG22" i="1"/>
  <c r="BG15" i="1"/>
  <c r="BG13" i="1"/>
  <c r="BG12" i="1"/>
  <c r="BG14" i="1" s="1"/>
  <c r="BG17" i="1" s="1"/>
  <c r="BG18" i="1"/>
  <c r="BG20" i="1"/>
  <c r="BF7" i="1"/>
  <c r="AV18" i="1"/>
  <c r="AV15" i="1"/>
  <c r="AV13" i="1"/>
  <c r="AV12" i="1"/>
  <c r="AV14" i="1" s="1"/>
  <c r="AV17" i="1" s="1"/>
  <c r="AV19" i="1" s="1"/>
  <c r="AU7" i="1"/>
  <c r="AV22" i="1"/>
  <c r="AV20" i="1"/>
  <c r="AO15" i="1"/>
  <c r="AO18" i="1"/>
  <c r="AO22" i="1"/>
  <c r="AN7" i="1"/>
  <c r="AO12" i="1"/>
  <c r="AO13" i="1"/>
  <c r="AO20" i="1"/>
  <c r="AY15" i="1"/>
  <c r="AY22" i="1"/>
  <c r="AY18" i="1"/>
  <c r="AY13" i="1"/>
  <c r="AY12" i="1"/>
  <c r="AY14" i="1" s="1"/>
  <c r="AY17" i="1" s="1"/>
  <c r="AY19" i="1" s="1"/>
  <c r="AY20" i="1"/>
  <c r="AX7" i="1"/>
  <c r="BK18" i="1"/>
  <c r="BK22" i="1"/>
  <c r="BK20" i="1"/>
  <c r="BK15" i="1"/>
  <c r="BK13" i="1"/>
  <c r="BK12" i="1"/>
  <c r="BJ7" i="1"/>
  <c r="AL20" i="1"/>
  <c r="AL22" i="1"/>
  <c r="AL18" i="1"/>
  <c r="AL13" i="1"/>
  <c r="AL15" i="1"/>
  <c r="AL12" i="1"/>
  <c r="AL14" i="1" s="1"/>
  <c r="AL17" i="1" s="1"/>
  <c r="BC18" i="1"/>
  <c r="BC15" i="1"/>
  <c r="BC22" i="1"/>
  <c r="BC13" i="1"/>
  <c r="BC12" i="1"/>
  <c r="BC14" i="1" s="1"/>
  <c r="BC17" i="1" s="1"/>
  <c r="BC19" i="1" s="1"/>
  <c r="BB7" i="1"/>
  <c r="BC20" i="1"/>
  <c r="AQ20" i="1"/>
  <c r="AQ22" i="1"/>
  <c r="AQ15" i="1"/>
  <c r="AQ18" i="1"/>
  <c r="AQ12" i="1"/>
  <c r="AP7" i="1"/>
  <c r="AQ13" i="1"/>
  <c r="BE22" i="1"/>
  <c r="BE15" i="1"/>
  <c r="BE13" i="1"/>
  <c r="BD7" i="1"/>
  <c r="BE12" i="1"/>
  <c r="BE14" i="1" s="1"/>
  <c r="BE17" i="1" s="1"/>
  <c r="BE20" i="1"/>
  <c r="BH7" i="1"/>
  <c r="AT13" i="1"/>
  <c r="AT22" i="1"/>
  <c r="AT18" i="1"/>
  <c r="AT15" i="1"/>
  <c r="AT12" i="1"/>
  <c r="AT14" i="1" s="1"/>
  <c r="AT17" i="1" s="1"/>
  <c r="AT19" i="1" s="1"/>
  <c r="AT20" i="1"/>
  <c r="AS7" i="1"/>
  <c r="BF15" i="1"/>
  <c r="BF22" i="1"/>
  <c r="BF18" i="1"/>
  <c r="BF13" i="1"/>
  <c r="BF20" i="1"/>
  <c r="BE7" i="1"/>
  <c r="BF12" i="1"/>
  <c r="BF14" i="1" s="1"/>
  <c r="BF17" i="1" s="1"/>
  <c r="BF19" i="1" s="1"/>
  <c r="BF21" i="1" s="1"/>
  <c r="BF23" i="1" s="1"/>
  <c r="AU18" i="1"/>
  <c r="AU22" i="1"/>
  <c r="AU15" i="1"/>
  <c r="AU12" i="1"/>
  <c r="AU13" i="1"/>
  <c r="AU20" i="1"/>
  <c r="AT7" i="1"/>
  <c r="BI18" i="1"/>
  <c r="BI20" i="1"/>
  <c r="BI22" i="1"/>
  <c r="BI15" i="1"/>
  <c r="BI13" i="1"/>
  <c r="BI12" i="1"/>
  <c r="BI14" i="1" s="1"/>
  <c r="BI17" i="1" s="1"/>
  <c r="BI19" i="1" s="1"/>
  <c r="BI21" i="1" s="1"/>
  <c r="BI23" i="1" s="1"/>
  <c r="AW13" i="1"/>
  <c r="AW22" i="1"/>
  <c r="AW15" i="1"/>
  <c r="AW18" i="1"/>
  <c r="AW20" i="1"/>
  <c r="AV7" i="1"/>
  <c r="AW12" i="1"/>
  <c r="BB18" i="1"/>
  <c r="BB12" i="1"/>
  <c r="BB15" i="1"/>
  <c r="BB22" i="1"/>
  <c r="BB13" i="1"/>
  <c r="BA7" i="1"/>
  <c r="BB20" i="1"/>
  <c r="BL18" i="1"/>
  <c r="BL13" i="1"/>
  <c r="BL20" i="1"/>
  <c r="BL22" i="1"/>
  <c r="BL12" i="1"/>
  <c r="BL14" i="1" s="1"/>
  <c r="BK7" i="1"/>
  <c r="BL15" i="1"/>
  <c r="AN18" i="1"/>
  <c r="AN20" i="1"/>
  <c r="AN15" i="1"/>
  <c r="AN12" i="1"/>
  <c r="AN22" i="1"/>
  <c r="AN13" i="1"/>
  <c r="AM7" i="1"/>
  <c r="BM22" i="1"/>
  <c r="BM20" i="1"/>
  <c r="BM13" i="1"/>
  <c r="BM15" i="1"/>
  <c r="BM12" i="1"/>
  <c r="BM14" i="1" s="1"/>
  <c r="BM17" i="1" s="1"/>
  <c r="BL7" i="1"/>
  <c r="AS22" i="1"/>
  <c r="AS20" i="1"/>
  <c r="AS13" i="1"/>
  <c r="AS15" i="1"/>
  <c r="AS18" i="1"/>
  <c r="AS12" i="1"/>
  <c r="AS14" i="1" s="1"/>
  <c r="AS17" i="1" s="1"/>
  <c r="AS19" i="1" s="1"/>
  <c r="AS21" i="1" s="1"/>
  <c r="AS23" i="1" s="1"/>
  <c r="AR7" i="1"/>
  <c r="BH15" i="1"/>
  <c r="BH20" i="1"/>
  <c r="BH12" i="1"/>
  <c r="BH22" i="1"/>
  <c r="BG7" i="1"/>
  <c r="BH13" i="1"/>
  <c r="BA22" i="1"/>
  <c r="BA12" i="1"/>
  <c r="BA13" i="1"/>
  <c r="BA15" i="1"/>
  <c r="AZ7" i="1"/>
  <c r="BA20" i="1"/>
  <c r="BA18" i="1"/>
  <c r="BD15" i="1"/>
  <c r="BD22" i="1"/>
  <c r="BD12" i="1"/>
  <c r="BD13" i="1"/>
  <c r="BC7" i="1"/>
  <c r="BD20" i="1"/>
  <c r="BN18" i="1"/>
  <c r="BN22" i="1"/>
  <c r="BN15" i="1"/>
  <c r="BN20" i="1"/>
  <c r="BN13" i="1"/>
  <c r="BN12" i="1"/>
  <c r="BN14" i="1" s="1"/>
  <c r="BN17" i="1" s="1"/>
  <c r="BN19" i="1" s="1"/>
  <c r="BN21" i="1" s="1"/>
  <c r="BN23" i="1" s="1"/>
  <c r="BM7" i="1"/>
  <c r="AX22" i="1"/>
  <c r="AX18" i="1"/>
  <c r="AX15" i="1"/>
  <c r="AX12" i="1"/>
  <c r="AX20" i="1"/>
  <c r="AX13" i="1"/>
  <c r="AW7" i="1"/>
  <c r="BJ15" i="1"/>
  <c r="BJ22" i="1"/>
  <c r="BJ18" i="1"/>
  <c r="BJ12" i="1"/>
  <c r="BJ20" i="1"/>
  <c r="BJ13" i="1"/>
  <c r="BI7" i="1"/>
  <c r="AK15" i="1"/>
  <c r="AK20" i="1"/>
  <c r="AK18" i="1"/>
  <c r="AK22" i="1"/>
  <c r="AK12" i="1"/>
  <c r="AK13" i="1"/>
  <c r="AP18" i="1"/>
  <c r="AP20" i="1"/>
  <c r="AP15" i="1"/>
  <c r="AP12" i="1"/>
  <c r="AP22" i="1"/>
  <c r="AO7" i="1"/>
  <c r="AP13" i="1"/>
  <c r="AR18" i="1"/>
  <c r="AR13" i="1"/>
  <c r="AR15" i="1"/>
  <c r="AR22" i="1"/>
  <c r="AQ7" i="1"/>
  <c r="AR20" i="1"/>
  <c r="AR12" i="1"/>
  <c r="AR14" i="1" s="1"/>
  <c r="AR17" i="1" s="1"/>
  <c r="AR19" i="1" s="1"/>
  <c r="AR21" i="1" s="1"/>
  <c r="AR23" i="1" s="1"/>
  <c r="AJ18" i="1"/>
  <c r="AJ22" i="1"/>
  <c r="AJ15" i="1"/>
  <c r="AJ12" i="1"/>
  <c r="AJ20" i="1"/>
  <c r="AJ13" i="1"/>
  <c r="AI18" i="1"/>
  <c r="AI15" i="1"/>
  <c r="AI22" i="1"/>
  <c r="AI12" i="1"/>
  <c r="AI13" i="1"/>
  <c r="AI20" i="1"/>
  <c r="AM15" i="1"/>
  <c r="AM20" i="1"/>
  <c r="AM13" i="1"/>
  <c r="AM12" i="1"/>
  <c r="AM14" i="1" s="1"/>
  <c r="AM17" i="1" s="1"/>
  <c r="AM22" i="1"/>
  <c r="AL7" i="1"/>
  <c r="AZ18" i="1"/>
  <c r="AZ12" i="1"/>
  <c r="AZ15" i="1"/>
  <c r="AZ22" i="1"/>
  <c r="AY7" i="1"/>
  <c r="AZ20" i="1"/>
  <c r="AZ13" i="1"/>
  <c r="BD48" i="1"/>
  <c r="BO48" i="1"/>
  <c r="AT48" i="1"/>
  <c r="CB161" i="1"/>
  <c r="CF161" i="1" s="1"/>
  <c r="CJ161" i="1" s="1"/>
  <c r="CN161" i="1" s="1"/>
  <c r="BW155" i="1"/>
  <c r="BY155" i="1"/>
  <c r="AB53" i="1"/>
  <c r="BW80" i="1"/>
  <c r="AR40" i="1"/>
  <c r="AB54" i="1"/>
  <c r="AS48" i="1" l="1"/>
  <c r="AW14" i="1"/>
  <c r="AW17" i="1" s="1"/>
  <c r="AW19" i="1" s="1"/>
  <c r="AW21" i="1" s="1"/>
  <c r="AW23" i="1" s="1"/>
  <c r="CC160" i="1"/>
  <c r="BK14" i="1"/>
  <c r="BK17" i="1" s="1"/>
  <c r="BK19" i="1" s="1"/>
  <c r="BK21" i="1" s="1"/>
  <c r="BK23" i="1" s="1"/>
  <c r="CA113" i="1"/>
  <c r="CA114" i="1" s="1"/>
  <c r="AH60" i="1"/>
  <c r="AQ50" i="1"/>
  <c r="AQ52" i="1" s="1"/>
  <c r="AQ56" i="1" s="1"/>
  <c r="AK50" i="1"/>
  <c r="AK52" i="1" s="1"/>
  <c r="AK56" i="1" s="1"/>
  <c r="AO48" i="1"/>
  <c r="AQ48" i="1"/>
  <c r="BY50" i="1"/>
  <c r="BY52" i="1" s="1"/>
  <c r="BY56" i="1" s="1"/>
  <c r="AM48" i="1"/>
  <c r="AI50" i="1"/>
  <c r="AI52" i="1" s="1"/>
  <c r="AI56" i="1" s="1"/>
  <c r="AJ50" i="1"/>
  <c r="AJ52" i="1" s="1"/>
  <c r="AJ56" i="1" s="1"/>
  <c r="AN48" i="1"/>
  <c r="AZ60" i="1"/>
  <c r="AP60" i="1"/>
  <c r="BJ48" i="1"/>
  <c r="BY48" i="1"/>
  <c r="AY50" i="1"/>
  <c r="AY52" i="1" s="1"/>
  <c r="AY56" i="1" s="1"/>
  <c r="BC48" i="1"/>
  <c r="AZ48" i="1"/>
  <c r="AV50" i="1"/>
  <c r="AV52" i="1" s="1"/>
  <c r="AV56" i="1" s="1"/>
  <c r="BJ50" i="1"/>
  <c r="BJ52" i="1" s="1"/>
  <c r="BJ56" i="1" s="1"/>
  <c r="BN48" i="1"/>
  <c r="BB60" i="1"/>
  <c r="AX60" i="1"/>
  <c r="BB57" i="1"/>
  <c r="BV105" i="1"/>
  <c r="BV106" i="1" s="1"/>
  <c r="BV65" i="1"/>
  <c r="BV60" i="1"/>
  <c r="BP105" i="1"/>
  <c r="BP106" i="1" s="1"/>
  <c r="BP60" i="1"/>
  <c r="BA57" i="1"/>
  <c r="AW60" i="1"/>
  <c r="BR105" i="1"/>
  <c r="BR106" i="1" s="1"/>
  <c r="BR60" i="1"/>
  <c r="BV57" i="1"/>
  <c r="BN105" i="1"/>
  <c r="BN106" i="1" s="1"/>
  <c r="BN60" i="1"/>
  <c r="BR57" i="1"/>
  <c r="BK60" i="1"/>
  <c r="BE19" i="1"/>
  <c r="BM19" i="1"/>
  <c r="BM21" i="1" s="1"/>
  <c r="BM23" i="1" s="1"/>
  <c r="W62" i="1"/>
  <c r="X64" i="1"/>
  <c r="Y74" i="1"/>
  <c r="Y65" i="1"/>
  <c r="Y66" i="1" s="1"/>
  <c r="Y69" i="1"/>
  <c r="Y70" i="1" s="1"/>
  <c r="AA99" i="1"/>
  <c r="AA97" i="1"/>
  <c r="AA98" i="1"/>
  <c r="Z70" i="1"/>
  <c r="T63" i="1"/>
  <c r="AU48" i="1"/>
  <c r="AC53" i="1"/>
  <c r="AC54" i="1"/>
  <c r="BF57" i="1"/>
  <c r="BD57" i="1"/>
  <c r="BO57" i="1"/>
  <c r="AT57" i="1"/>
  <c r="BG19" i="1"/>
  <c r="AV21" i="1"/>
  <c r="AV23" i="1" s="1"/>
  <c r="AM19" i="1"/>
  <c r="AM21" i="1" s="1"/>
  <c r="CB120" i="1"/>
  <c r="CO103" i="1"/>
  <c r="CN62" i="1"/>
  <c r="CN64" i="1" s="1"/>
  <c r="CC119" i="1"/>
  <c r="CD160" i="1"/>
  <c r="AY21" i="1"/>
  <c r="AY23" i="1" s="1"/>
  <c r="BQ60" i="1"/>
  <c r="BU57" i="1"/>
  <c r="CA146" i="1"/>
  <c r="CB136" i="1"/>
  <c r="CB137" i="1" s="1"/>
  <c r="BX50" i="1"/>
  <c r="BX52" i="1" s="1"/>
  <c r="BX56" i="1" s="1"/>
  <c r="BO60" i="1"/>
  <c r="BH57" i="1"/>
  <c r="BD60" i="1"/>
  <c r="AY48" i="1"/>
  <c r="AU50" i="1"/>
  <c r="AU52" i="1" s="1"/>
  <c r="AU56" i="1" s="1"/>
  <c r="CA99" i="1"/>
  <c r="CA98" i="1"/>
  <c r="AD143" i="1"/>
  <c r="AD145" i="1" s="1"/>
  <c r="CK145" i="1"/>
  <c r="CL143" i="1" s="1"/>
  <c r="CL145" i="1" s="1"/>
  <c r="CM143" i="1" s="1"/>
  <c r="CM145" i="1" s="1"/>
  <c r="CN143" i="1" s="1"/>
  <c r="CN145" i="1" s="1"/>
  <c r="CO143" i="1" s="1"/>
  <c r="CA73" i="1"/>
  <c r="CA74" i="1" s="1"/>
  <c r="CB77" i="1"/>
  <c r="CB113" i="1"/>
  <c r="CB114" i="1" s="1"/>
  <c r="CC162" i="1"/>
  <c r="BW50" i="1"/>
  <c r="BW52" i="1" s="1"/>
  <c r="BW56" i="1" s="1"/>
  <c r="BH60" i="1"/>
  <c r="BE57" i="1"/>
  <c r="BE60" i="1"/>
  <c r="AT60" i="1"/>
  <c r="AX57" i="1"/>
  <c r="AL48" i="1"/>
  <c r="AP48" i="1"/>
  <c r="AL50" i="1"/>
  <c r="AL52" i="1" s="1"/>
  <c r="AL56" i="1" s="1"/>
  <c r="CC104" i="1"/>
  <c r="AM60" i="1"/>
  <c r="BQ57" i="1"/>
  <c r="BM60" i="1"/>
  <c r="AN60" i="1"/>
  <c r="AV48" i="1"/>
  <c r="AR50" i="1"/>
  <c r="AR52" i="1" s="1"/>
  <c r="AR56" i="1" s="1"/>
  <c r="AW48" i="1"/>
  <c r="AS50" i="1"/>
  <c r="AS52" i="1" s="1"/>
  <c r="AS56" i="1" s="1"/>
  <c r="AD128" i="1"/>
  <c r="CL128" i="1"/>
  <c r="CM128" i="1" s="1"/>
  <c r="CN128" i="1" s="1"/>
  <c r="CO128" i="1" s="1"/>
  <c r="AE128" i="1" s="1"/>
  <c r="AO60" i="1"/>
  <c r="CI53" i="1"/>
  <c r="CJ53" i="1" s="1"/>
  <c r="CK53" i="1" s="1"/>
  <c r="CL53" i="1" s="1"/>
  <c r="CC125" i="1"/>
  <c r="CB129" i="1"/>
  <c r="BK48" i="1"/>
  <c r="BG50" i="1"/>
  <c r="BG52" i="1" s="1"/>
  <c r="BG56" i="1" s="1"/>
  <c r="BG48" i="1"/>
  <c r="BC50" i="1"/>
  <c r="BC52" i="1" s="1"/>
  <c r="BC56" i="1" s="1"/>
  <c r="BF60" i="1"/>
  <c r="BU65" i="1"/>
  <c r="BU60" i="1"/>
  <c r="BP48" i="1"/>
  <c r="BL50" i="1"/>
  <c r="BL52" i="1" s="1"/>
  <c r="BL56" i="1" s="1"/>
  <c r="BT48" i="1"/>
  <c r="BX48" i="1"/>
  <c r="BT50" i="1"/>
  <c r="BT52" i="1" s="1"/>
  <c r="BT56" i="1" s="1"/>
  <c r="BS50" i="1"/>
  <c r="BS52" i="1" s="1"/>
  <c r="BS56" i="1" s="1"/>
  <c r="BW48" i="1"/>
  <c r="CI54" i="1"/>
  <c r="CJ54" i="1" s="1"/>
  <c r="CK54" i="1" s="1"/>
  <c r="CL54" i="1" s="1"/>
  <c r="BM48" i="1"/>
  <c r="BI50" i="1"/>
  <c r="BI52" i="1" s="1"/>
  <c r="BI56" i="1" s="1"/>
  <c r="AD108" i="1"/>
  <c r="CL108" i="1"/>
  <c r="CM108" i="1" s="1"/>
  <c r="CN108" i="1" s="1"/>
  <c r="CO108" i="1" s="1"/>
  <c r="AE108" i="1" s="1"/>
  <c r="BU98" i="1"/>
  <c r="BU97" i="1"/>
  <c r="BU99" i="1"/>
  <c r="BS63" i="1"/>
  <c r="BT64" i="1"/>
  <c r="AL19" i="1"/>
  <c r="AL21" i="1" s="1"/>
  <c r="AL23" i="1" s="1"/>
  <c r="BC21" i="1"/>
  <c r="BC23" i="1" s="1"/>
  <c r="AQ14" i="1"/>
  <c r="AQ17" i="1" s="1"/>
  <c r="AQ19" i="1" s="1"/>
  <c r="AQ21" i="1" s="1"/>
  <c r="AQ23" i="1" s="1"/>
  <c r="AT21" i="1"/>
  <c r="AT23" i="1" s="1"/>
  <c r="AU14" i="1"/>
  <c r="AU17" i="1" s="1"/>
  <c r="AU19" i="1" s="1"/>
  <c r="AU21" i="1" s="1"/>
  <c r="AU23" i="1" s="1"/>
  <c r="BB14" i="1"/>
  <c r="BB17" i="1" s="1"/>
  <c r="BB19" i="1" s="1"/>
  <c r="BB21" i="1" s="1"/>
  <c r="BB23" i="1" s="1"/>
  <c r="AR48" i="1"/>
  <c r="BL17" i="1"/>
  <c r="BL19" i="1" s="1"/>
  <c r="BL21" i="1" s="1"/>
  <c r="BL23" i="1" s="1"/>
  <c r="AN14" i="1"/>
  <c r="AN17" i="1" s="1"/>
  <c r="AN19" i="1" s="1"/>
  <c r="AN21" i="1" s="1"/>
  <c r="AN23" i="1" s="1"/>
  <c r="BH14" i="1"/>
  <c r="BH17" i="1" s="1"/>
  <c r="BH19" i="1" s="1"/>
  <c r="BH21" i="1" s="1"/>
  <c r="BH23" i="1" s="1"/>
  <c r="BA14" i="1"/>
  <c r="BA17" i="1" s="1"/>
  <c r="BA19" i="1" s="1"/>
  <c r="BA21" i="1" s="1"/>
  <c r="BA23" i="1" s="1"/>
  <c r="BD14" i="1"/>
  <c r="BD17" i="1" s="1"/>
  <c r="BD19" i="1" s="1"/>
  <c r="BD21" i="1" s="1"/>
  <c r="BD23" i="1" s="1"/>
  <c r="AX14" i="1"/>
  <c r="AX17" i="1" s="1"/>
  <c r="AX19" i="1" s="1"/>
  <c r="AX21" i="1" s="1"/>
  <c r="AX23" i="1" s="1"/>
  <c r="BJ14" i="1"/>
  <c r="BJ17" i="1" s="1"/>
  <c r="BJ19" i="1" s="1"/>
  <c r="BJ21" i="1" s="1"/>
  <c r="BJ23" i="1" s="1"/>
  <c r="AK14" i="1"/>
  <c r="AK17" i="1" s="1"/>
  <c r="AK19" i="1" s="1"/>
  <c r="AK21" i="1" s="1"/>
  <c r="AK23" i="1" s="1"/>
  <c r="AP14" i="1"/>
  <c r="AP17" i="1" s="1"/>
  <c r="AP19" i="1" s="1"/>
  <c r="AP21" i="1" s="1"/>
  <c r="AP23" i="1" s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AZ14" i="1"/>
  <c r="AZ17" i="1" s="1"/>
  <c r="AZ19" i="1" s="1"/>
  <c r="AZ21" i="1" s="1"/>
  <c r="AZ23" i="1" s="1"/>
  <c r="BS48" i="1"/>
  <c r="BL48" i="1"/>
  <c r="BI48" i="1"/>
  <c r="AO14" i="1"/>
  <c r="AO17" i="1" s="1"/>
  <c r="AO19" i="1" s="1"/>
  <c r="AO21" i="1" s="1"/>
  <c r="AO23" i="1" s="1"/>
  <c r="BP115" i="1" l="1"/>
  <c r="BY57" i="1"/>
  <c r="AY60" i="1"/>
  <c r="AV60" i="1"/>
  <c r="AZ57" i="1"/>
  <c r="BN57" i="1"/>
  <c r="BJ60" i="1"/>
  <c r="BV115" i="1"/>
  <c r="BV9" i="1"/>
  <c r="BV158" i="1"/>
  <c r="BV4" i="1"/>
  <c r="BW4" i="1"/>
  <c r="BV69" i="1"/>
  <c r="BV70" i="1" s="1"/>
  <c r="BP4" i="1"/>
  <c r="BQ4" i="1"/>
  <c r="BP158" i="1"/>
  <c r="BP9" i="1"/>
  <c r="AQ60" i="1"/>
  <c r="AU57" i="1"/>
  <c r="AK60" i="1"/>
  <c r="AO57" i="1"/>
  <c r="AQ57" i="1"/>
  <c r="BY60" i="1"/>
  <c r="BY65" i="1"/>
  <c r="AI60" i="1"/>
  <c r="AM57" i="1"/>
  <c r="AJ60" i="1"/>
  <c r="AN57" i="1"/>
  <c r="BJ57" i="1"/>
  <c r="BC57" i="1"/>
  <c r="BR4" i="1"/>
  <c r="BR115" i="1"/>
  <c r="BR9" i="1"/>
  <c r="BR158" i="1"/>
  <c r="BS4" i="1"/>
  <c r="BO4" i="1"/>
  <c r="BN115" i="1"/>
  <c r="BN158" i="1"/>
  <c r="BN9" i="1"/>
  <c r="BN4" i="1"/>
  <c r="BE21" i="1"/>
  <c r="BE23" i="1" s="1"/>
  <c r="BG21" i="1"/>
  <c r="BG23" i="1" s="1"/>
  <c r="AM23" i="1"/>
  <c r="W64" i="1"/>
  <c r="V62" i="1"/>
  <c r="X74" i="1"/>
  <c r="X65" i="1"/>
  <c r="X66" i="1" s="1"/>
  <c r="X69" i="1"/>
  <c r="X70" i="1" s="1"/>
  <c r="Y97" i="1"/>
  <c r="Y98" i="1"/>
  <c r="Y99" i="1"/>
  <c r="Z97" i="1"/>
  <c r="Z99" i="1"/>
  <c r="Z98" i="1"/>
  <c r="S63" i="1"/>
  <c r="CO62" i="1"/>
  <c r="AE103" i="1"/>
  <c r="CC120" i="1"/>
  <c r="AB119" i="1"/>
  <c r="CD119" i="1"/>
  <c r="CE160" i="1"/>
  <c r="AS57" i="1"/>
  <c r="CB146" i="1"/>
  <c r="CC136" i="1"/>
  <c r="BX105" i="1"/>
  <c r="BX106" i="1" s="1"/>
  <c r="BX60" i="1"/>
  <c r="BX65" i="1"/>
  <c r="AY57" i="1"/>
  <c r="AU60" i="1"/>
  <c r="CB99" i="1"/>
  <c r="CB98" i="1"/>
  <c r="AE143" i="1"/>
  <c r="AE145" i="1" s="1"/>
  <c r="CO145" i="1"/>
  <c r="CC77" i="1"/>
  <c r="CB73" i="1"/>
  <c r="CB74" i="1" s="1"/>
  <c r="CC113" i="1"/>
  <c r="CD162" i="1"/>
  <c r="BW60" i="1"/>
  <c r="BW65" i="1"/>
  <c r="AL57" i="1"/>
  <c r="AL60" i="1"/>
  <c r="AP57" i="1"/>
  <c r="CD104" i="1"/>
  <c r="AR60" i="1"/>
  <c r="AV57" i="1"/>
  <c r="AS60" i="1"/>
  <c r="AW57" i="1"/>
  <c r="CM53" i="1"/>
  <c r="CN53" i="1" s="1"/>
  <c r="CO53" i="1" s="1"/>
  <c r="CC129" i="1"/>
  <c r="CD125" i="1"/>
  <c r="AB125" i="1"/>
  <c r="AB129" i="1" s="1"/>
  <c r="BG60" i="1"/>
  <c r="BK57" i="1"/>
  <c r="BG57" i="1"/>
  <c r="BC60" i="1"/>
  <c r="BP57" i="1"/>
  <c r="BL60" i="1"/>
  <c r="BT57" i="1"/>
  <c r="BT105" i="1"/>
  <c r="BT106" i="1" s="1"/>
  <c r="BT65" i="1"/>
  <c r="BX57" i="1"/>
  <c r="BT60" i="1"/>
  <c r="BS60" i="1"/>
  <c r="BW57" i="1"/>
  <c r="CM54" i="1"/>
  <c r="CN54" i="1" s="1"/>
  <c r="CO54" i="1" s="1"/>
  <c r="BV5" i="1"/>
  <c r="BW5" i="1"/>
  <c r="BP5" i="1"/>
  <c r="BP155" i="1"/>
  <c r="BQ5" i="1"/>
  <c r="BM57" i="1"/>
  <c r="BI60" i="1"/>
  <c r="BS64" i="1"/>
  <c r="BS69" i="1" s="1"/>
  <c r="BS70" i="1" s="1"/>
  <c r="BR63" i="1"/>
  <c r="BS57" i="1"/>
  <c r="BL57" i="1"/>
  <c r="BI57" i="1"/>
  <c r="AR57" i="1"/>
  <c r="AD53" i="1"/>
  <c r="AD54" i="1"/>
  <c r="BV155" i="1" l="1"/>
  <c r="BV99" i="1"/>
  <c r="BV98" i="1"/>
  <c r="BV97" i="1"/>
  <c r="Y4" i="1"/>
  <c r="BR155" i="1"/>
  <c r="BS5" i="1"/>
  <c r="BN155" i="1"/>
  <c r="BO5" i="1"/>
  <c r="BR5" i="1"/>
  <c r="BN5" i="1"/>
  <c r="W69" i="1"/>
  <c r="W65" i="1"/>
  <c r="W66" i="1" s="1"/>
  <c r="W74" i="1"/>
  <c r="V64" i="1"/>
  <c r="U62" i="1"/>
  <c r="X97" i="1"/>
  <c r="X99" i="1"/>
  <c r="X98" i="1"/>
  <c r="R63" i="1"/>
  <c r="BW66" i="1"/>
  <c r="CO64" i="1"/>
  <c r="AE62" i="1"/>
  <c r="AE64" i="1" s="1"/>
  <c r="AB160" i="1"/>
  <c r="AB120" i="1"/>
  <c r="CD120" i="1"/>
  <c r="CE119" i="1"/>
  <c r="CF160" i="1"/>
  <c r="CC137" i="1"/>
  <c r="AB136" i="1"/>
  <c r="AB137" i="1" s="1"/>
  <c r="AB146" i="1" s="1"/>
  <c r="BX4" i="1"/>
  <c r="BX9" i="1"/>
  <c r="BX115" i="1"/>
  <c r="BX158" i="1"/>
  <c r="BX69" i="1"/>
  <c r="BX70" i="1" s="1"/>
  <c r="BY4" i="1"/>
  <c r="BY66" i="1"/>
  <c r="BX66" i="1"/>
  <c r="CC99" i="1"/>
  <c r="CC98" i="1"/>
  <c r="CD77" i="1"/>
  <c r="CC73" i="1"/>
  <c r="CC74" i="1" s="1"/>
  <c r="AB113" i="1"/>
  <c r="AB114" i="1" s="1"/>
  <c r="CC114" i="1"/>
  <c r="CD113" i="1"/>
  <c r="CD114" i="1" s="1"/>
  <c r="CE162" i="1"/>
  <c r="CE104" i="1"/>
  <c r="CE125" i="1"/>
  <c r="CD129" i="1"/>
  <c r="BT9" i="1"/>
  <c r="BT115" i="1"/>
  <c r="BT4" i="1"/>
  <c r="BU4" i="1"/>
  <c r="BT69" i="1"/>
  <c r="BT70" i="1" s="1"/>
  <c r="BT158" i="1"/>
  <c r="BW12" i="1"/>
  <c r="BV7" i="1"/>
  <c r="BW13" i="1"/>
  <c r="BW20" i="1"/>
  <c r="BW22" i="1"/>
  <c r="BW15" i="1"/>
  <c r="BW18" i="1"/>
  <c r="BX20" i="1"/>
  <c r="BY20" i="1" s="1"/>
  <c r="BZ20" i="1" s="1"/>
  <c r="BX13" i="1"/>
  <c r="BX12" i="1"/>
  <c r="BX15" i="1"/>
  <c r="BY15" i="1" s="1"/>
  <c r="BZ15" i="1" s="1"/>
  <c r="BX22" i="1"/>
  <c r="BX18" i="1"/>
  <c r="BY18" i="1" s="1"/>
  <c r="BZ18" i="1" s="1"/>
  <c r="BQ12" i="1"/>
  <c r="BQ13" i="1"/>
  <c r="BP7" i="1"/>
  <c r="BQ15" i="1"/>
  <c r="BQ20" i="1"/>
  <c r="BQ22" i="1"/>
  <c r="BQ18" i="1"/>
  <c r="BR18" i="1"/>
  <c r="BR20" i="1"/>
  <c r="BR15" i="1"/>
  <c r="BR12" i="1"/>
  <c r="BQ7" i="1"/>
  <c r="BR22" i="1"/>
  <c r="BR13" i="1"/>
  <c r="BS97" i="1"/>
  <c r="BS98" i="1"/>
  <c r="BS99" i="1"/>
  <c r="BR64" i="1"/>
  <c r="BQ63" i="1"/>
  <c r="BS12" i="1"/>
  <c r="BS20" i="1"/>
  <c r="BS22" i="1"/>
  <c r="BS13" i="1"/>
  <c r="BS15" i="1"/>
  <c r="BS18" i="1"/>
  <c r="BT18" i="1"/>
  <c r="BT15" i="1"/>
  <c r="BT12" i="1"/>
  <c r="BT22" i="1"/>
  <c r="BT13" i="1"/>
  <c r="BT20" i="1"/>
  <c r="BS7" i="1"/>
  <c r="BW7" i="1"/>
  <c r="BN7" i="1"/>
  <c r="BO20" i="1"/>
  <c r="BO15" i="1"/>
  <c r="BO22" i="1"/>
  <c r="Y5" i="1"/>
  <c r="BO12" i="1"/>
  <c r="BO13" i="1"/>
  <c r="BO18" i="1"/>
  <c r="BP18" i="1"/>
  <c r="BP22" i="1"/>
  <c r="BP12" i="1"/>
  <c r="BP15" i="1"/>
  <c r="BP20" i="1"/>
  <c r="BP13" i="1"/>
  <c r="BO7" i="1"/>
  <c r="AE53" i="1"/>
  <c r="BS65" i="1"/>
  <c r="AE54" i="1"/>
  <c r="BR7" i="1" l="1"/>
  <c r="V69" i="1"/>
  <c r="V65" i="1"/>
  <c r="V66" i="1" s="1"/>
  <c r="V74" i="1"/>
  <c r="U64" i="1"/>
  <c r="T62" i="1"/>
  <c r="W70" i="1"/>
  <c r="Q63" i="1"/>
  <c r="CE120" i="1"/>
  <c r="CF119" i="1"/>
  <c r="CG160" i="1"/>
  <c r="CC146" i="1"/>
  <c r="CD136" i="1"/>
  <c r="CD137" i="1" s="1"/>
  <c r="BX5" i="1"/>
  <c r="BY5" i="1"/>
  <c r="BX148" i="1"/>
  <c r="BX97" i="1"/>
  <c r="BX99" i="1"/>
  <c r="BX98" i="1"/>
  <c r="CD99" i="1"/>
  <c r="CD98" i="1"/>
  <c r="CD73" i="1"/>
  <c r="CD74" i="1" s="1"/>
  <c r="CE77" i="1"/>
  <c r="AB161" i="1"/>
  <c r="CE113" i="1"/>
  <c r="CE114" i="1" s="1"/>
  <c r="CF162" i="1"/>
  <c r="CF104" i="1"/>
  <c r="CE129" i="1"/>
  <c r="CF125" i="1"/>
  <c r="BT5" i="1"/>
  <c r="BU5" i="1"/>
  <c r="BT155" i="1"/>
  <c r="BT98" i="1"/>
  <c r="BT97" i="1"/>
  <c r="BT99" i="1"/>
  <c r="BW14" i="1"/>
  <c r="BW17" i="1" s="1"/>
  <c r="BW19" i="1" s="1"/>
  <c r="BW21" i="1" s="1"/>
  <c r="BW23" i="1" s="1"/>
  <c r="CA20" i="1"/>
  <c r="BX14" i="1"/>
  <c r="BX17" i="1" s="1"/>
  <c r="BX19" i="1" s="1"/>
  <c r="BX21" i="1" s="1"/>
  <c r="BX23" i="1" s="1"/>
  <c r="CA15" i="1"/>
  <c r="CA18" i="1"/>
  <c r="BR69" i="1"/>
  <c r="BR70" i="1" s="1"/>
  <c r="BR65" i="1"/>
  <c r="BP63" i="1"/>
  <c r="BQ64" i="1"/>
  <c r="Z22" i="1"/>
  <c r="Z18" i="1"/>
  <c r="Z13" i="1"/>
  <c r="Z12" i="1"/>
  <c r="Z14" i="1" s="1"/>
  <c r="Z15" i="1"/>
  <c r="Z20" i="1"/>
  <c r="Y7" i="1"/>
  <c r="BQ14" i="1"/>
  <c r="BQ17" i="1" s="1"/>
  <c r="BQ19" i="1" s="1"/>
  <c r="BQ21" i="1" s="1"/>
  <c r="BQ23" i="1" s="1"/>
  <c r="BR14" i="1"/>
  <c r="BR17" i="1" s="1"/>
  <c r="BR19" i="1" s="1"/>
  <c r="BR21" i="1" s="1"/>
  <c r="BR23" i="1" s="1"/>
  <c r="BS14" i="1"/>
  <c r="BS17" i="1" s="1"/>
  <c r="BS19" i="1" s="1"/>
  <c r="BS21" i="1" s="1"/>
  <c r="BS23" i="1" s="1"/>
  <c r="BT14" i="1"/>
  <c r="BT17" i="1" s="1"/>
  <c r="BT19" i="1" s="1"/>
  <c r="BT21" i="1" s="1"/>
  <c r="BT23" i="1" s="1"/>
  <c r="AA4" i="1"/>
  <c r="Z4" i="1"/>
  <c r="BV66" i="1"/>
  <c r="BO14" i="1"/>
  <c r="BO17" i="1" s="1"/>
  <c r="BO19" i="1" s="1"/>
  <c r="BO21" i="1" s="1"/>
  <c r="BO23" i="1" s="1"/>
  <c r="BP14" i="1"/>
  <c r="BP17" i="1" s="1"/>
  <c r="BP19" i="1" s="1"/>
  <c r="BP21" i="1" s="1"/>
  <c r="BP23" i="1" s="1"/>
  <c r="U65" i="1" l="1"/>
  <c r="U66" i="1" s="1"/>
  <c r="U69" i="1"/>
  <c r="U74" i="1"/>
  <c r="T64" i="1"/>
  <c r="S62" i="1"/>
  <c r="W98" i="1"/>
  <c r="W99" i="1"/>
  <c r="W97" i="1"/>
  <c r="V70" i="1"/>
  <c r="P63" i="1"/>
  <c r="Z17" i="1"/>
  <c r="Z19" i="1" s="1"/>
  <c r="Z21" i="1" s="1"/>
  <c r="Z23" i="1" s="1"/>
  <c r="CF120" i="1"/>
  <c r="CG119" i="1"/>
  <c r="CH160" i="1"/>
  <c r="BZ49" i="1"/>
  <c r="BZ41" i="1"/>
  <c r="BZ38" i="1"/>
  <c r="CD146" i="1"/>
  <c r="CE136" i="1"/>
  <c r="CE137" i="1" s="1"/>
  <c r="AA5" i="1"/>
  <c r="BX7" i="1"/>
  <c r="BY22" i="1"/>
  <c r="BX150" i="1"/>
  <c r="BX154" i="1" s="1"/>
  <c r="BX155" i="1" s="1"/>
  <c r="BX81" i="1"/>
  <c r="CE99" i="1"/>
  <c r="CE98" i="1"/>
  <c r="CE73" i="1"/>
  <c r="CE74" i="1" s="1"/>
  <c r="CF77" i="1"/>
  <c r="CF113" i="1"/>
  <c r="CF114" i="1" s="1"/>
  <c r="CG162" i="1"/>
  <c r="CG104" i="1"/>
  <c r="CF129" i="1"/>
  <c r="CG125" i="1"/>
  <c r="Z5" i="1"/>
  <c r="BT7" i="1"/>
  <c r="BU12" i="1"/>
  <c r="BU13" i="1"/>
  <c r="BU20" i="1"/>
  <c r="BU15" i="1"/>
  <c r="BU22" i="1"/>
  <c r="BU18" i="1"/>
  <c r="BV12" i="1"/>
  <c r="BV15" i="1"/>
  <c r="BV22" i="1"/>
  <c r="BV18" i="1"/>
  <c r="BV13" i="1"/>
  <c r="BU7" i="1"/>
  <c r="BV20" i="1"/>
  <c r="CB20" i="1"/>
  <c r="CB15" i="1"/>
  <c r="CB18" i="1"/>
  <c r="BR99" i="1"/>
  <c r="BR98" i="1"/>
  <c r="BR97" i="1"/>
  <c r="BP64" i="1"/>
  <c r="BO63" i="1"/>
  <c r="BQ65" i="1"/>
  <c r="BQ69" i="1"/>
  <c r="BQ70" i="1" s="1"/>
  <c r="BY7" i="1"/>
  <c r="BT66" i="1"/>
  <c r="BU66" i="1"/>
  <c r="T65" i="1" l="1"/>
  <c r="T66" i="1" s="1"/>
  <c r="T74" i="1"/>
  <c r="T69" i="1"/>
  <c r="T70" i="1" s="1"/>
  <c r="S64" i="1"/>
  <c r="R62" i="1"/>
  <c r="V98" i="1"/>
  <c r="V99" i="1"/>
  <c r="V97" i="1"/>
  <c r="U70" i="1"/>
  <c r="O63" i="1"/>
  <c r="AC119" i="1"/>
  <c r="CG120" i="1"/>
  <c r="CH119" i="1"/>
  <c r="CI160" i="1"/>
  <c r="BZ46" i="1"/>
  <c r="CE146" i="1"/>
  <c r="CF136" i="1"/>
  <c r="CF137" i="1" s="1"/>
  <c r="AA7" i="1"/>
  <c r="BX82" i="1"/>
  <c r="BX80" i="1" s="1"/>
  <c r="BY82" i="1"/>
  <c r="BY80" i="1" s="1"/>
  <c r="CF99" i="1"/>
  <c r="CF98" i="1"/>
  <c r="CF73" i="1"/>
  <c r="CF74" i="1" s="1"/>
  <c r="CG77" i="1"/>
  <c r="CG113" i="1"/>
  <c r="CH162" i="1"/>
  <c r="CH104" i="1"/>
  <c r="CG129" i="1"/>
  <c r="CH125" i="1"/>
  <c r="AC125" i="1"/>
  <c r="AC129" i="1" s="1"/>
  <c r="Z7" i="1"/>
  <c r="AA15" i="1"/>
  <c r="AA13" i="1"/>
  <c r="AA20" i="1"/>
  <c r="AA12" i="1"/>
  <c r="AA18" i="1"/>
  <c r="AA22" i="1"/>
  <c r="BY12" i="1"/>
  <c r="BU14" i="1"/>
  <c r="BU17" i="1" s="1"/>
  <c r="BU19" i="1" s="1"/>
  <c r="BU21" i="1" s="1"/>
  <c r="BU23" i="1" s="1"/>
  <c r="BV14" i="1"/>
  <c r="BV17" i="1" s="1"/>
  <c r="BV19" i="1" s="1"/>
  <c r="BV21" i="1" s="1"/>
  <c r="BV23" i="1" s="1"/>
  <c r="CC20" i="1"/>
  <c r="CC15" i="1"/>
  <c r="CC18" i="1"/>
  <c r="BP69" i="1"/>
  <c r="BP70" i="1" s="1"/>
  <c r="BP65" i="1"/>
  <c r="BN63" i="1"/>
  <c r="BO64" i="1"/>
  <c r="BQ97" i="1"/>
  <c r="BQ98" i="1"/>
  <c r="BQ99" i="1"/>
  <c r="BY13" i="1"/>
  <c r="T97" i="1" l="1"/>
  <c r="T98" i="1"/>
  <c r="T99" i="1"/>
  <c r="S65" i="1"/>
  <c r="S66" i="1" s="1"/>
  <c r="S74" i="1"/>
  <c r="S69" i="1"/>
  <c r="S70" i="1" s="1"/>
  <c r="R64" i="1"/>
  <c r="Q62" i="1"/>
  <c r="U97" i="1"/>
  <c r="U98" i="1"/>
  <c r="U99" i="1"/>
  <c r="N63" i="1"/>
  <c r="AC160" i="1"/>
  <c r="AC120" i="1"/>
  <c r="CH120" i="1"/>
  <c r="CI119" i="1"/>
  <c r="CJ160" i="1"/>
  <c r="BZ12" i="1"/>
  <c r="BZ13" i="1"/>
  <c r="CF146" i="1"/>
  <c r="CG136" i="1"/>
  <c r="CG99" i="1"/>
  <c r="CG98" i="1"/>
  <c r="CH77" i="1"/>
  <c r="CG73" i="1"/>
  <c r="CG74" i="1" s="1"/>
  <c r="CG114" i="1"/>
  <c r="AC113" i="1"/>
  <c r="AC114" i="1" s="1"/>
  <c r="CH113" i="1"/>
  <c r="CH114" i="1" s="1"/>
  <c r="CI162" i="1"/>
  <c r="CI104" i="1"/>
  <c r="CH129" i="1"/>
  <c r="CI125" i="1"/>
  <c r="BY14" i="1"/>
  <c r="BY17" i="1" s="1"/>
  <c r="BY19" i="1" s="1"/>
  <c r="BY21" i="1" s="1"/>
  <c r="BY23" i="1" s="1"/>
  <c r="CD20" i="1"/>
  <c r="CD15" i="1"/>
  <c r="CD18" i="1"/>
  <c r="BP99" i="1"/>
  <c r="BP97" i="1"/>
  <c r="BP98" i="1"/>
  <c r="BS66" i="1"/>
  <c r="BN64" i="1"/>
  <c r="BM63" i="1"/>
  <c r="BO65" i="1"/>
  <c r="BO69" i="1"/>
  <c r="BO70" i="1" s="1"/>
  <c r="AA14" i="1"/>
  <c r="AA17" i="1" s="1"/>
  <c r="AA19" i="1" s="1"/>
  <c r="AA21" i="1" s="1"/>
  <c r="AA23" i="1" s="1"/>
  <c r="CA12" i="1" l="1"/>
  <c r="S99" i="1"/>
  <c r="S97" i="1"/>
  <c r="S98" i="1"/>
  <c r="R65" i="1"/>
  <c r="R66" i="1" s="1"/>
  <c r="R69" i="1"/>
  <c r="R74" i="1"/>
  <c r="Q64" i="1"/>
  <c r="P62" i="1"/>
  <c r="BZ35" i="1"/>
  <c r="M63" i="1"/>
  <c r="BZ14" i="1"/>
  <c r="BZ17" i="1" s="1"/>
  <c r="BZ19" i="1" s="1"/>
  <c r="BZ21" i="1" s="1"/>
  <c r="CI120" i="1"/>
  <c r="CJ119" i="1"/>
  <c r="BZ36" i="1"/>
  <c r="CK160" i="1"/>
  <c r="CA13" i="1"/>
  <c r="CG137" i="1"/>
  <c r="AC136" i="1"/>
  <c r="AC137" i="1" s="1"/>
  <c r="AC146" i="1" s="1"/>
  <c r="CH99" i="1"/>
  <c r="CH98" i="1"/>
  <c r="CI77" i="1"/>
  <c r="CH73" i="1"/>
  <c r="CH74" i="1" s="1"/>
  <c r="AC161" i="1"/>
  <c r="CI113" i="1"/>
  <c r="CI114" i="1" s="1"/>
  <c r="CJ162" i="1"/>
  <c r="CJ104" i="1"/>
  <c r="CI129" i="1"/>
  <c r="CJ125" i="1"/>
  <c r="CE20" i="1"/>
  <c r="CE15" i="1"/>
  <c r="CE18" i="1"/>
  <c r="BN69" i="1"/>
  <c r="BN70" i="1" s="1"/>
  <c r="BN65" i="1"/>
  <c r="BL63" i="1"/>
  <c r="BM64" i="1"/>
  <c r="BR66" i="1"/>
  <c r="BQ66" i="1"/>
  <c r="BO97" i="1"/>
  <c r="BO99" i="1"/>
  <c r="BO98" i="1"/>
  <c r="CB12" i="1" l="1"/>
  <c r="CC12" i="1"/>
  <c r="Q74" i="1"/>
  <c r="Q69" i="1"/>
  <c r="Q70" i="1" s="1"/>
  <c r="Q65" i="1"/>
  <c r="Q66" i="1" s="1"/>
  <c r="P64" i="1"/>
  <c r="O62" i="1"/>
  <c r="R70" i="1"/>
  <c r="L63" i="1"/>
  <c r="CJ120" i="1"/>
  <c r="CK119" i="1"/>
  <c r="CA14" i="1"/>
  <c r="CA17" i="1" s="1"/>
  <c r="CA19" i="1" s="1"/>
  <c r="CA21" i="1" s="1"/>
  <c r="CB13" i="1"/>
  <c r="BZ37" i="1"/>
  <c r="CL160" i="1"/>
  <c r="CG146" i="1"/>
  <c r="CH136" i="1"/>
  <c r="CH137" i="1" s="1"/>
  <c r="CI99" i="1"/>
  <c r="CI98" i="1"/>
  <c r="CJ77" i="1"/>
  <c r="CI73" i="1"/>
  <c r="CI74" i="1" s="1"/>
  <c r="CJ113" i="1"/>
  <c r="CJ114" i="1" s="1"/>
  <c r="CK162" i="1"/>
  <c r="CK104" i="1"/>
  <c r="CJ129" i="1"/>
  <c r="CK125" i="1"/>
  <c r="CF20" i="1"/>
  <c r="CF15" i="1"/>
  <c r="CF18" i="1"/>
  <c r="BN99" i="1"/>
  <c r="BN97" i="1"/>
  <c r="BN98" i="1"/>
  <c r="BK63" i="1"/>
  <c r="BL64" i="1"/>
  <c r="BM65" i="1"/>
  <c r="BM69" i="1"/>
  <c r="BM70" i="1" s="1"/>
  <c r="CD12" i="1" l="1"/>
  <c r="Q97" i="1"/>
  <c r="Q99" i="1"/>
  <c r="Q98" i="1"/>
  <c r="P74" i="1"/>
  <c r="P69" i="1"/>
  <c r="P70" i="1" s="1"/>
  <c r="P65" i="1"/>
  <c r="P66" i="1" s="1"/>
  <c r="O64" i="1"/>
  <c r="N62" i="1"/>
  <c r="R97" i="1"/>
  <c r="R98" i="1"/>
  <c r="R99" i="1"/>
  <c r="CC13" i="1"/>
  <c r="CD13" i="1" s="1"/>
  <c r="K63" i="1"/>
  <c r="BZ39" i="1"/>
  <c r="CK120" i="1"/>
  <c r="AD119" i="1"/>
  <c r="CB14" i="1"/>
  <c r="CB17" i="1" s="1"/>
  <c r="CB19" i="1" s="1"/>
  <c r="CB21" i="1" s="1"/>
  <c r="CL119" i="1"/>
  <c r="CL120" i="1" s="1"/>
  <c r="CM160" i="1"/>
  <c r="CH146" i="1"/>
  <c r="CI136" i="1"/>
  <c r="CI137" i="1" s="1"/>
  <c r="CJ99" i="1"/>
  <c r="CJ98" i="1"/>
  <c r="CK77" i="1"/>
  <c r="CJ73" i="1"/>
  <c r="CJ74" i="1" s="1"/>
  <c r="CK113" i="1"/>
  <c r="CL162" i="1"/>
  <c r="CL104" i="1"/>
  <c r="CL125" i="1"/>
  <c r="CK129" i="1"/>
  <c r="AD125" i="1"/>
  <c r="AD129" i="1" s="1"/>
  <c r="CG20" i="1"/>
  <c r="CG15" i="1"/>
  <c r="CG18" i="1"/>
  <c r="BK64" i="1"/>
  <c r="BJ63" i="1"/>
  <c r="BL65" i="1"/>
  <c r="BL69" i="1"/>
  <c r="BL70" i="1" s="1"/>
  <c r="BP66" i="1"/>
  <c r="BO66" i="1"/>
  <c r="BM99" i="1"/>
  <c r="BM97" i="1"/>
  <c r="BM98" i="1"/>
  <c r="CE12" i="1" l="1"/>
  <c r="CE13" i="1"/>
  <c r="CD14" i="1"/>
  <c r="CD17" i="1" s="1"/>
  <c r="CD19" i="1" s="1"/>
  <c r="CD21" i="1" s="1"/>
  <c r="P98" i="1"/>
  <c r="P97" i="1"/>
  <c r="P99" i="1"/>
  <c r="O65" i="1"/>
  <c r="O66" i="1" s="1"/>
  <c r="O69" i="1"/>
  <c r="O74" i="1"/>
  <c r="N64" i="1"/>
  <c r="M62" i="1"/>
  <c r="CC14" i="1"/>
  <c r="CC17" i="1" s="1"/>
  <c r="CC19" i="1" s="1"/>
  <c r="CC21" i="1" s="1"/>
  <c r="J63" i="1"/>
  <c r="BZ40" i="1"/>
  <c r="BZ47" i="1"/>
  <c r="AD120" i="1"/>
  <c r="AD160" i="1"/>
  <c r="CM119" i="1"/>
  <c r="CM120" i="1" s="1"/>
  <c r="CN160" i="1"/>
  <c r="CN119" i="1" s="1"/>
  <c r="CN120" i="1" s="1"/>
  <c r="CI146" i="1"/>
  <c r="CJ136" i="1"/>
  <c r="CJ137" i="1" s="1"/>
  <c r="CK99" i="1"/>
  <c r="CK98" i="1"/>
  <c r="CL77" i="1"/>
  <c r="CK73" i="1"/>
  <c r="CK74" i="1" s="1"/>
  <c r="CK114" i="1"/>
  <c r="AD113" i="1"/>
  <c r="AD114" i="1" s="1"/>
  <c r="CL113" i="1"/>
  <c r="CL114" i="1" s="1"/>
  <c r="CM162" i="1"/>
  <c r="CM104" i="1"/>
  <c r="CL129" i="1"/>
  <c r="CM125" i="1"/>
  <c r="CH20" i="1"/>
  <c r="CH15" i="1"/>
  <c r="CH18" i="1"/>
  <c r="BK65" i="1"/>
  <c r="BK69" i="1"/>
  <c r="BK70" i="1" s="1"/>
  <c r="BI63" i="1"/>
  <c r="BJ64" i="1"/>
  <c r="BL99" i="1"/>
  <c r="BL98" i="1"/>
  <c r="BL97" i="1"/>
  <c r="CE14" i="1" l="1"/>
  <c r="CE17" i="1" s="1"/>
  <c r="CE19" i="1" s="1"/>
  <c r="CE21" i="1" s="1"/>
  <c r="CF12" i="1"/>
  <c r="CG12" i="1" s="1"/>
  <c r="CF13" i="1"/>
  <c r="CF14" i="1" s="1"/>
  <c r="CF17" i="1" s="1"/>
  <c r="CF19" i="1" s="1"/>
  <c r="CF21" i="1" s="1"/>
  <c r="N74" i="1"/>
  <c r="N69" i="1"/>
  <c r="N70" i="1" s="1"/>
  <c r="N65" i="1"/>
  <c r="N66" i="1" s="1"/>
  <c r="M64" i="1"/>
  <c r="L62" i="1"/>
  <c r="O70" i="1"/>
  <c r="BZ48" i="1"/>
  <c r="BZ50" i="1"/>
  <c r="I63" i="1"/>
  <c r="CO160" i="1"/>
  <c r="CO119" i="1" s="1"/>
  <c r="CJ146" i="1"/>
  <c r="CK136" i="1"/>
  <c r="CL99" i="1"/>
  <c r="CL98" i="1"/>
  <c r="CM77" i="1"/>
  <c r="CL73" i="1"/>
  <c r="CL74" i="1" s="1"/>
  <c r="AD161" i="1"/>
  <c r="CM113" i="1"/>
  <c r="CM114" i="1" s="1"/>
  <c r="CN162" i="1"/>
  <c r="CN104" i="1"/>
  <c r="CM129" i="1"/>
  <c r="CN125" i="1"/>
  <c r="CI20" i="1"/>
  <c r="CI15" i="1"/>
  <c r="CI18" i="1"/>
  <c r="BN66" i="1"/>
  <c r="BK99" i="1"/>
  <c r="BK98" i="1"/>
  <c r="BK97" i="1"/>
  <c r="BH63" i="1"/>
  <c r="BI64" i="1"/>
  <c r="BJ65" i="1"/>
  <c r="BJ69" i="1"/>
  <c r="BJ70" i="1" s="1"/>
  <c r="CG13" i="1" l="1"/>
  <c r="CH12" i="1"/>
  <c r="CH13" i="1"/>
  <c r="CG14" i="1"/>
  <c r="CG17" i="1" s="1"/>
  <c r="CG19" i="1" s="1"/>
  <c r="CG21" i="1" s="1"/>
  <c r="N99" i="1"/>
  <c r="N98" i="1"/>
  <c r="N97" i="1"/>
  <c r="M69" i="1"/>
  <c r="M65" i="1"/>
  <c r="M66" i="1" s="1"/>
  <c r="M74" i="1"/>
  <c r="L64" i="1"/>
  <c r="K62" i="1"/>
  <c r="O98" i="1"/>
  <c r="O97" i="1"/>
  <c r="O99" i="1"/>
  <c r="BZ51" i="1"/>
  <c r="H63" i="1"/>
  <c r="BM66" i="1"/>
  <c r="CO120" i="1"/>
  <c r="AE119" i="1"/>
  <c r="AD136" i="1"/>
  <c r="AD137" i="1" s="1"/>
  <c r="AD146" i="1" s="1"/>
  <c r="CK137" i="1"/>
  <c r="CM99" i="1"/>
  <c r="CM98" i="1"/>
  <c r="CN77" i="1"/>
  <c r="CM73" i="1"/>
  <c r="CM74" i="1" s="1"/>
  <c r="CN113" i="1"/>
  <c r="CN114" i="1" s="1"/>
  <c r="CO162" i="1"/>
  <c r="CO113" i="1" s="1"/>
  <c r="CO104" i="1"/>
  <c r="CN129" i="1"/>
  <c r="CO125" i="1"/>
  <c r="BZ22" i="1"/>
  <c r="BZ23" i="1" s="1"/>
  <c r="CJ20" i="1"/>
  <c r="CJ15" i="1"/>
  <c r="CJ18" i="1"/>
  <c r="BH64" i="1"/>
  <c r="BG63" i="1"/>
  <c r="BI65" i="1"/>
  <c r="BI69" i="1"/>
  <c r="BI70" i="1" s="1"/>
  <c r="BJ98" i="1"/>
  <c r="BJ99" i="1"/>
  <c r="BJ97" i="1"/>
  <c r="BZ52" i="1"/>
  <c r="BZ56" i="1" s="1"/>
  <c r="CI12" i="1" l="1"/>
  <c r="CJ12" i="1" s="1"/>
  <c r="CI13" i="1"/>
  <c r="CH14" i="1"/>
  <c r="CH17" i="1" s="1"/>
  <c r="CH19" i="1" s="1"/>
  <c r="CH21" i="1" s="1"/>
  <c r="L69" i="1"/>
  <c r="L65" i="1"/>
  <c r="L66" i="1" s="1"/>
  <c r="L74" i="1"/>
  <c r="K64" i="1"/>
  <c r="J62" i="1"/>
  <c r="M70" i="1"/>
  <c r="G63" i="1"/>
  <c r="AE120" i="1"/>
  <c r="AE160" i="1"/>
  <c r="CK146" i="1"/>
  <c r="CL136" i="1"/>
  <c r="CL137" i="1" s="1"/>
  <c r="CN99" i="1"/>
  <c r="CN98" i="1"/>
  <c r="CN73" i="1"/>
  <c r="CN74" i="1" s="1"/>
  <c r="CO77" i="1"/>
  <c r="CO73" i="1" s="1"/>
  <c r="CO74" i="1" s="1"/>
  <c r="CO114" i="1"/>
  <c r="AE113" i="1"/>
  <c r="AE114" i="1" s="1"/>
  <c r="CO129" i="1"/>
  <c r="AE125" i="1"/>
  <c r="AE129" i="1" s="1"/>
  <c r="CK20" i="1"/>
  <c r="CK15" i="1"/>
  <c r="CK18" i="1"/>
  <c r="BH65" i="1"/>
  <c r="BH69" i="1"/>
  <c r="BH70" i="1" s="1"/>
  <c r="BF63" i="1"/>
  <c r="BG64" i="1"/>
  <c r="BL66" i="1"/>
  <c r="BI97" i="1"/>
  <c r="BI98" i="1"/>
  <c r="BI99" i="1"/>
  <c r="BZ65" i="1"/>
  <c r="BZ66" i="1" s="1"/>
  <c r="BZ105" i="1"/>
  <c r="BZ57" i="1"/>
  <c r="CK12" i="1" l="1"/>
  <c r="L70" i="1"/>
  <c r="CJ13" i="1"/>
  <c r="CI14" i="1"/>
  <c r="CI17" i="1" s="1"/>
  <c r="CI19" i="1" s="1"/>
  <c r="CI21" i="1" s="1"/>
  <c r="L99" i="1"/>
  <c r="L97" i="1"/>
  <c r="K74" i="1"/>
  <c r="K65" i="1"/>
  <c r="K66" i="1" s="1"/>
  <c r="K69" i="1"/>
  <c r="J64" i="1"/>
  <c r="I62" i="1"/>
  <c r="M97" i="1"/>
  <c r="M98" i="1"/>
  <c r="M99" i="1"/>
  <c r="F63" i="1"/>
  <c r="CL146" i="1"/>
  <c r="CM136" i="1"/>
  <c r="CM137" i="1" s="1"/>
  <c r="CO99" i="1"/>
  <c r="CO98" i="1"/>
  <c r="AE161" i="1"/>
  <c r="CL20" i="1"/>
  <c r="CL15" i="1"/>
  <c r="CL18" i="1"/>
  <c r="BK66" i="1"/>
  <c r="BH98" i="1"/>
  <c r="BH97" i="1"/>
  <c r="BH99" i="1"/>
  <c r="BF64" i="1"/>
  <c r="BE63" i="1"/>
  <c r="BG65" i="1"/>
  <c r="BG69" i="1"/>
  <c r="BG70" i="1" s="1"/>
  <c r="BZ106" i="1"/>
  <c r="L98" i="1" l="1"/>
  <c r="K70" i="1"/>
  <c r="CL12" i="1"/>
  <c r="CM12" i="1" s="1"/>
  <c r="CN12" i="1" s="1"/>
  <c r="CK13" i="1"/>
  <c r="CJ14" i="1"/>
  <c r="CJ17" i="1" s="1"/>
  <c r="CJ19" i="1" s="1"/>
  <c r="CJ21" i="1" s="1"/>
  <c r="J74" i="1"/>
  <c r="J69" i="1"/>
  <c r="J70" i="1" s="1"/>
  <c r="J65" i="1"/>
  <c r="J66" i="1" s="1"/>
  <c r="I64" i="1"/>
  <c r="H62" i="1"/>
  <c r="E63" i="1"/>
  <c r="CM146" i="1"/>
  <c r="CN136" i="1"/>
  <c r="CN137" i="1" s="1"/>
  <c r="CM20" i="1"/>
  <c r="CM15" i="1"/>
  <c r="CM18" i="1"/>
  <c r="BF65" i="1"/>
  <c r="BF69" i="1"/>
  <c r="BF70" i="1" s="1"/>
  <c r="BD63" i="1"/>
  <c r="BE64" i="1"/>
  <c r="BJ66" i="1"/>
  <c r="BG97" i="1"/>
  <c r="BG99" i="1"/>
  <c r="BG98" i="1"/>
  <c r="BZ115" i="1"/>
  <c r="BZ9" i="1"/>
  <c r="BZ158" i="1"/>
  <c r="BZ4" i="1"/>
  <c r="BZ69" i="1"/>
  <c r="BZ70" i="1" s="1"/>
  <c r="CO12" i="1" l="1"/>
  <c r="K97" i="1"/>
  <c r="K99" i="1"/>
  <c r="K98" i="1"/>
  <c r="CL13" i="1"/>
  <c r="CM13" i="1"/>
  <c r="CM14" i="1" s="1"/>
  <c r="CK14" i="1"/>
  <c r="CK17" i="1" s="1"/>
  <c r="CK19" i="1" s="1"/>
  <c r="CK21" i="1" s="1"/>
  <c r="J97" i="1"/>
  <c r="J99" i="1"/>
  <c r="J98" i="1"/>
  <c r="I74" i="1"/>
  <c r="I65" i="1"/>
  <c r="I66" i="1" s="1"/>
  <c r="I69" i="1"/>
  <c r="I70" i="1" s="1"/>
  <c r="H64" i="1"/>
  <c r="G62" i="1"/>
  <c r="D63" i="1"/>
  <c r="CN146" i="1"/>
  <c r="CO136" i="1"/>
  <c r="CN20" i="1"/>
  <c r="CN15" i="1"/>
  <c r="CN18" i="1"/>
  <c r="BI66" i="1"/>
  <c r="BF99" i="1"/>
  <c r="BF98" i="1"/>
  <c r="BF97" i="1"/>
  <c r="BC63" i="1"/>
  <c r="BD64" i="1"/>
  <c r="BE65" i="1"/>
  <c r="BE69" i="1"/>
  <c r="BE70" i="1" s="1"/>
  <c r="BZ148" i="1"/>
  <c r="BZ5" i="1"/>
  <c r="BZ90" i="1"/>
  <c r="BZ91" i="1"/>
  <c r="BZ97" i="1"/>
  <c r="CM17" i="1" l="1"/>
  <c r="CM19" i="1" s="1"/>
  <c r="CM21" i="1" s="1"/>
  <c r="CN13" i="1"/>
  <c r="CN14" i="1" s="1"/>
  <c r="CL14" i="1"/>
  <c r="CL17" i="1" s="1"/>
  <c r="CL19" i="1" s="1"/>
  <c r="CL21" i="1" s="1"/>
  <c r="I99" i="1"/>
  <c r="I97" i="1"/>
  <c r="I98" i="1"/>
  <c r="H74" i="1"/>
  <c r="H65" i="1"/>
  <c r="H66" i="1" s="1"/>
  <c r="H69" i="1"/>
  <c r="H70" i="1" s="1"/>
  <c r="G64" i="1"/>
  <c r="F62" i="1"/>
  <c r="C63" i="1"/>
  <c r="AE136" i="1"/>
  <c r="AE137" i="1" s="1"/>
  <c r="AE146" i="1" s="1"/>
  <c r="CO137" i="1"/>
  <c r="CO146" i="1" s="1"/>
  <c r="CO20" i="1"/>
  <c r="CO15" i="1"/>
  <c r="CO18" i="1"/>
  <c r="BC64" i="1"/>
  <c r="BB63" i="1"/>
  <c r="BD65" i="1"/>
  <c r="BD69" i="1"/>
  <c r="BD70" i="1" s="1"/>
  <c r="BE99" i="1"/>
  <c r="BE98" i="1"/>
  <c r="BE97" i="1"/>
  <c r="BZ150" i="1"/>
  <c r="BZ154" i="1" s="1"/>
  <c r="BZ155" i="1" s="1"/>
  <c r="BZ81" i="1"/>
  <c r="CA41" i="1"/>
  <c r="CA49" i="1"/>
  <c r="CA35" i="1"/>
  <c r="CA38" i="1"/>
  <c r="CA36" i="1"/>
  <c r="BZ7" i="1"/>
  <c r="BZ93" i="1"/>
  <c r="BZ94" i="1"/>
  <c r="BH66" i="1"/>
  <c r="BG66" i="1" l="1"/>
  <c r="CO13" i="1"/>
  <c r="CO14" i="1" s="1"/>
  <c r="CN17" i="1"/>
  <c r="CN19" i="1" s="1"/>
  <c r="CN21" i="1" s="1"/>
  <c r="H98" i="1"/>
  <c r="H99" i="1"/>
  <c r="H97" i="1"/>
  <c r="G69" i="1"/>
  <c r="G74" i="1"/>
  <c r="G65" i="1"/>
  <c r="G66" i="1" s="1"/>
  <c r="F64" i="1"/>
  <c r="E62" i="1"/>
  <c r="B63" i="1"/>
  <c r="CA46" i="1"/>
  <c r="BC65" i="1"/>
  <c r="BC69" i="1"/>
  <c r="BC70" i="1" s="1"/>
  <c r="BB64" i="1"/>
  <c r="BA63" i="1"/>
  <c r="BD97" i="1"/>
  <c r="BD98" i="1"/>
  <c r="BD99" i="1"/>
  <c r="BZ82" i="1"/>
  <c r="BZ80" i="1" s="1"/>
  <c r="CA37" i="1"/>
  <c r="G70" i="1" l="1"/>
  <c r="CO17" i="1"/>
  <c r="CO19" i="1" s="1"/>
  <c r="CO21" i="1" s="1"/>
  <c r="G98" i="1"/>
  <c r="G97" i="1"/>
  <c r="G99" i="1"/>
  <c r="F65" i="1"/>
  <c r="F66" i="1" s="1"/>
  <c r="F74" i="1"/>
  <c r="F69" i="1"/>
  <c r="F70" i="1" s="1"/>
  <c r="E64" i="1"/>
  <c r="D62" i="1"/>
  <c r="BF66" i="1"/>
  <c r="BC98" i="1"/>
  <c r="BC99" i="1"/>
  <c r="BC97" i="1"/>
  <c r="BB65" i="1"/>
  <c r="BB69" i="1"/>
  <c r="BB70" i="1" s="1"/>
  <c r="BA64" i="1"/>
  <c r="AZ63" i="1"/>
  <c r="CA39" i="1"/>
  <c r="F98" i="1" l="1"/>
  <c r="F97" i="1"/>
  <c r="F99" i="1"/>
  <c r="E69" i="1"/>
  <c r="E65" i="1"/>
  <c r="E66" i="1" s="1"/>
  <c r="E74" i="1"/>
  <c r="D64" i="1"/>
  <c r="C62" i="1"/>
  <c r="BB97" i="1"/>
  <c r="BB99" i="1"/>
  <c r="BB98" i="1"/>
  <c r="BA65" i="1"/>
  <c r="BA69" i="1"/>
  <c r="BA70" i="1" s="1"/>
  <c r="AZ64" i="1"/>
  <c r="AY63" i="1"/>
  <c r="CA40" i="1"/>
  <c r="CA47" i="1"/>
  <c r="BE66" i="1"/>
  <c r="E70" i="1" l="1"/>
  <c r="E98" i="1"/>
  <c r="E99" i="1"/>
  <c r="D74" i="1"/>
  <c r="D69" i="1"/>
  <c r="D70" i="1" s="1"/>
  <c r="D65" i="1"/>
  <c r="D66" i="1" s="1"/>
  <c r="C64" i="1"/>
  <c r="B62" i="1"/>
  <c r="B64" i="1" s="1"/>
  <c r="BA97" i="1"/>
  <c r="BA99" i="1"/>
  <c r="BA98" i="1"/>
  <c r="AZ65" i="1"/>
  <c r="AZ69" i="1"/>
  <c r="AZ70" i="1" s="1"/>
  <c r="AX63" i="1"/>
  <c r="AY64" i="1"/>
  <c r="CA48" i="1"/>
  <c r="CA50" i="1"/>
  <c r="BD66" i="1"/>
  <c r="E97" i="1" l="1"/>
  <c r="D99" i="1"/>
  <c r="D97" i="1"/>
  <c r="D98" i="1"/>
  <c r="C74" i="1"/>
  <c r="C65" i="1"/>
  <c r="C69" i="1"/>
  <c r="C70" i="1" s="1"/>
  <c r="C97" i="1" s="1"/>
  <c r="B65" i="1"/>
  <c r="B69" i="1"/>
  <c r="BC66" i="1"/>
  <c r="AZ99" i="1"/>
  <c r="AZ98" i="1"/>
  <c r="AZ97" i="1"/>
  <c r="AX64" i="1"/>
  <c r="AW63" i="1"/>
  <c r="AY65" i="1"/>
  <c r="AY69" i="1"/>
  <c r="AY70" i="1" s="1"/>
  <c r="CA51" i="1"/>
  <c r="C66" i="1" l="1"/>
  <c r="C98" i="1"/>
  <c r="C99" i="1"/>
  <c r="B98" i="1"/>
  <c r="B99" i="1"/>
  <c r="B66" i="1"/>
  <c r="BB66" i="1"/>
  <c r="CA22" i="1"/>
  <c r="CA23" i="1" s="1"/>
  <c r="AX65" i="1"/>
  <c r="AX69" i="1"/>
  <c r="AX70" i="1" s="1"/>
  <c r="AV63" i="1"/>
  <c r="AW64" i="1"/>
  <c r="AY97" i="1"/>
  <c r="AY99" i="1"/>
  <c r="AY98" i="1"/>
  <c r="CA52" i="1"/>
  <c r="CA56" i="1" s="1"/>
  <c r="BA66" i="1" l="1"/>
  <c r="AX97" i="1"/>
  <c r="AX98" i="1"/>
  <c r="AX99" i="1"/>
  <c r="AV64" i="1"/>
  <c r="AU63" i="1"/>
  <c r="AW65" i="1"/>
  <c r="AW69" i="1"/>
  <c r="AW70" i="1" s="1"/>
  <c r="CA65" i="1"/>
  <c r="CA57" i="1"/>
  <c r="CA105" i="1"/>
  <c r="AV65" i="1" l="1"/>
  <c r="AV69" i="1"/>
  <c r="AV70" i="1" s="1"/>
  <c r="AU64" i="1"/>
  <c r="AT63" i="1"/>
  <c r="AZ66" i="1"/>
  <c r="AW99" i="1"/>
  <c r="AW97" i="1"/>
  <c r="AW98" i="1"/>
  <c r="CA66" i="1"/>
  <c r="CA106" i="1"/>
  <c r="CA4" i="1" s="1"/>
  <c r="AY66" i="1" l="1"/>
  <c r="AV97" i="1"/>
  <c r="AV99" i="1"/>
  <c r="AV98" i="1"/>
  <c r="AU65" i="1"/>
  <c r="AU69" i="1"/>
  <c r="AU70" i="1" s="1"/>
  <c r="AS63" i="1"/>
  <c r="AT64" i="1"/>
  <c r="CA115" i="1"/>
  <c r="CA5" i="1" s="1"/>
  <c r="CA158" i="1"/>
  <c r="CA9" i="1"/>
  <c r="CA69" i="1"/>
  <c r="CA70" i="1" s="1"/>
  <c r="CA7" i="1" l="1"/>
  <c r="CB36" i="1"/>
  <c r="CB35" i="1"/>
  <c r="CB38" i="1"/>
  <c r="CB41" i="1"/>
  <c r="CB49" i="1"/>
  <c r="AU98" i="1"/>
  <c r="AU99" i="1"/>
  <c r="AU97" i="1"/>
  <c r="AS64" i="1"/>
  <c r="AR63" i="1"/>
  <c r="AT65" i="1"/>
  <c r="AT69" i="1"/>
  <c r="AT70" i="1" s="1"/>
  <c r="CA148" i="1"/>
  <c r="CA90" i="1"/>
  <c r="CA91" i="1"/>
  <c r="CA97" i="1"/>
  <c r="AX66" i="1"/>
  <c r="CB37" i="1" l="1"/>
  <c r="CB39" i="1" s="1"/>
  <c r="CB46" i="1"/>
  <c r="CA93" i="1"/>
  <c r="CA94" i="1"/>
  <c r="AS65" i="1"/>
  <c r="AS69" i="1"/>
  <c r="AS70" i="1" s="1"/>
  <c r="AQ63" i="1"/>
  <c r="AR64" i="1"/>
  <c r="AT97" i="1"/>
  <c r="AT99" i="1"/>
  <c r="AT98" i="1"/>
  <c r="CA81" i="1"/>
  <c r="CA82" i="1" s="1"/>
  <c r="CA80" i="1" s="1"/>
  <c r="CA150" i="1"/>
  <c r="CA154" i="1" s="1"/>
  <c r="CA155" i="1" s="1"/>
  <c r="AW66" i="1"/>
  <c r="CB47" i="1" l="1"/>
  <c r="CB40" i="1"/>
  <c r="AV66" i="1"/>
  <c r="AS99" i="1"/>
  <c r="AS98" i="1"/>
  <c r="AS97" i="1"/>
  <c r="AQ64" i="1"/>
  <c r="AP63" i="1"/>
  <c r="AR65" i="1"/>
  <c r="AR69" i="1"/>
  <c r="AR70" i="1" s="1"/>
  <c r="CB48" i="1" l="1"/>
  <c r="CB50" i="1"/>
  <c r="AQ65" i="1"/>
  <c r="AQ69" i="1"/>
  <c r="AQ70" i="1" s="1"/>
  <c r="AO63" i="1"/>
  <c r="AP64" i="1"/>
  <c r="AU66" i="1"/>
  <c r="AR98" i="1"/>
  <c r="AR99" i="1"/>
  <c r="AR97" i="1"/>
  <c r="CB51" i="1" l="1"/>
  <c r="AQ98" i="1"/>
  <c r="AQ99" i="1"/>
  <c r="AQ97" i="1"/>
  <c r="AN63" i="1"/>
  <c r="AO64" i="1"/>
  <c r="AP65" i="1"/>
  <c r="AP69" i="1"/>
  <c r="AP70" i="1" s="1"/>
  <c r="AT66" i="1"/>
  <c r="CB22" i="1" l="1"/>
  <c r="CB23" i="1" s="1"/>
  <c r="CB52" i="1"/>
  <c r="CB56" i="1" s="1"/>
  <c r="AN64" i="1"/>
  <c r="AM63" i="1"/>
  <c r="AO65" i="1"/>
  <c r="AO69" i="1"/>
  <c r="AO70" i="1" s="1"/>
  <c r="AS66" i="1"/>
  <c r="AP99" i="1"/>
  <c r="AP98" i="1"/>
  <c r="AP97" i="1"/>
  <c r="CB57" i="1" l="1"/>
  <c r="CB65" i="1"/>
  <c r="CB66" i="1" s="1"/>
  <c r="CB105" i="1"/>
  <c r="CB106" i="1" s="1"/>
  <c r="AN65" i="1"/>
  <c r="AN69" i="1"/>
  <c r="AN70" i="1" s="1"/>
  <c r="AL63" i="1"/>
  <c r="AM64" i="1"/>
  <c r="AR66" i="1"/>
  <c r="AO98" i="1"/>
  <c r="AO99" i="1"/>
  <c r="AO97" i="1"/>
  <c r="CB69" i="1" l="1"/>
  <c r="CB70" i="1" s="1"/>
  <c r="CB158" i="1"/>
  <c r="CB9" i="1"/>
  <c r="CB115" i="1"/>
  <c r="CB4" i="1"/>
  <c r="AN99" i="1"/>
  <c r="AN98" i="1"/>
  <c r="AN97" i="1"/>
  <c r="AK63" i="1"/>
  <c r="AL64" i="1"/>
  <c r="AM65" i="1"/>
  <c r="AM69" i="1"/>
  <c r="AM70" i="1" s="1"/>
  <c r="AQ66" i="1"/>
  <c r="CB97" i="1" l="1"/>
  <c r="CB90" i="1"/>
  <c r="CB91" i="1"/>
  <c r="CB148" i="1"/>
  <c r="CB5" i="1"/>
  <c r="AK64" i="1"/>
  <c r="AJ63" i="1"/>
  <c r="AL65" i="1"/>
  <c r="AO66" i="1" s="1"/>
  <c r="AL69" i="1"/>
  <c r="AL70" i="1" s="1"/>
  <c r="AM99" i="1"/>
  <c r="AM97" i="1"/>
  <c r="AM98" i="1"/>
  <c r="AP66" i="1"/>
  <c r="CB93" i="1" l="1"/>
  <c r="CB94" i="1"/>
  <c r="CB150" i="1"/>
  <c r="CB154" i="1" s="1"/>
  <c r="CB155" i="1" s="1"/>
  <c r="CB81" i="1"/>
  <c r="CB7" i="1"/>
  <c r="CC49" i="1"/>
  <c r="AB49" i="1" s="1"/>
  <c r="AB20" i="1" s="1"/>
  <c r="CC38" i="1"/>
  <c r="AB38" i="1" s="1"/>
  <c r="AB15" i="1" s="1"/>
  <c r="CC41" i="1"/>
  <c r="CC36" i="1"/>
  <c r="AB36" i="1" s="1"/>
  <c r="AB13" i="1" s="1"/>
  <c r="CC35" i="1"/>
  <c r="AK65" i="1"/>
  <c r="AK69" i="1"/>
  <c r="AK70" i="1" s="1"/>
  <c r="AI63" i="1"/>
  <c r="AJ64" i="1"/>
  <c r="AL97" i="1"/>
  <c r="AL99" i="1"/>
  <c r="AL98" i="1"/>
  <c r="CB82" i="1" l="1"/>
  <c r="CB80" i="1" s="1"/>
  <c r="AB41" i="1"/>
  <c r="AB46" i="1" s="1"/>
  <c r="AB18" i="1" s="1"/>
  <c r="CC46" i="1"/>
  <c r="CC37" i="1"/>
  <c r="AB35" i="1"/>
  <c r="AK97" i="1"/>
  <c r="AK98" i="1"/>
  <c r="AK99" i="1"/>
  <c r="AH63" i="1"/>
  <c r="AH64" i="1" s="1"/>
  <c r="AI64" i="1"/>
  <c r="AJ65" i="1"/>
  <c r="AJ69" i="1"/>
  <c r="AJ70" i="1" s="1"/>
  <c r="CC39" i="1" l="1"/>
  <c r="AB12" i="1"/>
  <c r="AB14" i="1" s="1"/>
  <c r="AB17" i="1" s="1"/>
  <c r="AB19" i="1" s="1"/>
  <c r="AB21" i="1" s="1"/>
  <c r="AB37" i="1"/>
  <c r="AB39" i="1" s="1"/>
  <c r="AH65" i="1"/>
  <c r="AH69" i="1"/>
  <c r="AH70" i="1" s="1"/>
  <c r="AI65" i="1"/>
  <c r="AI69" i="1"/>
  <c r="AI70" i="1" s="1"/>
  <c r="AJ97" i="1"/>
  <c r="AJ99" i="1"/>
  <c r="AJ98" i="1"/>
  <c r="CC47" i="1" l="1"/>
  <c r="CC40" i="1"/>
  <c r="AB40" i="1"/>
  <c r="AB47" i="1"/>
  <c r="AH98" i="1"/>
  <c r="AH99" i="1"/>
  <c r="AH97" i="1"/>
  <c r="AI98" i="1"/>
  <c r="AI97" i="1"/>
  <c r="AI99" i="1"/>
  <c r="CC50" i="1" l="1"/>
  <c r="CC48" i="1"/>
  <c r="AB48" i="1"/>
  <c r="AB50" i="1"/>
  <c r="CC51" i="1" l="1"/>
  <c r="CC52" i="1" l="1"/>
  <c r="CC56" i="1" s="1"/>
  <c r="AB51" i="1"/>
  <c r="CC22" i="1"/>
  <c r="CC23" i="1" s="1"/>
  <c r="CC57" i="1" l="1"/>
  <c r="CC105" i="1"/>
  <c r="CC65" i="1"/>
  <c r="CC66" i="1" s="1"/>
  <c r="CC68" i="1" s="1"/>
  <c r="CC106" i="1"/>
  <c r="AB105" i="1"/>
  <c r="AB106" i="1" s="1"/>
  <c r="AB52" i="1"/>
  <c r="AB56" i="1" s="1"/>
  <c r="AB22" i="1"/>
  <c r="AB23" i="1" s="1"/>
  <c r="CC69" i="1" l="1"/>
  <c r="CC70" i="1" s="1"/>
  <c r="CC9" i="1"/>
  <c r="CC158" i="1"/>
  <c r="CC115" i="1"/>
  <c r="CC4" i="1"/>
  <c r="AB4" i="1" s="1"/>
  <c r="AB69" i="1"/>
  <c r="AB70" i="1" s="1"/>
  <c r="AB97" i="1" s="1"/>
  <c r="AB115" i="1"/>
  <c r="AB9" i="1"/>
  <c r="AB158" i="1"/>
  <c r="AB57" i="1"/>
  <c r="AB65" i="1"/>
  <c r="AB66" i="1" s="1"/>
  <c r="AB83" i="1"/>
  <c r="CC91" i="1" l="1"/>
  <c r="CC90" i="1"/>
  <c r="CC97" i="1"/>
  <c r="CC148" i="1"/>
  <c r="CC5" i="1"/>
  <c r="AB91" i="1" l="1"/>
  <c r="AB99" i="1" s="1"/>
  <c r="CC94" i="1"/>
  <c r="AB90" i="1"/>
  <c r="AB98" i="1" s="1"/>
  <c r="CC93" i="1"/>
  <c r="AB148" i="1"/>
  <c r="AB150" i="1" s="1"/>
  <c r="AB154" i="1" s="1"/>
  <c r="AB155" i="1" s="1"/>
  <c r="CC150" i="1"/>
  <c r="CC154" i="1" s="1"/>
  <c r="CC155" i="1" s="1"/>
  <c r="CC81" i="1"/>
  <c r="AB5" i="1"/>
  <c r="AB7" i="1" s="1"/>
  <c r="CD41" i="1"/>
  <c r="CD38" i="1"/>
  <c r="CD49" i="1"/>
  <c r="CD35" i="1"/>
  <c r="CD36" i="1"/>
  <c r="CC7" i="1"/>
  <c r="CC82" i="1" l="1"/>
  <c r="CC80" i="1" s="1"/>
  <c r="CD46" i="1"/>
  <c r="CD37" i="1"/>
  <c r="CD39" i="1" s="1"/>
  <c r="CD47" i="1" l="1"/>
  <c r="CD40" i="1"/>
  <c r="CD50" i="1" l="1"/>
  <c r="CD48" i="1"/>
  <c r="CD51" i="1" l="1"/>
  <c r="CD22" i="1" l="1"/>
  <c r="CD23" i="1" s="1"/>
  <c r="CD52" i="1"/>
  <c r="CD56" i="1" s="1"/>
  <c r="CD57" i="1" l="1"/>
  <c r="CD65" i="1"/>
  <c r="CD66" i="1" s="1"/>
  <c r="CD105" i="1"/>
  <c r="CD106" i="1" l="1"/>
  <c r="CD4" i="1" l="1"/>
  <c r="CD9" i="1"/>
  <c r="CD115" i="1"/>
  <c r="CD158" i="1"/>
  <c r="CD69" i="1"/>
  <c r="CD70" i="1" s="1"/>
  <c r="CD5" i="1" l="1"/>
  <c r="CD148" i="1"/>
  <c r="CD97" i="1"/>
  <c r="CD91" i="1"/>
  <c r="CD90" i="1"/>
  <c r="CE38" i="1" l="1"/>
  <c r="CE49" i="1"/>
  <c r="CE36" i="1"/>
  <c r="CD7" i="1"/>
  <c r="CE41" i="1"/>
  <c r="CE35" i="1"/>
  <c r="CD81" i="1"/>
  <c r="CD150" i="1"/>
  <c r="CD154" i="1" s="1"/>
  <c r="CD155" i="1" s="1"/>
  <c r="CD94" i="1"/>
  <c r="CD93" i="1"/>
  <c r="CE46" i="1" l="1"/>
  <c r="CE37" i="1"/>
  <c r="CD82" i="1"/>
  <c r="CD80" i="1" s="1"/>
  <c r="CE39" i="1" l="1"/>
  <c r="CE47" i="1" l="1"/>
  <c r="CE40" i="1"/>
  <c r="CE50" i="1" l="1"/>
  <c r="CE48" i="1"/>
  <c r="CE51" i="1" l="1"/>
  <c r="CE22" i="1" l="1"/>
  <c r="CE23" i="1" s="1"/>
  <c r="CE52" i="1"/>
  <c r="CE56" i="1" s="1"/>
  <c r="CE57" i="1" l="1"/>
  <c r="CE65" i="1"/>
  <c r="CE66" i="1" s="1"/>
  <c r="CE105" i="1"/>
  <c r="CE106" i="1" l="1"/>
  <c r="CE4" i="1" l="1"/>
  <c r="CE69" i="1"/>
  <c r="CE70" i="1" s="1"/>
  <c r="CE158" i="1"/>
  <c r="CE9" i="1"/>
  <c r="CE115" i="1"/>
  <c r="CE97" i="1" l="1"/>
  <c r="CE91" i="1"/>
  <c r="CE90" i="1"/>
  <c r="CE5" i="1"/>
  <c r="CE148" i="1"/>
  <c r="CE94" i="1" l="1"/>
  <c r="CE93" i="1"/>
  <c r="CF41" i="1"/>
  <c r="CF38" i="1"/>
  <c r="CF49" i="1"/>
  <c r="CF35" i="1"/>
  <c r="CF36" i="1"/>
  <c r="CE7" i="1"/>
  <c r="CE150" i="1"/>
  <c r="CE154" i="1" s="1"/>
  <c r="CE155" i="1" s="1"/>
  <c r="CE81" i="1"/>
  <c r="CF46" i="1" l="1"/>
  <c r="CF37" i="1"/>
  <c r="CF39" i="1" s="1"/>
  <c r="CE82" i="1"/>
  <c r="CE80" i="1" s="1"/>
  <c r="CF47" i="1" l="1"/>
  <c r="CF40" i="1"/>
  <c r="CF50" i="1" l="1"/>
  <c r="CF48" i="1"/>
  <c r="CF51" i="1" l="1"/>
  <c r="CF22" i="1" l="1"/>
  <c r="CF23" i="1" s="1"/>
  <c r="CF52" i="1"/>
  <c r="CF56" i="1" s="1"/>
  <c r="CF57" i="1" l="1"/>
  <c r="CF65" i="1"/>
  <c r="CF66" i="1" s="1"/>
  <c r="CF105" i="1"/>
  <c r="CF106" i="1" l="1"/>
  <c r="CF4" i="1" l="1"/>
  <c r="CF9" i="1"/>
  <c r="CF158" i="1"/>
  <c r="CF69" i="1"/>
  <c r="CF70" i="1" s="1"/>
  <c r="CF115" i="1"/>
  <c r="CF97" i="1" l="1"/>
  <c r="CF91" i="1"/>
  <c r="CF90" i="1"/>
  <c r="CF5" i="1"/>
  <c r="CF148" i="1"/>
  <c r="CF94" i="1" l="1"/>
  <c r="CF93" i="1"/>
  <c r="CG41" i="1"/>
  <c r="CG38" i="1"/>
  <c r="AC38" i="1" s="1"/>
  <c r="AC15" i="1" s="1"/>
  <c r="CG49" i="1"/>
  <c r="AC49" i="1" s="1"/>
  <c r="AC20" i="1" s="1"/>
  <c r="CG35" i="1"/>
  <c r="CG36" i="1"/>
  <c r="AC36" i="1" s="1"/>
  <c r="AC13" i="1" s="1"/>
  <c r="CF7" i="1"/>
  <c r="CF150" i="1"/>
  <c r="CF154" i="1" s="1"/>
  <c r="CF155" i="1" s="1"/>
  <c r="CF81" i="1"/>
  <c r="AC41" i="1" l="1"/>
  <c r="AC46" i="1" s="1"/>
  <c r="AC18" i="1" s="1"/>
  <c r="CG46" i="1"/>
  <c r="AC35" i="1"/>
  <c r="CG37" i="1"/>
  <c r="CF82" i="1"/>
  <c r="CF80" i="1" s="1"/>
  <c r="AC37" i="1" l="1"/>
  <c r="AC39" i="1" s="1"/>
  <c r="AC12" i="1"/>
  <c r="AC14" i="1" s="1"/>
  <c r="AC17" i="1" s="1"/>
  <c r="AC19" i="1" s="1"/>
  <c r="AC21" i="1" s="1"/>
  <c r="CG39" i="1"/>
  <c r="AC40" i="1" l="1"/>
  <c r="AC47" i="1"/>
  <c r="CG47" i="1"/>
  <c r="CG40" i="1"/>
  <c r="AC48" i="1" l="1"/>
  <c r="AC50" i="1"/>
  <c r="CG50" i="1"/>
  <c r="CG48" i="1"/>
  <c r="CG51" i="1" l="1"/>
  <c r="AC51" i="1" l="1"/>
  <c r="CG22" i="1"/>
  <c r="CG23" i="1" s="1"/>
  <c r="CG52" i="1"/>
  <c r="CG56" i="1" s="1"/>
  <c r="AC52" i="1" l="1"/>
  <c r="AC56" i="1" s="1"/>
  <c r="AC22" i="1"/>
  <c r="AC23" i="1" s="1"/>
  <c r="CG57" i="1"/>
  <c r="CG65" i="1"/>
  <c r="CG66" i="1" s="1"/>
  <c r="CG68" i="1" s="1"/>
  <c r="CG105" i="1"/>
  <c r="AC65" i="1" l="1"/>
  <c r="AC66" i="1" s="1"/>
  <c r="AC57" i="1"/>
  <c r="AC105" i="1"/>
  <c r="AC106" i="1" s="1"/>
  <c r="CG106" i="1"/>
  <c r="AC9" i="1" l="1"/>
  <c r="AC115" i="1"/>
  <c r="AC69" i="1"/>
  <c r="AC70" i="1" s="1"/>
  <c r="AC97" i="1" s="1"/>
  <c r="AC158" i="1"/>
  <c r="CG4" i="1"/>
  <c r="AC4" i="1" s="1"/>
  <c r="CG69" i="1"/>
  <c r="CG70" i="1" s="1"/>
  <c r="CG9" i="1"/>
  <c r="CG115" i="1"/>
  <c r="CG158" i="1"/>
  <c r="AC83" i="1"/>
  <c r="CG90" i="1" l="1"/>
  <c r="CG97" i="1"/>
  <c r="CG91" i="1"/>
  <c r="CG5" i="1"/>
  <c r="CG148" i="1"/>
  <c r="AC90" i="1" l="1"/>
  <c r="AC98" i="1" s="1"/>
  <c r="CG93" i="1"/>
  <c r="AC91" i="1"/>
  <c r="AC99" i="1" s="1"/>
  <c r="CG94" i="1"/>
  <c r="AC5" i="1"/>
  <c r="AC7" i="1" s="1"/>
  <c r="CH35" i="1"/>
  <c r="CH38" i="1"/>
  <c r="CH41" i="1"/>
  <c r="CH49" i="1"/>
  <c r="CH36" i="1"/>
  <c r="CG7" i="1"/>
  <c r="AC148" i="1"/>
  <c r="AC150" i="1" s="1"/>
  <c r="AC154" i="1" s="1"/>
  <c r="AC155" i="1" s="1"/>
  <c r="CG150" i="1"/>
  <c r="CG154" i="1" s="1"/>
  <c r="CG155" i="1" s="1"/>
  <c r="CG81" i="1"/>
  <c r="CH37" i="1" l="1"/>
  <c r="CH39" i="1" s="1"/>
  <c r="CH46" i="1"/>
  <c r="CG82" i="1"/>
  <c r="CG80" i="1" s="1"/>
  <c r="CH47" i="1" l="1"/>
  <c r="CH40" i="1"/>
  <c r="CH50" i="1" l="1"/>
  <c r="CH48" i="1"/>
  <c r="CH52" i="1" l="1"/>
  <c r="CH56" i="1" s="1"/>
  <c r="CH51" i="1"/>
  <c r="CH105" i="1" l="1"/>
  <c r="CH65" i="1"/>
  <c r="CH66" i="1" s="1"/>
  <c r="CH57" i="1"/>
  <c r="CH22" i="1"/>
  <c r="CH23" i="1" s="1"/>
  <c r="CH106" i="1" l="1"/>
  <c r="CH4" i="1" l="1"/>
  <c r="CH69" i="1"/>
  <c r="CH70" i="1" s="1"/>
  <c r="CH158" i="1"/>
  <c r="CH115" i="1"/>
  <c r="CH9" i="1"/>
  <c r="CH97" i="1" l="1"/>
  <c r="CH91" i="1"/>
  <c r="CH90" i="1"/>
  <c r="CH5" i="1"/>
  <c r="CH148" i="1"/>
  <c r="CH94" i="1" l="1"/>
  <c r="CH93" i="1"/>
  <c r="CI36" i="1"/>
  <c r="CH7" i="1"/>
  <c r="CI35" i="1"/>
  <c r="CI41" i="1"/>
  <c r="CI49" i="1"/>
  <c r="CI38" i="1"/>
  <c r="CH150" i="1"/>
  <c r="CH154" i="1" s="1"/>
  <c r="CH155" i="1" s="1"/>
  <c r="CH81" i="1"/>
  <c r="CI37" i="1" l="1"/>
  <c r="CI46" i="1"/>
  <c r="CH82" i="1"/>
  <c r="CH80" i="1" s="1"/>
  <c r="CI39" i="1" l="1"/>
  <c r="CI47" i="1" l="1"/>
  <c r="CI40" i="1"/>
  <c r="CI50" i="1" l="1"/>
  <c r="CI48" i="1"/>
  <c r="CI51" i="1" l="1"/>
  <c r="CI22" i="1" l="1"/>
  <c r="CI23" i="1" s="1"/>
  <c r="CI52" i="1"/>
  <c r="CI56" i="1" s="1"/>
  <c r="CI57" i="1" l="1"/>
  <c r="CI65" i="1"/>
  <c r="CI66" i="1" s="1"/>
  <c r="CI105" i="1"/>
  <c r="CI106" i="1" l="1"/>
  <c r="CI4" i="1" l="1"/>
  <c r="CI9" i="1"/>
  <c r="CI115" i="1"/>
  <c r="CI158" i="1"/>
  <c r="CI69" i="1"/>
  <c r="CI70" i="1" s="1"/>
  <c r="CI5" i="1" l="1"/>
  <c r="CI148" i="1"/>
  <c r="CI91" i="1"/>
  <c r="CI97" i="1"/>
  <c r="CI90" i="1"/>
  <c r="CJ38" i="1" l="1"/>
  <c r="CJ49" i="1"/>
  <c r="CJ35" i="1"/>
  <c r="CJ36" i="1"/>
  <c r="CI7" i="1"/>
  <c r="CJ41" i="1"/>
  <c r="CI150" i="1"/>
  <c r="CI154" i="1" s="1"/>
  <c r="CI155" i="1" s="1"/>
  <c r="CI81" i="1"/>
  <c r="CI94" i="1"/>
  <c r="CI93" i="1"/>
  <c r="CJ37" i="1" l="1"/>
  <c r="CJ39" i="1" s="1"/>
  <c r="CJ46" i="1"/>
  <c r="CI82" i="1"/>
  <c r="CI80" i="1" s="1"/>
  <c r="CJ40" i="1" l="1"/>
  <c r="CJ47" i="1"/>
  <c r="CJ48" i="1" l="1"/>
  <c r="CJ50" i="1"/>
  <c r="CJ51" i="1" l="1"/>
  <c r="CJ52" i="1" l="1"/>
  <c r="CJ56" i="1" s="1"/>
  <c r="CJ57" i="1"/>
  <c r="CJ65" i="1"/>
  <c r="CJ66" i="1" s="1"/>
  <c r="CJ22" i="1"/>
  <c r="CJ23" i="1" s="1"/>
  <c r="CJ105" i="1" l="1"/>
  <c r="CJ106" i="1" l="1"/>
  <c r="CJ4" i="1"/>
  <c r="CJ9" i="1"/>
  <c r="CJ115" i="1" l="1"/>
  <c r="CJ69" i="1"/>
  <c r="CJ70" i="1" s="1"/>
  <c r="CJ158" i="1"/>
  <c r="CJ5" i="1" l="1"/>
  <c r="CJ148" i="1"/>
  <c r="CJ90" i="1"/>
  <c r="CJ91" i="1"/>
  <c r="CJ97" i="1"/>
  <c r="CK49" i="1" l="1"/>
  <c r="AD49" i="1" s="1"/>
  <c r="AD20" i="1" s="1"/>
  <c r="CK38" i="1"/>
  <c r="AD38" i="1" s="1"/>
  <c r="AD15" i="1" s="1"/>
  <c r="CK35" i="1"/>
  <c r="CK41" i="1"/>
  <c r="CK36" i="1"/>
  <c r="AD36" i="1" s="1"/>
  <c r="AD13" i="1" s="1"/>
  <c r="CJ7" i="1"/>
  <c r="CJ81" i="1"/>
  <c r="CJ150" i="1"/>
  <c r="CJ154" i="1" s="1"/>
  <c r="CJ155" i="1" s="1"/>
  <c r="CJ93" i="1"/>
  <c r="CJ94" i="1"/>
  <c r="CJ82" i="1" l="1"/>
  <c r="CJ80" i="1" s="1"/>
  <c r="AD41" i="1"/>
  <c r="AD46" i="1" s="1"/>
  <c r="AD18" i="1" s="1"/>
  <c r="CK37" i="1"/>
  <c r="CK39" i="1" s="1"/>
  <c r="CK46" i="1"/>
  <c r="AD35" i="1"/>
  <c r="CK40" i="1" l="1"/>
  <c r="CK47" i="1"/>
  <c r="AD12" i="1"/>
  <c r="AD14" i="1" s="1"/>
  <c r="AD17" i="1" s="1"/>
  <c r="AD19" i="1" s="1"/>
  <c r="AD21" i="1" s="1"/>
  <c r="AD37" i="1"/>
  <c r="AD39" i="1" s="1"/>
  <c r="AD47" i="1"/>
  <c r="CK48" i="1"/>
  <c r="CK50" i="1"/>
  <c r="AD40" i="1" l="1"/>
  <c r="AD48" i="1"/>
  <c r="AD50" i="1"/>
  <c r="CK51" i="1"/>
  <c r="AD51" i="1" l="1"/>
  <c r="CK22" i="1"/>
  <c r="CK23" i="1" s="1"/>
  <c r="CK52" i="1"/>
  <c r="CK56" i="1" s="1"/>
  <c r="AD52" i="1" l="1"/>
  <c r="AD56" i="1" s="1"/>
  <c r="AD22" i="1"/>
  <c r="AD23" i="1" s="1"/>
  <c r="CK65" i="1"/>
  <c r="CK66" i="1" s="1"/>
  <c r="CK57" i="1"/>
  <c r="CK105" i="1"/>
  <c r="AD65" i="1" l="1"/>
  <c r="AD66" i="1" s="1"/>
  <c r="AD57" i="1"/>
  <c r="AD105" i="1"/>
  <c r="AD106" i="1" s="1"/>
  <c r="CK106" i="1"/>
  <c r="AD69" i="1" l="1"/>
  <c r="AD70" i="1" s="1"/>
  <c r="AD97" i="1" s="1"/>
  <c r="AD115" i="1"/>
  <c r="AD158" i="1"/>
  <c r="AD9" i="1"/>
  <c r="CK4" i="1"/>
  <c r="AD4" i="1" s="1"/>
  <c r="CK69" i="1"/>
  <c r="CK70" i="1" s="1"/>
  <c r="CK9" i="1"/>
  <c r="CK158" i="1"/>
  <c r="CK115" i="1"/>
  <c r="AD83" i="1"/>
  <c r="CK97" i="1" l="1"/>
  <c r="CK91" i="1"/>
  <c r="CK90" i="1"/>
  <c r="CK5" i="1"/>
  <c r="CK148" i="1"/>
  <c r="AD91" i="1" l="1"/>
  <c r="AD99" i="1" s="1"/>
  <c r="CK94" i="1"/>
  <c r="AD90" i="1"/>
  <c r="AD98" i="1" s="1"/>
  <c r="CK93" i="1"/>
  <c r="AD5" i="1"/>
  <c r="AD7" i="1" s="1"/>
  <c r="CL41" i="1"/>
  <c r="CL38" i="1"/>
  <c r="CL35" i="1"/>
  <c r="CL36" i="1"/>
  <c r="CK7" i="1"/>
  <c r="CL49" i="1"/>
  <c r="AD148" i="1"/>
  <c r="AD150" i="1" s="1"/>
  <c r="AD154" i="1" s="1"/>
  <c r="AD155" i="1" s="1"/>
  <c r="CK150" i="1"/>
  <c r="CK154" i="1" s="1"/>
  <c r="CK155" i="1" s="1"/>
  <c r="CK81" i="1"/>
  <c r="CL46" i="1" l="1"/>
  <c r="CL37" i="1"/>
  <c r="CL39" i="1" s="1"/>
  <c r="CK82" i="1"/>
  <c r="CK80" i="1" s="1"/>
  <c r="CL40" i="1" l="1"/>
  <c r="CL47" i="1"/>
  <c r="CL48" i="1" l="1"/>
  <c r="CL50" i="1"/>
  <c r="CL51" i="1" l="1"/>
  <c r="CL52" i="1" l="1"/>
  <c r="CL56" i="1" s="1"/>
  <c r="CL22" i="1"/>
  <c r="CL23" i="1" s="1"/>
  <c r="CL65" i="1" l="1"/>
  <c r="CL66" i="1" s="1"/>
  <c r="CL57" i="1"/>
  <c r="CL105" i="1"/>
  <c r="CL106" i="1" l="1"/>
  <c r="CL4" i="1" l="1"/>
  <c r="CL69" i="1"/>
  <c r="CL70" i="1" s="1"/>
  <c r="CL9" i="1"/>
  <c r="CL158" i="1"/>
  <c r="CL115" i="1"/>
  <c r="CL5" i="1"/>
  <c r="CL148" i="1"/>
  <c r="CL97" i="1" l="1"/>
  <c r="CL91" i="1"/>
  <c r="CL90" i="1"/>
  <c r="CL94" i="1"/>
  <c r="CM41" i="1"/>
  <c r="CM38" i="1"/>
  <c r="CM49" i="1"/>
  <c r="CM35" i="1"/>
  <c r="CM36" i="1"/>
  <c r="CL7" i="1"/>
  <c r="CL150" i="1"/>
  <c r="CL154" i="1" s="1"/>
  <c r="CL155" i="1" s="1"/>
  <c r="CL81" i="1"/>
  <c r="CL93" i="1" l="1"/>
  <c r="CM46" i="1"/>
  <c r="CM37" i="1"/>
  <c r="CL82" i="1"/>
  <c r="CL80" i="1" s="1"/>
  <c r="CM39" i="1" l="1"/>
  <c r="CM40" i="1" l="1"/>
  <c r="CM47" i="1"/>
  <c r="CM48" i="1" l="1"/>
  <c r="CM50" i="1"/>
  <c r="CM51" i="1" l="1"/>
  <c r="CM52" i="1" l="1"/>
  <c r="CM56" i="1" s="1"/>
  <c r="CM22" i="1"/>
  <c r="CM23" i="1" s="1"/>
  <c r="CM105" i="1" l="1"/>
  <c r="CM57" i="1"/>
  <c r="CM65" i="1"/>
  <c r="CM66" i="1" s="1"/>
  <c r="CM106" i="1"/>
  <c r="CM4" i="1" l="1"/>
  <c r="CM69" i="1"/>
  <c r="CM70" i="1" s="1"/>
  <c r="CM115" i="1"/>
  <c r="CM9" i="1"/>
  <c r="CM158" i="1"/>
  <c r="CM97" i="1" l="1"/>
  <c r="CM91" i="1"/>
  <c r="CM90" i="1"/>
  <c r="CM5" i="1"/>
  <c r="CM148" i="1"/>
  <c r="CM94" i="1" l="1"/>
  <c r="CM93" i="1"/>
  <c r="CN41" i="1"/>
  <c r="CN38" i="1"/>
  <c r="CN49" i="1"/>
  <c r="CN35" i="1"/>
  <c r="CN36" i="1"/>
  <c r="CM7" i="1"/>
  <c r="CM150" i="1"/>
  <c r="CM154" i="1" s="1"/>
  <c r="CM155" i="1" s="1"/>
  <c r="CM81" i="1"/>
  <c r="CN46" i="1" l="1"/>
  <c r="CN37" i="1"/>
  <c r="CN39" i="1" s="1"/>
  <c r="CM82" i="1"/>
  <c r="CM80" i="1" s="1"/>
  <c r="CN40" i="1" l="1"/>
  <c r="CN47" i="1"/>
  <c r="CN48" i="1" l="1"/>
  <c r="CN50" i="1"/>
  <c r="CN51" i="1" l="1"/>
  <c r="CN22" i="1" l="1"/>
  <c r="CN23" i="1" s="1"/>
  <c r="CN52" i="1"/>
  <c r="CN56" i="1" s="1"/>
  <c r="CN65" i="1" l="1"/>
  <c r="CN66" i="1" s="1"/>
  <c r="CN57" i="1"/>
  <c r="CN105" i="1"/>
  <c r="CN106" i="1" l="1"/>
  <c r="CN4" i="1" l="1"/>
  <c r="CN158" i="1"/>
  <c r="CN69" i="1"/>
  <c r="CN70" i="1" s="1"/>
  <c r="CN115" i="1"/>
  <c r="CN9" i="1"/>
  <c r="CN90" i="1" l="1"/>
  <c r="CN91" i="1"/>
  <c r="CN97" i="1"/>
  <c r="CN5" i="1"/>
  <c r="CN148" i="1"/>
  <c r="CN93" i="1" l="1"/>
  <c r="CN94" i="1"/>
  <c r="CO38" i="1"/>
  <c r="AE38" i="1" s="1"/>
  <c r="AE15" i="1" s="1"/>
  <c r="CO41" i="1"/>
  <c r="CO49" i="1"/>
  <c r="AE49" i="1" s="1"/>
  <c r="AE20" i="1" s="1"/>
  <c r="CO35" i="1"/>
  <c r="CO36" i="1"/>
  <c r="AE36" i="1" s="1"/>
  <c r="AE13" i="1" s="1"/>
  <c r="CN7" i="1"/>
  <c r="CN150" i="1"/>
  <c r="CN154" i="1" s="1"/>
  <c r="CN155" i="1" s="1"/>
  <c r="CN81" i="1"/>
  <c r="AE41" i="1" l="1"/>
  <c r="AE46" i="1" s="1"/>
  <c r="AE18" i="1" s="1"/>
  <c r="CO46" i="1"/>
  <c r="AE35" i="1"/>
  <c r="CO37" i="1"/>
  <c r="CN82" i="1"/>
  <c r="CN80" i="1" s="1"/>
  <c r="AE37" i="1" l="1"/>
  <c r="AE39" i="1" s="1"/>
  <c r="AE12" i="1"/>
  <c r="AE14" i="1" s="1"/>
  <c r="AE17" i="1" s="1"/>
  <c r="AE19" i="1" s="1"/>
  <c r="AE21" i="1" s="1"/>
  <c r="CO39" i="1"/>
  <c r="AE40" i="1" l="1"/>
  <c r="AE47" i="1"/>
  <c r="CO40" i="1"/>
  <c r="CO47" i="1"/>
  <c r="AE48" i="1" l="1"/>
  <c r="AE50" i="1"/>
  <c r="CO48" i="1"/>
  <c r="CO50" i="1"/>
  <c r="CO51" i="1" l="1"/>
  <c r="CO52" i="1" l="1"/>
  <c r="CO56" i="1" s="1"/>
  <c r="AE51" i="1"/>
  <c r="CO22" i="1"/>
  <c r="CO23" i="1" s="1"/>
  <c r="CO105" i="1" l="1"/>
  <c r="CO57" i="1"/>
  <c r="CO65" i="1"/>
  <c r="CO66" i="1" s="1"/>
  <c r="AE105" i="1"/>
  <c r="AE106" i="1" s="1"/>
  <c r="AE52" i="1"/>
  <c r="AE56" i="1" s="1"/>
  <c r="AE22" i="1"/>
  <c r="AE23" i="1" s="1"/>
  <c r="CO106" i="1" l="1"/>
  <c r="AE69" i="1"/>
  <c r="AE70" i="1" s="1"/>
  <c r="AE97" i="1" s="1"/>
  <c r="AE9" i="1"/>
  <c r="AE115" i="1"/>
  <c r="AE158" i="1"/>
  <c r="AE65" i="1"/>
  <c r="AE66" i="1" s="1"/>
  <c r="AE83" i="1"/>
  <c r="AE57" i="1"/>
  <c r="CO4" i="1" l="1"/>
  <c r="AE4" i="1" s="1"/>
  <c r="CO69" i="1"/>
  <c r="CO70" i="1" s="1"/>
  <c r="CO115" i="1"/>
  <c r="CO158" i="1"/>
  <c r="CO9" i="1"/>
  <c r="CO148" i="1"/>
  <c r="CO90" i="1" l="1"/>
  <c r="CO97" i="1"/>
  <c r="CO91" i="1"/>
  <c r="CO5" i="1"/>
  <c r="AE5" i="1"/>
  <c r="AE7" i="1" s="1"/>
  <c r="CO7" i="1"/>
  <c r="CO150" i="1"/>
  <c r="CO154" i="1" s="1"/>
  <c r="CO155" i="1" s="1"/>
  <c r="AE148" i="1"/>
  <c r="AE150" i="1" s="1"/>
  <c r="AE154" i="1" s="1"/>
  <c r="AE155" i="1" s="1"/>
  <c r="CO81" i="1"/>
  <c r="CO82" i="1" s="1"/>
  <c r="CO80" i="1" s="1"/>
  <c r="AE90" i="1" l="1"/>
  <c r="AE98" i="1" s="1"/>
  <c r="CO93" i="1"/>
  <c r="AE91" i="1"/>
  <c r="AE99" i="1" s="1"/>
  <c r="CO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<sst xmlns="http://schemas.openxmlformats.org/spreadsheetml/2006/main" count="681" uniqueCount="511">
  <si>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</si>
  <si>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</si>
  <si>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</si>
  <si>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</si>
  <si>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</si>
  <si>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</si>
  <si>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</si>
  <si>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</si>
  <si>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</si>
  <si>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</si>
  <si>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</si>
  <si>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</si>
  <si>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</si>
  <si>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</si>
  <si>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</si>
  <si>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</si>
  <si>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</si>
  <si>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</si>
  <si>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</si>
  <si>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</si>
  <si>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</si>
  <si>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</si>
  <si>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</si>
  <si>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</si>
  <si>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</si>
  <si>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</si>
  <si>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</si>
  <si>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</si>
  <si>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</si>
  <si>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</si>
  <si>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</si>
  <si>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</si>
  <si>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</si>
  <si>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</si>
  <si>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</si>
  <si>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</si>
  <si>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</si>
  <si>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</si>
  <si>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</si>
  <si>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</si>
  <si>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</si>
  <si>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</si>
  <si>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</si>
  <si>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</si>
  <si>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</si>
  <si>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</si>
  <si>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</si>
  <si>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</si>
  <si>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</si>
  <si>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</si>
  <si>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</si>
  <si>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</si>
  <si>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</si>
  <si>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</si>
  <si>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</si>
  <si>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</si>
  <si>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</si>
  <si>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</si>
  <si>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</si>
  <si>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</si>
  <si>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</si>
  <si>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</si>
  <si>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</si>
  <si>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</si>
  <si>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</si>
  <si>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</si>
  <si>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</si>
  <si>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</si>
  <si>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</si>
  <si>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</si>
  <si>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</si>
  <si>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</si>
  <si>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</si>
  <si>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</si>
  <si>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</si>
  <si>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</si>
  <si>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</si>
  <si>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</si>
  <si>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</si>
  <si>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</si>
  <si>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</si>
  <si>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</si>
  <si>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</si>
  <si>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</si>
  <si>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</si>
  <si>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</si>
  <si>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</si>
  <si>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</si>
  <si>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</si>
  <si>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</si>
  <si>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</si>
  <si>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</si>
  <si>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</si>
  <si>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</si>
  <si>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</si>
  <si>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</si>
  <si>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</si>
  <si>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</si>
  <si>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</si>
  <si>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</si>
  <si>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</si>
  <si>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</si>
  <si>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</si>
  <si>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</si>
  <si>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</si>
  <si>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</si>
  <si>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</si>
  <si>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</si>
  <si>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</si>
  <si>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</si>
  <si>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</si>
  <si>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</si>
  <si>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</si>
  <si>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</si>
  <si>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</si>
  <si>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</si>
  <si>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</si>
  <si>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</si>
  <si>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</si>
  <si>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</si>
  <si>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</si>
  <si>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</si>
  <si>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</si>
  <si>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</si>
  <si>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</si>
  <si>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</si>
  <si>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</si>
  <si>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</si>
  <si>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</si>
  <si>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</si>
  <si>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</si>
  <si>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</si>
  <si>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</si>
  <si>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</si>
  <si>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</si>
  <si>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</si>
  <si>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</si>
  <si>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</si>
  <si>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</si>
  <si>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</si>
  <si>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</si>
  <si>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</si>
  <si>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</si>
  <si>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</si>
  <si>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</si>
  <si>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</si>
  <si>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</si>
  <si>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</si>
  <si>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</si>
  <si>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</si>
  <si>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</si>
  <si>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</si>
  <si>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</si>
  <si>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</si>
  <si>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</si>
  <si>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</si>
  <si>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</si>
  <si>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</si>
  <si>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</si>
  <si>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</si>
  <si>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</si>
  <si>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</si>
  <si>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</si>
  <si>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</si>
  <si>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</si>
  <si>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</si>
  <si>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</si>
  <si>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</si>
  <si>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</si>
  <si>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</si>
  <si>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</si>
  <si>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</si>
  <si>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</si>
  <si>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</si>
  <si>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</si>
  <si>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</si>
  <si>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</si>
  <si>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</si>
  <si>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</si>
  <si>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</si>
  <si>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</si>
  <si>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</si>
  <si>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</si>
  <si>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</si>
  <si>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</si>
  <si>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</si>
  <si>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</si>
  <si>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</si>
  <si>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</si>
  <si>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</si>
  <si>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</si>
  <si>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</si>
  <si>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</si>
  <si>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</si>
  <si>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</si>
  <si>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</si>
  <si>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</si>
  <si>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</si>
  <si>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</si>
  <si>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</si>
  <si>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</si>
  <si>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</si>
  <si>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</si>
  <si>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</si>
  <si>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</si>
  <si>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</si>
  <si>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</si>
  <si>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</si>
  <si>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</si>
  <si>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</si>
  <si>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</si>
  <si>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</si>
  <si>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</si>
  <si>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</si>
  <si>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</si>
  <si>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</si>
  <si>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</si>
  <si>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</si>
  <si>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</si>
  <si>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</si>
  <si>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</si>
  <si>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</si>
  <si>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</si>
  <si>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</si>
  <si>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</si>
  <si>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</si>
  <si>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</si>
  <si>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</si>
  <si>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</si>
  <si>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</si>
  <si>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</si>
  <si>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</si>
  <si>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</si>
  <si>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</si>
  <si>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</si>
  <si>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</si>
  <si>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</si>
  <si>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</si>
  <si>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</si>
  <si>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</si>
  <si>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</si>
  <si>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</si>
  <si>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</si>
  <si>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</si>
  <si>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</si>
  <si>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</si>
  <si>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</si>
  <si>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</si>
  <si>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</si>
  <si>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</si>
  <si>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</si>
  <si>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</si>
  <si>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</si>
  <si>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</si>
  <si>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</si>
  <si>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</si>
  <si>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</si>
  <si>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</si>
  <si>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</si>
  <si>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</si>
  <si>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</si>
  <si>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</si>
  <si>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</si>
  <si>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</si>
  <si>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</si>
  <si>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</si>
  <si>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</si>
  <si>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</si>
  <si>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</si>
  <si>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</si>
  <si>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</si>
  <si>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</si>
  <si>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</si>
  <si>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</si>
  <si>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</si>
  <si>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</si>
  <si>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</si>
  <si>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</si>
  <si>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</si>
  <si>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</si>
  <si>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</si>
  <si>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</si>
  <si>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</si>
  <si>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</si>
  <si>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</si>
  <si>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</si>
  <si>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</si>
  <si>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</si>
  <si>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</si>
  <si>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</si>
  <si>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</si>
  <si>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</si>
  <si>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</si>
  <si>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</si>
  <si>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</si>
  <si>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</si>
  <si>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</si>
  <si>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</si>
  <si>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</si>
  <si>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</si>
  <si>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</si>
  <si>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</si>
  <si>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</si>
  <si>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</si>
  <si>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</si>
  <si>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</si>
  <si>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</si>
  <si>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</si>
  <si>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</si>
  <si>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</si>
  <si>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</si>
  <si>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</si>
  <si>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</si>
  <si>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</si>
  <si>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</si>
  <si>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</si>
  <si>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</si>
  <si>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</si>
  <si>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</si>
  <si>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</si>
  <si>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</si>
  <si>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</si>
  <si>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</si>
  <si>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</si>
  <si>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</si>
  <si>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</si>
  <si>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</si>
  <si>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</si>
  <si>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</si>
  <si>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</si>
  <si>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</si>
  <si>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</si>
  <si>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</si>
  <si>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</si>
  <si>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</si>
  <si>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</si>
  <si>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</si>
  <si>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</si>
  <si>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</si>
  <si>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</si>
  <si>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</si>
  <si>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</si>
  <si>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</si>
  <si>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</si>
  <si>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</si>
  <si>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</si>
  <si>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</si>
  <si>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</si>
  <si>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</si>
  <si>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</si>
  <si>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</si>
  <si>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</si>
  <si>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</si>
  <si>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</si>
  <si>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</si>
  <si>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</si>
  <si>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</si>
  <si>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</si>
  <si>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</si>
  <si>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</si>
  <si>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</si>
  <si>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</si>
  <si>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</si>
  <si>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</si>
  <si>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</si>
  <si>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</si>
  <si>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</si>
  <si>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</si>
  <si>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</si>
  <si>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</si>
  <si>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</si>
  <si>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</si>
  <si>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</si>
  <si>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</si>
  <si>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</si>
  <si>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</si>
  <si>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</si>
  <si>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</si>
  <si>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</si>
  <si>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</si>
  <si>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</si>
  <si>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</si>
  <si>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</si>
  <si>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</si>
  <si>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</si>
  <si>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</si>
  <si>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</si>
  <si>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</si>
  <si>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</si>
  <si>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</si>
  <si>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</si>
  <si>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</si>
  <si>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</si>
  <si>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</si>
  <si>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</si>
  <si>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</si>
  <si>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</si>
  <si>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</si>
  <si>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</si>
  <si>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</si>
  <si>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</si>
  <si>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</si>
  <si>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</si>
  <si>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</si>
  <si>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</si>
  <si>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</si>
  <si>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</si>
  <si>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</si>
  <si>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</si>
  <si>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</si>
  <si>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</si>
  <si>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</si>
  <si>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</si>
  <si>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</si>
  <si>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</si>
  <si>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</si>
  <si>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</si>
  <si>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</si>
  <si>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</si>
  <si>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</si>
  <si>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</si>
  <si>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</si>
  <si>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</si>
  <si>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</si>
  <si>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</si>
  <si>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</si>
  <si>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</si>
  <si>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</si>
  <si>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</si>
  <si>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</si>
  <si>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</si>
  <si>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</si>
  <si>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</si>
  <si>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</si>
  <si>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</si>
  <si>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</si>
  <si>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</si>
  <si>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</si>
  <si>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</si>
  <si>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</si>
  <si>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</si>
  <si>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</si>
  <si>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</si>
  <si>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</si>
  <si>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</si>
  <si>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</si>
  <si>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</si>
  <si>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</si>
  <si>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</si>
  <si>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</si>
  <si>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</si>
  <si>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</si>
  <si>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</si>
  <si>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</si>
  <si>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</si>
  <si>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</si>
  <si>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</si>
  <si>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</si>
  <si>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</si>
  <si>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</si>
  <si>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</si>
  <si>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</si>
  <si>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</si>
  <si>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</si>
  <si>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</si>
  <si>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</si>
  <si>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</si>
  <si>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</si>
  <si>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</si>
  <si>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</si>
  <si>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</si>
  <si>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</si>
  <si>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</si>
  <si>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</si>
  <si>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</si>
  <si>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</si>
  <si>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</si>
  <si>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</si>
  <si>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</si>
  <si>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</si>
  <si>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</si>
  <si>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</si>
  <si>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</si>
  <si>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</si>
  <si>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</si>
  <si>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</si>
  <si>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</si>
  <si>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</si>
  <si>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</si>
  <si>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</si>
  <si>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</si>
  <si>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</si>
  <si>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</si>
  <si>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</si>
  <si>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</si>
  <si>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</si>
  <si>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</si>
  <si>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CreditAccess Grameen Ltd.</t>
  </si>
  <si>
    <t>DATE</t>
  </si>
  <si>
    <t>ADJHIGH</t>
  </si>
  <si>
    <t>ADJCLOSE</t>
  </si>
  <si>
    <t>ADJLOW</t>
  </si>
  <si>
    <t>ADJOPEN</t>
  </si>
  <si>
    <t>CLOSE</t>
  </si>
  <si>
    <t>VOLUME</t>
  </si>
  <si>
    <t>Opening</t>
  </si>
  <si>
    <t>Addition</t>
  </si>
  <si>
    <t>Repayment</t>
  </si>
  <si>
    <t>Closing</t>
  </si>
  <si>
    <t>Loan Book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</si>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</sst>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4" fillId="4" borderId="0" xfId="2" applyNumberFormat="1" applyFont="1" applyFill="1" applyBorder="1"/>
    <xf numFmtId="0" fontId="4" fillId="2" borderId="0" xfId="2" applyNumberFormat="1" applyFont="1" applyFill="1"/>
    <xf numFmtId="0" fontId="4" fillId="3" borderId="0" xfId="2" applyNumberFormat="1" applyFont="1" applyFill="1" applyBorder="1"/>
    <xf numFmtId="0" fontId="5" fillId="4" borderId="0" xfId="2" applyNumberFormat="1" applyFont="1" applyFill="1"/>
    <xf numFmtId="0" fontId="5" fillId="7" borderId="0" xfId="2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62"/>
  <sheetViews>
    <sheetView tabSelected="1" zoomScaleNormal="100" workbookViewId="0">
      <pane xSplit="1" ySplit="1" topLeftCell="CJ8" activePane="bottomRight" state="frozen"/>
      <selection pane="topRight" activeCell="B1" sqref="B1"/>
      <selection pane="bottomLeft" activeCell="A2" sqref="A2"/>
      <selection pane="bottomRight" activeCell="CT34" sqref="CT34:CT162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CreditAccess Grameen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510</v>
      </c>
      <c r="CT1" s="157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AVERAGE(C106:D106)</f>
        <v>0</v>
      </c>
      <c r="E4" s="79">
        <f t="shared" si="15"/>
        <v>0</v>
      </c>
      <c r="F4" s="79">
        <f t="shared" si="15"/>
        <v>0</v>
      </c>
      <c r="G4" s="79">
        <f t="shared" si="15"/>
        <v>0</v>
      </c>
      <c r="H4" s="79">
        <f t="shared" si="15"/>
        <v>0</v>
      </c>
      <c r="I4" s="79">
        <f t="shared" si="15"/>
        <v>0</v>
      </c>
      <c r="J4" s="79">
        <f t="shared" si="15"/>
        <v>10.89866615</v>
      </c>
      <c r="K4" s="79">
        <f t="shared" si="15"/>
        <v>36.020155450000004</v>
      </c>
      <c r="L4" s="79">
        <f t="shared" si="15"/>
        <v>51.989065949999997</v>
      </c>
      <c r="M4" s="79">
        <f t="shared" si="15"/>
        <v>52.283832799999999</v>
      </c>
      <c r="N4" s="79">
        <f t="shared" si="15"/>
        <v>81.661477599999998</v>
      </c>
      <c r="O4" s="79">
        <f t="shared" si="15"/>
        <v>161.7742887</v>
      </c>
      <c r="P4" s="79">
        <f>AVERAGE(O106:P106)</f>
        <v>295.98102549999999</v>
      </c>
      <c r="Q4" s="79">
        <f t="shared" ref="Q4:T4" si="16">AVERAGE(P106:Q106)</f>
        <v>422.91181019999999</v>
      </c>
      <c r="R4" s="79">
        <f t="shared" si="16"/>
        <v>577.85822514999995</v>
      </c>
      <c r="S4" s="79">
        <f t="shared" si="16"/>
        <v>1064.1383731999999</v>
      </c>
      <c r="T4" s="79">
        <f t="shared" si="16"/>
        <v>1901.27</v>
      </c>
      <c r="U4" s="79">
        <f t="shared" ref="U4" si="17">AVERAGE(T106:U106)</f>
        <v>2517.0699999999997</v>
      </c>
      <c r="V4" s="79">
        <f t="shared" ref="V4" si="18">AVERAGE(U106:V106)</f>
        <v>3151.9449999999997</v>
      </c>
      <c r="W4" s="79">
        <f>AVERAGE(V106:W106)</f>
        <v>3900.8599999999997</v>
      </c>
      <c r="X4" s="79">
        <f>AVERAGE(W106:X106)</f>
        <v>4636.9249999999993</v>
      </c>
      <c r="Y4" s="79">
        <f>+AVERAGE(BN4:BQ4)</f>
        <v>5810.6812499999996</v>
      </c>
      <c r="Z4" s="79">
        <f>+AVERAGE(BR4:BU4)</f>
        <v>6901.9787500000002</v>
      </c>
      <c r="AA4" s="80">
        <f>+AVERAGE(BV4:BY4)</f>
        <v>7249.0300000000007</v>
      </c>
      <c r="AB4" s="80">
        <f>+AVERAGE(BZ4:CC4)</f>
        <v>8542.4144177744638</v>
      </c>
      <c r="AC4" s="80">
        <f>+AVERAGE(CD4:CG4)</f>
        <v>10367.376847062998</v>
      </c>
      <c r="AD4" s="80">
        <f>+AVERAGE(CH4:CK4)</f>
        <v>12646.610959419037</v>
      </c>
      <c r="AE4" s="80">
        <f>+AVERAGE(CL4:CO4)</f>
        <v>15282.819013617142</v>
      </c>
      <c r="AG4" s="82"/>
      <c r="AH4" s="79">
        <f t="shared" ref="AH4" si="19">AVERAGE(AG106:AH106)</f>
        <v>0</v>
      </c>
      <c r="AI4" s="79">
        <f t="shared" ref="AI4" si="20">AVERAGE(AH106:AI106)</f>
        <v>0</v>
      </c>
      <c r="AJ4" s="79">
        <f t="shared" ref="AJ4" si="21">AVERAGE(AI106:AJ106)</f>
        <v>0</v>
      </c>
      <c r="AK4" s="79">
        <f t="shared" ref="AK4" si="22">AVERAGE(AJ106:AK106)</f>
        <v>0</v>
      </c>
      <c r="AL4" s="79">
        <f t="shared" ref="AL4" si="23">AVERAGE(AK106:AL106)</f>
        <v>0</v>
      </c>
      <c r="AM4" s="79">
        <f t="shared" ref="AM4" si="24">AVERAGE(AL106:AM106)</f>
        <v>0</v>
      </c>
      <c r="AN4" s="79">
        <f t="shared" ref="AN4" si="25">AVERAGE(AM106:AN106)</f>
        <v>0</v>
      </c>
      <c r="AO4" s="79">
        <f t="shared" ref="AO4" si="26">AVERAGE(AN106:AO106)</f>
        <v>0</v>
      </c>
      <c r="AP4" s="79">
        <f t="shared" ref="AP4" si="27">AVERAGE(AO106:AP106)</f>
        <v>0</v>
      </c>
      <c r="AQ4" s="79">
        <f t="shared" ref="AQ4" si="28">AVERAGE(AP106:AQ106)</f>
        <v>0</v>
      </c>
      <c r="AR4" s="79">
        <f t="shared" ref="AR4" si="29">AVERAGE(AQ106:AR106)</f>
        <v>0</v>
      </c>
      <c r="AS4" s="79">
        <f t="shared" ref="AS4" si="30">AVERAGE(AR106:AS106)</f>
        <v>718.74</v>
      </c>
      <c r="AT4" s="79">
        <f t="shared" ref="AT4" si="31">AVERAGE(AS106:AT106)</f>
        <v>718.74</v>
      </c>
      <c r="AU4" s="79">
        <f t="shared" ref="AU4" si="32">AVERAGE(AT106:AU106)</f>
        <v>1106.5700000000002</v>
      </c>
      <c r="AV4" s="79">
        <f t="shared" ref="AV4" si="33">AVERAGE(AU106:AV106)</f>
        <v>1106.5700000000002</v>
      </c>
      <c r="AW4" s="79">
        <f t="shared" ref="AW4:BB4" si="34">AVERAGE(AV106:AW106)</f>
        <v>1182.5300000000002</v>
      </c>
      <c r="AX4" s="79">
        <f t="shared" si="34"/>
        <v>1182.5300000000002</v>
      </c>
      <c r="AY4" s="79">
        <f t="shared" si="34"/>
        <v>1277.575</v>
      </c>
      <c r="AZ4" s="79">
        <f t="shared" si="34"/>
        <v>1277.575</v>
      </c>
      <c r="BA4" s="79">
        <f t="shared" si="34"/>
        <v>1367.1100000000001</v>
      </c>
      <c r="BB4" s="79">
        <f t="shared" si="34"/>
        <v>1367.1100000000001</v>
      </c>
      <c r="BC4" s="79">
        <f t="shared" ref="BC4" si="35">AVERAGE(BB106:BC106)</f>
        <v>1441.8700000000001</v>
      </c>
      <c r="BD4" s="79">
        <f t="shared" ref="BD4" si="36">AVERAGE(BC106:BD106)</f>
        <v>1441.8700000000001</v>
      </c>
      <c r="BE4" s="79">
        <f t="shared" ref="BE4" si="37">AVERAGE(BD106:BE106)</f>
        <v>1845.7749999999999</v>
      </c>
      <c r="BF4" s="79">
        <f t="shared" ref="BF4:BH4" si="38">AVERAGE(BE106:BF106)</f>
        <v>1845.7749999999999</v>
      </c>
      <c r="BG4" s="79">
        <f t="shared" si="38"/>
        <v>1885.87</v>
      </c>
      <c r="BH4" s="79">
        <f t="shared" si="38"/>
        <v>1885.87</v>
      </c>
      <c r="BI4" s="79">
        <f t="shared" ref="BI4" si="39">AVERAGE(BH106:BI106)</f>
        <v>2083.4549999999999</v>
      </c>
      <c r="BJ4" s="79">
        <f t="shared" ref="BJ4:BK4" si="40">AVERAGE(BI106:BJ106)</f>
        <v>2083.4549999999999</v>
      </c>
      <c r="BK4" s="79">
        <f t="shared" si="40"/>
        <v>2291.0099999999998</v>
      </c>
      <c r="BL4" s="79">
        <f t="shared" ref="BL4" si="41">AVERAGE(BK106:BL106)</f>
        <v>2291.0099999999998</v>
      </c>
      <c r="BM4" s="79">
        <f t="shared" ref="BM4" si="42">AVERAGE(BL106:BM106)</f>
        <v>2553.4850000000001</v>
      </c>
      <c r="BN4" s="79">
        <f t="shared" ref="BN4" si="43">AVERAGE(BM106:BN106)</f>
        <v>5281.2000000000007</v>
      </c>
      <c r="BO4" s="79">
        <f t="shared" ref="BO4" si="44">AVERAGE(BN106:BO106)</f>
        <v>5626.585</v>
      </c>
      <c r="BP4" s="79">
        <f t="shared" ref="BP4" si="45">AVERAGE(BO106:BP106)</f>
        <v>5974.41</v>
      </c>
      <c r="BQ4" s="79">
        <f t="shared" ref="BQ4" si="46">AVERAGE(BP106:BQ106)</f>
        <v>6360.5300000000007</v>
      </c>
      <c r="BR4" s="79">
        <f t="shared" ref="BR4" si="47">AVERAGE(BQ106:BR106)</f>
        <v>6768.81</v>
      </c>
      <c r="BS4" s="79">
        <f t="shared" ref="BS4" si="48">AVERAGE(BR106:BS106)</f>
        <v>6978.0249999999996</v>
      </c>
      <c r="BT4" s="79">
        <f t="shared" ref="BT4:BU4" si="49">AVERAGE(BS106:BT106)</f>
        <v>6938.65</v>
      </c>
      <c r="BU4" s="79">
        <f t="shared" si="49"/>
        <v>6922.43</v>
      </c>
      <c r="BV4" s="79">
        <f>AVERAGE(BU106:BV106)</f>
        <v>6986.0650000000005</v>
      </c>
      <c r="BW4" s="79">
        <f>AVERAGE(BV106:BW106)</f>
        <v>7090.27</v>
      </c>
      <c r="BX4" s="79">
        <f t="shared" ref="BX4" si="50">AVERAGE(BW106:BX106)</f>
        <v>7290.4250000000002</v>
      </c>
      <c r="BY4" s="83">
        <f t="shared" ref="BY4" si="51">AVERAGE(BX106:BY106)</f>
        <v>7629.3600000000006</v>
      </c>
      <c r="BZ4" s="83">
        <f t="shared" ref="BZ4" si="52">AVERAGE(BY106:BZ106)</f>
        <v>7985.2024694603388</v>
      </c>
      <c r="CA4" s="83">
        <f t="shared" ref="CA4" si="53">AVERAGE(BZ106:CA106)</f>
        <v>8320.056201842197</v>
      </c>
      <c r="CB4" s="83">
        <f t="shared" ref="CB4" si="54">AVERAGE(CA106:CB106)</f>
        <v>8716.8206869751011</v>
      </c>
      <c r="CC4" s="83">
        <f t="shared" ref="CC4" si="55">AVERAGE(CB106:CC106)</f>
        <v>9147.5783128202165</v>
      </c>
      <c r="CD4" s="83">
        <f t="shared" ref="CD4" si="56">AVERAGE(CC106:CD106)</f>
        <v>9602.9048737269295</v>
      </c>
      <c r="CE4" s="83">
        <f t="shared" ref="CE4" si="57">AVERAGE(CD106:CE106)</f>
        <v>10089.150032296182</v>
      </c>
      <c r="CF4" s="83">
        <f t="shared" ref="CF4" si="58">AVERAGE(CE106:CF106)</f>
        <v>10613.512229057957</v>
      </c>
      <c r="CG4" s="83">
        <f t="shared" ref="CG4" si="59">AVERAGE(CF106:CG106)</f>
        <v>11163.940253170927</v>
      </c>
      <c r="CH4" s="83">
        <f t="shared" ref="CH4" si="60">AVERAGE(CG106:CH106)</f>
        <v>11735.25862773378</v>
      </c>
      <c r="CI4" s="83">
        <f t="shared" ref="CI4" si="61">AVERAGE(CH106:CI106)</f>
        <v>12330.091214744549</v>
      </c>
      <c r="CJ4" s="83">
        <f t="shared" ref="CJ4" si="62">AVERAGE(CI106:CJ106)</f>
        <v>12946.514173313608</v>
      </c>
      <c r="CK4" s="83">
        <f t="shared" ref="CK4" si="63">AVERAGE(CJ106:CK106)</f>
        <v>13574.57982188421</v>
      </c>
      <c r="CL4" s="83">
        <f t="shared" ref="CL4" si="64">AVERAGE(CK106:CL106)</f>
        <v>14229.806934384236</v>
      </c>
      <c r="CM4" s="83">
        <f t="shared" ref="CM4" si="65">AVERAGE(CL106:CM106)</f>
        <v>14920.470761608605</v>
      </c>
      <c r="CN4" s="83">
        <f t="shared" ref="CN4" si="66">AVERAGE(CM106:CN106)</f>
        <v>15629.972359516951</v>
      </c>
      <c r="CO4" s="83">
        <f t="shared" ref="CO4" si="67">AVERAGE(CN106:CO106)</f>
        <v>16351.025998958772</v>
      </c>
    </row>
    <row r="5" spans="1:98" s="81" customFormat="1" x14ac:dyDescent="0.2">
      <c r="A5" s="79" t="s">
        <v>24</v>
      </c>
      <c r="B5" s="79"/>
      <c r="C5" s="79"/>
      <c r="D5" s="79">
        <f t="shared" ref="D5:O5" si="68">AVERAGE(C115:D115)</f>
        <v>0</v>
      </c>
      <c r="E5" s="79">
        <f t="shared" si="68"/>
        <v>0</v>
      </c>
      <c r="F5" s="79">
        <f t="shared" si="68"/>
        <v>0</v>
      </c>
      <c r="G5" s="79">
        <f t="shared" si="68"/>
        <v>0</v>
      </c>
      <c r="H5" s="79">
        <f t="shared" si="68"/>
        <v>0</v>
      </c>
      <c r="I5" s="79">
        <f t="shared" si="68"/>
        <v>0</v>
      </c>
      <c r="J5" s="79">
        <f t="shared" si="68"/>
        <v>105.51999909999999</v>
      </c>
      <c r="K5" s="79">
        <f t="shared" si="68"/>
        <v>253.71033</v>
      </c>
      <c r="L5" s="79">
        <f t="shared" si="68"/>
        <v>288.09734049999997</v>
      </c>
      <c r="M5" s="79">
        <f t="shared" si="68"/>
        <v>288.86372855000002</v>
      </c>
      <c r="N5" s="79">
        <f t="shared" si="68"/>
        <v>399.58598645000001</v>
      </c>
      <c r="O5" s="79">
        <f t="shared" si="68"/>
        <v>758.77027429999998</v>
      </c>
      <c r="P5" s="79">
        <f>AVERAGE(O115:P115)</f>
        <v>1343.8588212</v>
      </c>
      <c r="Q5" s="79">
        <f t="shared" ref="Q5:T5" si="69">AVERAGE(P115:Q115)</f>
        <v>2184.8351274000001</v>
      </c>
      <c r="R5" s="79">
        <f t="shared" si="69"/>
        <v>3028.6330717500005</v>
      </c>
      <c r="S5" s="79">
        <f t="shared" si="69"/>
        <v>4209.9857587500001</v>
      </c>
      <c r="T5" s="79">
        <f t="shared" si="69"/>
        <v>6146.2849999999999</v>
      </c>
      <c r="U5" s="79">
        <f t="shared" ref="U5" si="70">AVERAGE(T115:U115)</f>
        <v>8861.6349999999984</v>
      </c>
      <c r="V5" s="79">
        <f t="shared" ref="V5" si="71">AVERAGE(U115:V115)</f>
        <v>11453.584999999999</v>
      </c>
      <c r="W5" s="79">
        <f>AVERAGE(V115:W115)</f>
        <v>14751.564999999999</v>
      </c>
      <c r="X5" s="79">
        <f>AVERAGE(W115:X115)</f>
        <v>19253.400000000001</v>
      </c>
      <c r="Y5" s="79">
        <f>+AVERAGE(BN5:BQ5)</f>
        <v>13942.4925</v>
      </c>
      <c r="Z5" s="79">
        <f>+AVERAGE(BR5:BU5)</f>
        <v>20977.40625</v>
      </c>
      <c r="AA5" s="80">
        <f>+AVERAGE(BV5:BY5)</f>
        <v>26836.186250000002</v>
      </c>
      <c r="AB5" s="80">
        <f>+AVERAGE(BZ5:CC5)</f>
        <v>31306.233156732404</v>
      </c>
      <c r="AC5" s="80">
        <f>+AVERAGE(CD5:CG5)</f>
        <v>35988.794768237123</v>
      </c>
      <c r="AD5" s="80">
        <f>+AVERAGE(CH5:CK5)</f>
        <v>41482.758905962837</v>
      </c>
      <c r="AE5" s="80">
        <f>+AVERAGE(CL5:CO5)</f>
        <v>47736.937831272313</v>
      </c>
      <c r="AG5" s="82"/>
      <c r="AH5" s="79">
        <f t="shared" ref="AH5" si="72">AVERAGE(AG115:AH115)</f>
        <v>0</v>
      </c>
      <c r="AI5" s="79">
        <f t="shared" ref="AI5" si="73">AVERAGE(AH115:AI115)</f>
        <v>0</v>
      </c>
      <c r="AJ5" s="79">
        <f t="shared" ref="AJ5" si="74">AVERAGE(AI115:AJ115)</f>
        <v>0</v>
      </c>
      <c r="AK5" s="79">
        <f t="shared" ref="AK5" si="75">AVERAGE(AJ115:AK115)</f>
        <v>0</v>
      </c>
      <c r="AL5" s="79">
        <f t="shared" ref="AL5" si="76">AVERAGE(AK115:AL115)</f>
        <v>0</v>
      </c>
      <c r="AM5" s="79">
        <f t="shared" ref="AM5" si="77">AVERAGE(AL115:AM115)</f>
        <v>0</v>
      </c>
      <c r="AN5" s="79">
        <f t="shared" ref="AN5" si="78">AVERAGE(AM115:AN115)</f>
        <v>0</v>
      </c>
      <c r="AO5" s="79">
        <f t="shared" ref="AO5" si="79">AVERAGE(AN115:AO115)</f>
        <v>0</v>
      </c>
      <c r="AP5" s="79">
        <f t="shared" ref="AP5" si="80">AVERAGE(AO115:AP115)</f>
        <v>0</v>
      </c>
      <c r="AQ5" s="79">
        <f t="shared" ref="AQ5" si="81">AVERAGE(AP115:AQ115)</f>
        <v>0</v>
      </c>
      <c r="AR5" s="79">
        <f t="shared" ref="AR5" si="82">AVERAGE(AQ115:AR115)</f>
        <v>0</v>
      </c>
      <c r="AS5" s="79">
        <f t="shared" ref="AS5" si="83">AVERAGE(AR115:AS115)</f>
        <v>2095.9700000000003</v>
      </c>
      <c r="AT5" s="79">
        <f t="shared" ref="AT5" si="84">AVERAGE(AS115:AT115)</f>
        <v>2095.9700000000003</v>
      </c>
      <c r="AU5" s="79">
        <f t="shared" ref="AU5" si="85">AVERAGE(AT115:AU115)</f>
        <v>2461.9500000000003</v>
      </c>
      <c r="AV5" s="79">
        <f t="shared" ref="AV5" si="86">AVERAGE(AU115:AV115)</f>
        <v>2461.9500000000003</v>
      </c>
      <c r="AW5" s="79">
        <f t="shared" ref="AW5:BB5" si="87">AVERAGE(AV115:AW115)</f>
        <v>3239.78</v>
      </c>
      <c r="AX5" s="79">
        <f t="shared" si="87"/>
        <v>3239.78</v>
      </c>
      <c r="AY5" s="79">
        <f t="shared" si="87"/>
        <v>3834.7849999999999</v>
      </c>
      <c r="AZ5" s="79">
        <f t="shared" si="87"/>
        <v>3834.7849999999999</v>
      </c>
      <c r="BA5" s="79">
        <f t="shared" si="87"/>
        <v>5743.6149999999998</v>
      </c>
      <c r="BB5" s="79">
        <f t="shared" si="87"/>
        <v>5743.6149999999998</v>
      </c>
      <c r="BC5" s="79">
        <f t="shared" ref="BC5:BH5" si="88">AVERAGE(BB115:BC115)</f>
        <v>5480.7350000000006</v>
      </c>
      <c r="BD5" s="79">
        <f t="shared" si="88"/>
        <v>5480.7350000000006</v>
      </c>
      <c r="BE5" s="79">
        <f t="shared" si="88"/>
        <v>6480.03</v>
      </c>
      <c r="BF5" s="79">
        <f t="shared" si="88"/>
        <v>6480.03</v>
      </c>
      <c r="BG5" s="79">
        <f t="shared" si="88"/>
        <v>6067.2250000000004</v>
      </c>
      <c r="BH5" s="79">
        <f t="shared" si="88"/>
        <v>6067.2250000000004</v>
      </c>
      <c r="BI5" s="79">
        <f t="shared" ref="BI5" si="89">AVERAGE(BH115:BI115)</f>
        <v>7795.88</v>
      </c>
      <c r="BJ5" s="79">
        <f t="shared" ref="BJ5:BK5" si="90">AVERAGE(BI115:BJ115)</f>
        <v>7795.88</v>
      </c>
      <c r="BK5" s="79">
        <f t="shared" si="90"/>
        <v>7856.93</v>
      </c>
      <c r="BL5" s="79">
        <f t="shared" ref="BL5" si="91">AVERAGE(BK115:BL115)</f>
        <v>7856.93</v>
      </c>
      <c r="BM5" s="79">
        <f t="shared" ref="BM5" si="92">AVERAGE(BL115:BM115)</f>
        <v>9834.4850000000006</v>
      </c>
      <c r="BN5" s="79">
        <f t="shared" ref="BN5" si="93">AVERAGE(BM115:BN115)</f>
        <v>12562.2</v>
      </c>
      <c r="BO5" s="79">
        <f t="shared" ref="BO5" si="94">AVERAGE(BN115:BO115)</f>
        <v>13306.295</v>
      </c>
      <c r="BP5" s="79">
        <f t="shared" ref="BP5" si="95">AVERAGE(BO115:BP115)</f>
        <v>13654.119999999999</v>
      </c>
      <c r="BQ5" s="79">
        <f t="shared" ref="BQ5" si="96">AVERAGE(BP115:BQ115)</f>
        <v>16247.355</v>
      </c>
      <c r="BR5" s="79">
        <f t="shared" ref="BR5" si="97">AVERAGE(BQ115:BR115)</f>
        <v>16655.635000000002</v>
      </c>
      <c r="BS5" s="79">
        <f t="shared" ref="BS5" si="98">AVERAGE(BR115:BS115)</f>
        <v>15577.785</v>
      </c>
      <c r="BT5" s="79">
        <f t="shared" ref="BT5:BU5" si="99">AVERAGE(BS115:BT115)</f>
        <v>25426.41</v>
      </c>
      <c r="BU5" s="79">
        <f t="shared" si="99"/>
        <v>26249.794999999998</v>
      </c>
      <c r="BV5" s="79">
        <f>AVERAGE(BU115:BV115)</f>
        <v>25864.794999999998</v>
      </c>
      <c r="BW5" s="79">
        <f>AVERAGE(BV115:BW115)</f>
        <v>25974.68</v>
      </c>
      <c r="BX5" s="79">
        <f>AVERAGE(BW115:BX115)</f>
        <v>26623.47</v>
      </c>
      <c r="BY5" s="80">
        <f t="shared" ref="BY5" si="100">AVERAGE(BX115:BY115)</f>
        <v>28881.800000000003</v>
      </c>
      <c r="BZ5" s="80">
        <f t="shared" ref="BZ5" si="101">AVERAGE(BY115:BZ115)</f>
        <v>30346.16471275514</v>
      </c>
      <c r="CA5" s="80">
        <f t="shared" ref="CA5" si="102">AVERAGE(BZ115:CA115)</f>
        <v>30424.259283108047</v>
      </c>
      <c r="CB5" s="80">
        <f t="shared" ref="CB5" si="103">AVERAGE(CA115:CB115)</f>
        <v>31161.752142663554</v>
      </c>
      <c r="CC5" s="80">
        <f t="shared" ref="CC5" si="104">AVERAGE(CB115:CC115)</f>
        <v>33292.756488402869</v>
      </c>
      <c r="CD5" s="80">
        <f t="shared" ref="CD5" si="105">AVERAGE(CC115:CD115)</f>
        <v>34778.515588913295</v>
      </c>
      <c r="CE5" s="80">
        <f t="shared" ref="CE5" si="106">AVERAGE(CD115:CE115)</f>
        <v>34962.461961486879</v>
      </c>
      <c r="CF5" s="80">
        <f t="shared" ref="CF5" si="107">AVERAGE(CE115:CF115)</f>
        <v>35876.634980538649</v>
      </c>
      <c r="CG5" s="80">
        <f t="shared" ref="CG5" si="108">AVERAGE(CF115:CG115)</f>
        <v>38337.566542009685</v>
      </c>
      <c r="CH5" s="80">
        <f t="shared" ref="CH5" si="109">AVERAGE(CG115:CH115)</f>
        <v>40070.201219122886</v>
      </c>
      <c r="CI5" s="80">
        <f t="shared" ref="CI5" si="110">AVERAGE(CH115:CI115)</f>
        <v>40323.86781593554</v>
      </c>
      <c r="CJ5" s="80">
        <f t="shared" ref="CJ5" si="111">AVERAGE(CI115:CJ115)</f>
        <v>41379.454752959646</v>
      </c>
      <c r="CK5" s="80">
        <f t="shared" ref="CK5" si="112">AVERAGE(CJ115:CK115)</f>
        <v>44157.511835833269</v>
      </c>
      <c r="CL5" s="80">
        <f t="shared" ref="CL5" si="113">AVERAGE(CK115:CL115)</f>
        <v>46119.8737222372</v>
      </c>
      <c r="CM5" s="80">
        <f t="shared" ref="CM5" si="114">AVERAGE(CL115:CM115)</f>
        <v>46426.500690268687</v>
      </c>
      <c r="CN5" s="80">
        <f t="shared" ref="CN5" si="115">AVERAGE(CM115:CN115)</f>
        <v>47630.2978284044</v>
      </c>
      <c r="CO5" s="80">
        <f t="shared" ref="CO5" si="116">AVERAGE(CN115:CO115)</f>
        <v>50771.079084178949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7">+D5/C5-1</f>
        <v>#DIV/0!</v>
      </c>
      <c r="E7" s="35" t="e">
        <f t="shared" ref="E7" si="118">+E5/D5-1</f>
        <v>#DIV/0!</v>
      </c>
      <c r="F7" s="35" t="e">
        <f t="shared" ref="F7" si="119">+F5/E5-1</f>
        <v>#DIV/0!</v>
      </c>
      <c r="G7" s="35" t="e">
        <f t="shared" ref="G7" si="120">+G5/F5-1</f>
        <v>#DIV/0!</v>
      </c>
      <c r="H7" s="35" t="e">
        <f t="shared" ref="H7" si="121">+H5/G5-1</f>
        <v>#DIV/0!</v>
      </c>
      <c r="I7" s="35" t="e">
        <f t="shared" ref="I7" si="122">+I5/H5-1</f>
        <v>#DIV/0!</v>
      </c>
      <c r="J7" s="35" t="e">
        <f t="shared" ref="J7" si="123">+J5/I5-1</f>
        <v>#DIV/0!</v>
      </c>
      <c r="K7" s="35">
        <f t="shared" ref="K7" si="124">+K5/J5-1</f>
        <v>1.4043814647833903</v>
      </c>
      <c r="L7" s="35">
        <f t="shared" ref="L7" si="125">+L5/K5-1</f>
        <v>0.13553650141088047</v>
      </c>
      <c r="M7" s="35">
        <f t="shared" ref="M7" si="126">+M5/L5-1</f>
        <v>2.6601705127509145E-3</v>
      </c>
      <c r="N7" s="35">
        <f t="shared" ref="N7" si="127">+N5/M5-1</f>
        <v>0.3833027374388227</v>
      </c>
      <c r="O7" s="35">
        <f t="shared" ref="O7" si="128">+O5/N5-1</f>
        <v>0.89889110236588476</v>
      </c>
      <c r="P7" s="35">
        <f t="shared" ref="P7" si="129">+P5/O5-1</f>
        <v>0.77110103903288874</v>
      </c>
      <c r="Q7" s="35">
        <f t="shared" ref="Q7" si="130">+Q5/P5-1</f>
        <v>0.62579215385813347</v>
      </c>
      <c r="R7" s="35">
        <f t="shared" ref="R7" si="131">+R5/Q5-1</f>
        <v>0.38620669073283231</v>
      </c>
      <c r="S7" s="35">
        <f t="shared" ref="S7" si="132">+S5/R5-1</f>
        <v>0.39006134418171423</v>
      </c>
      <c r="T7" s="35">
        <f t="shared" ref="T7" si="133">+T5/S5-1</f>
        <v>0.45993011668165651</v>
      </c>
      <c r="U7" s="35">
        <f t="shared" ref="U7:V7" si="134">+U5/T5-1</f>
        <v>0.44178719340219308</v>
      </c>
      <c r="V7" s="35">
        <f t="shared" si="134"/>
        <v>0.29249117121163315</v>
      </c>
      <c r="W7" s="35">
        <f>+W5/V5-1</f>
        <v>0.28794303268365318</v>
      </c>
      <c r="X7" s="35">
        <f t="shared" ref="X7:Z7" si="135">+X5/W5-1</f>
        <v>0.30517677276953359</v>
      </c>
      <c r="Y7" s="35">
        <f t="shared" si="135"/>
        <v>-0.27584257845367577</v>
      </c>
      <c r="Z7" s="35">
        <f t="shared" si="135"/>
        <v>0.50456643602282725</v>
      </c>
      <c r="AA7" s="36">
        <f t="shared" ref="AA7" si="136">+AA5/Z5-1</f>
        <v>0.27929000993628583</v>
      </c>
      <c r="AB7" s="36">
        <f t="shared" ref="AB7" si="137">+AB5/AA5-1</f>
        <v>0.16656788953133761</v>
      </c>
      <c r="AC7" s="36">
        <f t="shared" ref="AC7" si="138">+AC5/AB5-1</f>
        <v>0.14957282110759906</v>
      </c>
      <c r="AD7" s="36">
        <f t="shared" ref="AD7" si="139">+AD5/AC5-1</f>
        <v>0.15265763060713988</v>
      </c>
      <c r="AE7" s="36">
        <f t="shared" ref="AE7" si="140">+AE5/AD5-1</f>
        <v>0.15076574196733294</v>
      </c>
      <c r="AG7" s="59"/>
      <c r="AH7" s="35"/>
      <c r="AI7" s="35"/>
      <c r="AJ7" s="35"/>
      <c r="AK7" s="35"/>
      <c r="AL7" s="35" t="e">
        <f t="shared" ref="AL7" si="141">AL5/AH5-1</f>
        <v>#DIV/0!</v>
      </c>
      <c r="AM7" s="35" t="e">
        <f t="shared" ref="AM7" si="142">AM5/AI5-1</f>
        <v>#DIV/0!</v>
      </c>
      <c r="AN7" s="35" t="e">
        <f t="shared" ref="AN7" si="143">AN5/AJ5-1</f>
        <v>#DIV/0!</v>
      </c>
      <c r="AO7" s="35" t="e">
        <f t="shared" ref="AO7" si="144">AO5/AK5-1</f>
        <v>#DIV/0!</v>
      </c>
      <c r="AP7" s="35" t="e">
        <f t="shared" ref="AP7" si="145">AP5/AL5-1</f>
        <v>#DIV/0!</v>
      </c>
      <c r="AQ7" s="35" t="e">
        <f t="shared" ref="AQ7" si="146">AQ5/AM5-1</f>
        <v>#DIV/0!</v>
      </c>
      <c r="AR7" s="35" t="e">
        <f t="shared" ref="AR7" si="147">AR5/AN5-1</f>
        <v>#DIV/0!</v>
      </c>
      <c r="AS7" s="35" t="e">
        <f t="shared" ref="AS7" si="148">AS5/AO5-1</f>
        <v>#DIV/0!</v>
      </c>
      <c r="AT7" s="35" t="e">
        <f t="shared" ref="AT7" si="149">AT5/AP5-1</f>
        <v>#DIV/0!</v>
      </c>
      <c r="AU7" s="35" t="e">
        <f t="shared" ref="AU7" si="150">AU5/AQ5-1</f>
        <v>#DIV/0!</v>
      </c>
      <c r="AV7" s="35" t="e">
        <f t="shared" ref="AV7" si="151">AV5/AR5-1</f>
        <v>#DIV/0!</v>
      </c>
      <c r="AW7" s="35">
        <f t="shared" ref="AW7" si="152">AW5/AS5-1</f>
        <v>0.5457186887216896</v>
      </c>
      <c r="AX7" s="35">
        <f t="shared" ref="AX7" si="153">AX5/AT5-1</f>
        <v>0.5457186887216896</v>
      </c>
      <c r="AY7" s="35">
        <f t="shared" ref="AY7" si="154">AY5/AU5-1</f>
        <v>0.55762099149048505</v>
      </c>
      <c r="AZ7" s="35">
        <f t="shared" ref="AZ7" si="155">AZ5/AV5-1</f>
        <v>0.55762099149048505</v>
      </c>
      <c r="BA7" s="35">
        <f t="shared" ref="BA7:BB7" si="156">BA5/AW5-1</f>
        <v>0.77284105710881579</v>
      </c>
      <c r="BB7" s="35">
        <f t="shared" si="156"/>
        <v>0.77284105710881579</v>
      </c>
      <c r="BC7" s="35">
        <f t="shared" ref="BC7" si="157">BC5/AY5-1</f>
        <v>0.42921571874303277</v>
      </c>
      <c r="BD7" s="35">
        <f t="shared" ref="BD7" si="158">BD5/AZ5-1</f>
        <v>0.42921571874303277</v>
      </c>
      <c r="BE7" s="35">
        <f t="shared" ref="BE7" si="159">BE5/BA5-1</f>
        <v>0.12821454780656438</v>
      </c>
      <c r="BF7" s="35">
        <f t="shared" ref="BF7:BH7" si="160">BF5/BB5-1</f>
        <v>0.12821454780656438</v>
      </c>
      <c r="BG7" s="35">
        <f t="shared" si="160"/>
        <v>0.10700937009360967</v>
      </c>
      <c r="BH7" s="35">
        <f t="shared" si="160"/>
        <v>0.10700937009360967</v>
      </c>
      <c r="BI7" s="35">
        <f t="shared" ref="BI7" si="161">BI5/BE5-1</f>
        <v>0.20306233150155184</v>
      </c>
      <c r="BJ7" s="35">
        <f t="shared" ref="BJ7:BK7" si="162">BJ5/BF5-1</f>
        <v>0.20306233150155184</v>
      </c>
      <c r="BK7" s="35">
        <f t="shared" si="162"/>
        <v>0.29497917087301029</v>
      </c>
      <c r="BL7" s="35">
        <f t="shared" ref="BL7" si="163">BL5/BH5-1</f>
        <v>0.29497917087301029</v>
      </c>
      <c r="BM7" s="35">
        <f t="shared" ref="BM7" si="164">BM5/BI5-1</f>
        <v>0.26149773983180857</v>
      </c>
      <c r="BN7" s="35">
        <f t="shared" ref="BN7" si="165">BN5/BJ5-1</f>
        <v>0.61138960579177737</v>
      </c>
      <c r="BO7" s="35">
        <f t="shared" ref="BO7" si="166">BO5/BK5-1</f>
        <v>0.69357433501380306</v>
      </c>
      <c r="BP7" s="35">
        <f t="shared" ref="BP7" si="167">BP5/BL5-1</f>
        <v>0.73784417068753294</v>
      </c>
      <c r="BQ7" s="35">
        <f t="shared" ref="BQ7" si="168">BQ5/BM5-1</f>
        <v>0.65207990047267339</v>
      </c>
      <c r="BR7" s="35">
        <f t="shared" ref="BR7" si="169">BR5/BN5-1</f>
        <v>0.32585335371192947</v>
      </c>
      <c r="BS7" s="35">
        <f t="shared" ref="BS7" si="170">BS5/BO5-1</f>
        <v>0.17070792433205484</v>
      </c>
      <c r="BT7" s="35">
        <f t="shared" ref="BT7:BU7" si="171">BT5/BP5-1</f>
        <v>0.86217859517859829</v>
      </c>
      <c r="BU7" s="35">
        <f t="shared" si="171"/>
        <v>0.61563497566219239</v>
      </c>
      <c r="BV7" s="35">
        <f t="shared" ref="BV7:BX7" si="172">BV5/BR5-1</f>
        <v>0.55291557481897247</v>
      </c>
      <c r="BW7" s="35">
        <f t="shared" si="172"/>
        <v>0.66741805718849001</v>
      </c>
      <c r="BX7" s="35">
        <f t="shared" si="172"/>
        <v>4.7079395007002534E-2</v>
      </c>
      <c r="BY7" s="85">
        <f t="shared" ref="BY7" si="173">BY5/BU5-1</f>
        <v>0.10026764018538059</v>
      </c>
      <c r="BZ7" s="85">
        <f t="shared" ref="BZ7" si="174">BZ5/BV5-1</f>
        <v>0.17326136599014763</v>
      </c>
      <c r="CA7" s="85">
        <f t="shared" ref="CA7" si="175">CA5/BW5-1</f>
        <v>0.17130448895262806</v>
      </c>
      <c r="CB7" s="85">
        <f t="shared" ref="CB7" si="176">CB5/BX5-1</f>
        <v>0.17046170700752206</v>
      </c>
      <c r="CC7" s="85">
        <f t="shared" ref="CC7" si="177">CC5/BY5-1</f>
        <v>0.15272443159369797</v>
      </c>
      <c r="CD7" s="85">
        <f t="shared" ref="CD7" si="178">CD5/BZ5-1</f>
        <v>0.14605967238736906</v>
      </c>
      <c r="CE7" s="85">
        <f t="shared" ref="CE7" si="179">CE5/CA5-1</f>
        <v>0.14916394960183976</v>
      </c>
      <c r="CF7" s="85">
        <f t="shared" ref="CF7" si="180">CF5/CB5-1</f>
        <v>0.15130352158279159</v>
      </c>
      <c r="CG7" s="85">
        <f t="shared" ref="CG7" si="181">CG5/CC5-1</f>
        <v>0.15152875837613844</v>
      </c>
      <c r="CH7" s="85">
        <f t="shared" ref="CH7" si="182">CH5/CD5-1</f>
        <v>0.15215386685153631</v>
      </c>
      <c r="CI7" s="85">
        <f t="shared" ref="CI7" si="183">CI5/CE5-1</f>
        <v>0.15334749195736141</v>
      </c>
      <c r="CJ7" s="85">
        <f t="shared" ref="CJ7" si="184">CJ5/CF5-1</f>
        <v>0.15338171418267099</v>
      </c>
      <c r="CK7" s="85">
        <f t="shared" ref="CK7" si="185">CK5/CG5-1</f>
        <v>0.15180789546060991</v>
      </c>
      <c r="CL7" s="85">
        <f t="shared" ref="CL7" si="186">CL5/CH5-1</f>
        <v>0.15097684361582897</v>
      </c>
      <c r="CM7" s="85">
        <f t="shared" ref="CM7" si="187">CM5/CI5-1</f>
        <v>0.15134046421810399</v>
      </c>
      <c r="CN7" s="85">
        <f t="shared" ref="CN7" si="188">CN5/CJ5-1</f>
        <v>0.15106151380589816</v>
      </c>
      <c r="CO7" s="85">
        <f t="shared" ref="CO7" si="189">CO5/CK5-1</f>
        <v>0.14977218990357266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 t="e">
        <f t="shared" ref="D9:AE9" si="190">D114/D106</f>
        <v>#DIV/0!</v>
      </c>
      <c r="E9" s="75" t="e">
        <f t="shared" si="190"/>
        <v>#DIV/0!</v>
      </c>
      <c r="F9" s="75" t="e">
        <f t="shared" si="190"/>
        <v>#DIV/0!</v>
      </c>
      <c r="G9" s="75" t="e">
        <f t="shared" si="190"/>
        <v>#DIV/0!</v>
      </c>
      <c r="H9" s="75" t="e">
        <f t="shared" si="190"/>
        <v>#DIV/0!</v>
      </c>
      <c r="I9" s="75" t="e">
        <f t="shared" si="190"/>
        <v>#DIV/0!</v>
      </c>
      <c r="J9" s="75">
        <f t="shared" si="190"/>
        <v>8.6819186538712341</v>
      </c>
      <c r="K9" s="75">
        <f t="shared" si="190"/>
        <v>4.898946878917724</v>
      </c>
      <c r="L9" s="75">
        <f t="shared" si="190"/>
        <v>4.207280560600914</v>
      </c>
      <c r="M9" s="75">
        <f t="shared" si="190"/>
        <v>4.8606868797236293</v>
      </c>
      <c r="N9" s="75">
        <f t="shared" si="190"/>
        <v>3.4560099691811237</v>
      </c>
      <c r="O9" s="75">
        <f t="shared" si="190"/>
        <v>3.8151757619178617</v>
      </c>
      <c r="P9" s="75">
        <f t="shared" si="190"/>
        <v>3.3880767731617687</v>
      </c>
      <c r="Q9" s="75">
        <f t="shared" si="190"/>
        <v>4.8036572839691178</v>
      </c>
      <c r="R9" s="75">
        <f t="shared" si="190"/>
        <v>3.8625468128001019</v>
      </c>
      <c r="S9" s="75">
        <f t="shared" si="190"/>
        <v>2.5207028967359544</v>
      </c>
      <c r="T9" s="75">
        <f t="shared" si="190"/>
        <v>2.0576940965556898</v>
      </c>
      <c r="U9" s="75">
        <f t="shared" si="190"/>
        <v>2.9308076191047103</v>
      </c>
      <c r="V9" s="75">
        <f t="shared" si="190"/>
        <v>2.4157301206940662</v>
      </c>
      <c r="W9" s="75">
        <f t="shared" si="190"/>
        <v>3.100784514184372</v>
      </c>
      <c r="X9" s="75">
        <f t="shared" si="190"/>
        <v>3.194135823017306</v>
      </c>
      <c r="Y9" s="75">
        <f t="shared" si="190"/>
        <v>3.3243799420086915</v>
      </c>
      <c r="Z9" s="75">
        <f t="shared" si="190"/>
        <v>2.9393252385730757</v>
      </c>
      <c r="AA9" s="15">
        <f t="shared" si="190"/>
        <v>3.0145966320761213</v>
      </c>
      <c r="AB9" s="15">
        <f t="shared" si="190"/>
        <v>2.7328030806304149</v>
      </c>
      <c r="AC9" s="15">
        <f t="shared" si="190"/>
        <v>2.5188014602459416</v>
      </c>
      <c r="AD9" s="15">
        <f t="shared" si="190"/>
        <v>2.3357671838620666</v>
      </c>
      <c r="AE9" s="15">
        <f t="shared" si="190"/>
        <v>2.1848041827133193</v>
      </c>
      <c r="AG9" s="77"/>
      <c r="AH9" s="14" t="e">
        <f t="shared" ref="AH9:AS9" si="191">AH114/AH106</f>
        <v>#DIV/0!</v>
      </c>
      <c r="AI9" s="14" t="e">
        <f t="shared" si="191"/>
        <v>#DIV/0!</v>
      </c>
      <c r="AJ9" s="14" t="e">
        <f t="shared" si="191"/>
        <v>#DIV/0!</v>
      </c>
      <c r="AK9" s="14" t="e">
        <f t="shared" si="191"/>
        <v>#DIV/0!</v>
      </c>
      <c r="AL9" s="14" t="e">
        <f t="shared" si="191"/>
        <v>#DIV/0!</v>
      </c>
      <c r="AM9" s="14" t="e">
        <f t="shared" si="191"/>
        <v>#DIV/0!</v>
      </c>
      <c r="AN9" s="14" t="e">
        <f t="shared" si="191"/>
        <v>#DIV/0!</v>
      </c>
      <c r="AO9" s="14" t="e">
        <f t="shared" si="191"/>
        <v>#DIV/0!</v>
      </c>
      <c r="AP9" s="14" t="e">
        <f t="shared" si="191"/>
        <v>#DIV/0!</v>
      </c>
      <c r="AQ9" s="14" t="e">
        <f t="shared" si="191"/>
        <v>#DIV/0!</v>
      </c>
      <c r="AR9" s="14" t="e">
        <f t="shared" si="191"/>
        <v>#DIV/0!</v>
      </c>
      <c r="AS9" s="14">
        <f t="shared" si="191"/>
        <v>1.9161727467512593</v>
      </c>
      <c r="AT9" s="14" t="e">
        <f t="shared" ref="AT9:BM9" si="192">AT114/AT106</f>
        <v>#DIV/0!</v>
      </c>
      <c r="AU9" s="14">
        <f t="shared" si="192"/>
        <v>1.224847953586307</v>
      </c>
      <c r="AV9" s="14" t="e">
        <f t="shared" si="192"/>
        <v>#DIV/0!</v>
      </c>
      <c r="AW9" s="14">
        <f t="shared" si="192"/>
        <v>1.7397021640042956</v>
      </c>
      <c r="AX9" s="14" t="e">
        <f t="shared" si="192"/>
        <v>#DIV/0!</v>
      </c>
      <c r="AY9" s="14">
        <f t="shared" si="192"/>
        <v>2.0016124297986417</v>
      </c>
      <c r="AZ9" s="14" t="e">
        <f t="shared" si="192"/>
        <v>#DIV/0!</v>
      </c>
      <c r="BA9" s="14">
        <f t="shared" si="192"/>
        <v>3.1614354367973312</v>
      </c>
      <c r="BB9" s="14" t="e">
        <f t="shared" si="192"/>
        <v>#DIV/0!</v>
      </c>
      <c r="BC9" s="14">
        <f t="shared" si="192"/>
        <v>2.7625306026202083</v>
      </c>
      <c r="BD9" s="14" t="e">
        <f t="shared" si="192"/>
        <v>#DIV/0!</v>
      </c>
      <c r="BE9" s="14">
        <f t="shared" si="192"/>
        <v>2.4823393967303709</v>
      </c>
      <c r="BF9" s="14" t="e">
        <f t="shared" si="192"/>
        <v>#DIV/0!</v>
      </c>
      <c r="BG9" s="14">
        <f t="shared" si="192"/>
        <v>2.1910099847815601</v>
      </c>
      <c r="BH9" s="14" t="e">
        <f t="shared" si="192"/>
        <v>#DIV/0!</v>
      </c>
      <c r="BI9" s="14">
        <f t="shared" si="192"/>
        <v>2.7418038786534868</v>
      </c>
      <c r="BJ9" s="14" t="e">
        <f t="shared" si="192"/>
        <v>#DIV/0!</v>
      </c>
      <c r="BK9" s="14">
        <f t="shared" si="192"/>
        <v>2.4294612419849764</v>
      </c>
      <c r="BL9" s="14" t="e">
        <f t="shared" si="192"/>
        <v>#DIV/0!</v>
      </c>
      <c r="BM9" s="14">
        <f t="shared" si="192"/>
        <v>2.8513972081292822</v>
      </c>
      <c r="BN9" s="14">
        <f t="shared" ref="BN9:CO9" si="193">BN114/BN106</f>
        <v>0</v>
      </c>
      <c r="BO9" s="14">
        <f t="shared" si="193"/>
        <v>2.6492081397234095</v>
      </c>
      <c r="BP9" s="14">
        <f t="shared" si="193"/>
        <v>0</v>
      </c>
      <c r="BQ9" s="14">
        <f t="shared" si="193"/>
        <v>3.0096971375864157</v>
      </c>
      <c r="BR9" s="14">
        <f t="shared" si="193"/>
        <v>0</v>
      </c>
      <c r="BS9" s="14">
        <f t="shared" si="193"/>
        <v>2.4611492456796324</v>
      </c>
      <c r="BT9" s="14">
        <f t="shared" si="193"/>
        <v>2.8707092144017397</v>
      </c>
      <c r="BU9" s="14">
        <f t="shared" si="193"/>
        <v>2.7140326942180599</v>
      </c>
      <c r="BV9" s="14">
        <f t="shared" si="193"/>
        <v>2.6907496408291713</v>
      </c>
      <c r="BW9" s="14">
        <f t="shared" ref="BW9" si="194">BW114/BW106</f>
        <v>2.6366677926073154</v>
      </c>
      <c r="BX9" s="14">
        <f t="shared" si="193"/>
        <v>2.6664976734214525</v>
      </c>
      <c r="BY9" s="78">
        <f t="shared" si="193"/>
        <v>2.8982600656699291</v>
      </c>
      <c r="BZ9" s="78">
        <f t="shared" si="193"/>
        <v>2.7057855874866017</v>
      </c>
      <c r="CA9" s="78">
        <f t="shared" si="193"/>
        <v>2.6099004568461819</v>
      </c>
      <c r="CB9" s="78">
        <f t="shared" si="193"/>
        <v>2.5415046605817673</v>
      </c>
      <c r="CC9" s="78">
        <f t="shared" si="193"/>
        <v>2.7328030806304149</v>
      </c>
      <c r="CD9" s="78">
        <f t="shared" si="193"/>
        <v>2.5157158706679068</v>
      </c>
      <c r="CE9" s="78">
        <f t="shared" si="193"/>
        <v>2.4174895524495641</v>
      </c>
      <c r="CF9" s="78">
        <f t="shared" si="193"/>
        <v>2.3448988075480575</v>
      </c>
      <c r="CG9" s="78">
        <f t="shared" si="193"/>
        <v>2.5188014602459416</v>
      </c>
      <c r="CH9" s="78">
        <f t="shared" si="193"/>
        <v>2.3152294878235677</v>
      </c>
      <c r="CI9" s="78">
        <f t="shared" si="193"/>
        <v>2.2276712468540931</v>
      </c>
      <c r="CJ9" s="78">
        <f t="shared" si="193"/>
        <v>2.166171539473047</v>
      </c>
      <c r="CK9" s="78">
        <f t="shared" si="193"/>
        <v>2.3357671838620666</v>
      </c>
      <c r="CL9" s="78">
        <f t="shared" si="193"/>
        <v>2.1507669177860715</v>
      </c>
      <c r="CM9" s="78">
        <f t="shared" si="193"/>
        <v>2.0742411673278967</v>
      </c>
      <c r="CN9" s="78">
        <f t="shared" si="193"/>
        <v>2.021694363411374</v>
      </c>
      <c r="CO9" s="78">
        <f t="shared" si="193"/>
        <v>2.1848041827133193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:AE12" si="195">D35/C5</f>
        <v>#DIV/0!</v>
      </c>
      <c r="E12" s="91" t="e">
        <f t="shared" si="195"/>
        <v>#DIV/0!</v>
      </c>
      <c r="F12" s="91" t="e">
        <f t="shared" si="195"/>
        <v>#DIV/0!</v>
      </c>
      <c r="G12" s="91" t="e">
        <f t="shared" si="195"/>
        <v>#DIV/0!</v>
      </c>
      <c r="H12" s="91" t="e">
        <f t="shared" si="195"/>
        <v>#DIV/0!</v>
      </c>
      <c r="I12" s="91" t="e">
        <f t="shared" si="195"/>
        <v>#DIV/0!</v>
      </c>
      <c r="J12" s="91" t="e">
        <f t="shared" si="195"/>
        <v>#DIV/0!</v>
      </c>
      <c r="K12" s="91">
        <f t="shared" si="195"/>
        <v>0.46160638661339798</v>
      </c>
      <c r="L12" s="91">
        <f t="shared" si="195"/>
        <v>0.31628105209590801</v>
      </c>
      <c r="M12" s="91">
        <f t="shared" si="195"/>
        <v>0.20662368523322069</v>
      </c>
      <c r="N12" s="91">
        <f t="shared" si="195"/>
        <v>0.30013165320267415</v>
      </c>
      <c r="O12" s="91">
        <f t="shared" si="195"/>
        <v>0.35620892705608043</v>
      </c>
      <c r="P12" s="91">
        <f t="shared" si="195"/>
        <v>0.35341439403038039</v>
      </c>
      <c r="Q12" s="91">
        <f t="shared" si="195"/>
        <v>0.340028327225598</v>
      </c>
      <c r="R12" s="91">
        <f t="shared" si="195"/>
        <v>0.32118900479007373</v>
      </c>
      <c r="S12" s="91">
        <f t="shared" si="195"/>
        <v>0.28744980965850803</v>
      </c>
      <c r="T12" s="91">
        <f t="shared" si="195"/>
        <v>0.30457585214747135</v>
      </c>
      <c r="U12" s="91">
        <f t="shared" si="195"/>
        <v>0.27390366701186164</v>
      </c>
      <c r="V12" s="91">
        <f t="shared" si="195"/>
        <v>0.22882797587578368</v>
      </c>
      <c r="W12" s="91">
        <f t="shared" si="195"/>
        <v>0.23946650764804209</v>
      </c>
      <c r="X12" s="91">
        <f t="shared" si="195"/>
        <v>0.24032162011284905</v>
      </c>
      <c r="Y12" s="91">
        <f t="shared" si="195"/>
        <v>0.26835104449084318</v>
      </c>
      <c r="Z12" s="91">
        <f t="shared" si="195"/>
        <v>0.41257544158621567</v>
      </c>
      <c r="AA12" s="92">
        <f t="shared" si="195"/>
        <v>0.28883075094186156</v>
      </c>
      <c r="AB12" s="92">
        <f t="shared" si="195"/>
        <v>0.27762265061157965</v>
      </c>
      <c r="AC12" s="92">
        <f t="shared" si="195"/>
        <v>0.28479915779827913</v>
      </c>
      <c r="AD12" s="92">
        <f t="shared" si="195"/>
        <v>0.28682568553056365</v>
      </c>
      <c r="AE12" s="92">
        <f t="shared" si="195"/>
        <v>0.28673392092704647</v>
      </c>
      <c r="AG12" s="65"/>
      <c r="AH12" s="91"/>
      <c r="AI12" s="91" t="e">
        <f t="shared" ref="AI12:BX12" si="196">AI35/AH5</f>
        <v>#DIV/0!</v>
      </c>
      <c r="AJ12" s="91" t="e">
        <f t="shared" si="196"/>
        <v>#DIV/0!</v>
      </c>
      <c r="AK12" s="91" t="e">
        <f t="shared" si="196"/>
        <v>#DIV/0!</v>
      </c>
      <c r="AL12" s="91" t="e">
        <f t="shared" si="196"/>
        <v>#DIV/0!</v>
      </c>
      <c r="AM12" s="91" t="e">
        <f t="shared" si="196"/>
        <v>#DIV/0!</v>
      </c>
      <c r="AN12" s="91" t="e">
        <f t="shared" si="196"/>
        <v>#DIV/0!</v>
      </c>
      <c r="AO12" s="91" t="e">
        <f t="shared" si="196"/>
        <v>#DIV/0!</v>
      </c>
      <c r="AP12" s="91" t="e">
        <f t="shared" si="196"/>
        <v>#DIV/0!</v>
      </c>
      <c r="AQ12" s="91" t="e">
        <f t="shared" si="196"/>
        <v>#DIV/0!</v>
      </c>
      <c r="AR12" s="91" t="e">
        <f t="shared" si="196"/>
        <v>#DIV/0!</v>
      </c>
      <c r="AS12" s="91" t="e">
        <f t="shared" si="196"/>
        <v>#DIV/0!</v>
      </c>
      <c r="AT12" s="91">
        <f t="shared" si="196"/>
        <v>0.1363378292628234</v>
      </c>
      <c r="AU12" s="91">
        <f t="shared" si="196"/>
        <v>0.14776929059099128</v>
      </c>
      <c r="AV12" s="91">
        <f t="shared" si="196"/>
        <v>0.14230183391214279</v>
      </c>
      <c r="AW12" s="91">
        <f t="shared" si="196"/>
        <v>0.13646905907918519</v>
      </c>
      <c r="AX12" s="91">
        <f t="shared" si="196"/>
        <v>0.11619924809709301</v>
      </c>
      <c r="AY12" s="91">
        <f t="shared" si="196"/>
        <v>0.12129835976516924</v>
      </c>
      <c r="AZ12" s="91">
        <f t="shared" si="196"/>
        <v>0.11816829365922731</v>
      </c>
      <c r="BA12" s="91">
        <f t="shared" si="196"/>
        <v>0.12561590806264236</v>
      </c>
      <c r="BB12" s="91">
        <f t="shared" si="196"/>
        <v>0.10782233837052101</v>
      </c>
      <c r="BC12" s="91">
        <f t="shared" si="196"/>
        <v>0.1002939786179958</v>
      </c>
      <c r="BD12" s="91">
        <f t="shared" si="196"/>
        <v>9.8807915361716972E-2</v>
      </c>
      <c r="BE12" s="91">
        <f t="shared" si="196"/>
        <v>0.13212461467303196</v>
      </c>
      <c r="BF12" s="91">
        <f t="shared" si="196"/>
        <v>9.5081349932021927E-2</v>
      </c>
      <c r="BG12" s="91">
        <f t="shared" si="196"/>
        <v>9.5277336678996863E-2</v>
      </c>
      <c r="BH12" s="91">
        <f t="shared" si="196"/>
        <v>0.11329561702425738</v>
      </c>
      <c r="BI12" s="91">
        <f t="shared" si="196"/>
        <v>0.13546390648113429</v>
      </c>
      <c r="BJ12" s="91">
        <f t="shared" si="196"/>
        <v>9.7434798893774668E-2</v>
      </c>
      <c r="BK12" s="91">
        <f t="shared" si="196"/>
        <v>0.10418580070498777</v>
      </c>
      <c r="BL12" s="91">
        <f t="shared" si="196"/>
        <v>0.11555403955488976</v>
      </c>
      <c r="BM12" s="91">
        <f t="shared" si="196"/>
        <v>0.13560130992639619</v>
      </c>
      <c r="BN12" s="91">
        <f t="shared" si="196"/>
        <v>0.11897216783593649</v>
      </c>
      <c r="BO12" s="91">
        <f t="shared" si="196"/>
        <v>9.9261275891165554E-2</v>
      </c>
      <c r="BP12" s="91">
        <f t="shared" si="196"/>
        <v>9.7111930856786211E-2</v>
      </c>
      <c r="BQ12" s="91">
        <f t="shared" si="196"/>
        <v>0.10674360559303712</v>
      </c>
      <c r="BR12" s="91">
        <f t="shared" si="196"/>
        <v>9.3063147816983133E-2</v>
      </c>
      <c r="BS12" s="91">
        <f t="shared" si="196"/>
        <v>8.7255154186556064E-2</v>
      </c>
      <c r="BT12" s="91">
        <f t="shared" si="196"/>
        <v>8.8612084452314638E-2</v>
      </c>
      <c r="BU12" s="91">
        <f t="shared" si="196"/>
        <v>5.5321612449417759E-2</v>
      </c>
      <c r="BV12" s="91">
        <f t="shared" si="196"/>
        <v>5.5729578078609766E-2</v>
      </c>
      <c r="BW12" s="91">
        <f t="shared" si="196"/>
        <v>5.8316719695632617E-2</v>
      </c>
      <c r="BX12" s="91">
        <f t="shared" si="196"/>
        <v>5.7379340188214063E-2</v>
      </c>
      <c r="BY12" s="16">
        <f>+AVERAGE(BU12:BX12)*1.08</f>
        <v>6.1221757611206039E-2</v>
      </c>
      <c r="BZ12" s="16">
        <f>+AVERAGE(BV12:BY12)</f>
        <v>5.8161848893415621E-2</v>
      </c>
      <c r="CA12" s="16">
        <f>+AVERAGE(BW12:BZ12)*1.05</f>
        <v>6.170841242697294E-2</v>
      </c>
      <c r="CB12" s="16">
        <f t="shared" ref="CB12:CC12" si="197">+AVERAGE(BX12:CA12)*1.05</f>
        <v>6.259873176894977E-2</v>
      </c>
      <c r="CC12" s="16">
        <f t="shared" si="197"/>
        <v>6.3968822058892899E-2</v>
      </c>
      <c r="CD12" s="16">
        <f t="shared" ref="CD12:CG12" si="198">+AVERAGE(BZ12:CC12)*1.02</f>
        <v>6.284164286279896E-2</v>
      </c>
      <c r="CE12" s="16">
        <f t="shared" si="198"/>
        <v>6.4034990324991714E-2</v>
      </c>
      <c r="CF12" s="16">
        <f t="shared" si="198"/>
        <v>6.462826768898651E-2</v>
      </c>
      <c r="CG12" s="16">
        <f t="shared" si="198"/>
        <v>6.5145799348595865E-2</v>
      </c>
      <c r="CH12" s="16">
        <f t="shared" ref="CH12:CO13" si="199">+AVERAGE(CD12:CG12)</f>
        <v>6.4162675056343266E-2</v>
      </c>
      <c r="CI12" s="16">
        <f t="shared" si="199"/>
        <v>6.4492933104729339E-2</v>
      </c>
      <c r="CJ12" s="16">
        <f t="shared" si="199"/>
        <v>6.4607418799663752E-2</v>
      </c>
      <c r="CK12" s="16">
        <f t="shared" si="199"/>
        <v>6.4602206577333066E-2</v>
      </c>
      <c r="CL12" s="16">
        <f t="shared" si="199"/>
        <v>6.4466308384517362E-2</v>
      </c>
      <c r="CM12" s="16">
        <f t="shared" si="199"/>
        <v>6.454221671656088E-2</v>
      </c>
      <c r="CN12" s="16">
        <f t="shared" si="199"/>
        <v>6.4554537619518765E-2</v>
      </c>
      <c r="CO12" s="16">
        <f t="shared" si="199"/>
        <v>6.4541317324482511E-2</v>
      </c>
    </row>
    <row r="13" spans="1:98" s="93" customFormat="1" x14ac:dyDescent="0.2">
      <c r="A13" s="27" t="s">
        <v>26</v>
      </c>
      <c r="B13" s="27"/>
      <c r="C13" s="27"/>
      <c r="D13" s="91" t="e">
        <f t="shared" ref="D13:AE13" si="200">D36/C5</f>
        <v>#DIV/0!</v>
      </c>
      <c r="E13" s="91" t="e">
        <f t="shared" si="200"/>
        <v>#DIV/0!</v>
      </c>
      <c r="F13" s="91" t="e">
        <f t="shared" si="200"/>
        <v>#DIV/0!</v>
      </c>
      <c r="G13" s="91" t="e">
        <f t="shared" si="200"/>
        <v>#DIV/0!</v>
      </c>
      <c r="H13" s="91" t="e">
        <f t="shared" si="200"/>
        <v>#DIV/0!</v>
      </c>
      <c r="I13" s="91" t="e">
        <f t="shared" si="200"/>
        <v>#DIV/0!</v>
      </c>
      <c r="J13" s="91" t="e">
        <f t="shared" si="200"/>
        <v>#DIV/0!</v>
      </c>
      <c r="K13" s="91">
        <f t="shared" si="200"/>
        <v>0.1791862401560616</v>
      </c>
      <c r="L13" s="91">
        <f t="shared" si="200"/>
        <v>0.13525877799299696</v>
      </c>
      <c r="M13" s="91">
        <f t="shared" si="200"/>
        <v>0.10508757959187062</v>
      </c>
      <c r="N13" s="91">
        <f t="shared" si="200"/>
        <v>0.13941396139331941</v>
      </c>
      <c r="O13" s="91">
        <f t="shared" si="200"/>
        <v>0.17368017236181033</v>
      </c>
      <c r="P13" s="91">
        <f t="shared" si="200"/>
        <v>0.16855267995044598</v>
      </c>
      <c r="Q13" s="91">
        <f t="shared" si="200"/>
        <v>0.15435240252006316</v>
      </c>
      <c r="R13" s="91">
        <f t="shared" si="200"/>
        <v>0.1484108659887157</v>
      </c>
      <c r="S13" s="91">
        <f t="shared" si="200"/>
        <v>0.11701318436545595</v>
      </c>
      <c r="T13" s="91">
        <f t="shared" si="200"/>
        <v>9.9102473003110134E-2</v>
      </c>
      <c r="U13" s="91">
        <f t="shared" si="200"/>
        <v>9.3523160738559971E-2</v>
      </c>
      <c r="V13" s="91">
        <f t="shared" si="200"/>
        <v>8.4033025508272463E-2</v>
      </c>
      <c r="W13" s="91">
        <f t="shared" si="200"/>
        <v>8.6210562020537673E-2</v>
      </c>
      <c r="X13" s="91">
        <f t="shared" si="200"/>
        <v>8.2440066528534431E-2</v>
      </c>
      <c r="Y13" s="91">
        <f t="shared" si="200"/>
        <v>9.0288468530233604E-2</v>
      </c>
      <c r="Z13" s="91">
        <f t="shared" si="200"/>
        <v>0.14021739656664689</v>
      </c>
      <c r="AA13" s="92">
        <f t="shared" si="200"/>
        <v>9.0818186828984168E-2</v>
      </c>
      <c r="AB13" s="92">
        <f t="shared" si="200"/>
        <v>8.1905912310680687E-2</v>
      </c>
      <c r="AC13" s="92">
        <f t="shared" si="200"/>
        <v>8.0703631718705524E-2</v>
      </c>
      <c r="AD13" s="92">
        <f t="shared" si="200"/>
        <v>8.0916798208391358E-2</v>
      </c>
      <c r="AE13" s="92">
        <f t="shared" si="200"/>
        <v>8.0821382312331033E-2</v>
      </c>
      <c r="AG13" s="65"/>
      <c r="AH13" s="91"/>
      <c r="AI13" s="91" t="e">
        <f t="shared" ref="AI13:BX13" si="201">AI36/AH5</f>
        <v>#DIV/0!</v>
      </c>
      <c r="AJ13" s="91" t="e">
        <f t="shared" si="201"/>
        <v>#DIV/0!</v>
      </c>
      <c r="AK13" s="91" t="e">
        <f t="shared" si="201"/>
        <v>#DIV/0!</v>
      </c>
      <c r="AL13" s="91" t="e">
        <f t="shared" si="201"/>
        <v>#DIV/0!</v>
      </c>
      <c r="AM13" s="91" t="e">
        <f t="shared" si="201"/>
        <v>#DIV/0!</v>
      </c>
      <c r="AN13" s="91" t="e">
        <f t="shared" si="201"/>
        <v>#DIV/0!</v>
      </c>
      <c r="AO13" s="91" t="e">
        <f t="shared" si="201"/>
        <v>#DIV/0!</v>
      </c>
      <c r="AP13" s="91" t="e">
        <f t="shared" si="201"/>
        <v>#DIV/0!</v>
      </c>
      <c r="AQ13" s="91" t="e">
        <f t="shared" si="201"/>
        <v>#DIV/0!</v>
      </c>
      <c r="AR13" s="91" t="e">
        <f t="shared" si="201"/>
        <v>#DIV/0!</v>
      </c>
      <c r="AS13" s="91" t="e">
        <f t="shared" si="201"/>
        <v>#DIV/0!</v>
      </c>
      <c r="AT13" s="91">
        <f t="shared" si="201"/>
        <v>4.6493986078045009E-2</v>
      </c>
      <c r="AU13" s="91">
        <f t="shared" si="201"/>
        <v>5.0816567031016661E-2</v>
      </c>
      <c r="AV13" s="91">
        <f t="shared" si="201"/>
        <v>4.4712524624789286E-2</v>
      </c>
      <c r="AW13" s="91">
        <f t="shared" si="201"/>
        <v>4.1727086252767109E-2</v>
      </c>
      <c r="AX13" s="91">
        <f t="shared" si="201"/>
        <v>3.8156911889078889E-2</v>
      </c>
      <c r="AY13" s="91">
        <f t="shared" si="201"/>
        <v>4.1826914173184591E-2</v>
      </c>
      <c r="AZ13" s="91">
        <f t="shared" si="201"/>
        <v>3.8041246119404348E-2</v>
      </c>
      <c r="BA13" s="91">
        <f t="shared" si="201"/>
        <v>4.5454960317201622E-2</v>
      </c>
      <c r="BB13" s="91">
        <f t="shared" si="201"/>
        <v>4.0295179951998876E-2</v>
      </c>
      <c r="BC13" s="91">
        <f t="shared" si="201"/>
        <v>4.1054283756832594E-2</v>
      </c>
      <c r="BD13" s="91">
        <f t="shared" si="201"/>
        <v>4.0906922155513809E-2</v>
      </c>
      <c r="BE13" s="91">
        <f t="shared" si="201"/>
        <v>4.3291638803919542E-2</v>
      </c>
      <c r="BF13" s="91">
        <f t="shared" si="201"/>
        <v>3.8478216921835243E-2</v>
      </c>
      <c r="BG13" s="91">
        <f t="shared" si="201"/>
        <v>3.5271441644560288E-2</v>
      </c>
      <c r="BH13" s="91">
        <f t="shared" si="201"/>
        <v>3.9406812834533081E-2</v>
      </c>
      <c r="BI13" s="91">
        <f t="shared" si="201"/>
        <v>4.4031661921224277E-2</v>
      </c>
      <c r="BJ13" s="91">
        <f t="shared" si="201"/>
        <v>3.5890752551347639E-2</v>
      </c>
      <c r="BK13" s="91">
        <f t="shared" si="201"/>
        <v>3.5047999712668747E-2</v>
      </c>
      <c r="BL13" s="91">
        <f t="shared" si="201"/>
        <v>3.9991447041019833E-2</v>
      </c>
      <c r="BM13" s="91">
        <f t="shared" si="201"/>
        <v>4.3991737230699518E-2</v>
      </c>
      <c r="BN13" s="91">
        <f t="shared" si="201"/>
        <v>3.9139822776688357E-2</v>
      </c>
      <c r="BO13" s="91">
        <f t="shared" si="201"/>
        <v>3.3741701294359265E-2</v>
      </c>
      <c r="BP13" s="91">
        <f t="shared" si="201"/>
        <v>3.3179784455402497E-2</v>
      </c>
      <c r="BQ13" s="91">
        <f t="shared" si="201"/>
        <v>3.5311686143083554E-2</v>
      </c>
      <c r="BR13" s="91">
        <f t="shared" si="201"/>
        <v>3.1408804694671839E-2</v>
      </c>
      <c r="BS13" s="91">
        <f t="shared" si="201"/>
        <v>2.9095258151370391E-2</v>
      </c>
      <c r="BT13" s="91">
        <f t="shared" si="201"/>
        <v>3.0483794711507445E-2</v>
      </c>
      <c r="BU13" s="91">
        <f t="shared" si="201"/>
        <v>1.8790698332953805E-2</v>
      </c>
      <c r="BV13" s="91">
        <f t="shared" si="201"/>
        <v>1.8368143446453582E-2</v>
      </c>
      <c r="BW13" s="91">
        <f t="shared" si="201"/>
        <v>1.8539485814598571E-2</v>
      </c>
      <c r="BX13" s="91">
        <f t="shared" si="201"/>
        <v>1.7684144713236118E-2</v>
      </c>
      <c r="BY13" s="16">
        <f t="shared" ref="BY13:CG13" si="202">+AVERAGE(BU13:BX13)</f>
        <v>1.8345618076810517E-2</v>
      </c>
      <c r="BZ13" s="16">
        <f t="shared" si="202"/>
        <v>1.8234348012774695E-2</v>
      </c>
      <c r="CA13" s="16">
        <f t="shared" si="202"/>
        <v>1.8200899154354973E-2</v>
      </c>
      <c r="CB13" s="16">
        <f t="shared" si="202"/>
        <v>1.8116252489294077E-2</v>
      </c>
      <c r="CC13" s="16">
        <f t="shared" si="202"/>
        <v>1.8224279433308566E-2</v>
      </c>
      <c r="CD13" s="16">
        <f t="shared" si="202"/>
        <v>1.8193944772433079E-2</v>
      </c>
      <c r="CE13" s="16">
        <f t="shared" si="202"/>
        <v>1.8183843962347672E-2</v>
      </c>
      <c r="CF13" s="16">
        <f t="shared" si="202"/>
        <v>1.817958016434585E-2</v>
      </c>
      <c r="CG13" s="16">
        <f t="shared" si="202"/>
        <v>1.8195412083108792E-2</v>
      </c>
      <c r="CH13" s="16">
        <f t="shared" si="199"/>
        <v>1.8188195245558848E-2</v>
      </c>
      <c r="CI13" s="16">
        <f t="shared" si="199"/>
        <v>1.8186757863840289E-2</v>
      </c>
      <c r="CJ13" s="16">
        <f t="shared" si="199"/>
        <v>1.8187486339213445E-2</v>
      </c>
      <c r="CK13" s="16">
        <f t="shared" si="199"/>
        <v>1.8189462882930343E-2</v>
      </c>
      <c r="CL13" s="16">
        <f t="shared" si="199"/>
        <v>1.8187975582885731E-2</v>
      </c>
      <c r="CM13" s="16">
        <f t="shared" si="199"/>
        <v>1.8187920667217451E-2</v>
      </c>
      <c r="CN13" s="16">
        <f t="shared" si="199"/>
        <v>1.8188211368061744E-2</v>
      </c>
      <c r="CO13" s="16">
        <f t="shared" si="199"/>
        <v>1.8188392625273817E-2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03">D12-D13</f>
        <v>#DIV/0!</v>
      </c>
      <c r="E14" s="28" t="e">
        <f t="shared" si="203"/>
        <v>#DIV/0!</v>
      </c>
      <c r="F14" s="28" t="e">
        <f t="shared" si="203"/>
        <v>#DIV/0!</v>
      </c>
      <c r="G14" s="28" t="e">
        <f t="shared" si="203"/>
        <v>#DIV/0!</v>
      </c>
      <c r="H14" s="28" t="e">
        <f t="shared" si="203"/>
        <v>#DIV/0!</v>
      </c>
      <c r="I14" s="28" t="e">
        <f t="shared" si="203"/>
        <v>#DIV/0!</v>
      </c>
      <c r="J14" s="28" t="e">
        <f t="shared" si="203"/>
        <v>#DIV/0!</v>
      </c>
      <c r="K14" s="28">
        <f t="shared" si="203"/>
        <v>0.28242014645733637</v>
      </c>
      <c r="L14" s="28">
        <f t="shared" si="203"/>
        <v>0.18102227410291105</v>
      </c>
      <c r="M14" s="28">
        <f t="shared" si="203"/>
        <v>0.10153610564135007</v>
      </c>
      <c r="N14" s="28">
        <f t="shared" si="203"/>
        <v>0.16071769180935475</v>
      </c>
      <c r="O14" s="28">
        <f t="shared" si="203"/>
        <v>0.1825287546942701</v>
      </c>
      <c r="P14" s="28">
        <f>P12-P13</f>
        <v>0.1848617140799344</v>
      </c>
      <c r="Q14" s="28">
        <f t="shared" ref="Q14:T14" si="204">Q12-Q13</f>
        <v>0.18567592470553484</v>
      </c>
      <c r="R14" s="28">
        <f t="shared" si="204"/>
        <v>0.17277813880135803</v>
      </c>
      <c r="S14" s="28">
        <f t="shared" si="204"/>
        <v>0.17043662529305209</v>
      </c>
      <c r="T14" s="28">
        <f t="shared" si="204"/>
        <v>0.2054733791443612</v>
      </c>
      <c r="U14" s="28">
        <f t="shared" ref="U14:W14" si="205">U12-U13</f>
        <v>0.18038050627330166</v>
      </c>
      <c r="V14" s="28">
        <f t="shared" si="205"/>
        <v>0.14479495036751122</v>
      </c>
      <c r="W14" s="28">
        <f t="shared" si="205"/>
        <v>0.15325594562750441</v>
      </c>
      <c r="X14" s="28">
        <f t="shared" ref="X14:Y14" si="206">X12-X13</f>
        <v>0.1578815535843146</v>
      </c>
      <c r="Y14" s="28">
        <f t="shared" si="206"/>
        <v>0.17806257596060959</v>
      </c>
      <c r="Z14" s="28">
        <f t="shared" ref="Z14:AB14" si="207">Z12-Z13</f>
        <v>0.27235804501956878</v>
      </c>
      <c r="AA14" s="29">
        <f t="shared" si="207"/>
        <v>0.19801256411287738</v>
      </c>
      <c r="AB14" s="29">
        <f t="shared" si="207"/>
        <v>0.19571673830089897</v>
      </c>
      <c r="AC14" s="29">
        <f t="shared" ref="AC14:AE14" si="208">AC12-AC13</f>
        <v>0.2040955260795736</v>
      </c>
      <c r="AD14" s="29">
        <f t="shared" si="208"/>
        <v>0.20590888732217227</v>
      </c>
      <c r="AE14" s="29">
        <f t="shared" si="208"/>
        <v>0.20591253861471542</v>
      </c>
      <c r="AG14" s="58"/>
      <c r="AH14" s="28"/>
      <c r="AI14" s="28" t="e">
        <f t="shared" ref="AI14" si="209">AI12-AI13</f>
        <v>#DIV/0!</v>
      </c>
      <c r="AJ14" s="28" t="e">
        <f t="shared" ref="AJ14:AS14" si="210">AJ12-AJ13</f>
        <v>#DIV/0!</v>
      </c>
      <c r="AK14" s="28" t="e">
        <f t="shared" si="210"/>
        <v>#DIV/0!</v>
      </c>
      <c r="AL14" s="28" t="e">
        <f t="shared" si="210"/>
        <v>#DIV/0!</v>
      </c>
      <c r="AM14" s="28" t="e">
        <f t="shared" si="210"/>
        <v>#DIV/0!</v>
      </c>
      <c r="AN14" s="28" t="e">
        <f t="shared" si="210"/>
        <v>#DIV/0!</v>
      </c>
      <c r="AO14" s="28" t="e">
        <f t="shared" si="210"/>
        <v>#DIV/0!</v>
      </c>
      <c r="AP14" s="28" t="e">
        <f t="shared" si="210"/>
        <v>#DIV/0!</v>
      </c>
      <c r="AQ14" s="28" t="e">
        <f t="shared" si="210"/>
        <v>#DIV/0!</v>
      </c>
      <c r="AR14" s="28" t="e">
        <f t="shared" si="210"/>
        <v>#DIV/0!</v>
      </c>
      <c r="AS14" s="28" t="e">
        <f t="shared" si="210"/>
        <v>#DIV/0!</v>
      </c>
      <c r="AT14" s="28">
        <f t="shared" ref="AT14:AW14" si="211">AT12-AT13</f>
        <v>8.9843843184778394E-2</v>
      </c>
      <c r="AU14" s="28">
        <f t="shared" si="211"/>
        <v>9.6952723559974613E-2</v>
      </c>
      <c r="AV14" s="28">
        <f t="shared" si="211"/>
        <v>9.7589309287353515E-2</v>
      </c>
      <c r="AW14" s="28">
        <f t="shared" si="211"/>
        <v>9.474197282641808E-2</v>
      </c>
      <c r="AX14" s="28">
        <f t="shared" ref="AX14" si="212">AX12-AX13</f>
        <v>7.8042336208014124E-2</v>
      </c>
      <c r="AY14" s="28">
        <f t="shared" ref="AY14" si="213">AY12-AY13</f>
        <v>7.9471445591984657E-2</v>
      </c>
      <c r="AZ14" s="28">
        <f t="shared" ref="AZ14:BA14" si="214">AZ12-AZ13</f>
        <v>8.0127047539822957E-2</v>
      </c>
      <c r="BA14" s="28">
        <f t="shared" si="214"/>
        <v>8.0160947745440747E-2</v>
      </c>
      <c r="BB14" s="28">
        <f t="shared" ref="BB14:BF14" si="215">BB12-BB13</f>
        <v>6.7527158418522137E-2</v>
      </c>
      <c r="BC14" s="28">
        <f t="shared" si="215"/>
        <v>5.9239694861163206E-2</v>
      </c>
      <c r="BD14" s="28">
        <f t="shared" si="215"/>
        <v>5.7900993206203163E-2</v>
      </c>
      <c r="BE14" s="28">
        <f t="shared" si="215"/>
        <v>8.8832975869112429E-2</v>
      </c>
      <c r="BF14" s="28">
        <f t="shared" si="215"/>
        <v>5.6603133010186685E-2</v>
      </c>
      <c r="BG14" s="28">
        <f t="shared" ref="BG14:BH14" si="216">BG12-BG13</f>
        <v>6.0005895034436575E-2</v>
      </c>
      <c r="BH14" s="28">
        <f t="shared" si="216"/>
        <v>7.3888804189724294E-2</v>
      </c>
      <c r="BI14" s="28">
        <f t="shared" ref="BI14:BJ14" si="217">BI12-BI13</f>
        <v>9.1432244559910017E-2</v>
      </c>
      <c r="BJ14" s="28">
        <f t="shared" si="217"/>
        <v>6.1544046342427029E-2</v>
      </c>
      <c r="BK14" s="28">
        <f t="shared" ref="BK14:BR14" si="218">BK12-BK13</f>
        <v>6.9137800992319032E-2</v>
      </c>
      <c r="BL14" s="28">
        <f t="shared" si="218"/>
        <v>7.5562592513869931E-2</v>
      </c>
      <c r="BM14" s="28">
        <f t="shared" si="218"/>
        <v>9.1609572695696667E-2</v>
      </c>
      <c r="BN14" s="28">
        <f t="shared" si="218"/>
        <v>7.9832345059248133E-2</v>
      </c>
      <c r="BO14" s="28">
        <f t="shared" si="218"/>
        <v>6.5519574596806296E-2</v>
      </c>
      <c r="BP14" s="28">
        <f t="shared" si="218"/>
        <v>6.3932146401383713E-2</v>
      </c>
      <c r="BQ14" s="28">
        <f t="shared" si="218"/>
        <v>7.1431919449953571E-2</v>
      </c>
      <c r="BR14" s="28">
        <f t="shared" si="218"/>
        <v>6.1654343122311293E-2</v>
      </c>
      <c r="BS14" s="28">
        <f t="shared" ref="BS14:BT14" si="219">BS12-BS13</f>
        <v>5.8159896035185676E-2</v>
      </c>
      <c r="BT14" s="28">
        <f t="shared" si="219"/>
        <v>5.8128289740807193E-2</v>
      </c>
      <c r="BU14" s="28">
        <f t="shared" ref="BU14:BV14" si="220">BU12-BU13</f>
        <v>3.6530914116463954E-2</v>
      </c>
      <c r="BV14" s="28">
        <f t="shared" si="220"/>
        <v>3.7361434632156187E-2</v>
      </c>
      <c r="BW14" s="28">
        <f t="shared" ref="BW14:BX14" si="221">BW12-BW13</f>
        <v>3.9777233881034046E-2</v>
      </c>
      <c r="BX14" s="28">
        <f t="shared" si="221"/>
        <v>3.9695195474977948E-2</v>
      </c>
      <c r="BY14" s="29">
        <f t="shared" ref="BY14" si="222">BY12-BY13</f>
        <v>4.2876139534395522E-2</v>
      </c>
      <c r="BZ14" s="29">
        <f t="shared" ref="BZ14:CC14" si="223">BZ12-BZ13</f>
        <v>3.9927500880640926E-2</v>
      </c>
      <c r="CA14" s="29">
        <f t="shared" si="223"/>
        <v>4.3507513272617968E-2</v>
      </c>
      <c r="CB14" s="29">
        <f t="shared" si="223"/>
        <v>4.4482479279655693E-2</v>
      </c>
      <c r="CC14" s="29">
        <f t="shared" si="223"/>
        <v>4.5744542625584333E-2</v>
      </c>
      <c r="CD14" s="29">
        <f t="shared" ref="CD14:CO14" si="224">CD12-CD13</f>
        <v>4.4647698090365881E-2</v>
      </c>
      <c r="CE14" s="29">
        <f t="shared" si="224"/>
        <v>4.5851146362644042E-2</v>
      </c>
      <c r="CF14" s="29">
        <f t="shared" si="224"/>
        <v>4.644868752464066E-2</v>
      </c>
      <c r="CG14" s="29">
        <f t="shared" si="224"/>
        <v>4.6950387265487073E-2</v>
      </c>
      <c r="CH14" s="29">
        <f t="shared" si="224"/>
        <v>4.5974479810784417E-2</v>
      </c>
      <c r="CI14" s="29">
        <f t="shared" si="224"/>
        <v>4.630617524088905E-2</v>
      </c>
      <c r="CJ14" s="29">
        <f t="shared" si="224"/>
        <v>4.6419932460450307E-2</v>
      </c>
      <c r="CK14" s="29">
        <f t="shared" si="224"/>
        <v>4.6412743694402722E-2</v>
      </c>
      <c r="CL14" s="29">
        <f t="shared" si="224"/>
        <v>4.6278332801631628E-2</v>
      </c>
      <c r="CM14" s="29">
        <f t="shared" si="224"/>
        <v>4.6354296049343428E-2</v>
      </c>
      <c r="CN14" s="29">
        <f t="shared" si="224"/>
        <v>4.6366326251457021E-2</v>
      </c>
      <c r="CO14" s="29">
        <f t="shared" si="224"/>
        <v>4.6352924699208695E-2</v>
      </c>
    </row>
    <row r="15" spans="1:98" s="93" customFormat="1" x14ac:dyDescent="0.2">
      <c r="A15" s="27" t="s">
        <v>27</v>
      </c>
      <c r="B15" s="27"/>
      <c r="C15" s="27"/>
      <c r="D15" s="91" t="e">
        <f t="shared" ref="D15:AE15" si="225">D38/C5</f>
        <v>#DIV/0!</v>
      </c>
      <c r="E15" s="91" t="e">
        <f t="shared" si="225"/>
        <v>#DIV/0!</v>
      </c>
      <c r="F15" s="91" t="e">
        <f t="shared" si="225"/>
        <v>#DIV/0!</v>
      </c>
      <c r="G15" s="91" t="e">
        <f t="shared" si="225"/>
        <v>#DIV/0!</v>
      </c>
      <c r="H15" s="91" t="e">
        <f t="shared" si="225"/>
        <v>#DIV/0!</v>
      </c>
      <c r="I15" s="91" t="e">
        <f t="shared" si="225"/>
        <v>#DIV/0!</v>
      </c>
      <c r="J15" s="91" t="e">
        <f t="shared" si="225"/>
        <v>#DIV/0!</v>
      </c>
      <c r="K15" s="91">
        <f t="shared" si="225"/>
        <v>1.0219391671696859E-2</v>
      </c>
      <c r="L15" s="91">
        <f t="shared" si="225"/>
        <v>8.2372901410833373E-3</v>
      </c>
      <c r="M15" s="91">
        <f t="shared" si="225"/>
        <v>1.4276430295613924E-2</v>
      </c>
      <c r="N15" s="91">
        <f t="shared" si="225"/>
        <v>8.7974593167384364E-3</v>
      </c>
      <c r="O15" s="91">
        <f t="shared" si="225"/>
        <v>2.4740469223729956E-2</v>
      </c>
      <c r="P15" s="91">
        <f t="shared" si="225"/>
        <v>1.7485845913297132E-2</v>
      </c>
      <c r="Q15" s="91">
        <f t="shared" si="225"/>
        <v>7.2690234613165487E-3</v>
      </c>
      <c r="R15" s="91">
        <f t="shared" si="225"/>
        <v>3.4401543648487566E-3</v>
      </c>
      <c r="S15" s="91">
        <f t="shared" si="225"/>
        <v>4.3415625757537754E-2</v>
      </c>
      <c r="T15" s="91">
        <f t="shared" si="225"/>
        <v>2.8028598375837675E-4</v>
      </c>
      <c r="U15" s="91">
        <f t="shared" si="225"/>
        <v>1.464299166081625E-4</v>
      </c>
      <c r="V15" s="91">
        <f t="shared" si="225"/>
        <v>3.7916253603313617E-4</v>
      </c>
      <c r="W15" s="91">
        <f t="shared" si="225"/>
        <v>6.3822811809577525E-4</v>
      </c>
      <c r="X15" s="91">
        <f t="shared" si="225"/>
        <v>4.8333854746937023E-4</v>
      </c>
      <c r="Y15" s="91">
        <f t="shared" si="225"/>
        <v>3.1059449240134211E-4</v>
      </c>
      <c r="Z15" s="91">
        <f t="shared" si="225"/>
        <v>2.7326534333800074E-4</v>
      </c>
      <c r="AA15" s="92">
        <f t="shared" si="225"/>
        <v>1.7256661557002548E-4</v>
      </c>
      <c r="AB15" s="92">
        <f t="shared" si="225"/>
        <v>1.559870999639703E-4</v>
      </c>
      <c r="AC15" s="92">
        <f t="shared" si="225"/>
        <v>1.5374328390081862E-4</v>
      </c>
      <c r="AD15" s="92">
        <f t="shared" si="225"/>
        <v>1.5415102462681802E-4</v>
      </c>
      <c r="AE15" s="92">
        <f t="shared" si="225"/>
        <v>1.539680296483702E-4</v>
      </c>
      <c r="AG15" s="65"/>
      <c r="AH15" s="91"/>
      <c r="AI15" s="91" t="e">
        <f t="shared" ref="AI15:BX15" si="226">AI38/AH5</f>
        <v>#DIV/0!</v>
      </c>
      <c r="AJ15" s="91" t="e">
        <f t="shared" si="226"/>
        <v>#DIV/0!</v>
      </c>
      <c r="AK15" s="91" t="e">
        <f t="shared" si="226"/>
        <v>#DIV/0!</v>
      </c>
      <c r="AL15" s="91" t="e">
        <f t="shared" si="226"/>
        <v>#DIV/0!</v>
      </c>
      <c r="AM15" s="91" t="e">
        <f t="shared" si="226"/>
        <v>#DIV/0!</v>
      </c>
      <c r="AN15" s="91" t="e">
        <f t="shared" si="226"/>
        <v>#DIV/0!</v>
      </c>
      <c r="AO15" s="91" t="e">
        <f t="shared" si="226"/>
        <v>#DIV/0!</v>
      </c>
      <c r="AP15" s="91" t="e">
        <f t="shared" si="226"/>
        <v>#DIV/0!</v>
      </c>
      <c r="AQ15" s="91" t="e">
        <f t="shared" si="226"/>
        <v>#DIV/0!</v>
      </c>
      <c r="AR15" s="91" t="e">
        <f t="shared" si="226"/>
        <v>#DIV/0!</v>
      </c>
      <c r="AS15" s="91" t="e">
        <f t="shared" si="226"/>
        <v>#DIV/0!</v>
      </c>
      <c r="AT15" s="91">
        <f t="shared" si="226"/>
        <v>1.479028802893171E-4</v>
      </c>
      <c r="AU15" s="91">
        <f t="shared" si="226"/>
        <v>1.765292442162817E-4</v>
      </c>
      <c r="AV15" s="91">
        <f t="shared" si="226"/>
        <v>1.7059647840126727E-4</v>
      </c>
      <c r="AW15" s="91">
        <f t="shared" si="226"/>
        <v>1.8684376205853082E-4</v>
      </c>
      <c r="AX15" s="91">
        <f t="shared" si="226"/>
        <v>7.4079104136700639E-5</v>
      </c>
      <c r="AY15" s="91">
        <f t="shared" si="226"/>
        <v>2.7779664051262738E-5</v>
      </c>
      <c r="AZ15" s="91">
        <f t="shared" si="226"/>
        <v>1.0691603310224693E-4</v>
      </c>
      <c r="BA15" s="91">
        <f t="shared" si="226"/>
        <v>1.0691603310224693E-4</v>
      </c>
      <c r="BB15" s="91">
        <f t="shared" si="226"/>
        <v>1.0098169880815479E-4</v>
      </c>
      <c r="BC15" s="91">
        <f t="shared" si="226"/>
        <v>1.6365999462011294E-4</v>
      </c>
      <c r="BD15" s="91">
        <f t="shared" si="226"/>
        <v>2.7186134706385181E-4</v>
      </c>
      <c r="BE15" s="91">
        <f t="shared" si="226"/>
        <v>3.7586199661176828E-4</v>
      </c>
      <c r="BF15" s="91">
        <f t="shared" si="226"/>
        <v>1.9135713877867851E-4</v>
      </c>
      <c r="BG15" s="91">
        <f t="shared" si="226"/>
        <v>1.820979223861618E-4</v>
      </c>
      <c r="BH15" s="91">
        <f t="shared" si="226"/>
        <v>3.7908599071239318E-4</v>
      </c>
      <c r="BI15" s="91">
        <f t="shared" si="226"/>
        <v>4.268837895413471E-4</v>
      </c>
      <c r="BJ15" s="91">
        <f t="shared" si="226"/>
        <v>1.1929378081756005E-4</v>
      </c>
      <c r="BK15" s="91">
        <f t="shared" si="226"/>
        <v>2.6809032463301124E-4</v>
      </c>
      <c r="BL15" s="91">
        <f t="shared" si="226"/>
        <v>2.3164263904603961E-4</v>
      </c>
      <c r="BM15" s="91">
        <f t="shared" si="226"/>
        <v>1.0563922549901805E-4</v>
      </c>
      <c r="BN15" s="91">
        <f t="shared" si="226"/>
        <v>7.0161274332107874E-5</v>
      </c>
      <c r="BO15" s="91">
        <f t="shared" si="226"/>
        <v>5.1742529174826063E-5</v>
      </c>
      <c r="BP15" s="91">
        <f t="shared" si="226"/>
        <v>2.2771177100763208E-4</v>
      </c>
      <c r="BQ15" s="91">
        <f t="shared" si="226"/>
        <v>1.1791312805219232E-4</v>
      </c>
      <c r="BR15" s="91">
        <f t="shared" si="226"/>
        <v>3.3851663855439856E-5</v>
      </c>
      <c r="BS15" s="91">
        <f t="shared" si="226"/>
        <v>3.782503639158759E-5</v>
      </c>
      <c r="BT15" s="91">
        <f t="shared" si="226"/>
        <v>9.9500667135924662E-5</v>
      </c>
      <c r="BU15" s="91">
        <f t="shared" si="226"/>
        <v>4.247552053160474E-5</v>
      </c>
      <c r="BV15" s="91">
        <f t="shared" si="226"/>
        <v>2.8190696346390515E-5</v>
      </c>
      <c r="BW15" s="91">
        <f t="shared" si="226"/>
        <v>2.5903936219096269E-5</v>
      </c>
      <c r="BX15" s="91">
        <f t="shared" si="226"/>
        <v>3.464912753496867E-5</v>
      </c>
      <c r="BY15" s="16">
        <f t="shared" ref="BY15" si="227">BX15</f>
        <v>3.464912753496867E-5</v>
      </c>
      <c r="BZ15" s="16">
        <f t="shared" ref="BZ15" si="228">BY15</f>
        <v>3.464912753496867E-5</v>
      </c>
      <c r="CA15" s="16">
        <f t="shared" ref="CA15" si="229">BZ15</f>
        <v>3.464912753496867E-5</v>
      </c>
      <c r="CB15" s="16">
        <f t="shared" ref="CB15" si="230">CA15</f>
        <v>3.464912753496867E-5</v>
      </c>
      <c r="CC15" s="16">
        <f t="shared" ref="CC15" si="231">CB15</f>
        <v>3.464912753496867E-5</v>
      </c>
      <c r="CD15" s="16">
        <f t="shared" ref="CD15" si="232">CC15</f>
        <v>3.464912753496867E-5</v>
      </c>
      <c r="CE15" s="16">
        <f t="shared" ref="CE15" si="233">CD15</f>
        <v>3.464912753496867E-5</v>
      </c>
      <c r="CF15" s="16">
        <f t="shared" ref="CF15" si="234">CE15</f>
        <v>3.464912753496867E-5</v>
      </c>
      <c r="CG15" s="16">
        <f t="shared" ref="CG15" si="235">CF15</f>
        <v>3.464912753496867E-5</v>
      </c>
      <c r="CH15" s="16">
        <f t="shared" ref="CH15" si="236">CG15</f>
        <v>3.464912753496867E-5</v>
      </c>
      <c r="CI15" s="16">
        <f t="shared" ref="CI15" si="237">CH15</f>
        <v>3.464912753496867E-5</v>
      </c>
      <c r="CJ15" s="16">
        <f t="shared" ref="CJ15" si="238">CI15</f>
        <v>3.464912753496867E-5</v>
      </c>
      <c r="CK15" s="16">
        <f t="shared" ref="CK15" si="239">CJ15</f>
        <v>3.464912753496867E-5</v>
      </c>
      <c r="CL15" s="16">
        <f t="shared" ref="CL15" si="240">CK15</f>
        <v>3.464912753496867E-5</v>
      </c>
      <c r="CM15" s="16">
        <f t="shared" ref="CM15" si="241">CL15</f>
        <v>3.464912753496867E-5</v>
      </c>
      <c r="CN15" s="16">
        <f t="shared" ref="CN15" si="242">CM15</f>
        <v>3.464912753496867E-5</v>
      </c>
      <c r="CO15" s="16">
        <f t="shared" ref="CO15" si="243">CN15</f>
        <v>3.464912753496867E-5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3" s="30" customFormat="1" x14ac:dyDescent="0.2">
      <c r="A17" s="32" t="s">
        <v>29</v>
      </c>
      <c r="B17" s="32"/>
      <c r="C17" s="32"/>
      <c r="D17" s="28" t="e">
        <f t="shared" ref="D17:O17" si="244">D14+D15+D16</f>
        <v>#DIV/0!</v>
      </c>
      <c r="E17" s="28" t="e">
        <f t="shared" si="244"/>
        <v>#DIV/0!</v>
      </c>
      <c r="F17" s="28" t="e">
        <f t="shared" si="244"/>
        <v>#DIV/0!</v>
      </c>
      <c r="G17" s="28" t="e">
        <f t="shared" si="244"/>
        <v>#DIV/0!</v>
      </c>
      <c r="H17" s="28" t="e">
        <f t="shared" si="244"/>
        <v>#DIV/0!</v>
      </c>
      <c r="I17" s="28" t="e">
        <f t="shared" si="244"/>
        <v>#DIV/0!</v>
      </c>
      <c r="J17" s="28" t="e">
        <f t="shared" si="244"/>
        <v>#DIV/0!</v>
      </c>
      <c r="K17" s="28">
        <f t="shared" si="244"/>
        <v>0.29263953812903321</v>
      </c>
      <c r="L17" s="28">
        <f t="shared" si="244"/>
        <v>0.1892595642439944</v>
      </c>
      <c r="M17" s="28">
        <f t="shared" si="244"/>
        <v>0.115812535936964</v>
      </c>
      <c r="N17" s="28">
        <f t="shared" si="244"/>
        <v>0.16951515112609319</v>
      </c>
      <c r="O17" s="28">
        <f t="shared" si="244"/>
        <v>0.20726922391800007</v>
      </c>
      <c r="P17" s="28">
        <f>P14+P15+P16</f>
        <v>0.20234755999323153</v>
      </c>
      <c r="Q17" s="28">
        <f t="shared" ref="Q17:T17" si="245">Q14+Q15+Q16</f>
        <v>0.1929449481668514</v>
      </c>
      <c r="R17" s="28">
        <f t="shared" si="245"/>
        <v>0.1762182931662068</v>
      </c>
      <c r="S17" s="28">
        <f t="shared" si="245"/>
        <v>0.21385225105058986</v>
      </c>
      <c r="T17" s="28">
        <f t="shared" si="245"/>
        <v>0.20575366512811957</v>
      </c>
      <c r="U17" s="28">
        <f t="shared" ref="U17:W17" si="246">U14+U15+U16</f>
        <v>0.18052693618990981</v>
      </c>
      <c r="V17" s="28">
        <f t="shared" si="246"/>
        <v>0.14517411290354434</v>
      </c>
      <c r="W17" s="28">
        <f t="shared" si="246"/>
        <v>0.15389417374560019</v>
      </c>
      <c r="X17" s="28">
        <f t="shared" ref="X17:Y17" si="247">X14+X15+X16</f>
        <v>0.15836489213178398</v>
      </c>
      <c r="Y17" s="28">
        <f t="shared" si="247"/>
        <v>0.17837317045301093</v>
      </c>
      <c r="Z17" s="28">
        <f t="shared" ref="Z17:AB17" si="248">Z14+Z15+Z16</f>
        <v>0.27263131036290678</v>
      </c>
      <c r="AA17" s="29">
        <f t="shared" si="248"/>
        <v>0.1981851307284474</v>
      </c>
      <c r="AB17" s="29">
        <f t="shared" si="248"/>
        <v>0.19587272540086295</v>
      </c>
      <c r="AC17" s="29">
        <f t="shared" ref="AC17:AE17" si="249">AC14+AC15+AC16</f>
        <v>0.20424926936347443</v>
      </c>
      <c r="AD17" s="29">
        <f t="shared" si="249"/>
        <v>0.20606303834679909</v>
      </c>
      <c r="AE17" s="29">
        <f t="shared" si="249"/>
        <v>0.20606650664436379</v>
      </c>
      <c r="AG17" s="58"/>
      <c r="AH17" s="28"/>
      <c r="AI17" s="28" t="e">
        <f t="shared" ref="AI17" si="250">AI14+AI15+AI16</f>
        <v>#DIV/0!</v>
      </c>
      <c r="AJ17" s="28" t="e">
        <f t="shared" ref="AJ17:AS17" si="251">AJ14+AJ15+AJ16</f>
        <v>#DIV/0!</v>
      </c>
      <c r="AK17" s="28" t="e">
        <f t="shared" si="251"/>
        <v>#DIV/0!</v>
      </c>
      <c r="AL17" s="28" t="e">
        <f t="shared" si="251"/>
        <v>#DIV/0!</v>
      </c>
      <c r="AM17" s="28" t="e">
        <f t="shared" si="251"/>
        <v>#DIV/0!</v>
      </c>
      <c r="AN17" s="28" t="e">
        <f t="shared" si="251"/>
        <v>#DIV/0!</v>
      </c>
      <c r="AO17" s="28" t="e">
        <f t="shared" si="251"/>
        <v>#DIV/0!</v>
      </c>
      <c r="AP17" s="28" t="e">
        <f t="shared" si="251"/>
        <v>#DIV/0!</v>
      </c>
      <c r="AQ17" s="28" t="e">
        <f t="shared" si="251"/>
        <v>#DIV/0!</v>
      </c>
      <c r="AR17" s="28" t="e">
        <f t="shared" si="251"/>
        <v>#DIV/0!</v>
      </c>
      <c r="AS17" s="28" t="e">
        <f t="shared" si="251"/>
        <v>#DIV/0!</v>
      </c>
      <c r="AT17" s="28">
        <f t="shared" ref="AT17:AW17" si="252">AT14+AT15+AT16</f>
        <v>8.9991746065067713E-2</v>
      </c>
      <c r="AU17" s="28">
        <f t="shared" si="252"/>
        <v>9.7129252804190894E-2</v>
      </c>
      <c r="AV17" s="28">
        <f t="shared" si="252"/>
        <v>9.7759905765754787E-2</v>
      </c>
      <c r="AW17" s="28">
        <f t="shared" si="252"/>
        <v>9.4928816588476614E-2</v>
      </c>
      <c r="AX17" s="28">
        <f t="shared" ref="AX17" si="253">AX14+AX15+AX16</f>
        <v>7.8116415312150828E-2</v>
      </c>
      <c r="AY17" s="28">
        <f t="shared" ref="AY17" si="254">AY14+AY15+AY16</f>
        <v>7.9499225256035921E-2</v>
      </c>
      <c r="AZ17" s="28">
        <f t="shared" ref="AZ17:BA17" si="255">AZ14+AZ15+AZ16</f>
        <v>8.0233963572925199E-2</v>
      </c>
      <c r="BA17" s="28">
        <f t="shared" si="255"/>
        <v>8.0267863778542989E-2</v>
      </c>
      <c r="BB17" s="28">
        <f t="shared" ref="BB17:BF17" si="256">BB14+BB15+BB16</f>
        <v>6.7628140117330288E-2</v>
      </c>
      <c r="BC17" s="28">
        <f t="shared" si="256"/>
        <v>5.9403354855783318E-2</v>
      </c>
      <c r="BD17" s="28">
        <f t="shared" si="256"/>
        <v>5.8172854553267019E-2</v>
      </c>
      <c r="BE17" s="28">
        <f t="shared" si="256"/>
        <v>8.92088378657242E-2</v>
      </c>
      <c r="BF17" s="28">
        <f t="shared" si="256"/>
        <v>5.6794490148965364E-2</v>
      </c>
      <c r="BG17" s="28">
        <f t="shared" ref="BG17:BH17" si="257">BG14+BG15+BG16</f>
        <v>6.0187992956822735E-2</v>
      </c>
      <c r="BH17" s="28">
        <f t="shared" si="257"/>
        <v>7.4267890180436683E-2</v>
      </c>
      <c r="BI17" s="28">
        <f t="shared" ref="BI17:BJ17" si="258">BI14+BI15+BI16</f>
        <v>9.1859128349451369E-2</v>
      </c>
      <c r="BJ17" s="28">
        <f t="shared" si="258"/>
        <v>6.1663340123244592E-2</v>
      </c>
      <c r="BK17" s="28">
        <f t="shared" ref="BK17:BR17" si="259">BK14+BK15+BK16</f>
        <v>6.9405891316952045E-2</v>
      </c>
      <c r="BL17" s="28">
        <f t="shared" si="259"/>
        <v>7.5794235152915973E-2</v>
      </c>
      <c r="BM17" s="28">
        <f t="shared" si="259"/>
        <v>9.171521192119568E-2</v>
      </c>
      <c r="BN17" s="28">
        <f t="shared" si="259"/>
        <v>7.9902506333580245E-2</v>
      </c>
      <c r="BO17" s="28">
        <f t="shared" si="259"/>
        <v>6.5571317125981118E-2</v>
      </c>
      <c r="BP17" s="28">
        <f t="shared" si="259"/>
        <v>6.4159858172391351E-2</v>
      </c>
      <c r="BQ17" s="28">
        <f t="shared" si="259"/>
        <v>7.1549832578005762E-2</v>
      </c>
      <c r="BR17" s="28">
        <f t="shared" si="259"/>
        <v>6.1688194786166731E-2</v>
      </c>
      <c r="BS17" s="28">
        <f t="shared" ref="BS17:BT17" si="260">BS14+BS15+BS16</f>
        <v>5.8197721071577266E-2</v>
      </c>
      <c r="BT17" s="28">
        <f t="shared" si="260"/>
        <v>5.8227790407943118E-2</v>
      </c>
      <c r="BU17" s="28">
        <f t="shared" ref="BU17:BV17" si="261">BU14+BU15+BU16</f>
        <v>3.6573389636995558E-2</v>
      </c>
      <c r="BV17" s="28">
        <f t="shared" si="261"/>
        <v>3.7389625328502575E-2</v>
      </c>
      <c r="BW17" s="28">
        <f t="shared" ref="BW17:BX17" si="262">BW14+BW15+BW16</f>
        <v>3.9803137817253142E-2</v>
      </c>
      <c r="BX17" s="28">
        <f t="shared" si="262"/>
        <v>3.9729844602512915E-2</v>
      </c>
      <c r="BY17" s="29">
        <f t="shared" ref="BY17" si="263">BY14+BY15+BY16</f>
        <v>4.2910788661930488E-2</v>
      </c>
      <c r="BZ17" s="29">
        <f t="shared" ref="BZ17:CC17" si="264">BZ14+BZ15+BZ16</f>
        <v>3.9962150008175892E-2</v>
      </c>
      <c r="CA17" s="29">
        <f t="shared" si="264"/>
        <v>4.3542162400152934E-2</v>
      </c>
      <c r="CB17" s="29">
        <f t="shared" si="264"/>
        <v>4.4517128407190659E-2</v>
      </c>
      <c r="CC17" s="29">
        <f t="shared" si="264"/>
        <v>4.57791917531193E-2</v>
      </c>
      <c r="CD17" s="29">
        <f t="shared" ref="CD17:CO17" si="265">CD14+CD15+CD16</f>
        <v>4.4682347217900847E-2</v>
      </c>
      <c r="CE17" s="29">
        <f t="shared" si="265"/>
        <v>4.5885795490179009E-2</v>
      </c>
      <c r="CF17" s="29">
        <f t="shared" si="265"/>
        <v>4.6483336652175626E-2</v>
      </c>
      <c r="CG17" s="29">
        <f t="shared" si="265"/>
        <v>4.6985036393022039E-2</v>
      </c>
      <c r="CH17" s="29">
        <f t="shared" si="265"/>
        <v>4.6009128938319384E-2</v>
      </c>
      <c r="CI17" s="29">
        <f t="shared" si="265"/>
        <v>4.6340824368424016E-2</v>
      </c>
      <c r="CJ17" s="29">
        <f t="shared" si="265"/>
        <v>4.6454581587985273E-2</v>
      </c>
      <c r="CK17" s="29">
        <f t="shared" si="265"/>
        <v>4.6447392821937689E-2</v>
      </c>
      <c r="CL17" s="29">
        <f t="shared" si="265"/>
        <v>4.6312981929166594E-2</v>
      </c>
      <c r="CM17" s="29">
        <f t="shared" si="265"/>
        <v>4.6388945176878395E-2</v>
      </c>
      <c r="CN17" s="29">
        <f t="shared" si="265"/>
        <v>4.6400975378991988E-2</v>
      </c>
      <c r="CO17" s="29">
        <f t="shared" si="265"/>
        <v>4.6387573826743661E-2</v>
      </c>
    </row>
    <row r="18" spans="1:93" s="93" customFormat="1" x14ac:dyDescent="0.2">
      <c r="A18" s="27" t="s">
        <v>50</v>
      </c>
      <c r="B18" s="27"/>
      <c r="C18" s="27"/>
      <c r="D18" s="91" t="e">
        <f t="shared" ref="D18:AE18" si="266">D46/C5</f>
        <v>#DIV/0!</v>
      </c>
      <c r="E18" s="91" t="e">
        <f t="shared" si="266"/>
        <v>#DIV/0!</v>
      </c>
      <c r="F18" s="91" t="e">
        <f t="shared" si="266"/>
        <v>#DIV/0!</v>
      </c>
      <c r="G18" s="91" t="e">
        <f t="shared" si="266"/>
        <v>#DIV/0!</v>
      </c>
      <c r="H18" s="91" t="e">
        <f t="shared" si="266"/>
        <v>#DIV/0!</v>
      </c>
      <c r="I18" s="91" t="e">
        <f t="shared" si="266"/>
        <v>#DIV/0!</v>
      </c>
      <c r="J18" s="91" t="e">
        <f t="shared" si="266"/>
        <v>#DIV/0!</v>
      </c>
      <c r="K18" s="91">
        <f t="shared" si="266"/>
        <v>0.23044208308754621</v>
      </c>
      <c r="L18" s="91">
        <f t="shared" si="266"/>
        <v>0.15480629267243473</v>
      </c>
      <c r="M18" s="91">
        <f t="shared" si="266"/>
        <v>0.11926331093639514</v>
      </c>
      <c r="N18" s="91">
        <f t="shared" si="266"/>
        <v>0.11969280800173343</v>
      </c>
      <c r="O18" s="91">
        <f t="shared" si="266"/>
        <v>0.10848595613956621</v>
      </c>
      <c r="P18" s="91">
        <f t="shared" si="266"/>
        <v>9.0591471659078937E-2</v>
      </c>
      <c r="Q18" s="91">
        <f t="shared" si="266"/>
        <v>8.1057792069802875E-2</v>
      </c>
      <c r="R18" s="91">
        <f t="shared" si="266"/>
        <v>7.160495853349487E-2</v>
      </c>
      <c r="S18" s="91">
        <f t="shared" si="266"/>
        <v>6.371191076260159E-2</v>
      </c>
      <c r="T18" s="91">
        <f t="shared" si="266"/>
        <v>6.6988350118252063E-2</v>
      </c>
      <c r="U18" s="91">
        <f t="shared" si="266"/>
        <v>6.5693341587641965E-2</v>
      </c>
      <c r="V18" s="91">
        <f t="shared" si="266"/>
        <v>4.8527162312598085E-2</v>
      </c>
      <c r="W18" s="91">
        <f t="shared" si="266"/>
        <v>5.8071774034068824E-2</v>
      </c>
      <c r="X18" s="91">
        <f t="shared" si="266"/>
        <v>5.5112118612499761E-2</v>
      </c>
      <c r="Y18" s="91">
        <f t="shared" si="266"/>
        <v>5.3275265667362647E-2</v>
      </c>
      <c r="Z18" s="91">
        <f t="shared" si="266"/>
        <v>8.1364935286857787E-2</v>
      </c>
      <c r="AA18" s="92">
        <f t="shared" si="266"/>
        <v>6.2852384336123543E-2</v>
      </c>
      <c r="AB18" s="92">
        <f t="shared" si="266"/>
        <v>5.9393248828563033E-2</v>
      </c>
      <c r="AC18" s="92">
        <f t="shared" si="266"/>
        <v>5.6232276206299323E-2</v>
      </c>
      <c r="AD18" s="92">
        <f t="shared" si="266"/>
        <v>5.5550258066254035E-2</v>
      </c>
      <c r="AE18" s="92">
        <f t="shared" si="266"/>
        <v>5.5484313527109932E-2</v>
      </c>
      <c r="AG18" s="65"/>
      <c r="AH18" s="91"/>
      <c r="AI18" s="91" t="e">
        <f t="shared" ref="AI18:BX18" si="267">AI46/AH5</f>
        <v>#DIV/0!</v>
      </c>
      <c r="AJ18" s="91" t="e">
        <f t="shared" si="267"/>
        <v>#DIV/0!</v>
      </c>
      <c r="AK18" s="91" t="e">
        <f t="shared" si="267"/>
        <v>#DIV/0!</v>
      </c>
      <c r="AL18" s="91" t="e">
        <f t="shared" si="267"/>
        <v>#DIV/0!</v>
      </c>
      <c r="AM18" s="91" t="e">
        <f t="shared" si="267"/>
        <v>#DIV/0!</v>
      </c>
      <c r="AN18" s="91" t="e">
        <f t="shared" si="267"/>
        <v>#DIV/0!</v>
      </c>
      <c r="AO18" s="91" t="e">
        <f t="shared" si="267"/>
        <v>#DIV/0!</v>
      </c>
      <c r="AP18" s="91" t="e">
        <f t="shared" si="267"/>
        <v>#DIV/0!</v>
      </c>
      <c r="AQ18" s="91" t="e">
        <f t="shared" si="267"/>
        <v>#DIV/0!</v>
      </c>
      <c r="AR18" s="91" t="e">
        <f t="shared" si="267"/>
        <v>#DIV/0!</v>
      </c>
      <c r="AS18" s="91" t="e">
        <f t="shared" si="267"/>
        <v>#DIV/0!</v>
      </c>
      <c r="AT18" s="91">
        <f t="shared" si="267"/>
        <v>2.9766647423388689E-2</v>
      </c>
      <c r="AU18" s="91">
        <f t="shared" si="267"/>
        <v>3.4685610958172103E-2</v>
      </c>
      <c r="AV18" s="91">
        <f t="shared" si="267"/>
        <v>3.115010459188854E-2</v>
      </c>
      <c r="AW18" s="91">
        <f t="shared" si="267"/>
        <v>3.3400353378419546E-2</v>
      </c>
      <c r="AX18" s="91">
        <f t="shared" si="267"/>
        <v>2.7619159325633223E-2</v>
      </c>
      <c r="AY18" s="91">
        <f t="shared" si="267"/>
        <v>3.1610171060997963E-2</v>
      </c>
      <c r="AZ18" s="91">
        <f t="shared" si="267"/>
        <v>2.7918123180308677E-2</v>
      </c>
      <c r="BA18" s="91">
        <f t="shared" si="267"/>
        <v>3.3464718361003294E-2</v>
      </c>
      <c r="BB18" s="91">
        <f t="shared" si="267"/>
        <v>2.3133514345930223E-2</v>
      </c>
      <c r="BC18" s="91">
        <f t="shared" si="267"/>
        <v>2.5123550237959893E-2</v>
      </c>
      <c r="BD18" s="91">
        <f t="shared" si="267"/>
        <v>2.7100379784828127E-2</v>
      </c>
      <c r="BE18" s="91">
        <f t="shared" si="267"/>
        <v>2.9176743630188282E-2</v>
      </c>
      <c r="BF18" s="91">
        <f t="shared" si="267"/>
        <v>2.3394953418425537E-2</v>
      </c>
      <c r="BG18" s="91">
        <f t="shared" si="267"/>
        <v>2.6435062800635185E-2</v>
      </c>
      <c r="BH18" s="91">
        <f t="shared" si="267"/>
        <v>2.9184676684975423E-2</v>
      </c>
      <c r="BI18" s="91">
        <f t="shared" si="267"/>
        <v>3.1066921038860433E-2</v>
      </c>
      <c r="BJ18" s="91">
        <f t="shared" si="267"/>
        <v>2.4500120576509642E-2</v>
      </c>
      <c r="BK18" s="91">
        <f t="shared" si="267"/>
        <v>2.6515287562148208E-2</v>
      </c>
      <c r="BL18" s="91">
        <f t="shared" si="267"/>
        <v>2.7496744911816702E-2</v>
      </c>
      <c r="BM18" s="91">
        <f t="shared" si="267"/>
        <v>2.7711841648073741E-2</v>
      </c>
      <c r="BN18" s="91">
        <f t="shared" si="267"/>
        <v>2.461033800956532E-2</v>
      </c>
      <c r="BO18" s="91">
        <f t="shared" si="267"/>
        <v>2.0784575950072437E-2</v>
      </c>
      <c r="BP18" s="91">
        <f t="shared" si="267"/>
        <v>1.8935398621479534E-2</v>
      </c>
      <c r="BQ18" s="91">
        <f t="shared" si="267"/>
        <v>2.154441296839342E-2</v>
      </c>
      <c r="BR18" s="91">
        <f t="shared" si="267"/>
        <v>1.8030011654204637E-2</v>
      </c>
      <c r="BS18" s="91">
        <f t="shared" si="267"/>
        <v>1.7842610023574602E-2</v>
      </c>
      <c r="BT18" s="91">
        <f t="shared" si="267"/>
        <v>1.823943519569695E-2</v>
      </c>
      <c r="BU18" s="91">
        <f t="shared" si="267"/>
        <v>1.1639079209373248E-2</v>
      </c>
      <c r="BV18" s="91">
        <f t="shared" si="267"/>
        <v>1.2514383445661196E-2</v>
      </c>
      <c r="BW18" s="91">
        <f t="shared" si="267"/>
        <v>1.2939209454395445E-2</v>
      </c>
      <c r="BX18" s="91">
        <f t="shared" si="267"/>
        <v>1.3531639273323098E-2</v>
      </c>
      <c r="BY18" s="16">
        <f t="shared" ref="BY18" si="268">BX18</f>
        <v>1.3531639273323098E-2</v>
      </c>
      <c r="BZ18" s="16">
        <f>BY18*0.99</f>
        <v>1.3396322880589867E-2</v>
      </c>
      <c r="CA18" s="16">
        <f t="shared" ref="CA18:CG18" si="269">BZ18*0.99</f>
        <v>1.3262359651783968E-2</v>
      </c>
      <c r="CB18" s="16">
        <f t="shared" si="269"/>
        <v>1.3129736055266128E-2</v>
      </c>
      <c r="CC18" s="16">
        <f t="shared" si="269"/>
        <v>1.2998438694713467E-2</v>
      </c>
      <c r="CD18" s="16">
        <f t="shared" si="269"/>
        <v>1.2868454307766331E-2</v>
      </c>
      <c r="CE18" s="16">
        <f t="shared" si="269"/>
        <v>1.2739769764688668E-2</v>
      </c>
      <c r="CF18" s="16">
        <f t="shared" si="269"/>
        <v>1.2612372067041782E-2</v>
      </c>
      <c r="CG18" s="16">
        <f t="shared" si="269"/>
        <v>1.2486248346371364E-2</v>
      </c>
      <c r="CH18" s="16">
        <f t="shared" ref="CH18" si="270">CG18</f>
        <v>1.2486248346371364E-2</v>
      </c>
      <c r="CI18" s="16">
        <f t="shared" ref="CI18" si="271">CH18</f>
        <v>1.2486248346371364E-2</v>
      </c>
      <c r="CJ18" s="16">
        <f t="shared" ref="CJ18" si="272">CI18</f>
        <v>1.2486248346371364E-2</v>
      </c>
      <c r="CK18" s="16">
        <f t="shared" ref="CK18" si="273">CJ18</f>
        <v>1.2486248346371364E-2</v>
      </c>
      <c r="CL18" s="16">
        <f t="shared" ref="CL18" si="274">CK18</f>
        <v>1.2486248346371364E-2</v>
      </c>
      <c r="CM18" s="16">
        <f t="shared" ref="CM18" si="275">CL18</f>
        <v>1.2486248346371364E-2</v>
      </c>
      <c r="CN18" s="16">
        <f t="shared" ref="CN18" si="276">CM18</f>
        <v>1.2486248346371364E-2</v>
      </c>
      <c r="CO18" s="16">
        <f t="shared" ref="CO18" si="277">CN18</f>
        <v>1.2486248346371364E-2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278">D17-D18</f>
        <v>#DIV/0!</v>
      </c>
      <c r="E19" s="35" t="e">
        <f t="shared" si="278"/>
        <v>#DIV/0!</v>
      </c>
      <c r="F19" s="35" t="e">
        <f t="shared" si="278"/>
        <v>#DIV/0!</v>
      </c>
      <c r="G19" s="35" t="e">
        <f t="shared" si="278"/>
        <v>#DIV/0!</v>
      </c>
      <c r="H19" s="35" t="e">
        <f t="shared" si="278"/>
        <v>#DIV/0!</v>
      </c>
      <c r="I19" s="35" t="e">
        <f t="shared" si="278"/>
        <v>#DIV/0!</v>
      </c>
      <c r="J19" s="35" t="e">
        <f t="shared" si="278"/>
        <v>#DIV/0!</v>
      </c>
      <c r="K19" s="35">
        <f t="shared" si="278"/>
        <v>6.2197455041486993E-2</v>
      </c>
      <c r="L19" s="35">
        <f t="shared" si="278"/>
        <v>3.4453271571559668E-2</v>
      </c>
      <c r="M19" s="35">
        <f t="shared" si="278"/>
        <v>-3.4507749994311387E-3</v>
      </c>
      <c r="N19" s="35">
        <f t="shared" si="278"/>
        <v>4.9822343124359764E-2</v>
      </c>
      <c r="O19" s="35">
        <f t="shared" si="278"/>
        <v>9.8783267778433853E-2</v>
      </c>
      <c r="P19" s="35">
        <f>P17-P18</f>
        <v>0.1117560883341526</v>
      </c>
      <c r="Q19" s="35">
        <f t="shared" ref="Q19:Z19" si="279">Q17-Q18</f>
        <v>0.11188715609704852</v>
      </c>
      <c r="R19" s="35">
        <f t="shared" si="279"/>
        <v>0.10461333463271193</v>
      </c>
      <c r="S19" s="35">
        <f t="shared" si="279"/>
        <v>0.15014034028798828</v>
      </c>
      <c r="T19" s="35">
        <f t="shared" si="279"/>
        <v>0.1387653150098675</v>
      </c>
      <c r="U19" s="35">
        <f t="shared" si="279"/>
        <v>0.11483359460226784</v>
      </c>
      <c r="V19" s="35">
        <f t="shared" si="279"/>
        <v>9.664695059094626E-2</v>
      </c>
      <c r="W19" s="35">
        <f t="shared" si="279"/>
        <v>9.5822399711531364E-2</v>
      </c>
      <c r="X19" s="35">
        <f t="shared" si="279"/>
        <v>0.10325277351928422</v>
      </c>
      <c r="Y19" s="35">
        <f t="shared" si="279"/>
        <v>0.12509790478564828</v>
      </c>
      <c r="Z19" s="35">
        <f t="shared" si="279"/>
        <v>0.19126637507604899</v>
      </c>
      <c r="AA19" s="36">
        <f t="shared" ref="AA19" si="280">AA17-AA18</f>
        <v>0.13533274639232384</v>
      </c>
      <c r="AB19" s="36">
        <f t="shared" ref="AB19:AE19" si="281">AB17-AB18</f>
        <v>0.13647947657229992</v>
      </c>
      <c r="AC19" s="36">
        <f t="shared" si="281"/>
        <v>0.14801699315717509</v>
      </c>
      <c r="AD19" s="36">
        <f t="shared" si="281"/>
        <v>0.15051278028054504</v>
      </c>
      <c r="AE19" s="36">
        <f t="shared" si="281"/>
        <v>0.15058219311725385</v>
      </c>
      <c r="AG19" s="59"/>
      <c r="AH19" s="35"/>
      <c r="AI19" s="35" t="e">
        <f t="shared" ref="AI19" si="282">AI17-AI18</f>
        <v>#DIV/0!</v>
      </c>
      <c r="AJ19" s="35" t="e">
        <f t="shared" ref="AJ19:AS19" si="283">AJ17-AJ18</f>
        <v>#DIV/0!</v>
      </c>
      <c r="AK19" s="35" t="e">
        <f t="shared" si="283"/>
        <v>#DIV/0!</v>
      </c>
      <c r="AL19" s="35" t="e">
        <f t="shared" si="283"/>
        <v>#DIV/0!</v>
      </c>
      <c r="AM19" s="35" t="e">
        <f t="shared" si="283"/>
        <v>#DIV/0!</v>
      </c>
      <c r="AN19" s="35" t="e">
        <f t="shared" si="283"/>
        <v>#DIV/0!</v>
      </c>
      <c r="AO19" s="35" t="e">
        <f t="shared" si="283"/>
        <v>#DIV/0!</v>
      </c>
      <c r="AP19" s="35" t="e">
        <f t="shared" si="283"/>
        <v>#DIV/0!</v>
      </c>
      <c r="AQ19" s="35" t="e">
        <f t="shared" si="283"/>
        <v>#DIV/0!</v>
      </c>
      <c r="AR19" s="35" t="e">
        <f t="shared" si="283"/>
        <v>#DIV/0!</v>
      </c>
      <c r="AS19" s="35" t="e">
        <f t="shared" si="283"/>
        <v>#DIV/0!</v>
      </c>
      <c r="AT19" s="35">
        <f t="shared" ref="AT19" si="284">AT17-AT18</f>
        <v>6.022509864167902E-2</v>
      </c>
      <c r="AU19" s="35">
        <f t="shared" ref="AU19" si="285">AU17-AU18</f>
        <v>6.2443641846018791E-2</v>
      </c>
      <c r="AV19" s="35">
        <f t="shared" ref="AV19" si="286">AV17-AV18</f>
        <v>6.6609801173866251E-2</v>
      </c>
      <c r="AW19" s="35">
        <f t="shared" ref="AW19" si="287">AW17-AW18</f>
        <v>6.1528463210057067E-2</v>
      </c>
      <c r="AX19" s="35">
        <f t="shared" ref="AX19" si="288">AX17-AX18</f>
        <v>5.0497255986517608E-2</v>
      </c>
      <c r="AY19" s="35">
        <f t="shared" ref="AY19" si="289">AY17-AY18</f>
        <v>4.7889054195037958E-2</v>
      </c>
      <c r="AZ19" s="35">
        <f t="shared" ref="AZ19" si="290">AZ17-AZ18</f>
        <v>5.2315840392616525E-2</v>
      </c>
      <c r="BA19" s="35">
        <f t="shared" ref="BA19" si="291">BA17-BA18</f>
        <v>4.6803145417539695E-2</v>
      </c>
      <c r="BB19" s="35">
        <f t="shared" ref="BB19" si="292">BB17-BB18</f>
        <v>4.4494625771400065E-2</v>
      </c>
      <c r="BC19" s="35">
        <f t="shared" ref="BC19" si="293">BC17-BC18</f>
        <v>3.4279804617823428E-2</v>
      </c>
      <c r="BD19" s="35">
        <f t="shared" ref="BD19" si="294">BD17-BD18</f>
        <v>3.1072474768438892E-2</v>
      </c>
      <c r="BE19" s="35">
        <f t="shared" ref="BE19" si="295">BE17-BE18</f>
        <v>6.0032094235535918E-2</v>
      </c>
      <c r="BF19" s="35">
        <f t="shared" ref="BF19" si="296">BF17-BF18</f>
        <v>3.3399536730539831E-2</v>
      </c>
      <c r="BG19" s="35">
        <f t="shared" ref="BG19" si="297">BG17-BG18</f>
        <v>3.3752930156187549E-2</v>
      </c>
      <c r="BH19" s="35">
        <f t="shared" ref="BH19" si="298">BH17-BH18</f>
        <v>4.5083213495461259E-2</v>
      </c>
      <c r="BI19" s="35">
        <f t="shared" ref="BI19" si="299">BI17-BI18</f>
        <v>6.0792207310590936E-2</v>
      </c>
      <c r="BJ19" s="35">
        <f t="shared" ref="BJ19" si="300">BJ17-BJ18</f>
        <v>3.7163219546734946E-2</v>
      </c>
      <c r="BK19" s="35">
        <f t="shared" ref="BK19" si="301">BK17-BK18</f>
        <v>4.2890603754803837E-2</v>
      </c>
      <c r="BL19" s="35">
        <f t="shared" ref="BL19" si="302">BL17-BL18</f>
        <v>4.8297490241099271E-2</v>
      </c>
      <c r="BM19" s="35">
        <f t="shared" ref="BM19" si="303">BM17-BM18</f>
        <v>6.4003370273121946E-2</v>
      </c>
      <c r="BN19" s="35">
        <f t="shared" ref="BN19" si="304">BN17-BN18</f>
        <v>5.5292168324014929E-2</v>
      </c>
      <c r="BO19" s="35">
        <f t="shared" ref="BO19" si="305">BO17-BO18</f>
        <v>4.4786741175908681E-2</v>
      </c>
      <c r="BP19" s="35">
        <f t="shared" ref="BP19" si="306">BP17-BP18</f>
        <v>4.5224459550911818E-2</v>
      </c>
      <c r="BQ19" s="35">
        <f t="shared" ref="BQ19" si="307">BQ17-BQ18</f>
        <v>5.0005419609612342E-2</v>
      </c>
      <c r="BR19" s="35">
        <f t="shared" ref="BR19" si="308">BR17-BR18</f>
        <v>4.3658183131962097E-2</v>
      </c>
      <c r="BS19" s="35">
        <f t="shared" ref="BS19" si="309">BS17-BS18</f>
        <v>4.0355111048002663E-2</v>
      </c>
      <c r="BT19" s="35">
        <f t="shared" ref="BT19" si="310">BT17-BT18</f>
        <v>3.9988355212246168E-2</v>
      </c>
      <c r="BU19" s="35">
        <f t="shared" ref="BU19:BV19" si="311">BU17-BU18</f>
        <v>2.493431042762231E-2</v>
      </c>
      <c r="BV19" s="35">
        <f t="shared" si="311"/>
        <v>2.4875241882841379E-2</v>
      </c>
      <c r="BW19" s="35">
        <f t="shared" ref="BW19:BX19" si="312">BW17-BW18</f>
        <v>2.6863928362857697E-2</v>
      </c>
      <c r="BX19" s="35">
        <f t="shared" si="312"/>
        <v>2.6198205329189816E-2</v>
      </c>
      <c r="BY19" s="36">
        <f t="shared" ref="BY19" si="313">BY17-BY18</f>
        <v>2.937914938860739E-2</v>
      </c>
      <c r="BZ19" s="36">
        <f t="shared" ref="BZ19" si="314">BZ17-BZ18</f>
        <v>2.6565827127586025E-2</v>
      </c>
      <c r="CA19" s="36">
        <f t="shared" ref="CA19" si="315">CA17-CA18</f>
        <v>3.0279802748368966E-2</v>
      </c>
      <c r="CB19" s="36">
        <f t="shared" ref="CB19" si="316">CB17-CB18</f>
        <v>3.1387392351924531E-2</v>
      </c>
      <c r="CC19" s="36">
        <f t="shared" ref="CC19" si="317">CC17-CC18</f>
        <v>3.2780753058405832E-2</v>
      </c>
      <c r="CD19" s="36">
        <f t="shared" ref="CD19" si="318">CD17-CD18</f>
        <v>3.181389291013452E-2</v>
      </c>
      <c r="CE19" s="36">
        <f t="shared" ref="CE19" si="319">CE17-CE18</f>
        <v>3.3146025725490344E-2</v>
      </c>
      <c r="CF19" s="36">
        <f t="shared" ref="CF19" si="320">CF17-CF18</f>
        <v>3.3870964585133848E-2</v>
      </c>
      <c r="CG19" s="36">
        <f t="shared" ref="CG19" si="321">CG17-CG18</f>
        <v>3.4498788046650672E-2</v>
      </c>
      <c r="CH19" s="36">
        <f t="shared" ref="CH19" si="322">CH17-CH18</f>
        <v>3.3522880591948023E-2</v>
      </c>
      <c r="CI19" s="36">
        <f t="shared" ref="CI19" si="323">CI17-CI18</f>
        <v>3.3854576022052649E-2</v>
      </c>
      <c r="CJ19" s="36">
        <f t="shared" ref="CJ19" si="324">CJ17-CJ18</f>
        <v>3.3968333241613913E-2</v>
      </c>
      <c r="CK19" s="36">
        <f t="shared" ref="CK19" si="325">CK17-CK18</f>
        <v>3.3961144475566321E-2</v>
      </c>
      <c r="CL19" s="36">
        <f t="shared" ref="CL19" si="326">CL17-CL18</f>
        <v>3.3826733582795226E-2</v>
      </c>
      <c r="CM19" s="36">
        <f t="shared" ref="CM19" si="327">CM17-CM18</f>
        <v>3.3902696830507034E-2</v>
      </c>
      <c r="CN19" s="36">
        <f t="shared" ref="CN19" si="328">CN17-CN18</f>
        <v>3.391472703262062E-2</v>
      </c>
      <c r="CO19" s="36">
        <f t="shared" ref="CO19" si="329">CO17-CO18</f>
        <v>3.3901325480372294E-2</v>
      </c>
    </row>
    <row r="20" spans="1:93" s="30" customFormat="1" x14ac:dyDescent="0.2">
      <c r="A20" s="32" t="s">
        <v>30</v>
      </c>
      <c r="B20" s="32"/>
      <c r="C20" s="32"/>
      <c r="D20" s="28" t="e">
        <f t="shared" ref="D20:AE20" si="330">D49/C5</f>
        <v>#DIV/0!</v>
      </c>
      <c r="E20" s="28" t="e">
        <f t="shared" si="330"/>
        <v>#DIV/0!</v>
      </c>
      <c r="F20" s="28" t="e">
        <f t="shared" si="330"/>
        <v>#DIV/0!</v>
      </c>
      <c r="G20" s="28" t="e">
        <f t="shared" si="330"/>
        <v>#DIV/0!</v>
      </c>
      <c r="H20" s="28" t="e">
        <f t="shared" si="330"/>
        <v>#DIV/0!</v>
      </c>
      <c r="I20" s="28" t="e">
        <f t="shared" si="330"/>
        <v>#DIV/0!</v>
      </c>
      <c r="J20" s="28" t="e">
        <f t="shared" si="330"/>
        <v>#DIV/0!</v>
      </c>
      <c r="K20" s="28">
        <f t="shared" si="330"/>
        <v>4.436830306985854E-2</v>
      </c>
      <c r="L20" s="28">
        <f t="shared" si="330"/>
        <v>1.9506621586909766E-2</v>
      </c>
      <c r="M20" s="28">
        <f t="shared" si="330"/>
        <v>2.4758649238554847E-3</v>
      </c>
      <c r="N20" s="28">
        <f t="shared" si="330"/>
        <v>1.8502438941810164E-2</v>
      </c>
      <c r="O20" s="28">
        <f t="shared" si="330"/>
        <v>2.9581066155529589E-2</v>
      </c>
      <c r="P20" s="28">
        <f t="shared" si="330"/>
        <v>1.1489273625067208E-2</v>
      </c>
      <c r="Q20" s="28">
        <f t="shared" si="330"/>
        <v>1.4882181286082851E-2</v>
      </c>
      <c r="R20" s="28">
        <f t="shared" si="330"/>
        <v>5.1251625807231603E-2</v>
      </c>
      <c r="S20" s="28">
        <f t="shared" si="330"/>
        <v>4.1768017783318317E-2</v>
      </c>
      <c r="T20" s="28">
        <f t="shared" si="330"/>
        <v>2.0536886572668858E-2</v>
      </c>
      <c r="U20" s="28">
        <f t="shared" si="330"/>
        <v>4.1473833380651894E-2</v>
      </c>
      <c r="V20" s="28">
        <f t="shared" si="330"/>
        <v>7.4722102636815904E-2</v>
      </c>
      <c r="W20" s="28">
        <f t="shared" si="330"/>
        <v>5.3844276704630045E-2</v>
      </c>
      <c r="X20" s="28">
        <f t="shared" si="330"/>
        <v>2.8319029201308472E-2</v>
      </c>
      <c r="Y20" s="28">
        <f t="shared" si="330"/>
        <v>2.4379070709588953E-2</v>
      </c>
      <c r="Z20" s="28">
        <f t="shared" si="330"/>
        <v>0.14042395934586299</v>
      </c>
      <c r="AA20" s="29">
        <f t="shared" si="330"/>
        <v>8.6079755451177381E-2</v>
      </c>
      <c r="AB20" s="29">
        <f t="shared" si="330"/>
        <v>5.9373889816285885E-2</v>
      </c>
      <c r="AC20" s="29">
        <f t="shared" si="330"/>
        <v>5.8519818628781591E-2</v>
      </c>
      <c r="AD20" s="29">
        <f t="shared" si="330"/>
        <v>5.8675018340454493E-2</v>
      </c>
      <c r="AE20" s="29">
        <f t="shared" si="330"/>
        <v>5.8605364351824646E-2</v>
      </c>
      <c r="AG20" s="58"/>
      <c r="AH20" s="28"/>
      <c r="AI20" s="28" t="e">
        <f t="shared" ref="AI20:BX20" si="331">AI49/AH5</f>
        <v>#DIV/0!</v>
      </c>
      <c r="AJ20" s="28" t="e">
        <f t="shared" si="331"/>
        <v>#DIV/0!</v>
      </c>
      <c r="AK20" s="28" t="e">
        <f t="shared" si="331"/>
        <v>#DIV/0!</v>
      </c>
      <c r="AL20" s="28" t="e">
        <f t="shared" si="331"/>
        <v>#DIV/0!</v>
      </c>
      <c r="AM20" s="28" t="e">
        <f t="shared" si="331"/>
        <v>#DIV/0!</v>
      </c>
      <c r="AN20" s="28" t="e">
        <f t="shared" si="331"/>
        <v>#DIV/0!</v>
      </c>
      <c r="AO20" s="28" t="e">
        <f t="shared" si="331"/>
        <v>#DIV/0!</v>
      </c>
      <c r="AP20" s="28" t="e">
        <f t="shared" si="331"/>
        <v>#DIV/0!</v>
      </c>
      <c r="AQ20" s="28" t="e">
        <f t="shared" si="331"/>
        <v>#DIV/0!</v>
      </c>
      <c r="AR20" s="28" t="e">
        <f t="shared" si="331"/>
        <v>#DIV/0!</v>
      </c>
      <c r="AS20" s="28" t="e">
        <f t="shared" si="331"/>
        <v>#DIV/0!</v>
      </c>
      <c r="AT20" s="28">
        <f t="shared" si="331"/>
        <v>6.6174611277833167E-3</v>
      </c>
      <c r="AU20" s="28">
        <f t="shared" si="331"/>
        <v>8.0296950815135701E-3</v>
      </c>
      <c r="AV20" s="28">
        <f t="shared" si="331"/>
        <v>4.1755518999167318E-3</v>
      </c>
      <c r="AW20" s="28">
        <f t="shared" si="331"/>
        <v>1.3761449257702228E-2</v>
      </c>
      <c r="AX20" s="28">
        <f t="shared" si="331"/>
        <v>4.7750155874781621E-3</v>
      </c>
      <c r="AY20" s="28">
        <f t="shared" si="331"/>
        <v>8.6857749600281493E-3</v>
      </c>
      <c r="AZ20" s="28">
        <f t="shared" si="331"/>
        <v>1.4264163440714409E-2</v>
      </c>
      <c r="BA20" s="28">
        <f t="shared" si="331"/>
        <v>3.6236712097288376E-2</v>
      </c>
      <c r="BB20" s="28">
        <f t="shared" si="331"/>
        <v>2.7003899112318635E-2</v>
      </c>
      <c r="BC20" s="28">
        <f t="shared" si="331"/>
        <v>1.5700913100895518E-2</v>
      </c>
      <c r="BD20" s="28">
        <f t="shared" si="331"/>
        <v>5.0294349206812583E-2</v>
      </c>
      <c r="BE20" s="28">
        <f t="shared" si="331"/>
        <v>4.5692776607517055E-2</v>
      </c>
      <c r="BF20" s="28">
        <f t="shared" si="331"/>
        <v>2.899214972770188E-2</v>
      </c>
      <c r="BG20" s="28">
        <f t="shared" si="331"/>
        <v>2.1594035830081036E-2</v>
      </c>
      <c r="BH20" s="28">
        <f t="shared" si="331"/>
        <v>1.9438870323747675E-2</v>
      </c>
      <c r="BI20" s="28">
        <f t="shared" si="331"/>
        <v>2.4889467590208041E-2</v>
      </c>
      <c r="BJ20" s="28">
        <f t="shared" si="331"/>
        <v>1.2944016583118261E-2</v>
      </c>
      <c r="BK20" s="28">
        <f t="shared" si="331"/>
        <v>1.3514830910686157E-2</v>
      </c>
      <c r="BL20" s="28">
        <f t="shared" si="331"/>
        <v>1.1383581118833946E-2</v>
      </c>
      <c r="BM20" s="28">
        <f t="shared" si="331"/>
        <v>1.340472678259829E-2</v>
      </c>
      <c r="BN20" s="28">
        <f t="shared" si="331"/>
        <v>7.7685816796710756E-3</v>
      </c>
      <c r="BO20" s="28">
        <f t="shared" si="331"/>
        <v>7.6300329560108886E-3</v>
      </c>
      <c r="BP20" s="28">
        <f t="shared" si="331"/>
        <v>9.4842328386677138E-3</v>
      </c>
      <c r="BQ20" s="28">
        <f t="shared" si="331"/>
        <v>1.1228845213019954E-2</v>
      </c>
      <c r="BR20" s="28">
        <f t="shared" si="331"/>
        <v>1.0745749077311354E-2</v>
      </c>
      <c r="BS20" s="28">
        <f t="shared" si="331"/>
        <v>2.5225696888770674E-2</v>
      </c>
      <c r="BT20" s="28">
        <f t="shared" si="331"/>
        <v>4.8264884898591168E-2</v>
      </c>
      <c r="BU20" s="28">
        <f t="shared" si="331"/>
        <v>2.2925375623220109E-2</v>
      </c>
      <c r="BV20" s="28">
        <f t="shared" si="331"/>
        <v>2.178493203470732E-2</v>
      </c>
      <c r="BW20" s="28">
        <f t="shared" si="331"/>
        <v>2.0323764406406469E-2</v>
      </c>
      <c r="BX20" s="28">
        <f t="shared" si="331"/>
        <v>1.3188612910726908E-2</v>
      </c>
      <c r="BY20" s="31">
        <f t="shared" ref="BY20" si="332">BX20</f>
        <v>1.3188612910726908E-2</v>
      </c>
      <c r="BZ20" s="31">
        <f t="shared" ref="BZ20" si="333">BY20</f>
        <v>1.3188612910726908E-2</v>
      </c>
      <c r="CA20" s="31">
        <f t="shared" ref="CA20" si="334">BZ20</f>
        <v>1.3188612910726908E-2</v>
      </c>
      <c r="CB20" s="31">
        <f t="shared" ref="CB20" si="335">CA20</f>
        <v>1.3188612910726908E-2</v>
      </c>
      <c r="CC20" s="31">
        <f t="shared" ref="CC20" si="336">CB20</f>
        <v>1.3188612910726908E-2</v>
      </c>
      <c r="CD20" s="31">
        <f t="shared" ref="CD20" si="337">CC20</f>
        <v>1.3188612910726908E-2</v>
      </c>
      <c r="CE20" s="31">
        <f t="shared" ref="CE20" si="338">CD20</f>
        <v>1.3188612910726908E-2</v>
      </c>
      <c r="CF20" s="31">
        <f t="shared" ref="CF20" si="339">CE20</f>
        <v>1.3188612910726908E-2</v>
      </c>
      <c r="CG20" s="31">
        <f t="shared" ref="CG20" si="340">CF20</f>
        <v>1.3188612910726908E-2</v>
      </c>
      <c r="CH20" s="31">
        <f t="shared" ref="CH20" si="341">CG20</f>
        <v>1.3188612910726908E-2</v>
      </c>
      <c r="CI20" s="31">
        <f t="shared" ref="CI20" si="342">CH20</f>
        <v>1.3188612910726908E-2</v>
      </c>
      <c r="CJ20" s="31">
        <f t="shared" ref="CJ20" si="343">CI20</f>
        <v>1.3188612910726908E-2</v>
      </c>
      <c r="CK20" s="31">
        <f t="shared" ref="CK20" si="344">CJ20</f>
        <v>1.3188612910726908E-2</v>
      </c>
      <c r="CL20" s="31">
        <f t="shared" ref="CL20" si="345">CK20</f>
        <v>1.3188612910726908E-2</v>
      </c>
      <c r="CM20" s="31">
        <f t="shared" ref="CM20" si="346">CL20</f>
        <v>1.3188612910726908E-2</v>
      </c>
      <c r="CN20" s="31">
        <f t="shared" ref="CN20" si="347">CM20</f>
        <v>1.3188612910726908E-2</v>
      </c>
      <c r="CO20" s="31">
        <f t="shared" ref="CO20" si="348">CN20</f>
        <v>1.3188612910726908E-2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349">D19-D20</f>
        <v>#DIV/0!</v>
      </c>
      <c r="E21" s="28" t="e">
        <f t="shared" si="349"/>
        <v>#DIV/0!</v>
      </c>
      <c r="F21" s="28" t="e">
        <f t="shared" si="349"/>
        <v>#DIV/0!</v>
      </c>
      <c r="G21" s="28" t="e">
        <f t="shared" si="349"/>
        <v>#DIV/0!</v>
      </c>
      <c r="H21" s="28" t="e">
        <f t="shared" si="349"/>
        <v>#DIV/0!</v>
      </c>
      <c r="I21" s="28" t="e">
        <f t="shared" si="349"/>
        <v>#DIV/0!</v>
      </c>
      <c r="J21" s="28" t="e">
        <f t="shared" si="349"/>
        <v>#DIV/0!</v>
      </c>
      <c r="K21" s="28">
        <f t="shared" si="349"/>
        <v>1.7829151971628453E-2</v>
      </c>
      <c r="L21" s="28">
        <f t="shared" si="349"/>
        <v>1.4946649984649903E-2</v>
      </c>
      <c r="M21" s="28">
        <f t="shared" si="349"/>
        <v>-5.9266399232866234E-3</v>
      </c>
      <c r="N21" s="28">
        <f t="shared" si="349"/>
        <v>3.1319904182549596E-2</v>
      </c>
      <c r="O21" s="28">
        <f t="shared" si="349"/>
        <v>6.9202201622904261E-2</v>
      </c>
      <c r="P21" s="28">
        <f>P19-P20</f>
        <v>0.10026681470908538</v>
      </c>
      <c r="Q21" s="28">
        <f t="shared" ref="Q21:T21" si="350">Q19-Q20</f>
        <v>9.7004974810965677E-2</v>
      </c>
      <c r="R21" s="28">
        <f t="shared" si="350"/>
        <v>5.3361708825480324E-2</v>
      </c>
      <c r="S21" s="28">
        <f t="shared" si="350"/>
        <v>0.10837232250466997</v>
      </c>
      <c r="T21" s="28">
        <f t="shared" si="350"/>
        <v>0.11822842843719863</v>
      </c>
      <c r="U21" s="28">
        <f t="shared" ref="U21:W21" si="351">U19-U20</f>
        <v>7.3359761221615943E-2</v>
      </c>
      <c r="V21" s="28">
        <f t="shared" si="351"/>
        <v>2.1924847954130355E-2</v>
      </c>
      <c r="W21" s="28">
        <f t="shared" si="351"/>
        <v>4.1978123006901319E-2</v>
      </c>
      <c r="X21" s="28">
        <f t="shared" ref="X21:Y21" si="352">X19-X20</f>
        <v>7.4933744317975753E-2</v>
      </c>
      <c r="Y21" s="28">
        <f t="shared" si="352"/>
        <v>0.10071883407605933</v>
      </c>
      <c r="Z21" s="28">
        <f t="shared" ref="Z21:AB21" si="353">Z19-Z20</f>
        <v>5.0842415730185997E-2</v>
      </c>
      <c r="AA21" s="29">
        <f t="shared" si="353"/>
        <v>4.9252990941146463E-2</v>
      </c>
      <c r="AB21" s="29">
        <f t="shared" si="353"/>
        <v>7.7105586756014033E-2</v>
      </c>
      <c r="AC21" s="29">
        <f t="shared" ref="AC21:AE21" si="354">AC19-AC20</f>
        <v>8.9497174528393508E-2</v>
      </c>
      <c r="AD21" s="29">
        <f t="shared" si="354"/>
        <v>9.1837761940090551E-2</v>
      </c>
      <c r="AE21" s="29">
        <f t="shared" si="354"/>
        <v>9.1976828765429203E-2</v>
      </c>
      <c r="AG21" s="58"/>
      <c r="AH21" s="28"/>
      <c r="AI21" s="28" t="e">
        <f t="shared" ref="AI21" si="355">AI19-AI20</f>
        <v>#DIV/0!</v>
      </c>
      <c r="AJ21" s="28" t="e">
        <f t="shared" ref="AJ21:AS21" si="356">AJ19-AJ20</f>
        <v>#DIV/0!</v>
      </c>
      <c r="AK21" s="28" t="e">
        <f t="shared" si="356"/>
        <v>#DIV/0!</v>
      </c>
      <c r="AL21" s="28" t="e">
        <f t="shared" si="356"/>
        <v>#DIV/0!</v>
      </c>
      <c r="AM21" s="28" t="e">
        <f t="shared" si="356"/>
        <v>#DIV/0!</v>
      </c>
      <c r="AN21" s="28" t="e">
        <f t="shared" si="356"/>
        <v>#DIV/0!</v>
      </c>
      <c r="AO21" s="28" t="e">
        <f t="shared" si="356"/>
        <v>#DIV/0!</v>
      </c>
      <c r="AP21" s="28" t="e">
        <f t="shared" si="356"/>
        <v>#DIV/0!</v>
      </c>
      <c r="AQ21" s="28" t="e">
        <f t="shared" si="356"/>
        <v>#DIV/0!</v>
      </c>
      <c r="AR21" s="28" t="e">
        <f t="shared" si="356"/>
        <v>#DIV/0!</v>
      </c>
      <c r="AS21" s="28" t="e">
        <f t="shared" si="356"/>
        <v>#DIV/0!</v>
      </c>
      <c r="AT21" s="28">
        <f t="shared" ref="AT21:AW21" si="357">AT19-AT20</f>
        <v>5.3607637513895703E-2</v>
      </c>
      <c r="AU21" s="28">
        <f t="shared" si="357"/>
        <v>5.4413946764505221E-2</v>
      </c>
      <c r="AV21" s="28">
        <f t="shared" si="357"/>
        <v>6.243424927394952E-2</v>
      </c>
      <c r="AW21" s="28">
        <f t="shared" si="357"/>
        <v>4.7767013952354838E-2</v>
      </c>
      <c r="AX21" s="28">
        <f t="shared" ref="AX21" si="358">AX19-AX20</f>
        <v>4.5722240399039445E-2</v>
      </c>
      <c r="AY21" s="28">
        <f t="shared" ref="AY21" si="359">AY19-AY20</f>
        <v>3.9203279235009811E-2</v>
      </c>
      <c r="AZ21" s="28">
        <f t="shared" ref="AZ21:BA21" si="360">AZ19-AZ20</f>
        <v>3.8051676951902119E-2</v>
      </c>
      <c r="BA21" s="28">
        <f t="shared" si="360"/>
        <v>1.0566433320251319E-2</v>
      </c>
      <c r="BB21" s="28">
        <f t="shared" ref="BB21:BF21" si="361">BB19-BB20</f>
        <v>1.749072665908143E-2</v>
      </c>
      <c r="BC21" s="28">
        <f t="shared" si="361"/>
        <v>1.857889151692791E-2</v>
      </c>
      <c r="BD21" s="28">
        <f t="shared" si="361"/>
        <v>-1.9221874438373691E-2</v>
      </c>
      <c r="BE21" s="28">
        <f t="shared" si="361"/>
        <v>1.4339317628018863E-2</v>
      </c>
      <c r="BF21" s="28">
        <f t="shared" si="361"/>
        <v>4.4073870028379508E-3</v>
      </c>
      <c r="BG21" s="28">
        <f t="shared" ref="BG21:BH21" si="362">BG19-BG20</f>
        <v>1.2158894326106513E-2</v>
      </c>
      <c r="BH21" s="28">
        <f t="shared" si="362"/>
        <v>2.5644343171713584E-2</v>
      </c>
      <c r="BI21" s="28">
        <f t="shared" ref="BI21:BJ21" si="363">BI19-BI20</f>
        <v>3.5902739720382895E-2</v>
      </c>
      <c r="BJ21" s="28">
        <f t="shared" si="363"/>
        <v>2.4219202963616685E-2</v>
      </c>
      <c r="BK21" s="28">
        <f t="shared" ref="BK21:BR21" si="364">BK19-BK20</f>
        <v>2.937577284411768E-2</v>
      </c>
      <c r="BL21" s="28">
        <f t="shared" si="364"/>
        <v>3.6913909122265325E-2</v>
      </c>
      <c r="BM21" s="28">
        <f t="shared" si="364"/>
        <v>5.0598643490523655E-2</v>
      </c>
      <c r="BN21" s="28">
        <f t="shared" si="364"/>
        <v>4.7523586644343856E-2</v>
      </c>
      <c r="BO21" s="28">
        <f t="shared" si="364"/>
        <v>3.7156708219897791E-2</v>
      </c>
      <c r="BP21" s="28">
        <f t="shared" si="364"/>
        <v>3.5740226712244104E-2</v>
      </c>
      <c r="BQ21" s="28">
        <f t="shared" si="364"/>
        <v>3.8776574396592392E-2</v>
      </c>
      <c r="BR21" s="28">
        <f t="shared" si="364"/>
        <v>3.2912434054650747E-2</v>
      </c>
      <c r="BS21" s="28">
        <f t="shared" ref="BS21:BT21" si="365">BS19-BS20</f>
        <v>1.5129414159231989E-2</v>
      </c>
      <c r="BT21" s="28">
        <f t="shared" si="365"/>
        <v>-8.2765296863449994E-3</v>
      </c>
      <c r="BU21" s="28">
        <f t="shared" ref="BU21:BV21" si="366">BU19-BU20</f>
        <v>2.0089348044022015E-3</v>
      </c>
      <c r="BV21" s="28">
        <f t="shared" si="366"/>
        <v>3.0903098481340589E-3</v>
      </c>
      <c r="BW21" s="28">
        <f t="shared" ref="BW21:BX21" si="367">BW19-BW20</f>
        <v>6.5401639564512289E-3</v>
      </c>
      <c r="BX21" s="28">
        <f t="shared" si="367"/>
        <v>1.3009592418462909E-2</v>
      </c>
      <c r="BY21" s="29">
        <f t="shared" ref="BY21" si="368">BY19-BY20</f>
        <v>1.6190536477880484E-2</v>
      </c>
      <c r="BZ21" s="29">
        <f t="shared" ref="BZ21:CC21" si="369">BZ19-BZ20</f>
        <v>1.3377214216859118E-2</v>
      </c>
      <c r="CA21" s="29">
        <f t="shared" si="369"/>
        <v>1.709118983764206E-2</v>
      </c>
      <c r="CB21" s="29">
        <f t="shared" si="369"/>
        <v>1.8198779441197625E-2</v>
      </c>
      <c r="CC21" s="29">
        <f t="shared" si="369"/>
        <v>1.9592140147678926E-2</v>
      </c>
      <c r="CD21" s="29">
        <f t="shared" ref="CD21:CO21" si="370">CD19-CD20</f>
        <v>1.8625279999407614E-2</v>
      </c>
      <c r="CE21" s="29">
        <f t="shared" si="370"/>
        <v>1.9957412814763438E-2</v>
      </c>
      <c r="CF21" s="29">
        <f t="shared" si="370"/>
        <v>2.0682351674406942E-2</v>
      </c>
      <c r="CG21" s="29">
        <f t="shared" si="370"/>
        <v>2.1310175135923766E-2</v>
      </c>
      <c r="CH21" s="29">
        <f t="shared" si="370"/>
        <v>2.0334267681221117E-2</v>
      </c>
      <c r="CI21" s="29">
        <f t="shared" si="370"/>
        <v>2.0665963111325743E-2</v>
      </c>
      <c r="CJ21" s="29">
        <f t="shared" si="370"/>
        <v>2.0779720330887007E-2</v>
      </c>
      <c r="CK21" s="29">
        <f t="shared" si="370"/>
        <v>2.0772531564839415E-2</v>
      </c>
      <c r="CL21" s="29">
        <f t="shared" si="370"/>
        <v>2.0638120672068321E-2</v>
      </c>
      <c r="CM21" s="29">
        <f t="shared" si="370"/>
        <v>2.0714083919780128E-2</v>
      </c>
      <c r="CN21" s="29">
        <f t="shared" si="370"/>
        <v>2.0726114121893714E-2</v>
      </c>
      <c r="CO21" s="29">
        <f t="shared" si="370"/>
        <v>2.0712712569645388E-2</v>
      </c>
    </row>
    <row r="22" spans="1:93" s="93" customFormat="1" x14ac:dyDescent="0.2">
      <c r="A22" s="27" t="s">
        <v>13</v>
      </c>
      <c r="B22" s="27"/>
      <c r="C22" s="27"/>
      <c r="D22" s="91" t="e">
        <f t="shared" ref="D22:AE22" si="371">D51/C5</f>
        <v>#DIV/0!</v>
      </c>
      <c r="E22" s="91" t="e">
        <f t="shared" si="371"/>
        <v>#DIV/0!</v>
      </c>
      <c r="F22" s="91" t="e">
        <f t="shared" si="371"/>
        <v>#DIV/0!</v>
      </c>
      <c r="G22" s="91" t="e">
        <f t="shared" si="371"/>
        <v>#DIV/0!</v>
      </c>
      <c r="H22" s="91" t="e">
        <f t="shared" si="371"/>
        <v>#DIV/0!</v>
      </c>
      <c r="I22" s="91" t="e">
        <f t="shared" si="371"/>
        <v>#DIV/0!</v>
      </c>
      <c r="J22" s="91" t="e">
        <f t="shared" si="371"/>
        <v>#DIV/0!</v>
      </c>
      <c r="K22" s="91">
        <f t="shared" si="371"/>
        <v>8.8673787716133535E-3</v>
      </c>
      <c r="L22" s="91">
        <f t="shared" si="371"/>
        <v>1.1112862452230463E-3</v>
      </c>
      <c r="M22" s="91">
        <f t="shared" si="371"/>
        <v>4.1485697088550532E-3</v>
      </c>
      <c r="N22" s="91">
        <f t="shared" si="371"/>
        <v>2.0399058163441406E-3</v>
      </c>
      <c r="O22" s="91">
        <f t="shared" si="371"/>
        <v>2.2881784421997214E-2</v>
      </c>
      <c r="P22" s="91">
        <f t="shared" si="371"/>
        <v>3.5087917781915667E-2</v>
      </c>
      <c r="Q22" s="91">
        <f t="shared" si="371"/>
        <v>3.4665003023458971E-2</v>
      </c>
      <c r="R22" s="91">
        <f t="shared" si="371"/>
        <v>1.891744982569251E-2</v>
      </c>
      <c r="S22" s="91">
        <f t="shared" si="371"/>
        <v>3.8215259907045551E-2</v>
      </c>
      <c r="T22" s="91">
        <f t="shared" si="371"/>
        <v>4.1800616459151813E-2</v>
      </c>
      <c r="U22" s="91">
        <f t="shared" si="371"/>
        <v>2.0075541566979077E-2</v>
      </c>
      <c r="V22" s="91">
        <f t="shared" si="371"/>
        <v>5.8567070297975499E-3</v>
      </c>
      <c r="W22" s="91">
        <f t="shared" si="371"/>
        <v>1.11510937405188E-2</v>
      </c>
      <c r="X22" s="91">
        <f t="shared" si="371"/>
        <v>1.893765170000607E-2</v>
      </c>
      <c r="Y22" s="91">
        <f t="shared" si="371"/>
        <v>2.5618851735277923E-2</v>
      </c>
      <c r="Z22" s="91">
        <f t="shared" si="371"/>
        <v>1.2728714037321519E-2</v>
      </c>
      <c r="AA22" s="92">
        <f t="shared" si="371"/>
        <v>1.2182631015214286E-2</v>
      </c>
      <c r="AB22" s="92">
        <f t="shared" si="371"/>
        <v>2.0047452556563646E-2</v>
      </c>
      <c r="AC22" s="92">
        <f t="shared" si="371"/>
        <v>2.3269265377382314E-2</v>
      </c>
      <c r="AD22" s="92">
        <f t="shared" si="371"/>
        <v>2.3877818104423562E-2</v>
      </c>
      <c r="AE22" s="92">
        <f t="shared" si="371"/>
        <v>2.3913975479011598E-2</v>
      </c>
      <c r="AG22" s="65"/>
      <c r="AH22" s="91"/>
      <c r="AI22" s="91" t="e">
        <f t="shared" ref="AI22:BN22" si="372">AI51/AH5</f>
        <v>#DIV/0!</v>
      </c>
      <c r="AJ22" s="91" t="e">
        <f t="shared" si="372"/>
        <v>#DIV/0!</v>
      </c>
      <c r="AK22" s="91" t="e">
        <f t="shared" si="372"/>
        <v>#DIV/0!</v>
      </c>
      <c r="AL22" s="91" t="e">
        <f t="shared" si="372"/>
        <v>#DIV/0!</v>
      </c>
      <c r="AM22" s="91" t="e">
        <f t="shared" si="372"/>
        <v>#DIV/0!</v>
      </c>
      <c r="AN22" s="91" t="e">
        <f t="shared" si="372"/>
        <v>#DIV/0!</v>
      </c>
      <c r="AO22" s="91" t="e">
        <f t="shared" si="372"/>
        <v>#DIV/0!</v>
      </c>
      <c r="AP22" s="91" t="e">
        <f t="shared" si="372"/>
        <v>#DIV/0!</v>
      </c>
      <c r="AQ22" s="91" t="e">
        <f t="shared" si="372"/>
        <v>#DIV/0!</v>
      </c>
      <c r="AR22" s="91" t="e">
        <f t="shared" si="372"/>
        <v>#DIV/0!</v>
      </c>
      <c r="AS22" s="91" t="e">
        <f t="shared" si="372"/>
        <v>#DIV/0!</v>
      </c>
      <c r="AT22" s="91">
        <f t="shared" si="372"/>
        <v>1.9151037467139316E-2</v>
      </c>
      <c r="AU22" s="91">
        <f t="shared" si="372"/>
        <v>1.9365735196591554E-2</v>
      </c>
      <c r="AV22" s="91">
        <f t="shared" si="372"/>
        <v>2.1921647474562843E-2</v>
      </c>
      <c r="AW22" s="91">
        <f t="shared" si="372"/>
        <v>1.6771258555210299E-2</v>
      </c>
      <c r="AX22" s="91">
        <f t="shared" si="372"/>
        <v>1.6143071443122679E-2</v>
      </c>
      <c r="AY22" s="91">
        <f t="shared" si="372"/>
        <v>8.0653624628832816E-3</v>
      </c>
      <c r="AZ22" s="91">
        <f t="shared" si="372"/>
        <v>9.8910369160200642E-3</v>
      </c>
      <c r="BA22" s="91">
        <f t="shared" si="372"/>
        <v>2.539907713209476E-3</v>
      </c>
      <c r="BB22" s="91">
        <f t="shared" si="372"/>
        <v>4.4989087882805513E-3</v>
      </c>
      <c r="BC22" s="91">
        <f t="shared" si="372"/>
        <v>4.7252470787126225E-3</v>
      </c>
      <c r="BD22" s="91">
        <f t="shared" si="372"/>
        <v>-4.7968018887977609E-3</v>
      </c>
      <c r="BE22" s="91">
        <f t="shared" si="372"/>
        <v>4.0706219147614315E-3</v>
      </c>
      <c r="BF22" s="91">
        <f t="shared" si="372"/>
        <v>1.2762286594352186E-3</v>
      </c>
      <c r="BG22" s="91">
        <f t="shared" si="372"/>
        <v>2.9459740155523971E-3</v>
      </c>
      <c r="BH22" s="91">
        <f t="shared" si="372"/>
        <v>6.3702928439278248E-3</v>
      </c>
      <c r="BI22" s="91">
        <f t="shared" si="372"/>
        <v>9.6749337629641226E-3</v>
      </c>
      <c r="BJ22" s="91">
        <f t="shared" si="372"/>
        <v>6.4469950794522231E-3</v>
      </c>
      <c r="BK22" s="91">
        <f t="shared" si="372"/>
        <v>6.9087774568105205E-3</v>
      </c>
      <c r="BL22" s="91">
        <f t="shared" si="372"/>
        <v>9.452801539532615E-3</v>
      </c>
      <c r="BM22" s="91">
        <f t="shared" si="372"/>
        <v>1.2852348181796197E-2</v>
      </c>
      <c r="BN22" s="91">
        <f t="shared" si="372"/>
        <v>1.2091126276566591E-2</v>
      </c>
      <c r="BO22" s="91">
        <f t="shared" ref="BO22:CO22" si="373">BO51/BN5</f>
        <v>9.5309738740029619E-3</v>
      </c>
      <c r="BP22" s="91">
        <f t="shared" si="373"/>
        <v>9.1858778119679445E-3</v>
      </c>
      <c r="BQ22" s="91">
        <f t="shared" si="373"/>
        <v>9.6952421686641102E-3</v>
      </c>
      <c r="BR22" s="91">
        <f t="shared" si="373"/>
        <v>8.4370656023703555E-3</v>
      </c>
      <c r="BS22" s="91">
        <f t="shared" si="373"/>
        <v>3.9584200782497936E-3</v>
      </c>
      <c r="BT22" s="91">
        <f t="shared" si="373"/>
        <v>-1.8879449164306737E-3</v>
      </c>
      <c r="BU22" s="91">
        <f t="shared" si="373"/>
        <v>1.5220394857158365E-4</v>
      </c>
      <c r="BV22" s="91">
        <f t="shared" si="373"/>
        <v>7.9733956017561281E-4</v>
      </c>
      <c r="BW22" s="91">
        <f t="shared" si="373"/>
        <v>1.6760233359669004E-3</v>
      </c>
      <c r="BX22" s="91">
        <f t="shared" si="373"/>
        <v>3.3043717959181785E-3</v>
      </c>
      <c r="BY22" s="92">
        <f t="shared" si="373"/>
        <v>3.960790986298931E-3</v>
      </c>
      <c r="BZ22" s="92">
        <f t="shared" si="373"/>
        <v>3.4780756963833717E-3</v>
      </c>
      <c r="CA22" s="92">
        <f t="shared" si="373"/>
        <v>4.4437093577869369E-3</v>
      </c>
      <c r="CB22" s="92">
        <f t="shared" si="373"/>
        <v>4.7316826547113841E-3</v>
      </c>
      <c r="CC22" s="92">
        <f t="shared" si="373"/>
        <v>5.0939564383965198E-3</v>
      </c>
      <c r="CD22" s="92">
        <f t="shared" si="373"/>
        <v>4.8425727998459784E-3</v>
      </c>
      <c r="CE22" s="92">
        <f t="shared" si="373"/>
        <v>5.1889273318384919E-3</v>
      </c>
      <c r="CF22" s="92">
        <f t="shared" si="373"/>
        <v>5.3774114353458032E-3</v>
      </c>
      <c r="CG22" s="92">
        <f t="shared" si="373"/>
        <v>5.5406455353401779E-3</v>
      </c>
      <c r="CH22" s="92">
        <f t="shared" si="373"/>
        <v>5.2869095971174928E-3</v>
      </c>
      <c r="CI22" s="92">
        <f t="shared" si="373"/>
        <v>5.3731504089446942E-3</v>
      </c>
      <c r="CJ22" s="92">
        <f t="shared" si="373"/>
        <v>5.4027272860306206E-3</v>
      </c>
      <c r="CK22" s="92">
        <f t="shared" si="373"/>
        <v>5.4008582068582481E-3</v>
      </c>
      <c r="CL22" s="92">
        <f t="shared" si="373"/>
        <v>5.3659113747377661E-3</v>
      </c>
      <c r="CM22" s="92">
        <f t="shared" si="373"/>
        <v>5.3856618191428307E-3</v>
      </c>
      <c r="CN22" s="92">
        <f t="shared" si="373"/>
        <v>5.388789671692369E-3</v>
      </c>
      <c r="CO22" s="92">
        <f t="shared" si="373"/>
        <v>5.3853052681078024E-3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374">D21-D22</f>
        <v>#DIV/0!</v>
      </c>
      <c r="E23" s="28" t="e">
        <f t="shared" si="374"/>
        <v>#DIV/0!</v>
      </c>
      <c r="F23" s="28" t="e">
        <f t="shared" si="374"/>
        <v>#DIV/0!</v>
      </c>
      <c r="G23" s="28" t="e">
        <f t="shared" si="374"/>
        <v>#DIV/0!</v>
      </c>
      <c r="H23" s="28" t="e">
        <f t="shared" si="374"/>
        <v>#DIV/0!</v>
      </c>
      <c r="I23" s="28" t="e">
        <f t="shared" si="374"/>
        <v>#DIV/0!</v>
      </c>
      <c r="J23" s="28" t="e">
        <f t="shared" si="374"/>
        <v>#DIV/0!</v>
      </c>
      <c r="K23" s="28">
        <f t="shared" si="374"/>
        <v>8.9617732000150992E-3</v>
      </c>
      <c r="L23" s="28">
        <f t="shared" si="374"/>
        <v>1.3835363739426856E-2</v>
      </c>
      <c r="M23" s="28">
        <f t="shared" si="374"/>
        <v>-1.0075209632141677E-2</v>
      </c>
      <c r="N23" s="28">
        <f t="shared" si="374"/>
        <v>2.9279998366205456E-2</v>
      </c>
      <c r="O23" s="28">
        <f t="shared" si="374"/>
        <v>4.6320417200907044E-2</v>
      </c>
      <c r="P23" s="28">
        <f>P21-P22</f>
        <v>6.5178896927169716E-2</v>
      </c>
      <c r="Q23" s="28">
        <f t="shared" ref="Q23:T23" si="375">Q21-Q22</f>
        <v>6.2339971787506707E-2</v>
      </c>
      <c r="R23" s="28">
        <f t="shared" si="375"/>
        <v>3.4444258999787813E-2</v>
      </c>
      <c r="S23" s="28">
        <f t="shared" si="375"/>
        <v>7.0157062597624414E-2</v>
      </c>
      <c r="T23" s="28">
        <f t="shared" si="375"/>
        <v>7.6427811978046822E-2</v>
      </c>
      <c r="U23" s="28">
        <f t="shared" ref="U23:W23" si="376">U21-U22</f>
        <v>5.3284219654636866E-2</v>
      </c>
      <c r="V23" s="28">
        <f t="shared" si="376"/>
        <v>1.6068140924332806E-2</v>
      </c>
      <c r="W23" s="28">
        <f t="shared" si="376"/>
        <v>3.0827029266382519E-2</v>
      </c>
      <c r="X23" s="28">
        <f t="shared" ref="X23:Y23" si="377">X21-X22</f>
        <v>5.5996092617969687E-2</v>
      </c>
      <c r="Y23" s="28">
        <f t="shared" si="377"/>
        <v>7.5099982340781413E-2</v>
      </c>
      <c r="Z23" s="28">
        <f t="shared" ref="Z23:AB23" si="378">Z21-Z22</f>
        <v>3.8113701692864474E-2</v>
      </c>
      <c r="AA23" s="29">
        <f t="shared" si="378"/>
        <v>3.7070359925932175E-2</v>
      </c>
      <c r="AB23" s="29">
        <f t="shared" si="378"/>
        <v>5.7058134199450383E-2</v>
      </c>
      <c r="AC23" s="29">
        <f t="shared" ref="AC23:AE23" si="379">AC21-AC22</f>
        <v>6.6227909151011191E-2</v>
      </c>
      <c r="AD23" s="29">
        <f t="shared" si="379"/>
        <v>6.7959943835666989E-2</v>
      </c>
      <c r="AE23" s="29">
        <f t="shared" si="379"/>
        <v>6.8062853286417604E-2</v>
      </c>
      <c r="AG23" s="58"/>
      <c r="AH23" s="28"/>
      <c r="AI23" s="28" t="e">
        <f t="shared" ref="AI23" si="380">AI21-AI22</f>
        <v>#DIV/0!</v>
      </c>
      <c r="AJ23" s="28" t="e">
        <f t="shared" ref="AJ23:AS23" si="381">AJ21-AJ22</f>
        <v>#DIV/0!</v>
      </c>
      <c r="AK23" s="28" t="e">
        <f t="shared" si="381"/>
        <v>#DIV/0!</v>
      </c>
      <c r="AL23" s="28" t="e">
        <f t="shared" si="381"/>
        <v>#DIV/0!</v>
      </c>
      <c r="AM23" s="28" t="e">
        <f t="shared" si="381"/>
        <v>#DIV/0!</v>
      </c>
      <c r="AN23" s="28" t="e">
        <f t="shared" si="381"/>
        <v>#DIV/0!</v>
      </c>
      <c r="AO23" s="28" t="e">
        <f t="shared" si="381"/>
        <v>#DIV/0!</v>
      </c>
      <c r="AP23" s="28" t="e">
        <f t="shared" si="381"/>
        <v>#DIV/0!</v>
      </c>
      <c r="AQ23" s="28" t="e">
        <f t="shared" si="381"/>
        <v>#DIV/0!</v>
      </c>
      <c r="AR23" s="28" t="e">
        <f t="shared" si="381"/>
        <v>#DIV/0!</v>
      </c>
      <c r="AS23" s="28" t="e">
        <f t="shared" si="381"/>
        <v>#DIV/0!</v>
      </c>
      <c r="AT23" s="28">
        <f t="shared" ref="AT23:AW23" si="382">AT21-AT22</f>
        <v>3.4456600046756387E-2</v>
      </c>
      <c r="AU23" s="28">
        <f t="shared" si="382"/>
        <v>3.504821156791367E-2</v>
      </c>
      <c r="AV23" s="28">
        <f t="shared" si="382"/>
        <v>4.0512601799386677E-2</v>
      </c>
      <c r="AW23" s="28">
        <f t="shared" si="382"/>
        <v>3.0995755397144539E-2</v>
      </c>
      <c r="AX23" s="28">
        <f t="shared" ref="AX23" si="383">AX21-AX22</f>
        <v>2.9579168955916765E-2</v>
      </c>
      <c r="AY23" s="28">
        <f t="shared" ref="AY23" si="384">AY21-AY22</f>
        <v>3.1137916772126531E-2</v>
      </c>
      <c r="AZ23" s="28">
        <f t="shared" ref="AZ23:BA23" si="385">AZ21-AZ22</f>
        <v>2.8160640035882055E-2</v>
      </c>
      <c r="BA23" s="28">
        <f t="shared" si="385"/>
        <v>8.0265256070418435E-3</v>
      </c>
      <c r="BB23" s="28">
        <f t="shared" ref="BB23:BF23" si="386">BB21-BB22</f>
        <v>1.2991817870800879E-2</v>
      </c>
      <c r="BC23" s="28">
        <f t="shared" si="386"/>
        <v>1.3853644438215289E-2</v>
      </c>
      <c r="BD23" s="28">
        <f t="shared" si="386"/>
        <v>-1.442507254957593E-2</v>
      </c>
      <c r="BE23" s="28">
        <f t="shared" si="386"/>
        <v>1.0268695713257432E-2</v>
      </c>
      <c r="BF23" s="28">
        <f t="shared" si="386"/>
        <v>3.1311583434027322E-3</v>
      </c>
      <c r="BG23" s="28">
        <f t="shared" ref="BG23:BH23" si="387">BG21-BG22</f>
        <v>9.2129203105541166E-3</v>
      </c>
      <c r="BH23" s="28">
        <f t="shared" si="387"/>
        <v>1.9274050327785758E-2</v>
      </c>
      <c r="BI23" s="28">
        <f t="shared" ref="BI23:BJ23" si="388">BI21-BI22</f>
        <v>2.6227805957418773E-2</v>
      </c>
      <c r="BJ23" s="28">
        <f t="shared" si="388"/>
        <v>1.7772207884164462E-2</v>
      </c>
      <c r="BK23" s="28">
        <f t="shared" ref="BK23:BR23" si="389">BK21-BK22</f>
        <v>2.2466995387307159E-2</v>
      </c>
      <c r="BL23" s="28">
        <f t="shared" si="389"/>
        <v>2.7461107582732708E-2</v>
      </c>
      <c r="BM23" s="28">
        <f t="shared" si="389"/>
        <v>3.7746295308727459E-2</v>
      </c>
      <c r="BN23" s="28">
        <f t="shared" si="389"/>
        <v>3.5432460367777266E-2</v>
      </c>
      <c r="BO23" s="28">
        <f t="shared" si="389"/>
        <v>2.7625734345894829E-2</v>
      </c>
      <c r="BP23" s="28">
        <f t="shared" si="389"/>
        <v>2.6554348900276158E-2</v>
      </c>
      <c r="BQ23" s="28">
        <f t="shared" si="389"/>
        <v>2.9081332227928282E-2</v>
      </c>
      <c r="BR23" s="28">
        <f t="shared" si="389"/>
        <v>2.4475368452280391E-2</v>
      </c>
      <c r="BS23" s="28">
        <f t="shared" ref="BS23:BT23" si="390">BS21-BS22</f>
        <v>1.1170994080982197E-2</v>
      </c>
      <c r="BT23" s="28">
        <f t="shared" si="390"/>
        <v>-6.388584769914326E-3</v>
      </c>
      <c r="BU23" s="28">
        <f t="shared" ref="BU23:BV23" si="391">BU21-BU22</f>
        <v>1.8567308558306178E-3</v>
      </c>
      <c r="BV23" s="28">
        <f t="shared" si="391"/>
        <v>2.2929702879584462E-3</v>
      </c>
      <c r="BW23" s="28">
        <f t="shared" ref="BW23:BX23" si="392">BW21-BW22</f>
        <v>4.8641406204843283E-3</v>
      </c>
      <c r="BX23" s="28">
        <f t="shared" si="392"/>
        <v>9.7052206225447298E-3</v>
      </c>
      <c r="BY23" s="29">
        <f t="shared" ref="BY23" si="393">BY21-BY22</f>
        <v>1.2229745491581553E-2</v>
      </c>
      <c r="BZ23" s="29">
        <f t="shared" ref="BZ23:CC23" si="394">BZ21-BZ22</f>
        <v>9.8991385204757459E-3</v>
      </c>
      <c r="CA23" s="29">
        <f t="shared" si="394"/>
        <v>1.2647480479855124E-2</v>
      </c>
      <c r="CB23" s="29">
        <f t="shared" si="394"/>
        <v>1.3467096786486242E-2</v>
      </c>
      <c r="CC23" s="29">
        <f t="shared" si="394"/>
        <v>1.4498183709282405E-2</v>
      </c>
      <c r="CD23" s="29">
        <f t="shared" ref="CD23:CO23" si="395">CD21-CD22</f>
        <v>1.3782707199561636E-2</v>
      </c>
      <c r="CE23" s="29">
        <f t="shared" si="395"/>
        <v>1.4768485482924946E-2</v>
      </c>
      <c r="CF23" s="29">
        <f t="shared" si="395"/>
        <v>1.5304940239061138E-2</v>
      </c>
      <c r="CG23" s="29">
        <f t="shared" si="395"/>
        <v>1.5769529600583587E-2</v>
      </c>
      <c r="CH23" s="29">
        <f t="shared" si="395"/>
        <v>1.5047358084103624E-2</v>
      </c>
      <c r="CI23" s="29">
        <f t="shared" si="395"/>
        <v>1.5292812702381049E-2</v>
      </c>
      <c r="CJ23" s="29">
        <f t="shared" si="395"/>
        <v>1.5376993044856386E-2</v>
      </c>
      <c r="CK23" s="29">
        <f t="shared" si="395"/>
        <v>1.5371673357981168E-2</v>
      </c>
      <c r="CL23" s="29">
        <f t="shared" si="395"/>
        <v>1.5272209297330554E-2</v>
      </c>
      <c r="CM23" s="29">
        <f t="shared" si="395"/>
        <v>1.5328422100637298E-2</v>
      </c>
      <c r="CN23" s="29">
        <f t="shared" si="395"/>
        <v>1.5337324450201344E-2</v>
      </c>
      <c r="CO23" s="29">
        <f t="shared" si="395"/>
        <v>1.5327407301537584E-2</v>
      </c>
    </row>
    <row r="24" spans="1:93" s="30" customFormat="1" x14ac:dyDescent="0.2">
      <c r="A24" s="32"/>
      <c r="B24" s="32"/>
      <c r="C24" s="3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9"/>
      <c r="AC24" s="29"/>
      <c r="AD24" s="29"/>
      <c r="AE24" s="29"/>
      <c r="AG24" s="5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</row>
    <row r="25" spans="1:93" s="30" customFormat="1" x14ac:dyDescent="0.2">
      <c r="A25" s="6"/>
      <c r="B25" s="32"/>
      <c r="C25" s="3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9"/>
      <c r="AC25" s="29"/>
      <c r="AD25" s="29"/>
      <c r="AE25" s="29"/>
      <c r="AG25" s="5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</row>
    <row r="26" spans="1:93" s="30" customFormat="1" ht="11.45" customHeight="1" x14ac:dyDescent="0.2">
      <c r="A26" s="6" t="s">
        <v>509</v>
      </c>
      <c r="B26" s="32"/>
      <c r="C26" s="32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152"/>
      <c r="S26" s="152"/>
      <c r="T26" s="152"/>
      <c r="U26" s="152"/>
      <c r="V26" s="152"/>
      <c r="W26" s="152"/>
      <c r="X26" s="152"/>
      <c r="Y26" s="152"/>
      <c r="Z26" s="152"/>
      <c r="AA26" s="29"/>
      <c r="AB26" s="29"/>
      <c r="AC26" s="29"/>
      <c r="AD26" s="29"/>
      <c r="AE26" s="29"/>
      <c r="AG26" s="58"/>
      <c r="AH26" s="28"/>
      <c r="AI26" s="28"/>
      <c r="AJ26" s="28"/>
      <c r="AK26" s="28"/>
      <c r="AL26" s="28"/>
      <c r="AM26" s="28"/>
      <c r="AN26" s="28"/>
      <c r="AO26" s="28"/>
      <c r="AP26" s="28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</row>
    <row r="27" spans="1:93" s="155" customFormat="1" x14ac:dyDescent="0.2">
      <c r="A27" s="6" t="s">
        <v>505</v>
      </c>
      <c r="B27" s="153"/>
      <c r="C27" s="153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>
        <f t="shared" ref="S27" si="396">AS27</f>
        <v>4075</v>
      </c>
      <c r="T27" s="152">
        <f>S30</f>
        <v>4974.66</v>
      </c>
      <c r="U27" s="152">
        <f t="shared" ref="U27:AA27" si="397">T30</f>
        <v>7159</v>
      </c>
      <c r="V27" s="152">
        <f t="shared" si="397"/>
        <v>9896</v>
      </c>
      <c r="W27" s="152">
        <f t="shared" si="397"/>
        <v>13587</v>
      </c>
      <c r="X27" s="152">
        <f t="shared" si="397"/>
        <v>16599</v>
      </c>
      <c r="Y27" s="152">
        <f t="shared" si="397"/>
        <v>21031</v>
      </c>
      <c r="Z27" s="152">
        <f t="shared" si="397"/>
        <v>26714</v>
      </c>
      <c r="AA27" s="152">
        <f t="shared" si="397"/>
        <v>25948</v>
      </c>
      <c r="AB27" s="154"/>
      <c r="AC27" s="154"/>
      <c r="AD27" s="154"/>
      <c r="AE27" s="154"/>
      <c r="AG27" s="156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>
        <f>AQ30</f>
        <v>3937</v>
      </c>
      <c r="AS27" s="152">
        <f t="shared" ref="AS27:BY27" si="398">AR30</f>
        <v>4075</v>
      </c>
      <c r="AT27" s="152">
        <f t="shared" si="398"/>
        <v>4974.66</v>
      </c>
      <c r="AU27" s="152">
        <f t="shared" si="398"/>
        <v>5498</v>
      </c>
      <c r="AV27" s="152">
        <f t="shared" si="398"/>
        <v>5794</v>
      </c>
      <c r="AW27" s="152">
        <f t="shared" si="398"/>
        <v>6085</v>
      </c>
      <c r="AX27" s="152">
        <f t="shared" si="398"/>
        <v>7159</v>
      </c>
      <c r="AY27" s="152">
        <f t="shared" si="398"/>
        <v>7619</v>
      </c>
      <c r="AZ27" s="152">
        <f t="shared" si="398"/>
        <v>7905</v>
      </c>
      <c r="BA27" s="152">
        <f t="shared" si="398"/>
        <v>8873</v>
      </c>
      <c r="BB27" s="152">
        <f t="shared" si="398"/>
        <v>9896</v>
      </c>
      <c r="BC27" s="152">
        <f t="shared" si="398"/>
        <v>11724</v>
      </c>
      <c r="BD27" s="152">
        <f t="shared" si="398"/>
        <v>11183</v>
      </c>
      <c r="BE27" s="152">
        <f t="shared" si="398"/>
        <v>12321</v>
      </c>
      <c r="BF27" s="152">
        <f t="shared" si="398"/>
        <v>13587</v>
      </c>
      <c r="BG27" s="152">
        <f t="shared" si="398"/>
        <v>12664</v>
      </c>
      <c r="BH27" s="152">
        <f t="shared" si="398"/>
        <v>13333</v>
      </c>
      <c r="BI27" s="152">
        <f t="shared" si="398"/>
        <v>14587</v>
      </c>
      <c r="BJ27" s="152">
        <f t="shared" si="398"/>
        <v>16599</v>
      </c>
      <c r="BK27" s="152">
        <f t="shared" si="398"/>
        <v>15615</v>
      </c>
      <c r="BL27" s="152">
        <f t="shared" si="398"/>
        <v>16539</v>
      </c>
      <c r="BM27" s="152">
        <f t="shared" si="398"/>
        <v>17786</v>
      </c>
      <c r="BN27" s="152">
        <f t="shared" si="398"/>
        <v>21031</v>
      </c>
      <c r="BO27" s="152">
        <f t="shared" si="398"/>
        <v>21814</v>
      </c>
      <c r="BP27" s="152">
        <f t="shared" si="398"/>
        <v>22488</v>
      </c>
      <c r="BQ27" s="152">
        <f t="shared" si="398"/>
        <v>23382</v>
      </c>
      <c r="BR27" s="152">
        <f t="shared" si="398"/>
        <v>26714</v>
      </c>
      <c r="BS27" s="152">
        <f t="shared" si="398"/>
        <v>26304</v>
      </c>
      <c r="BT27" s="152">
        <f t="shared" si="398"/>
        <v>25133</v>
      </c>
      <c r="BU27" s="152">
        <f t="shared" si="398"/>
        <v>24810</v>
      </c>
      <c r="BV27" s="152">
        <f t="shared" si="398"/>
        <v>25948</v>
      </c>
      <c r="BW27" s="152">
        <f t="shared" si="398"/>
        <v>26055</v>
      </c>
      <c r="BX27" s="152">
        <f t="shared" si="398"/>
        <v>25904</v>
      </c>
      <c r="BY27" s="152">
        <f t="shared" si="398"/>
        <v>26566</v>
      </c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</row>
    <row r="28" spans="1:93" s="155" customFormat="1" x14ac:dyDescent="0.2">
      <c r="A28" s="6" t="s">
        <v>506</v>
      </c>
      <c r="B28" s="153"/>
      <c r="C28" s="15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>
        <f>SUM(AQ28:AS28)</f>
        <v>4402</v>
      </c>
      <c r="T28" s="152">
        <f>SUM(AT28:AW28)</f>
        <v>8221</v>
      </c>
      <c r="U28" s="152">
        <f>SUM(AX28:BA28)</f>
        <v>10389</v>
      </c>
      <c r="V28" s="152">
        <f>SUM(BB28:BE28)</f>
        <v>9641</v>
      </c>
      <c r="W28" s="152">
        <f>SUM(BF28:BI28)</f>
        <v>12833</v>
      </c>
      <c r="X28" s="152">
        <f>SUM(BJ28:BM28)</f>
        <v>18539</v>
      </c>
      <c r="Y28" s="152">
        <f>SUM(BN28:BQ28)</f>
        <v>23134</v>
      </c>
      <c r="Z28" s="152">
        <f>SUM(BR28:BU28)</f>
        <v>20437</v>
      </c>
      <c r="AA28" s="152">
        <f>SUM(BV28:BY28)</f>
        <v>24860</v>
      </c>
      <c r="AB28" s="154"/>
      <c r="AC28" s="154"/>
      <c r="AD28" s="154"/>
      <c r="AE28" s="154"/>
      <c r="AG28" s="156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>
        <v>1195</v>
      </c>
      <c r="AR28" s="152">
        <v>1296</v>
      </c>
      <c r="AS28" s="152">
        <v>1911</v>
      </c>
      <c r="AT28" s="152">
        <v>1616</v>
      </c>
      <c r="AU28" s="152">
        <v>1571</v>
      </c>
      <c r="AV28" s="152">
        <v>1762</v>
      </c>
      <c r="AW28" s="152">
        <v>3272</v>
      </c>
      <c r="AX28" s="152">
        <v>2310</v>
      </c>
      <c r="AY28" s="152">
        <v>2186</v>
      </c>
      <c r="AZ28" s="152">
        <v>2977</v>
      </c>
      <c r="BA28" s="152">
        <v>2916</v>
      </c>
      <c r="BB28" s="152">
        <v>46</v>
      </c>
      <c r="BC28" s="152">
        <v>1420</v>
      </c>
      <c r="BD28" s="152">
        <v>4032</v>
      </c>
      <c r="BE28" s="152">
        <v>4143</v>
      </c>
      <c r="BF28" s="152">
        <v>907</v>
      </c>
      <c r="BG28" s="152">
        <v>3412</v>
      </c>
      <c r="BH28" s="152">
        <v>3866</v>
      </c>
      <c r="BI28" s="152">
        <v>4648</v>
      </c>
      <c r="BJ28" s="152">
        <v>2146</v>
      </c>
      <c r="BK28" s="152">
        <v>4375</v>
      </c>
      <c r="BL28" s="152">
        <v>4847</v>
      </c>
      <c r="BM28" s="152">
        <v>7171</v>
      </c>
      <c r="BN28" s="152">
        <v>4771</v>
      </c>
      <c r="BO28" s="152">
        <v>4966</v>
      </c>
      <c r="BP28" s="152">
        <v>5344</v>
      </c>
      <c r="BQ28" s="152">
        <v>8053</v>
      </c>
      <c r="BR28" s="152">
        <v>4476</v>
      </c>
      <c r="BS28" s="152">
        <v>4404</v>
      </c>
      <c r="BT28" s="152">
        <v>5085</v>
      </c>
      <c r="BU28" s="152">
        <v>6472</v>
      </c>
      <c r="BV28" s="152">
        <v>5458</v>
      </c>
      <c r="BW28" s="152">
        <v>5322</v>
      </c>
      <c r="BX28" s="152">
        <v>5767</v>
      </c>
      <c r="BY28" s="152">
        <v>8313</v>
      </c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</row>
    <row r="29" spans="1:93" s="155" customFormat="1" x14ac:dyDescent="0.2">
      <c r="A29" s="6" t="s">
        <v>507</v>
      </c>
      <c r="B29" s="153"/>
      <c r="C29" s="15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>
        <f t="shared" ref="S29:AA29" si="399">S27+S28-S30</f>
        <v>3502.34</v>
      </c>
      <c r="T29" s="152">
        <f t="shared" si="399"/>
        <v>6036.66</v>
      </c>
      <c r="U29" s="152">
        <f t="shared" si="399"/>
        <v>7652</v>
      </c>
      <c r="V29" s="152">
        <f t="shared" si="399"/>
        <v>5950</v>
      </c>
      <c r="W29" s="152">
        <f t="shared" si="399"/>
        <v>9821</v>
      </c>
      <c r="X29" s="152">
        <f t="shared" si="399"/>
        <v>14107</v>
      </c>
      <c r="Y29" s="152">
        <f t="shared" si="399"/>
        <v>17451</v>
      </c>
      <c r="Z29" s="152">
        <f t="shared" si="399"/>
        <v>21203</v>
      </c>
      <c r="AA29" s="152">
        <f t="shared" si="399"/>
        <v>21218</v>
      </c>
      <c r="AB29" s="154"/>
      <c r="AC29" s="154"/>
      <c r="AD29" s="154"/>
      <c r="AE29" s="154"/>
      <c r="AG29" s="156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>
        <f>AQ27+AQ28-AQ30</f>
        <v>-2742</v>
      </c>
      <c r="AR29" s="152">
        <f>AR27+AR28-AR30</f>
        <v>1158</v>
      </c>
      <c r="AS29" s="152">
        <f t="shared" ref="AS29:BY29" si="400">AS27+AS28-AS30</f>
        <v>1011.3400000000001</v>
      </c>
      <c r="AT29" s="152">
        <f t="shared" si="400"/>
        <v>1092.6599999999999</v>
      </c>
      <c r="AU29" s="152">
        <f t="shared" si="400"/>
        <v>1275</v>
      </c>
      <c r="AV29" s="152">
        <f t="shared" si="400"/>
        <v>1471</v>
      </c>
      <c r="AW29" s="152">
        <f t="shared" si="400"/>
        <v>2198</v>
      </c>
      <c r="AX29" s="152">
        <f t="shared" si="400"/>
        <v>1850</v>
      </c>
      <c r="AY29" s="152">
        <f t="shared" si="400"/>
        <v>1900</v>
      </c>
      <c r="AZ29" s="152">
        <f t="shared" si="400"/>
        <v>2009</v>
      </c>
      <c r="BA29" s="152">
        <f t="shared" si="400"/>
        <v>1893</v>
      </c>
      <c r="BB29" s="152">
        <f t="shared" si="400"/>
        <v>-1782</v>
      </c>
      <c r="BC29" s="152">
        <f t="shared" si="400"/>
        <v>1961</v>
      </c>
      <c r="BD29" s="152">
        <f t="shared" si="400"/>
        <v>2894</v>
      </c>
      <c r="BE29" s="152">
        <f t="shared" si="400"/>
        <v>2877</v>
      </c>
      <c r="BF29" s="152">
        <f t="shared" si="400"/>
        <v>1830</v>
      </c>
      <c r="BG29" s="152">
        <f t="shared" si="400"/>
        <v>2743</v>
      </c>
      <c r="BH29" s="152">
        <f t="shared" si="400"/>
        <v>2612</v>
      </c>
      <c r="BI29" s="152">
        <f t="shared" si="400"/>
        <v>2636</v>
      </c>
      <c r="BJ29" s="152">
        <f t="shared" si="400"/>
        <v>3130</v>
      </c>
      <c r="BK29" s="152">
        <f t="shared" si="400"/>
        <v>3451</v>
      </c>
      <c r="BL29" s="152">
        <f t="shared" si="400"/>
        <v>3600</v>
      </c>
      <c r="BM29" s="152">
        <f t="shared" si="400"/>
        <v>3926</v>
      </c>
      <c r="BN29" s="152">
        <f t="shared" si="400"/>
        <v>3988</v>
      </c>
      <c r="BO29" s="152">
        <f t="shared" si="400"/>
        <v>4292</v>
      </c>
      <c r="BP29" s="152">
        <f t="shared" si="400"/>
        <v>4450</v>
      </c>
      <c r="BQ29" s="152">
        <f t="shared" si="400"/>
        <v>4721</v>
      </c>
      <c r="BR29" s="152">
        <f t="shared" si="400"/>
        <v>4886</v>
      </c>
      <c r="BS29" s="152">
        <f t="shared" si="400"/>
        <v>5575</v>
      </c>
      <c r="BT29" s="152">
        <f t="shared" si="400"/>
        <v>5408</v>
      </c>
      <c r="BU29" s="152">
        <f t="shared" si="400"/>
        <v>5334</v>
      </c>
      <c r="BV29" s="152">
        <f t="shared" si="400"/>
        <v>5351</v>
      </c>
      <c r="BW29" s="152">
        <f t="shared" si="400"/>
        <v>5473</v>
      </c>
      <c r="BX29" s="152">
        <f t="shared" si="400"/>
        <v>5105</v>
      </c>
      <c r="BY29" s="152">
        <f t="shared" si="400"/>
        <v>5289</v>
      </c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</row>
    <row r="30" spans="1:93" s="155" customFormat="1" x14ac:dyDescent="0.2">
      <c r="A30" s="6" t="s">
        <v>508</v>
      </c>
      <c r="B30" s="153"/>
      <c r="C30" s="15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>
        <f t="shared" ref="S30" si="401">AS30</f>
        <v>4974.66</v>
      </c>
      <c r="T30" s="152">
        <f t="shared" ref="T30" si="402">AW30</f>
        <v>7159</v>
      </c>
      <c r="U30" s="152">
        <f t="shared" ref="U30" si="403">BA30</f>
        <v>9896</v>
      </c>
      <c r="V30" s="152">
        <f t="shared" ref="V30" si="404">BE30</f>
        <v>13587</v>
      </c>
      <c r="W30" s="152">
        <f t="shared" ref="W30" si="405">BI30</f>
        <v>16599</v>
      </c>
      <c r="X30" s="152">
        <f t="shared" ref="X30" si="406">BM30</f>
        <v>21031</v>
      </c>
      <c r="Y30" s="152">
        <f t="shared" ref="Y30" si="407">BQ30</f>
        <v>26714</v>
      </c>
      <c r="Z30" s="152">
        <f t="shared" ref="Z30" si="408">BU30</f>
        <v>25948</v>
      </c>
      <c r="AA30" s="152">
        <f>BY30</f>
        <v>29590</v>
      </c>
      <c r="AB30" s="154"/>
      <c r="AC30" s="154"/>
      <c r="AD30" s="154"/>
      <c r="AE30" s="154"/>
      <c r="AG30" s="156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>
        <v>3937</v>
      </c>
      <c r="AR30" s="152">
        <v>4075</v>
      </c>
      <c r="AS30" s="152">
        <v>4974.66</v>
      </c>
      <c r="AT30" s="152">
        <v>5498</v>
      </c>
      <c r="AU30" s="152">
        <v>5794</v>
      </c>
      <c r="AV30" s="152">
        <v>6085</v>
      </c>
      <c r="AW30" s="152">
        <v>7159</v>
      </c>
      <c r="AX30" s="152">
        <v>7619</v>
      </c>
      <c r="AY30" s="152">
        <v>7905</v>
      </c>
      <c r="AZ30" s="152">
        <v>8873</v>
      </c>
      <c r="BA30" s="152">
        <v>9896</v>
      </c>
      <c r="BB30" s="152">
        <v>11724</v>
      </c>
      <c r="BC30" s="152">
        <v>11183</v>
      </c>
      <c r="BD30" s="152">
        <v>12321</v>
      </c>
      <c r="BE30" s="152">
        <v>13587</v>
      </c>
      <c r="BF30" s="152">
        <v>12664</v>
      </c>
      <c r="BG30" s="152">
        <v>13333</v>
      </c>
      <c r="BH30" s="152">
        <v>14587</v>
      </c>
      <c r="BI30" s="152">
        <v>16599</v>
      </c>
      <c r="BJ30" s="152">
        <v>15615</v>
      </c>
      <c r="BK30" s="152">
        <v>16539</v>
      </c>
      <c r="BL30" s="152">
        <v>17786</v>
      </c>
      <c r="BM30" s="152">
        <v>21031</v>
      </c>
      <c r="BN30" s="152">
        <v>21814</v>
      </c>
      <c r="BO30" s="152">
        <v>22488</v>
      </c>
      <c r="BP30" s="152">
        <v>23382</v>
      </c>
      <c r="BQ30" s="152">
        <v>26714</v>
      </c>
      <c r="BR30" s="152">
        <v>26304</v>
      </c>
      <c r="BS30" s="152">
        <v>25133</v>
      </c>
      <c r="BT30" s="152">
        <v>24810</v>
      </c>
      <c r="BU30" s="152">
        <v>25948</v>
      </c>
      <c r="BV30" s="152">
        <v>26055</v>
      </c>
      <c r="BW30" s="152">
        <v>25904</v>
      </c>
      <c r="BX30" s="152">
        <v>26566</v>
      </c>
      <c r="BY30" s="152">
        <v>29590</v>
      </c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</row>
    <row r="31" spans="1:93" s="30" customFormat="1" x14ac:dyDescent="0.2">
      <c r="A31" s="6"/>
      <c r="B31" s="32"/>
      <c r="C31" s="3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9"/>
      <c r="AC31" s="29"/>
      <c r="AD31" s="29"/>
      <c r="AE31" s="29"/>
      <c r="AG31" s="5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</row>
    <row r="32" spans="1:93" s="4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4" t="s">
        <v>166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4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4" customFormat="1" x14ac:dyDescent="0.2">
      <c r="A34" s="114" t="s">
        <v>167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8"/>
      <c r="AC34" s="8"/>
      <c r="AD34" s="8"/>
      <c r="AE34" s="8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38" customFormat="1" x14ac:dyDescent="0.2">
      <c r="A35" s="38" t="s">
        <v>7</v>
      </c>
      <c r="B35" s="38">
        <f>+'Annual Raw'!C14</f>
        <v>0</v>
      </c>
      <c r="C35" s="38">
        <f>+'Annual Raw'!D14</f>
        <v>0</v>
      </c>
      <c r="D35" s="38">
        <f>+'Annual Raw'!E14</f>
        <v>0</v>
      </c>
      <c r="E35" s="38">
        <f>+'Annual Raw'!F14</f>
        <v>0</v>
      </c>
      <c r="F35" s="38">
        <f>+'Annual Raw'!G14</f>
        <v>0</v>
      </c>
      <c r="G35" s="38">
        <f>+'Annual Raw'!H14</f>
        <v>0</v>
      </c>
      <c r="H35" s="38">
        <f>+'Annual Raw'!I14</f>
        <v>0</v>
      </c>
      <c r="I35" s="38">
        <f>+'Annual Raw'!J14</f>
        <v>0</v>
      </c>
      <c r="J35" s="38">
        <f>+'Annual Raw'!K14</f>
        <v>33.7400576</v>
      </c>
      <c r="K35" s="38">
        <f>+'Annual Raw'!L14</f>
        <v>48.708705500000001</v>
      </c>
      <c r="L35" s="38">
        <f>+'Annual Raw'!M14</f>
        <v>80.243770100000006</v>
      </c>
      <c r="M35" s="38">
        <f>+'Annual Raw'!N14</f>
        <v>59.527734199999998</v>
      </c>
      <c r="N35" s="38">
        <f>+'Annual Raw'!O14</f>
        <v>86.697148400000003</v>
      </c>
      <c r="O35" s="38">
        <f>+'Annual Raw'!P14</f>
        <v>142.3360955</v>
      </c>
      <c r="P35" s="38">
        <f>+'Annual Raw'!Q14</f>
        <v>268.16033670000002</v>
      </c>
      <c r="Q35" s="38">
        <f>+'Annual Raw'!R14</f>
        <v>456.95006699999999</v>
      </c>
      <c r="R35" s="38">
        <f>+'Annual Raw'!S14</f>
        <v>701.7450202</v>
      </c>
      <c r="S35" s="38">
        <f>+'Annual Raw'!T14</f>
        <v>870.58</v>
      </c>
      <c r="T35" s="38">
        <f>+'Annual Raw'!U14</f>
        <v>1282.26</v>
      </c>
      <c r="U35" s="38">
        <f>+'Annual Raw'!V14</f>
        <v>1683.49</v>
      </c>
      <c r="V35" s="38">
        <f>+'Annual Raw'!W14</f>
        <v>2027.79</v>
      </c>
      <c r="W35" s="38">
        <f>+'Annual Raw'!X14</f>
        <v>2742.75</v>
      </c>
      <c r="X35" s="38">
        <f>+'Annual Raw'!Y14</f>
        <v>3545.12</v>
      </c>
      <c r="Y35" s="38">
        <f>+'Annual Raw'!Z14</f>
        <v>5166.67</v>
      </c>
      <c r="Z35" s="38">
        <f>+'Annual Raw'!AA14</f>
        <v>5752.33</v>
      </c>
      <c r="AA35" s="38">
        <f>+'Annual Raw'!AB14</f>
        <v>6058.92</v>
      </c>
      <c r="AB35" s="39">
        <f>SUM(BZ35:CC35)</f>
        <v>7450.3331590310281</v>
      </c>
      <c r="AC35" s="39">
        <f>SUM(CD35:CG35)</f>
        <v>8915.9888368739503</v>
      </c>
      <c r="AD35" s="39">
        <f>SUM(CH35:CK35)</f>
        <v>10322.510730818376</v>
      </c>
      <c r="AE35" s="39">
        <f>SUM(CL35:CO35)</f>
        <v>11894.51411197808</v>
      </c>
      <c r="AG35" s="60"/>
      <c r="AH35" s="38">
        <f>+'QTR Raw'!D13</f>
        <v>0</v>
      </c>
      <c r="AI35" s="38">
        <f>+'QTR Raw'!E13</f>
        <v>0</v>
      </c>
      <c r="AJ35" s="38">
        <f>+'QTR Raw'!F13</f>
        <v>0</v>
      </c>
      <c r="AK35" s="38">
        <f>+'QTR Raw'!G13</f>
        <v>0</v>
      </c>
      <c r="AL35" s="38">
        <f>+'QTR Raw'!H13</f>
        <v>0</v>
      </c>
      <c r="AM35" s="38">
        <f>+'QTR Raw'!I13</f>
        <v>0</v>
      </c>
      <c r="AN35" s="38">
        <f>+'QTR Raw'!J13</f>
        <v>0</v>
      </c>
      <c r="AO35" s="38">
        <f>+'QTR Raw'!K13</f>
        <v>0</v>
      </c>
      <c r="AP35" s="38">
        <f>+'QTR Raw'!L13</f>
        <v>0</v>
      </c>
      <c r="AQ35" s="38">
        <f>+'QTR Raw'!M13</f>
        <v>213.94</v>
      </c>
      <c r="AR35" s="38">
        <f>+'QTR Raw'!N13</f>
        <v>227.72</v>
      </c>
      <c r="AS35" s="38">
        <f>+'QTR Raw'!O13</f>
        <v>249.92</v>
      </c>
      <c r="AT35" s="38">
        <f>+'QTR Raw'!P13</f>
        <v>285.76</v>
      </c>
      <c r="AU35" s="38">
        <f>+'QTR Raw'!Q13</f>
        <v>309.72000000000003</v>
      </c>
      <c r="AV35" s="38">
        <f>+'QTR Raw'!R13</f>
        <v>350.34</v>
      </c>
      <c r="AW35" s="38">
        <f>+'QTR Raw'!S13</f>
        <v>335.98</v>
      </c>
      <c r="AX35" s="38">
        <f>+'QTR Raw'!T13</f>
        <v>376.46</v>
      </c>
      <c r="AY35" s="38">
        <f>+'QTR Raw'!U13</f>
        <v>392.98</v>
      </c>
      <c r="AZ35" s="38">
        <f>+'QTR Raw'!V13</f>
        <v>453.15</v>
      </c>
      <c r="BA35" s="38">
        <f>+'QTR Raw'!W13</f>
        <v>481.71</v>
      </c>
      <c r="BB35" s="38">
        <f>+'QTR Raw'!X13</f>
        <v>619.29</v>
      </c>
      <c r="BC35" s="38">
        <f>+'QTR Raw'!Y13</f>
        <v>576.04999999999995</v>
      </c>
      <c r="BD35" s="38">
        <f>+'QTR Raw'!Z13</f>
        <v>541.54</v>
      </c>
      <c r="BE35" s="38">
        <f>+'QTR Raw'!AA13</f>
        <v>724.14</v>
      </c>
      <c r="BF35" s="38">
        <f>+'QTR Raw'!AB13</f>
        <v>616.13</v>
      </c>
      <c r="BG35" s="38">
        <f>+'QTR Raw'!AC13</f>
        <v>617.4</v>
      </c>
      <c r="BH35" s="38">
        <f>+'QTR Raw'!AD13</f>
        <v>687.39</v>
      </c>
      <c r="BI35" s="38">
        <f>+'QTR Raw'!AE13</f>
        <v>821.89</v>
      </c>
      <c r="BJ35" s="38">
        <f>+'QTR Raw'!AF13</f>
        <v>759.59</v>
      </c>
      <c r="BK35" s="38">
        <f>+'QTR Raw'!AG13</f>
        <v>812.22</v>
      </c>
      <c r="BL35" s="38">
        <f>+'QTR Raw'!AH13</f>
        <v>907.9</v>
      </c>
      <c r="BM35" s="38">
        <f>+'QTR Raw'!AI13</f>
        <v>1065.4100000000001</v>
      </c>
      <c r="BN35" s="38">
        <f>+'QTR Raw'!AJ13</f>
        <v>1170.03</v>
      </c>
      <c r="BO35" s="38">
        <f>+'QTR Raw'!AK13</f>
        <v>1246.94</v>
      </c>
      <c r="BP35" s="38">
        <f>+'QTR Raw'!AL13</f>
        <v>1292.2</v>
      </c>
      <c r="BQ35" s="38">
        <f>+'QTR Raw'!AM13</f>
        <v>1457.49</v>
      </c>
      <c r="BR35" s="38">
        <f>+'QTR Raw'!AN13</f>
        <v>1512.03</v>
      </c>
      <c r="BS35" s="38">
        <f>+'QTR Raw'!AO13</f>
        <v>1453.29</v>
      </c>
      <c r="BT35" s="38">
        <f>+'QTR Raw'!AP13</f>
        <v>1380.38</v>
      </c>
      <c r="BU35" s="38">
        <f>+'QTR Raw'!AQ13</f>
        <v>1406.63</v>
      </c>
      <c r="BV35" s="38">
        <f>+'QTR Raw'!AR13</f>
        <v>1462.89</v>
      </c>
      <c r="BW35" s="38">
        <f>+'QTR Raw'!AS13</f>
        <v>1508.35</v>
      </c>
      <c r="BX35" s="38">
        <f>+'QTR Raw'!AT13</f>
        <v>1490.41</v>
      </c>
      <c r="BY35" s="38">
        <f>+'QTR Raw'!AU13</f>
        <v>1597.27</v>
      </c>
      <c r="BZ35" s="39">
        <f t="shared" ref="BZ35:CO35" si="409">BZ12*BY5</f>
        <v>1679.8188873698514</v>
      </c>
      <c r="CA35" s="39">
        <f t="shared" si="409"/>
        <v>1872.6136476715471</v>
      </c>
      <c r="CB35" s="39">
        <f t="shared" si="409"/>
        <v>1904.5200461322606</v>
      </c>
      <c r="CC35" s="39">
        <f t="shared" si="409"/>
        <v>1993.3805778573694</v>
      </c>
      <c r="CD35" s="39">
        <f t="shared" si="409"/>
        <v>2092.1715131623459</v>
      </c>
      <c r="CE35" s="39">
        <f t="shared" si="409"/>
        <v>2227.0419092536363</v>
      </c>
      <c r="CF35" s="39">
        <f t="shared" si="409"/>
        <v>2259.5633507129824</v>
      </c>
      <c r="CG35" s="39">
        <f t="shared" si="409"/>
        <v>2337.2120637449862</v>
      </c>
      <c r="CH35" s="39">
        <f t="shared" si="409"/>
        <v>2459.8408244859052</v>
      </c>
      <c r="CI35" s="39">
        <f t="shared" si="409"/>
        <v>2584.2448067179362</v>
      </c>
      <c r="CJ35" s="39">
        <f t="shared" si="409"/>
        <v>2605.2210156064298</v>
      </c>
      <c r="CK35" s="39">
        <f t="shared" si="409"/>
        <v>2673.2040840081054</v>
      </c>
      <c r="CL35" s="39">
        <f t="shared" si="409"/>
        <v>2846.671775501803</v>
      </c>
      <c r="CM35" s="39">
        <f t="shared" si="409"/>
        <v>2976.6788847210546</v>
      </c>
      <c r="CN35" s="39">
        <f t="shared" si="409"/>
        <v>2997.041285352564</v>
      </c>
      <c r="CO35" s="39">
        <f t="shared" si="409"/>
        <v>3074.1221664026584</v>
      </c>
      <c r="CT35" s="38">
        <v>6058.92</v>
      </c>
    </row>
    <row r="36" spans="1:98" s="38" customFormat="1" x14ac:dyDescent="0.2">
      <c r="A36" s="38" t="s">
        <v>9</v>
      </c>
      <c r="B36" s="38">
        <f>+'Annual Raw'!C29</f>
        <v>0</v>
      </c>
      <c r="C36" s="38">
        <f>+'Annual Raw'!D29</f>
        <v>0</v>
      </c>
      <c r="D36" s="38">
        <f>+'Annual Raw'!E29</f>
        <v>0</v>
      </c>
      <c r="E36" s="38">
        <f>+'Annual Raw'!F29</f>
        <v>0</v>
      </c>
      <c r="F36" s="38">
        <f>+'Annual Raw'!G29</f>
        <v>0</v>
      </c>
      <c r="G36" s="38">
        <f>+'Annual Raw'!H29</f>
        <v>0</v>
      </c>
      <c r="H36" s="38">
        <f>+'Annual Raw'!I29</f>
        <v>0</v>
      </c>
      <c r="I36" s="38">
        <f>+'Annual Raw'!J29</f>
        <v>0</v>
      </c>
      <c r="J36" s="38">
        <f>+'Annual Raw'!K29</f>
        <v>16.809224700000001</v>
      </c>
      <c r="K36" s="38">
        <f>+'Annual Raw'!L29</f>
        <v>18.907731900000002</v>
      </c>
      <c r="L36" s="38">
        <f>+'Annual Raw'!M29</f>
        <v>34.316549199999997</v>
      </c>
      <c r="M36" s="38">
        <f>+'Annual Raw'!N29</f>
        <v>30.2754522</v>
      </c>
      <c r="N36" s="38">
        <f>+'Annual Raw'!O29</f>
        <v>40.271636700000002</v>
      </c>
      <c r="O36" s="38">
        <f>+'Annual Raw'!P29</f>
        <v>69.400163000000006</v>
      </c>
      <c r="P36" s="38">
        <f>+'Annual Raw'!Q29</f>
        <v>127.8927632</v>
      </c>
      <c r="Q36" s="38">
        <f>+'Annual Raw'!R29</f>
        <v>207.4278377</v>
      </c>
      <c r="R36" s="38">
        <f>+'Annual Raw'!S29</f>
        <v>324.25327329999999</v>
      </c>
      <c r="S36" s="38">
        <f>+'Annual Raw'!T29</f>
        <v>354.39</v>
      </c>
      <c r="T36" s="38">
        <f>+'Annual Raw'!U29</f>
        <v>417.22</v>
      </c>
      <c r="U36" s="38">
        <f>+'Annual Raw'!V29</f>
        <v>574.82000000000005</v>
      </c>
      <c r="V36" s="38">
        <f>+'Annual Raw'!W29</f>
        <v>744.67</v>
      </c>
      <c r="W36" s="38">
        <f>+'Annual Raw'!X29</f>
        <v>987.42</v>
      </c>
      <c r="X36" s="38">
        <f>+'Annual Raw'!Y29</f>
        <v>1216.1199999999999</v>
      </c>
      <c r="Y36" s="38">
        <f>+'Annual Raw'!Z29</f>
        <v>1738.36</v>
      </c>
      <c r="Z36" s="38">
        <f>+'Annual Raw'!AA29</f>
        <v>1954.98</v>
      </c>
      <c r="AA36" s="38">
        <f>+'Annual Raw'!AB29</f>
        <v>1905.13</v>
      </c>
      <c r="AB36" s="39">
        <f>SUM(BZ36:CC36)</f>
        <v>2198.042317745595</v>
      </c>
      <c r="AC36" s="39">
        <f>SUM(CD36:CG36)</f>
        <v>2526.5267111808598</v>
      </c>
      <c r="AD36" s="39">
        <f>SUM(CH36:CK36)</f>
        <v>2912.098044024654</v>
      </c>
      <c r="AE36" s="39">
        <f>SUM(CL36:CO36)</f>
        <v>3352.6939169090774</v>
      </c>
      <c r="AG36" s="60"/>
      <c r="AH36" s="38">
        <f>+'QTR Raw'!D14+'QTR Raw'!D33</f>
        <v>0</v>
      </c>
      <c r="AI36" s="38">
        <f>+'QTR Raw'!E14+'QTR Raw'!E33</f>
        <v>0</v>
      </c>
      <c r="AJ36" s="38">
        <f>+'QTR Raw'!F14+'QTR Raw'!F33</f>
        <v>0</v>
      </c>
      <c r="AK36" s="38">
        <f>+'QTR Raw'!G14+'QTR Raw'!G33</f>
        <v>0</v>
      </c>
      <c r="AL36" s="38">
        <f>+'QTR Raw'!H14+'QTR Raw'!H33</f>
        <v>0</v>
      </c>
      <c r="AM36" s="38">
        <f>+'QTR Raw'!I14+'QTR Raw'!I33</f>
        <v>0</v>
      </c>
      <c r="AN36" s="38">
        <f>+'QTR Raw'!J14+'QTR Raw'!J33</f>
        <v>0</v>
      </c>
      <c r="AO36" s="38">
        <f>+'QTR Raw'!K14+'QTR Raw'!K33</f>
        <v>0</v>
      </c>
      <c r="AP36" s="38">
        <f>+'QTR Raw'!L14+'QTR Raw'!L33</f>
        <v>0</v>
      </c>
      <c r="AQ36" s="38">
        <f>+'QTR Raw'!M14+'QTR Raw'!M33</f>
        <v>88.41</v>
      </c>
      <c r="AR36" s="38">
        <f>+'QTR Raw'!N14+'QTR Raw'!N33</f>
        <v>100.6</v>
      </c>
      <c r="AS36" s="38">
        <f>+'QTR Raw'!O14+'QTR Raw'!O33</f>
        <v>80.930000000000007</v>
      </c>
      <c r="AT36" s="38">
        <f>+'QTR Raw'!P14+'QTR Raw'!P33</f>
        <v>97.45</v>
      </c>
      <c r="AU36" s="38">
        <f>+'QTR Raw'!Q14+'QTR Raw'!Q33</f>
        <v>106.51</v>
      </c>
      <c r="AV36" s="38">
        <f>+'QTR Raw'!R14+'QTR Raw'!R33</f>
        <v>110.08</v>
      </c>
      <c r="AW36" s="38">
        <f>+'QTR Raw'!S14+'QTR Raw'!S33</f>
        <v>102.73</v>
      </c>
      <c r="AX36" s="38">
        <f>+'QTR Raw'!T14+'QTR Raw'!T33</f>
        <v>123.62</v>
      </c>
      <c r="AY36" s="38">
        <f>+'QTR Raw'!U14+'QTR Raw'!U33</f>
        <v>135.51</v>
      </c>
      <c r="AZ36" s="38">
        <f>+'QTR Raw'!V14+'QTR Raw'!V33</f>
        <v>145.88</v>
      </c>
      <c r="BA36" s="38">
        <f>+'QTR Raw'!W14+'QTR Raw'!W33</f>
        <v>174.31</v>
      </c>
      <c r="BB36" s="38">
        <f>+'QTR Raw'!X14+'QTR Raw'!X33</f>
        <v>231.44</v>
      </c>
      <c r="BC36" s="38">
        <f>+'QTR Raw'!Y14+'QTR Raw'!Y33</f>
        <v>235.8</v>
      </c>
      <c r="BD36" s="38">
        <f>+'QTR Raw'!Z14+'QTR Raw'!Z33</f>
        <v>224.2</v>
      </c>
      <c r="BE36" s="38">
        <f>+'QTR Raw'!AA14+'QTR Raw'!AA33</f>
        <v>237.27</v>
      </c>
      <c r="BF36" s="38">
        <f>+'QTR Raw'!AB14+'QTR Raw'!AB33</f>
        <v>249.34</v>
      </c>
      <c r="BG36" s="38">
        <f>+'QTR Raw'!AC14+'QTR Raw'!AC33</f>
        <v>228.56</v>
      </c>
      <c r="BH36" s="38">
        <f>+'QTR Raw'!AD14+'QTR Raw'!AD33</f>
        <v>239.09</v>
      </c>
      <c r="BI36" s="38">
        <f>+'QTR Raw'!AE14+'QTR Raw'!AE33</f>
        <v>267.14999999999998</v>
      </c>
      <c r="BJ36" s="38">
        <f>+'QTR Raw'!AF14+'QTR Raw'!AF33</f>
        <v>279.8</v>
      </c>
      <c r="BK36" s="38">
        <f>+'QTR Raw'!AG14+'QTR Raw'!AG33</f>
        <v>273.23</v>
      </c>
      <c r="BL36" s="38">
        <f>+'QTR Raw'!AH14+'QTR Raw'!AH33</f>
        <v>314.20999999999998</v>
      </c>
      <c r="BM36" s="38">
        <f>+'QTR Raw'!AI14+'QTR Raw'!AI33</f>
        <v>345.64</v>
      </c>
      <c r="BN36" s="38">
        <f>+'QTR Raw'!AJ14+'QTR Raw'!AJ33</f>
        <v>384.92</v>
      </c>
      <c r="BO36" s="38">
        <f>+'QTR Raw'!AK14+'QTR Raw'!AK33</f>
        <v>423.87</v>
      </c>
      <c r="BP36" s="38">
        <f>+'QTR Raw'!AL14+'QTR Raw'!AL33</f>
        <v>441.5</v>
      </c>
      <c r="BQ36" s="38">
        <f>+'QTR Raw'!AM14+'QTR Raw'!AM33</f>
        <v>482.15</v>
      </c>
      <c r="BR36" s="38">
        <f>+'QTR Raw'!AN14+'QTR Raw'!AN33</f>
        <v>510.31</v>
      </c>
      <c r="BS36" s="38">
        <f>+'QTR Raw'!AO14+'QTR Raw'!AO33</f>
        <v>484.6</v>
      </c>
      <c r="BT36" s="38">
        <f>+'QTR Raw'!AP14+'QTR Raw'!AP33</f>
        <v>474.87</v>
      </c>
      <c r="BU36" s="38">
        <f>+'QTR Raw'!AQ14+'QTR Raw'!AQ33</f>
        <v>477.78</v>
      </c>
      <c r="BV36" s="38">
        <f>+'QTR Raw'!AR14+'QTR Raw'!AR33</f>
        <v>482.16</v>
      </c>
      <c r="BW36" s="38">
        <f>+'QTR Raw'!AS14+'QTR Raw'!AS33</f>
        <v>479.52</v>
      </c>
      <c r="BX36" s="38">
        <f>+'QTR Raw'!AT14+'QTR Raw'!AT33</f>
        <v>459.34</v>
      </c>
      <c r="BY36" s="38">
        <f>+'QTR Raw'!AU14+'QTR Raw'!AU33</f>
        <v>478.05</v>
      </c>
      <c r="BZ36" s="39">
        <f t="shared" ref="BZ36:CO36" si="410">BZ13*BY5</f>
        <v>526.64079243535627</v>
      </c>
      <c r="CA36" s="39">
        <f t="shared" si="410"/>
        <v>552.32748365830173</v>
      </c>
      <c r="CB36" s="39">
        <f t="shared" si="410"/>
        <v>551.17356297253457</v>
      </c>
      <c r="CC36" s="39">
        <f t="shared" si="410"/>
        <v>567.90047867940257</v>
      </c>
      <c r="CD36" s="39">
        <f t="shared" si="410"/>
        <v>605.72657287206482</v>
      </c>
      <c r="CE36" s="39">
        <f t="shared" si="410"/>
        <v>632.4071007108754</v>
      </c>
      <c r="CF36" s="39">
        <f t="shared" si="410"/>
        <v>635.60287997174316</v>
      </c>
      <c r="CG36" s="39">
        <f t="shared" si="410"/>
        <v>652.79015762617644</v>
      </c>
      <c r="CH36" s="39">
        <f t="shared" si="410"/>
        <v>697.29114550567658</v>
      </c>
      <c r="CI36" s="39">
        <f t="shared" si="410"/>
        <v>728.7470471275459</v>
      </c>
      <c r="CJ36" s="39">
        <f t="shared" si="410"/>
        <v>733.3897950465763</v>
      </c>
      <c r="CK36" s="39">
        <f t="shared" si="410"/>
        <v>752.67005634485508</v>
      </c>
      <c r="CL36" s="39">
        <f t="shared" si="410"/>
        <v>803.13574707112321</v>
      </c>
      <c r="CM36" s="39">
        <f t="shared" si="410"/>
        <v>838.824604442137</v>
      </c>
      <c r="CN36" s="39">
        <f t="shared" si="410"/>
        <v>844.41500763407134</v>
      </c>
      <c r="CO36" s="39">
        <f t="shared" si="410"/>
        <v>866.31855776174609</v>
      </c>
      <c r="CT36" s="38">
        <v>1899.07</v>
      </c>
    </row>
    <row r="37" spans="1:98" s="40" customFormat="1" x14ac:dyDescent="0.2">
      <c r="A37" s="40" t="s">
        <v>8</v>
      </c>
      <c r="B37" s="40">
        <f t="shared" ref="B37" si="411">B35-B36</f>
        <v>0</v>
      </c>
      <c r="C37" s="40">
        <f t="shared" ref="C37:Z37" si="412">C35-C36</f>
        <v>0</v>
      </c>
      <c r="D37" s="40">
        <f t="shared" si="412"/>
        <v>0</v>
      </c>
      <c r="E37" s="40">
        <f t="shared" si="412"/>
        <v>0</v>
      </c>
      <c r="F37" s="40">
        <f t="shared" si="412"/>
        <v>0</v>
      </c>
      <c r="G37" s="40">
        <f t="shared" si="412"/>
        <v>0</v>
      </c>
      <c r="H37" s="40">
        <f t="shared" si="412"/>
        <v>0</v>
      </c>
      <c r="I37" s="40">
        <f t="shared" si="412"/>
        <v>0</v>
      </c>
      <c r="J37" s="40">
        <f t="shared" si="412"/>
        <v>16.930832899999999</v>
      </c>
      <c r="K37" s="40">
        <f t="shared" si="412"/>
        <v>29.800973599999999</v>
      </c>
      <c r="L37" s="40">
        <f t="shared" si="412"/>
        <v>45.927220900000009</v>
      </c>
      <c r="M37" s="40">
        <f t="shared" si="412"/>
        <v>29.252281999999997</v>
      </c>
      <c r="N37" s="40">
        <f t="shared" si="412"/>
        <v>46.425511700000001</v>
      </c>
      <c r="O37" s="40">
        <f t="shared" si="412"/>
        <v>72.935932499999993</v>
      </c>
      <c r="P37" s="40">
        <f t="shared" si="412"/>
        <v>140.26757350000003</v>
      </c>
      <c r="Q37" s="40">
        <f t="shared" si="412"/>
        <v>249.52222929999999</v>
      </c>
      <c r="R37" s="40">
        <f t="shared" si="412"/>
        <v>377.49174690000001</v>
      </c>
      <c r="S37" s="40">
        <f t="shared" si="412"/>
        <v>516.19000000000005</v>
      </c>
      <c r="T37" s="40">
        <f t="shared" si="412"/>
        <v>865.04</v>
      </c>
      <c r="U37" s="40">
        <f t="shared" si="412"/>
        <v>1108.67</v>
      </c>
      <c r="V37" s="40">
        <f t="shared" si="412"/>
        <v>1283.1199999999999</v>
      </c>
      <c r="W37" s="40">
        <f t="shared" si="412"/>
        <v>1755.33</v>
      </c>
      <c r="X37" s="40">
        <f t="shared" si="412"/>
        <v>2329</v>
      </c>
      <c r="Y37" s="40">
        <f t="shared" si="412"/>
        <v>3428.3100000000004</v>
      </c>
      <c r="Z37" s="40">
        <f t="shared" si="412"/>
        <v>3797.35</v>
      </c>
      <c r="AA37" s="40">
        <f t="shared" ref="AA37" si="413">AA35-AA36</f>
        <v>4153.79</v>
      </c>
      <c r="AB37" s="41">
        <f t="shared" ref="AB37" si="414">AB35-AB36</f>
        <v>5252.2908412854331</v>
      </c>
      <c r="AC37" s="41">
        <f t="shared" ref="AC37" si="415">AC35-AC36</f>
        <v>6389.4621256930905</v>
      </c>
      <c r="AD37" s="41">
        <f t="shared" ref="AD37" si="416">AD35-AD36</f>
        <v>7410.4126867937221</v>
      </c>
      <c r="AE37" s="41">
        <f t="shared" ref="AE37" si="417">AE35-AE36</f>
        <v>8541.8201950690018</v>
      </c>
      <c r="AG37" s="61"/>
      <c r="AH37" s="40">
        <f t="shared" ref="AH37:AU37" si="418">AH35-AH36</f>
        <v>0</v>
      </c>
      <c r="AI37" s="40">
        <f t="shared" si="418"/>
        <v>0</v>
      </c>
      <c r="AJ37" s="40">
        <f t="shared" si="418"/>
        <v>0</v>
      </c>
      <c r="AK37" s="40">
        <f t="shared" si="418"/>
        <v>0</v>
      </c>
      <c r="AL37" s="40">
        <f t="shared" si="418"/>
        <v>0</v>
      </c>
      <c r="AM37" s="40">
        <f t="shared" si="418"/>
        <v>0</v>
      </c>
      <c r="AN37" s="40">
        <f t="shared" si="418"/>
        <v>0</v>
      </c>
      <c r="AO37" s="40">
        <f t="shared" si="418"/>
        <v>0</v>
      </c>
      <c r="AP37" s="40">
        <f t="shared" si="418"/>
        <v>0</v>
      </c>
      <c r="AQ37" s="40">
        <f t="shared" si="418"/>
        <v>125.53</v>
      </c>
      <c r="AR37" s="40">
        <f t="shared" si="418"/>
        <v>127.12</v>
      </c>
      <c r="AS37" s="40">
        <f t="shared" si="418"/>
        <v>168.98999999999998</v>
      </c>
      <c r="AT37" s="40">
        <f t="shared" si="418"/>
        <v>188.31</v>
      </c>
      <c r="AU37" s="40">
        <f t="shared" si="418"/>
        <v>203.21000000000004</v>
      </c>
      <c r="AV37" s="40">
        <f t="shared" ref="AV37:BV37" si="419">AV35-AV36</f>
        <v>240.26</v>
      </c>
      <c r="AW37" s="40">
        <f t="shared" si="419"/>
        <v>233.25</v>
      </c>
      <c r="AX37" s="40">
        <f t="shared" si="419"/>
        <v>252.83999999999997</v>
      </c>
      <c r="AY37" s="40">
        <f t="shared" si="419"/>
        <v>257.47000000000003</v>
      </c>
      <c r="AZ37" s="40">
        <f t="shared" si="419"/>
        <v>307.27</v>
      </c>
      <c r="BA37" s="40">
        <f t="shared" si="419"/>
        <v>307.39999999999998</v>
      </c>
      <c r="BB37" s="40">
        <f t="shared" si="419"/>
        <v>387.84999999999997</v>
      </c>
      <c r="BC37" s="40">
        <f t="shared" si="419"/>
        <v>340.24999999999994</v>
      </c>
      <c r="BD37" s="40">
        <f t="shared" si="419"/>
        <v>317.33999999999997</v>
      </c>
      <c r="BE37" s="40">
        <f t="shared" si="419"/>
        <v>486.87</v>
      </c>
      <c r="BF37" s="40">
        <f t="shared" si="419"/>
        <v>366.78999999999996</v>
      </c>
      <c r="BG37" s="40">
        <f t="shared" si="419"/>
        <v>388.84</v>
      </c>
      <c r="BH37" s="40">
        <f t="shared" si="419"/>
        <v>448.29999999999995</v>
      </c>
      <c r="BI37" s="40">
        <f t="shared" si="419"/>
        <v>554.74</v>
      </c>
      <c r="BJ37" s="40">
        <f t="shared" si="419"/>
        <v>479.79</v>
      </c>
      <c r="BK37" s="40">
        <f t="shared" si="419"/>
        <v>538.99</v>
      </c>
      <c r="BL37" s="40">
        <f t="shared" si="419"/>
        <v>593.69000000000005</v>
      </c>
      <c r="BM37" s="40">
        <f t="shared" si="419"/>
        <v>719.7700000000001</v>
      </c>
      <c r="BN37" s="40">
        <f t="shared" si="419"/>
        <v>785.1099999999999</v>
      </c>
      <c r="BO37" s="40">
        <f t="shared" si="419"/>
        <v>823.07</v>
      </c>
      <c r="BP37" s="40">
        <f t="shared" si="419"/>
        <v>850.7</v>
      </c>
      <c r="BQ37" s="40">
        <f t="shared" si="419"/>
        <v>975.34</v>
      </c>
      <c r="BR37" s="40">
        <f t="shared" si="419"/>
        <v>1001.72</v>
      </c>
      <c r="BS37" s="40">
        <f t="shared" si="419"/>
        <v>968.68999999999994</v>
      </c>
      <c r="BT37" s="40">
        <f t="shared" si="419"/>
        <v>905.5100000000001</v>
      </c>
      <c r="BU37" s="40">
        <f t="shared" si="419"/>
        <v>928.85000000000014</v>
      </c>
      <c r="BV37" s="40">
        <f t="shared" si="419"/>
        <v>980.73</v>
      </c>
      <c r="BW37" s="40">
        <f t="shared" ref="BW37:BX37" si="420">BW35-BW36</f>
        <v>1028.83</v>
      </c>
      <c r="BX37" s="40">
        <f t="shared" si="420"/>
        <v>1031.0700000000002</v>
      </c>
      <c r="BY37" s="40">
        <f t="shared" ref="BY37" si="421">BY35-BY36</f>
        <v>1119.22</v>
      </c>
      <c r="BZ37" s="41">
        <f t="shared" ref="BZ37:CC37" si="422">BZ35-BZ36</f>
        <v>1153.1780949344952</v>
      </c>
      <c r="CA37" s="41">
        <f t="shared" si="422"/>
        <v>1320.2861640132455</v>
      </c>
      <c r="CB37" s="41">
        <f t="shared" si="422"/>
        <v>1353.3464831597262</v>
      </c>
      <c r="CC37" s="41">
        <f t="shared" si="422"/>
        <v>1425.4800991779668</v>
      </c>
      <c r="CD37" s="41">
        <f t="shared" ref="CD37:CO37" si="423">CD35-CD36</f>
        <v>1486.444940290281</v>
      </c>
      <c r="CE37" s="41">
        <f t="shared" si="423"/>
        <v>1594.6348085427608</v>
      </c>
      <c r="CF37" s="41">
        <f t="shared" si="423"/>
        <v>1623.9604707412391</v>
      </c>
      <c r="CG37" s="41">
        <f t="shared" si="423"/>
        <v>1684.4219061188096</v>
      </c>
      <c r="CH37" s="41">
        <f t="shared" si="423"/>
        <v>1762.5496789802287</v>
      </c>
      <c r="CI37" s="41">
        <f t="shared" si="423"/>
        <v>1855.4977595903902</v>
      </c>
      <c r="CJ37" s="41">
        <f t="shared" si="423"/>
        <v>1871.8312205598536</v>
      </c>
      <c r="CK37" s="41">
        <f t="shared" si="423"/>
        <v>1920.5340276632503</v>
      </c>
      <c r="CL37" s="41">
        <f t="shared" si="423"/>
        <v>2043.5360284306798</v>
      </c>
      <c r="CM37" s="41">
        <f t="shared" si="423"/>
        <v>2137.8542802789175</v>
      </c>
      <c r="CN37" s="41">
        <f t="shared" si="423"/>
        <v>2152.6262777184929</v>
      </c>
      <c r="CO37" s="41">
        <f t="shared" si="423"/>
        <v>2207.8036086409124</v>
      </c>
      <c r="CT37" s="40">
        <v>4159.8500000000004</v>
      </c>
    </row>
    <row r="38" spans="1:98" s="38" customFormat="1" x14ac:dyDescent="0.2">
      <c r="A38" s="38" t="s">
        <v>3</v>
      </c>
      <c r="B38" s="38">
        <f>+'Annual Raw'!C27</f>
        <v>0</v>
      </c>
      <c r="C38" s="38">
        <f>+'Annual Raw'!D27</f>
        <v>0</v>
      </c>
      <c r="D38" s="38">
        <f>+'Annual Raw'!E27</f>
        <v>0</v>
      </c>
      <c r="E38" s="38">
        <f>+'Annual Raw'!F27</f>
        <v>0</v>
      </c>
      <c r="F38" s="38">
        <f>+'Annual Raw'!G27</f>
        <v>0</v>
      </c>
      <c r="G38" s="38">
        <f>+'Annual Raw'!H27</f>
        <v>0</v>
      </c>
      <c r="H38" s="38">
        <f>+'Annual Raw'!I27</f>
        <v>0</v>
      </c>
      <c r="I38" s="38">
        <f>+'Annual Raw'!J27</f>
        <v>0</v>
      </c>
      <c r="J38" s="38">
        <f>+'Annual Raw'!K27</f>
        <v>0.30968190000000001</v>
      </c>
      <c r="K38" s="38">
        <f>+'Annual Raw'!L27</f>
        <v>1.0783502</v>
      </c>
      <c r="L38" s="38">
        <f>+'Annual Raw'!M27</f>
        <v>2.0898856000000001</v>
      </c>
      <c r="M38" s="38">
        <f>+'Annual Raw'!N27</f>
        <v>4.1130015999999996</v>
      </c>
      <c r="N38" s="38">
        <f>+'Annual Raw'!O27</f>
        <v>2.5412669000000001</v>
      </c>
      <c r="O38" s="38">
        <f>+'Annual Raw'!P27</f>
        <v>9.8859448000000008</v>
      </c>
      <c r="P38" s="38">
        <f>+'Annual Raw'!Q27</f>
        <v>13.267740099999999</v>
      </c>
      <c r="Q38" s="38">
        <f>+'Annual Raw'!R27</f>
        <v>9.7685413000000008</v>
      </c>
      <c r="R38" s="38">
        <f>+'Annual Raw'!S27</f>
        <v>7.5161701000000001</v>
      </c>
      <c r="S38" s="38">
        <f>+'Annual Raw'!T27</f>
        <v>131.49</v>
      </c>
      <c r="T38" s="38">
        <f>+'Annual Raw'!U27</f>
        <v>1.18</v>
      </c>
      <c r="U38" s="38">
        <f>+'Annual Raw'!V27</f>
        <v>0.9</v>
      </c>
      <c r="V38" s="38">
        <f>+'Annual Raw'!W27</f>
        <v>3.36</v>
      </c>
      <c r="W38" s="38">
        <f>+'Annual Raw'!X27</f>
        <v>7.31</v>
      </c>
      <c r="X38" s="38">
        <f>+'Annual Raw'!Y27</f>
        <v>7.13</v>
      </c>
      <c r="Y38" s="38">
        <f>+'Annual Raw'!Z27</f>
        <v>5.98</v>
      </c>
      <c r="Z38" s="38">
        <f>+'Annual Raw'!AA27</f>
        <v>3.81</v>
      </c>
      <c r="AA38" s="38">
        <f>+'Annual Raw'!AB27</f>
        <v>3.62</v>
      </c>
      <c r="AB38" s="39">
        <f>SUM(BZ38:CC38)</f>
        <v>4.1860988672304753</v>
      </c>
      <c r="AC38" s="39">
        <f>SUM(CD38:CG38)</f>
        <v>4.8131230920807306</v>
      </c>
      <c r="AD38" s="39">
        <f>SUM(CH38:CK38)</f>
        <v>5.5477095886080203</v>
      </c>
      <c r="AE38" s="39">
        <f>SUM(CL38:CO38)</f>
        <v>6.3870186531294788</v>
      </c>
      <c r="AG38" s="60"/>
      <c r="AH38" s="38">
        <f>+'QTR Raw'!D32</f>
        <v>0</v>
      </c>
      <c r="AI38" s="38">
        <f>+'QTR Raw'!E32</f>
        <v>0</v>
      </c>
      <c r="AJ38" s="38">
        <f>+'QTR Raw'!F32</f>
        <v>0</v>
      </c>
      <c r="AK38" s="38">
        <f>+'QTR Raw'!G32</f>
        <v>0</v>
      </c>
      <c r="AL38" s="38">
        <f>+'QTR Raw'!H32</f>
        <v>0</v>
      </c>
      <c r="AM38" s="38">
        <f>+'QTR Raw'!I32</f>
        <v>0</v>
      </c>
      <c r="AN38" s="38">
        <f>+'QTR Raw'!J32</f>
        <v>0</v>
      </c>
      <c r="AO38" s="38">
        <f>+'QTR Raw'!K32</f>
        <v>0</v>
      </c>
      <c r="AP38" s="38">
        <f>+'QTR Raw'!L32</f>
        <v>0</v>
      </c>
      <c r="AQ38" s="38">
        <f>+'QTR Raw'!M32</f>
        <v>0.16</v>
      </c>
      <c r="AR38" s="38">
        <f>+'QTR Raw'!N32</f>
        <v>1.62</v>
      </c>
      <c r="AS38" s="38">
        <f>+'QTR Raw'!O32</f>
        <v>0.45</v>
      </c>
      <c r="AT38" s="38">
        <f>+'QTR Raw'!P32</f>
        <v>0.31</v>
      </c>
      <c r="AU38" s="38">
        <f>+'QTR Raw'!Q32</f>
        <v>0.37</v>
      </c>
      <c r="AV38" s="38">
        <f>+'QTR Raw'!R32</f>
        <v>0.42</v>
      </c>
      <c r="AW38" s="38">
        <f>+'QTR Raw'!S32</f>
        <v>0.46</v>
      </c>
      <c r="AX38" s="38">
        <f>+'QTR Raw'!T32</f>
        <v>0.24</v>
      </c>
      <c r="AY38" s="38">
        <f>+'QTR Raw'!U32</f>
        <v>0.09</v>
      </c>
      <c r="AZ38" s="38">
        <f>+'QTR Raw'!V32</f>
        <v>0.41</v>
      </c>
      <c r="BA38" s="38">
        <f>+'QTR Raw'!W32</f>
        <v>0.41</v>
      </c>
      <c r="BB38" s="38">
        <f>+'QTR Raw'!X32</f>
        <v>0.57999999999999996</v>
      </c>
      <c r="BC38" s="38">
        <f>+'QTR Raw'!Y32</f>
        <v>0.94</v>
      </c>
      <c r="BD38" s="38">
        <f>+'QTR Raw'!Z32</f>
        <v>1.49</v>
      </c>
      <c r="BE38" s="38">
        <f>+'QTR Raw'!AA32</f>
        <v>2.06</v>
      </c>
      <c r="BF38" s="38">
        <f>+'QTR Raw'!AB32</f>
        <v>1.24</v>
      </c>
      <c r="BG38" s="38">
        <f>+'QTR Raw'!AC32</f>
        <v>1.18</v>
      </c>
      <c r="BH38" s="38">
        <f>+'QTR Raw'!AD32</f>
        <v>2.2999999999999998</v>
      </c>
      <c r="BI38" s="38">
        <f>+'QTR Raw'!AE32</f>
        <v>2.59</v>
      </c>
      <c r="BJ38" s="38">
        <f>+'QTR Raw'!AF32</f>
        <v>0.93</v>
      </c>
      <c r="BK38" s="38">
        <f>+'QTR Raw'!AG32</f>
        <v>2.09</v>
      </c>
      <c r="BL38" s="38">
        <f>+'QTR Raw'!AH32</f>
        <v>1.82</v>
      </c>
      <c r="BM38" s="38">
        <f>+'QTR Raw'!AI32</f>
        <v>0.83</v>
      </c>
      <c r="BN38" s="38">
        <f>+'QTR Raw'!AJ32</f>
        <v>0.69</v>
      </c>
      <c r="BO38" s="38">
        <f>+'QTR Raw'!AK32</f>
        <v>0.65</v>
      </c>
      <c r="BP38" s="38">
        <f>+'QTR Raw'!AL32</f>
        <v>3.03</v>
      </c>
      <c r="BQ38" s="38">
        <f>+'QTR Raw'!AM32</f>
        <v>1.61</v>
      </c>
      <c r="BR38" s="38">
        <f>+'QTR Raw'!AN32</f>
        <v>0.55000000000000004</v>
      </c>
      <c r="BS38" s="38">
        <f>+'QTR Raw'!AO32</f>
        <v>0.63</v>
      </c>
      <c r="BT38" s="38">
        <f>+'QTR Raw'!AP32</f>
        <v>1.55</v>
      </c>
      <c r="BU38" s="38">
        <f>+'QTR Raw'!AQ32</f>
        <v>1.08</v>
      </c>
      <c r="BV38" s="38">
        <f>+'QTR Raw'!AR32</f>
        <v>0.74</v>
      </c>
      <c r="BW38" s="38">
        <f>+'QTR Raw'!AS32</f>
        <v>0.67</v>
      </c>
      <c r="BX38" s="38">
        <f>+'QTR Raw'!AT32</f>
        <v>0.9</v>
      </c>
      <c r="BY38" s="38">
        <f>+'QTR Raw'!AU32</f>
        <v>1.31</v>
      </c>
      <c r="BZ38" s="39">
        <f t="shared" ref="BZ38:CO38" si="424">BZ15*BY5</f>
        <v>1.0007291716394582</v>
      </c>
      <c r="CA38" s="39">
        <f t="shared" si="424"/>
        <v>1.0514681313294187</v>
      </c>
      <c r="CB38" s="39">
        <f t="shared" si="424"/>
        <v>1.0541740400573651</v>
      </c>
      <c r="CC38" s="39">
        <f t="shared" si="424"/>
        <v>1.0797275242042328</v>
      </c>
      <c r="CD38" s="39">
        <f t="shared" si="424"/>
        <v>1.1535649655573266</v>
      </c>
      <c r="CE38" s="39">
        <f t="shared" si="424"/>
        <v>1.2050452221171528</v>
      </c>
      <c r="CF38" s="39">
        <f t="shared" si="424"/>
        <v>1.2114188034400497</v>
      </c>
      <c r="CG38" s="39">
        <f t="shared" si="424"/>
        <v>1.2430941009662018</v>
      </c>
      <c r="CH38" s="39">
        <f t="shared" si="424"/>
        <v>1.3283632324944414</v>
      </c>
      <c r="CI38" s="39">
        <f t="shared" si="424"/>
        <v>1.3883975123932459</v>
      </c>
      <c r="CJ38" s="39">
        <f t="shared" si="424"/>
        <v>1.397186838657569</v>
      </c>
      <c r="CK38" s="39">
        <f t="shared" si="424"/>
        <v>1.4337620050627642</v>
      </c>
      <c r="CL38" s="39">
        <f t="shared" si="424"/>
        <v>1.5300192592266755</v>
      </c>
      <c r="CM38" s="39">
        <f t="shared" si="424"/>
        <v>1.5980133864984469</v>
      </c>
      <c r="CN38" s="39">
        <f t="shared" si="424"/>
        <v>1.6086377434194308</v>
      </c>
      <c r="CO38" s="39">
        <f t="shared" si="424"/>
        <v>1.6503482639849254</v>
      </c>
      <c r="CT38" s="38">
        <v>3.62</v>
      </c>
    </row>
    <row r="39" spans="1:98" s="40" customFormat="1" x14ac:dyDescent="0.2">
      <c r="A39" s="40" t="s">
        <v>10</v>
      </c>
      <c r="B39" s="40">
        <f t="shared" ref="B39" si="425">B37+B38</f>
        <v>0</v>
      </c>
      <c r="C39" s="40">
        <f t="shared" ref="C39:Z39" si="426">C37+C38</f>
        <v>0</v>
      </c>
      <c r="D39" s="40">
        <f t="shared" si="426"/>
        <v>0</v>
      </c>
      <c r="E39" s="40">
        <f t="shared" si="426"/>
        <v>0</v>
      </c>
      <c r="F39" s="40">
        <f t="shared" si="426"/>
        <v>0</v>
      </c>
      <c r="G39" s="40">
        <f t="shared" si="426"/>
        <v>0</v>
      </c>
      <c r="H39" s="40">
        <f t="shared" si="426"/>
        <v>0</v>
      </c>
      <c r="I39" s="40">
        <f t="shared" si="426"/>
        <v>0</v>
      </c>
      <c r="J39" s="40">
        <f t="shared" si="426"/>
        <v>17.2405148</v>
      </c>
      <c r="K39" s="40">
        <f t="shared" si="426"/>
        <v>30.879323799999998</v>
      </c>
      <c r="L39" s="40">
        <f t="shared" si="426"/>
        <v>48.017106500000011</v>
      </c>
      <c r="M39" s="40">
        <f t="shared" si="426"/>
        <v>33.365283599999998</v>
      </c>
      <c r="N39" s="40">
        <f t="shared" si="426"/>
        <v>48.966778599999998</v>
      </c>
      <c r="O39" s="40">
        <f t="shared" si="426"/>
        <v>82.821877299999997</v>
      </c>
      <c r="P39" s="40">
        <f t="shared" si="426"/>
        <v>153.53531360000002</v>
      </c>
      <c r="Q39" s="40">
        <f t="shared" si="426"/>
        <v>259.29077059999997</v>
      </c>
      <c r="R39" s="40">
        <f t="shared" si="426"/>
        <v>385.00791700000002</v>
      </c>
      <c r="S39" s="40">
        <f t="shared" si="426"/>
        <v>647.68000000000006</v>
      </c>
      <c r="T39" s="40">
        <f t="shared" si="426"/>
        <v>866.21999999999991</v>
      </c>
      <c r="U39" s="40">
        <f t="shared" si="426"/>
        <v>1109.5700000000002</v>
      </c>
      <c r="V39" s="40">
        <f t="shared" si="426"/>
        <v>1286.4799999999998</v>
      </c>
      <c r="W39" s="40">
        <f t="shared" si="426"/>
        <v>1762.6399999999999</v>
      </c>
      <c r="X39" s="40">
        <f t="shared" si="426"/>
        <v>2336.13</v>
      </c>
      <c r="Y39" s="40">
        <f t="shared" si="426"/>
        <v>3434.2900000000004</v>
      </c>
      <c r="Z39" s="40">
        <f t="shared" si="426"/>
        <v>3801.16</v>
      </c>
      <c r="AA39" s="40">
        <f t="shared" ref="AA39" si="427">AA37+AA38</f>
        <v>4157.41</v>
      </c>
      <c r="AB39" s="41">
        <f t="shared" ref="AB39" si="428">AB37+AB38</f>
        <v>5256.4769401526637</v>
      </c>
      <c r="AC39" s="41">
        <f t="shared" ref="AC39" si="429">AC37+AC38</f>
        <v>6394.2752487851712</v>
      </c>
      <c r="AD39" s="41">
        <f t="shared" ref="AD39" si="430">AD37+AD38</f>
        <v>7415.9603963823301</v>
      </c>
      <c r="AE39" s="41">
        <f t="shared" ref="AE39" si="431">AE37+AE38</f>
        <v>8548.2072137221312</v>
      </c>
      <c r="AG39" s="61"/>
      <c r="AH39" s="40">
        <f t="shared" ref="AH39:AU39" si="432">AH37+AH38</f>
        <v>0</v>
      </c>
      <c r="AI39" s="40">
        <f t="shared" si="432"/>
        <v>0</v>
      </c>
      <c r="AJ39" s="40">
        <f t="shared" si="432"/>
        <v>0</v>
      </c>
      <c r="AK39" s="40">
        <f t="shared" si="432"/>
        <v>0</v>
      </c>
      <c r="AL39" s="40">
        <f t="shared" si="432"/>
        <v>0</v>
      </c>
      <c r="AM39" s="40">
        <f t="shared" si="432"/>
        <v>0</v>
      </c>
      <c r="AN39" s="40">
        <f t="shared" si="432"/>
        <v>0</v>
      </c>
      <c r="AO39" s="40">
        <f t="shared" si="432"/>
        <v>0</v>
      </c>
      <c r="AP39" s="40">
        <f t="shared" si="432"/>
        <v>0</v>
      </c>
      <c r="AQ39" s="40">
        <f t="shared" si="432"/>
        <v>125.69</v>
      </c>
      <c r="AR39" s="40">
        <f t="shared" si="432"/>
        <v>128.74</v>
      </c>
      <c r="AS39" s="40">
        <f t="shared" si="432"/>
        <v>169.43999999999997</v>
      </c>
      <c r="AT39" s="40">
        <f t="shared" si="432"/>
        <v>188.62</v>
      </c>
      <c r="AU39" s="40">
        <f t="shared" si="432"/>
        <v>203.58000000000004</v>
      </c>
      <c r="AV39" s="40">
        <f t="shared" ref="AV39:BV39" si="433">AV37+AV38</f>
        <v>240.67999999999998</v>
      </c>
      <c r="AW39" s="40">
        <f t="shared" si="433"/>
        <v>233.71</v>
      </c>
      <c r="AX39" s="40">
        <f t="shared" si="433"/>
        <v>253.07999999999998</v>
      </c>
      <c r="AY39" s="40">
        <f t="shared" si="433"/>
        <v>257.56</v>
      </c>
      <c r="AZ39" s="40">
        <f t="shared" si="433"/>
        <v>307.68</v>
      </c>
      <c r="BA39" s="40">
        <f t="shared" si="433"/>
        <v>307.81</v>
      </c>
      <c r="BB39" s="40">
        <f t="shared" si="433"/>
        <v>388.42999999999995</v>
      </c>
      <c r="BC39" s="40">
        <f t="shared" si="433"/>
        <v>341.18999999999994</v>
      </c>
      <c r="BD39" s="40">
        <f t="shared" si="433"/>
        <v>318.83</v>
      </c>
      <c r="BE39" s="40">
        <f t="shared" si="433"/>
        <v>488.93</v>
      </c>
      <c r="BF39" s="40">
        <f t="shared" si="433"/>
        <v>368.03</v>
      </c>
      <c r="BG39" s="40">
        <f t="shared" si="433"/>
        <v>390.02</v>
      </c>
      <c r="BH39" s="40">
        <f t="shared" si="433"/>
        <v>450.59999999999997</v>
      </c>
      <c r="BI39" s="40">
        <f t="shared" si="433"/>
        <v>557.33000000000004</v>
      </c>
      <c r="BJ39" s="40">
        <f t="shared" si="433"/>
        <v>480.72</v>
      </c>
      <c r="BK39" s="40">
        <f t="shared" si="433"/>
        <v>541.08000000000004</v>
      </c>
      <c r="BL39" s="40">
        <f t="shared" si="433"/>
        <v>595.5100000000001</v>
      </c>
      <c r="BM39" s="40">
        <f t="shared" si="433"/>
        <v>720.60000000000014</v>
      </c>
      <c r="BN39" s="40">
        <f t="shared" si="433"/>
        <v>785.8</v>
      </c>
      <c r="BO39" s="40">
        <f t="shared" si="433"/>
        <v>823.72</v>
      </c>
      <c r="BP39" s="40">
        <f t="shared" si="433"/>
        <v>853.73</v>
      </c>
      <c r="BQ39" s="40">
        <f t="shared" si="433"/>
        <v>976.95</v>
      </c>
      <c r="BR39" s="40">
        <f t="shared" si="433"/>
        <v>1002.27</v>
      </c>
      <c r="BS39" s="40">
        <f t="shared" si="433"/>
        <v>969.31999999999994</v>
      </c>
      <c r="BT39" s="40">
        <f t="shared" si="433"/>
        <v>907.06000000000006</v>
      </c>
      <c r="BU39" s="40">
        <f t="shared" si="433"/>
        <v>929.93000000000018</v>
      </c>
      <c r="BV39" s="40">
        <f t="shared" si="433"/>
        <v>981.47</v>
      </c>
      <c r="BW39" s="40">
        <f t="shared" ref="BW39:BX39" si="434">BW37+BW38</f>
        <v>1029.5</v>
      </c>
      <c r="BX39" s="40">
        <f t="shared" si="434"/>
        <v>1031.9700000000003</v>
      </c>
      <c r="BY39" s="40">
        <f t="shared" ref="BY39" si="435">BY37+BY38</f>
        <v>1120.53</v>
      </c>
      <c r="BZ39" s="41">
        <f t="shared" ref="BZ39:CC39" si="436">BZ37+BZ38</f>
        <v>1154.1788241061347</v>
      </c>
      <c r="CA39" s="41">
        <f t="shared" si="436"/>
        <v>1321.3376321445749</v>
      </c>
      <c r="CB39" s="41">
        <f t="shared" si="436"/>
        <v>1354.4006571997836</v>
      </c>
      <c r="CC39" s="41">
        <f t="shared" si="436"/>
        <v>1426.559826702171</v>
      </c>
      <c r="CD39" s="41">
        <f t="shared" ref="CD39:CO39" si="437">CD37+CD38</f>
        <v>1487.5985052558383</v>
      </c>
      <c r="CE39" s="41">
        <f t="shared" si="437"/>
        <v>1595.8398537648779</v>
      </c>
      <c r="CF39" s="41">
        <f t="shared" si="437"/>
        <v>1625.1718895446791</v>
      </c>
      <c r="CG39" s="41">
        <f t="shared" si="437"/>
        <v>1685.6650002197757</v>
      </c>
      <c r="CH39" s="41">
        <f t="shared" si="437"/>
        <v>1763.8780422127231</v>
      </c>
      <c r="CI39" s="41">
        <f t="shared" si="437"/>
        <v>1856.8861571027835</v>
      </c>
      <c r="CJ39" s="41">
        <f t="shared" si="437"/>
        <v>1873.2284073985111</v>
      </c>
      <c r="CK39" s="41">
        <f t="shared" si="437"/>
        <v>1921.9677896683131</v>
      </c>
      <c r="CL39" s="41">
        <f t="shared" si="437"/>
        <v>2045.0660476899066</v>
      </c>
      <c r="CM39" s="41">
        <f t="shared" si="437"/>
        <v>2139.4522936654157</v>
      </c>
      <c r="CN39" s="41">
        <f t="shared" si="437"/>
        <v>2154.2349154619124</v>
      </c>
      <c r="CO39" s="41">
        <f t="shared" si="437"/>
        <v>2209.4539569048975</v>
      </c>
      <c r="CT39" s="40">
        <v>4163.47</v>
      </c>
    </row>
    <row r="40" spans="1:98" s="71" customFormat="1" x14ac:dyDescent="0.2">
      <c r="A40" s="71" t="s">
        <v>15</v>
      </c>
      <c r="C40" s="71" t="e">
        <f t="shared" ref="C40:Y40" si="438">+IF(B39&lt;0,1-C39/B39,C39/B39-1)</f>
        <v>#DIV/0!</v>
      </c>
      <c r="D40" s="71" t="e">
        <f t="shared" si="438"/>
        <v>#DIV/0!</v>
      </c>
      <c r="E40" s="71" t="e">
        <f t="shared" si="438"/>
        <v>#DIV/0!</v>
      </c>
      <c r="F40" s="71" t="e">
        <f t="shared" si="438"/>
        <v>#DIV/0!</v>
      </c>
      <c r="G40" s="71" t="e">
        <f t="shared" si="438"/>
        <v>#DIV/0!</v>
      </c>
      <c r="H40" s="71" t="e">
        <f t="shared" si="438"/>
        <v>#DIV/0!</v>
      </c>
      <c r="I40" s="71" t="e">
        <f t="shared" si="438"/>
        <v>#DIV/0!</v>
      </c>
      <c r="J40" s="71" t="e">
        <f t="shared" si="438"/>
        <v>#DIV/0!</v>
      </c>
      <c r="K40" s="71">
        <f t="shared" si="438"/>
        <v>0.79109058854785475</v>
      </c>
      <c r="L40" s="71">
        <f t="shared" si="438"/>
        <v>0.55499216274936747</v>
      </c>
      <c r="M40" s="71">
        <f t="shared" si="438"/>
        <v>-0.3051375638388375</v>
      </c>
      <c r="N40" s="71">
        <f t="shared" si="438"/>
        <v>0.46759665486553814</v>
      </c>
      <c r="O40" s="71">
        <f t="shared" si="438"/>
        <v>0.69138913500019372</v>
      </c>
      <c r="P40" s="71">
        <f t="shared" si="438"/>
        <v>0.85380141823952638</v>
      </c>
      <c r="Q40" s="71">
        <f t="shared" si="438"/>
        <v>0.68880216883212153</v>
      </c>
      <c r="R40" s="71">
        <f t="shared" si="438"/>
        <v>0.48485006276579012</v>
      </c>
      <c r="S40" s="71">
        <f t="shared" si="438"/>
        <v>0.6822511210853881</v>
      </c>
      <c r="T40" s="71">
        <f t="shared" si="438"/>
        <v>0.33741971343873489</v>
      </c>
      <c r="U40" s="71">
        <f t="shared" si="438"/>
        <v>0.28093325021357196</v>
      </c>
      <c r="V40" s="71">
        <f t="shared" si="438"/>
        <v>0.15944014347900493</v>
      </c>
      <c r="W40" s="71">
        <f t="shared" si="438"/>
        <v>0.37012623593060145</v>
      </c>
      <c r="X40" s="71">
        <f t="shared" si="438"/>
        <v>0.32535855307947181</v>
      </c>
      <c r="Y40" s="71">
        <f t="shared" si="438"/>
        <v>0.47007657964240024</v>
      </c>
      <c r="Z40" s="74">
        <f>+IF(Y39&lt;0,1-Z39/Y39,Z39/Y39-1)</f>
        <v>0.1068255738449575</v>
      </c>
      <c r="AA40" s="74">
        <f>+IF(Z39&lt;0,1-AA39/Z39,AA39/Z39-1)</f>
        <v>9.3721390312430986E-2</v>
      </c>
      <c r="AB40" s="72">
        <f t="shared" ref="AB40:AE40" si="439">+IF(AA39&lt;0,1-AB39/AA39,AB39/AA39-1)</f>
        <v>0.26436337531123066</v>
      </c>
      <c r="AC40" s="72">
        <f t="shared" si="439"/>
        <v>0.21645644441835277</v>
      </c>
      <c r="AD40" s="72">
        <f t="shared" si="439"/>
        <v>0.15978122740200562</v>
      </c>
      <c r="AE40" s="72">
        <f t="shared" si="439"/>
        <v>0.15267703127057364</v>
      </c>
      <c r="AG40" s="73"/>
      <c r="AH40" s="74"/>
      <c r="AI40" s="74"/>
      <c r="AJ40" s="74"/>
      <c r="AK40" s="74"/>
      <c r="AL40" s="74" t="e">
        <f t="shared" ref="AL40:BV40" si="440">+IF(AH39&lt;0,1-AL39/AH39,AL39/AH39-1)</f>
        <v>#DIV/0!</v>
      </c>
      <c r="AM40" s="74" t="e">
        <f t="shared" si="440"/>
        <v>#DIV/0!</v>
      </c>
      <c r="AN40" s="74" t="e">
        <f t="shared" si="440"/>
        <v>#DIV/0!</v>
      </c>
      <c r="AO40" s="74" t="e">
        <f t="shared" si="440"/>
        <v>#DIV/0!</v>
      </c>
      <c r="AP40" s="74" t="e">
        <f t="shared" si="440"/>
        <v>#DIV/0!</v>
      </c>
      <c r="AQ40" s="74" t="e">
        <f t="shared" si="440"/>
        <v>#DIV/0!</v>
      </c>
      <c r="AR40" s="74" t="e">
        <f t="shared" si="440"/>
        <v>#DIV/0!</v>
      </c>
      <c r="AS40" s="74" t="e">
        <f t="shared" si="440"/>
        <v>#DIV/0!</v>
      </c>
      <c r="AT40" s="74" t="e">
        <f t="shared" si="440"/>
        <v>#DIV/0!</v>
      </c>
      <c r="AU40" s="74">
        <f t="shared" si="440"/>
        <v>0.61969926008433474</v>
      </c>
      <c r="AV40" s="74">
        <f t="shared" si="440"/>
        <v>0.86950442752835144</v>
      </c>
      <c r="AW40" s="74">
        <f t="shared" si="440"/>
        <v>0.37930830972615714</v>
      </c>
      <c r="AX40" s="74">
        <f t="shared" si="440"/>
        <v>0.34174530802672032</v>
      </c>
      <c r="AY40" s="74">
        <f t="shared" si="440"/>
        <v>0.26515374791236845</v>
      </c>
      <c r="AZ40" s="74">
        <f t="shared" si="440"/>
        <v>0.27837792920059834</v>
      </c>
      <c r="BA40" s="74">
        <f t="shared" si="440"/>
        <v>0.31705960378246534</v>
      </c>
      <c r="BB40" s="74">
        <f t="shared" si="440"/>
        <v>0.53481112691638999</v>
      </c>
      <c r="BC40" s="74">
        <f t="shared" si="440"/>
        <v>0.32470104053424431</v>
      </c>
      <c r="BD40" s="74">
        <f t="shared" si="440"/>
        <v>3.6238949557982236E-2</v>
      </c>
      <c r="BE40" s="74">
        <f t="shared" si="440"/>
        <v>0.58841493128878208</v>
      </c>
      <c r="BF40" s="74">
        <f t="shared" si="440"/>
        <v>-5.2519115413330542E-2</v>
      </c>
      <c r="BG40" s="74">
        <f t="shared" si="440"/>
        <v>0.14311673847416406</v>
      </c>
      <c r="BH40" s="74">
        <f t="shared" si="440"/>
        <v>0.41329235015525501</v>
      </c>
      <c r="BI40" s="74">
        <f t="shared" si="440"/>
        <v>0.13989732681569955</v>
      </c>
      <c r="BJ40" s="74">
        <f t="shared" si="440"/>
        <v>0.30619786430454066</v>
      </c>
      <c r="BK40" s="74">
        <f t="shared" si="440"/>
        <v>0.38731347110404601</v>
      </c>
      <c r="BL40" s="74">
        <f t="shared" si="440"/>
        <v>0.32159343098091475</v>
      </c>
      <c r="BM40" s="74">
        <f t="shared" si="440"/>
        <v>0.29295031668849703</v>
      </c>
      <c r="BN40" s="74">
        <f t="shared" si="440"/>
        <v>0.63463138625395232</v>
      </c>
      <c r="BO40" s="74">
        <f t="shared" si="440"/>
        <v>0.5223626820433207</v>
      </c>
      <c r="BP40" s="74">
        <f t="shared" si="440"/>
        <v>0.43361152625480659</v>
      </c>
      <c r="BQ40" s="74">
        <f t="shared" si="440"/>
        <v>0.355745212323064</v>
      </c>
      <c r="BR40" s="74">
        <f t="shared" si="440"/>
        <v>0.27547722066683633</v>
      </c>
      <c r="BS40" s="74">
        <f t="shared" si="440"/>
        <v>0.17675909289564395</v>
      </c>
      <c r="BT40" s="74">
        <f t="shared" si="440"/>
        <v>6.2467056329284398E-2</v>
      </c>
      <c r="BU40" s="74">
        <f t="shared" si="440"/>
        <v>-4.8129382261118625E-2</v>
      </c>
      <c r="BV40" s="74">
        <f t="shared" si="440"/>
        <v>-2.0752890937571711E-2</v>
      </c>
      <c r="BW40" s="74">
        <f>+IF(BS39&lt;0,1-BW39/BS39,BW39/BS39-1)</f>
        <v>6.2084760450625165E-2</v>
      </c>
      <c r="BX40" s="74">
        <f>+IF(BT39&lt;0,1-BX39/BT39,BX39/BT39-1)</f>
        <v>0.13770864110422698</v>
      </c>
      <c r="BY40" s="74">
        <f>+IF(BU39&lt;0,1-BY39/BU39,BY39/BU39-1)</f>
        <v>0.20496166378114467</v>
      </c>
      <c r="BZ40" s="36">
        <f t="shared" ref="BZ40:CO40" si="441">+IF(BV39&lt;0,1-BZ39/BV39,BZ39/BV39-1)</f>
        <v>0.17596953967633722</v>
      </c>
      <c r="CA40" s="36">
        <f t="shared" si="441"/>
        <v>0.28347511621619703</v>
      </c>
      <c r="CB40" s="36">
        <f t="shared" si="441"/>
        <v>0.3124418899772119</v>
      </c>
      <c r="CC40" s="36">
        <f t="shared" si="441"/>
        <v>0.273111676351522</v>
      </c>
      <c r="CD40" s="36">
        <f t="shared" si="441"/>
        <v>0.28888043532415675</v>
      </c>
      <c r="CE40" s="36">
        <f t="shared" si="441"/>
        <v>0.20774570779065527</v>
      </c>
      <c r="CF40" s="36">
        <f t="shared" si="441"/>
        <v>0.1999195960999558</v>
      </c>
      <c r="CG40" s="36">
        <f t="shared" si="441"/>
        <v>0.18162937765925125</v>
      </c>
      <c r="CH40" s="36">
        <f t="shared" si="441"/>
        <v>0.18572184361624511</v>
      </c>
      <c r="CI40" s="36">
        <f t="shared" si="441"/>
        <v>0.16357926061443417</v>
      </c>
      <c r="CJ40" s="36">
        <f t="shared" si="441"/>
        <v>0.15263401948413557</v>
      </c>
      <c r="CK40" s="36">
        <f t="shared" si="441"/>
        <v>0.14018371943282237</v>
      </c>
      <c r="CL40" s="36">
        <f t="shared" si="441"/>
        <v>0.15941465268451482</v>
      </c>
      <c r="CM40" s="36">
        <f t="shared" si="441"/>
        <v>0.15217203030018145</v>
      </c>
      <c r="CN40" s="36">
        <f t="shared" si="441"/>
        <v>0.15001187626321322</v>
      </c>
      <c r="CO40" s="36">
        <f t="shared" si="441"/>
        <v>0.14957907660158964</v>
      </c>
      <c r="CT40" s="71">
        <v>9.531564048869301E-2</v>
      </c>
    </row>
    <row r="41" spans="1:98" s="38" customFormat="1" x14ac:dyDescent="0.2">
      <c r="A41" s="38" t="s">
        <v>0</v>
      </c>
      <c r="B41" s="38">
        <f>+'Annual Raw'!C18</f>
        <v>0</v>
      </c>
      <c r="C41" s="38">
        <f>+'Annual Raw'!D18</f>
        <v>0</v>
      </c>
      <c r="D41" s="38">
        <f>+'Annual Raw'!E18</f>
        <v>0</v>
      </c>
      <c r="E41" s="38">
        <f>+'Annual Raw'!F18</f>
        <v>0</v>
      </c>
      <c r="F41" s="38">
        <f>+'Annual Raw'!G18</f>
        <v>0</v>
      </c>
      <c r="G41" s="38">
        <f>+'Annual Raw'!H18</f>
        <v>0</v>
      </c>
      <c r="H41" s="38">
        <f>+'Annual Raw'!I18</f>
        <v>0</v>
      </c>
      <c r="I41" s="38">
        <f>+'Annual Raw'!J18</f>
        <v>0</v>
      </c>
      <c r="J41" s="38">
        <f>+'Annual Raw'!K18</f>
        <v>7.4530022999999996</v>
      </c>
      <c r="K41" s="38">
        <f>+'Annual Raw'!L18</f>
        <v>12.966241800000001</v>
      </c>
      <c r="L41" s="38">
        <f>+'Annual Raw'!M18</f>
        <v>23.194130999999999</v>
      </c>
      <c r="M41" s="38">
        <f>+'Annual Raw'!N18</f>
        <v>21.797751999999999</v>
      </c>
      <c r="N41" s="38">
        <f>+'Annual Raw'!O18</f>
        <v>22.450525500000001</v>
      </c>
      <c r="O41" s="38">
        <f>+'Annual Raw'!P18</f>
        <v>29.253943199999998</v>
      </c>
      <c r="P41" s="38">
        <f>+'Annual Raw'!Q18</f>
        <v>43.637554399999999</v>
      </c>
      <c r="Q41" s="38">
        <f>+'Annual Raw'!R18</f>
        <v>70.671589699999998</v>
      </c>
      <c r="R41" s="38">
        <f>+'Annual Raw'!S18</f>
        <v>104.6846826</v>
      </c>
      <c r="S41" s="38">
        <f>+'Annual Raw'!T18</f>
        <v>130.44</v>
      </c>
      <c r="T41" s="38">
        <f>+'Annual Raw'!U18</f>
        <v>186.05</v>
      </c>
      <c r="U41" s="38">
        <f>+'Annual Raw'!V18</f>
        <v>259.64</v>
      </c>
      <c r="V41" s="38">
        <f>+'Annual Raw'!W18</f>
        <v>299.60000000000002</v>
      </c>
      <c r="W41" s="38">
        <f>+'Annual Raw'!X18</f>
        <v>437.62</v>
      </c>
      <c r="X41" s="38">
        <f>+'Annual Raw'!Y18</f>
        <v>515.24</v>
      </c>
      <c r="Y41" s="38">
        <f>+'Annual Raw'!Z18</f>
        <v>669.43</v>
      </c>
      <c r="Z41" s="38">
        <f>+'Annual Raw'!AA18</f>
        <v>730.36</v>
      </c>
      <c r="AA41" s="38">
        <f>+'Annual Raw'!AB18</f>
        <v>879.09</v>
      </c>
      <c r="AB41" s="39">
        <f>SUM(BZ41:CC41)</f>
        <v>1593.888287555912</v>
      </c>
      <c r="AC41" s="39">
        <f>SUM(CD41:CG41)</f>
        <v>1760.4207498481824</v>
      </c>
      <c r="AD41" s="39">
        <f>SUM(CH41:CK41)</f>
        <v>1999.1868368690252</v>
      </c>
      <c r="AE41" s="39">
        <f>SUM(CL41:CO41)</f>
        <v>2301.6424011079539</v>
      </c>
      <c r="AG41" s="60"/>
      <c r="AH41" s="38">
        <f>+'QTR Raw'!D20</f>
        <v>0</v>
      </c>
      <c r="AI41" s="38">
        <f>+'QTR Raw'!E20</f>
        <v>0</v>
      </c>
      <c r="AJ41" s="38">
        <f>+'QTR Raw'!F20</f>
        <v>0</v>
      </c>
      <c r="AK41" s="38">
        <f>+'QTR Raw'!G20</f>
        <v>0</v>
      </c>
      <c r="AL41" s="38">
        <f>+'QTR Raw'!H20</f>
        <v>0</v>
      </c>
      <c r="AM41" s="38">
        <f>+'QTR Raw'!I20</f>
        <v>0</v>
      </c>
      <c r="AN41" s="38">
        <f>+'QTR Raw'!J20</f>
        <v>0</v>
      </c>
      <c r="AO41" s="38">
        <f>+'QTR Raw'!K20</f>
        <v>0</v>
      </c>
      <c r="AP41" s="38">
        <f>+'QTR Raw'!L20</f>
        <v>0</v>
      </c>
      <c r="AQ41" s="38">
        <f>+'QTR Raw'!M20</f>
        <v>31.39</v>
      </c>
      <c r="AR41" s="38">
        <f>+'QTR Raw'!N20</f>
        <v>31.29</v>
      </c>
      <c r="AS41" s="38">
        <f>+'QTR Raw'!O20</f>
        <v>38.68</v>
      </c>
      <c r="AT41" s="38">
        <f>+'QTR Raw'!P20</f>
        <v>40.51</v>
      </c>
      <c r="AU41" s="38">
        <f>+'QTR Raw'!Q20</f>
        <v>46.58</v>
      </c>
      <c r="AV41" s="38">
        <f>+'QTR Raw'!R20</f>
        <v>48.99</v>
      </c>
      <c r="AW41" s="38">
        <f>+'QTR Raw'!S20</f>
        <v>49.97</v>
      </c>
      <c r="AX41" s="38">
        <f>+'QTR Raw'!T20</f>
        <v>58.64</v>
      </c>
      <c r="AY41" s="38">
        <f>+'QTR Raw'!U20</f>
        <v>65.41</v>
      </c>
      <c r="AZ41" s="38">
        <f>+'QTR Raw'!V20</f>
        <v>67.44</v>
      </c>
      <c r="BA41" s="38">
        <f>+'QTR Raw'!W20</f>
        <v>70.569999999999993</v>
      </c>
      <c r="BB41" s="38">
        <f>+'QTR Raw'!X20</f>
        <v>97.22</v>
      </c>
      <c r="BC41" s="38">
        <f>+'QTR Raw'!Y20</f>
        <v>92.11</v>
      </c>
      <c r="BD41" s="38">
        <f>+'QTR Raw'!Z20</f>
        <v>94.97</v>
      </c>
      <c r="BE41" s="38">
        <f>+'QTR Raw'!AA20</f>
        <v>95.69</v>
      </c>
      <c r="BF41" s="38">
        <f>+'QTR Raw'!AB20</f>
        <v>100.64</v>
      </c>
      <c r="BG41" s="38">
        <f>+'QTR Raw'!AC20</f>
        <v>111.93</v>
      </c>
      <c r="BH41" s="38">
        <f>+'QTR Raw'!AD20</f>
        <v>112.75</v>
      </c>
      <c r="BI41" s="38">
        <f>+'QTR Raw'!AE20</f>
        <v>112.25</v>
      </c>
      <c r="BJ41" s="38">
        <f>+'QTR Raw'!AF20</f>
        <v>123.9</v>
      </c>
      <c r="BK41" s="38">
        <f>+'QTR Raw'!AG20</f>
        <v>129.68</v>
      </c>
      <c r="BL41" s="38">
        <f>+'QTR Raw'!AH20</f>
        <v>127.14</v>
      </c>
      <c r="BM41" s="38">
        <f>+'QTR Raw'!AI20</f>
        <v>134.52000000000001</v>
      </c>
      <c r="BN41" s="38">
        <f>+'QTR Raw'!AJ20</f>
        <v>156.32</v>
      </c>
      <c r="BO41" s="38">
        <f>+'QTR Raw'!AK20</f>
        <v>161.76</v>
      </c>
      <c r="BP41" s="38">
        <f>+'QTR Raw'!AL20</f>
        <v>156.71</v>
      </c>
      <c r="BQ41" s="38">
        <f>+'QTR Raw'!AM20</f>
        <v>194.64</v>
      </c>
      <c r="BR41" s="38">
        <f>+'QTR Raw'!AN20</f>
        <v>187.79</v>
      </c>
      <c r="BS41" s="38">
        <f>+'QTR Raw'!AO20</f>
        <v>188.83</v>
      </c>
      <c r="BT41" s="38">
        <f>+'QTR Raw'!AP20</f>
        <v>178.37</v>
      </c>
      <c r="BU41" s="38">
        <f>+'QTR Raw'!AQ20</f>
        <v>175.36</v>
      </c>
      <c r="BV41" s="38">
        <f>+'QTR Raw'!AR20</f>
        <v>221.21</v>
      </c>
      <c r="BW41" s="38">
        <f>+'QTR Raw'!AS20</f>
        <v>219.32</v>
      </c>
      <c r="BX41" s="38">
        <f>+'QTR Raw'!AT20</f>
        <v>226.85</v>
      </c>
      <c r="BY41" s="38">
        <f>+'QTR Raw'!AU20</f>
        <v>211.71</v>
      </c>
      <c r="BZ41" s="109">
        <f t="shared" ref="BZ41:CO41" si="442">BZ18*BY5</f>
        <v>386.90991817262045</v>
      </c>
      <c r="CA41" s="109">
        <f t="shared" si="442"/>
        <v>402.46175047283424</v>
      </c>
      <c r="CB41" s="109">
        <f t="shared" si="442"/>
        <v>399.46249406418895</v>
      </c>
      <c r="CC41" s="109">
        <f t="shared" si="442"/>
        <v>405.05412484626822</v>
      </c>
      <c r="CD41" s="109">
        <f t="shared" si="442"/>
        <v>428.42631565060339</v>
      </c>
      <c r="CE41" s="109">
        <f t="shared" si="442"/>
        <v>443.07028136039111</v>
      </c>
      <c r="CF41" s="109">
        <f t="shared" si="442"/>
        <v>440.95957863806797</v>
      </c>
      <c r="CG41" s="109">
        <f t="shared" si="442"/>
        <v>447.96457419911974</v>
      </c>
      <c r="CH41" s="109">
        <f t="shared" si="442"/>
        <v>478.69237683907056</v>
      </c>
      <c r="CI41" s="109">
        <f t="shared" si="442"/>
        <v>500.32648371104096</v>
      </c>
      <c r="CJ41" s="109">
        <f t="shared" si="442"/>
        <v>503.4938278360226</v>
      </c>
      <c r="CK41" s="109">
        <f t="shared" si="442"/>
        <v>516.67414848289104</v>
      </c>
      <c r="CL41" s="109">
        <f t="shared" si="442"/>
        <v>551.3616591400471</v>
      </c>
      <c r="CM41" s="109">
        <f t="shared" si="442"/>
        <v>575.8641969991404</v>
      </c>
      <c r="CN41" s="109">
        <f t="shared" si="442"/>
        <v>579.69281747167634</v>
      </c>
      <c r="CO41" s="109">
        <f t="shared" si="442"/>
        <v>594.72372749709007</v>
      </c>
      <c r="CT41" s="38">
        <v>879.09</v>
      </c>
    </row>
    <row r="42" spans="1:98" s="38" customFormat="1" x14ac:dyDescent="0.2">
      <c r="A42" s="38" t="s">
        <v>1</v>
      </c>
      <c r="B42" s="38">
        <f>+'Annual Raw'!C19+'Annual Raw'!C20+'Annual Raw'!C21+'Annual Raw'!C17+'Annual Raw'!C16+'Annual Raw'!C15-'Annual Raw'!C24</f>
        <v>0</v>
      </c>
      <c r="C42" s="38">
        <f>+'Annual Raw'!D19+'Annual Raw'!D20+'Annual Raw'!D21+'Annual Raw'!D17+'Annual Raw'!D16+'Annual Raw'!D15-'Annual Raw'!D24</f>
        <v>0</v>
      </c>
      <c r="D42" s="38">
        <f>+'Annual Raw'!E19+'Annual Raw'!E20+'Annual Raw'!E21+'Annual Raw'!E17+'Annual Raw'!E16+'Annual Raw'!E15-'Annual Raw'!E24</f>
        <v>0</v>
      </c>
      <c r="E42" s="38">
        <f>+'Annual Raw'!F19+'Annual Raw'!F20+'Annual Raw'!F21+'Annual Raw'!F17+'Annual Raw'!F16+'Annual Raw'!F15-'Annual Raw'!F24</f>
        <v>0</v>
      </c>
      <c r="F42" s="38">
        <f>+'Annual Raw'!G19+'Annual Raw'!G20+'Annual Raw'!G21+'Annual Raw'!G17+'Annual Raw'!G16+'Annual Raw'!G15-'Annual Raw'!G24</f>
        <v>0</v>
      </c>
      <c r="G42" s="38">
        <f>+'Annual Raw'!H19+'Annual Raw'!H20+'Annual Raw'!H21+'Annual Raw'!H17+'Annual Raw'!H16+'Annual Raw'!H15-'Annual Raw'!H24</f>
        <v>0</v>
      </c>
      <c r="H42" s="38">
        <f>+'Annual Raw'!I19+'Annual Raw'!I20+'Annual Raw'!I21+'Annual Raw'!I17+'Annual Raw'!I16+'Annual Raw'!I15-'Annual Raw'!I24</f>
        <v>0</v>
      </c>
      <c r="I42" s="38">
        <f>+'Annual Raw'!J19+'Annual Raw'!J20+'Annual Raw'!J21+'Annual Raw'!J17+'Annual Raw'!J16+'Annual Raw'!J15-'Annual Raw'!J24</f>
        <v>0</v>
      </c>
      <c r="J42" s="38">
        <f>+'Annual Raw'!K19+'Annual Raw'!K20+'Annual Raw'!K21+'Annual Raw'!K17+'Annual Raw'!K16+'Annual Raw'!K15-'Annual Raw'!K24</f>
        <v>8.1620501999999995</v>
      </c>
      <c r="K42" s="38">
        <f>+'Annual Raw'!L19+'Annual Raw'!L20+'Annual Raw'!L21+'Annual Raw'!L17+'Annual Raw'!L16+'Annual Raw'!L15-'Annual Raw'!L24</f>
        <v>8.7933351000000002</v>
      </c>
      <c r="L42" s="38">
        <f>+'Annual Raw'!M19+'Annual Raw'!M20+'Annual Raw'!M21+'Annual Raw'!M17+'Annual Raw'!M16+'Annual Raw'!M15-'Annual Raw'!M24</f>
        <v>13.344583500000001</v>
      </c>
      <c r="M42" s="38">
        <f>+'Annual Raw'!N19+'Annual Raw'!N20+'Annual Raw'!N21+'Annual Raw'!N17+'Annual Raw'!N16+'Annual Raw'!N15-'Annual Raw'!N24</f>
        <v>11.251363599999999</v>
      </c>
      <c r="N42" s="38">
        <f>+'Annual Raw'!O19+'Annual Raw'!O20+'Annual Raw'!O21+'Annual Raw'!O17+'Annual Raw'!O16+'Annual Raw'!O15-'Annual Raw'!O24</f>
        <v>11.519223999999999</v>
      </c>
      <c r="O42" s="38">
        <f>+'Annual Raw'!P19+'Annual Raw'!P20+'Annual Raw'!P21+'Annual Raw'!P17+'Annual Raw'!P16+'Annual Raw'!P15-'Annual Raw'!P24</f>
        <v>13.568577899999999</v>
      </c>
      <c r="P42" s="38">
        <f>+'Annual Raw'!Q19+'Annual Raw'!Q20+'Annual Raw'!Q21+'Annual Raw'!Q17+'Annual Raw'!Q16+'Annual Raw'!Q15-'Annual Raw'!Q24</f>
        <v>23.177751499999999</v>
      </c>
      <c r="Q42" s="38">
        <f>+'Annual Raw'!R19+'Annual Raw'!R20+'Annual Raw'!R21+'Annual Raw'!R17+'Annual Raw'!R16+'Annual Raw'!R15-'Annual Raw'!R24</f>
        <v>35.652954500000007</v>
      </c>
      <c r="R42" s="38">
        <f>+'Annual Raw'!S19+'Annual Raw'!S20+'Annual Raw'!S21+'Annual Raw'!S17+'Annual Raw'!S16+'Annual Raw'!S15-'Annual Raw'!S24</f>
        <v>47.327700399999998</v>
      </c>
      <c r="S42" s="38">
        <f>+'Annual Raw'!T19+'Annual Raw'!T20+'Annual Raw'!T21+'Annual Raw'!T17+'Annual Raw'!T16+'Annual Raw'!T15-'Annual Raw'!T24</f>
        <v>57.35</v>
      </c>
      <c r="T42" s="38">
        <f>+'Annual Raw'!U19+'Annual Raw'!U20+'Annual Raw'!U21+'Annual Raw'!U17+'Annual Raw'!U16+'Annual Raw'!U15-'Annual Raw'!U24</f>
        <v>88.179999999999993</v>
      </c>
      <c r="U42" s="38">
        <f>+'Annual Raw'!V19+'Annual Raw'!V20+'Annual Raw'!V21+'Annual Raw'!V17+'Annual Raw'!V16+'Annual Raw'!V15-'Annual Raw'!V24</f>
        <v>123.31</v>
      </c>
      <c r="V42" s="38">
        <f>+'Annual Raw'!W19+'Annual Raw'!W20+'Annual Raw'!W21+'Annual Raw'!W17+'Annual Raw'!W16+'Annual Raw'!W15-'Annual Raw'!W24</f>
        <v>103.99</v>
      </c>
      <c r="W42" s="38">
        <f>+'Annual Raw'!X19+'Annual Raw'!X20+'Annual Raw'!X21+'Annual Raw'!X17+'Annual Raw'!X16+'Annual Raw'!X15-'Annual Raw'!X24</f>
        <v>177.32</v>
      </c>
      <c r="X42" s="38">
        <f>+'Annual Raw'!Y19+'Annual Raw'!Y20+'Annual Raw'!Y21+'Annual Raw'!Y17+'Annual Raw'!Y16+'Annual Raw'!Y15-'Annual Raw'!Y24</f>
        <v>246.11</v>
      </c>
      <c r="Y42" s="38">
        <f>+'Annual Raw'!Z19+'Annual Raw'!Z20+'Annual Raw'!Z21+'Annual Raw'!Z17+'Annual Raw'!Z16+'Annual Raw'!Z15-'Annual Raw'!Z24</f>
        <v>301.25</v>
      </c>
      <c r="Z42" s="38">
        <f>+'Annual Raw'!AA19+'Annual Raw'!AA20+'Annual Raw'!AA21+'Annual Raw'!AA17+'Annual Raw'!AA16+'Annual Raw'!AA15-'Annual Raw'!AA24</f>
        <v>340.75</v>
      </c>
      <c r="AA42" s="38">
        <f>+'Annual Raw'!AB19+'Annual Raw'!AB20+'Annual Raw'!AB21+'Annual Raw'!AB17+'Annual Raw'!AB16+'Annual Raw'!AB15-'Annual Raw'!AB24</f>
        <v>373.10999999999996</v>
      </c>
      <c r="AB42" s="39">
        <f>SUM(BZ42:CC42)</f>
        <v>0</v>
      </c>
      <c r="AC42" s="39">
        <f>SUM(CD42:CG42)</f>
        <v>0</v>
      </c>
      <c r="AD42" s="39">
        <f>SUM(CH42:CK42)</f>
        <v>0</v>
      </c>
      <c r="AE42" s="39">
        <f>SUM(CL42:CO42)</f>
        <v>0</v>
      </c>
      <c r="AG42" s="60"/>
      <c r="AH42" s="38">
        <f>+'QTR Raw'!D15+'QTR Raw'!D21+'QTR Raw'!D17+'QTR Raw'!D18+'QTR Raw'!D19+'QTR Raw'!D16+'QTR Raw'!D25</f>
        <v>0</v>
      </c>
      <c r="AI42" s="38">
        <f>+'QTR Raw'!E15+'QTR Raw'!E21+'QTR Raw'!E17+'QTR Raw'!E18+'QTR Raw'!E19+'QTR Raw'!E16+'QTR Raw'!E25</f>
        <v>0</v>
      </c>
      <c r="AJ42" s="38">
        <f>+'QTR Raw'!F15+'QTR Raw'!F21+'QTR Raw'!F17+'QTR Raw'!F18+'QTR Raw'!F19+'QTR Raw'!F16+'QTR Raw'!F25</f>
        <v>0</v>
      </c>
      <c r="AK42" s="38">
        <f>+'QTR Raw'!G15+'QTR Raw'!G21+'QTR Raw'!G17+'QTR Raw'!G18+'QTR Raw'!G19+'QTR Raw'!G16+'QTR Raw'!G25</f>
        <v>0</v>
      </c>
      <c r="AL42" s="38">
        <f>+'QTR Raw'!H15+'QTR Raw'!H21+'QTR Raw'!H17+'QTR Raw'!H18+'QTR Raw'!H19+'QTR Raw'!H16+'QTR Raw'!H25</f>
        <v>0</v>
      </c>
      <c r="AM42" s="38">
        <f>+'QTR Raw'!I15+'QTR Raw'!I21+'QTR Raw'!I17+'QTR Raw'!I18+'QTR Raw'!I19+'QTR Raw'!I16+'QTR Raw'!I25</f>
        <v>0</v>
      </c>
      <c r="AN42" s="38">
        <f>+'QTR Raw'!J15+'QTR Raw'!J21+'QTR Raw'!J17+'QTR Raw'!J18+'QTR Raw'!J19+'QTR Raw'!J16+'QTR Raw'!J25</f>
        <v>0</v>
      </c>
      <c r="AO42" s="38">
        <f>+'QTR Raw'!K15+'QTR Raw'!K21+'QTR Raw'!K17+'QTR Raw'!K18+'QTR Raw'!K19+'QTR Raw'!K16+'QTR Raw'!K25</f>
        <v>0</v>
      </c>
      <c r="AP42" s="38">
        <f>+'QTR Raw'!L15+'QTR Raw'!L21+'QTR Raw'!L17+'QTR Raw'!L18+'QTR Raw'!L19+'QTR Raw'!L16+'QTR Raw'!L25</f>
        <v>0</v>
      </c>
      <c r="AQ42" s="38">
        <f>+'QTR Raw'!M15+'QTR Raw'!M21+'QTR Raw'!M17+'QTR Raw'!M18+'QTR Raw'!M19+'QTR Raw'!M16+'QTR Raw'!M25</f>
        <v>14</v>
      </c>
      <c r="AR42" s="38">
        <f>+'QTR Raw'!N15+'QTR Raw'!N21+'QTR Raw'!N17+'QTR Raw'!N18+'QTR Raw'!N19+'QTR Raw'!N16+'QTR Raw'!N25</f>
        <v>16.399999999999999</v>
      </c>
      <c r="AS42" s="38">
        <f>+'QTR Raw'!O15+'QTR Raw'!O21+'QTR Raw'!O17+'QTR Raw'!O18+'QTR Raw'!O19+'QTR Raw'!O16+'QTR Raw'!O25</f>
        <v>20.8</v>
      </c>
      <c r="AT42" s="38">
        <f>+'QTR Raw'!P15+'QTR Raw'!P21+'QTR Raw'!P17+'QTR Raw'!P18+'QTR Raw'!P19+'QTR Raw'!P16+'QTR Raw'!P25</f>
        <v>20.28</v>
      </c>
      <c r="AU42" s="38">
        <f>+'QTR Raw'!Q15+'QTR Raw'!Q21+'QTR Raw'!Q17+'QTR Raw'!Q18+'QTR Raw'!Q19+'QTR Raw'!Q16+'QTR Raw'!Q25</f>
        <v>23.99</v>
      </c>
      <c r="AV42" s="38">
        <f>+'QTR Raw'!R15+'QTR Raw'!R21+'QTR Raw'!R17+'QTR Raw'!R18+'QTR Raw'!R19+'QTR Raw'!R16+'QTR Raw'!R25</f>
        <v>25.68</v>
      </c>
      <c r="AW42" s="38">
        <f>+'QTR Raw'!S15+'QTR Raw'!S21+'QTR Raw'!S17+'QTR Raw'!S18+'QTR Raw'!S19+'QTR Raw'!S16+'QTR Raw'!S25</f>
        <v>30.21</v>
      </c>
      <c r="AX42" s="38">
        <f>+'QTR Raw'!T15+'QTR Raw'!T21+'QTR Raw'!T17+'QTR Raw'!T18+'QTR Raw'!T19+'QTR Raw'!T16+'QTR Raw'!T25</f>
        <v>27.57</v>
      </c>
      <c r="AY42" s="38">
        <f>+'QTR Raw'!U15+'QTR Raw'!U21+'QTR Raw'!U17+'QTR Raw'!U18+'QTR Raw'!U19+'QTR Raw'!U16+'QTR Raw'!U25</f>
        <v>30.79</v>
      </c>
      <c r="AZ42" s="38">
        <f>+'QTR Raw'!V15+'QTR Raw'!V21+'QTR Raw'!V17+'QTR Raw'!V18+'QTR Raw'!V19+'QTR Raw'!V16+'QTR Raw'!V25</f>
        <v>34.53</v>
      </c>
      <c r="BA42" s="38">
        <f>+'QTR Raw'!W15+'QTR Raw'!W21+'QTR Raw'!W17+'QTR Raw'!W18+'QTR Raw'!W19+'QTR Raw'!W16+'QTR Raw'!W25</f>
        <v>51.96</v>
      </c>
      <c r="BB42" s="38">
        <f>+'QTR Raw'!X15+'QTR Raw'!X21+'QTR Raw'!X17+'QTR Raw'!X18+'QTR Raw'!X19+'QTR Raw'!X16+'QTR Raw'!X25</f>
        <v>24.99</v>
      </c>
      <c r="BC42" s="38">
        <f>+'QTR Raw'!Y15+'QTR Raw'!Y21+'QTR Raw'!Y17+'QTR Raw'!Y18+'QTR Raw'!Y19+'QTR Raw'!Y16+'QTR Raw'!Y25</f>
        <v>40.89</v>
      </c>
      <c r="BD42" s="38">
        <f>+'QTR Raw'!Z15+'QTR Raw'!Z21+'QTR Raw'!Z17+'QTR Raw'!Z18+'QTR Raw'!Z19+'QTR Raw'!Z16+'QTR Raw'!Z25</f>
        <v>43.1</v>
      </c>
      <c r="BE42" s="38">
        <f>+'QTR Raw'!AA15+'QTR Raw'!AA21+'QTR Raw'!AA17+'QTR Raw'!AA18+'QTR Raw'!AA19+'QTR Raw'!AA16+'QTR Raw'!AA25</f>
        <v>52.57</v>
      </c>
      <c r="BF42" s="38">
        <f>+'QTR Raw'!AB15+'QTR Raw'!AB21+'QTR Raw'!AB17+'QTR Raw'!AB18+'QTR Raw'!AB19+'QTR Raw'!AB16+'QTR Raw'!AB25</f>
        <v>39.72</v>
      </c>
      <c r="BG42" s="38">
        <f>+'QTR Raw'!AC15+'QTR Raw'!AC21+'QTR Raw'!AC17+'QTR Raw'!AC18+'QTR Raw'!AC19+'QTR Raw'!AC16+'QTR Raw'!AC25</f>
        <v>47.42</v>
      </c>
      <c r="BH42" s="38">
        <f>+'QTR Raw'!AD15+'QTR Raw'!AD21+'QTR Raw'!AD17+'QTR Raw'!AD18+'QTR Raw'!AD19+'QTR Raw'!AD16+'QTR Raw'!AD25</f>
        <v>52.74</v>
      </c>
      <c r="BI42" s="38">
        <f>+'QTR Raw'!AE15+'QTR Raw'!AE21+'QTR Raw'!AE17+'QTR Raw'!AE18+'QTR Raw'!AE19+'QTR Raw'!AE16+'QTR Raw'!AE25</f>
        <v>63.78</v>
      </c>
      <c r="BJ42" s="38">
        <f>+'QTR Raw'!AF15+'QTR Raw'!AF21+'QTR Raw'!AF17+'QTR Raw'!AF18+'QTR Raw'!AF19+'QTR Raw'!AF16+'QTR Raw'!AF25</f>
        <v>55.18</v>
      </c>
      <c r="BK42" s="38">
        <f>+'QTR Raw'!AG15+'QTR Raw'!AG21+'QTR Raw'!AG17+'QTR Raw'!AG18+'QTR Raw'!AG19+'QTR Raw'!AG16+'QTR Raw'!AG25</f>
        <v>64.209999999999994</v>
      </c>
      <c r="BL42" s="38">
        <f>+'QTR Raw'!AH15+'QTR Raw'!AH21+'QTR Raw'!AH17+'QTR Raw'!AH18+'QTR Raw'!AH19+'QTR Raw'!AH16+'QTR Raw'!AH25</f>
        <v>76.290000000000006</v>
      </c>
      <c r="BM42" s="38">
        <f>+'QTR Raw'!AI15+'QTR Raw'!AI21+'QTR Raw'!AI17+'QTR Raw'!AI18+'QTR Raw'!AI19+'QTR Raw'!AI16+'QTR Raw'!AI25</f>
        <v>70.72</v>
      </c>
      <c r="BN42" s="38">
        <f>+'QTR Raw'!AJ15+'QTR Raw'!AJ21+'QTR Raw'!AJ17+'QTR Raw'!AJ18+'QTR Raw'!AJ19+'QTR Raw'!AJ16+'QTR Raw'!AJ25</f>
        <v>73.650000000000006</v>
      </c>
      <c r="BO42" s="38">
        <f>+'QTR Raw'!AK15+'QTR Raw'!AK21+'QTR Raw'!AK17+'QTR Raw'!AK18+'QTR Raw'!AK19+'QTR Raw'!AK16+'QTR Raw'!AK25</f>
        <v>87.06</v>
      </c>
      <c r="BP42" s="38">
        <f>+'QTR Raw'!AL15+'QTR Raw'!AL21+'QTR Raw'!AL17+'QTR Raw'!AL18+'QTR Raw'!AL19+'QTR Raw'!AL16+'QTR Raw'!AL25</f>
        <v>82.19</v>
      </c>
      <c r="BQ42" s="38">
        <f>+'QTR Raw'!AM15+'QTR Raw'!AM21+'QTR Raw'!AM17+'QTR Raw'!AM18+'QTR Raw'!AM19+'QTR Raw'!AM16+'QTR Raw'!AM25</f>
        <v>85.78</v>
      </c>
      <c r="BR42" s="38">
        <f>+'QTR Raw'!AN15+'QTR Raw'!AN21+'QTR Raw'!AN17+'QTR Raw'!AN18+'QTR Raw'!AN19+'QTR Raw'!AN16+'QTR Raw'!AN25</f>
        <v>90.8</v>
      </c>
      <c r="BS42" s="38">
        <f>+'QTR Raw'!AO15+'QTR Raw'!AO21+'QTR Raw'!AO17+'QTR Raw'!AO18+'QTR Raw'!AO19+'QTR Raw'!AO16+'QTR Raw'!AO25</f>
        <v>91.16</v>
      </c>
      <c r="BT42" s="38">
        <f>+'QTR Raw'!AP15+'QTR Raw'!AP21+'QTR Raw'!AP17+'QTR Raw'!AP18+'QTR Raw'!AP19+'QTR Raw'!AP16+'QTR Raw'!AP25</f>
        <v>90.22999999999999</v>
      </c>
      <c r="BU42" s="38">
        <f>+'QTR Raw'!AQ15+'QTR Raw'!AQ21+'QTR Raw'!AQ17+'QTR Raw'!AQ18+'QTR Raw'!AQ19+'QTR Raw'!AQ16+'QTR Raw'!AQ25</f>
        <v>105.42</v>
      </c>
      <c r="BV42" s="38">
        <f>+'QTR Raw'!AR15+'QTR Raw'!AR21+'QTR Raw'!AR17+'QTR Raw'!AR18+'QTR Raw'!AR19+'QTR Raw'!AR16+'QTR Raw'!AR25</f>
        <v>92.07</v>
      </c>
      <c r="BW42" s="38">
        <f>+'QTR Raw'!AS15+'QTR Raw'!AS21+'QTR Raw'!AS17+'QTR Raw'!AS18+'QTR Raw'!AS19+'QTR Raw'!AS16+'QTR Raw'!AS25</f>
        <v>99.550000000000011</v>
      </c>
      <c r="BX42" s="38">
        <f>+'QTR Raw'!AT15+'QTR Raw'!AT21+'QTR Raw'!AT17+'QTR Raw'!AT18+'QTR Raw'!AT19+'QTR Raw'!AT16+'QTR Raw'!AT25</f>
        <v>108.25</v>
      </c>
      <c r="BY42" s="38">
        <f>+'QTR Raw'!AU15+'QTR Raw'!AU21+'QTR Raw'!AU17+'QTR Raw'!AU18+'QTR Raw'!AU19+'QTR Raw'!AU16+'QTR Raw'!AU25</f>
        <v>112.82</v>
      </c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T42" s="38">
        <v>412.69</v>
      </c>
    </row>
    <row r="43" spans="1:98" s="38" customFormat="1" x14ac:dyDescent="0.2">
      <c r="A43" s="38" t="s">
        <v>4</v>
      </c>
      <c r="B43" s="38">
        <f>+'Annual Raw'!C31</f>
        <v>0</v>
      </c>
      <c r="C43" s="38">
        <f>+'Annual Raw'!D31</f>
        <v>0</v>
      </c>
      <c r="D43" s="38">
        <f>+'Annual Raw'!E31</f>
        <v>0</v>
      </c>
      <c r="E43" s="38">
        <f>+'Annual Raw'!F31</f>
        <v>0</v>
      </c>
      <c r="F43" s="38">
        <f>+'Annual Raw'!G31</f>
        <v>0</v>
      </c>
      <c r="G43" s="38">
        <f>+'Annual Raw'!H31</f>
        <v>0</v>
      </c>
      <c r="H43" s="38">
        <f>+'Annual Raw'!I31</f>
        <v>0</v>
      </c>
      <c r="I43" s="38">
        <f>+'Annual Raw'!J31</f>
        <v>0</v>
      </c>
      <c r="J43" s="38">
        <f>+'Annual Raw'!K31</f>
        <v>0.30324830000000003</v>
      </c>
      <c r="K43" s="38">
        <f>+'Annual Raw'!L31</f>
        <v>2.5566715000000002</v>
      </c>
      <c r="L43" s="38">
        <f>+'Annual Raw'!M31</f>
        <v>2.7372410999999999</v>
      </c>
      <c r="M43" s="38">
        <f>+'Annual Raw'!N31</f>
        <v>1.3103271000000001</v>
      </c>
      <c r="N43" s="38">
        <f>+'Annual Raw'!O31</f>
        <v>0.60516130000000001</v>
      </c>
      <c r="O43" s="38">
        <f>+'Annual Raw'!P31</f>
        <v>0.52694669999999999</v>
      </c>
      <c r="P43" s="38">
        <f>+'Annual Raw'!Q31</f>
        <v>1.9228099000000001</v>
      </c>
      <c r="Q43" s="38">
        <f>+'Annual Raw'!R31</f>
        <v>2.6056846999999999</v>
      </c>
      <c r="R43" s="38">
        <f>+'Annual Raw'!S31</f>
        <v>4.4326457000000001</v>
      </c>
      <c r="S43" s="38">
        <f>+'Annual Raw'!T31</f>
        <v>5.17</v>
      </c>
      <c r="T43" s="38">
        <f>+'Annual Raw'!U31</f>
        <v>7.79</v>
      </c>
      <c r="U43" s="38">
        <f>+'Annual Raw'!V31</f>
        <v>19.64</v>
      </c>
      <c r="V43" s="38">
        <f>+'Annual Raw'!W31</f>
        <v>23.43</v>
      </c>
      <c r="W43" s="38">
        <f>+'Annual Raw'!X31</f>
        <v>47.23</v>
      </c>
      <c r="X43" s="38">
        <f>+'Annual Raw'!Y31</f>
        <v>49.84</v>
      </c>
      <c r="Y43" s="38">
        <f>+'Annual Raw'!Z31</f>
        <v>51.15</v>
      </c>
      <c r="Z43" s="38">
        <f>+'Annual Raw'!AA31</f>
        <v>62.22</v>
      </c>
      <c r="AA43" s="38">
        <f>+'Annual Raw'!AB31</f>
        <v>63.08</v>
      </c>
      <c r="AB43" s="39">
        <f>SUM(BZ43:CC43)</f>
        <v>0</v>
      </c>
      <c r="AC43" s="39">
        <f>SUM(CD43:CG43)</f>
        <v>0</v>
      </c>
      <c r="AD43" s="39">
        <f>SUM(CH43:CK43)</f>
        <v>0</v>
      </c>
      <c r="AE43" s="39">
        <f>SUM(CL43:CO43)</f>
        <v>0</v>
      </c>
      <c r="AG43" s="60"/>
      <c r="AH43" s="38">
        <f>+'QTR Raw'!D37</f>
        <v>0</v>
      </c>
      <c r="AI43" s="38">
        <f>+'QTR Raw'!E37</f>
        <v>0</v>
      </c>
      <c r="AJ43" s="38">
        <f>+'QTR Raw'!F37</f>
        <v>0</v>
      </c>
      <c r="AK43" s="38">
        <f>+'QTR Raw'!G37</f>
        <v>0</v>
      </c>
      <c r="AL43" s="38">
        <f>+'QTR Raw'!H37</f>
        <v>0</v>
      </c>
      <c r="AM43" s="38">
        <f>+'QTR Raw'!I37</f>
        <v>0</v>
      </c>
      <c r="AN43" s="38">
        <f>+'QTR Raw'!J37</f>
        <v>0</v>
      </c>
      <c r="AO43" s="38">
        <f>+'QTR Raw'!K37</f>
        <v>0</v>
      </c>
      <c r="AP43" s="38">
        <f>+'QTR Raw'!L37</f>
        <v>0</v>
      </c>
      <c r="AQ43" s="38">
        <f>+'QTR Raw'!M37</f>
        <v>1.17</v>
      </c>
      <c r="AR43" s="38">
        <f>+'QTR Raw'!N37</f>
        <v>1.48</v>
      </c>
      <c r="AS43" s="38">
        <f>+'QTR Raw'!O37</f>
        <v>1.52</v>
      </c>
      <c r="AT43" s="38">
        <f>+'QTR Raw'!P37</f>
        <v>1.6</v>
      </c>
      <c r="AU43" s="38">
        <f>+'QTR Raw'!Q37</f>
        <v>2.13</v>
      </c>
      <c r="AV43" s="38">
        <f>+'QTR Raw'!R37</f>
        <v>2.02</v>
      </c>
      <c r="AW43" s="38">
        <f>+'QTR Raw'!S37</f>
        <v>2.0499999999999998</v>
      </c>
      <c r="AX43" s="38">
        <f>+'QTR Raw'!T37</f>
        <v>3.27</v>
      </c>
      <c r="AY43" s="38">
        <f>+'QTR Raw'!U37</f>
        <v>6.21</v>
      </c>
      <c r="AZ43" s="38">
        <f>+'QTR Raw'!V37</f>
        <v>5.09</v>
      </c>
      <c r="BA43" s="38">
        <f>+'QTR Raw'!W37</f>
        <v>5.8</v>
      </c>
      <c r="BB43" s="38">
        <f>+'QTR Raw'!X37</f>
        <v>10.66</v>
      </c>
      <c r="BC43" s="38">
        <f>+'QTR Raw'!Y37</f>
        <v>11.3</v>
      </c>
      <c r="BD43" s="38">
        <f>+'QTR Raw'!Z37</f>
        <v>10.46</v>
      </c>
      <c r="BE43" s="38">
        <f>+'QTR Raw'!AA37</f>
        <v>11.65</v>
      </c>
      <c r="BF43" s="38">
        <f>+'QTR Raw'!AB37</f>
        <v>11.24</v>
      </c>
      <c r="BG43" s="38">
        <f>+'QTR Raw'!AC37</f>
        <v>11.95</v>
      </c>
      <c r="BH43" s="38">
        <f>+'QTR Raw'!AD37</f>
        <v>11.58</v>
      </c>
      <c r="BI43" s="38">
        <f>+'QTR Raw'!AE37</f>
        <v>12.46</v>
      </c>
      <c r="BJ43" s="38">
        <f>+'QTR Raw'!AF37</f>
        <v>11.92</v>
      </c>
      <c r="BK43" s="38">
        <f>+'QTR Raw'!AG37</f>
        <v>12.82</v>
      </c>
      <c r="BL43" s="38">
        <f>+'QTR Raw'!AH37</f>
        <v>12.61</v>
      </c>
      <c r="BM43" s="38">
        <f>+'QTR Raw'!AI37</f>
        <v>12.49</v>
      </c>
      <c r="BN43" s="38">
        <f>+'QTR Raw'!AJ37</f>
        <v>12.06</v>
      </c>
      <c r="BO43" s="38">
        <f>+'QTR Raw'!AK37</f>
        <v>12.28</v>
      </c>
      <c r="BP43" s="38">
        <f>+'QTR Raw'!AL37</f>
        <v>13.06</v>
      </c>
      <c r="BQ43" s="38">
        <f>+'QTR Raw'!AM37</f>
        <v>13.75</v>
      </c>
      <c r="BR43" s="38">
        <f>+'QTR Raw'!AN37</f>
        <v>14.35</v>
      </c>
      <c r="BS43" s="38">
        <f>+'QTR Raw'!AO37</f>
        <v>17.190000000000001</v>
      </c>
      <c r="BT43" s="38">
        <f>+'QTR Raw'!AP37</f>
        <v>15.53</v>
      </c>
      <c r="BU43" s="38">
        <f>+'QTR Raw'!AQ37</f>
        <v>15.16</v>
      </c>
      <c r="BV43" s="38">
        <f>+'QTR Raw'!AR37</f>
        <v>15.22</v>
      </c>
      <c r="BW43" s="38">
        <f>+'QTR Raw'!AS37</f>
        <v>15.8</v>
      </c>
      <c r="BX43" s="38">
        <f>+'QTR Raw'!AT37</f>
        <v>16.38</v>
      </c>
      <c r="BY43" s="38">
        <f>+'QTR Raw'!AU37</f>
        <v>15.69</v>
      </c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T43" s="38">
        <v>63.09</v>
      </c>
    </row>
    <row r="44" spans="1:98" s="38" customFormat="1" x14ac:dyDescent="0.2">
      <c r="A44" s="38" t="s">
        <v>23</v>
      </c>
      <c r="B44" s="38">
        <f>+'Annual Raw'!C22</f>
        <v>0</v>
      </c>
      <c r="C44" s="38">
        <f>+'Annual Raw'!D22</f>
        <v>0</v>
      </c>
      <c r="D44" s="38">
        <f>+'Annual Raw'!E22</f>
        <v>0</v>
      </c>
      <c r="E44" s="38">
        <f>+'Annual Raw'!F22</f>
        <v>0</v>
      </c>
      <c r="F44" s="38">
        <f>+'Annual Raw'!G22</f>
        <v>0</v>
      </c>
      <c r="G44" s="38">
        <f>+'Annual Raw'!H22</f>
        <v>0</v>
      </c>
      <c r="H44" s="38">
        <f>+'Annual Raw'!I22</f>
        <v>0</v>
      </c>
      <c r="I44" s="38">
        <f>+'Annual Raw'!J22</f>
        <v>0</v>
      </c>
      <c r="J44" s="38">
        <f>+'Annual Raw'!K22</f>
        <v>0</v>
      </c>
      <c r="K44" s="38">
        <f>+'Annual Raw'!L22</f>
        <v>0</v>
      </c>
      <c r="L44" s="38">
        <f>+'Annual Raw'!M22</f>
        <v>0</v>
      </c>
      <c r="M44" s="38">
        <f>+'Annual Raw'!N22</f>
        <v>0</v>
      </c>
      <c r="N44" s="38">
        <f>+'Annual Raw'!O22</f>
        <v>0</v>
      </c>
      <c r="O44" s="38">
        <f>+'Annual Raw'!P22</f>
        <v>0</v>
      </c>
      <c r="P44" s="38">
        <f>+'Annual Raw'!Q22</f>
        <v>0</v>
      </c>
      <c r="Q44" s="38">
        <f>+'Annual Raw'!R22</f>
        <v>0</v>
      </c>
      <c r="R44" s="38">
        <f>+'Annual Raw'!S22</f>
        <v>0</v>
      </c>
      <c r="S44" s="38">
        <f>+'Annual Raw'!T22</f>
        <v>0</v>
      </c>
      <c r="T44" s="38">
        <f>+'Annual Raw'!U22</f>
        <v>0</v>
      </c>
      <c r="U44" s="38">
        <f>+'Annual Raw'!V22</f>
        <v>1.18</v>
      </c>
      <c r="V44" s="38">
        <f>+'Annual Raw'!W22</f>
        <v>3.01</v>
      </c>
      <c r="W44" s="38">
        <f>+'Annual Raw'!X22</f>
        <v>2.96</v>
      </c>
      <c r="X44" s="38">
        <f>+'Annual Raw'!Y22</f>
        <v>1.8</v>
      </c>
      <c r="Y44" s="38">
        <f>+'Annual Raw'!Z22</f>
        <v>3.9</v>
      </c>
      <c r="Z44" s="38">
        <f>+'Annual Raw'!AA22</f>
        <v>1.1000000000000001</v>
      </c>
      <c r="AA44" s="38">
        <f>+'Annual Raw'!AB22</f>
        <v>3.2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AH44" s="38">
        <f>+'QTR Raw'!D22</f>
        <v>0</v>
      </c>
      <c r="AI44" s="38">
        <f>+'QTR Raw'!E22</f>
        <v>0</v>
      </c>
      <c r="AJ44" s="38">
        <f>+'QTR Raw'!F22</f>
        <v>0</v>
      </c>
      <c r="AK44" s="38">
        <f>+'QTR Raw'!G22</f>
        <v>0</v>
      </c>
      <c r="AL44" s="38">
        <f>+'QTR Raw'!H22</f>
        <v>0</v>
      </c>
      <c r="AM44" s="38">
        <f>+'QTR Raw'!I22</f>
        <v>0</v>
      </c>
      <c r="AN44" s="38">
        <f>+'QTR Raw'!J22</f>
        <v>0</v>
      </c>
      <c r="AO44" s="38">
        <f>+'QTR Raw'!K22</f>
        <v>0</v>
      </c>
      <c r="AP44" s="38">
        <f>+'QTR Raw'!L22</f>
        <v>0</v>
      </c>
      <c r="AQ44" s="38">
        <f>+'QTR Raw'!M22</f>
        <v>0</v>
      </c>
      <c r="AR44" s="38">
        <f>+'QTR Raw'!N22</f>
        <v>0</v>
      </c>
      <c r="AS44" s="38">
        <f>+'QTR Raw'!O22</f>
        <v>0</v>
      </c>
      <c r="AT44" s="38">
        <f>+'QTR Raw'!P22</f>
        <v>0</v>
      </c>
      <c r="AU44" s="38">
        <f>+'QTR Raw'!Q22</f>
        <v>0</v>
      </c>
      <c r="AV44" s="38">
        <f>+'QTR Raw'!R22</f>
        <v>0</v>
      </c>
      <c r="AW44" s="38">
        <f>+'QTR Raw'!S22</f>
        <v>0</v>
      </c>
      <c r="AX44" s="38">
        <f>+'QTR Raw'!T22</f>
        <v>0</v>
      </c>
      <c r="AY44" s="38">
        <f>+'QTR Raw'!U22</f>
        <v>0</v>
      </c>
      <c r="AZ44" s="38">
        <f>+'QTR Raw'!V22</f>
        <v>0</v>
      </c>
      <c r="BA44" s="38">
        <f>+'QTR Raw'!W22</f>
        <v>0</v>
      </c>
      <c r="BB44" s="38">
        <f>+'QTR Raw'!X22</f>
        <v>0</v>
      </c>
      <c r="BC44" s="38">
        <f>+'QTR Raw'!Y22</f>
        <v>0</v>
      </c>
      <c r="BD44" s="38">
        <f>+'QTR Raw'!Z22</f>
        <v>0</v>
      </c>
      <c r="BE44" s="38">
        <f>+'QTR Raw'!AA22</f>
        <v>0</v>
      </c>
      <c r="BF44" s="38">
        <f>+'QTR Raw'!AB22</f>
        <v>0</v>
      </c>
      <c r="BG44" s="38">
        <f>+'QTR Raw'!AC22</f>
        <v>0</v>
      </c>
      <c r="BH44" s="38">
        <f>+'QTR Raw'!AD22</f>
        <v>0</v>
      </c>
      <c r="BI44" s="38">
        <f>+'QTR Raw'!AE22</f>
        <v>0</v>
      </c>
      <c r="BJ44" s="38">
        <f>+'QTR Raw'!AF22</f>
        <v>0</v>
      </c>
      <c r="BK44" s="38">
        <f>+'QTR Raw'!AG22</f>
        <v>0</v>
      </c>
      <c r="BL44" s="38">
        <f>+'QTR Raw'!AH22</f>
        <v>0</v>
      </c>
      <c r="BM44" s="38">
        <f>+'QTR Raw'!AI22</f>
        <v>0</v>
      </c>
      <c r="BN44" s="38">
        <f>+'QTR Raw'!AJ22</f>
        <v>0</v>
      </c>
      <c r="BO44" s="38">
        <f>+'QTR Raw'!AK22</f>
        <v>0</v>
      </c>
      <c r="BP44" s="38">
        <f>+'QTR Raw'!AL22</f>
        <v>0</v>
      </c>
      <c r="BQ44" s="38">
        <f>+'QTR Raw'!AM22</f>
        <v>0</v>
      </c>
      <c r="BR44" s="38">
        <f>+'QTR Raw'!AN22</f>
        <v>0</v>
      </c>
      <c r="BS44" s="38">
        <f>+'QTR Raw'!AO22</f>
        <v>0</v>
      </c>
      <c r="BT44" s="38">
        <f>+'QTR Raw'!AP22</f>
        <v>0</v>
      </c>
      <c r="BU44" s="38">
        <f>+'QTR Raw'!AQ22</f>
        <v>0</v>
      </c>
      <c r="BV44" s="38">
        <f>+'QTR Raw'!AR22</f>
        <v>0</v>
      </c>
      <c r="BW44" s="38">
        <f>+'QTR Raw'!AS22</f>
        <v>0</v>
      </c>
      <c r="BX44" s="38">
        <f>+'QTR Raw'!AT22</f>
        <v>0</v>
      </c>
      <c r="BY44" s="38">
        <f>+'QTR Raw'!AU22</f>
        <v>0</v>
      </c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T44" s="38">
        <v>0</v>
      </c>
    </row>
    <row r="45" spans="1:98" s="38" customFormat="1" x14ac:dyDescent="0.2">
      <c r="A45" s="38" t="s">
        <v>478</v>
      </c>
      <c r="AB45" s="39"/>
      <c r="AC45" s="39"/>
      <c r="AD45" s="39"/>
      <c r="AE45" s="39"/>
      <c r="AG45" s="60"/>
      <c r="AH45" s="38">
        <f>+'QTR Raw'!D23+'QTR Raw'!D24+'QTR Raw'!D26</f>
        <v>0</v>
      </c>
      <c r="AI45" s="38">
        <f>+'QTR Raw'!E23+'QTR Raw'!E24+'QTR Raw'!E26</f>
        <v>0</v>
      </c>
      <c r="AJ45" s="38">
        <f>+'QTR Raw'!F23+'QTR Raw'!F24+'QTR Raw'!F26</f>
        <v>0</v>
      </c>
      <c r="AK45" s="38">
        <f>+'QTR Raw'!G23+'QTR Raw'!G24+'QTR Raw'!G26</f>
        <v>0</v>
      </c>
      <c r="AL45" s="38">
        <f>+'QTR Raw'!H23+'QTR Raw'!H24+'QTR Raw'!H26</f>
        <v>0</v>
      </c>
      <c r="AM45" s="38">
        <f>+'QTR Raw'!I23+'QTR Raw'!I24+'QTR Raw'!I26</f>
        <v>0</v>
      </c>
      <c r="AN45" s="38">
        <f>+'QTR Raw'!J23+'QTR Raw'!J24+'QTR Raw'!J26</f>
        <v>0</v>
      </c>
      <c r="AO45" s="38">
        <f>+'QTR Raw'!K23+'QTR Raw'!K24+'QTR Raw'!K26</f>
        <v>0</v>
      </c>
      <c r="AP45" s="38">
        <f>+'QTR Raw'!L23+'QTR Raw'!L24+'QTR Raw'!L26</f>
        <v>0</v>
      </c>
      <c r="AQ45" s="38">
        <f>+'QTR Raw'!M23+'QTR Raw'!M24+'QTR Raw'!M26</f>
        <v>0</v>
      </c>
      <c r="AR45" s="38">
        <f>+'QTR Raw'!N23+'QTR Raw'!N24+'QTR Raw'!N26</f>
        <v>0</v>
      </c>
      <c r="AS45" s="38">
        <f>+'QTR Raw'!O23+'QTR Raw'!O24+'QTR Raw'!O26</f>
        <v>0</v>
      </c>
      <c r="AT45" s="38">
        <f>+'QTR Raw'!P23+'QTR Raw'!P24+'QTR Raw'!P26</f>
        <v>0</v>
      </c>
      <c r="AU45" s="38">
        <f>+'QTR Raw'!Q23+'QTR Raw'!Q24+'QTR Raw'!Q26</f>
        <v>0</v>
      </c>
      <c r="AV45" s="38">
        <f>+'QTR Raw'!R23+'QTR Raw'!R24+'QTR Raw'!R26</f>
        <v>0</v>
      </c>
      <c r="AW45" s="38">
        <f>+'QTR Raw'!S23+'QTR Raw'!S24+'QTR Raw'!S26</f>
        <v>0</v>
      </c>
      <c r="AX45" s="38">
        <f>+'QTR Raw'!T23+'QTR Raw'!T24+'QTR Raw'!T26</f>
        <v>0</v>
      </c>
      <c r="AY45" s="38">
        <f>+'QTR Raw'!U23+'QTR Raw'!U24+'QTR Raw'!U26</f>
        <v>0</v>
      </c>
      <c r="AZ45" s="38">
        <f>+'QTR Raw'!V23+'QTR Raw'!V24+'QTR Raw'!V26</f>
        <v>0</v>
      </c>
      <c r="BA45" s="38">
        <f>+'QTR Raw'!W23+'QTR Raw'!W24+'QTR Raw'!W26</f>
        <v>0</v>
      </c>
      <c r="BB45" s="38">
        <f>+'QTR Raw'!X23+'QTR Raw'!X24+'QTR Raw'!X26</f>
        <v>0</v>
      </c>
      <c r="BC45" s="38">
        <f>+'QTR Raw'!Y23+'QTR Raw'!Y24+'QTR Raw'!Y26</f>
        <v>0</v>
      </c>
      <c r="BD45" s="38">
        <f>+'QTR Raw'!Z23+'QTR Raw'!Z24+'QTR Raw'!Z26</f>
        <v>0</v>
      </c>
      <c r="BE45" s="38">
        <f>+'QTR Raw'!AA23+'QTR Raw'!AA24+'QTR Raw'!AA26</f>
        <v>0</v>
      </c>
      <c r="BF45" s="38">
        <f>+'QTR Raw'!AB23+'QTR Raw'!AB24+'QTR Raw'!AB26</f>
        <v>0</v>
      </c>
      <c r="BG45" s="38">
        <f>+'QTR Raw'!AC23+'QTR Raw'!AC24+'QTR Raw'!AC26</f>
        <v>0</v>
      </c>
      <c r="BH45" s="38">
        <f>+'QTR Raw'!AD23+'QTR Raw'!AD24+'QTR Raw'!AD26</f>
        <v>0</v>
      </c>
      <c r="BI45" s="38">
        <f>+'QTR Raw'!AE23+'QTR Raw'!AE24+'QTR Raw'!AE26</f>
        <v>0</v>
      </c>
      <c r="BJ45" s="38">
        <f>+'QTR Raw'!AF23+'QTR Raw'!AF24+'QTR Raw'!AF26</f>
        <v>0</v>
      </c>
      <c r="BK45" s="38">
        <f>+'QTR Raw'!AG23+'QTR Raw'!AG24+'QTR Raw'!AG26</f>
        <v>0</v>
      </c>
      <c r="BL45" s="38">
        <f>+'QTR Raw'!AH23+'QTR Raw'!AH24+'QTR Raw'!AH26</f>
        <v>0</v>
      </c>
      <c r="BM45" s="38">
        <f>+'QTR Raw'!AI23+'QTR Raw'!AI24+'QTR Raw'!AI26</f>
        <v>0</v>
      </c>
      <c r="BN45" s="38">
        <f>+'QTR Raw'!AJ23+'QTR Raw'!AJ24+'QTR Raw'!AJ26</f>
        <v>0</v>
      </c>
      <c r="BO45" s="38">
        <f>+'QTR Raw'!AK23+'QTR Raw'!AK24+'QTR Raw'!AK26</f>
        <v>0</v>
      </c>
      <c r="BP45" s="38">
        <f>+'QTR Raw'!AL23+'QTR Raw'!AL24+'QTR Raw'!AL26</f>
        <v>0</v>
      </c>
      <c r="BQ45" s="38">
        <f>+'QTR Raw'!AM23+'QTR Raw'!AM24+'QTR Raw'!AM26</f>
        <v>0</v>
      </c>
      <c r="BR45" s="38">
        <f>+'QTR Raw'!AN23+'QTR Raw'!AN24+'QTR Raw'!AN26</f>
        <v>0</v>
      </c>
      <c r="BS45" s="38">
        <f>+'QTR Raw'!AO23+'QTR Raw'!AO24+'QTR Raw'!AO26</f>
        <v>0</v>
      </c>
      <c r="BT45" s="38">
        <f>+'QTR Raw'!AP23+'QTR Raw'!AP24+'QTR Raw'!AP26</f>
        <v>0</v>
      </c>
      <c r="BU45" s="38">
        <f>+'QTR Raw'!AQ23+'QTR Raw'!AQ24+'QTR Raw'!AQ26</f>
        <v>0</v>
      </c>
      <c r="BV45" s="38">
        <f>+'QTR Raw'!AR23+'QTR Raw'!AR24+'QTR Raw'!AR26</f>
        <v>0</v>
      </c>
      <c r="BW45" s="38">
        <f>+'QTR Raw'!AS23+'QTR Raw'!AS24+'QTR Raw'!AS26</f>
        <v>0</v>
      </c>
      <c r="BX45" s="38">
        <f>+'QTR Raw'!AT23+'QTR Raw'!AT24+'QTR Raw'!AT26</f>
        <v>0</v>
      </c>
      <c r="BY45" s="38">
        <f>+'QTR Raw'!AU23+'QTR Raw'!AU24+'QTR Raw'!AU26</f>
        <v>0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</row>
    <row r="46" spans="1:98" s="43" customFormat="1" x14ac:dyDescent="0.2">
      <c r="A46" s="43" t="s">
        <v>50</v>
      </c>
      <c r="B46" s="43">
        <f>SUM(B41:B45)</f>
        <v>0</v>
      </c>
      <c r="C46" s="43">
        <f t="shared" ref="C46:AE46" si="443">SUM(C41:C45)</f>
        <v>0</v>
      </c>
      <c r="D46" s="43">
        <f t="shared" si="443"/>
        <v>0</v>
      </c>
      <c r="E46" s="43">
        <f t="shared" si="443"/>
        <v>0</v>
      </c>
      <c r="F46" s="43">
        <f t="shared" si="443"/>
        <v>0</v>
      </c>
      <c r="G46" s="43">
        <f t="shared" si="443"/>
        <v>0</v>
      </c>
      <c r="H46" s="43">
        <f t="shared" si="443"/>
        <v>0</v>
      </c>
      <c r="I46" s="43">
        <f t="shared" si="443"/>
        <v>0</v>
      </c>
      <c r="J46" s="43">
        <f t="shared" si="443"/>
        <v>15.918300799999999</v>
      </c>
      <c r="K46" s="43">
        <f t="shared" si="443"/>
        <v>24.316248399999999</v>
      </c>
      <c r="L46" s="43">
        <f t="shared" si="443"/>
        <v>39.275955599999996</v>
      </c>
      <c r="M46" s="43">
        <f t="shared" si="443"/>
        <v>34.359442700000002</v>
      </c>
      <c r="N46" s="43">
        <f t="shared" si="443"/>
        <v>34.574910799999998</v>
      </c>
      <c r="O46" s="43">
        <f t="shared" si="443"/>
        <v>43.349467799999999</v>
      </c>
      <c r="P46" s="43">
        <f t="shared" si="443"/>
        <v>68.738115800000003</v>
      </c>
      <c r="Q46" s="43">
        <f t="shared" si="443"/>
        <v>108.9302289</v>
      </c>
      <c r="R46" s="43">
        <f t="shared" si="443"/>
        <v>156.44502869999999</v>
      </c>
      <c r="S46" s="43">
        <f t="shared" si="443"/>
        <v>192.95999999999998</v>
      </c>
      <c r="T46" s="43">
        <f t="shared" si="443"/>
        <v>282.02000000000004</v>
      </c>
      <c r="U46" s="43">
        <f t="shared" si="443"/>
        <v>403.77</v>
      </c>
      <c r="V46" s="43">
        <f t="shared" si="443"/>
        <v>430.03000000000003</v>
      </c>
      <c r="W46" s="43">
        <f t="shared" si="443"/>
        <v>665.13000000000011</v>
      </c>
      <c r="X46" s="43">
        <f t="shared" si="443"/>
        <v>812.99</v>
      </c>
      <c r="Y46" s="43">
        <f t="shared" si="443"/>
        <v>1025.73</v>
      </c>
      <c r="Z46" s="43">
        <f t="shared" si="443"/>
        <v>1134.43</v>
      </c>
      <c r="AA46" s="43">
        <f t="shared" ref="AA46" si="444">SUM(AA41:AA45)</f>
        <v>1318.48</v>
      </c>
      <c r="AB46" s="44">
        <f t="shared" si="443"/>
        <v>1593.888287555912</v>
      </c>
      <c r="AC46" s="44">
        <f t="shared" si="443"/>
        <v>1760.4207498481824</v>
      </c>
      <c r="AD46" s="44">
        <f t="shared" si="443"/>
        <v>1999.1868368690252</v>
      </c>
      <c r="AE46" s="44">
        <f t="shared" si="443"/>
        <v>2301.6424011079539</v>
      </c>
      <c r="AG46" s="62"/>
      <c r="AH46" s="43">
        <f t="shared" ref="AH46:CO46" si="445">SUM(AH41:AH45)</f>
        <v>0</v>
      </c>
      <c r="AI46" s="43">
        <f t="shared" si="445"/>
        <v>0</v>
      </c>
      <c r="AJ46" s="43">
        <f t="shared" si="445"/>
        <v>0</v>
      </c>
      <c r="AK46" s="43">
        <f t="shared" si="445"/>
        <v>0</v>
      </c>
      <c r="AL46" s="43">
        <f t="shared" si="445"/>
        <v>0</v>
      </c>
      <c r="AM46" s="43">
        <f t="shared" si="445"/>
        <v>0</v>
      </c>
      <c r="AN46" s="43">
        <f t="shared" si="445"/>
        <v>0</v>
      </c>
      <c r="AO46" s="43">
        <f t="shared" si="445"/>
        <v>0</v>
      </c>
      <c r="AP46" s="43">
        <f t="shared" si="445"/>
        <v>0</v>
      </c>
      <c r="AQ46" s="43">
        <f t="shared" si="445"/>
        <v>46.56</v>
      </c>
      <c r="AR46" s="43">
        <f t="shared" si="445"/>
        <v>49.169999999999995</v>
      </c>
      <c r="AS46" s="43">
        <f t="shared" si="445"/>
        <v>61.000000000000007</v>
      </c>
      <c r="AT46" s="43">
        <f t="shared" si="445"/>
        <v>62.39</v>
      </c>
      <c r="AU46" s="43">
        <f t="shared" si="445"/>
        <v>72.699999999999989</v>
      </c>
      <c r="AV46" s="43">
        <f t="shared" si="445"/>
        <v>76.69</v>
      </c>
      <c r="AW46" s="43">
        <f t="shared" si="445"/>
        <v>82.23</v>
      </c>
      <c r="AX46" s="43">
        <f t="shared" si="445"/>
        <v>89.48</v>
      </c>
      <c r="AY46" s="43">
        <f t="shared" si="445"/>
        <v>102.40999999999998</v>
      </c>
      <c r="AZ46" s="43">
        <f t="shared" si="445"/>
        <v>107.06</v>
      </c>
      <c r="BA46" s="43">
        <f t="shared" si="445"/>
        <v>128.33000000000001</v>
      </c>
      <c r="BB46" s="43">
        <f t="shared" si="445"/>
        <v>132.87</v>
      </c>
      <c r="BC46" s="43">
        <f t="shared" si="445"/>
        <v>144.30000000000001</v>
      </c>
      <c r="BD46" s="43">
        <f t="shared" si="445"/>
        <v>148.53</v>
      </c>
      <c r="BE46" s="43">
        <f t="shared" si="445"/>
        <v>159.91</v>
      </c>
      <c r="BF46" s="43">
        <f t="shared" si="445"/>
        <v>151.60000000000002</v>
      </c>
      <c r="BG46" s="43">
        <f t="shared" si="445"/>
        <v>171.3</v>
      </c>
      <c r="BH46" s="43">
        <f t="shared" si="445"/>
        <v>177.07000000000002</v>
      </c>
      <c r="BI46" s="43">
        <f t="shared" si="445"/>
        <v>188.49</v>
      </c>
      <c r="BJ46" s="43">
        <f t="shared" si="445"/>
        <v>191</v>
      </c>
      <c r="BK46" s="43">
        <f t="shared" si="445"/>
        <v>206.70999999999998</v>
      </c>
      <c r="BL46" s="43">
        <f t="shared" si="445"/>
        <v>216.04000000000002</v>
      </c>
      <c r="BM46" s="43">
        <f t="shared" si="445"/>
        <v>217.73000000000002</v>
      </c>
      <c r="BN46" s="43">
        <f t="shared" si="445"/>
        <v>242.03</v>
      </c>
      <c r="BO46" s="43">
        <f t="shared" si="445"/>
        <v>261.09999999999997</v>
      </c>
      <c r="BP46" s="43">
        <f t="shared" si="445"/>
        <v>251.96</v>
      </c>
      <c r="BQ46" s="43">
        <f t="shared" si="445"/>
        <v>294.16999999999996</v>
      </c>
      <c r="BR46" s="43">
        <f t="shared" si="445"/>
        <v>292.94</v>
      </c>
      <c r="BS46" s="43">
        <f t="shared" si="445"/>
        <v>297.18</v>
      </c>
      <c r="BT46" s="43">
        <f t="shared" si="445"/>
        <v>284.13</v>
      </c>
      <c r="BU46" s="43">
        <f t="shared" si="445"/>
        <v>295.94000000000005</v>
      </c>
      <c r="BV46" s="43">
        <f t="shared" si="445"/>
        <v>328.5</v>
      </c>
      <c r="BW46" s="43">
        <f t="shared" si="445"/>
        <v>334.67</v>
      </c>
      <c r="BX46" s="43">
        <f t="shared" ref="BX46:BY46" si="446">SUM(BX41:BX45)</f>
        <v>351.48</v>
      </c>
      <c r="BY46" s="43">
        <f t="shared" si="446"/>
        <v>340.21999999999997</v>
      </c>
      <c r="BZ46" s="44">
        <f t="shared" si="445"/>
        <v>386.90991817262045</v>
      </c>
      <c r="CA46" s="44">
        <f t="shared" si="445"/>
        <v>402.46175047283424</v>
      </c>
      <c r="CB46" s="44">
        <f t="shared" si="445"/>
        <v>399.46249406418895</v>
      </c>
      <c r="CC46" s="44">
        <f t="shared" si="445"/>
        <v>405.05412484626822</v>
      </c>
      <c r="CD46" s="44">
        <f t="shared" si="445"/>
        <v>428.42631565060339</v>
      </c>
      <c r="CE46" s="44">
        <f t="shared" si="445"/>
        <v>443.07028136039111</v>
      </c>
      <c r="CF46" s="44">
        <f t="shared" si="445"/>
        <v>440.95957863806797</v>
      </c>
      <c r="CG46" s="44">
        <f t="shared" si="445"/>
        <v>447.96457419911974</v>
      </c>
      <c r="CH46" s="44">
        <f t="shared" si="445"/>
        <v>478.69237683907056</v>
      </c>
      <c r="CI46" s="44">
        <f t="shared" si="445"/>
        <v>500.32648371104096</v>
      </c>
      <c r="CJ46" s="44">
        <f t="shared" si="445"/>
        <v>503.4938278360226</v>
      </c>
      <c r="CK46" s="44">
        <f t="shared" si="445"/>
        <v>516.67414848289104</v>
      </c>
      <c r="CL46" s="44">
        <f t="shared" si="445"/>
        <v>551.3616591400471</v>
      </c>
      <c r="CM46" s="44">
        <f t="shared" si="445"/>
        <v>575.8641969991404</v>
      </c>
      <c r="CN46" s="44">
        <f t="shared" si="445"/>
        <v>579.69281747167634</v>
      </c>
      <c r="CO46" s="44">
        <f t="shared" si="445"/>
        <v>594.72372749709007</v>
      </c>
      <c r="CT46" s="43">
        <v>1354.87</v>
      </c>
    </row>
    <row r="47" spans="1:98" s="40" customFormat="1" x14ac:dyDescent="0.2">
      <c r="A47" s="40" t="s">
        <v>11</v>
      </c>
      <c r="B47" s="40">
        <f t="shared" ref="B47:AE47" si="447">+B39-B46</f>
        <v>0</v>
      </c>
      <c r="C47" s="40">
        <f t="shared" si="447"/>
        <v>0</v>
      </c>
      <c r="D47" s="40">
        <f t="shared" si="447"/>
        <v>0</v>
      </c>
      <c r="E47" s="40">
        <f t="shared" si="447"/>
        <v>0</v>
      </c>
      <c r="F47" s="40">
        <f t="shared" si="447"/>
        <v>0</v>
      </c>
      <c r="G47" s="40">
        <f t="shared" si="447"/>
        <v>0</v>
      </c>
      <c r="H47" s="40">
        <f t="shared" si="447"/>
        <v>0</v>
      </c>
      <c r="I47" s="40">
        <f t="shared" si="447"/>
        <v>0</v>
      </c>
      <c r="J47" s="40">
        <f t="shared" si="447"/>
        <v>1.3222140000000007</v>
      </c>
      <c r="K47" s="40">
        <f t="shared" si="447"/>
        <v>6.5630753999999989</v>
      </c>
      <c r="L47" s="40">
        <f t="shared" si="447"/>
        <v>8.7411509000000152</v>
      </c>
      <c r="M47" s="40">
        <f t="shared" si="447"/>
        <v>-0.99415910000000451</v>
      </c>
      <c r="N47" s="40">
        <f t="shared" si="447"/>
        <v>14.3918678</v>
      </c>
      <c r="O47" s="40">
        <f t="shared" si="447"/>
        <v>39.472409499999998</v>
      </c>
      <c r="P47" s="40">
        <f t="shared" si="447"/>
        <v>84.797197800000021</v>
      </c>
      <c r="Q47" s="40">
        <f t="shared" si="447"/>
        <v>150.36054169999997</v>
      </c>
      <c r="R47" s="40">
        <f t="shared" si="447"/>
        <v>228.56288830000003</v>
      </c>
      <c r="S47" s="40">
        <f t="shared" si="447"/>
        <v>454.72000000000008</v>
      </c>
      <c r="T47" s="40">
        <f t="shared" si="447"/>
        <v>584.19999999999982</v>
      </c>
      <c r="U47" s="40">
        <f t="shared" si="447"/>
        <v>705.80000000000018</v>
      </c>
      <c r="V47" s="40">
        <f t="shared" si="447"/>
        <v>856.44999999999982</v>
      </c>
      <c r="W47" s="40">
        <f t="shared" si="447"/>
        <v>1097.5099999999998</v>
      </c>
      <c r="X47" s="40">
        <f t="shared" si="447"/>
        <v>1523.14</v>
      </c>
      <c r="Y47" s="40">
        <f t="shared" si="447"/>
        <v>2408.5600000000004</v>
      </c>
      <c r="Z47" s="40">
        <f t="shared" si="447"/>
        <v>2666.7299999999996</v>
      </c>
      <c r="AA47" s="40">
        <f t="shared" ref="AA47" si="448">+AA39-AA46</f>
        <v>2838.93</v>
      </c>
      <c r="AB47" s="41">
        <f t="shared" si="447"/>
        <v>3662.5886525967517</v>
      </c>
      <c r="AC47" s="41">
        <f t="shared" si="447"/>
        <v>4633.8544989369893</v>
      </c>
      <c r="AD47" s="41">
        <f t="shared" si="447"/>
        <v>5416.7735595133054</v>
      </c>
      <c r="AE47" s="41">
        <f t="shared" si="447"/>
        <v>6246.5648126141768</v>
      </c>
      <c r="AG47" s="61"/>
      <c r="AH47" s="40">
        <f t="shared" ref="AH47:AU47" si="449">+AH39-AH46</f>
        <v>0</v>
      </c>
      <c r="AI47" s="40">
        <f t="shared" si="449"/>
        <v>0</v>
      </c>
      <c r="AJ47" s="40">
        <f t="shared" si="449"/>
        <v>0</v>
      </c>
      <c r="AK47" s="40">
        <f t="shared" si="449"/>
        <v>0</v>
      </c>
      <c r="AL47" s="40">
        <f t="shared" si="449"/>
        <v>0</v>
      </c>
      <c r="AM47" s="40">
        <f t="shared" si="449"/>
        <v>0</v>
      </c>
      <c r="AN47" s="40">
        <f t="shared" si="449"/>
        <v>0</v>
      </c>
      <c r="AO47" s="40">
        <f t="shared" si="449"/>
        <v>0</v>
      </c>
      <c r="AP47" s="40">
        <f t="shared" si="449"/>
        <v>0</v>
      </c>
      <c r="AQ47" s="40">
        <f t="shared" si="449"/>
        <v>79.13</v>
      </c>
      <c r="AR47" s="40">
        <f t="shared" si="449"/>
        <v>79.570000000000022</v>
      </c>
      <c r="AS47" s="40">
        <f t="shared" si="449"/>
        <v>108.43999999999997</v>
      </c>
      <c r="AT47" s="40">
        <f t="shared" si="449"/>
        <v>126.23</v>
      </c>
      <c r="AU47" s="40">
        <f t="shared" si="449"/>
        <v>130.88000000000005</v>
      </c>
      <c r="AV47" s="40">
        <f t="shared" ref="AV47:BM47" si="450">+AV39-AV46</f>
        <v>163.98999999999998</v>
      </c>
      <c r="AW47" s="40">
        <f t="shared" si="450"/>
        <v>151.48000000000002</v>
      </c>
      <c r="AX47" s="40">
        <f t="shared" si="450"/>
        <v>163.59999999999997</v>
      </c>
      <c r="AY47" s="40">
        <f t="shared" si="450"/>
        <v>155.15000000000003</v>
      </c>
      <c r="AZ47" s="40">
        <f t="shared" si="450"/>
        <v>200.62</v>
      </c>
      <c r="BA47" s="40">
        <f t="shared" si="450"/>
        <v>179.48</v>
      </c>
      <c r="BB47" s="40">
        <f t="shared" si="450"/>
        <v>255.55999999999995</v>
      </c>
      <c r="BC47" s="40">
        <f t="shared" si="450"/>
        <v>196.88999999999993</v>
      </c>
      <c r="BD47" s="40">
        <f t="shared" si="450"/>
        <v>170.29999999999998</v>
      </c>
      <c r="BE47" s="40">
        <f t="shared" si="450"/>
        <v>329.02</v>
      </c>
      <c r="BF47" s="40">
        <f t="shared" si="450"/>
        <v>216.42999999999995</v>
      </c>
      <c r="BG47" s="40">
        <f t="shared" si="450"/>
        <v>218.71999999999997</v>
      </c>
      <c r="BH47" s="40">
        <f t="shared" si="450"/>
        <v>273.52999999999997</v>
      </c>
      <c r="BI47" s="40">
        <f t="shared" si="450"/>
        <v>368.84000000000003</v>
      </c>
      <c r="BJ47" s="40">
        <f t="shared" si="450"/>
        <v>289.72000000000003</v>
      </c>
      <c r="BK47" s="40">
        <f t="shared" si="450"/>
        <v>334.37000000000006</v>
      </c>
      <c r="BL47" s="40">
        <f t="shared" si="450"/>
        <v>379.47000000000008</v>
      </c>
      <c r="BM47" s="40">
        <f t="shared" si="450"/>
        <v>502.87000000000012</v>
      </c>
      <c r="BN47" s="40">
        <f t="shared" ref="BN47:CO47" si="451">+BN39-BN46</f>
        <v>543.77</v>
      </c>
      <c r="BO47" s="40">
        <f t="shared" si="451"/>
        <v>562.62000000000012</v>
      </c>
      <c r="BP47" s="40">
        <f t="shared" si="451"/>
        <v>601.77</v>
      </c>
      <c r="BQ47" s="40">
        <f t="shared" si="451"/>
        <v>682.78000000000009</v>
      </c>
      <c r="BR47" s="40">
        <f t="shared" si="451"/>
        <v>709.32999999999993</v>
      </c>
      <c r="BS47" s="40">
        <f t="shared" si="451"/>
        <v>672.13999999999987</v>
      </c>
      <c r="BT47" s="40">
        <f t="shared" si="451"/>
        <v>622.93000000000006</v>
      </c>
      <c r="BU47" s="40">
        <f t="shared" si="451"/>
        <v>633.99000000000012</v>
      </c>
      <c r="BV47" s="40">
        <f t="shared" si="451"/>
        <v>652.97</v>
      </c>
      <c r="BW47" s="40">
        <f t="shared" ref="BW47:BX47" si="452">+BW39-BW46</f>
        <v>694.82999999999993</v>
      </c>
      <c r="BX47" s="40">
        <f t="shared" si="452"/>
        <v>680.49000000000024</v>
      </c>
      <c r="BY47" s="40">
        <f t="shared" ref="BY47" si="453">+BY39-BY46</f>
        <v>780.31</v>
      </c>
      <c r="BZ47" s="41">
        <f t="shared" si="451"/>
        <v>767.26890593351425</v>
      </c>
      <c r="CA47" s="41">
        <f t="shared" si="451"/>
        <v>918.87588167174067</v>
      </c>
      <c r="CB47" s="41">
        <f t="shared" si="451"/>
        <v>954.93816313559466</v>
      </c>
      <c r="CC47" s="41">
        <f t="shared" si="451"/>
        <v>1021.5057018559028</v>
      </c>
      <c r="CD47" s="41">
        <f t="shared" si="451"/>
        <v>1059.172189605235</v>
      </c>
      <c r="CE47" s="41">
        <f t="shared" si="451"/>
        <v>1152.7695724044868</v>
      </c>
      <c r="CF47" s="41">
        <f t="shared" si="451"/>
        <v>1184.212310906611</v>
      </c>
      <c r="CG47" s="41">
        <f t="shared" si="451"/>
        <v>1237.7004260206559</v>
      </c>
      <c r="CH47" s="41">
        <f t="shared" si="451"/>
        <v>1285.1856653736527</v>
      </c>
      <c r="CI47" s="41">
        <f t="shared" si="451"/>
        <v>1356.5596733917425</v>
      </c>
      <c r="CJ47" s="41">
        <f t="shared" si="451"/>
        <v>1369.7345795624885</v>
      </c>
      <c r="CK47" s="41">
        <f t="shared" si="451"/>
        <v>1405.2936411854221</v>
      </c>
      <c r="CL47" s="41">
        <f t="shared" si="451"/>
        <v>1493.7043885498595</v>
      </c>
      <c r="CM47" s="41">
        <f t="shared" si="451"/>
        <v>1563.5880966662753</v>
      </c>
      <c r="CN47" s="41">
        <f t="shared" si="451"/>
        <v>1574.542097990236</v>
      </c>
      <c r="CO47" s="41">
        <f t="shared" si="451"/>
        <v>1614.7302294078074</v>
      </c>
      <c r="CT47" s="40">
        <v>2808.6000000000004</v>
      </c>
    </row>
    <row r="48" spans="1:98" s="71" customFormat="1" x14ac:dyDescent="0.2">
      <c r="A48" s="71" t="s">
        <v>15</v>
      </c>
      <c r="C48" s="71" t="e">
        <f t="shared" ref="C48:AE48" si="454">+IF(B47&lt;0,1-C47/B47,C47/B47-1)</f>
        <v>#DIV/0!</v>
      </c>
      <c r="D48" s="71" t="e">
        <f t="shared" si="454"/>
        <v>#DIV/0!</v>
      </c>
      <c r="E48" s="71" t="e">
        <f t="shared" si="454"/>
        <v>#DIV/0!</v>
      </c>
      <c r="F48" s="71" t="e">
        <f t="shared" si="454"/>
        <v>#DIV/0!</v>
      </c>
      <c r="G48" s="71" t="e">
        <f t="shared" si="454"/>
        <v>#DIV/0!</v>
      </c>
      <c r="H48" s="71" t="e">
        <f t="shared" si="454"/>
        <v>#DIV/0!</v>
      </c>
      <c r="I48" s="71" t="e">
        <f t="shared" si="454"/>
        <v>#DIV/0!</v>
      </c>
      <c r="J48" s="71" t="e">
        <f t="shared" si="454"/>
        <v>#DIV/0!</v>
      </c>
      <c r="K48" s="71">
        <f t="shared" si="454"/>
        <v>3.9637013373024299</v>
      </c>
      <c r="L48" s="71">
        <f t="shared" si="454"/>
        <v>0.33186812085078543</v>
      </c>
      <c r="M48" s="71">
        <f t="shared" si="454"/>
        <v>-1.1137332041710895</v>
      </c>
      <c r="N48" s="71">
        <f t="shared" si="454"/>
        <v>15.47642313991788</v>
      </c>
      <c r="O48" s="71">
        <f t="shared" si="454"/>
        <v>1.7426884438168613</v>
      </c>
      <c r="P48" s="71">
        <f t="shared" si="454"/>
        <v>1.1482650508071979</v>
      </c>
      <c r="Q48" s="71">
        <f t="shared" si="454"/>
        <v>0.77317818985758913</v>
      </c>
      <c r="R48" s="71">
        <f t="shared" si="454"/>
        <v>0.5200988618146225</v>
      </c>
      <c r="S48" s="71">
        <f t="shared" si="454"/>
        <v>0.98947433409730867</v>
      </c>
      <c r="T48" s="71">
        <f t="shared" si="454"/>
        <v>0.28474665728360238</v>
      </c>
      <c r="U48" s="71">
        <f t="shared" si="454"/>
        <v>0.20814789455665927</v>
      </c>
      <c r="V48" s="71">
        <f t="shared" si="454"/>
        <v>0.21344573533578859</v>
      </c>
      <c r="W48" s="71">
        <f t="shared" si="454"/>
        <v>0.28146418354836822</v>
      </c>
      <c r="X48" s="71">
        <f t="shared" si="454"/>
        <v>0.38781423403887016</v>
      </c>
      <c r="Y48" s="71">
        <f t="shared" si="454"/>
        <v>0.58131228908701771</v>
      </c>
      <c r="Z48" s="71">
        <f t="shared" si="454"/>
        <v>0.10718852758494668</v>
      </c>
      <c r="AA48" s="71">
        <f t="shared" si="454"/>
        <v>6.4573466380173583E-2</v>
      </c>
      <c r="AB48" s="72">
        <f t="shared" si="454"/>
        <v>0.2901299618506803</v>
      </c>
      <c r="AC48" s="72">
        <f t="shared" si="454"/>
        <v>0.26518562100923249</v>
      </c>
      <c r="AD48" s="72">
        <f t="shared" si="454"/>
        <v>0.16895633230519391</v>
      </c>
      <c r="AE48" s="72">
        <f t="shared" si="454"/>
        <v>0.15318920829605953</v>
      </c>
      <c r="AG48" s="73"/>
      <c r="AH48" s="74"/>
      <c r="AI48" s="74"/>
      <c r="AJ48" s="74"/>
      <c r="AK48" s="74"/>
      <c r="AL48" s="74" t="e">
        <f t="shared" ref="AL48" si="455">+IF(AH47&lt;0,1-AL47/AH47,AL47/AH47-1)</f>
        <v>#DIV/0!</v>
      </c>
      <c r="AM48" s="74" t="e">
        <f t="shared" ref="AM48" si="456">+IF(AI47&lt;0,1-AM47/AI47,AM47/AI47-1)</f>
        <v>#DIV/0!</v>
      </c>
      <c r="AN48" s="74" t="e">
        <f t="shared" ref="AN48" si="457">+IF(AJ47&lt;0,1-AN47/AJ47,AN47/AJ47-1)</f>
        <v>#DIV/0!</v>
      </c>
      <c r="AO48" s="74" t="e">
        <f t="shared" ref="AO48" si="458">+IF(AK47&lt;0,1-AO47/AK47,AO47/AK47-1)</f>
        <v>#DIV/0!</v>
      </c>
      <c r="AP48" s="74" t="e">
        <f t="shared" ref="AP48" si="459">+IF(AL47&lt;0,1-AP47/AL47,AP47/AL47-1)</f>
        <v>#DIV/0!</v>
      </c>
      <c r="AQ48" s="74" t="e">
        <f t="shared" ref="AQ48" si="460">+IF(AM47&lt;0,1-AQ47/AM47,AQ47/AM47-1)</f>
        <v>#DIV/0!</v>
      </c>
      <c r="AR48" s="74" t="e">
        <f t="shared" ref="AR48" si="461">+IF(AN47&lt;0,1-AR47/AN47,AR47/AN47-1)</f>
        <v>#DIV/0!</v>
      </c>
      <c r="AS48" s="74" t="e">
        <f t="shared" ref="AS48" si="462">+IF(AO47&lt;0,1-AS47/AO47,AS47/AO47-1)</f>
        <v>#DIV/0!</v>
      </c>
      <c r="AT48" s="74" t="e">
        <f t="shared" ref="AT48" si="463">+IF(AP47&lt;0,1-AT47/AP47,AT47/AP47-1)</f>
        <v>#DIV/0!</v>
      </c>
      <c r="AU48" s="74">
        <f t="shared" ref="AU48" si="464">+IF(AQ47&lt;0,1-AU47/AQ47,AU47/AQ47-1)</f>
        <v>0.65398710981928554</v>
      </c>
      <c r="AV48" s="74">
        <f t="shared" ref="AV48" si="465">+IF(AR47&lt;0,1-AV47/AR47,AV47/AR47-1)</f>
        <v>1.0609526203342958</v>
      </c>
      <c r="AW48" s="74">
        <f t="shared" ref="AW48" si="466">+IF(AS47&lt;0,1-AW47/AS47,AW47/AS47-1)</f>
        <v>0.39690151235706428</v>
      </c>
      <c r="AX48" s="74">
        <f t="shared" ref="AX48" si="467">+IF(AT47&lt;0,1-AX47/AT47,AX47/AT47-1)</f>
        <v>0.29604689851857691</v>
      </c>
      <c r="AY48" s="74">
        <f t="shared" ref="AY48" si="468">+IF(AU47&lt;0,1-AY47/AU47,AY47/AU47-1)</f>
        <v>0.1854370415647919</v>
      </c>
      <c r="AZ48" s="74">
        <f t="shared" ref="AZ48" si="469">+IF(AV47&lt;0,1-AZ47/AV47,AZ47/AV47-1)</f>
        <v>0.22336727849259108</v>
      </c>
      <c r="BA48" s="74">
        <f t="shared" ref="BA48" si="470">+IF(AW47&lt;0,1-BA47/AW47,BA47/AW47-1)</f>
        <v>0.18484288354898326</v>
      </c>
      <c r="BB48" s="74">
        <f t="shared" ref="BB48" si="471">+IF(AX47&lt;0,1-BB47/AX47,BB47/AX47-1)</f>
        <v>0.56210268948655262</v>
      </c>
      <c r="BC48" s="74">
        <f t="shared" ref="BC48" si="472">+IF(AY47&lt;0,1-BC47/AY47,BC47/AY47-1)</f>
        <v>0.26902997099580972</v>
      </c>
      <c r="BD48" s="74">
        <f t="shared" ref="BD48" si="473">+IF(AZ47&lt;0,1-BD47/AZ47,BD47/AZ47-1)</f>
        <v>-0.15113149237364176</v>
      </c>
      <c r="BE48" s="74">
        <f t="shared" ref="BE48" si="474">+IF(BA47&lt;0,1-BE47/BA47,BE47/BA47-1)</f>
        <v>0.83318475596166697</v>
      </c>
      <c r="BF48" s="74">
        <f t="shared" ref="BF48" si="475">+IF(BB47&lt;0,1-BF47/BB47,BF47/BB47-1)</f>
        <v>-0.15311472843950547</v>
      </c>
      <c r="BG48" s="74">
        <f t="shared" ref="BG48" si="476">+IF(BC47&lt;0,1-BG47/BC47,BG47/BC47-1)</f>
        <v>0.11087409213266319</v>
      </c>
      <c r="BH48" s="74">
        <f t="shared" ref="BH48" si="477">+IF(BD47&lt;0,1-BH47/BD47,BH47/BD47-1)</f>
        <v>0.60616559013505578</v>
      </c>
      <c r="BI48" s="74">
        <f t="shared" ref="BI48" si="478">+IF(BE47&lt;0,1-BI47/BE47,BI47/BE47-1)</f>
        <v>0.12102607744210103</v>
      </c>
      <c r="BJ48" s="74">
        <f t="shared" ref="BJ48" si="479">+IF(BF47&lt;0,1-BJ47/BF47,BJ47/BF47-1)</f>
        <v>0.33863142817539194</v>
      </c>
      <c r="BK48" s="74">
        <f t="shared" ref="BK48" si="480">+IF(BG47&lt;0,1-BK47/BG47,BK47/BG47-1)</f>
        <v>0.52875822970007369</v>
      </c>
      <c r="BL48" s="74">
        <f t="shared" ref="BL48" si="481">+IF(BH47&lt;0,1-BL47/BH47,BL47/BH47-1)</f>
        <v>0.38730669396409945</v>
      </c>
      <c r="BM48" s="74">
        <f t="shared" ref="BM48" si="482">+IF(BI47&lt;0,1-BM47/BI47,BM47/BI47-1)</f>
        <v>0.36338249647543663</v>
      </c>
      <c r="BN48" s="74">
        <f t="shared" ref="BN48" si="483">+IF(BJ47&lt;0,1-BN47/BJ47,BN47/BJ47-1)</f>
        <v>0.87688112660499762</v>
      </c>
      <c r="BO48" s="74">
        <f t="shared" ref="BO48" si="484">+IF(BK47&lt;0,1-BO47/BK47,BO47/BK47-1)</f>
        <v>0.68262702993689639</v>
      </c>
      <c r="BP48" s="74">
        <f t="shared" ref="BP48" si="485">+IF(BL47&lt;0,1-BP47/BL47,BP47/BL47-1)</f>
        <v>0.58581706063720418</v>
      </c>
      <c r="BQ48" s="74">
        <f t="shared" ref="BQ48" si="486">+IF(BM47&lt;0,1-BQ47/BM47,BQ47/BM47-1)</f>
        <v>0.35776642074492404</v>
      </c>
      <c r="BR48" s="74">
        <f t="shared" ref="BR48" si="487">+IF(BN47&lt;0,1-BR47/BN47,BR47/BN47-1)</f>
        <v>0.30446696213472602</v>
      </c>
      <c r="BS48" s="74">
        <f t="shared" ref="BS48" si="488">+IF(BO47&lt;0,1-BS47/BO47,BS47/BO47-1)</f>
        <v>0.19466069460737212</v>
      </c>
      <c r="BT48" s="74">
        <f t="shared" ref="BT48" si="489">+IF(BP47&lt;0,1-BT47/BP47,BT47/BP47-1)</f>
        <v>3.5162936005450618E-2</v>
      </c>
      <c r="BU48" s="74">
        <f t="shared" ref="BU48" si="490">+IF(BQ47&lt;0,1-BU47/BQ47,BU47/BQ47-1)</f>
        <v>-7.1457863440639646E-2</v>
      </c>
      <c r="BV48" s="74">
        <f t="shared" ref="BV48" si="491">+IF(BR47&lt;0,1-BV47/BR47,BV47/BR47-1)</f>
        <v>-7.9455260598028987E-2</v>
      </c>
      <c r="BW48" s="74">
        <f>+IF(BS47&lt;0,1-BW47/BS47,BW47/BS47-1)</f>
        <v>3.3757848067367036E-2</v>
      </c>
      <c r="BX48" s="74">
        <f>+IF(BT47&lt;0,1-BX47/BT47,BX47/BT47-1)</f>
        <v>9.2402035541714334E-2</v>
      </c>
      <c r="BY48" s="74">
        <f>+IF(BU47&lt;0,1-BY47/BU47,BY47/BU47-1)</f>
        <v>0.23079228378996475</v>
      </c>
      <c r="BZ48" s="36">
        <f t="shared" ref="BZ48" si="492">+IF(BV47&lt;0,1-BZ47/BV47,BZ47/BV47-1)</f>
        <v>0.17504465126041668</v>
      </c>
      <c r="CA48" s="36">
        <f t="shared" ref="CA48" si="493">+IF(BW47&lt;0,1-CA47/BW47,CA47/BW47-1)</f>
        <v>0.3224470470068086</v>
      </c>
      <c r="CB48" s="36">
        <f t="shared" ref="CB48" si="494">+IF(BX47&lt;0,1-CB47/BX47,CB47/BX47-1)</f>
        <v>0.40330961973812163</v>
      </c>
      <c r="CC48" s="36">
        <f t="shared" ref="CC48" si="495">+IF(BY47&lt;0,1-CC47/BY47,CC47/BY47-1)</f>
        <v>0.30910241039574382</v>
      </c>
      <c r="CD48" s="36">
        <f t="shared" ref="CD48" si="496">+IF(BZ47&lt;0,1-CD47/BZ47,CD47/BZ47-1)</f>
        <v>0.38044456306563124</v>
      </c>
      <c r="CE48" s="36">
        <f t="shared" ref="CE48" si="497">+IF(CA47&lt;0,1-CE47/CA47,CE47/CA47-1)</f>
        <v>0.25454329077308646</v>
      </c>
      <c r="CF48" s="36">
        <f t="shared" ref="CF48" si="498">+IF(CB47&lt;0,1-CF47/CB47,CF47/CB47-1)</f>
        <v>0.24009318783342093</v>
      </c>
      <c r="CG48" s="36">
        <f t="shared" ref="CG48" si="499">+IF(CC47&lt;0,1-CG47/CC47,CG47/CC47-1)</f>
        <v>0.21164318884560696</v>
      </c>
      <c r="CH48" s="36">
        <f t="shared" ref="CH48" si="500">+IF(CD47&lt;0,1-CH47/CD47,CH47/CD47-1)</f>
        <v>0.21338690534600935</v>
      </c>
      <c r="CI48" s="36">
        <f t="shared" ref="CI48" si="501">+IF(CE47&lt;0,1-CI47/CE47,CI47/CE47-1)</f>
        <v>0.17678303267684559</v>
      </c>
      <c r="CJ48" s="36">
        <f t="shared" ref="CJ48" si="502">+IF(CF47&lt;0,1-CJ47/CF47,CJ47/CF47-1)</f>
        <v>0.15666301299793539</v>
      </c>
      <c r="CK48" s="36">
        <f t="shared" ref="CK48" si="503">+IF(CG47&lt;0,1-CK47/CG47,CK47/CG47-1)</f>
        <v>0.13540693017582361</v>
      </c>
      <c r="CL48" s="36">
        <f t="shared" ref="CL48" si="504">+IF(CH47&lt;0,1-CL47/CH47,CL47/CH47-1)</f>
        <v>0.16224793723915565</v>
      </c>
      <c r="CM48" s="36">
        <f t="shared" ref="CM48" si="505">+IF(CI47&lt;0,1-CM47/CI47,CM47/CI47-1)</f>
        <v>0.15261283918082968</v>
      </c>
      <c r="CN48" s="36">
        <f t="shared" ref="CN48" si="506">+IF(CJ47&lt;0,1-CN47/CJ47,CN47/CJ47-1)</f>
        <v>0.14952350731567687</v>
      </c>
      <c r="CO48" s="36">
        <f t="shared" ref="CO48" si="507">+IF(CK47&lt;0,1-CO47/CK47,CO47/CK47-1)</f>
        <v>0.14903403963723694</v>
      </c>
      <c r="CT48" s="71">
        <v>5.3199986500320984E-2</v>
      </c>
    </row>
    <row r="49" spans="1:98" s="38" customFormat="1" x14ac:dyDescent="0.2">
      <c r="A49" s="38" t="s">
        <v>2</v>
      </c>
      <c r="B49" s="38">
        <f>+'Annual Raw'!C23</f>
        <v>0</v>
      </c>
      <c r="C49" s="38">
        <f>+'Annual Raw'!D23</f>
        <v>0</v>
      </c>
      <c r="D49" s="38">
        <f>+'Annual Raw'!E23</f>
        <v>0</v>
      </c>
      <c r="E49" s="38">
        <f>+'Annual Raw'!F23</f>
        <v>0</v>
      </c>
      <c r="F49" s="38">
        <f>+'Annual Raw'!G23</f>
        <v>0</v>
      </c>
      <c r="G49" s="38">
        <f>+'Annual Raw'!H23</f>
        <v>0</v>
      </c>
      <c r="H49" s="38">
        <f>+'Annual Raw'!I23</f>
        <v>0</v>
      </c>
      <c r="I49" s="38">
        <f>+'Annual Raw'!J23</f>
        <v>0</v>
      </c>
      <c r="J49" s="38">
        <f>+'Annual Raw'!K23</f>
        <v>0.42136109999999999</v>
      </c>
      <c r="K49" s="38">
        <f>+'Annual Raw'!L23</f>
        <v>4.6817432999999999</v>
      </c>
      <c r="L49" s="38">
        <f>+'Annual Raw'!M23</f>
        <v>4.9490314</v>
      </c>
      <c r="M49" s="38">
        <f>+'Annual Raw'!N23</f>
        <v>0.71329010000000004</v>
      </c>
      <c r="N49" s="38">
        <f>+'Annual Raw'!O23</f>
        <v>5.3446835000000004</v>
      </c>
      <c r="O49" s="38">
        <f>+'Annual Raw'!P23</f>
        <v>11.8201795</v>
      </c>
      <c r="P49" s="38">
        <f>+'Annual Raw'!Q23</f>
        <v>8.7177193000000006</v>
      </c>
      <c r="Q49" s="38">
        <f>+'Annual Raw'!R23</f>
        <v>19.999550599999999</v>
      </c>
      <c r="R49" s="38">
        <f>+'Annual Raw'!S23</f>
        <v>111.9763524</v>
      </c>
      <c r="S49" s="38">
        <f>+'Annual Raw'!T23</f>
        <v>126.5</v>
      </c>
      <c r="T49" s="38">
        <f>+'Annual Raw'!U23</f>
        <v>86.46</v>
      </c>
      <c r="U49" s="38">
        <f>+'Annual Raw'!V23</f>
        <v>254.91</v>
      </c>
      <c r="V49" s="38">
        <f>+'Annual Raw'!W23</f>
        <v>662.16</v>
      </c>
      <c r="W49" s="38">
        <f>+'Annual Raw'!X23</f>
        <v>616.71</v>
      </c>
      <c r="X49" s="38">
        <f>+'Annual Raw'!Y23</f>
        <v>417.75</v>
      </c>
      <c r="Y49" s="38">
        <f>+'Annual Raw'!Z23</f>
        <v>469.38</v>
      </c>
      <c r="Z49" s="38">
        <f>+'Annual Raw'!AA23</f>
        <v>1957.86</v>
      </c>
      <c r="AA49" s="38">
        <f>+'Annual Raw'!AB23</f>
        <v>1805.73</v>
      </c>
      <c r="AB49" s="39">
        <f>SUM(BZ49:CC49)</f>
        <v>1593.3687654968264</v>
      </c>
      <c r="AC49" s="39">
        <f>SUM(CD49:CG49)</f>
        <v>1832.0350862823288</v>
      </c>
      <c r="AD49" s="39">
        <f>SUM(CH49:CK49)</f>
        <v>2111.643193077166</v>
      </c>
      <c r="AE49" s="39">
        <f>SUM(CL49:CO49)</f>
        <v>2431.1122000028508</v>
      </c>
      <c r="AG49" s="60"/>
      <c r="AH49" s="38">
        <f>+'QTR Raw'!D36+'QTR Raw'!D27</f>
        <v>0</v>
      </c>
      <c r="AI49" s="38">
        <f>+'QTR Raw'!E36+'QTR Raw'!E27</f>
        <v>0</v>
      </c>
      <c r="AJ49" s="38">
        <f>+'QTR Raw'!F36+'QTR Raw'!F27</f>
        <v>0</v>
      </c>
      <c r="AK49" s="38">
        <f>+'QTR Raw'!G36+'QTR Raw'!G27</f>
        <v>0</v>
      </c>
      <c r="AL49" s="38">
        <f>+'QTR Raw'!H36+'QTR Raw'!H27</f>
        <v>0</v>
      </c>
      <c r="AM49" s="38">
        <f>+'QTR Raw'!I36+'QTR Raw'!I27</f>
        <v>0</v>
      </c>
      <c r="AN49" s="38">
        <f>+'QTR Raw'!J36+'QTR Raw'!J27</f>
        <v>0</v>
      </c>
      <c r="AO49" s="38">
        <f>+'QTR Raw'!K36+'QTR Raw'!K27</f>
        <v>0</v>
      </c>
      <c r="AP49" s="38">
        <f>+'QTR Raw'!L36+'QTR Raw'!L27</f>
        <v>0</v>
      </c>
      <c r="AQ49" s="38">
        <f>+'QTR Raw'!M36+'QTR Raw'!M27</f>
        <v>-12.85</v>
      </c>
      <c r="AR49" s="38">
        <f>+'QTR Raw'!N36+'QTR Raw'!N27</f>
        <v>-19.329999999999998</v>
      </c>
      <c r="AS49" s="38">
        <f>+'QTR Raw'!O36+'QTR Raw'!O27</f>
        <v>-2.19</v>
      </c>
      <c r="AT49" s="38">
        <f>+'QTR Raw'!P36+'QTR Raw'!P27</f>
        <v>13.87</v>
      </c>
      <c r="AU49" s="38">
        <f>+'QTR Raw'!Q36+'QTR Raw'!Q27</f>
        <v>16.829999999999998</v>
      </c>
      <c r="AV49" s="38">
        <f>+'QTR Raw'!R36+'QTR Raw'!R27</f>
        <v>10.28</v>
      </c>
      <c r="AW49" s="38">
        <f>+'QTR Raw'!S36+'QTR Raw'!S27</f>
        <v>33.880000000000003</v>
      </c>
      <c r="AX49" s="38">
        <f>+'QTR Raw'!T36+'QTR Raw'!T27</f>
        <v>15.47</v>
      </c>
      <c r="AY49" s="38">
        <f>+'QTR Raw'!U36+'QTR Raw'!U27</f>
        <v>28.14</v>
      </c>
      <c r="AZ49" s="38">
        <f>+'QTR Raw'!V36+'QTR Raw'!V27</f>
        <v>54.7</v>
      </c>
      <c r="BA49" s="38">
        <f>+'QTR Raw'!W36+'QTR Raw'!W27</f>
        <v>138.96</v>
      </c>
      <c r="BB49" s="38">
        <f>+'QTR Raw'!X36+'QTR Raw'!X27</f>
        <v>155.1</v>
      </c>
      <c r="BC49" s="38">
        <f>+'QTR Raw'!Y36+'QTR Raw'!Y27</f>
        <v>90.18</v>
      </c>
      <c r="BD49" s="38">
        <f>+'QTR Raw'!Z36+'QTR Raw'!Z27</f>
        <v>275.64999999999998</v>
      </c>
      <c r="BE49" s="38">
        <f>+'QTR Raw'!AA36+'QTR Raw'!AA27</f>
        <v>250.43</v>
      </c>
      <c r="BF49" s="38">
        <f>+'QTR Raw'!AB36+'QTR Raw'!AB27</f>
        <v>187.87</v>
      </c>
      <c r="BG49" s="38">
        <f>+'QTR Raw'!AC36+'QTR Raw'!AC27</f>
        <v>139.93</v>
      </c>
      <c r="BH49" s="38">
        <f>+'QTR Raw'!AD36+'QTR Raw'!AD27</f>
        <v>117.94</v>
      </c>
      <c r="BI49" s="38">
        <f>+'QTR Raw'!AE36+'QTR Raw'!AE27</f>
        <v>151.01</v>
      </c>
      <c r="BJ49" s="38">
        <f>+'QTR Raw'!AF36+'QTR Raw'!AF27</f>
        <v>100.91</v>
      </c>
      <c r="BK49" s="38">
        <f>+'QTR Raw'!AG36+'QTR Raw'!AG27</f>
        <v>105.36</v>
      </c>
      <c r="BL49" s="38">
        <f>+'QTR Raw'!AH36+'QTR Raw'!AH27</f>
        <v>89.44</v>
      </c>
      <c r="BM49" s="38">
        <f>+'QTR Raw'!AI36+'QTR Raw'!AI27</f>
        <v>105.32</v>
      </c>
      <c r="BN49" s="38">
        <f>+'QTR Raw'!AJ36+'QTR Raw'!AJ27</f>
        <v>76.400000000000006</v>
      </c>
      <c r="BO49" s="38">
        <f>+'QTR Raw'!AK36+'QTR Raw'!AK27</f>
        <v>95.85</v>
      </c>
      <c r="BP49" s="38">
        <f>+'QTR Raw'!AL36+'QTR Raw'!AL27</f>
        <v>126.2</v>
      </c>
      <c r="BQ49" s="38">
        <f>+'QTR Raw'!AM36+'QTR Raw'!AM27</f>
        <v>153.32</v>
      </c>
      <c r="BR49" s="38">
        <f>+'QTR Raw'!AN36+'QTR Raw'!AN27</f>
        <v>174.59</v>
      </c>
      <c r="BS49" s="38">
        <f>+'QTR Raw'!AO36+'QTR Raw'!AO27</f>
        <v>420.15</v>
      </c>
      <c r="BT49" s="38">
        <f>+'QTR Raw'!AP36+'QTR Raw'!AP27</f>
        <v>751.86</v>
      </c>
      <c r="BU49" s="38">
        <f>+'QTR Raw'!AQ36+'QTR Raw'!AQ27</f>
        <v>582.91</v>
      </c>
      <c r="BV49" s="38">
        <f>+'QTR Raw'!AR36+'QTR Raw'!AR27</f>
        <v>571.85</v>
      </c>
      <c r="BW49" s="38">
        <f>+'QTR Raw'!AS36+'QTR Raw'!AS27</f>
        <v>525.66999999999996</v>
      </c>
      <c r="BX49" s="38">
        <f>+'QTR Raw'!AT36+'QTR Raw'!AT27</f>
        <v>342.57</v>
      </c>
      <c r="BY49" s="38">
        <f>+'QTR Raw'!AU36+'QTR Raw'!AU27</f>
        <v>335.31</v>
      </c>
      <c r="BZ49" s="39">
        <f t="shared" ref="BZ49:CO49" si="508">BZ20*BY5</f>
        <v>380.91088036503243</v>
      </c>
      <c r="CA49" s="39">
        <f t="shared" si="508"/>
        <v>400.22381972168773</v>
      </c>
      <c r="CB49" s="39">
        <f t="shared" si="508"/>
        <v>401.25377878050176</v>
      </c>
      <c r="CC49" s="39">
        <f t="shared" si="508"/>
        <v>410.98028662960445</v>
      </c>
      <c r="CD49" s="39">
        <f t="shared" si="508"/>
        <v>439.08527805663709</v>
      </c>
      <c r="CE49" s="39">
        <f t="shared" si="508"/>
        <v>458.6803797118589</v>
      </c>
      <c r="CF49" s="39">
        <f t="shared" si="508"/>
        <v>461.10637721606423</v>
      </c>
      <c r="CG49" s="39">
        <f t="shared" si="508"/>
        <v>473.16305129776862</v>
      </c>
      <c r="CH49" s="39">
        <f t="shared" si="508"/>
        <v>505.61932506180085</v>
      </c>
      <c r="CI49" s="39">
        <f t="shared" si="508"/>
        <v>528.47037313394912</v>
      </c>
      <c r="CJ49" s="39">
        <f t="shared" si="508"/>
        <v>531.81588368769269</v>
      </c>
      <c r="CK49" s="39">
        <f t="shared" si="508"/>
        <v>545.73761119372352</v>
      </c>
      <c r="CL49" s="39">
        <f t="shared" si="508"/>
        <v>582.37633070364689</v>
      </c>
      <c r="CM49" s="39">
        <f t="shared" si="508"/>
        <v>608.2571620141922</v>
      </c>
      <c r="CN49" s="39">
        <f t="shared" si="508"/>
        <v>612.3011464035493</v>
      </c>
      <c r="CO49" s="39">
        <f t="shared" si="508"/>
        <v>628.17756088146211</v>
      </c>
      <c r="CT49" s="38">
        <v>1775.3999999999999</v>
      </c>
    </row>
    <row r="50" spans="1:98" s="43" customFormat="1" x14ac:dyDescent="0.2">
      <c r="A50" s="43" t="s">
        <v>12</v>
      </c>
      <c r="B50" s="43">
        <f t="shared" ref="B50" si="509">B47-B49</f>
        <v>0</v>
      </c>
      <c r="C50" s="43">
        <f t="shared" ref="C50:Z50" si="510">C47-C49</f>
        <v>0</v>
      </c>
      <c r="D50" s="43">
        <f t="shared" si="510"/>
        <v>0</v>
      </c>
      <c r="E50" s="43">
        <f t="shared" si="510"/>
        <v>0</v>
      </c>
      <c r="F50" s="43">
        <f t="shared" si="510"/>
        <v>0</v>
      </c>
      <c r="G50" s="43">
        <f t="shared" si="510"/>
        <v>0</v>
      </c>
      <c r="H50" s="43">
        <f t="shared" si="510"/>
        <v>0</v>
      </c>
      <c r="I50" s="43">
        <f t="shared" si="510"/>
        <v>0</v>
      </c>
      <c r="J50" s="43">
        <f t="shared" si="510"/>
        <v>0.90085290000000073</v>
      </c>
      <c r="K50" s="43">
        <f t="shared" si="510"/>
        <v>1.881332099999999</v>
      </c>
      <c r="L50" s="43">
        <f t="shared" si="510"/>
        <v>3.7921195000000152</v>
      </c>
      <c r="M50" s="43">
        <f t="shared" si="510"/>
        <v>-1.7074492000000046</v>
      </c>
      <c r="N50" s="43">
        <f t="shared" si="510"/>
        <v>9.0471842999999996</v>
      </c>
      <c r="O50" s="43">
        <f t="shared" si="510"/>
        <v>27.652229999999996</v>
      </c>
      <c r="P50" s="43">
        <f t="shared" si="510"/>
        <v>76.079478500000022</v>
      </c>
      <c r="Q50" s="43">
        <f t="shared" si="510"/>
        <v>130.36099109999998</v>
      </c>
      <c r="R50" s="43">
        <f t="shared" si="510"/>
        <v>116.58653590000003</v>
      </c>
      <c r="S50" s="43">
        <f t="shared" si="510"/>
        <v>328.22000000000008</v>
      </c>
      <c r="T50" s="43">
        <f t="shared" si="510"/>
        <v>497.73999999999984</v>
      </c>
      <c r="U50" s="43">
        <f t="shared" si="510"/>
        <v>450.89000000000021</v>
      </c>
      <c r="V50" s="43">
        <f t="shared" si="510"/>
        <v>194.28999999999985</v>
      </c>
      <c r="W50" s="43">
        <f t="shared" si="510"/>
        <v>480.79999999999973</v>
      </c>
      <c r="X50" s="43">
        <f t="shared" si="510"/>
        <v>1105.3900000000001</v>
      </c>
      <c r="Y50" s="43">
        <f t="shared" si="510"/>
        <v>1939.1800000000003</v>
      </c>
      <c r="Z50" s="43">
        <f t="shared" si="510"/>
        <v>708.86999999999966</v>
      </c>
      <c r="AA50" s="43">
        <f t="shared" ref="AA50" si="511">AA47-AA49</f>
        <v>1033.1999999999998</v>
      </c>
      <c r="AB50" s="44">
        <f t="shared" ref="AB50" si="512">AB47-AB49</f>
        <v>2069.2198870999255</v>
      </c>
      <c r="AC50" s="44">
        <f t="shared" ref="AC50" si="513">AC47-AC49</f>
        <v>2801.8194126546605</v>
      </c>
      <c r="AD50" s="44">
        <f t="shared" ref="AD50" si="514">AD47-AD49</f>
        <v>3305.1303664361394</v>
      </c>
      <c r="AE50" s="44">
        <f t="shared" ref="AE50" si="515">AE47-AE49</f>
        <v>3815.452612611326</v>
      </c>
      <c r="AG50" s="62"/>
      <c r="AH50" s="43">
        <f t="shared" ref="AH50:AU50" si="516">AH47-AH49</f>
        <v>0</v>
      </c>
      <c r="AI50" s="43">
        <f t="shared" si="516"/>
        <v>0</v>
      </c>
      <c r="AJ50" s="43">
        <f t="shared" si="516"/>
        <v>0</v>
      </c>
      <c r="AK50" s="43">
        <f t="shared" si="516"/>
        <v>0</v>
      </c>
      <c r="AL50" s="43">
        <f t="shared" si="516"/>
        <v>0</v>
      </c>
      <c r="AM50" s="43">
        <f t="shared" si="516"/>
        <v>0</v>
      </c>
      <c r="AN50" s="43">
        <f t="shared" si="516"/>
        <v>0</v>
      </c>
      <c r="AO50" s="43">
        <f t="shared" si="516"/>
        <v>0</v>
      </c>
      <c r="AP50" s="43">
        <f t="shared" si="516"/>
        <v>0</v>
      </c>
      <c r="AQ50" s="43">
        <f t="shared" si="516"/>
        <v>91.97999999999999</v>
      </c>
      <c r="AR50" s="43">
        <f t="shared" si="516"/>
        <v>98.90000000000002</v>
      </c>
      <c r="AS50" s="43">
        <f t="shared" si="516"/>
        <v>110.62999999999997</v>
      </c>
      <c r="AT50" s="43">
        <f t="shared" si="516"/>
        <v>112.36</v>
      </c>
      <c r="AU50" s="43">
        <f t="shared" si="516"/>
        <v>114.05000000000005</v>
      </c>
      <c r="AV50" s="43">
        <f t="shared" ref="AV50:BV50" si="517">AV47-AV49</f>
        <v>153.70999999999998</v>
      </c>
      <c r="AW50" s="43">
        <f t="shared" si="517"/>
        <v>117.60000000000002</v>
      </c>
      <c r="AX50" s="43">
        <f t="shared" si="517"/>
        <v>148.12999999999997</v>
      </c>
      <c r="AY50" s="43">
        <f t="shared" si="517"/>
        <v>127.01000000000003</v>
      </c>
      <c r="AZ50" s="43">
        <f t="shared" si="517"/>
        <v>145.92000000000002</v>
      </c>
      <c r="BA50" s="43">
        <f t="shared" si="517"/>
        <v>40.519999999999982</v>
      </c>
      <c r="BB50" s="43">
        <f t="shared" si="517"/>
        <v>100.45999999999995</v>
      </c>
      <c r="BC50" s="43">
        <f t="shared" si="517"/>
        <v>106.70999999999992</v>
      </c>
      <c r="BD50" s="43">
        <f t="shared" si="517"/>
        <v>-105.35</v>
      </c>
      <c r="BE50" s="43">
        <f t="shared" si="517"/>
        <v>78.589999999999975</v>
      </c>
      <c r="BF50" s="43">
        <f t="shared" si="517"/>
        <v>28.559999999999945</v>
      </c>
      <c r="BG50" s="43">
        <f t="shared" si="517"/>
        <v>78.789999999999964</v>
      </c>
      <c r="BH50" s="43">
        <f t="shared" si="517"/>
        <v>155.58999999999997</v>
      </c>
      <c r="BI50" s="43">
        <f t="shared" si="517"/>
        <v>217.83000000000004</v>
      </c>
      <c r="BJ50" s="43">
        <f t="shared" si="517"/>
        <v>188.81000000000003</v>
      </c>
      <c r="BK50" s="43">
        <f t="shared" si="517"/>
        <v>229.01000000000005</v>
      </c>
      <c r="BL50" s="43">
        <f t="shared" si="517"/>
        <v>290.03000000000009</v>
      </c>
      <c r="BM50" s="43">
        <f t="shared" si="517"/>
        <v>397.55000000000013</v>
      </c>
      <c r="BN50" s="43">
        <f t="shared" si="517"/>
        <v>467.37</v>
      </c>
      <c r="BO50" s="43">
        <f t="shared" si="517"/>
        <v>466.7700000000001</v>
      </c>
      <c r="BP50" s="43">
        <f t="shared" si="517"/>
        <v>475.57</v>
      </c>
      <c r="BQ50" s="43">
        <f t="shared" si="517"/>
        <v>529.46</v>
      </c>
      <c r="BR50" s="43">
        <f t="shared" si="517"/>
        <v>534.7399999999999</v>
      </c>
      <c r="BS50" s="43">
        <f t="shared" si="517"/>
        <v>251.9899999999999</v>
      </c>
      <c r="BT50" s="43">
        <f t="shared" si="517"/>
        <v>-128.92999999999995</v>
      </c>
      <c r="BU50" s="43">
        <f t="shared" si="517"/>
        <v>51.080000000000155</v>
      </c>
      <c r="BV50" s="43">
        <f t="shared" si="517"/>
        <v>81.12</v>
      </c>
      <c r="BW50" s="43">
        <f t="shared" ref="BW50:BX50" si="518">BW47-BW49</f>
        <v>169.15999999999997</v>
      </c>
      <c r="BX50" s="43">
        <f t="shared" si="518"/>
        <v>337.92000000000024</v>
      </c>
      <c r="BY50" s="43">
        <f t="shared" ref="BY50" si="519">BY47-BY49</f>
        <v>444.99999999999994</v>
      </c>
      <c r="BZ50" s="44">
        <f t="shared" ref="BZ50:CC50" si="520">BZ47-BZ49</f>
        <v>386.35802556848182</v>
      </c>
      <c r="CA50" s="44">
        <f t="shared" si="520"/>
        <v>518.65206195005294</v>
      </c>
      <c r="CB50" s="44">
        <f t="shared" si="520"/>
        <v>553.6843843550929</v>
      </c>
      <c r="CC50" s="44">
        <f t="shared" si="520"/>
        <v>610.52541522629826</v>
      </c>
      <c r="CD50" s="44">
        <f t="shared" ref="CD50:CO50" si="521">CD47-CD49</f>
        <v>620.08691154859787</v>
      </c>
      <c r="CE50" s="44">
        <f t="shared" si="521"/>
        <v>694.08919269262788</v>
      </c>
      <c r="CF50" s="44">
        <f t="shared" si="521"/>
        <v>723.10593369054686</v>
      </c>
      <c r="CG50" s="44">
        <f t="shared" si="521"/>
        <v>764.53737472288731</v>
      </c>
      <c r="CH50" s="44">
        <f t="shared" si="521"/>
        <v>779.56634031185183</v>
      </c>
      <c r="CI50" s="44">
        <f t="shared" si="521"/>
        <v>828.08930025779341</v>
      </c>
      <c r="CJ50" s="44">
        <f t="shared" si="521"/>
        <v>837.91869587479584</v>
      </c>
      <c r="CK50" s="44">
        <f t="shared" si="521"/>
        <v>859.55602999169855</v>
      </c>
      <c r="CL50" s="44">
        <f t="shared" si="521"/>
        <v>911.32805784621257</v>
      </c>
      <c r="CM50" s="44">
        <f t="shared" si="521"/>
        <v>955.3309346520831</v>
      </c>
      <c r="CN50" s="44">
        <f t="shared" si="521"/>
        <v>962.24095158668672</v>
      </c>
      <c r="CO50" s="44">
        <f t="shared" si="521"/>
        <v>986.55266852634531</v>
      </c>
      <c r="CT50" s="43">
        <v>1033.2000000000005</v>
      </c>
    </row>
    <row r="51" spans="1:98" s="38" customFormat="1" x14ac:dyDescent="0.2">
      <c r="A51" s="38" t="s">
        <v>13</v>
      </c>
      <c r="B51" s="38">
        <f>+'Annual Raw'!C36</f>
        <v>0</v>
      </c>
      <c r="C51" s="38">
        <f>+'Annual Raw'!D36</f>
        <v>0</v>
      </c>
      <c r="D51" s="38">
        <f>+'Annual Raw'!E36</f>
        <v>0</v>
      </c>
      <c r="E51" s="38">
        <f>+'Annual Raw'!F36</f>
        <v>0</v>
      </c>
      <c r="F51" s="38">
        <f>+'Annual Raw'!G36</f>
        <v>0</v>
      </c>
      <c r="G51" s="38">
        <f>+'Annual Raw'!H36</f>
        <v>0</v>
      </c>
      <c r="H51" s="38">
        <f>+'Annual Raw'!I36</f>
        <v>0</v>
      </c>
      <c r="I51" s="38">
        <f>+'Annual Raw'!J36</f>
        <v>0</v>
      </c>
      <c r="J51" s="38">
        <f>+'Annual Raw'!K36</f>
        <v>0.41645159999999998</v>
      </c>
      <c r="K51" s="38">
        <f>+'Annual Raw'!L36</f>
        <v>0.93568580000000001</v>
      </c>
      <c r="L51" s="38">
        <f>+'Annual Raw'!M36</f>
        <v>0.2819448</v>
      </c>
      <c r="M51" s="38">
        <f>+'Annual Raw'!N36</f>
        <v>1.1951919</v>
      </c>
      <c r="N51" s="38">
        <f>+'Annual Raw'!O36</f>
        <v>0.58925479999999997</v>
      </c>
      <c r="O51" s="38">
        <f>+'Annual Raw'!P36</f>
        <v>9.1432403999999998</v>
      </c>
      <c r="P51" s="38">
        <f>+'Annual Raw'!Q36</f>
        <v>26.623669</v>
      </c>
      <c r="Q51" s="38">
        <f>+'Annual Raw'!R36</f>
        <v>46.584870100000003</v>
      </c>
      <c r="R51" s="38">
        <f>+'Annual Raw'!S36</f>
        <v>41.331508900000003</v>
      </c>
      <c r="S51" s="38">
        <f>+'Annual Raw'!T36</f>
        <v>115.74</v>
      </c>
      <c r="T51" s="38">
        <f>+'Annual Raw'!U36</f>
        <v>175.98</v>
      </c>
      <c r="U51" s="38">
        <f>+'Annual Raw'!V36</f>
        <v>123.39</v>
      </c>
      <c r="V51" s="38">
        <f>+'Annual Raw'!W36</f>
        <v>51.9</v>
      </c>
      <c r="W51" s="38">
        <f>+'Annual Raw'!X36</f>
        <v>127.72</v>
      </c>
      <c r="X51" s="38">
        <f>+'Annual Raw'!Y36</f>
        <v>279.36</v>
      </c>
      <c r="Y51" s="38">
        <f>+'Annual Raw'!Z36</f>
        <v>493.25</v>
      </c>
      <c r="Z51" s="38">
        <f>+'Annual Raw'!AA36</f>
        <v>177.47</v>
      </c>
      <c r="AA51" s="38">
        <f>+'Annual Raw'!AB36</f>
        <v>255.56</v>
      </c>
      <c r="AB51" s="39">
        <f>SUM(BZ51:CC51)</f>
        <v>537.99717064598076</v>
      </c>
      <c r="AC51" s="39">
        <f>SUM(CD51:CG51)</f>
        <v>728.47304729021153</v>
      </c>
      <c r="AD51" s="39">
        <f>SUM(CH51:CK51)</f>
        <v>859.33389527339637</v>
      </c>
      <c r="AE51" s="39">
        <f>SUM(CL51:CO51)</f>
        <v>992.01767927894525</v>
      </c>
      <c r="AG51" s="60"/>
      <c r="AH51" s="38">
        <f>+'QTR Raw'!D38</f>
        <v>0</v>
      </c>
      <c r="AI51" s="38">
        <f>+'QTR Raw'!E38</f>
        <v>0</v>
      </c>
      <c r="AJ51" s="38">
        <f>+'QTR Raw'!F38</f>
        <v>0</v>
      </c>
      <c r="AK51" s="38">
        <f>+'QTR Raw'!G38</f>
        <v>0</v>
      </c>
      <c r="AL51" s="38">
        <f>+'QTR Raw'!H38</f>
        <v>0</v>
      </c>
      <c r="AM51" s="38">
        <f>+'QTR Raw'!I38</f>
        <v>0</v>
      </c>
      <c r="AN51" s="38">
        <f>+'QTR Raw'!J38</f>
        <v>0</v>
      </c>
      <c r="AO51" s="38">
        <f>+'QTR Raw'!K38</f>
        <v>0</v>
      </c>
      <c r="AP51" s="38">
        <f>+'QTR Raw'!L38</f>
        <v>0</v>
      </c>
      <c r="AQ51" s="38">
        <f>+'QTR Raw'!M38</f>
        <v>30.95</v>
      </c>
      <c r="AR51" s="38">
        <f>+'QTR Raw'!N38</f>
        <v>34.54</v>
      </c>
      <c r="AS51" s="38">
        <f>+'QTR Raw'!O38</f>
        <v>38.92</v>
      </c>
      <c r="AT51" s="38">
        <f>+'QTR Raw'!P38</f>
        <v>40.14</v>
      </c>
      <c r="AU51" s="38">
        <f>+'QTR Raw'!Q38</f>
        <v>40.590000000000003</v>
      </c>
      <c r="AV51" s="38">
        <f>+'QTR Raw'!R38</f>
        <v>53.97</v>
      </c>
      <c r="AW51" s="38">
        <f>+'QTR Raw'!S38</f>
        <v>41.29</v>
      </c>
      <c r="AX51" s="38">
        <f>+'QTR Raw'!T38</f>
        <v>52.3</v>
      </c>
      <c r="AY51" s="38">
        <f>+'QTR Raw'!U38</f>
        <v>26.13</v>
      </c>
      <c r="AZ51" s="38">
        <f>+'QTR Raw'!V38</f>
        <v>37.93</v>
      </c>
      <c r="BA51" s="38">
        <f>+'QTR Raw'!W38</f>
        <v>9.74</v>
      </c>
      <c r="BB51" s="38">
        <f>+'QTR Raw'!X38</f>
        <v>25.84</v>
      </c>
      <c r="BC51" s="38">
        <f>+'QTR Raw'!Y38</f>
        <v>27.14</v>
      </c>
      <c r="BD51" s="38">
        <f>+'QTR Raw'!Z38</f>
        <v>-26.29</v>
      </c>
      <c r="BE51" s="38">
        <f>+'QTR Raw'!AA38</f>
        <v>22.31</v>
      </c>
      <c r="BF51" s="38">
        <f>+'QTR Raw'!AB38</f>
        <v>8.27</v>
      </c>
      <c r="BG51" s="38">
        <f>+'QTR Raw'!AC38</f>
        <v>19.09</v>
      </c>
      <c r="BH51" s="38">
        <f>+'QTR Raw'!AD38</f>
        <v>38.65</v>
      </c>
      <c r="BI51" s="38">
        <f>+'QTR Raw'!AE38</f>
        <v>58.7</v>
      </c>
      <c r="BJ51" s="38">
        <f>+'QTR Raw'!AF38</f>
        <v>50.26</v>
      </c>
      <c r="BK51" s="38">
        <f>+'QTR Raw'!AG38</f>
        <v>53.86</v>
      </c>
      <c r="BL51" s="38">
        <f>+'QTR Raw'!AH38</f>
        <v>74.27</v>
      </c>
      <c r="BM51" s="38">
        <f>+'QTR Raw'!AI38</f>
        <v>100.98</v>
      </c>
      <c r="BN51" s="38">
        <f>+'QTR Raw'!AJ38</f>
        <v>118.91</v>
      </c>
      <c r="BO51" s="38">
        <f>+'QTR Raw'!AK38</f>
        <v>119.73</v>
      </c>
      <c r="BP51" s="38">
        <f>+'QTR Raw'!AL38</f>
        <v>122.23</v>
      </c>
      <c r="BQ51" s="38">
        <f>+'QTR Raw'!AM38</f>
        <v>132.38</v>
      </c>
      <c r="BR51" s="38">
        <f>+'QTR Raw'!AN38</f>
        <v>137.08000000000001</v>
      </c>
      <c r="BS51" s="38">
        <f>+'QTR Raw'!AO38</f>
        <v>65.930000000000007</v>
      </c>
      <c r="BT51" s="38">
        <f>+'QTR Raw'!AP38</f>
        <v>-29.41</v>
      </c>
      <c r="BU51" s="38">
        <f>+'QTR Raw'!AQ38</f>
        <v>3.87</v>
      </c>
      <c r="BV51" s="38">
        <f>+'QTR Raw'!AR38</f>
        <v>20.93</v>
      </c>
      <c r="BW51" s="38">
        <f>+'QTR Raw'!AS38</f>
        <v>43.35</v>
      </c>
      <c r="BX51" s="38">
        <f>+'QTR Raw'!AT38</f>
        <v>85.83</v>
      </c>
      <c r="BY51" s="38">
        <f>+'QTR Raw'!AU38</f>
        <v>105.45</v>
      </c>
      <c r="BZ51" s="39">
        <f t="shared" ref="BZ51:CC51" si="522">BZ50*0.26</f>
        <v>100.45308664780528</v>
      </c>
      <c r="CA51" s="39">
        <f t="shared" si="522"/>
        <v>134.84953610701376</v>
      </c>
      <c r="CB51" s="39">
        <f t="shared" si="522"/>
        <v>143.95793993232417</v>
      </c>
      <c r="CC51" s="39">
        <f t="shared" si="522"/>
        <v>158.73660795883757</v>
      </c>
      <c r="CD51" s="39">
        <f t="shared" ref="CD51:CO51" si="523">CD50*0.26</f>
        <v>161.22259700263544</v>
      </c>
      <c r="CE51" s="39">
        <f t="shared" si="523"/>
        <v>180.46319010008327</v>
      </c>
      <c r="CF51" s="39">
        <f t="shared" si="523"/>
        <v>188.00754275954219</v>
      </c>
      <c r="CG51" s="39">
        <f t="shared" si="523"/>
        <v>198.77971742795071</v>
      </c>
      <c r="CH51" s="39">
        <f t="shared" si="523"/>
        <v>202.6872484810815</v>
      </c>
      <c r="CI51" s="39">
        <f t="shared" si="523"/>
        <v>215.30321806702631</v>
      </c>
      <c r="CJ51" s="39">
        <f t="shared" si="523"/>
        <v>217.85886092744693</v>
      </c>
      <c r="CK51" s="39">
        <f t="shared" si="523"/>
        <v>223.48456779784163</v>
      </c>
      <c r="CL51" s="39">
        <f t="shared" si="523"/>
        <v>236.94529504001528</v>
      </c>
      <c r="CM51" s="39">
        <f t="shared" si="523"/>
        <v>248.38604300954162</v>
      </c>
      <c r="CN51" s="39">
        <f t="shared" si="523"/>
        <v>250.18264741253856</v>
      </c>
      <c r="CO51" s="39">
        <f t="shared" si="523"/>
        <v>256.50369381684982</v>
      </c>
      <c r="CT51" s="38">
        <v>255.56</v>
      </c>
    </row>
    <row r="52" spans="1:98" s="43" customFormat="1" x14ac:dyDescent="0.2">
      <c r="A52" s="43" t="s">
        <v>14</v>
      </c>
      <c r="B52" s="43">
        <f t="shared" ref="B52" si="524">B50-B51</f>
        <v>0</v>
      </c>
      <c r="C52" s="43">
        <f t="shared" ref="C52:Z52" si="525">C50-C51</f>
        <v>0</v>
      </c>
      <c r="D52" s="43">
        <f t="shared" si="525"/>
        <v>0</v>
      </c>
      <c r="E52" s="43">
        <f t="shared" si="525"/>
        <v>0</v>
      </c>
      <c r="F52" s="43">
        <f t="shared" si="525"/>
        <v>0</v>
      </c>
      <c r="G52" s="43">
        <f t="shared" si="525"/>
        <v>0</v>
      </c>
      <c r="H52" s="43">
        <f t="shared" si="525"/>
        <v>0</v>
      </c>
      <c r="I52" s="43">
        <f t="shared" si="525"/>
        <v>0</v>
      </c>
      <c r="J52" s="43">
        <f t="shared" si="525"/>
        <v>0.48440130000000076</v>
      </c>
      <c r="K52" s="43">
        <f t="shared" si="525"/>
        <v>0.94564629999999894</v>
      </c>
      <c r="L52" s="43">
        <f t="shared" si="525"/>
        <v>3.5101747000000154</v>
      </c>
      <c r="M52" s="43">
        <f t="shared" si="525"/>
        <v>-2.9026411000000047</v>
      </c>
      <c r="N52" s="43">
        <f t="shared" si="525"/>
        <v>8.4579294999999988</v>
      </c>
      <c r="O52" s="43">
        <f t="shared" si="525"/>
        <v>18.508989599999996</v>
      </c>
      <c r="P52" s="43">
        <f t="shared" si="525"/>
        <v>49.455809500000022</v>
      </c>
      <c r="Q52" s="43">
        <f t="shared" si="525"/>
        <v>83.776120999999975</v>
      </c>
      <c r="R52" s="43">
        <f t="shared" si="525"/>
        <v>75.255027000000027</v>
      </c>
      <c r="S52" s="43">
        <f t="shared" si="525"/>
        <v>212.48000000000008</v>
      </c>
      <c r="T52" s="43">
        <f t="shared" si="525"/>
        <v>321.75999999999988</v>
      </c>
      <c r="U52" s="43">
        <f t="shared" si="525"/>
        <v>327.50000000000023</v>
      </c>
      <c r="V52" s="43">
        <f t="shared" si="525"/>
        <v>142.38999999999984</v>
      </c>
      <c r="W52" s="43">
        <f t="shared" si="525"/>
        <v>353.0799999999997</v>
      </c>
      <c r="X52" s="43">
        <f t="shared" si="525"/>
        <v>826.03000000000009</v>
      </c>
      <c r="Y52" s="43">
        <f t="shared" si="525"/>
        <v>1445.9300000000003</v>
      </c>
      <c r="Z52" s="43">
        <f t="shared" si="525"/>
        <v>531.39999999999964</v>
      </c>
      <c r="AA52" s="43">
        <f t="shared" ref="AA52" si="526">AA50-AA51</f>
        <v>777.63999999999987</v>
      </c>
      <c r="AB52" s="44">
        <f t="shared" ref="AB52" si="527">AB50-AB51</f>
        <v>1531.2227164539447</v>
      </c>
      <c r="AC52" s="44">
        <f t="shared" ref="AC52" si="528">AC50-AC51</f>
        <v>2073.346365364449</v>
      </c>
      <c r="AD52" s="44">
        <f t="shared" ref="AD52" si="529">AD50-AD51</f>
        <v>2445.7964711627428</v>
      </c>
      <c r="AE52" s="44">
        <f t="shared" ref="AE52" si="530">AE50-AE51</f>
        <v>2823.4349333323808</v>
      </c>
      <c r="AG52" s="62"/>
      <c r="AH52" s="43">
        <f t="shared" ref="AH52:AU52" si="531">AH50-AH51</f>
        <v>0</v>
      </c>
      <c r="AI52" s="43">
        <f t="shared" si="531"/>
        <v>0</v>
      </c>
      <c r="AJ52" s="43">
        <f t="shared" si="531"/>
        <v>0</v>
      </c>
      <c r="AK52" s="43">
        <f t="shared" si="531"/>
        <v>0</v>
      </c>
      <c r="AL52" s="43">
        <f t="shared" si="531"/>
        <v>0</v>
      </c>
      <c r="AM52" s="43">
        <f t="shared" si="531"/>
        <v>0</v>
      </c>
      <c r="AN52" s="43">
        <f t="shared" si="531"/>
        <v>0</v>
      </c>
      <c r="AO52" s="43">
        <f t="shared" si="531"/>
        <v>0</v>
      </c>
      <c r="AP52" s="43">
        <f t="shared" si="531"/>
        <v>0</v>
      </c>
      <c r="AQ52" s="43">
        <f t="shared" si="531"/>
        <v>61.029999999999987</v>
      </c>
      <c r="AR52" s="43">
        <f t="shared" si="531"/>
        <v>64.360000000000014</v>
      </c>
      <c r="AS52" s="43">
        <f t="shared" si="531"/>
        <v>71.709999999999965</v>
      </c>
      <c r="AT52" s="43">
        <f t="shared" si="531"/>
        <v>72.22</v>
      </c>
      <c r="AU52" s="43">
        <f t="shared" si="531"/>
        <v>73.460000000000051</v>
      </c>
      <c r="AV52" s="43">
        <f t="shared" ref="AV52:BV52" si="532">AV50-AV51</f>
        <v>99.739999999999981</v>
      </c>
      <c r="AW52" s="43">
        <f t="shared" si="532"/>
        <v>76.310000000000031</v>
      </c>
      <c r="AX52" s="43">
        <f t="shared" si="532"/>
        <v>95.82999999999997</v>
      </c>
      <c r="AY52" s="43">
        <f t="shared" si="532"/>
        <v>100.88000000000004</v>
      </c>
      <c r="AZ52" s="43">
        <f t="shared" si="532"/>
        <v>107.99000000000001</v>
      </c>
      <c r="BA52" s="43">
        <f t="shared" si="532"/>
        <v>30.77999999999998</v>
      </c>
      <c r="BB52" s="43">
        <f t="shared" si="532"/>
        <v>74.619999999999948</v>
      </c>
      <c r="BC52" s="43">
        <f t="shared" si="532"/>
        <v>79.569999999999922</v>
      </c>
      <c r="BD52" s="43">
        <f t="shared" si="532"/>
        <v>-79.06</v>
      </c>
      <c r="BE52" s="43">
        <f t="shared" si="532"/>
        <v>56.279999999999973</v>
      </c>
      <c r="BF52" s="43">
        <f t="shared" si="532"/>
        <v>20.289999999999946</v>
      </c>
      <c r="BG52" s="43">
        <f t="shared" si="532"/>
        <v>59.69999999999996</v>
      </c>
      <c r="BH52" s="43">
        <f t="shared" si="532"/>
        <v>116.93999999999997</v>
      </c>
      <c r="BI52" s="43">
        <f t="shared" si="532"/>
        <v>159.13000000000005</v>
      </c>
      <c r="BJ52" s="43">
        <f t="shared" si="532"/>
        <v>138.55000000000004</v>
      </c>
      <c r="BK52" s="43">
        <f t="shared" si="532"/>
        <v>175.15000000000003</v>
      </c>
      <c r="BL52" s="43">
        <f t="shared" si="532"/>
        <v>215.7600000000001</v>
      </c>
      <c r="BM52" s="43">
        <f t="shared" si="532"/>
        <v>296.57000000000011</v>
      </c>
      <c r="BN52" s="43">
        <f t="shared" si="532"/>
        <v>348.46000000000004</v>
      </c>
      <c r="BO52" s="43">
        <f t="shared" si="532"/>
        <v>347.04000000000008</v>
      </c>
      <c r="BP52" s="43">
        <f t="shared" si="532"/>
        <v>353.34</v>
      </c>
      <c r="BQ52" s="43">
        <f t="shared" si="532"/>
        <v>397.08000000000004</v>
      </c>
      <c r="BR52" s="43">
        <f t="shared" si="532"/>
        <v>397.65999999999985</v>
      </c>
      <c r="BS52" s="43">
        <f t="shared" si="532"/>
        <v>186.05999999999989</v>
      </c>
      <c r="BT52" s="43">
        <f t="shared" si="532"/>
        <v>-99.519999999999953</v>
      </c>
      <c r="BU52" s="43">
        <f t="shared" si="532"/>
        <v>47.210000000000157</v>
      </c>
      <c r="BV52" s="43">
        <f t="shared" si="532"/>
        <v>60.190000000000005</v>
      </c>
      <c r="BW52" s="43">
        <f t="shared" ref="BW52:BX52" si="533">BW50-BW51</f>
        <v>125.80999999999997</v>
      </c>
      <c r="BX52" s="43">
        <f t="shared" si="533"/>
        <v>252.09000000000026</v>
      </c>
      <c r="BY52" s="43">
        <f t="shared" ref="BY52" si="534">BY50-BY51</f>
        <v>339.54999999999995</v>
      </c>
      <c r="BZ52" s="44">
        <f t="shared" ref="BZ52:CC52" si="535">BZ50-BZ51</f>
        <v>285.90493892067656</v>
      </c>
      <c r="CA52" s="44">
        <f t="shared" si="535"/>
        <v>383.80252584303918</v>
      </c>
      <c r="CB52" s="44">
        <f t="shared" si="535"/>
        <v>409.72644442276874</v>
      </c>
      <c r="CC52" s="44">
        <f t="shared" si="535"/>
        <v>451.7888072674607</v>
      </c>
      <c r="CD52" s="44">
        <f t="shared" ref="CD52:CO52" si="536">CD50-CD51</f>
        <v>458.86431454596243</v>
      </c>
      <c r="CE52" s="44">
        <f t="shared" si="536"/>
        <v>513.62600259254464</v>
      </c>
      <c r="CF52" s="44">
        <f t="shared" si="536"/>
        <v>535.0983909310047</v>
      </c>
      <c r="CG52" s="44">
        <f t="shared" si="536"/>
        <v>565.75765729493662</v>
      </c>
      <c r="CH52" s="44">
        <f t="shared" si="536"/>
        <v>576.87909183077034</v>
      </c>
      <c r="CI52" s="44">
        <f t="shared" si="536"/>
        <v>612.78608219076705</v>
      </c>
      <c r="CJ52" s="44">
        <f t="shared" si="536"/>
        <v>620.05983494734892</v>
      </c>
      <c r="CK52" s="44">
        <f t="shared" si="536"/>
        <v>636.07146219385686</v>
      </c>
      <c r="CL52" s="44">
        <f t="shared" si="536"/>
        <v>674.38276280619732</v>
      </c>
      <c r="CM52" s="44">
        <f t="shared" si="536"/>
        <v>706.94489164254151</v>
      </c>
      <c r="CN52" s="44">
        <f t="shared" si="536"/>
        <v>712.05830417414813</v>
      </c>
      <c r="CO52" s="44">
        <f t="shared" si="536"/>
        <v>730.0489747094955</v>
      </c>
      <c r="CT52" s="43">
        <v>777.64000000000055</v>
      </c>
    </row>
    <row r="53" spans="1:98" s="38" customFormat="1" x14ac:dyDescent="0.2">
      <c r="A53" s="38" t="s">
        <v>5</v>
      </c>
      <c r="B53" s="38">
        <f>+'Annual Raw'!C42</f>
        <v>0</v>
      </c>
      <c r="C53" s="38">
        <f>+'Annual Raw'!D42</f>
        <v>0</v>
      </c>
      <c r="D53" s="38">
        <f>+'Annual Raw'!E42</f>
        <v>0</v>
      </c>
      <c r="E53" s="38">
        <f>+'Annual Raw'!F42</f>
        <v>0</v>
      </c>
      <c r="F53" s="38">
        <f>+'Annual Raw'!G42</f>
        <v>0</v>
      </c>
      <c r="G53" s="38">
        <f>+'Annual Raw'!H42</f>
        <v>0</v>
      </c>
      <c r="H53" s="38">
        <f>+'Annual Raw'!I42</f>
        <v>0</v>
      </c>
      <c r="I53" s="38">
        <f>+'Annual Raw'!J42</f>
        <v>0</v>
      </c>
      <c r="J53" s="38">
        <f>+'Annual Raw'!K42</f>
        <v>0</v>
      </c>
      <c r="K53" s="38">
        <f>+'Annual Raw'!L42</f>
        <v>0</v>
      </c>
      <c r="L53" s="38">
        <f>+'Annual Raw'!M42</f>
        <v>0</v>
      </c>
      <c r="M53" s="38">
        <f>+'Annual Raw'!N42</f>
        <v>0</v>
      </c>
      <c r="N53" s="38">
        <f>+'Annual Raw'!O42</f>
        <v>0</v>
      </c>
      <c r="O53" s="38">
        <f>+'Annual Raw'!P42</f>
        <v>0</v>
      </c>
      <c r="P53" s="38">
        <f>+'Annual Raw'!Q42</f>
        <v>0</v>
      </c>
      <c r="Q53" s="38">
        <f>+'Annual Raw'!R42</f>
        <v>0</v>
      </c>
      <c r="R53" s="38">
        <f>+'Annual Raw'!S42</f>
        <v>0</v>
      </c>
      <c r="S53" s="38">
        <f>+'Annual Raw'!T42</f>
        <v>0</v>
      </c>
      <c r="T53" s="38">
        <f>+'Annual Raw'!U42</f>
        <v>0</v>
      </c>
      <c r="U53" s="38">
        <f>+'Annual Raw'!V42</f>
        <v>0</v>
      </c>
      <c r="V53" s="38">
        <f>+'Annual Raw'!W42</f>
        <v>0</v>
      </c>
      <c r="W53" s="38">
        <f>+'Annual Raw'!X42</f>
        <v>0</v>
      </c>
      <c r="X53" s="38">
        <f>+'Annual Raw'!Y42</f>
        <v>0</v>
      </c>
      <c r="Y53" s="38">
        <f>+'Annual Raw'!Z42</f>
        <v>0</v>
      </c>
      <c r="Z53" s="38">
        <f>+'Annual Raw'!AA42</f>
        <v>0</v>
      </c>
      <c r="AA53" s="38">
        <f>+'Annual Raw'!AB42</f>
        <v>0</v>
      </c>
      <c r="AB53" s="39">
        <f>SUM(BZ53:CC53)</f>
        <v>0</v>
      </c>
      <c r="AC53" s="39">
        <f>SUM(CD53:CG53)</f>
        <v>0</v>
      </c>
      <c r="AD53" s="39">
        <f>SUM(CH53:CK53)</f>
        <v>0</v>
      </c>
      <c r="AE53" s="39">
        <f>SUM(CL53:CO53)</f>
        <v>0</v>
      </c>
      <c r="AG53" s="60"/>
      <c r="AH53" s="38">
        <f>+'QTR Raw'!D39</f>
        <v>0</v>
      </c>
      <c r="AI53" s="38">
        <f>+'QTR Raw'!E39</f>
        <v>0</v>
      </c>
      <c r="AJ53" s="38">
        <f>+'QTR Raw'!F39</f>
        <v>0</v>
      </c>
      <c r="AK53" s="38">
        <f>+'QTR Raw'!G39</f>
        <v>0</v>
      </c>
      <c r="AL53" s="38">
        <f>+'QTR Raw'!H39</f>
        <v>0</v>
      </c>
      <c r="AM53" s="38">
        <f>+'QTR Raw'!I39</f>
        <v>0</v>
      </c>
      <c r="AN53" s="38">
        <f>+'QTR Raw'!J39</f>
        <v>0</v>
      </c>
      <c r="AO53" s="38">
        <f>+'QTR Raw'!K39</f>
        <v>0</v>
      </c>
      <c r="AP53" s="38">
        <f>+'QTR Raw'!L39</f>
        <v>0</v>
      </c>
      <c r="AQ53" s="38">
        <f>+'QTR Raw'!M39</f>
        <v>0</v>
      </c>
      <c r="AR53" s="38">
        <f>+'QTR Raw'!N39</f>
        <v>0</v>
      </c>
      <c r="AS53" s="38">
        <f>+'QTR Raw'!O39</f>
        <v>0</v>
      </c>
      <c r="AT53" s="38">
        <f>+'QTR Raw'!P39</f>
        <v>0</v>
      </c>
      <c r="AU53" s="38">
        <f>+'QTR Raw'!Q39</f>
        <v>0</v>
      </c>
      <c r="AV53" s="38">
        <f>+'QTR Raw'!R39</f>
        <v>0</v>
      </c>
      <c r="AW53" s="38">
        <f>+'QTR Raw'!S39</f>
        <v>0</v>
      </c>
      <c r="AX53" s="38">
        <f>+'QTR Raw'!T39</f>
        <v>0</v>
      </c>
      <c r="AY53" s="38">
        <f>+'QTR Raw'!U39</f>
        <v>0</v>
      </c>
      <c r="AZ53" s="38">
        <f>+'QTR Raw'!V39</f>
        <v>0</v>
      </c>
      <c r="BA53" s="38">
        <f>+'QTR Raw'!W39</f>
        <v>-1.94</v>
      </c>
      <c r="BB53" s="38">
        <f>+'QTR Raw'!X39</f>
        <v>-2.62</v>
      </c>
      <c r="BC53" s="38">
        <f>+'QTR Raw'!Y39</f>
        <v>-0.36</v>
      </c>
      <c r="BD53" s="38">
        <f>+'QTR Raw'!Z39</f>
        <v>1.77</v>
      </c>
      <c r="BE53" s="38">
        <f>+'QTR Raw'!AA39</f>
        <v>20.59</v>
      </c>
      <c r="BF53" s="38">
        <f>+'QTR Raw'!AB39</f>
        <v>2.2000000000000002</v>
      </c>
      <c r="BG53" s="38">
        <f>+'QTR Raw'!AC39</f>
        <v>3.87</v>
      </c>
      <c r="BH53" s="38">
        <f>+'QTR Raw'!AD39</f>
        <v>2.88</v>
      </c>
      <c r="BI53" s="38">
        <f>+'QTR Raw'!AE39</f>
        <v>0</v>
      </c>
      <c r="BJ53" s="38">
        <f>+'QTR Raw'!AF39</f>
        <v>0</v>
      </c>
      <c r="BK53" s="38">
        <f>+'QTR Raw'!AG39</f>
        <v>0</v>
      </c>
      <c r="BL53" s="38">
        <f>+'QTR Raw'!AH39</f>
        <v>0</v>
      </c>
      <c r="BM53" s="38">
        <f>+'QTR Raw'!AI39</f>
        <v>0</v>
      </c>
      <c r="BN53" s="38">
        <f>+'QTR Raw'!AJ39</f>
        <v>0</v>
      </c>
      <c r="BO53" s="38">
        <f>+'QTR Raw'!AK39</f>
        <v>0</v>
      </c>
      <c r="BP53" s="38">
        <f>+'QTR Raw'!AL39</f>
        <v>0</v>
      </c>
      <c r="BQ53" s="38">
        <f>+'QTR Raw'!AM39</f>
        <v>0</v>
      </c>
      <c r="BR53" s="38">
        <f>+'QTR Raw'!AN39</f>
        <v>0</v>
      </c>
      <c r="BS53" s="38">
        <f>+'QTR Raw'!AO39</f>
        <v>0</v>
      </c>
      <c r="BT53" s="38">
        <f>+'QTR Raw'!AP39</f>
        <v>0</v>
      </c>
      <c r="BU53" s="38">
        <f>+'QTR Raw'!AQ39</f>
        <v>0</v>
      </c>
      <c r="BV53" s="38">
        <f>+'QTR Raw'!AR39</f>
        <v>0</v>
      </c>
      <c r="BW53" s="38">
        <f>+'QTR Raw'!AS39</f>
        <v>0</v>
      </c>
      <c r="BX53" s="38">
        <f>+'QTR Raw'!AT39</f>
        <v>0</v>
      </c>
      <c r="BY53" s="38">
        <f>+'QTR Raw'!AU39</f>
        <v>0</v>
      </c>
      <c r="BZ53" s="39">
        <f t="shared" ref="BZ53:BZ54" si="537">+BY53</f>
        <v>0</v>
      </c>
      <c r="CA53" s="39">
        <f t="shared" ref="CA53:CA54" si="538">+BZ53</f>
        <v>0</v>
      </c>
      <c r="CB53" s="39">
        <f t="shared" ref="CB53:CB54" si="539">+CA53</f>
        <v>0</v>
      </c>
      <c r="CC53" s="39">
        <f t="shared" ref="CC53:CC54" si="540">+CB53</f>
        <v>0</v>
      </c>
      <c r="CD53" s="39">
        <f t="shared" ref="CD53:CD54" si="541">+CC53</f>
        <v>0</v>
      </c>
      <c r="CE53" s="39">
        <f t="shared" ref="CE53:CE54" si="542">+CD53</f>
        <v>0</v>
      </c>
      <c r="CF53" s="39">
        <f t="shared" ref="CF53:CF54" si="543">+CE53</f>
        <v>0</v>
      </c>
      <c r="CG53" s="39">
        <f t="shared" ref="CG53:CG54" si="544">+CF53</f>
        <v>0</v>
      </c>
      <c r="CH53" s="39">
        <f t="shared" ref="CH53:CH54" si="545">+CG53</f>
        <v>0</v>
      </c>
      <c r="CI53" s="39">
        <f t="shared" ref="CI53:CI54" si="546">+CH53</f>
        <v>0</v>
      </c>
      <c r="CJ53" s="39">
        <f t="shared" ref="CJ53:CJ54" si="547">+CI53</f>
        <v>0</v>
      </c>
      <c r="CK53" s="39">
        <f t="shared" ref="CK53:CK54" si="548">+CJ53</f>
        <v>0</v>
      </c>
      <c r="CL53" s="39">
        <f t="shared" ref="CL53:CL54" si="549">+CK53</f>
        <v>0</v>
      </c>
      <c r="CM53" s="39">
        <f t="shared" ref="CM53:CM54" si="550">+CL53</f>
        <v>0</v>
      </c>
      <c r="CN53" s="39">
        <f t="shared" ref="CN53:CN54" si="551">+CM53</f>
        <v>0</v>
      </c>
      <c r="CO53" s="39">
        <f t="shared" ref="CO53:CO54" si="552">+CN53</f>
        <v>0</v>
      </c>
      <c r="CT53" s="38">
        <v>0</v>
      </c>
    </row>
    <row r="54" spans="1:98" s="38" customFormat="1" x14ac:dyDescent="0.2">
      <c r="A54" s="38" t="s">
        <v>44</v>
      </c>
      <c r="B54" s="38">
        <f>+'Annual Raw'!C43</f>
        <v>0</v>
      </c>
      <c r="C54" s="38">
        <f>+'Annual Raw'!D43</f>
        <v>0</v>
      </c>
      <c r="D54" s="38">
        <f>+'Annual Raw'!E43</f>
        <v>0</v>
      </c>
      <c r="E54" s="38">
        <f>+'Annual Raw'!F43</f>
        <v>0</v>
      </c>
      <c r="F54" s="38">
        <f>+'Annual Raw'!G43</f>
        <v>0</v>
      </c>
      <c r="G54" s="38">
        <f>+'Annual Raw'!H43</f>
        <v>0</v>
      </c>
      <c r="H54" s="38">
        <f>+'Annual Raw'!I43</f>
        <v>0</v>
      </c>
      <c r="I54" s="38">
        <f>+'Annual Raw'!J43</f>
        <v>0</v>
      </c>
      <c r="J54" s="38">
        <f>+'Annual Raw'!K43</f>
        <v>0</v>
      </c>
      <c r="K54" s="38">
        <f>+'Annual Raw'!L43</f>
        <v>0</v>
      </c>
      <c r="L54" s="38">
        <f>+'Annual Raw'!M43</f>
        <v>0</v>
      </c>
      <c r="M54" s="38">
        <f>+'Annual Raw'!N43</f>
        <v>0</v>
      </c>
      <c r="N54" s="38">
        <f>+'Annual Raw'!O43</f>
        <v>0</v>
      </c>
      <c r="O54" s="38">
        <f>+'Annual Raw'!P43</f>
        <v>0</v>
      </c>
      <c r="P54" s="38">
        <f>+'Annual Raw'!Q43</f>
        <v>0</v>
      </c>
      <c r="Q54" s="38">
        <f>+'Annual Raw'!R43</f>
        <v>0</v>
      </c>
      <c r="R54" s="38">
        <f>+'Annual Raw'!S43</f>
        <v>0</v>
      </c>
      <c r="S54" s="38">
        <f>+'Annual Raw'!T43</f>
        <v>0</v>
      </c>
      <c r="T54" s="38">
        <f>+'Annual Raw'!U43</f>
        <v>0</v>
      </c>
      <c r="U54" s="38">
        <f>+'Annual Raw'!V43</f>
        <v>0</v>
      </c>
      <c r="V54" s="38">
        <f>+'Annual Raw'!W43</f>
        <v>0</v>
      </c>
      <c r="W54" s="38">
        <f>+'Annual Raw'!X43</f>
        <v>0</v>
      </c>
      <c r="X54" s="38">
        <f>+'Annual Raw'!Y43</f>
        <v>0</v>
      </c>
      <c r="Y54" s="38">
        <f>+'Annual Raw'!Z43</f>
        <v>0</v>
      </c>
      <c r="Z54" s="38">
        <f>+'Annual Raw'!AA43</f>
        <v>0</v>
      </c>
      <c r="AA54" s="38">
        <f>+'Annual Raw'!AB43</f>
        <v>0</v>
      </c>
      <c r="AB54" s="39">
        <f>SUM(BZ54:CC54)</f>
        <v>0</v>
      </c>
      <c r="AC54" s="39">
        <f>SUM(CD54:CG54)</f>
        <v>0</v>
      </c>
      <c r="AD54" s="39">
        <f>SUM(CH54:CK54)</f>
        <v>0</v>
      </c>
      <c r="AE54" s="39">
        <f>SUM(CL54:CO54)</f>
        <v>0</v>
      </c>
      <c r="AG54" s="60"/>
      <c r="AH54" s="38">
        <f>+'QTR Raw'!D40</f>
        <v>0</v>
      </c>
      <c r="AI54" s="38">
        <f>+'QTR Raw'!E40</f>
        <v>0</v>
      </c>
      <c r="AJ54" s="38">
        <f>+'QTR Raw'!F40</f>
        <v>0</v>
      </c>
      <c r="AK54" s="38">
        <f>+'QTR Raw'!G40</f>
        <v>0</v>
      </c>
      <c r="AL54" s="38">
        <f>+'QTR Raw'!H40</f>
        <v>0</v>
      </c>
      <c r="AM54" s="38">
        <f>+'QTR Raw'!I40</f>
        <v>0</v>
      </c>
      <c r="AN54" s="38">
        <f>+'QTR Raw'!J40</f>
        <v>0</v>
      </c>
      <c r="AO54" s="38">
        <f>+'QTR Raw'!K40</f>
        <v>0</v>
      </c>
      <c r="AP54" s="38">
        <f>+'QTR Raw'!L40</f>
        <v>0</v>
      </c>
      <c r="AQ54" s="38">
        <f>+'QTR Raw'!M40</f>
        <v>0</v>
      </c>
      <c r="AR54" s="38">
        <f>+'QTR Raw'!N40</f>
        <v>0</v>
      </c>
      <c r="AS54" s="38">
        <f>+'QTR Raw'!O40</f>
        <v>0</v>
      </c>
      <c r="AT54" s="38">
        <f>+'QTR Raw'!P40</f>
        <v>0</v>
      </c>
      <c r="AU54" s="38">
        <f>+'QTR Raw'!Q40</f>
        <v>0</v>
      </c>
      <c r="AV54" s="38">
        <f>+'QTR Raw'!R40</f>
        <v>0</v>
      </c>
      <c r="AW54" s="38">
        <f>+'QTR Raw'!S40</f>
        <v>0</v>
      </c>
      <c r="AX54" s="38">
        <f>+'QTR Raw'!T40</f>
        <v>0</v>
      </c>
      <c r="AY54" s="38">
        <f>+'QTR Raw'!U40</f>
        <v>0</v>
      </c>
      <c r="AZ54" s="38">
        <f>+'QTR Raw'!V40</f>
        <v>0</v>
      </c>
      <c r="BA54" s="38">
        <f>+'QTR Raw'!W40</f>
        <v>0</v>
      </c>
      <c r="BB54" s="38">
        <f>+'QTR Raw'!X40</f>
        <v>0</v>
      </c>
      <c r="BC54" s="38">
        <f>+'QTR Raw'!Y40</f>
        <v>0</v>
      </c>
      <c r="BD54" s="38">
        <f>+'QTR Raw'!Z40</f>
        <v>0</v>
      </c>
      <c r="BE54" s="38">
        <f>+'QTR Raw'!AA40</f>
        <v>0</v>
      </c>
      <c r="BF54" s="38">
        <f>+'QTR Raw'!AB40</f>
        <v>0</v>
      </c>
      <c r="BG54" s="38">
        <f>+'QTR Raw'!AC40</f>
        <v>0</v>
      </c>
      <c r="BH54" s="38">
        <f>+'QTR Raw'!AD40</f>
        <v>0</v>
      </c>
      <c r="BI54" s="38">
        <f>+'QTR Raw'!AE40</f>
        <v>0</v>
      </c>
      <c r="BJ54" s="38">
        <f>+'QTR Raw'!AF40</f>
        <v>0</v>
      </c>
      <c r="BK54" s="38">
        <f>+'QTR Raw'!AG40</f>
        <v>0</v>
      </c>
      <c r="BL54" s="38">
        <f>+'QTR Raw'!AH40</f>
        <v>0</v>
      </c>
      <c r="BM54" s="38">
        <f>+'QTR Raw'!AI40</f>
        <v>0</v>
      </c>
      <c r="BN54" s="38">
        <f>+'QTR Raw'!AJ40</f>
        <v>0</v>
      </c>
      <c r="BO54" s="38">
        <f>+'QTR Raw'!AK40</f>
        <v>0</v>
      </c>
      <c r="BP54" s="38">
        <f>+'QTR Raw'!AL40</f>
        <v>0</v>
      </c>
      <c r="BQ54" s="38">
        <f>+'QTR Raw'!AM40</f>
        <v>0</v>
      </c>
      <c r="BR54" s="38">
        <f>+'QTR Raw'!AN40</f>
        <v>0</v>
      </c>
      <c r="BS54" s="38">
        <f>+'QTR Raw'!AO40</f>
        <v>0</v>
      </c>
      <c r="BT54" s="38">
        <f>+'QTR Raw'!AP40</f>
        <v>0</v>
      </c>
      <c r="BU54" s="38">
        <f>+'QTR Raw'!AQ40</f>
        <v>0</v>
      </c>
      <c r="BV54" s="38">
        <f>+'QTR Raw'!AR40</f>
        <v>0</v>
      </c>
      <c r="BW54" s="38">
        <f>+'QTR Raw'!AS40</f>
        <v>0</v>
      </c>
      <c r="BX54" s="38">
        <f>+'QTR Raw'!AT40</f>
        <v>0</v>
      </c>
      <c r="BY54" s="38">
        <f>+'QTR Raw'!AU40</f>
        <v>0</v>
      </c>
      <c r="BZ54" s="39">
        <f t="shared" si="537"/>
        <v>0</v>
      </c>
      <c r="CA54" s="39">
        <f t="shared" si="538"/>
        <v>0</v>
      </c>
      <c r="CB54" s="39">
        <f t="shared" si="539"/>
        <v>0</v>
      </c>
      <c r="CC54" s="39">
        <f t="shared" si="540"/>
        <v>0</v>
      </c>
      <c r="CD54" s="39">
        <f t="shared" si="541"/>
        <v>0</v>
      </c>
      <c r="CE54" s="39">
        <f t="shared" si="542"/>
        <v>0</v>
      </c>
      <c r="CF54" s="39">
        <f t="shared" si="543"/>
        <v>0</v>
      </c>
      <c r="CG54" s="39">
        <f t="shared" si="544"/>
        <v>0</v>
      </c>
      <c r="CH54" s="39">
        <f t="shared" si="545"/>
        <v>0</v>
      </c>
      <c r="CI54" s="39">
        <f t="shared" si="546"/>
        <v>0</v>
      </c>
      <c r="CJ54" s="39">
        <f t="shared" si="547"/>
        <v>0</v>
      </c>
      <c r="CK54" s="39">
        <f t="shared" si="548"/>
        <v>0</v>
      </c>
      <c r="CL54" s="39">
        <f t="shared" si="549"/>
        <v>0</v>
      </c>
      <c r="CM54" s="39">
        <f t="shared" si="550"/>
        <v>0</v>
      </c>
      <c r="CN54" s="39">
        <f t="shared" si="551"/>
        <v>0</v>
      </c>
      <c r="CO54" s="39">
        <f t="shared" si="552"/>
        <v>0</v>
      </c>
      <c r="CT54" s="38">
        <v>0</v>
      </c>
    </row>
    <row r="55" spans="1:98" s="38" customFormat="1" x14ac:dyDescent="0.2">
      <c r="A55" s="38" t="s">
        <v>290</v>
      </c>
      <c r="B55" s="38">
        <f>+'Annual Raw'!C34+'Annual Raw'!C44+'Annual Raw'!C33+'Annual Raw'!C40</f>
        <v>0</v>
      </c>
      <c r="C55" s="38">
        <f>+'Annual Raw'!D34+'Annual Raw'!D44+'Annual Raw'!D33+'Annual Raw'!D40</f>
        <v>0</v>
      </c>
      <c r="D55" s="38">
        <f>+'Annual Raw'!E34+'Annual Raw'!E44+'Annual Raw'!E33+'Annual Raw'!E40</f>
        <v>0</v>
      </c>
      <c r="E55" s="38">
        <f>+'Annual Raw'!F34+'Annual Raw'!F44+'Annual Raw'!F33+'Annual Raw'!F40</f>
        <v>0</v>
      </c>
      <c r="F55" s="38">
        <f>+'Annual Raw'!G34+'Annual Raw'!G44+'Annual Raw'!G33+'Annual Raw'!G40</f>
        <v>0</v>
      </c>
      <c r="G55" s="38">
        <f>+'Annual Raw'!H34+'Annual Raw'!H44+'Annual Raw'!H33+'Annual Raw'!H40</f>
        <v>0</v>
      </c>
      <c r="H55" s="38">
        <f>+'Annual Raw'!I34+'Annual Raw'!I44+'Annual Raw'!I33+'Annual Raw'!I40</f>
        <v>0</v>
      </c>
      <c r="I55" s="38">
        <f>+'Annual Raw'!J34+'Annual Raw'!J44+'Annual Raw'!J33+'Annual Raw'!J40</f>
        <v>0</v>
      </c>
      <c r="J55" s="38">
        <f>+'Annual Raw'!K34+'Annual Raw'!K44+'Annual Raw'!K33+'Annual Raw'!K40</f>
        <v>0</v>
      </c>
      <c r="K55" s="38">
        <f>+'Annual Raw'!L34+'Annual Raw'!L44+'Annual Raw'!L33+'Annual Raw'!L40</f>
        <v>0</v>
      </c>
      <c r="L55" s="38">
        <f>+'Annual Raw'!M34+'Annual Raw'!M44+'Annual Raw'!M33+'Annual Raw'!M40</f>
        <v>0</v>
      </c>
      <c r="M55" s="38">
        <f>+'Annual Raw'!N34+'Annual Raw'!N44+'Annual Raw'!N33+'Annual Raw'!N40</f>
        <v>0</v>
      </c>
      <c r="N55" s="38">
        <f>+'Annual Raw'!O34+'Annual Raw'!O44+'Annual Raw'!O33+'Annual Raw'!O40</f>
        <v>0</v>
      </c>
      <c r="O55" s="38">
        <f>+'Annual Raw'!P34+'Annual Raw'!P44+'Annual Raw'!P33+'Annual Raw'!P40</f>
        <v>0</v>
      </c>
      <c r="P55" s="38">
        <f>+'Annual Raw'!Q34+'Annual Raw'!Q44+'Annual Raw'!Q33+'Annual Raw'!Q40</f>
        <v>0</v>
      </c>
      <c r="Q55" s="38">
        <f>+'Annual Raw'!R34+'Annual Raw'!R44+'Annual Raw'!R33+'Annual Raw'!R40</f>
        <v>0</v>
      </c>
      <c r="R55" s="38">
        <f>+'Annual Raw'!S34+'Annual Raw'!S44+'Annual Raw'!S33+'Annual Raw'!S40</f>
        <v>0</v>
      </c>
      <c r="S55" s="38">
        <f>+'Annual Raw'!T34+'Annual Raw'!T44+'Annual Raw'!T33+'Annual Raw'!T40</f>
        <v>0</v>
      </c>
      <c r="T55" s="38">
        <f>+'Annual Raw'!U34+'Annual Raw'!U44+'Annual Raw'!U33+'Annual Raw'!U40</f>
        <v>0</v>
      </c>
      <c r="U55" s="38">
        <f>+'Annual Raw'!V34+'Annual Raw'!V44+'Annual Raw'!V33+'Annual Raw'!V40</f>
        <v>0</v>
      </c>
      <c r="V55" s="38">
        <f>+'Annual Raw'!W34+'Annual Raw'!W44+'Annual Raw'!W33+'Annual Raw'!W40</f>
        <v>0</v>
      </c>
      <c r="W55" s="38">
        <f>+'Annual Raw'!X34+'Annual Raw'!X44+'Annual Raw'!X33+'Annual Raw'!X40</f>
        <v>0</v>
      </c>
      <c r="X55" s="38">
        <f>+'Annual Raw'!Y34+'Annual Raw'!Y44+'Annual Raw'!Y33+'Annual Raw'!Y40</f>
        <v>0</v>
      </c>
      <c r="Y55" s="38">
        <f>+'Annual Raw'!Z34+'Annual Raw'!Z44+'Annual Raw'!Z33+'Annual Raw'!Z40</f>
        <v>0</v>
      </c>
      <c r="Z55" s="38">
        <f>+'Annual Raw'!AA34+'Annual Raw'!AA44+'Annual Raw'!AA33+'Annual Raw'!AA40</f>
        <v>0</v>
      </c>
      <c r="AA55" s="38">
        <f>+'Annual Raw'!AB34+'Annual Raw'!AB44+'Annual Raw'!AB33+'Annual Raw'!AB40</f>
        <v>0</v>
      </c>
      <c r="AB55" s="39"/>
      <c r="AC55" s="39"/>
      <c r="AD55" s="39"/>
      <c r="AE55" s="39"/>
      <c r="AG55" s="60"/>
      <c r="AH55" s="38">
        <f>+'QTR Raw'!D41+'QTR Raw'!D34+'QTR Raw'!D35</f>
        <v>0</v>
      </c>
      <c r="AI55" s="38">
        <f>+'QTR Raw'!E41+'QTR Raw'!E34+'QTR Raw'!E35</f>
        <v>0</v>
      </c>
      <c r="AJ55" s="38">
        <f>+'QTR Raw'!F41+'QTR Raw'!F34+'QTR Raw'!F35</f>
        <v>0</v>
      </c>
      <c r="AK55" s="38">
        <f>+'QTR Raw'!G41+'QTR Raw'!G34+'QTR Raw'!G35</f>
        <v>0</v>
      </c>
      <c r="AL55" s="38">
        <f>+'QTR Raw'!H41+'QTR Raw'!H34+'QTR Raw'!H35</f>
        <v>0</v>
      </c>
      <c r="AM55" s="38">
        <f>+'QTR Raw'!I41+'QTR Raw'!I34+'QTR Raw'!I35</f>
        <v>0</v>
      </c>
      <c r="AN55" s="38">
        <f>+'QTR Raw'!J41+'QTR Raw'!J34+'QTR Raw'!J35</f>
        <v>0</v>
      </c>
      <c r="AO55" s="38">
        <f>+'QTR Raw'!K41+'QTR Raw'!K34+'QTR Raw'!K35</f>
        <v>0</v>
      </c>
      <c r="AP55" s="38">
        <f>+'QTR Raw'!L41+'QTR Raw'!L34+'QTR Raw'!L35</f>
        <v>0</v>
      </c>
      <c r="AQ55" s="38">
        <f>+'QTR Raw'!M41+'QTR Raw'!M34+'QTR Raw'!M35</f>
        <v>0</v>
      </c>
      <c r="AR55" s="38">
        <f>+'QTR Raw'!N41+'QTR Raw'!N34+'QTR Raw'!N35</f>
        <v>0</v>
      </c>
      <c r="AS55" s="38">
        <f>+'QTR Raw'!O41+'QTR Raw'!O34+'QTR Raw'!O35</f>
        <v>0</v>
      </c>
      <c r="AT55" s="38">
        <f>+'QTR Raw'!P41+'QTR Raw'!P34+'QTR Raw'!P35</f>
        <v>0</v>
      </c>
      <c r="AU55" s="38">
        <f>+'QTR Raw'!Q41+'QTR Raw'!Q34+'QTR Raw'!Q35</f>
        <v>0</v>
      </c>
      <c r="AV55" s="38">
        <f>+'QTR Raw'!R41+'QTR Raw'!R34+'QTR Raw'!R35</f>
        <v>0</v>
      </c>
      <c r="AW55" s="38">
        <f>+'QTR Raw'!S41+'QTR Raw'!S34+'QTR Raw'!S35</f>
        <v>0</v>
      </c>
      <c r="AX55" s="38">
        <f>+'QTR Raw'!T41+'QTR Raw'!T34+'QTR Raw'!T35</f>
        <v>0</v>
      </c>
      <c r="AY55" s="38">
        <f>+'QTR Raw'!U41+'QTR Raw'!U34+'QTR Raw'!U35</f>
        <v>0</v>
      </c>
      <c r="AZ55" s="38">
        <f>+'QTR Raw'!V41+'QTR Raw'!V34+'QTR Raw'!V35</f>
        <v>0</v>
      </c>
      <c r="BA55" s="38">
        <f>+'QTR Raw'!W41+'QTR Raw'!W34+'QTR Raw'!W35</f>
        <v>0</v>
      </c>
      <c r="BB55" s="38">
        <f>+'QTR Raw'!X41+'QTR Raw'!X34+'QTR Raw'!X35</f>
        <v>0</v>
      </c>
      <c r="BC55" s="38">
        <f>+'QTR Raw'!Y41+'QTR Raw'!Y34+'QTR Raw'!Y35</f>
        <v>0</v>
      </c>
      <c r="BD55" s="38">
        <f>+'QTR Raw'!Z41+'QTR Raw'!Z34+'QTR Raw'!Z35</f>
        <v>0</v>
      </c>
      <c r="BE55" s="38">
        <f>+'QTR Raw'!AA41+'QTR Raw'!AA34+'QTR Raw'!AA35</f>
        <v>0</v>
      </c>
      <c r="BF55" s="38">
        <f>+'QTR Raw'!AB41+'QTR Raw'!AB34+'QTR Raw'!AB35</f>
        <v>0</v>
      </c>
      <c r="BG55" s="38">
        <f>+'QTR Raw'!AC41+'QTR Raw'!AC34+'QTR Raw'!AC35</f>
        <v>0</v>
      </c>
      <c r="BH55" s="38">
        <f>+'QTR Raw'!AD41+'QTR Raw'!AD34+'QTR Raw'!AD35</f>
        <v>0</v>
      </c>
      <c r="BI55" s="38">
        <f>+'QTR Raw'!AE41+'QTR Raw'!AE34+'QTR Raw'!AE35</f>
        <v>0</v>
      </c>
      <c r="BJ55" s="38">
        <f>+'QTR Raw'!AF41+'QTR Raw'!AF34+'QTR Raw'!AF35</f>
        <v>0</v>
      </c>
      <c r="BK55" s="38">
        <f>+'QTR Raw'!AG41+'QTR Raw'!AG34+'QTR Raw'!AG35</f>
        <v>0</v>
      </c>
      <c r="BL55" s="38">
        <f>+'QTR Raw'!AH41+'QTR Raw'!AH34+'QTR Raw'!AH35</f>
        <v>0</v>
      </c>
      <c r="BM55" s="38">
        <f>+'QTR Raw'!AI41+'QTR Raw'!AI34+'QTR Raw'!AI35</f>
        <v>0</v>
      </c>
      <c r="BN55" s="38">
        <f>+'QTR Raw'!AJ41+'QTR Raw'!AJ34+'QTR Raw'!AJ35</f>
        <v>0</v>
      </c>
      <c r="BO55" s="38">
        <f>+'QTR Raw'!AK41+'QTR Raw'!AK34+'QTR Raw'!AK35</f>
        <v>0</v>
      </c>
      <c r="BP55" s="38">
        <f>+'QTR Raw'!AL41+'QTR Raw'!AL34+'QTR Raw'!AL35</f>
        <v>0</v>
      </c>
      <c r="BQ55" s="38">
        <f>+'QTR Raw'!AM41+'QTR Raw'!AM34+'QTR Raw'!AM35</f>
        <v>0</v>
      </c>
      <c r="BR55" s="38">
        <f>+'QTR Raw'!AN41+'QTR Raw'!AN34+'QTR Raw'!AN35</f>
        <v>0</v>
      </c>
      <c r="BS55" s="38">
        <f>+'QTR Raw'!AO41+'QTR Raw'!AO34+'QTR Raw'!AO35</f>
        <v>0</v>
      </c>
      <c r="BT55" s="38">
        <f>+'QTR Raw'!AP41+'QTR Raw'!AP34+'QTR Raw'!AP35</f>
        <v>0</v>
      </c>
      <c r="BU55" s="38">
        <f>+'QTR Raw'!AQ41+'QTR Raw'!AQ34+'QTR Raw'!AQ35</f>
        <v>0</v>
      </c>
      <c r="BV55" s="38">
        <f>+'QTR Raw'!AR41+'QTR Raw'!AR34+'QTR Raw'!AR35</f>
        <v>0</v>
      </c>
      <c r="BW55" s="38">
        <f>+'QTR Raw'!AS41+'QTR Raw'!AS34+'QTR Raw'!AS35</f>
        <v>0</v>
      </c>
      <c r="BX55" s="38">
        <f>+'QTR Raw'!AT41+'QTR Raw'!AT34+'QTR Raw'!AT35</f>
        <v>0</v>
      </c>
      <c r="BY55" s="38">
        <f>+'QTR Raw'!AU41+'QTR Raw'!AU34+'QTR Raw'!AU35</f>
        <v>0</v>
      </c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T55" s="38">
        <v>0</v>
      </c>
    </row>
    <row r="56" spans="1:98" s="40" customFormat="1" x14ac:dyDescent="0.2">
      <c r="A56" s="40" t="s">
        <v>6</v>
      </c>
      <c r="B56" s="40">
        <f t="shared" ref="B56:Y56" si="553">B52+B53+B54+B55</f>
        <v>0</v>
      </c>
      <c r="C56" s="40">
        <f t="shared" si="553"/>
        <v>0</v>
      </c>
      <c r="D56" s="40">
        <f t="shared" si="553"/>
        <v>0</v>
      </c>
      <c r="E56" s="40">
        <f t="shared" si="553"/>
        <v>0</v>
      </c>
      <c r="F56" s="40">
        <f t="shared" si="553"/>
        <v>0</v>
      </c>
      <c r="G56" s="40">
        <f t="shared" si="553"/>
        <v>0</v>
      </c>
      <c r="H56" s="40">
        <f t="shared" si="553"/>
        <v>0</v>
      </c>
      <c r="I56" s="40">
        <f t="shared" si="553"/>
        <v>0</v>
      </c>
      <c r="J56" s="40">
        <f t="shared" si="553"/>
        <v>0.48440130000000076</v>
      </c>
      <c r="K56" s="40">
        <f t="shared" si="553"/>
        <v>0.94564629999999894</v>
      </c>
      <c r="L56" s="40">
        <f t="shared" si="553"/>
        <v>3.5101747000000154</v>
      </c>
      <c r="M56" s="40">
        <f t="shared" si="553"/>
        <v>-2.9026411000000047</v>
      </c>
      <c r="N56" s="40">
        <f t="shared" si="553"/>
        <v>8.4579294999999988</v>
      </c>
      <c r="O56" s="40">
        <f t="shared" si="553"/>
        <v>18.508989599999996</v>
      </c>
      <c r="P56" s="40">
        <f t="shared" si="553"/>
        <v>49.455809500000022</v>
      </c>
      <c r="Q56" s="40">
        <f t="shared" si="553"/>
        <v>83.776120999999975</v>
      </c>
      <c r="R56" s="40">
        <f t="shared" si="553"/>
        <v>75.255027000000027</v>
      </c>
      <c r="S56" s="40">
        <f t="shared" si="553"/>
        <v>212.48000000000008</v>
      </c>
      <c r="T56" s="40">
        <f t="shared" si="553"/>
        <v>321.75999999999988</v>
      </c>
      <c r="U56" s="40">
        <f t="shared" si="553"/>
        <v>327.50000000000023</v>
      </c>
      <c r="V56" s="40">
        <f t="shared" si="553"/>
        <v>142.38999999999984</v>
      </c>
      <c r="W56" s="40">
        <f t="shared" si="553"/>
        <v>353.0799999999997</v>
      </c>
      <c r="X56" s="40">
        <f t="shared" si="553"/>
        <v>826.03000000000009</v>
      </c>
      <c r="Y56" s="40">
        <f t="shared" si="553"/>
        <v>1445.9300000000003</v>
      </c>
      <c r="Z56" s="40">
        <f>Z52+Z53+Z54+Z55</f>
        <v>531.39999999999964</v>
      </c>
      <c r="AA56" s="40">
        <f>AA52+AA53+AA54+AA55</f>
        <v>777.63999999999987</v>
      </c>
      <c r="AB56" s="41">
        <f t="shared" ref="AB56" si="554">AB52+AB53+AB54</f>
        <v>1531.2227164539447</v>
      </c>
      <c r="AC56" s="41">
        <f t="shared" ref="AC56" si="555">AC52+AC53+AC54</f>
        <v>2073.346365364449</v>
      </c>
      <c r="AD56" s="41">
        <f t="shared" ref="AD56" si="556">AD52+AD53+AD54</f>
        <v>2445.7964711627428</v>
      </c>
      <c r="AE56" s="41">
        <f t="shared" ref="AE56" si="557">AE52+AE53+AE54</f>
        <v>2823.4349333323808</v>
      </c>
      <c r="AG56" s="61"/>
      <c r="AH56" s="40">
        <f t="shared" ref="AH56" si="558">AH52+AH53+AH54+AH55</f>
        <v>0</v>
      </c>
      <c r="AI56" s="40">
        <f t="shared" ref="AI56" si="559">AI52+AI53+AI54+AI55</f>
        <v>0</v>
      </c>
      <c r="AJ56" s="40">
        <f t="shared" ref="AJ56" si="560">AJ52+AJ53+AJ54+AJ55</f>
        <v>0</v>
      </c>
      <c r="AK56" s="40">
        <f t="shared" ref="AK56" si="561">AK52+AK53+AK54+AK55</f>
        <v>0</v>
      </c>
      <c r="AL56" s="40">
        <f t="shared" ref="AL56" si="562">AL52+AL53+AL54+AL55</f>
        <v>0</v>
      </c>
      <c r="AM56" s="40">
        <f t="shared" ref="AM56" si="563">AM52+AM53+AM54+AM55</f>
        <v>0</v>
      </c>
      <c r="AN56" s="40">
        <f t="shared" ref="AN56" si="564">AN52+AN53+AN54+AN55</f>
        <v>0</v>
      </c>
      <c r="AO56" s="40">
        <f t="shared" ref="AO56" si="565">AO52+AO53+AO54+AO55</f>
        <v>0</v>
      </c>
      <c r="AP56" s="40">
        <f t="shared" ref="AP56" si="566">AP52+AP53+AP54+AP55</f>
        <v>0</v>
      </c>
      <c r="AQ56" s="40">
        <f t="shared" ref="AQ56" si="567">AQ52+AQ53+AQ54+AQ55</f>
        <v>61.029999999999987</v>
      </c>
      <c r="AR56" s="40">
        <f t="shared" ref="AR56" si="568">AR52+AR53+AR54+AR55</f>
        <v>64.360000000000014</v>
      </c>
      <c r="AS56" s="40">
        <f t="shared" ref="AS56" si="569">AS52+AS53+AS54+AS55</f>
        <v>71.709999999999965</v>
      </c>
      <c r="AT56" s="40">
        <f t="shared" ref="AT56" si="570">AT52+AT53+AT54+AT55</f>
        <v>72.22</v>
      </c>
      <c r="AU56" s="40">
        <f t="shared" ref="AU56" si="571">AU52+AU53+AU54+AU55</f>
        <v>73.460000000000051</v>
      </c>
      <c r="AV56" s="40">
        <f t="shared" ref="AV56:BV56" si="572">AV52+AV53+AV54+AV55</f>
        <v>99.739999999999981</v>
      </c>
      <c r="AW56" s="40">
        <f t="shared" si="572"/>
        <v>76.310000000000031</v>
      </c>
      <c r="AX56" s="40">
        <f t="shared" si="572"/>
        <v>95.82999999999997</v>
      </c>
      <c r="AY56" s="40">
        <f t="shared" si="572"/>
        <v>100.88000000000004</v>
      </c>
      <c r="AZ56" s="40">
        <f t="shared" si="572"/>
        <v>107.99000000000001</v>
      </c>
      <c r="BA56" s="40">
        <f t="shared" si="572"/>
        <v>28.839999999999979</v>
      </c>
      <c r="BB56" s="40">
        <f t="shared" si="572"/>
        <v>71.999999999999943</v>
      </c>
      <c r="BC56" s="40">
        <f t="shared" si="572"/>
        <v>79.209999999999923</v>
      </c>
      <c r="BD56" s="40">
        <f t="shared" si="572"/>
        <v>-77.290000000000006</v>
      </c>
      <c r="BE56" s="40">
        <f t="shared" si="572"/>
        <v>76.869999999999976</v>
      </c>
      <c r="BF56" s="40">
        <f t="shared" si="572"/>
        <v>22.489999999999945</v>
      </c>
      <c r="BG56" s="40">
        <f t="shared" si="572"/>
        <v>63.569999999999958</v>
      </c>
      <c r="BH56" s="40">
        <f t="shared" si="572"/>
        <v>119.81999999999996</v>
      </c>
      <c r="BI56" s="40">
        <f t="shared" si="572"/>
        <v>159.13000000000005</v>
      </c>
      <c r="BJ56" s="40">
        <f t="shared" si="572"/>
        <v>138.55000000000004</v>
      </c>
      <c r="BK56" s="40">
        <f t="shared" si="572"/>
        <v>175.15000000000003</v>
      </c>
      <c r="BL56" s="40">
        <f t="shared" si="572"/>
        <v>215.7600000000001</v>
      </c>
      <c r="BM56" s="40">
        <f t="shared" si="572"/>
        <v>296.57000000000011</v>
      </c>
      <c r="BN56" s="40">
        <f t="shared" si="572"/>
        <v>348.46000000000004</v>
      </c>
      <c r="BO56" s="40">
        <f t="shared" si="572"/>
        <v>347.04000000000008</v>
      </c>
      <c r="BP56" s="40">
        <f t="shared" si="572"/>
        <v>353.34</v>
      </c>
      <c r="BQ56" s="40">
        <f t="shared" si="572"/>
        <v>397.08000000000004</v>
      </c>
      <c r="BR56" s="40">
        <f t="shared" si="572"/>
        <v>397.65999999999985</v>
      </c>
      <c r="BS56" s="40">
        <f t="shared" si="572"/>
        <v>186.05999999999989</v>
      </c>
      <c r="BT56" s="40">
        <f t="shared" si="572"/>
        <v>-99.519999999999953</v>
      </c>
      <c r="BU56" s="40">
        <f t="shared" si="572"/>
        <v>47.210000000000157</v>
      </c>
      <c r="BV56" s="40">
        <f t="shared" si="572"/>
        <v>60.190000000000005</v>
      </c>
      <c r="BW56" s="40">
        <f>BW52+BW53+BW54+BW55</f>
        <v>125.80999999999997</v>
      </c>
      <c r="BX56" s="40">
        <f>BX52+BX53+BX54+BX55</f>
        <v>252.09000000000026</v>
      </c>
      <c r="BY56" s="40">
        <f>BY52+BY53+BY54+BY55</f>
        <v>339.54999999999995</v>
      </c>
      <c r="BZ56" s="41">
        <f t="shared" ref="BZ56:CC56" si="573">BZ52+BZ53+BZ54</f>
        <v>285.90493892067656</v>
      </c>
      <c r="CA56" s="41">
        <f t="shared" si="573"/>
        <v>383.80252584303918</v>
      </c>
      <c r="CB56" s="41">
        <f t="shared" si="573"/>
        <v>409.72644442276874</v>
      </c>
      <c r="CC56" s="41">
        <f t="shared" si="573"/>
        <v>451.7888072674607</v>
      </c>
      <c r="CD56" s="41">
        <f t="shared" ref="CD56:CO56" si="574">CD52+CD53+CD54</f>
        <v>458.86431454596243</v>
      </c>
      <c r="CE56" s="41">
        <f t="shared" si="574"/>
        <v>513.62600259254464</v>
      </c>
      <c r="CF56" s="41">
        <f t="shared" si="574"/>
        <v>535.0983909310047</v>
      </c>
      <c r="CG56" s="41">
        <f t="shared" si="574"/>
        <v>565.75765729493662</v>
      </c>
      <c r="CH56" s="41">
        <f t="shared" si="574"/>
        <v>576.87909183077034</v>
      </c>
      <c r="CI56" s="41">
        <f t="shared" si="574"/>
        <v>612.78608219076705</v>
      </c>
      <c r="CJ56" s="41">
        <f t="shared" si="574"/>
        <v>620.05983494734892</v>
      </c>
      <c r="CK56" s="41">
        <f t="shared" si="574"/>
        <v>636.07146219385686</v>
      </c>
      <c r="CL56" s="41">
        <f t="shared" si="574"/>
        <v>674.38276280619732</v>
      </c>
      <c r="CM56" s="41">
        <f t="shared" si="574"/>
        <v>706.94489164254151</v>
      </c>
      <c r="CN56" s="41">
        <f t="shared" si="574"/>
        <v>712.05830417414813</v>
      </c>
      <c r="CO56" s="41">
        <f t="shared" si="574"/>
        <v>730.0489747094955</v>
      </c>
      <c r="CT56" s="40">
        <v>777.64000000000055</v>
      </c>
    </row>
    <row r="57" spans="1:98" s="71" customFormat="1" x14ac:dyDescent="0.2">
      <c r="A57" s="71" t="s">
        <v>15</v>
      </c>
      <c r="C57" s="71" t="e">
        <f t="shared" ref="C57:AE57" si="575">+IF(B56&lt;0,1-C56/B56,C56/B56-1)</f>
        <v>#DIV/0!</v>
      </c>
      <c r="D57" s="71" t="e">
        <f t="shared" si="575"/>
        <v>#DIV/0!</v>
      </c>
      <c r="E57" s="71" t="e">
        <f t="shared" si="575"/>
        <v>#DIV/0!</v>
      </c>
      <c r="F57" s="71" t="e">
        <f t="shared" si="575"/>
        <v>#DIV/0!</v>
      </c>
      <c r="G57" s="71" t="e">
        <f t="shared" si="575"/>
        <v>#DIV/0!</v>
      </c>
      <c r="H57" s="71" t="e">
        <f t="shared" si="575"/>
        <v>#DIV/0!</v>
      </c>
      <c r="I57" s="71" t="e">
        <f t="shared" si="575"/>
        <v>#DIV/0!</v>
      </c>
      <c r="J57" s="71" t="e">
        <f t="shared" si="575"/>
        <v>#DIV/0!</v>
      </c>
      <c r="K57" s="71">
        <f t="shared" si="575"/>
        <v>0.95219604076206532</v>
      </c>
      <c r="L57" s="71">
        <f t="shared" si="575"/>
        <v>2.7119319348048201</v>
      </c>
      <c r="M57" s="71">
        <f t="shared" si="575"/>
        <v>-1.8269221187196159</v>
      </c>
      <c r="N57" s="71">
        <f t="shared" si="575"/>
        <v>3.9138736786990251</v>
      </c>
      <c r="O57" s="71">
        <f t="shared" si="575"/>
        <v>1.1883594087654665</v>
      </c>
      <c r="P57" s="71">
        <f t="shared" si="575"/>
        <v>1.6719886157372974</v>
      </c>
      <c r="Q57" s="71">
        <f t="shared" si="575"/>
        <v>0.69395914953125848</v>
      </c>
      <c r="R57" s="71">
        <f t="shared" si="575"/>
        <v>-0.10171268254351318</v>
      </c>
      <c r="S57" s="71">
        <f t="shared" si="575"/>
        <v>1.8234658662736245</v>
      </c>
      <c r="T57" s="71">
        <f t="shared" si="575"/>
        <v>0.51430722891566161</v>
      </c>
      <c r="U57" s="71">
        <f t="shared" si="575"/>
        <v>1.7839383391348607E-2</v>
      </c>
      <c r="V57" s="71">
        <f t="shared" si="575"/>
        <v>-0.56522137404580231</v>
      </c>
      <c r="W57" s="71">
        <f t="shared" si="575"/>
        <v>1.4796685160474761</v>
      </c>
      <c r="X57" s="71">
        <f t="shared" si="575"/>
        <v>1.3394981307352465</v>
      </c>
      <c r="Y57" s="71">
        <f t="shared" si="575"/>
        <v>0.75045700519351621</v>
      </c>
      <c r="Z57" s="71">
        <f t="shared" si="575"/>
        <v>-0.63248566666436168</v>
      </c>
      <c r="AA57" s="71">
        <f t="shared" si="575"/>
        <v>0.46337975159954903</v>
      </c>
      <c r="AB57" s="72">
        <f t="shared" si="575"/>
        <v>0.96906372672952124</v>
      </c>
      <c r="AC57" s="72">
        <f t="shared" si="575"/>
        <v>0.35404624231671011</v>
      </c>
      <c r="AD57" s="72">
        <f t="shared" si="575"/>
        <v>0.17963718557599773</v>
      </c>
      <c r="AE57" s="72">
        <f t="shared" si="575"/>
        <v>0.1544030611795375</v>
      </c>
      <c r="AG57" s="73"/>
      <c r="AH57" s="74"/>
      <c r="AI57" s="74"/>
      <c r="AJ57" s="74"/>
      <c r="AK57" s="74"/>
      <c r="AL57" s="74" t="e">
        <f t="shared" ref="AL57" si="576">+IF(AH56&lt;0,1-AL56/AH56,AL56/AH56-1)</f>
        <v>#DIV/0!</v>
      </c>
      <c r="AM57" s="74" t="e">
        <f t="shared" ref="AM57" si="577">+IF(AI56&lt;0,1-AM56/AI56,AM56/AI56-1)</f>
        <v>#DIV/0!</v>
      </c>
      <c r="AN57" s="74" t="e">
        <f t="shared" ref="AN57" si="578">+IF(AJ56&lt;0,1-AN56/AJ56,AN56/AJ56-1)</f>
        <v>#DIV/0!</v>
      </c>
      <c r="AO57" s="74" t="e">
        <f t="shared" ref="AO57" si="579">+IF(AK56&lt;0,1-AO56/AK56,AO56/AK56-1)</f>
        <v>#DIV/0!</v>
      </c>
      <c r="AP57" s="74" t="e">
        <f t="shared" ref="AP57" si="580">+IF(AL56&lt;0,1-AP56/AL56,AP56/AL56-1)</f>
        <v>#DIV/0!</v>
      </c>
      <c r="AQ57" s="74" t="e">
        <f t="shared" ref="AQ57" si="581">+IF(AM56&lt;0,1-AQ56/AM56,AQ56/AM56-1)</f>
        <v>#DIV/0!</v>
      </c>
      <c r="AR57" s="74" t="e">
        <f t="shared" ref="AR57" si="582">+IF(AN56&lt;0,1-AR56/AN56,AR56/AN56-1)</f>
        <v>#DIV/0!</v>
      </c>
      <c r="AS57" s="74" t="e">
        <f t="shared" ref="AS57" si="583">+IF(AO56&lt;0,1-AS56/AO56,AS56/AO56-1)</f>
        <v>#DIV/0!</v>
      </c>
      <c r="AT57" s="74" t="e">
        <f t="shared" ref="AT57" si="584">+IF(AP56&lt;0,1-AT56/AP56,AT56/AP56-1)</f>
        <v>#DIV/0!</v>
      </c>
      <c r="AU57" s="74">
        <f t="shared" ref="AU57" si="585">+IF(AQ56&lt;0,1-AU56/AQ56,AU56/AQ56-1)</f>
        <v>0.20367032606914748</v>
      </c>
      <c r="AV57" s="74">
        <f t="shared" ref="AV57" si="586">+IF(AR56&lt;0,1-AV56/AR56,AV56/AR56-1)</f>
        <v>0.54972032318209996</v>
      </c>
      <c r="AW57" s="74">
        <f t="shared" ref="AW57" si="587">+IF(AS56&lt;0,1-AW56/AS56,AW56/AS56-1)</f>
        <v>6.4147259796403011E-2</v>
      </c>
      <c r="AX57" s="74">
        <f t="shared" ref="AX57" si="588">+IF(AT56&lt;0,1-AX56/AT56,AX56/AT56-1)</f>
        <v>0.32691775131542467</v>
      </c>
      <c r="AY57" s="74">
        <f t="shared" ref="AY57" si="589">+IF(AU56&lt;0,1-AY56/AU56,AY56/AU56-1)</f>
        <v>0.37326436155730969</v>
      </c>
      <c r="AZ57" s="74">
        <f t="shared" ref="AZ57" si="590">+IF(AV56&lt;0,1-AZ56/AV56,AZ56/AV56-1)</f>
        <v>8.2715059153800174E-2</v>
      </c>
      <c r="BA57" s="74">
        <f t="shared" ref="BA57" si="591">+IF(AW56&lt;0,1-BA56/AW56,BA56/AW56-1)</f>
        <v>-0.62206788101166333</v>
      </c>
      <c r="BB57" s="74">
        <f t="shared" ref="BB57" si="592">+IF(AX56&lt;0,1-BB56/AX56,BB56/AX56-1)</f>
        <v>-0.24866951893978961</v>
      </c>
      <c r="BC57" s="74">
        <f t="shared" ref="BC57" si="593">+IF(AY56&lt;0,1-BC56/AY56,BC56/AY56-1)</f>
        <v>-0.21480967486122227</v>
      </c>
      <c r="BD57" s="74">
        <f t="shared" ref="BD57" si="594">+IF(AZ56&lt;0,1-BD56/AZ56,BD56/AZ56-1)</f>
        <v>-1.7157144180016668</v>
      </c>
      <c r="BE57" s="74">
        <f t="shared" ref="BE57" si="595">+IF(BA56&lt;0,1-BE56/BA56,BE56/BA56-1)</f>
        <v>1.6653952843273245</v>
      </c>
      <c r="BF57" s="74">
        <f t="shared" ref="BF57" si="596">+IF(BB56&lt;0,1-BF56/BB56,BF56/BB56-1)</f>
        <v>-0.68763888888888935</v>
      </c>
      <c r="BG57" s="74">
        <f t="shared" ref="BG57" si="597">+IF(BC56&lt;0,1-BG56/BC56,BG56/BC56-1)</f>
        <v>-0.19744981694230501</v>
      </c>
      <c r="BH57" s="74">
        <f t="shared" ref="BH57" si="598">+IF(BD56&lt;0,1-BH56/BD56,BH56/BD56-1)</f>
        <v>2.5502652348298609</v>
      </c>
      <c r="BI57" s="74">
        <f t="shared" ref="BI57" si="599">+IF(BE56&lt;0,1-BI56/BE56,BI56/BE56-1)</f>
        <v>1.070118381683363</v>
      </c>
      <c r="BJ57" s="74">
        <f t="shared" ref="BJ57" si="600">+IF(BF56&lt;0,1-BJ56/BF56,BJ56/BF56-1)</f>
        <v>5.1605157847932581</v>
      </c>
      <c r="BK57" s="74">
        <f t="shared" ref="BK57" si="601">+IF(BG56&lt;0,1-BK56/BG56,BK56/BG56-1)</f>
        <v>1.7552304546169601</v>
      </c>
      <c r="BL57" s="74">
        <f t="shared" ref="BL57" si="602">+IF(BH56&lt;0,1-BL56/BH56,BL56/BH56-1)</f>
        <v>0.80070105157736737</v>
      </c>
      <c r="BM57" s="74">
        <f t="shared" ref="BM57" si="603">+IF(BI56&lt;0,1-BM56/BI56,BM56/BI56-1)</f>
        <v>0.8636963488971281</v>
      </c>
      <c r="BN57" s="74">
        <f t="shared" ref="BN57" si="604">+IF(BJ56&lt;0,1-BN56/BJ56,BN56/BJ56-1)</f>
        <v>1.515048718874052</v>
      </c>
      <c r="BO57" s="74">
        <f t="shared" ref="BO57" si="605">+IF(BK56&lt;0,1-BO56/BK56,BO56/BK56-1)</f>
        <v>0.98138738224379107</v>
      </c>
      <c r="BP57" s="74">
        <f t="shared" ref="BP57" si="606">+IF(BL56&lt;0,1-BP56/BL56,BP56/BL56-1)</f>
        <v>0.63765294771968772</v>
      </c>
      <c r="BQ57" s="74">
        <f t="shared" ref="BQ57" si="607">+IF(BM56&lt;0,1-BQ56/BM56,BQ56/BM56-1)</f>
        <v>0.33890818356543106</v>
      </c>
      <c r="BR57" s="74">
        <f t="shared" ref="BR57" si="608">+IF(BN56&lt;0,1-BR56/BN56,BR56/BN56-1)</f>
        <v>0.14119267634735633</v>
      </c>
      <c r="BS57" s="74">
        <f t="shared" ref="BS57" si="609">+IF(BO56&lt;0,1-BS56/BO56,BS56/BO56-1)</f>
        <v>-0.46386583679114846</v>
      </c>
      <c r="BT57" s="74">
        <f t="shared" ref="BT57" si="610">+IF(BP56&lt;0,1-BT56/BP56,BT56/BP56-1)</f>
        <v>-1.2816550631120167</v>
      </c>
      <c r="BU57" s="74">
        <f t="shared" ref="BU57" si="611">+IF(BQ56&lt;0,1-BU56/BQ56,BU56/BQ56-1)</f>
        <v>-0.88110708169638319</v>
      </c>
      <c r="BV57" s="74">
        <f t="shared" ref="BV57" si="612">+IF(BR56&lt;0,1-BV56/BR56,BV56/BR56-1)</f>
        <v>-0.84863954131670261</v>
      </c>
      <c r="BW57" s="74">
        <f>+IF(BS56&lt;0,1-BW56/BS56,BW56/BS56-1)</f>
        <v>-0.323820273030205</v>
      </c>
      <c r="BX57" s="74">
        <f>+IF(BT56&lt;0,1-BX56/BT56,BX56/BT56-1)</f>
        <v>3.5330586816720295</v>
      </c>
      <c r="BY57" s="74">
        <f>+IF(BU56&lt;0,1-BY56/BU56,BY56/BU56-1)</f>
        <v>6.1923321330226395</v>
      </c>
      <c r="BZ57" s="36">
        <f t="shared" ref="BZ57" si="613">+IF(BV56&lt;0,1-BZ56/BV56,BZ56/BV56-1)</f>
        <v>3.7500405203634584</v>
      </c>
      <c r="CA57" s="36">
        <f t="shared" ref="CA57" si="614">+IF(BW56&lt;0,1-CA56/BW56,CA56/BW56-1)</f>
        <v>2.0506519819015918</v>
      </c>
      <c r="CB57" s="36">
        <f t="shared" ref="CB57" si="615">+IF(BX56&lt;0,1-CB56/BX56,CB56/BX56-1)</f>
        <v>0.6253181182227312</v>
      </c>
      <c r="CC57" s="36">
        <f t="shared" ref="CC57" si="616">+IF(BY56&lt;0,1-CC56/BY56,CC56/BY56-1)</f>
        <v>0.33055163383142627</v>
      </c>
      <c r="CD57" s="36">
        <f t="shared" ref="CD57" si="617">+IF(BZ56&lt;0,1-CD56/BZ56,CD56/BZ56-1)</f>
        <v>0.6049541371276308</v>
      </c>
      <c r="CE57" s="36">
        <f t="shared" ref="CE57" si="618">+IF(CA56&lt;0,1-CE56/CA56,CE56/CA56-1)</f>
        <v>0.33825592070907429</v>
      </c>
      <c r="CF57" s="36">
        <f t="shared" ref="CF57" si="619">+IF(CB56&lt;0,1-CF56/CB56,CF56/CB56-1)</f>
        <v>0.30598939417948134</v>
      </c>
      <c r="CG57" s="36">
        <f t="shared" ref="CG57" si="620">+IF(CC56&lt;0,1-CG56/CC56,CG56/CC56-1)</f>
        <v>0.25226134024167157</v>
      </c>
      <c r="CH57" s="36">
        <f t="shared" ref="CH57" si="621">+IF(CD56&lt;0,1-CH56/CD56,CH56/CD56-1)</f>
        <v>0.2571888323928202</v>
      </c>
      <c r="CI57" s="36">
        <f t="shared" ref="CI57" si="622">+IF(CE56&lt;0,1-CI56/CE56,CI56/CE56-1)</f>
        <v>0.19305891660022767</v>
      </c>
      <c r="CJ57" s="36">
        <f t="shared" ref="CJ57" si="623">+IF(CF56&lt;0,1-CJ56/CF56,CJ56/CF56-1)</f>
        <v>0.1587772369648166</v>
      </c>
      <c r="CK57" s="36">
        <f t="shared" ref="CK57" si="624">+IF(CG56&lt;0,1-CK56/CG56,CK56/CG56-1)</f>
        <v>0.1242825510044574</v>
      </c>
      <c r="CL57" s="36">
        <f t="shared" ref="CL57" si="625">+IF(CH56&lt;0,1-CL56/CH56,CL56/CH56-1)</f>
        <v>0.16901924919135403</v>
      </c>
      <c r="CM57" s="36">
        <f t="shared" ref="CM57" si="626">+IF(CI56&lt;0,1-CM56/CI56,CM56/CI56-1)</f>
        <v>0.15365689950912076</v>
      </c>
      <c r="CN57" s="36">
        <f t="shared" ref="CN57" si="627">+IF(CJ56&lt;0,1-CN56/CJ56,CN56/CJ56-1)</f>
        <v>0.14837030886641944</v>
      </c>
      <c r="CO57" s="36">
        <f t="shared" ref="CO57" si="628">+IF(CK56&lt;0,1-CO56/CK56,CO56/CK56-1)</f>
        <v>0.14774678334334213</v>
      </c>
      <c r="CT57" s="71">
        <v>0.46337975159955036</v>
      </c>
    </row>
    <row r="58" spans="1:98" s="45" customFormat="1" x14ac:dyDescent="0.2">
      <c r="A58" s="114" t="s">
        <v>168</v>
      </c>
      <c r="AB58" s="39"/>
      <c r="AC58" s="39"/>
      <c r="AD58" s="39"/>
      <c r="AE58" s="39"/>
      <c r="AG58" s="60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140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</row>
    <row r="59" spans="1:98" s="67" customFormat="1" x14ac:dyDescent="0.2">
      <c r="A59" s="67" t="s">
        <v>43</v>
      </c>
      <c r="B59" s="67">
        <f>+'Annual Raw'!C45</f>
        <v>0</v>
      </c>
      <c r="C59" s="67">
        <f>+'Annual Raw'!D45</f>
        <v>0</v>
      </c>
      <c r="D59" s="67">
        <f>+'Annual Raw'!E45</f>
        <v>0</v>
      </c>
      <c r="E59" s="67">
        <f>+'Annual Raw'!F45</f>
        <v>0</v>
      </c>
      <c r="F59" s="67">
        <f>+'Annual Raw'!G45</f>
        <v>0</v>
      </c>
      <c r="G59" s="67">
        <f>+'Annual Raw'!H45</f>
        <v>0</v>
      </c>
      <c r="H59" s="67">
        <f>+'Annual Raw'!I45</f>
        <v>0</v>
      </c>
      <c r="I59" s="67">
        <f>+'Annual Raw'!J45</f>
        <v>0</v>
      </c>
      <c r="J59" s="67">
        <f>+'Annual Raw'!K45</f>
        <v>0.48440129999999998</v>
      </c>
      <c r="K59" s="67">
        <f>+'Annual Raw'!L45</f>
        <v>0.94564630000000005</v>
      </c>
      <c r="L59" s="67">
        <f>+'Annual Raw'!M45</f>
        <v>3.5101746999999999</v>
      </c>
      <c r="M59" s="67">
        <f>+'Annual Raw'!N45</f>
        <v>-2.9026410999999999</v>
      </c>
      <c r="N59" s="67">
        <f>+'Annual Raw'!O45</f>
        <v>8.4579295000000005</v>
      </c>
      <c r="O59" s="67">
        <f>+'Annual Raw'!P45</f>
        <v>18.5089896</v>
      </c>
      <c r="P59" s="67">
        <f>+'Annual Raw'!Q45</f>
        <v>49.455809500000001</v>
      </c>
      <c r="Q59" s="67">
        <f>+'Annual Raw'!R45</f>
        <v>83.776121000000003</v>
      </c>
      <c r="R59" s="67">
        <f>+'Annual Raw'!S45</f>
        <v>75.255026999999998</v>
      </c>
      <c r="S59" s="67">
        <f>+'Annual Raw'!T45</f>
        <v>212.48</v>
      </c>
      <c r="T59" s="67">
        <f>+'Annual Raw'!U45</f>
        <v>321.76</v>
      </c>
      <c r="U59" s="67">
        <f>+'Annual Raw'!V45</f>
        <v>327.5</v>
      </c>
      <c r="V59" s="67">
        <f>+'Annual Raw'!W45</f>
        <v>142.38999999999999</v>
      </c>
      <c r="W59" s="67">
        <f>+'Annual Raw'!X45</f>
        <v>353.08</v>
      </c>
      <c r="X59" s="67">
        <f>+'Annual Raw'!Y45</f>
        <v>826.03</v>
      </c>
      <c r="Y59" s="67">
        <f>+'Annual Raw'!Z45</f>
        <v>1445.93</v>
      </c>
      <c r="Z59" s="67">
        <f>+'Annual Raw'!AA45</f>
        <v>531.4</v>
      </c>
      <c r="AA59" s="67">
        <f>+'Annual Raw'!AB45</f>
        <v>777.64</v>
      </c>
      <c r="AB59" s="39"/>
      <c r="AC59" s="39"/>
      <c r="AD59" s="39"/>
      <c r="AE59" s="39"/>
      <c r="AG59" s="62"/>
      <c r="AH59" s="68">
        <f>+'QTR Raw'!D45</f>
        <v>0</v>
      </c>
      <c r="AI59" s="68">
        <f>+'QTR Raw'!E45</f>
        <v>0</v>
      </c>
      <c r="AJ59" s="68">
        <f>+'QTR Raw'!F45</f>
        <v>0</v>
      </c>
      <c r="AK59" s="68">
        <f>+'QTR Raw'!G45</f>
        <v>0</v>
      </c>
      <c r="AL59" s="68">
        <f>+'QTR Raw'!H45</f>
        <v>0</v>
      </c>
      <c r="AM59" s="68">
        <f>+'QTR Raw'!I45</f>
        <v>0</v>
      </c>
      <c r="AN59" s="68">
        <f>+'QTR Raw'!J45</f>
        <v>0</v>
      </c>
      <c r="AO59" s="68">
        <f>+'QTR Raw'!K45</f>
        <v>0</v>
      </c>
      <c r="AP59" s="68">
        <f>+'QTR Raw'!L45</f>
        <v>0</v>
      </c>
      <c r="AQ59" s="68">
        <f>+'QTR Raw'!M45</f>
        <v>61.03</v>
      </c>
      <c r="AR59" s="68">
        <f>+'QTR Raw'!N45</f>
        <v>64.36</v>
      </c>
      <c r="AS59" s="68">
        <f>+'QTR Raw'!O45</f>
        <v>71.709999999999994</v>
      </c>
      <c r="AT59" s="68">
        <f>+'QTR Raw'!P45</f>
        <v>72.22</v>
      </c>
      <c r="AU59" s="68">
        <f>+'QTR Raw'!Q45</f>
        <v>73.459999999999994</v>
      </c>
      <c r="AV59" s="68">
        <f>+'QTR Raw'!R45</f>
        <v>99.74</v>
      </c>
      <c r="AW59" s="68">
        <f>+'QTR Raw'!S45</f>
        <v>76.31</v>
      </c>
      <c r="AX59" s="68">
        <f>+'QTR Raw'!T45</f>
        <v>95.83</v>
      </c>
      <c r="AY59" s="68">
        <f>+'QTR Raw'!U45</f>
        <v>100.88</v>
      </c>
      <c r="AZ59" s="68">
        <f>+'QTR Raw'!V45</f>
        <v>107.99</v>
      </c>
      <c r="BA59" s="68">
        <f>+'QTR Raw'!W45</f>
        <v>28.84</v>
      </c>
      <c r="BB59" s="68">
        <f>+'QTR Raw'!X45</f>
        <v>72</v>
      </c>
      <c r="BC59" s="68">
        <f>+'QTR Raw'!Y45</f>
        <v>79.209999999999994</v>
      </c>
      <c r="BD59" s="68">
        <f>+'QTR Raw'!Z45</f>
        <v>-77.290000000000006</v>
      </c>
      <c r="BE59" s="68">
        <f>+'QTR Raw'!AA45</f>
        <v>76.87</v>
      </c>
      <c r="BF59" s="68">
        <f>+'QTR Raw'!AB45</f>
        <v>22.49</v>
      </c>
      <c r="BG59" s="68">
        <f>+'QTR Raw'!AC45</f>
        <v>63.57</v>
      </c>
      <c r="BH59" s="68">
        <f>+'QTR Raw'!AD45</f>
        <v>119.82</v>
      </c>
      <c r="BI59" s="68">
        <f>+'QTR Raw'!AE45</f>
        <v>159.13</v>
      </c>
      <c r="BJ59" s="68">
        <f>+'QTR Raw'!AF45</f>
        <v>138.55000000000001</v>
      </c>
      <c r="BK59" s="68">
        <f>+'QTR Raw'!AG45</f>
        <v>175.15</v>
      </c>
      <c r="BL59" s="68">
        <f>+'QTR Raw'!AH45</f>
        <v>215.76</v>
      </c>
      <c r="BM59" s="68">
        <f>+'QTR Raw'!AI45</f>
        <v>296.57</v>
      </c>
      <c r="BN59" s="68">
        <f>+'QTR Raw'!AJ45</f>
        <v>348.46</v>
      </c>
      <c r="BO59" s="68">
        <f>+'QTR Raw'!AK45</f>
        <v>347.04</v>
      </c>
      <c r="BP59" s="68">
        <f>+'QTR Raw'!AL45</f>
        <v>353.34</v>
      </c>
      <c r="BQ59" s="68">
        <f>+'QTR Raw'!AM45</f>
        <v>397.08</v>
      </c>
      <c r="BR59" s="68">
        <f>+'QTR Raw'!AN45</f>
        <v>397.66</v>
      </c>
      <c r="BS59" s="68">
        <f>+'QTR Raw'!AO45</f>
        <v>186.06</v>
      </c>
      <c r="BT59" s="68">
        <f>+'QTR Raw'!AP45</f>
        <v>-99.52</v>
      </c>
      <c r="BU59" s="68">
        <f>+'QTR Raw'!AQ45</f>
        <v>47.21</v>
      </c>
      <c r="BV59" s="68">
        <f>+'QTR Raw'!AR45</f>
        <v>60.19</v>
      </c>
      <c r="BW59" s="68">
        <f>+'QTR Raw'!AS45</f>
        <v>125.81</v>
      </c>
      <c r="BX59" s="68">
        <f>+'QTR Raw'!AT45</f>
        <v>252.09</v>
      </c>
      <c r="BY59" s="68">
        <f>+'QTR Raw'!AU45</f>
        <v>339.55</v>
      </c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T59" s="67">
        <v>777.64</v>
      </c>
    </row>
    <row r="60" spans="1:98" s="45" customFormat="1" x14ac:dyDescent="0.2">
      <c r="A60" s="45" t="s">
        <v>288</v>
      </c>
      <c r="B60" s="45">
        <f t="shared" ref="B60:X60" si="629">+B56-B59</f>
        <v>0</v>
      </c>
      <c r="C60" s="45">
        <f t="shared" si="629"/>
        <v>0</v>
      </c>
      <c r="D60" s="45">
        <f t="shared" si="629"/>
        <v>0</v>
      </c>
      <c r="E60" s="45">
        <f t="shared" si="629"/>
        <v>0</v>
      </c>
      <c r="F60" s="45">
        <f t="shared" si="629"/>
        <v>0</v>
      </c>
      <c r="G60" s="45">
        <f t="shared" si="629"/>
        <v>0</v>
      </c>
      <c r="H60" s="45">
        <f t="shared" si="629"/>
        <v>0</v>
      </c>
      <c r="I60" s="45">
        <f t="shared" si="629"/>
        <v>0</v>
      </c>
      <c r="J60" s="45">
        <f t="shared" si="629"/>
        <v>7.7715611723760958E-16</v>
      </c>
      <c r="K60" s="45">
        <f t="shared" si="629"/>
        <v>-1.1102230246251565E-15</v>
      </c>
      <c r="L60" s="45">
        <f t="shared" si="629"/>
        <v>1.5543122344752192E-14</v>
      </c>
      <c r="M60" s="45">
        <f t="shared" si="629"/>
        <v>-4.8849813083506888E-15</v>
      </c>
      <c r="N60" s="45">
        <f t="shared" si="629"/>
        <v>0</v>
      </c>
      <c r="O60" s="45">
        <f t="shared" si="629"/>
        <v>0</v>
      </c>
      <c r="P60" s="45">
        <f t="shared" si="629"/>
        <v>0</v>
      </c>
      <c r="Q60" s="45">
        <f t="shared" si="629"/>
        <v>0</v>
      </c>
      <c r="R60" s="45">
        <f t="shared" si="629"/>
        <v>0</v>
      </c>
      <c r="S60" s="45">
        <f t="shared" si="629"/>
        <v>0</v>
      </c>
      <c r="T60" s="105">
        <f t="shared" si="629"/>
        <v>0</v>
      </c>
      <c r="U60" s="105">
        <f t="shared" si="629"/>
        <v>0</v>
      </c>
      <c r="V60" s="105">
        <f t="shared" si="629"/>
        <v>0</v>
      </c>
      <c r="W60" s="105">
        <f t="shared" si="629"/>
        <v>0</v>
      </c>
      <c r="X60" s="105">
        <f t="shared" si="629"/>
        <v>0</v>
      </c>
      <c r="Y60" s="105">
        <f t="shared" ref="Y60:Z60" si="630">+Y56-Y59</f>
        <v>0</v>
      </c>
      <c r="Z60" s="105">
        <f t="shared" si="630"/>
        <v>0</v>
      </c>
      <c r="AA60" s="105">
        <f t="shared" ref="AA60" si="631">+AA56-AA59</f>
        <v>0</v>
      </c>
      <c r="AB60" s="39"/>
      <c r="AC60" s="39"/>
      <c r="AD60" s="39"/>
      <c r="AE60" s="39"/>
      <c r="AG60" s="60"/>
      <c r="AH60" s="105">
        <f t="shared" ref="AH60" si="632">+AH56-AH59</f>
        <v>0</v>
      </c>
      <c r="AI60" s="105">
        <f t="shared" ref="AI60" si="633">+AI56-AI59</f>
        <v>0</v>
      </c>
      <c r="AJ60" s="105">
        <f t="shared" ref="AJ60" si="634">+AJ56-AJ59</f>
        <v>0</v>
      </c>
      <c r="AK60" s="105">
        <f t="shared" ref="AK60" si="635">+AK56-AK59</f>
        <v>0</v>
      </c>
      <c r="AL60" s="105">
        <f t="shared" ref="AL60" si="636">+AL56-AL59</f>
        <v>0</v>
      </c>
      <c r="AM60" s="105">
        <f t="shared" ref="AM60" si="637">+AM56-AM59</f>
        <v>0</v>
      </c>
      <c r="AN60" s="105">
        <f t="shared" ref="AN60" si="638">+AN56-AN59</f>
        <v>0</v>
      </c>
      <c r="AO60" s="105">
        <f t="shared" ref="AO60" si="639">+AO56-AO59</f>
        <v>0</v>
      </c>
      <c r="AP60" s="105">
        <f t="shared" ref="AP60" si="640">+AP56-AP59</f>
        <v>0</v>
      </c>
      <c r="AQ60" s="105">
        <f t="shared" ref="AQ60" si="641">+AQ56-AQ59</f>
        <v>0</v>
      </c>
      <c r="AR60" s="105">
        <f t="shared" ref="AR60" si="642">+AR56-AR59</f>
        <v>0</v>
      </c>
      <c r="AS60" s="105">
        <f t="shared" ref="AS60" si="643">+AS56-AS59</f>
        <v>0</v>
      </c>
      <c r="AT60" s="105">
        <f t="shared" ref="AT60" si="644">+AT56-AT59</f>
        <v>0</v>
      </c>
      <c r="AU60" s="105">
        <f t="shared" ref="AU60" si="645">+AU56-AU59</f>
        <v>0</v>
      </c>
      <c r="AV60" s="105">
        <f t="shared" ref="AV60" si="646">+AV56-AV59</f>
        <v>0</v>
      </c>
      <c r="AW60" s="105">
        <f t="shared" ref="AW60" si="647">+AW56-AW59</f>
        <v>0</v>
      </c>
      <c r="AX60" s="105">
        <f t="shared" ref="AX60" si="648">+AX56-AX59</f>
        <v>0</v>
      </c>
      <c r="AY60" s="105">
        <f t="shared" ref="AY60" si="649">+AY56-AY59</f>
        <v>0</v>
      </c>
      <c r="AZ60" s="105">
        <f t="shared" ref="AZ60" si="650">+AZ56-AZ59</f>
        <v>0</v>
      </c>
      <c r="BA60" s="105">
        <f t="shared" ref="BA60" si="651">+BA56-BA59</f>
        <v>0</v>
      </c>
      <c r="BB60" s="105">
        <f t="shared" ref="BB60" si="652">+BB56-BB59</f>
        <v>0</v>
      </c>
      <c r="BC60" s="105">
        <f t="shared" ref="BC60" si="653">+BC56-BC59</f>
        <v>0</v>
      </c>
      <c r="BD60" s="105">
        <f t="shared" ref="BD60" si="654">+BD56-BD59</f>
        <v>0</v>
      </c>
      <c r="BE60" s="105">
        <f t="shared" ref="BE60" si="655">+BE56-BE59</f>
        <v>0</v>
      </c>
      <c r="BF60" s="105">
        <f t="shared" ref="BF60" si="656">+BF56-BF59</f>
        <v>-5.3290705182007514E-14</v>
      </c>
      <c r="BG60" s="105">
        <f t="shared" ref="BG60" si="657">+BG56-BG59</f>
        <v>0</v>
      </c>
      <c r="BH60" s="105">
        <f t="shared" ref="BH60" si="658">+BH56-BH59</f>
        <v>0</v>
      </c>
      <c r="BI60" s="105">
        <f t="shared" ref="BI60" si="659">+BI56-BI59</f>
        <v>0</v>
      </c>
      <c r="BJ60" s="105">
        <f t="shared" ref="BJ60" si="660">+BJ56-BJ59</f>
        <v>0</v>
      </c>
      <c r="BK60" s="105">
        <f t="shared" ref="BK60" si="661">+BK56-BK59</f>
        <v>0</v>
      </c>
      <c r="BL60" s="105">
        <f t="shared" ref="BL60" si="662">+BL56-BL59</f>
        <v>0</v>
      </c>
      <c r="BM60" s="105">
        <f t="shared" ref="BM60" si="663">+BM56-BM59</f>
        <v>0</v>
      </c>
      <c r="BN60" s="105">
        <f t="shared" ref="BN60" si="664">+BN56-BN59</f>
        <v>0</v>
      </c>
      <c r="BO60" s="105">
        <f t="shared" ref="BO60" si="665">+BO56-BO59</f>
        <v>0</v>
      </c>
      <c r="BP60" s="105">
        <f t="shared" ref="BP60" si="666">+BP56-BP59</f>
        <v>0</v>
      </c>
      <c r="BQ60" s="105">
        <f t="shared" ref="BQ60" si="667">+BQ56-BQ59</f>
        <v>0</v>
      </c>
      <c r="BR60" s="105">
        <f t="shared" ref="BR60" si="668">+BR56-BR59</f>
        <v>0</v>
      </c>
      <c r="BS60" s="105">
        <f t="shared" ref="BS60" si="669">+BS56-BS59</f>
        <v>0</v>
      </c>
      <c r="BT60" s="105">
        <f t="shared" ref="BT60" si="670">+BT56-BT59</f>
        <v>0</v>
      </c>
      <c r="BU60" s="105">
        <f t="shared" ref="BU60" si="671">+BU56-BU59</f>
        <v>1.5631940186722204E-13</v>
      </c>
      <c r="BV60" s="105">
        <f t="shared" ref="BV60:BW60" si="672">+BV56-BV59</f>
        <v>0</v>
      </c>
      <c r="BW60" s="105">
        <f t="shared" si="672"/>
        <v>0</v>
      </c>
      <c r="BX60" s="105">
        <f t="shared" ref="BX60:BY60" si="673">+BX56-BX59</f>
        <v>2.5579538487363607E-13</v>
      </c>
      <c r="BY60" s="105">
        <f t="shared" si="673"/>
        <v>0</v>
      </c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T60" s="45">
        <v>0</v>
      </c>
    </row>
    <row r="61" spans="1:98" s="45" customFormat="1" x14ac:dyDescent="0.2">
      <c r="A61" s="117" t="s">
        <v>169</v>
      </c>
      <c r="AB61" s="39"/>
      <c r="AC61" s="39"/>
      <c r="AD61" s="39"/>
      <c r="AE61" s="39"/>
      <c r="AG61" s="60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</row>
    <row r="62" spans="1:98" s="50" customFormat="1" x14ac:dyDescent="0.2">
      <c r="A62" s="50" t="s">
        <v>32</v>
      </c>
      <c r="B62" s="50">
        <f t="shared" ref="B62:Y62" si="674">+C62</f>
        <v>160.19999999999999</v>
      </c>
      <c r="C62" s="50">
        <f t="shared" si="674"/>
        <v>160.19999999999999</v>
      </c>
      <c r="D62" s="50">
        <f t="shared" si="674"/>
        <v>160.19999999999999</v>
      </c>
      <c r="E62" s="50">
        <f t="shared" si="674"/>
        <v>160.19999999999999</v>
      </c>
      <c r="F62" s="50">
        <f t="shared" si="674"/>
        <v>160.19999999999999</v>
      </c>
      <c r="G62" s="50">
        <f t="shared" si="674"/>
        <v>160.19999999999999</v>
      </c>
      <c r="H62" s="50">
        <f t="shared" si="674"/>
        <v>160.19999999999999</v>
      </c>
      <c r="I62" s="50">
        <f t="shared" si="674"/>
        <v>160.19999999999999</v>
      </c>
      <c r="J62" s="50">
        <f t="shared" si="674"/>
        <v>160.19999999999999</v>
      </c>
      <c r="K62" s="50">
        <f t="shared" si="674"/>
        <v>160.19999999999999</v>
      </c>
      <c r="L62" s="50">
        <f t="shared" si="674"/>
        <v>160.19999999999999</v>
      </c>
      <c r="M62" s="50">
        <f t="shared" si="674"/>
        <v>160.19999999999999</v>
      </c>
      <c r="N62" s="50">
        <f t="shared" si="674"/>
        <v>160.19999999999999</v>
      </c>
      <c r="O62" s="50">
        <f t="shared" si="674"/>
        <v>160.19999999999999</v>
      </c>
      <c r="P62" s="50">
        <f t="shared" si="674"/>
        <v>160.19999999999999</v>
      </c>
      <c r="Q62" s="50">
        <f t="shared" si="674"/>
        <v>160.19999999999999</v>
      </c>
      <c r="R62" s="50">
        <f t="shared" si="674"/>
        <v>160.19999999999999</v>
      </c>
      <c r="S62" s="50">
        <f t="shared" si="674"/>
        <v>160.19999999999999</v>
      </c>
      <c r="T62" s="50">
        <f t="shared" si="674"/>
        <v>160.19999999999999</v>
      </c>
      <c r="U62" s="50">
        <f t="shared" si="674"/>
        <v>160.19999999999999</v>
      </c>
      <c r="V62" s="50">
        <f t="shared" si="674"/>
        <v>160.19999999999999</v>
      </c>
      <c r="W62" s="50">
        <f t="shared" si="674"/>
        <v>160.19999999999999</v>
      </c>
      <c r="X62" s="50">
        <f t="shared" si="674"/>
        <v>160.19999999999999</v>
      </c>
      <c r="Y62" s="50">
        <f t="shared" si="674"/>
        <v>160.19999999999999</v>
      </c>
      <c r="Z62" s="50">
        <f>+AA62</f>
        <v>160.19999999999999</v>
      </c>
      <c r="AA62" s="50">
        <f>+AB62</f>
        <v>160.19999999999999</v>
      </c>
      <c r="AB62" s="51">
        <f>+CC62</f>
        <v>160.19999999999999</v>
      </c>
      <c r="AC62" s="51">
        <f>+CG62</f>
        <v>160.19999999999999</v>
      </c>
      <c r="AD62" s="51">
        <f>+CK62</f>
        <v>160.19999999999999</v>
      </c>
      <c r="AE62" s="51">
        <f>+CO62</f>
        <v>160.19999999999999</v>
      </c>
      <c r="AG62" s="64"/>
      <c r="AH62" s="50">
        <f t="shared" ref="AH62:BU63" si="675">+AI62</f>
        <v>159.88</v>
      </c>
      <c r="AI62" s="50">
        <f t="shared" si="675"/>
        <v>159.88</v>
      </c>
      <c r="AJ62" s="50">
        <f t="shared" si="675"/>
        <v>159.88</v>
      </c>
      <c r="AK62" s="50">
        <f t="shared" si="675"/>
        <v>159.88</v>
      </c>
      <c r="AL62" s="50">
        <f t="shared" si="675"/>
        <v>159.88</v>
      </c>
      <c r="AM62" s="50">
        <f t="shared" si="675"/>
        <v>159.88</v>
      </c>
      <c r="AN62" s="50">
        <f t="shared" si="675"/>
        <v>159.88</v>
      </c>
      <c r="AO62" s="50">
        <f t="shared" si="675"/>
        <v>159.88</v>
      </c>
      <c r="AP62" s="50">
        <f t="shared" si="675"/>
        <v>159.88</v>
      </c>
      <c r="AQ62" s="50">
        <f t="shared" si="675"/>
        <v>159.88</v>
      </c>
      <c r="AR62" s="50">
        <f t="shared" si="675"/>
        <v>159.88</v>
      </c>
      <c r="AS62" s="50">
        <f t="shared" si="675"/>
        <v>159.88</v>
      </c>
      <c r="AT62" s="50">
        <f t="shared" si="675"/>
        <v>159.88</v>
      </c>
      <c r="AU62" s="50">
        <f t="shared" si="675"/>
        <v>159.88</v>
      </c>
      <c r="AV62" s="50">
        <f t="shared" si="675"/>
        <v>159.88</v>
      </c>
      <c r="AW62" s="50">
        <f t="shared" si="675"/>
        <v>159.88</v>
      </c>
      <c r="AX62" s="50">
        <f t="shared" si="675"/>
        <v>159.88</v>
      </c>
      <c r="AY62" s="50">
        <f t="shared" si="675"/>
        <v>159.88</v>
      </c>
      <c r="AZ62" s="50">
        <f t="shared" si="675"/>
        <v>159.88</v>
      </c>
      <c r="BA62" s="50">
        <f t="shared" si="675"/>
        <v>159.88</v>
      </c>
      <c r="BB62" s="50">
        <f t="shared" si="675"/>
        <v>159.88</v>
      </c>
      <c r="BC62" s="50">
        <f t="shared" si="675"/>
        <v>159.88</v>
      </c>
      <c r="BD62" s="50">
        <f t="shared" si="675"/>
        <v>159.88</v>
      </c>
      <c r="BE62" s="50">
        <f t="shared" si="675"/>
        <v>159.88</v>
      </c>
      <c r="BF62" s="50">
        <f t="shared" si="675"/>
        <v>159.88</v>
      </c>
      <c r="BG62" s="50">
        <f t="shared" si="675"/>
        <v>159.88</v>
      </c>
      <c r="BH62" s="50">
        <f t="shared" si="675"/>
        <v>159.88</v>
      </c>
      <c r="BI62" s="50">
        <f t="shared" si="675"/>
        <v>159.88</v>
      </c>
      <c r="BJ62" s="50">
        <f t="shared" si="675"/>
        <v>159.88</v>
      </c>
      <c r="BK62" s="50">
        <f t="shared" si="675"/>
        <v>159.88</v>
      </c>
      <c r="BL62" s="50">
        <f t="shared" si="675"/>
        <v>159.88</v>
      </c>
      <c r="BM62" s="50">
        <f t="shared" si="675"/>
        <v>159.88</v>
      </c>
      <c r="BN62" s="50">
        <f t="shared" si="675"/>
        <v>159.88</v>
      </c>
      <c r="BO62" s="50">
        <f t="shared" si="675"/>
        <v>159.88</v>
      </c>
      <c r="BP62" s="50">
        <f t="shared" si="675"/>
        <v>159.88</v>
      </c>
      <c r="BQ62" s="50">
        <f t="shared" si="675"/>
        <v>159.88</v>
      </c>
      <c r="BR62" s="50">
        <f t="shared" si="675"/>
        <v>159.88</v>
      </c>
      <c r="BS62" s="50">
        <f t="shared" si="675"/>
        <v>159.88</v>
      </c>
      <c r="BT62" s="50">
        <f t="shared" si="675"/>
        <v>159.88</v>
      </c>
      <c r="BU62" s="50">
        <f t="shared" si="675"/>
        <v>159.88</v>
      </c>
      <c r="BV62" s="50">
        <f>+BW62</f>
        <v>159.88</v>
      </c>
      <c r="BW62" s="50">
        <f>+'QTR Raw'!AS50</f>
        <v>159.88</v>
      </c>
      <c r="BX62" s="50">
        <f>+'QTR Raw'!AT50</f>
        <v>160.08000000000001</v>
      </c>
      <c r="BY62" s="50">
        <f>+'QTR Raw'!AU50</f>
        <v>160.19999999999999</v>
      </c>
      <c r="BZ62" s="51">
        <f t="shared" ref="BZ62:CO62" si="676">BZ103</f>
        <v>160.19999999999999</v>
      </c>
      <c r="CA62" s="51">
        <f t="shared" si="676"/>
        <v>160.19999999999999</v>
      </c>
      <c r="CB62" s="51">
        <f t="shared" si="676"/>
        <v>160.19999999999999</v>
      </c>
      <c r="CC62" s="51">
        <f t="shared" si="676"/>
        <v>160.19999999999999</v>
      </c>
      <c r="CD62" s="51">
        <f t="shared" si="676"/>
        <v>160.19999999999999</v>
      </c>
      <c r="CE62" s="51">
        <f t="shared" si="676"/>
        <v>160.19999999999999</v>
      </c>
      <c r="CF62" s="51">
        <f t="shared" si="676"/>
        <v>160.19999999999999</v>
      </c>
      <c r="CG62" s="51">
        <f t="shared" si="676"/>
        <v>160.19999999999999</v>
      </c>
      <c r="CH62" s="51">
        <f t="shared" si="676"/>
        <v>160.19999999999999</v>
      </c>
      <c r="CI62" s="51">
        <f t="shared" si="676"/>
        <v>160.19999999999999</v>
      </c>
      <c r="CJ62" s="51">
        <f t="shared" si="676"/>
        <v>160.19999999999999</v>
      </c>
      <c r="CK62" s="51">
        <f t="shared" si="676"/>
        <v>160.19999999999999</v>
      </c>
      <c r="CL62" s="51">
        <f t="shared" si="676"/>
        <v>160.19999999999999</v>
      </c>
      <c r="CM62" s="51">
        <f t="shared" si="676"/>
        <v>160.19999999999999</v>
      </c>
      <c r="CN62" s="51">
        <f t="shared" si="676"/>
        <v>160.19999999999999</v>
      </c>
      <c r="CO62" s="51">
        <f t="shared" si="676"/>
        <v>160.19999999999999</v>
      </c>
      <c r="CT62" s="50">
        <v>160.19999999999999</v>
      </c>
    </row>
    <row r="63" spans="1:98" s="50" customFormat="1" x14ac:dyDescent="0.2">
      <c r="A63" s="50" t="s">
        <v>33</v>
      </c>
      <c r="B63" s="50">
        <f t="shared" ref="B63:Y63" si="677">+C63</f>
        <v>10</v>
      </c>
      <c r="C63" s="50">
        <f t="shared" si="677"/>
        <v>10</v>
      </c>
      <c r="D63" s="50">
        <f t="shared" si="677"/>
        <v>10</v>
      </c>
      <c r="E63" s="50">
        <f t="shared" si="677"/>
        <v>10</v>
      </c>
      <c r="F63" s="50">
        <f t="shared" si="677"/>
        <v>10</v>
      </c>
      <c r="G63" s="50">
        <f t="shared" si="677"/>
        <v>10</v>
      </c>
      <c r="H63" s="50">
        <f t="shared" si="677"/>
        <v>10</v>
      </c>
      <c r="I63" s="50">
        <f t="shared" si="677"/>
        <v>10</v>
      </c>
      <c r="J63" s="50">
        <f t="shared" si="677"/>
        <v>10</v>
      </c>
      <c r="K63" s="50">
        <f t="shared" si="677"/>
        <v>10</v>
      </c>
      <c r="L63" s="50">
        <f t="shared" si="677"/>
        <v>10</v>
      </c>
      <c r="M63" s="50">
        <f t="shared" si="677"/>
        <v>10</v>
      </c>
      <c r="N63" s="50">
        <f t="shared" si="677"/>
        <v>10</v>
      </c>
      <c r="O63" s="50">
        <f t="shared" si="677"/>
        <v>10</v>
      </c>
      <c r="P63" s="50">
        <f t="shared" si="677"/>
        <v>10</v>
      </c>
      <c r="Q63" s="50">
        <f t="shared" si="677"/>
        <v>10</v>
      </c>
      <c r="R63" s="50">
        <f t="shared" si="677"/>
        <v>10</v>
      </c>
      <c r="S63" s="50">
        <f t="shared" si="677"/>
        <v>10</v>
      </c>
      <c r="T63" s="50">
        <f t="shared" si="677"/>
        <v>10</v>
      </c>
      <c r="U63" s="50">
        <f t="shared" si="677"/>
        <v>10</v>
      </c>
      <c r="V63" s="50">
        <f t="shared" si="677"/>
        <v>10</v>
      </c>
      <c r="W63" s="50">
        <f t="shared" si="677"/>
        <v>10</v>
      </c>
      <c r="X63" s="50">
        <f t="shared" si="677"/>
        <v>10</v>
      </c>
      <c r="Y63" s="50">
        <f t="shared" si="677"/>
        <v>10</v>
      </c>
      <c r="Z63" s="50">
        <f>+AA63</f>
        <v>10</v>
      </c>
      <c r="AA63" s="50">
        <f>+AB63</f>
        <v>10</v>
      </c>
      <c r="AB63" s="51">
        <f>+CC63</f>
        <v>10</v>
      </c>
      <c r="AC63" s="51">
        <f>+CG63</f>
        <v>10</v>
      </c>
      <c r="AD63" s="51">
        <f>+CK63</f>
        <v>10</v>
      </c>
      <c r="AE63" s="51">
        <f>+CO63</f>
        <v>10</v>
      </c>
      <c r="AG63" s="64"/>
      <c r="AH63" s="50">
        <f t="shared" si="675"/>
        <v>10</v>
      </c>
      <c r="AI63" s="50">
        <f t="shared" si="675"/>
        <v>10</v>
      </c>
      <c r="AJ63" s="50">
        <f t="shared" si="675"/>
        <v>10</v>
      </c>
      <c r="AK63" s="50">
        <f t="shared" si="675"/>
        <v>10</v>
      </c>
      <c r="AL63" s="50">
        <f t="shared" si="675"/>
        <v>10</v>
      </c>
      <c r="AM63" s="50">
        <f t="shared" si="675"/>
        <v>10</v>
      </c>
      <c r="AN63" s="50">
        <f t="shared" si="675"/>
        <v>10</v>
      </c>
      <c r="AO63" s="50">
        <f t="shared" si="675"/>
        <v>10</v>
      </c>
      <c r="AP63" s="50">
        <f t="shared" si="675"/>
        <v>10</v>
      </c>
      <c r="AQ63" s="50">
        <f t="shared" si="675"/>
        <v>10</v>
      </c>
      <c r="AR63" s="50">
        <f t="shared" si="675"/>
        <v>10</v>
      </c>
      <c r="AS63" s="50">
        <f t="shared" si="675"/>
        <v>10</v>
      </c>
      <c r="AT63" s="50">
        <f t="shared" si="675"/>
        <v>10</v>
      </c>
      <c r="AU63" s="50">
        <f t="shared" si="675"/>
        <v>10</v>
      </c>
      <c r="AV63" s="50">
        <f t="shared" si="675"/>
        <v>10</v>
      </c>
      <c r="AW63" s="50">
        <f t="shared" si="675"/>
        <v>10</v>
      </c>
      <c r="AX63" s="50">
        <f t="shared" si="675"/>
        <v>10</v>
      </c>
      <c r="AY63" s="50">
        <f t="shared" si="675"/>
        <v>10</v>
      </c>
      <c r="AZ63" s="50">
        <f t="shared" si="675"/>
        <v>10</v>
      </c>
      <c r="BA63" s="50">
        <f t="shared" si="675"/>
        <v>10</v>
      </c>
      <c r="BB63" s="50">
        <f t="shared" si="675"/>
        <v>10</v>
      </c>
      <c r="BC63" s="50">
        <f t="shared" si="675"/>
        <v>10</v>
      </c>
      <c r="BD63" s="50">
        <f t="shared" si="675"/>
        <v>10</v>
      </c>
      <c r="BE63" s="50">
        <f t="shared" si="675"/>
        <v>10</v>
      </c>
      <c r="BF63" s="50">
        <f t="shared" si="675"/>
        <v>10</v>
      </c>
      <c r="BG63" s="50">
        <f t="shared" si="675"/>
        <v>10</v>
      </c>
      <c r="BH63" s="50">
        <f t="shared" si="675"/>
        <v>10</v>
      </c>
      <c r="BI63" s="50">
        <f t="shared" si="675"/>
        <v>10</v>
      </c>
      <c r="BJ63" s="50">
        <f t="shared" si="675"/>
        <v>10</v>
      </c>
      <c r="BK63" s="50">
        <f t="shared" si="675"/>
        <v>10</v>
      </c>
      <c r="BL63" s="50">
        <f t="shared" si="675"/>
        <v>10</v>
      </c>
      <c r="BM63" s="50">
        <f t="shared" si="675"/>
        <v>10</v>
      </c>
      <c r="BN63" s="50">
        <f t="shared" si="675"/>
        <v>10</v>
      </c>
      <c r="BO63" s="50">
        <f t="shared" si="675"/>
        <v>10</v>
      </c>
      <c r="BP63" s="50">
        <f t="shared" si="675"/>
        <v>10</v>
      </c>
      <c r="BQ63" s="50">
        <f t="shared" si="675"/>
        <v>10</v>
      </c>
      <c r="BR63" s="50">
        <f t="shared" si="675"/>
        <v>10</v>
      </c>
      <c r="BS63" s="50">
        <f t="shared" si="675"/>
        <v>10</v>
      </c>
      <c r="BT63" s="50">
        <f t="shared" si="675"/>
        <v>10</v>
      </c>
      <c r="BU63" s="50">
        <f t="shared" si="675"/>
        <v>10</v>
      </c>
      <c r="BV63" s="50">
        <f>+BW63</f>
        <v>10</v>
      </c>
      <c r="BW63" s="50">
        <f>+'QTR Raw'!AS51</f>
        <v>10</v>
      </c>
      <c r="BX63" s="50">
        <f>+'QTR Raw'!AT51</f>
        <v>10</v>
      </c>
      <c r="BY63" s="50">
        <f>+'QTR Raw'!AU51</f>
        <v>10</v>
      </c>
      <c r="BZ63" s="51">
        <f t="shared" ref="BZ63:CO63" si="678">+BY63</f>
        <v>10</v>
      </c>
      <c r="CA63" s="51">
        <f t="shared" si="678"/>
        <v>10</v>
      </c>
      <c r="CB63" s="51">
        <f t="shared" si="678"/>
        <v>10</v>
      </c>
      <c r="CC63" s="51">
        <f t="shared" si="678"/>
        <v>10</v>
      </c>
      <c r="CD63" s="51">
        <f t="shared" si="678"/>
        <v>10</v>
      </c>
      <c r="CE63" s="51">
        <f t="shared" si="678"/>
        <v>10</v>
      </c>
      <c r="CF63" s="51">
        <f t="shared" si="678"/>
        <v>10</v>
      </c>
      <c r="CG63" s="51">
        <f t="shared" si="678"/>
        <v>10</v>
      </c>
      <c r="CH63" s="51">
        <f t="shared" si="678"/>
        <v>10</v>
      </c>
      <c r="CI63" s="51">
        <f t="shared" si="678"/>
        <v>10</v>
      </c>
      <c r="CJ63" s="51">
        <f t="shared" si="678"/>
        <v>10</v>
      </c>
      <c r="CK63" s="51">
        <f t="shared" si="678"/>
        <v>10</v>
      </c>
      <c r="CL63" s="51">
        <f t="shared" si="678"/>
        <v>10</v>
      </c>
      <c r="CM63" s="51">
        <f t="shared" si="678"/>
        <v>10</v>
      </c>
      <c r="CN63" s="51">
        <f t="shared" si="678"/>
        <v>10</v>
      </c>
      <c r="CO63" s="51">
        <f t="shared" si="678"/>
        <v>10</v>
      </c>
      <c r="CT63" s="50">
        <v>10</v>
      </c>
    </row>
    <row r="64" spans="1:98" s="43" customFormat="1" x14ac:dyDescent="0.2">
      <c r="A64" s="43" t="s">
        <v>41</v>
      </c>
      <c r="B64" s="43">
        <f t="shared" ref="B64:X64" si="679">B62/B63</f>
        <v>16.02</v>
      </c>
      <c r="C64" s="43">
        <f t="shared" si="679"/>
        <v>16.02</v>
      </c>
      <c r="D64" s="43">
        <f t="shared" si="679"/>
        <v>16.02</v>
      </c>
      <c r="E64" s="43">
        <f t="shared" si="679"/>
        <v>16.02</v>
      </c>
      <c r="F64" s="43">
        <f t="shared" si="679"/>
        <v>16.02</v>
      </c>
      <c r="G64" s="43">
        <f t="shared" si="679"/>
        <v>16.02</v>
      </c>
      <c r="H64" s="43">
        <f t="shared" si="679"/>
        <v>16.02</v>
      </c>
      <c r="I64" s="43">
        <f t="shared" si="679"/>
        <v>16.02</v>
      </c>
      <c r="J64" s="43">
        <f t="shared" si="679"/>
        <v>16.02</v>
      </c>
      <c r="K64" s="43">
        <f t="shared" si="679"/>
        <v>16.02</v>
      </c>
      <c r="L64" s="43">
        <f t="shared" si="679"/>
        <v>16.02</v>
      </c>
      <c r="M64" s="43">
        <f t="shared" si="679"/>
        <v>16.02</v>
      </c>
      <c r="N64" s="43">
        <f t="shared" si="679"/>
        <v>16.02</v>
      </c>
      <c r="O64" s="43">
        <f t="shared" si="679"/>
        <v>16.02</v>
      </c>
      <c r="P64" s="43">
        <f t="shared" si="679"/>
        <v>16.02</v>
      </c>
      <c r="Q64" s="43">
        <f t="shared" si="679"/>
        <v>16.02</v>
      </c>
      <c r="R64" s="43">
        <f t="shared" si="679"/>
        <v>16.02</v>
      </c>
      <c r="S64" s="43">
        <f t="shared" si="679"/>
        <v>16.02</v>
      </c>
      <c r="T64" s="43">
        <f t="shared" si="679"/>
        <v>16.02</v>
      </c>
      <c r="U64" s="43">
        <f t="shared" si="679"/>
        <v>16.02</v>
      </c>
      <c r="V64" s="43">
        <f t="shared" si="679"/>
        <v>16.02</v>
      </c>
      <c r="W64" s="43">
        <f t="shared" si="679"/>
        <v>16.02</v>
      </c>
      <c r="X64" s="43">
        <f t="shared" si="679"/>
        <v>16.02</v>
      </c>
      <c r="Y64" s="43">
        <f t="shared" ref="Y64" si="680">Y62/Y63</f>
        <v>16.02</v>
      </c>
      <c r="Z64" s="43">
        <f t="shared" ref="Z64:AA64" si="681">Z62/Z63</f>
        <v>16.02</v>
      </c>
      <c r="AA64" s="43">
        <f t="shared" ref="AA64" si="682">AA62/AA63</f>
        <v>16.02</v>
      </c>
      <c r="AB64" s="44">
        <f t="shared" ref="AB64" si="683">AB62/AB63</f>
        <v>16.02</v>
      </c>
      <c r="AC64" s="44">
        <f t="shared" ref="AC64" si="684">AC62/AC63</f>
        <v>16.02</v>
      </c>
      <c r="AD64" s="44">
        <f t="shared" ref="AD64" si="685">AD62/AD63</f>
        <v>16.02</v>
      </c>
      <c r="AE64" s="44">
        <f t="shared" ref="AE64" si="686">AE62/AE63</f>
        <v>16.02</v>
      </c>
      <c r="AG64" s="62"/>
      <c r="AH64" s="43">
        <f t="shared" ref="AH64:AL64" si="687">AH62/AH63</f>
        <v>15.988</v>
      </c>
      <c r="AI64" s="43">
        <f t="shared" si="687"/>
        <v>15.988</v>
      </c>
      <c r="AJ64" s="43">
        <f t="shared" si="687"/>
        <v>15.988</v>
      </c>
      <c r="AK64" s="43">
        <f t="shared" si="687"/>
        <v>15.988</v>
      </c>
      <c r="AL64" s="43">
        <f t="shared" si="687"/>
        <v>15.988</v>
      </c>
      <c r="AM64" s="43">
        <f t="shared" ref="AM64" si="688">AM62/AM63</f>
        <v>15.988</v>
      </c>
      <c r="AN64" s="43">
        <f t="shared" ref="AN64" si="689">AN62/AN63</f>
        <v>15.988</v>
      </c>
      <c r="AO64" s="43">
        <f t="shared" ref="AO64" si="690">AO62/AO63</f>
        <v>15.988</v>
      </c>
      <c r="AP64" s="43">
        <f t="shared" ref="AP64" si="691">AP62/AP63</f>
        <v>15.988</v>
      </c>
      <c r="AQ64" s="43">
        <f t="shared" ref="AQ64" si="692">AQ62/AQ63</f>
        <v>15.988</v>
      </c>
      <c r="AR64" s="43">
        <f t="shared" ref="AR64" si="693">AR62/AR63</f>
        <v>15.988</v>
      </c>
      <c r="AS64" s="43">
        <f t="shared" ref="AS64" si="694">AS62/AS63</f>
        <v>15.988</v>
      </c>
      <c r="AT64" s="43">
        <f t="shared" ref="AT64" si="695">AT62/AT63</f>
        <v>15.988</v>
      </c>
      <c r="AU64" s="43">
        <f t="shared" ref="AU64" si="696">AU62/AU63</f>
        <v>15.988</v>
      </c>
      <c r="AV64" s="43">
        <f t="shared" ref="AV64:AW64" si="697">AV62/AV63</f>
        <v>15.988</v>
      </c>
      <c r="AW64" s="43">
        <f t="shared" si="697"/>
        <v>15.988</v>
      </c>
      <c r="AX64" s="43">
        <f t="shared" ref="AX64:BB64" si="698">AX62/AX63</f>
        <v>15.988</v>
      </c>
      <c r="AY64" s="43">
        <f t="shared" si="698"/>
        <v>15.988</v>
      </c>
      <c r="AZ64" s="43">
        <f t="shared" si="698"/>
        <v>15.988</v>
      </c>
      <c r="BA64" s="43">
        <f t="shared" si="698"/>
        <v>15.988</v>
      </c>
      <c r="BB64" s="43">
        <f t="shared" si="698"/>
        <v>15.988</v>
      </c>
      <c r="BC64" s="43">
        <f t="shared" ref="BC64:BG64" si="699">BC62/BC63</f>
        <v>15.988</v>
      </c>
      <c r="BD64" s="43">
        <f t="shared" si="699"/>
        <v>15.988</v>
      </c>
      <c r="BE64" s="43">
        <f t="shared" si="699"/>
        <v>15.988</v>
      </c>
      <c r="BF64" s="43">
        <f t="shared" si="699"/>
        <v>15.988</v>
      </c>
      <c r="BG64" s="43">
        <f t="shared" si="699"/>
        <v>15.988</v>
      </c>
      <c r="BH64" s="43">
        <f t="shared" ref="BH64:BJ64" si="700">BH62/BH63</f>
        <v>15.988</v>
      </c>
      <c r="BI64" s="43">
        <f t="shared" si="700"/>
        <v>15.988</v>
      </c>
      <c r="BJ64" s="43">
        <f t="shared" si="700"/>
        <v>15.988</v>
      </c>
      <c r="BK64" s="43">
        <f t="shared" ref="BK64" si="701">BK62/BK63</f>
        <v>15.988</v>
      </c>
      <c r="BL64" s="43">
        <f t="shared" ref="BL64:BM64" si="702">BL62/BL63</f>
        <v>15.988</v>
      </c>
      <c r="BM64" s="43">
        <f t="shared" si="702"/>
        <v>15.988</v>
      </c>
      <c r="BN64" s="43">
        <f t="shared" ref="BN64:BO64" si="703">BN62/BN63</f>
        <v>15.988</v>
      </c>
      <c r="BO64" s="43">
        <f t="shared" si="703"/>
        <v>15.988</v>
      </c>
      <c r="BP64" s="43">
        <f t="shared" ref="BP64:BQ64" si="704">BP62/BP63</f>
        <v>15.988</v>
      </c>
      <c r="BQ64" s="43">
        <f t="shared" si="704"/>
        <v>15.988</v>
      </c>
      <c r="BR64" s="43">
        <f t="shared" ref="BR64" si="705">BR62/BR63</f>
        <v>15.988</v>
      </c>
      <c r="BS64" s="43">
        <f t="shared" ref="BS64:BT64" si="706">BS62/BS63</f>
        <v>15.988</v>
      </c>
      <c r="BT64" s="43">
        <f t="shared" si="706"/>
        <v>15.988</v>
      </c>
      <c r="BU64" s="43">
        <f t="shared" ref="BU64" si="707">BU62/BU63</f>
        <v>15.988</v>
      </c>
      <c r="BV64" s="43">
        <f t="shared" ref="BV64" si="708">BV62/BV63</f>
        <v>15.988</v>
      </c>
      <c r="BW64" s="43">
        <f t="shared" ref="BW64:BX64" si="709">BW62/BW63</f>
        <v>15.988</v>
      </c>
      <c r="BX64" s="43">
        <f t="shared" si="709"/>
        <v>16.008000000000003</v>
      </c>
      <c r="BY64" s="43">
        <f t="shared" ref="BY64" si="710">BY62/BY63</f>
        <v>16.02</v>
      </c>
      <c r="BZ64" s="44">
        <f t="shared" ref="BZ64:CC64" si="711">BZ62/BZ63</f>
        <v>16.02</v>
      </c>
      <c r="CA64" s="44">
        <f t="shared" si="711"/>
        <v>16.02</v>
      </c>
      <c r="CB64" s="44">
        <f t="shared" si="711"/>
        <v>16.02</v>
      </c>
      <c r="CC64" s="44">
        <f t="shared" si="711"/>
        <v>16.02</v>
      </c>
      <c r="CD64" s="44">
        <f t="shared" ref="CD64:CO64" si="712">CD62/CD63</f>
        <v>16.02</v>
      </c>
      <c r="CE64" s="44">
        <f t="shared" si="712"/>
        <v>16.02</v>
      </c>
      <c r="CF64" s="44">
        <f t="shared" si="712"/>
        <v>16.02</v>
      </c>
      <c r="CG64" s="44">
        <f t="shared" si="712"/>
        <v>16.02</v>
      </c>
      <c r="CH64" s="44">
        <f t="shared" si="712"/>
        <v>16.02</v>
      </c>
      <c r="CI64" s="44">
        <f t="shared" si="712"/>
        <v>16.02</v>
      </c>
      <c r="CJ64" s="44">
        <f t="shared" si="712"/>
        <v>16.02</v>
      </c>
      <c r="CK64" s="44">
        <f t="shared" si="712"/>
        <v>16.02</v>
      </c>
      <c r="CL64" s="44">
        <f t="shared" si="712"/>
        <v>16.02</v>
      </c>
      <c r="CM64" s="44">
        <f t="shared" si="712"/>
        <v>16.02</v>
      </c>
      <c r="CN64" s="44">
        <f t="shared" si="712"/>
        <v>16.02</v>
      </c>
      <c r="CO64" s="44">
        <f t="shared" si="712"/>
        <v>16.02</v>
      </c>
      <c r="CT64" s="43">
        <v>16.02</v>
      </c>
    </row>
    <row r="65" spans="1:98" s="38" customFormat="1" x14ac:dyDescent="0.2">
      <c r="A65" s="38" t="s">
        <v>34</v>
      </c>
      <c r="B65" s="38">
        <f t="shared" ref="B65:X65" si="713">B56/B64</f>
        <v>0</v>
      </c>
      <c r="C65" s="38">
        <f t="shared" si="713"/>
        <v>0</v>
      </c>
      <c r="D65" s="38">
        <f t="shared" si="713"/>
        <v>0</v>
      </c>
      <c r="E65" s="38">
        <f t="shared" si="713"/>
        <v>0</v>
      </c>
      <c r="F65" s="38">
        <f t="shared" si="713"/>
        <v>0</v>
      </c>
      <c r="G65" s="38">
        <f t="shared" si="713"/>
        <v>0</v>
      </c>
      <c r="H65" s="38">
        <f t="shared" si="713"/>
        <v>0</v>
      </c>
      <c r="I65" s="38">
        <f t="shared" si="713"/>
        <v>0</v>
      </c>
      <c r="J65" s="38">
        <f t="shared" si="713"/>
        <v>3.0237284644194805E-2</v>
      </c>
      <c r="K65" s="38">
        <f t="shared" si="713"/>
        <v>5.9029107365792692E-2</v>
      </c>
      <c r="L65" s="38">
        <f t="shared" si="713"/>
        <v>0.21911202871410834</v>
      </c>
      <c r="M65" s="38">
        <f t="shared" si="713"/>
        <v>-0.18118858302122376</v>
      </c>
      <c r="N65" s="38">
        <f t="shared" si="713"/>
        <v>0.52796064294631706</v>
      </c>
      <c r="O65" s="38">
        <f t="shared" si="713"/>
        <v>1.155367640449438</v>
      </c>
      <c r="P65" s="38">
        <f t="shared" si="713"/>
        <v>3.0871291822721614</v>
      </c>
      <c r="Q65" s="38">
        <f t="shared" si="713"/>
        <v>5.2294707240948801</v>
      </c>
      <c r="R65" s="38">
        <f t="shared" si="713"/>
        <v>4.697567228464421</v>
      </c>
      <c r="S65" s="38">
        <f t="shared" si="713"/>
        <v>13.263420724094887</v>
      </c>
      <c r="T65" s="38">
        <f t="shared" si="713"/>
        <v>20.084893882646686</v>
      </c>
      <c r="U65" s="38">
        <f t="shared" si="713"/>
        <v>20.443196004993773</v>
      </c>
      <c r="V65" s="38">
        <f t="shared" si="713"/>
        <v>8.8882646691635365</v>
      </c>
      <c r="W65" s="38">
        <f t="shared" si="713"/>
        <v>22.039950062421955</v>
      </c>
      <c r="X65" s="38">
        <f t="shared" si="713"/>
        <v>51.562421972534338</v>
      </c>
      <c r="Y65" s="38">
        <f t="shared" ref="Y65" si="714">Y56/Y64</f>
        <v>90.25780274656681</v>
      </c>
      <c r="Z65" s="38">
        <f t="shared" ref="Z65:AA65" si="715">Z56/Z64</f>
        <v>33.171036204744048</v>
      </c>
      <c r="AA65" s="38">
        <f t="shared" ref="AA65" si="716">AA56/AA64</f>
        <v>48.541822721597995</v>
      </c>
      <c r="AB65" s="39">
        <f t="shared" ref="AB65" si="717">AB56/AB64</f>
        <v>95.581942350433508</v>
      </c>
      <c r="AC65" s="39">
        <f t="shared" ref="AC65" si="718">AC56/AC64</f>
        <v>129.42236987293688</v>
      </c>
      <c r="AD65" s="39">
        <f t="shared" ref="AD65" si="719">AD56/AD64</f>
        <v>152.67144014748706</v>
      </c>
      <c r="AE65" s="39">
        <f t="shared" ref="AE65" si="720">AE56/AE64</f>
        <v>176.24437786094762</v>
      </c>
      <c r="AG65" s="60"/>
      <c r="AH65" s="38">
        <f t="shared" ref="AH65:AL65" si="721">AH56/AH64</f>
        <v>0</v>
      </c>
      <c r="AI65" s="38">
        <f t="shared" si="721"/>
        <v>0</v>
      </c>
      <c r="AJ65" s="38">
        <f t="shared" si="721"/>
        <v>0</v>
      </c>
      <c r="AK65" s="38">
        <f t="shared" si="721"/>
        <v>0</v>
      </c>
      <c r="AL65" s="38">
        <f t="shared" si="721"/>
        <v>0</v>
      </c>
      <c r="AM65" s="38">
        <f t="shared" ref="AM65" si="722">AM56/AM64</f>
        <v>0</v>
      </c>
      <c r="AN65" s="38">
        <f t="shared" ref="AN65" si="723">AN56/AN64</f>
        <v>0</v>
      </c>
      <c r="AO65" s="38">
        <f t="shared" ref="AO65" si="724">AO56/AO64</f>
        <v>0</v>
      </c>
      <c r="AP65" s="38">
        <f t="shared" ref="AP65" si="725">AP56/AP64</f>
        <v>0</v>
      </c>
      <c r="AQ65" s="38">
        <f t="shared" ref="AQ65" si="726">AQ56/AQ64</f>
        <v>3.817237928446334</v>
      </c>
      <c r="AR65" s="38">
        <f t="shared" ref="AR65" si="727">AR56/AR64</f>
        <v>4.0255191393545164</v>
      </c>
      <c r="AS65" s="38">
        <f t="shared" ref="AS65" si="728">AS56/AS64</f>
        <v>4.4852389291968953</v>
      </c>
      <c r="AT65" s="38">
        <f t="shared" ref="AT65" si="729">AT56/AT64</f>
        <v>4.5171378533900421</v>
      </c>
      <c r="AU65" s="38">
        <f t="shared" ref="AU65" si="730">AU56/AU64</f>
        <v>4.5946960220165156</v>
      </c>
      <c r="AV65" s="38">
        <f t="shared" ref="AV65:AW65" si="731">AV56/AV64</f>
        <v>6.2384288216162114</v>
      </c>
      <c r="AW65" s="38">
        <f t="shared" si="731"/>
        <v>4.77295471603703</v>
      </c>
      <c r="AX65" s="38">
        <f t="shared" ref="AX65:BB65" si="732">AX56/AX64</f>
        <v>5.9938704028020995</v>
      </c>
      <c r="AY65" s="38">
        <f t="shared" si="732"/>
        <v>6.3097322992244207</v>
      </c>
      <c r="AZ65" s="38">
        <f t="shared" si="732"/>
        <v>6.7544408306229684</v>
      </c>
      <c r="BA65" s="38">
        <f t="shared" si="732"/>
        <v>1.8038528896672492</v>
      </c>
      <c r="BB65" s="38">
        <f t="shared" si="732"/>
        <v>4.5033775331498589</v>
      </c>
      <c r="BC65" s="38">
        <f t="shared" ref="BC65:BF65" si="733">BC56/BC64</f>
        <v>4.9543407555666708</v>
      </c>
      <c r="BD65" s="38">
        <f t="shared" si="733"/>
        <v>-4.8342506880160121</v>
      </c>
      <c r="BE65" s="38">
        <f t="shared" si="733"/>
        <v>4.8079809857393032</v>
      </c>
      <c r="BF65" s="38">
        <f t="shared" si="733"/>
        <v>1.4066800100075023</v>
      </c>
      <c r="BG65" s="38">
        <f t="shared" ref="BG65:BH65" si="734">BG56/BG64</f>
        <v>3.9761070803102303</v>
      </c>
      <c r="BH65" s="38">
        <f t="shared" si="734"/>
        <v>7.4943707780835611</v>
      </c>
      <c r="BI65" s="38">
        <f t="shared" ref="BI65:BJ65" si="735">BI56/BI64</f>
        <v>9.9530898173630256</v>
      </c>
      <c r="BJ65" s="38">
        <f t="shared" si="735"/>
        <v>8.665874405804356</v>
      </c>
      <c r="BK65" s="38">
        <f t="shared" ref="BK65" si="736">BK56/BK64</f>
        <v>10.955091318488869</v>
      </c>
      <c r="BL65" s="38">
        <f t="shared" ref="BL65:BM65" si="737">BL56/BL64</f>
        <v>13.495121341005762</v>
      </c>
      <c r="BM65" s="38">
        <f t="shared" si="737"/>
        <v>18.549537152864655</v>
      </c>
      <c r="BN65" s="38">
        <f t="shared" ref="BN65:BO65" si="738">BN56/BN64</f>
        <v>21.795096322241683</v>
      </c>
      <c r="BO65" s="38">
        <f t="shared" si="738"/>
        <v>21.706279709782343</v>
      </c>
      <c r="BP65" s="38">
        <f t="shared" ref="BP65:BQ65" si="739">BP56/BP64</f>
        <v>22.10032524393295</v>
      </c>
      <c r="BQ65" s="38">
        <f t="shared" si="739"/>
        <v>24.836127095321494</v>
      </c>
      <c r="BR65" s="38">
        <f t="shared" ref="BR65" si="740">BR56/BR64</f>
        <v>24.872404303227412</v>
      </c>
      <c r="BS65" s="38">
        <f t="shared" ref="BS65:BT65" si="741">BS56/BS64</f>
        <v>11.63747810858143</v>
      </c>
      <c r="BT65" s="38">
        <f t="shared" si="741"/>
        <v>-6.224668501376029</v>
      </c>
      <c r="BU65" s="38">
        <f t="shared" ref="BU65" si="742">BU56/BU64</f>
        <v>2.9528396297223019</v>
      </c>
      <c r="BV65" s="38">
        <f t="shared" ref="BV65" si="743">BV56/BV64</f>
        <v>3.7646985238929203</v>
      </c>
      <c r="BW65" s="38">
        <f t="shared" ref="BW65:BX65" si="744">BW56/BW64</f>
        <v>7.8690267700775571</v>
      </c>
      <c r="BX65" s="38">
        <f t="shared" si="744"/>
        <v>15.747751124437794</v>
      </c>
      <c r="BY65" s="38">
        <f t="shared" ref="BY65" si="745">BY56/BY64</f>
        <v>21.195380774032458</v>
      </c>
      <c r="BZ65" s="39">
        <f t="shared" ref="BZ65:CC65" si="746">BZ56/BZ64</f>
        <v>17.846750244736366</v>
      </c>
      <c r="CA65" s="39">
        <f t="shared" si="746"/>
        <v>23.957710726781471</v>
      </c>
      <c r="CB65" s="39">
        <f t="shared" si="746"/>
        <v>25.575932860347613</v>
      </c>
      <c r="CC65" s="39">
        <f t="shared" si="746"/>
        <v>28.201548518568085</v>
      </c>
      <c r="CD65" s="39">
        <f t="shared" ref="CD65:CO65" si="747">CD56/CD64</f>
        <v>28.643215639573185</v>
      </c>
      <c r="CE65" s="39">
        <f t="shared" si="747"/>
        <v>32.061548226750602</v>
      </c>
      <c r="CF65" s="39">
        <f t="shared" si="747"/>
        <v>33.401897061860467</v>
      </c>
      <c r="CG65" s="39">
        <f t="shared" si="747"/>
        <v>35.3157089447526</v>
      </c>
      <c r="CH65" s="39">
        <f t="shared" si="747"/>
        <v>36.009930825890784</v>
      </c>
      <c r="CI65" s="39">
        <f t="shared" si="747"/>
        <v>38.251315991933026</v>
      </c>
      <c r="CJ65" s="39">
        <f t="shared" si="747"/>
        <v>38.7053579867259</v>
      </c>
      <c r="CK65" s="39">
        <f t="shared" si="747"/>
        <v>39.704835342937386</v>
      </c>
      <c r="CL65" s="39">
        <f t="shared" si="747"/>
        <v>42.096302297515436</v>
      </c>
      <c r="CM65" s="39">
        <f t="shared" si="747"/>
        <v>44.128894609397101</v>
      </c>
      <c r="CN65" s="39">
        <f t="shared" si="747"/>
        <v>44.448083906001756</v>
      </c>
      <c r="CO65" s="39">
        <f t="shared" si="747"/>
        <v>45.57109704803343</v>
      </c>
      <c r="CT65" s="38">
        <v>48.541822721598038</v>
      </c>
    </row>
    <row r="66" spans="1:98" s="43" customFormat="1" x14ac:dyDescent="0.2">
      <c r="A66" s="43" t="s">
        <v>42</v>
      </c>
      <c r="B66" s="43">
        <f t="shared" ref="B66:AB66" si="748">+B65</f>
        <v>0</v>
      </c>
      <c r="C66" s="43">
        <f t="shared" si="748"/>
        <v>0</v>
      </c>
      <c r="D66" s="43">
        <f t="shared" si="748"/>
        <v>0</v>
      </c>
      <c r="E66" s="43">
        <f t="shared" si="748"/>
        <v>0</v>
      </c>
      <c r="F66" s="43">
        <f t="shared" si="748"/>
        <v>0</v>
      </c>
      <c r="G66" s="43">
        <f t="shared" si="748"/>
        <v>0</v>
      </c>
      <c r="H66" s="43">
        <f t="shared" si="748"/>
        <v>0</v>
      </c>
      <c r="I66" s="43">
        <f t="shared" si="748"/>
        <v>0</v>
      </c>
      <c r="J66" s="43">
        <f t="shared" si="748"/>
        <v>3.0237284644194805E-2</v>
      </c>
      <c r="K66" s="43">
        <f t="shared" si="748"/>
        <v>5.9029107365792692E-2</v>
      </c>
      <c r="L66" s="43">
        <f t="shared" si="748"/>
        <v>0.21911202871410834</v>
      </c>
      <c r="M66" s="43">
        <f t="shared" si="748"/>
        <v>-0.18118858302122376</v>
      </c>
      <c r="N66" s="43">
        <f t="shared" si="748"/>
        <v>0.52796064294631706</v>
      </c>
      <c r="O66" s="43">
        <f t="shared" si="748"/>
        <v>1.155367640449438</v>
      </c>
      <c r="P66" s="43">
        <f t="shared" si="748"/>
        <v>3.0871291822721614</v>
      </c>
      <c r="Q66" s="43">
        <f t="shared" si="748"/>
        <v>5.2294707240948801</v>
      </c>
      <c r="R66" s="43">
        <f t="shared" si="748"/>
        <v>4.697567228464421</v>
      </c>
      <c r="S66" s="43">
        <f t="shared" si="748"/>
        <v>13.263420724094887</v>
      </c>
      <c r="T66" s="43">
        <f t="shared" si="748"/>
        <v>20.084893882646686</v>
      </c>
      <c r="U66" s="43">
        <f t="shared" si="748"/>
        <v>20.443196004993773</v>
      </c>
      <c r="V66" s="43">
        <f t="shared" si="748"/>
        <v>8.8882646691635365</v>
      </c>
      <c r="W66" s="43">
        <f t="shared" si="748"/>
        <v>22.039950062421955</v>
      </c>
      <c r="X66" s="43">
        <f t="shared" si="748"/>
        <v>51.562421972534338</v>
      </c>
      <c r="Y66" s="43">
        <f t="shared" si="748"/>
        <v>90.25780274656681</v>
      </c>
      <c r="Z66" s="43">
        <f t="shared" si="748"/>
        <v>33.171036204744048</v>
      </c>
      <c r="AA66" s="43">
        <f t="shared" ref="AA66" si="749">+AA65</f>
        <v>48.541822721597995</v>
      </c>
      <c r="AB66" s="44">
        <f t="shared" si="748"/>
        <v>95.581942350433508</v>
      </c>
      <c r="AC66" s="44">
        <f t="shared" ref="AC66" si="750">+AC65</f>
        <v>129.42236987293688</v>
      </c>
      <c r="AD66" s="44">
        <f t="shared" ref="AD66" si="751">+AD65</f>
        <v>152.67144014748706</v>
      </c>
      <c r="AE66" s="44">
        <f t="shared" ref="AE66" si="752">+AE65</f>
        <v>176.24437786094762</v>
      </c>
      <c r="AG66" s="62"/>
      <c r="AO66" s="43">
        <f>AO65+AN65+AM65+AL65</f>
        <v>0</v>
      </c>
      <c r="AP66" s="43">
        <f t="shared" ref="AP66:AV66" si="753">AP65+AO65+AN65+AM65</f>
        <v>0</v>
      </c>
      <c r="AQ66" s="43">
        <f t="shared" si="753"/>
        <v>3.817237928446334</v>
      </c>
      <c r="AR66" s="43">
        <f t="shared" si="753"/>
        <v>7.84275706780085</v>
      </c>
      <c r="AS66" s="43">
        <f t="shared" si="753"/>
        <v>12.327995996997744</v>
      </c>
      <c r="AT66" s="43">
        <f t="shared" si="753"/>
        <v>16.845133850387789</v>
      </c>
      <c r="AU66" s="43">
        <f t="shared" si="753"/>
        <v>17.622591943957971</v>
      </c>
      <c r="AV66" s="43">
        <f t="shared" si="753"/>
        <v>19.835501626219667</v>
      </c>
      <c r="AW66" s="43">
        <f>AW65+AV65+AU65+AT65</f>
        <v>20.123217413059798</v>
      </c>
      <c r="AX66" s="43">
        <f t="shared" ref="AX66:BB66" si="754">AX65+AW65+AV65+AU65</f>
        <v>21.599949962471854</v>
      </c>
      <c r="AY66" s="43">
        <f t="shared" si="754"/>
        <v>23.314986239679762</v>
      </c>
      <c r="AZ66" s="43">
        <f t="shared" si="754"/>
        <v>23.83099824868652</v>
      </c>
      <c r="BA66" s="43">
        <f t="shared" si="754"/>
        <v>20.861896422316736</v>
      </c>
      <c r="BB66" s="43">
        <f t="shared" si="754"/>
        <v>19.371403552664496</v>
      </c>
      <c r="BC66" s="43">
        <f t="shared" ref="BC66" si="755">BC65+BB65+BA65+AZ65</f>
        <v>18.016012009006747</v>
      </c>
      <c r="BD66" s="43">
        <f t="shared" ref="BD66" si="756">BD65+BC65+BB65+BA65</f>
        <v>6.4273204903677668</v>
      </c>
      <c r="BE66" s="43">
        <f t="shared" ref="BE66" si="757">BE65+BD65+BC65+BB65</f>
        <v>9.4314485864398208</v>
      </c>
      <c r="BF66" s="43">
        <f t="shared" ref="BF66:BH66" si="758">BF65+BE65+BD65+BC65</f>
        <v>6.334751063297464</v>
      </c>
      <c r="BG66" s="43">
        <f t="shared" si="758"/>
        <v>5.3565173880410244</v>
      </c>
      <c r="BH66" s="43">
        <f t="shared" si="758"/>
        <v>17.685138854140597</v>
      </c>
      <c r="BI66" s="43">
        <f t="shared" ref="BI66" si="759">BI65+BH65+BG65+BF65</f>
        <v>22.830247685764316</v>
      </c>
      <c r="BJ66" s="43">
        <f t="shared" ref="BJ66:BK66" si="760">BJ65+BI65+BH65+BG65</f>
        <v>30.089442081561174</v>
      </c>
      <c r="BK66" s="43">
        <f t="shared" si="760"/>
        <v>37.068426319739814</v>
      </c>
      <c r="BL66" s="43">
        <f t="shared" ref="BL66" si="761">BL65+BK65+BJ65+BI65</f>
        <v>43.069176882662006</v>
      </c>
      <c r="BM66" s="43">
        <f t="shared" ref="BM66" si="762">BM65+BL65+BK65+BJ65</f>
        <v>51.665624218163643</v>
      </c>
      <c r="BN66" s="43">
        <f t="shared" ref="BN66" si="763">BN65+BM65+BL65+BK65</f>
        <v>64.794846134600959</v>
      </c>
      <c r="BO66" s="43">
        <f t="shared" ref="BO66" si="764">BO65+BN65+BM65+BL65</f>
        <v>75.546034525894441</v>
      </c>
      <c r="BP66" s="43">
        <f t="shared" ref="BP66" si="765">BP65+BO65+BN65+BM65</f>
        <v>84.151238428821628</v>
      </c>
      <c r="BQ66" s="43">
        <f t="shared" ref="BQ66" si="766">BQ65+BP65+BO65+BN65</f>
        <v>90.437828371278471</v>
      </c>
      <c r="BR66" s="43">
        <f t="shared" ref="BR66" si="767">BR65+BQ65+BP65+BO65</f>
        <v>93.515136352264193</v>
      </c>
      <c r="BS66" s="43">
        <f t="shared" ref="BS66" si="768">BS65+BR65+BQ65+BP65</f>
        <v>83.44633475106329</v>
      </c>
      <c r="BT66" s="43">
        <f t="shared" ref="BT66:BU66" si="769">BT65+BS65+BR65+BQ65</f>
        <v>55.121341005754303</v>
      </c>
      <c r="BU66" s="43">
        <f t="shared" si="769"/>
        <v>33.238053540155114</v>
      </c>
      <c r="BV66" s="43">
        <f t="shared" ref="BV66:BY66" si="770">BV65+BU65+BT65+BS65</f>
        <v>12.130347760820623</v>
      </c>
      <c r="BW66" s="43">
        <f t="shared" si="770"/>
        <v>8.3618964223167502</v>
      </c>
      <c r="BX66" s="43">
        <f t="shared" si="770"/>
        <v>30.334316048130574</v>
      </c>
      <c r="BY66" s="43">
        <f t="shared" si="770"/>
        <v>48.576857192440727</v>
      </c>
      <c r="BZ66" s="44">
        <f t="shared" ref="BZ66" si="771">BZ65+BY65+BX65+BW65</f>
        <v>62.658908913284179</v>
      </c>
      <c r="CA66" s="44">
        <f t="shared" ref="CA66" si="772">CA65+BZ65+BY65+BX65</f>
        <v>78.747592869988097</v>
      </c>
      <c r="CB66" s="44">
        <f t="shared" ref="CB66" si="773">CB65+CA65+BZ65+BY65</f>
        <v>88.575774605897905</v>
      </c>
      <c r="CC66" s="44">
        <f t="shared" ref="CC66" si="774">CC65+CB65+CA65+BZ65</f>
        <v>95.581942350433536</v>
      </c>
      <c r="CD66" s="44">
        <f t="shared" ref="CD66" si="775">CD65+CC65+CB65+CA65</f>
        <v>106.37840774527035</v>
      </c>
      <c r="CE66" s="44">
        <f t="shared" ref="CE66" si="776">CE65+CD65+CC65+CB65</f>
        <v>114.48224524523948</v>
      </c>
      <c r="CF66" s="44">
        <f t="shared" ref="CF66" si="777">CF65+CE65+CD65+CC65</f>
        <v>122.30820944675234</v>
      </c>
      <c r="CG66" s="44">
        <f t="shared" ref="CG66" si="778">CG65+CF65+CE65+CD65</f>
        <v>129.42236987293686</v>
      </c>
      <c r="CH66" s="44">
        <f t="shared" ref="CH66" si="779">CH65+CG65+CF65+CE65</f>
        <v>136.78908505925446</v>
      </c>
      <c r="CI66" s="44">
        <f t="shared" ref="CI66" si="780">CI65+CH65+CG65+CF65</f>
        <v>142.97885282443687</v>
      </c>
      <c r="CJ66" s="44">
        <f t="shared" ref="CJ66" si="781">CJ65+CI65+CH65+CG65</f>
        <v>148.28231374930232</v>
      </c>
      <c r="CK66" s="44">
        <f t="shared" ref="CK66" si="782">CK65+CJ65+CI65+CH65</f>
        <v>152.67144014748709</v>
      </c>
      <c r="CL66" s="44">
        <f t="shared" ref="CL66" si="783">CL65+CK65+CJ65+CI65</f>
        <v>158.75781161911175</v>
      </c>
      <c r="CM66" s="44">
        <f t="shared" ref="CM66" si="784">CM65+CL65+CK65+CJ65</f>
        <v>164.63539023657583</v>
      </c>
      <c r="CN66" s="44">
        <f t="shared" ref="CN66" si="785">CN65+CM65+CL65+CK65</f>
        <v>170.37811615585167</v>
      </c>
      <c r="CO66" s="44">
        <f t="shared" ref="CO66" si="786">CO65+CN65+CM65+CL65</f>
        <v>176.24437786094774</v>
      </c>
      <c r="CT66" s="43">
        <v>48.541822721598038</v>
      </c>
    </row>
    <row r="67" spans="1:98" s="121" customFormat="1" x14ac:dyDescent="0.2">
      <c r="A67" s="121" t="s">
        <v>184</v>
      </c>
      <c r="AB67" s="122"/>
      <c r="AC67" s="122"/>
      <c r="AD67" s="122"/>
      <c r="AE67" s="122"/>
      <c r="AG67" s="123"/>
      <c r="BZ67" s="122"/>
      <c r="CA67" s="122"/>
      <c r="CB67" s="122"/>
      <c r="CC67" s="122">
        <v>89.8</v>
      </c>
      <c r="CD67" s="122"/>
      <c r="CE67" s="122"/>
      <c r="CF67" s="122"/>
      <c r="CG67" s="122">
        <v>114.4</v>
      </c>
      <c r="CH67" s="122"/>
      <c r="CI67" s="122"/>
      <c r="CJ67" s="122"/>
      <c r="CK67" s="122"/>
      <c r="CL67" s="122"/>
      <c r="CM67" s="122"/>
      <c r="CN67" s="122"/>
      <c r="CO67" s="122"/>
    </row>
    <row r="68" spans="1:98" s="121" customFormat="1" x14ac:dyDescent="0.2">
      <c r="A68" s="121" t="s">
        <v>185</v>
      </c>
      <c r="AB68" s="122"/>
      <c r="AC68" s="122"/>
      <c r="AD68" s="122"/>
      <c r="AE68" s="122"/>
      <c r="AG68" s="123"/>
      <c r="BZ68" s="122"/>
      <c r="CA68" s="122"/>
      <c r="CB68" s="122"/>
      <c r="CC68" s="122">
        <f>+CC66/CC67-1</f>
        <v>6.4386885862288912E-2</v>
      </c>
      <c r="CD68" s="122"/>
      <c r="CE68" s="122"/>
      <c r="CF68" s="122"/>
      <c r="CG68" s="122">
        <f>+CG66/CG67-1</f>
        <v>0.13131442196623122</v>
      </c>
      <c r="CH68" s="122"/>
      <c r="CI68" s="122"/>
      <c r="CJ68" s="122"/>
      <c r="CK68" s="122"/>
      <c r="CL68" s="122"/>
      <c r="CM68" s="122"/>
      <c r="CN68" s="122"/>
      <c r="CO68" s="122"/>
    </row>
    <row r="69" spans="1:98" s="50" customFormat="1" x14ac:dyDescent="0.2">
      <c r="A69" s="50" t="s">
        <v>35</v>
      </c>
      <c r="B69" s="50">
        <f t="shared" ref="B69:AE69" si="787">B106/B64</f>
        <v>0</v>
      </c>
      <c r="C69" s="50">
        <f t="shared" si="787"/>
        <v>0</v>
      </c>
      <c r="D69" s="50">
        <f t="shared" si="787"/>
        <v>0</v>
      </c>
      <c r="E69" s="50">
        <f t="shared" si="787"/>
        <v>0</v>
      </c>
      <c r="F69" s="50">
        <f t="shared" si="787"/>
        <v>0</v>
      </c>
      <c r="G69" s="50">
        <f t="shared" si="787"/>
        <v>0</v>
      </c>
      <c r="H69" s="50">
        <f t="shared" si="787"/>
        <v>0</v>
      </c>
      <c r="I69" s="50">
        <f t="shared" si="787"/>
        <v>0</v>
      </c>
      <c r="J69" s="50">
        <f t="shared" si="787"/>
        <v>1.3606324781523096</v>
      </c>
      <c r="K69" s="50">
        <f t="shared" si="787"/>
        <v>3.1362658302122348</v>
      </c>
      <c r="L69" s="50">
        <f t="shared" si="787"/>
        <v>3.354254263420724</v>
      </c>
      <c r="M69" s="50">
        <f t="shared" si="787"/>
        <v>3.173065686641698</v>
      </c>
      <c r="N69" s="50">
        <f t="shared" si="787"/>
        <v>7.0218753370786517</v>
      </c>
      <c r="O69" s="50">
        <f t="shared" si="787"/>
        <v>13.174665074906367</v>
      </c>
      <c r="P69" s="50">
        <f t="shared" si="787"/>
        <v>23.776773813982526</v>
      </c>
      <c r="Q69" s="50">
        <f t="shared" si="787"/>
        <v>29.021204987515606</v>
      </c>
      <c r="R69" s="50">
        <f t="shared" si="787"/>
        <v>43.120895530586765</v>
      </c>
      <c r="S69" s="50">
        <f t="shared" si="787"/>
        <v>89.730337078651687</v>
      </c>
      <c r="T69" s="50">
        <f t="shared" si="787"/>
        <v>147.63171036204744</v>
      </c>
      <c r="U69" s="50">
        <f t="shared" si="787"/>
        <v>166.60923845193508</v>
      </c>
      <c r="V69" s="50">
        <f t="shared" si="787"/>
        <v>226.89200998751562</v>
      </c>
      <c r="W69" s="50">
        <f t="shared" si="787"/>
        <v>260.10674157303373</v>
      </c>
      <c r="X69" s="50">
        <f t="shared" si="787"/>
        <v>318.78526841448189</v>
      </c>
      <c r="Y69" s="50">
        <f t="shared" si="787"/>
        <v>410.10923845193508</v>
      </c>
      <c r="Z69" s="50">
        <f t="shared" si="787"/>
        <v>434.20349563046193</v>
      </c>
      <c r="AA69" s="50">
        <f t="shared" ref="AA69" si="788">AA106/AA64</f>
        <v>489.52684144818971</v>
      </c>
      <c r="AB69" s="51">
        <f t="shared" si="787"/>
        <v>585.11065645779945</v>
      </c>
      <c r="AC69" s="51">
        <f t="shared" si="787"/>
        <v>714.53302633073633</v>
      </c>
      <c r="AD69" s="51">
        <f t="shared" si="787"/>
        <v>867.20446647822337</v>
      </c>
      <c r="AE69" s="51">
        <f t="shared" si="787"/>
        <v>1043.448844339171</v>
      </c>
      <c r="AG69" s="64"/>
      <c r="AH69" s="50">
        <f t="shared" ref="AH69:BM69" si="789">AH106/AH64</f>
        <v>0</v>
      </c>
      <c r="AI69" s="50">
        <f t="shared" si="789"/>
        <v>0</v>
      </c>
      <c r="AJ69" s="50">
        <f t="shared" si="789"/>
        <v>0</v>
      </c>
      <c r="AK69" s="50">
        <f t="shared" si="789"/>
        <v>0</v>
      </c>
      <c r="AL69" s="50">
        <f t="shared" si="789"/>
        <v>0</v>
      </c>
      <c r="AM69" s="50">
        <f t="shared" si="789"/>
        <v>0</v>
      </c>
      <c r="AN69" s="50">
        <f t="shared" si="789"/>
        <v>0</v>
      </c>
      <c r="AO69" s="50">
        <f t="shared" si="789"/>
        <v>0</v>
      </c>
      <c r="AP69" s="50">
        <f t="shared" si="789"/>
        <v>0</v>
      </c>
      <c r="AQ69" s="50">
        <f t="shared" si="789"/>
        <v>0</v>
      </c>
      <c r="AR69" s="50">
        <f t="shared" si="789"/>
        <v>0</v>
      </c>
      <c r="AS69" s="50">
        <f t="shared" si="789"/>
        <v>89.909932449337006</v>
      </c>
      <c r="AT69" s="50">
        <f t="shared" si="789"/>
        <v>0</v>
      </c>
      <c r="AU69" s="50">
        <f t="shared" si="789"/>
        <v>138.42506880160121</v>
      </c>
      <c r="AV69" s="50">
        <f t="shared" si="789"/>
        <v>0</v>
      </c>
      <c r="AW69" s="50">
        <f t="shared" si="789"/>
        <v>147.92719539654743</v>
      </c>
      <c r="AX69" s="50">
        <f t="shared" si="789"/>
        <v>0</v>
      </c>
      <c r="AY69" s="50">
        <f t="shared" si="789"/>
        <v>159.81673755316487</v>
      </c>
      <c r="AZ69" s="50">
        <f t="shared" si="789"/>
        <v>0</v>
      </c>
      <c r="BA69" s="50">
        <f t="shared" si="789"/>
        <v>171.0170127595697</v>
      </c>
      <c r="BB69" s="50">
        <f t="shared" si="789"/>
        <v>0</v>
      </c>
      <c r="BC69" s="50">
        <f t="shared" si="789"/>
        <v>180.36902677007757</v>
      </c>
      <c r="BD69" s="50">
        <f t="shared" si="789"/>
        <v>0</v>
      </c>
      <c r="BE69" s="50">
        <f t="shared" si="789"/>
        <v>230.89504628471352</v>
      </c>
      <c r="BF69" s="50">
        <f t="shared" si="789"/>
        <v>0</v>
      </c>
      <c r="BG69" s="50">
        <f t="shared" si="789"/>
        <v>235.9106830122592</v>
      </c>
      <c r="BH69" s="50">
        <f t="shared" si="789"/>
        <v>0</v>
      </c>
      <c r="BI69" s="50">
        <f t="shared" si="789"/>
        <v>260.62734550913183</v>
      </c>
      <c r="BJ69" s="50">
        <f t="shared" si="789"/>
        <v>0</v>
      </c>
      <c r="BK69" s="50">
        <f t="shared" si="789"/>
        <v>286.59119339504628</v>
      </c>
      <c r="BL69" s="50">
        <f t="shared" si="789"/>
        <v>0</v>
      </c>
      <c r="BM69" s="50">
        <f t="shared" si="789"/>
        <v>319.42519389542161</v>
      </c>
      <c r="BN69" s="50">
        <f t="shared" ref="BN69:CO69" si="790">BN106/BN64</f>
        <v>341.22029021766326</v>
      </c>
      <c r="BO69" s="50">
        <f t="shared" si="790"/>
        <v>362.63072304228172</v>
      </c>
      <c r="BP69" s="50">
        <f t="shared" si="790"/>
        <v>384.73104828621467</v>
      </c>
      <c r="BQ69" s="50">
        <f t="shared" si="790"/>
        <v>410.93194896172133</v>
      </c>
      <c r="BR69" s="50">
        <f t="shared" si="790"/>
        <v>435.80435326494876</v>
      </c>
      <c r="BS69" s="50">
        <f t="shared" si="790"/>
        <v>437.1034525894421</v>
      </c>
      <c r="BT69" s="50">
        <f t="shared" si="790"/>
        <v>430.87878408806608</v>
      </c>
      <c r="BU69" s="50">
        <f t="shared" si="790"/>
        <v>435.07443082311738</v>
      </c>
      <c r="BV69" s="50">
        <f t="shared" si="790"/>
        <v>438.83912934701027</v>
      </c>
      <c r="BW69" s="50">
        <f t="shared" ref="BW69:BX69" si="791">BW106/BW64</f>
        <v>448.10983237428076</v>
      </c>
      <c r="BX69" s="50">
        <f t="shared" si="791"/>
        <v>463.29772613693149</v>
      </c>
      <c r="BY69" s="50">
        <f t="shared" ref="BY69" si="792">BY106/BY64</f>
        <v>489.52871410736583</v>
      </c>
      <c r="BZ69" s="51">
        <f t="shared" si="790"/>
        <v>507.3754643521022</v>
      </c>
      <c r="CA69" s="51">
        <f t="shared" si="790"/>
        <v>531.33317507888364</v>
      </c>
      <c r="CB69" s="51">
        <f t="shared" si="790"/>
        <v>556.90910793923138</v>
      </c>
      <c r="CC69" s="51">
        <f t="shared" si="790"/>
        <v>585.11065645779945</v>
      </c>
      <c r="CD69" s="51">
        <f t="shared" si="790"/>
        <v>613.75387209737266</v>
      </c>
      <c r="CE69" s="51">
        <f t="shared" si="790"/>
        <v>645.81542032412324</v>
      </c>
      <c r="CF69" s="51">
        <f t="shared" si="790"/>
        <v>679.21731738598373</v>
      </c>
      <c r="CG69" s="51">
        <f t="shared" si="790"/>
        <v>714.53302633073633</v>
      </c>
      <c r="CH69" s="51">
        <f t="shared" si="790"/>
        <v>750.54295715662704</v>
      </c>
      <c r="CI69" s="51">
        <f t="shared" si="790"/>
        <v>788.79427314856014</v>
      </c>
      <c r="CJ69" s="51">
        <f t="shared" si="790"/>
        <v>827.49963113528599</v>
      </c>
      <c r="CK69" s="51">
        <f t="shared" si="790"/>
        <v>867.20446647822337</v>
      </c>
      <c r="CL69" s="51">
        <f t="shared" si="790"/>
        <v>909.30076877573879</v>
      </c>
      <c r="CM69" s="51">
        <f t="shared" si="790"/>
        <v>953.42966338513588</v>
      </c>
      <c r="CN69" s="51">
        <f t="shared" si="790"/>
        <v>997.87774729113767</v>
      </c>
      <c r="CO69" s="51">
        <f t="shared" si="790"/>
        <v>1043.448844339171</v>
      </c>
      <c r="CT69" s="50">
        <v>489.52871410736583</v>
      </c>
    </row>
    <row r="70" spans="1:98" s="50" customFormat="1" x14ac:dyDescent="0.2">
      <c r="A70" s="50" t="s">
        <v>162</v>
      </c>
      <c r="C70" s="50">
        <f t="shared" ref="C70:AE70" si="793">+C69-C74</f>
        <v>0</v>
      </c>
      <c r="D70" s="50">
        <f t="shared" si="793"/>
        <v>0</v>
      </c>
      <c r="E70" s="50">
        <f t="shared" si="793"/>
        <v>0</v>
      </c>
      <c r="F70" s="50">
        <f t="shared" si="793"/>
        <v>0</v>
      </c>
      <c r="G70" s="50">
        <f t="shared" si="793"/>
        <v>0</v>
      </c>
      <c r="H70" s="50">
        <f t="shared" si="793"/>
        <v>0</v>
      </c>
      <c r="I70" s="50">
        <f t="shared" si="793"/>
        <v>0</v>
      </c>
      <c r="J70" s="50">
        <f t="shared" si="793"/>
        <v>1.3606324781523096</v>
      </c>
      <c r="K70" s="50">
        <f t="shared" si="793"/>
        <v>3.1362658302122348</v>
      </c>
      <c r="L70" s="50">
        <f t="shared" si="793"/>
        <v>3.354254263420724</v>
      </c>
      <c r="M70" s="50">
        <f t="shared" si="793"/>
        <v>3.173065686641698</v>
      </c>
      <c r="N70" s="50">
        <f t="shared" si="793"/>
        <v>7.0218753370786517</v>
      </c>
      <c r="O70" s="50">
        <f t="shared" si="793"/>
        <v>13.174665074906367</v>
      </c>
      <c r="P70" s="50">
        <f t="shared" si="793"/>
        <v>23.776773813982526</v>
      </c>
      <c r="Q70" s="50">
        <f t="shared" si="793"/>
        <v>29.021204987515606</v>
      </c>
      <c r="R70" s="50">
        <f t="shared" si="793"/>
        <v>43.120895530586765</v>
      </c>
      <c r="S70" s="50">
        <f t="shared" si="793"/>
        <v>89.730337078651687</v>
      </c>
      <c r="T70" s="50">
        <f t="shared" si="793"/>
        <v>147.63171036204744</v>
      </c>
      <c r="U70" s="50">
        <f t="shared" si="793"/>
        <v>164.46504369538079</v>
      </c>
      <c r="V70" s="50">
        <f t="shared" si="793"/>
        <v>218.40387016229715</v>
      </c>
      <c r="W70" s="50">
        <f t="shared" si="793"/>
        <v>252.93695380774034</v>
      </c>
      <c r="X70" s="50">
        <f t="shared" si="793"/>
        <v>314.61173533083644</v>
      </c>
      <c r="Y70" s="50">
        <f t="shared" si="793"/>
        <v>404.62983770287144</v>
      </c>
      <c r="Z70" s="50">
        <f t="shared" si="793"/>
        <v>407.44132334581775</v>
      </c>
      <c r="AA70" s="50">
        <f t="shared" ref="AA70" si="794">+AA69-AA74</f>
        <v>469.8277153558052</v>
      </c>
      <c r="AB70" s="51">
        <f t="shared" si="793"/>
        <v>585.11065645779945</v>
      </c>
      <c r="AC70" s="51">
        <f t="shared" si="793"/>
        <v>714.53302633073633</v>
      </c>
      <c r="AD70" s="51">
        <f t="shared" si="793"/>
        <v>867.20446647822337</v>
      </c>
      <c r="AE70" s="51">
        <f t="shared" si="793"/>
        <v>1043.448844339171</v>
      </c>
      <c r="AG70" s="64"/>
      <c r="AH70" s="50">
        <f t="shared" ref="AH70:AS70" si="795">+AH69-AH74</f>
        <v>0</v>
      </c>
      <c r="AI70" s="50">
        <f t="shared" si="795"/>
        <v>0</v>
      </c>
      <c r="AJ70" s="50">
        <f t="shared" si="795"/>
        <v>0</v>
      </c>
      <c r="AK70" s="50">
        <f t="shared" si="795"/>
        <v>0</v>
      </c>
      <c r="AL70" s="50">
        <f t="shared" si="795"/>
        <v>0</v>
      </c>
      <c r="AM70" s="50">
        <f t="shared" si="795"/>
        <v>0</v>
      </c>
      <c r="AN70" s="50">
        <f t="shared" si="795"/>
        <v>0</v>
      </c>
      <c r="AO70" s="50">
        <f t="shared" si="795"/>
        <v>0</v>
      </c>
      <c r="AP70" s="50">
        <f t="shared" si="795"/>
        <v>0</v>
      </c>
      <c r="AQ70" s="50">
        <f t="shared" si="795"/>
        <v>0</v>
      </c>
      <c r="AR70" s="50">
        <f t="shared" si="795"/>
        <v>0</v>
      </c>
      <c r="AS70" s="50">
        <f t="shared" si="795"/>
        <v>89.909932449337006</v>
      </c>
      <c r="AT70" s="50">
        <f t="shared" ref="AT70:CO70" si="796">+AT69-AT74</f>
        <v>0</v>
      </c>
      <c r="AU70" s="50">
        <f t="shared" si="796"/>
        <v>138.42506880160121</v>
      </c>
      <c r="AV70" s="50">
        <f t="shared" si="796"/>
        <v>0</v>
      </c>
      <c r="AW70" s="50">
        <f t="shared" si="796"/>
        <v>147.92719539654743</v>
      </c>
      <c r="AX70" s="50">
        <f t="shared" si="796"/>
        <v>0</v>
      </c>
      <c r="AY70" s="50">
        <f t="shared" si="796"/>
        <v>159.81673755316487</v>
      </c>
      <c r="AZ70" s="50">
        <f t="shared" si="796"/>
        <v>0</v>
      </c>
      <c r="BA70" s="50">
        <f t="shared" si="796"/>
        <v>171.0170127595697</v>
      </c>
      <c r="BB70" s="50">
        <f t="shared" si="796"/>
        <v>0</v>
      </c>
      <c r="BC70" s="50">
        <f t="shared" si="796"/>
        <v>180.36902677007757</v>
      </c>
      <c r="BD70" s="50">
        <f t="shared" si="796"/>
        <v>0</v>
      </c>
      <c r="BE70" s="50">
        <f t="shared" si="796"/>
        <v>230.89504628471352</v>
      </c>
      <c r="BF70" s="50">
        <f t="shared" si="796"/>
        <v>0</v>
      </c>
      <c r="BG70" s="50">
        <f t="shared" si="796"/>
        <v>235.9106830122592</v>
      </c>
      <c r="BH70" s="50">
        <f t="shared" si="796"/>
        <v>0</v>
      </c>
      <c r="BI70" s="50">
        <f t="shared" si="796"/>
        <v>260.62734550913183</v>
      </c>
      <c r="BJ70" s="50">
        <f t="shared" si="796"/>
        <v>0</v>
      </c>
      <c r="BK70" s="50">
        <f t="shared" si="796"/>
        <v>286.59119339504628</v>
      </c>
      <c r="BL70" s="50">
        <f t="shared" si="796"/>
        <v>0</v>
      </c>
      <c r="BM70" s="50">
        <f t="shared" si="796"/>
        <v>319.42519389542161</v>
      </c>
      <c r="BN70" s="50">
        <f t="shared" si="796"/>
        <v>341.22029021766326</v>
      </c>
      <c r="BO70" s="50">
        <f t="shared" si="796"/>
        <v>362.63072304228172</v>
      </c>
      <c r="BP70" s="50">
        <f t="shared" si="796"/>
        <v>384.73104828621467</v>
      </c>
      <c r="BQ70" s="50">
        <f t="shared" si="796"/>
        <v>410.93194896172133</v>
      </c>
      <c r="BR70" s="50">
        <f t="shared" si="796"/>
        <v>435.80435326494876</v>
      </c>
      <c r="BS70" s="50">
        <f t="shared" si="796"/>
        <v>437.1034525894421</v>
      </c>
      <c r="BT70" s="50">
        <f t="shared" si="796"/>
        <v>430.87878408806608</v>
      </c>
      <c r="BU70" s="50">
        <f t="shared" si="796"/>
        <v>435.07443082311738</v>
      </c>
      <c r="BV70" s="50">
        <f t="shared" si="796"/>
        <v>438.83912934701027</v>
      </c>
      <c r="BW70" s="50">
        <f t="shared" ref="BW70:BX70" si="797">+BW69-BW74</f>
        <v>448.10983237428076</v>
      </c>
      <c r="BX70" s="50">
        <f t="shared" si="797"/>
        <v>463.29772613693149</v>
      </c>
      <c r="BY70" s="50">
        <f t="shared" ref="BY70" si="798">+BY69-BY74</f>
        <v>489.52871410736583</v>
      </c>
      <c r="BZ70" s="51">
        <f t="shared" si="796"/>
        <v>507.3754643521022</v>
      </c>
      <c r="CA70" s="51">
        <f t="shared" si="796"/>
        <v>531.33317507888364</v>
      </c>
      <c r="CB70" s="51">
        <f t="shared" si="796"/>
        <v>556.90910793923138</v>
      </c>
      <c r="CC70" s="51">
        <f t="shared" si="796"/>
        <v>585.11065645779945</v>
      </c>
      <c r="CD70" s="51">
        <f t="shared" si="796"/>
        <v>613.75387209737266</v>
      </c>
      <c r="CE70" s="51">
        <f t="shared" si="796"/>
        <v>645.81542032412324</v>
      </c>
      <c r="CF70" s="51">
        <f t="shared" si="796"/>
        <v>679.21731738598373</v>
      </c>
      <c r="CG70" s="51">
        <f t="shared" si="796"/>
        <v>714.53302633073633</v>
      </c>
      <c r="CH70" s="51">
        <f t="shared" si="796"/>
        <v>750.54295715662704</v>
      </c>
      <c r="CI70" s="51">
        <f t="shared" si="796"/>
        <v>788.79427314856014</v>
      </c>
      <c r="CJ70" s="51">
        <f t="shared" si="796"/>
        <v>827.49963113528599</v>
      </c>
      <c r="CK70" s="51">
        <f t="shared" si="796"/>
        <v>867.20446647822337</v>
      </c>
      <c r="CL70" s="51">
        <f t="shared" si="796"/>
        <v>909.30076877573879</v>
      </c>
      <c r="CM70" s="51">
        <f t="shared" si="796"/>
        <v>953.42966338513588</v>
      </c>
      <c r="CN70" s="51">
        <f t="shared" si="796"/>
        <v>997.87774729113767</v>
      </c>
      <c r="CO70" s="51">
        <f t="shared" si="796"/>
        <v>1043.448844339171</v>
      </c>
      <c r="CT70" s="50">
        <v>489.52871410736583</v>
      </c>
    </row>
    <row r="71" spans="1:98" s="50" customFormat="1" x14ac:dyDescent="0.2">
      <c r="AB71" s="51"/>
      <c r="AC71" s="51"/>
      <c r="AD71" s="51"/>
      <c r="AE71" s="51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50" customFormat="1" x14ac:dyDescent="0.2">
      <c r="A72" s="50" t="s">
        <v>144</v>
      </c>
      <c r="B72" s="50">
        <f>+'Annual Raw'!C150</f>
        <v>0</v>
      </c>
      <c r="C72" s="50">
        <f>+'Annual Raw'!D150</f>
        <v>0</v>
      </c>
      <c r="D72" s="50">
        <f>+'Annual Raw'!E150</f>
        <v>0</v>
      </c>
      <c r="E72" s="50">
        <f>+'Annual Raw'!F150</f>
        <v>0</v>
      </c>
      <c r="F72" s="50">
        <f>+'Annual Raw'!G150</f>
        <v>0</v>
      </c>
      <c r="G72" s="50">
        <f>+'Annual Raw'!H150</f>
        <v>0</v>
      </c>
      <c r="H72" s="50">
        <f>+'Annual Raw'!I150</f>
        <v>0</v>
      </c>
      <c r="I72" s="50">
        <f>+'Annual Raw'!J150</f>
        <v>0</v>
      </c>
      <c r="J72" s="50">
        <f>+'Annual Raw'!K150</f>
        <v>0</v>
      </c>
      <c r="K72" s="50">
        <f>+'Annual Raw'!L150</f>
        <v>0</v>
      </c>
      <c r="L72" s="50">
        <f>+'Annual Raw'!M150</f>
        <v>0</v>
      </c>
      <c r="M72" s="50">
        <f>+'Annual Raw'!N150</f>
        <v>0</v>
      </c>
      <c r="N72" s="50">
        <f>+'Annual Raw'!O150</f>
        <v>0</v>
      </c>
      <c r="O72" s="50">
        <f>+'Annual Raw'!P150</f>
        <v>8.0000000000000099E-2</v>
      </c>
      <c r="P72" s="50">
        <f>+'Annual Raw'!Q150</f>
        <v>0.51</v>
      </c>
      <c r="Q72" s="50">
        <f>+'Annual Raw'!R150</f>
        <v>1.97</v>
      </c>
      <c r="R72" s="50">
        <f>+'Annual Raw'!S150</f>
        <v>2.58</v>
      </c>
      <c r="S72" s="50">
        <f>+'Annual Raw'!T150</f>
        <v>0</v>
      </c>
      <c r="T72" s="50">
        <f>+'Annual Raw'!U150</f>
        <v>0</v>
      </c>
      <c r="U72" s="50">
        <f>+'Annual Raw'!V150</f>
        <v>142.1</v>
      </c>
      <c r="V72" s="50">
        <f>+'Annual Raw'!W150</f>
        <v>449.57</v>
      </c>
      <c r="W72" s="50">
        <f>+'Annual Raw'!X150</f>
        <v>393.22</v>
      </c>
      <c r="X72" s="50">
        <f>+'Annual Raw'!Y150</f>
        <v>236.39</v>
      </c>
      <c r="Y72" s="50">
        <f>+'Annual Raw'!Z150</f>
        <v>302.64999999999998</v>
      </c>
      <c r="Z72" s="50">
        <f>+'Annual Raw'!AA150</f>
        <v>1225.5999999999999</v>
      </c>
      <c r="AA72" s="50">
        <f>+'Annual Raw'!AB150</f>
        <v>922.25</v>
      </c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T72" s="50">
        <v>922.25</v>
      </c>
    </row>
    <row r="73" spans="1:98" s="50" customFormat="1" x14ac:dyDescent="0.2">
      <c r="A73" s="50" t="s">
        <v>145</v>
      </c>
      <c r="B73" s="50">
        <f>+'Annual Raw'!C151</f>
        <v>0</v>
      </c>
      <c r="C73" s="50">
        <f>+'Annual Raw'!D151</f>
        <v>0</v>
      </c>
      <c r="D73" s="50">
        <f>+'Annual Raw'!E151</f>
        <v>0</v>
      </c>
      <c r="E73" s="50">
        <f>+'Annual Raw'!F151</f>
        <v>0</v>
      </c>
      <c r="F73" s="50">
        <f>+'Annual Raw'!G151</f>
        <v>0</v>
      </c>
      <c r="G73" s="50">
        <f>+'Annual Raw'!H151</f>
        <v>0</v>
      </c>
      <c r="H73" s="50">
        <f>+'Annual Raw'!I151</f>
        <v>0</v>
      </c>
      <c r="I73" s="50">
        <f>+'Annual Raw'!J151</f>
        <v>0</v>
      </c>
      <c r="J73" s="50">
        <f>+'Annual Raw'!K151</f>
        <v>0</v>
      </c>
      <c r="K73" s="50">
        <f>+'Annual Raw'!L151</f>
        <v>0</v>
      </c>
      <c r="L73" s="50">
        <f>+'Annual Raw'!M151</f>
        <v>0</v>
      </c>
      <c r="M73" s="50">
        <f>+'Annual Raw'!N151</f>
        <v>0</v>
      </c>
      <c r="N73" s="50">
        <f>+'Annual Raw'!O151</f>
        <v>0</v>
      </c>
      <c r="O73" s="50">
        <f>+'Annual Raw'!P151</f>
        <v>0</v>
      </c>
      <c r="P73" s="50">
        <f>+'Annual Raw'!Q151</f>
        <v>0</v>
      </c>
      <c r="Q73" s="50">
        <f>+'Annual Raw'!R151</f>
        <v>0</v>
      </c>
      <c r="R73" s="50">
        <f>+'Annual Raw'!S151</f>
        <v>0</v>
      </c>
      <c r="S73" s="50">
        <f>+'Annual Raw'!T151</f>
        <v>0</v>
      </c>
      <c r="T73" s="50">
        <f>+'Annual Raw'!U151</f>
        <v>0</v>
      </c>
      <c r="U73" s="50">
        <f>+'Annual Raw'!V151</f>
        <v>34.35</v>
      </c>
      <c r="V73" s="50">
        <f>+'Annual Raw'!W151</f>
        <v>135.97999999999999</v>
      </c>
      <c r="W73" s="50">
        <f>+'Annual Raw'!X151</f>
        <v>114.86</v>
      </c>
      <c r="X73" s="50">
        <f>+'Annual Raw'!Y151</f>
        <v>66.86</v>
      </c>
      <c r="Y73" s="50">
        <f>+'Annual Raw'!Z151</f>
        <v>87.78</v>
      </c>
      <c r="Z73" s="50">
        <f>+'Annual Raw'!AA151</f>
        <v>428.73</v>
      </c>
      <c r="AA73" s="50">
        <f>+'Annual Raw'!AB151</f>
        <v>315.58</v>
      </c>
      <c r="AB73" s="51"/>
      <c r="AC73" s="51"/>
      <c r="AD73" s="51"/>
      <c r="AE73" s="51"/>
      <c r="AG73" s="64"/>
      <c r="BZ73" s="139">
        <f t="shared" ref="BZ73:CO73" si="799">+BZ77*BZ120</f>
        <v>0</v>
      </c>
      <c r="CA73" s="139">
        <f t="shared" si="799"/>
        <v>0</v>
      </c>
      <c r="CB73" s="139">
        <f t="shared" si="799"/>
        <v>0</v>
      </c>
      <c r="CC73" s="139">
        <f t="shared" si="799"/>
        <v>0</v>
      </c>
      <c r="CD73" s="139">
        <f t="shared" si="799"/>
        <v>0</v>
      </c>
      <c r="CE73" s="139">
        <f t="shared" si="799"/>
        <v>0</v>
      </c>
      <c r="CF73" s="139">
        <f t="shared" si="799"/>
        <v>0</v>
      </c>
      <c r="CG73" s="139">
        <f t="shared" si="799"/>
        <v>0</v>
      </c>
      <c r="CH73" s="139">
        <f t="shared" si="799"/>
        <v>0</v>
      </c>
      <c r="CI73" s="139">
        <f t="shared" si="799"/>
        <v>0</v>
      </c>
      <c r="CJ73" s="139">
        <f t="shared" si="799"/>
        <v>0</v>
      </c>
      <c r="CK73" s="139">
        <f t="shared" si="799"/>
        <v>0</v>
      </c>
      <c r="CL73" s="139">
        <f t="shared" si="799"/>
        <v>0</v>
      </c>
      <c r="CM73" s="139">
        <f t="shared" si="799"/>
        <v>0</v>
      </c>
      <c r="CN73" s="139">
        <f t="shared" si="799"/>
        <v>0</v>
      </c>
      <c r="CO73" s="139">
        <f t="shared" si="799"/>
        <v>0</v>
      </c>
      <c r="CT73" s="50">
        <v>315.58</v>
      </c>
    </row>
    <row r="74" spans="1:98" s="50" customFormat="1" x14ac:dyDescent="0.2">
      <c r="A74" s="50" t="s">
        <v>163</v>
      </c>
      <c r="C74" s="50">
        <f t="shared" ref="C74:Z74" si="800">+C73/C64</f>
        <v>0</v>
      </c>
      <c r="D74" s="50">
        <f t="shared" si="800"/>
        <v>0</v>
      </c>
      <c r="E74" s="50">
        <f t="shared" si="800"/>
        <v>0</v>
      </c>
      <c r="F74" s="50">
        <f t="shared" si="800"/>
        <v>0</v>
      </c>
      <c r="G74" s="50">
        <f t="shared" si="800"/>
        <v>0</v>
      </c>
      <c r="H74" s="50">
        <f t="shared" si="800"/>
        <v>0</v>
      </c>
      <c r="I74" s="50">
        <f t="shared" si="800"/>
        <v>0</v>
      </c>
      <c r="J74" s="50">
        <f t="shared" si="800"/>
        <v>0</v>
      </c>
      <c r="K74" s="50">
        <f t="shared" si="800"/>
        <v>0</v>
      </c>
      <c r="L74" s="50">
        <f t="shared" si="800"/>
        <v>0</v>
      </c>
      <c r="M74" s="50">
        <f t="shared" si="800"/>
        <v>0</v>
      </c>
      <c r="N74" s="50">
        <f t="shared" si="800"/>
        <v>0</v>
      </c>
      <c r="O74" s="50">
        <f t="shared" si="800"/>
        <v>0</v>
      </c>
      <c r="P74" s="50">
        <f t="shared" si="800"/>
        <v>0</v>
      </c>
      <c r="Q74" s="50">
        <f t="shared" si="800"/>
        <v>0</v>
      </c>
      <c r="R74" s="50">
        <f t="shared" si="800"/>
        <v>0</v>
      </c>
      <c r="S74" s="50">
        <f t="shared" si="800"/>
        <v>0</v>
      </c>
      <c r="T74" s="50">
        <f t="shared" si="800"/>
        <v>0</v>
      </c>
      <c r="U74" s="50">
        <f t="shared" si="800"/>
        <v>2.1441947565543074</v>
      </c>
      <c r="V74" s="50">
        <f t="shared" si="800"/>
        <v>8.488139825218477</v>
      </c>
      <c r="W74" s="50">
        <f t="shared" si="800"/>
        <v>7.1697877652933837</v>
      </c>
      <c r="X74" s="50">
        <f t="shared" si="800"/>
        <v>4.1735330836454434</v>
      </c>
      <c r="Y74" s="50">
        <f t="shared" si="800"/>
        <v>5.4794007490636707</v>
      </c>
      <c r="Z74" s="50">
        <f t="shared" si="800"/>
        <v>26.762172284644198</v>
      </c>
      <c r="AA74" s="50">
        <f t="shared" ref="AA74" si="801">+AA73/AA64</f>
        <v>19.699126092384518</v>
      </c>
      <c r="AB74" s="51"/>
      <c r="AC74" s="51"/>
      <c r="AD74" s="51"/>
      <c r="AE74" s="51"/>
      <c r="AG74" s="64"/>
      <c r="BZ74" s="51">
        <f t="shared" ref="BZ74:CO74" si="802">+BZ73/BZ64</f>
        <v>0</v>
      </c>
      <c r="CA74" s="51">
        <f t="shared" si="802"/>
        <v>0</v>
      </c>
      <c r="CB74" s="51">
        <f t="shared" si="802"/>
        <v>0</v>
      </c>
      <c r="CC74" s="51">
        <f t="shared" si="802"/>
        <v>0</v>
      </c>
      <c r="CD74" s="51">
        <f t="shared" si="802"/>
        <v>0</v>
      </c>
      <c r="CE74" s="51">
        <f t="shared" si="802"/>
        <v>0</v>
      </c>
      <c r="CF74" s="51">
        <f t="shared" si="802"/>
        <v>0</v>
      </c>
      <c r="CG74" s="51">
        <f t="shared" si="802"/>
        <v>0</v>
      </c>
      <c r="CH74" s="51">
        <f t="shared" si="802"/>
        <v>0</v>
      </c>
      <c r="CI74" s="51">
        <f t="shared" si="802"/>
        <v>0</v>
      </c>
      <c r="CJ74" s="51">
        <f t="shared" si="802"/>
        <v>0</v>
      </c>
      <c r="CK74" s="51">
        <f t="shared" si="802"/>
        <v>0</v>
      </c>
      <c r="CL74" s="51">
        <f t="shared" si="802"/>
        <v>0</v>
      </c>
      <c r="CM74" s="51">
        <f t="shared" si="802"/>
        <v>0</v>
      </c>
      <c r="CN74" s="51">
        <f t="shared" si="802"/>
        <v>0</v>
      </c>
      <c r="CO74" s="51">
        <f t="shared" si="802"/>
        <v>0</v>
      </c>
    </row>
    <row r="75" spans="1:98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141" customFormat="1" x14ac:dyDescent="0.2">
      <c r="A76" s="141" t="s">
        <v>158</v>
      </c>
      <c r="B76" s="141" t="e">
        <f t="shared" ref="B76:Z76" si="803">+B72/B120</f>
        <v>#DIV/0!</v>
      </c>
      <c r="C76" s="141" t="e">
        <f t="shared" si="803"/>
        <v>#DIV/0!</v>
      </c>
      <c r="D76" s="141" t="e">
        <f t="shared" si="803"/>
        <v>#DIV/0!</v>
      </c>
      <c r="E76" s="141" t="e">
        <f t="shared" si="803"/>
        <v>#DIV/0!</v>
      </c>
      <c r="F76" s="141" t="e">
        <f t="shared" si="803"/>
        <v>#DIV/0!</v>
      </c>
      <c r="G76" s="141" t="e">
        <f t="shared" si="803"/>
        <v>#DIV/0!</v>
      </c>
      <c r="H76" s="141" t="e">
        <f t="shared" si="803"/>
        <v>#DIV/0!</v>
      </c>
      <c r="I76" s="141" t="e">
        <f t="shared" si="803"/>
        <v>#DIV/0!</v>
      </c>
      <c r="J76" s="141">
        <f t="shared" si="803"/>
        <v>0</v>
      </c>
      <c r="K76" s="141">
        <f t="shared" si="803"/>
        <v>0</v>
      </c>
      <c r="L76" s="141">
        <f t="shared" si="803"/>
        <v>0</v>
      </c>
      <c r="M76" s="141">
        <f t="shared" si="803"/>
        <v>0</v>
      </c>
      <c r="N76" s="141">
        <f t="shared" si="803"/>
        <v>0</v>
      </c>
      <c r="O76" s="141">
        <f t="shared" si="803"/>
        <v>1.1833853603652992E-4</v>
      </c>
      <c r="P76" s="141">
        <f t="shared" si="803"/>
        <v>3.7711512423859345E-4</v>
      </c>
      <c r="Q76" s="141">
        <f t="shared" si="803"/>
        <v>7.9630845074486983E-4</v>
      </c>
      <c r="R76" s="141">
        <f t="shared" si="803"/>
        <v>8.3578577161324847E-4</v>
      </c>
      <c r="S76" s="141">
        <f t="shared" si="803"/>
        <v>0</v>
      </c>
      <c r="T76" s="141">
        <f t="shared" si="803"/>
        <v>0</v>
      </c>
      <c r="U76" s="141">
        <f t="shared" si="803"/>
        <v>1.4681041207130792E-2</v>
      </c>
      <c r="V76" s="141">
        <f t="shared" si="803"/>
        <v>4.3521824321184614E-2</v>
      </c>
      <c r="W76" s="141">
        <f t="shared" si="803"/>
        <v>2.5414762433824477E-2</v>
      </c>
      <c r="X76" s="141">
        <f t="shared" si="803"/>
        <v>1.189466237152567E-2</v>
      </c>
      <c r="Y76" s="141">
        <f t="shared" si="803"/>
        <v>1.1437423142708352E-2</v>
      </c>
      <c r="Z76" s="141">
        <f t="shared" si="803"/>
        <v>4.7431221632599982E-2</v>
      </c>
      <c r="AA76" s="141">
        <f t="shared" ref="AA76" si="804">+AA72/AA120</f>
        <v>3.1640835942480065E-2</v>
      </c>
      <c r="AB76" s="113"/>
      <c r="AC76" s="113"/>
      <c r="AD76" s="113"/>
      <c r="AE76" s="113"/>
      <c r="AG76" s="142"/>
      <c r="AI76" s="141" t="e">
        <f t="shared" ref="AI76:BW76" si="805">+AI72/AI120</f>
        <v>#DIV/0!</v>
      </c>
      <c r="AJ76" s="141" t="e">
        <f t="shared" si="805"/>
        <v>#DIV/0!</v>
      </c>
      <c r="AK76" s="141" t="e">
        <f t="shared" si="805"/>
        <v>#DIV/0!</v>
      </c>
      <c r="AL76" s="141" t="e">
        <f t="shared" si="805"/>
        <v>#DIV/0!</v>
      </c>
      <c r="AM76" s="141" t="e">
        <f t="shared" si="805"/>
        <v>#DIV/0!</v>
      </c>
      <c r="AN76" s="141" t="e">
        <f t="shared" si="805"/>
        <v>#DIV/0!</v>
      </c>
      <c r="AO76" s="141" t="e">
        <f t="shared" si="805"/>
        <v>#DIV/0!</v>
      </c>
      <c r="AP76" s="141" t="e">
        <f t="shared" si="805"/>
        <v>#DIV/0!</v>
      </c>
      <c r="AQ76" s="141" t="e">
        <f t="shared" si="805"/>
        <v>#DIV/0!</v>
      </c>
      <c r="AR76" s="141" t="e">
        <f t="shared" si="805"/>
        <v>#DIV/0!</v>
      </c>
      <c r="AS76" s="141">
        <f t="shared" si="805"/>
        <v>0</v>
      </c>
      <c r="AT76" s="141" t="e">
        <f t="shared" si="805"/>
        <v>#DIV/0!</v>
      </c>
      <c r="AU76" s="141">
        <f t="shared" si="805"/>
        <v>0</v>
      </c>
      <c r="AV76" s="141" t="e">
        <f t="shared" si="805"/>
        <v>#DIV/0!</v>
      </c>
      <c r="AW76" s="141">
        <f t="shared" si="805"/>
        <v>0</v>
      </c>
      <c r="AX76" s="141" t="e">
        <f t="shared" si="805"/>
        <v>#DIV/0!</v>
      </c>
      <c r="AY76" s="141">
        <f t="shared" si="805"/>
        <v>0</v>
      </c>
      <c r="AZ76" s="141" t="e">
        <f t="shared" si="805"/>
        <v>#DIV/0!</v>
      </c>
      <c r="BA76" s="141">
        <f t="shared" si="805"/>
        <v>0</v>
      </c>
      <c r="BB76" s="141" t="e">
        <f t="shared" si="805"/>
        <v>#DIV/0!</v>
      </c>
      <c r="BC76" s="141">
        <f t="shared" si="805"/>
        <v>0</v>
      </c>
      <c r="BD76" s="141" t="e">
        <f t="shared" si="805"/>
        <v>#DIV/0!</v>
      </c>
      <c r="BE76" s="141">
        <f t="shared" si="805"/>
        <v>0</v>
      </c>
      <c r="BF76" s="141" t="e">
        <f t="shared" si="805"/>
        <v>#DIV/0!</v>
      </c>
      <c r="BG76" s="141">
        <f t="shared" si="805"/>
        <v>0</v>
      </c>
      <c r="BH76" s="141" t="e">
        <f t="shared" si="805"/>
        <v>#DIV/0!</v>
      </c>
      <c r="BI76" s="141">
        <f t="shared" si="805"/>
        <v>0</v>
      </c>
      <c r="BJ76" s="141" t="e">
        <f t="shared" si="805"/>
        <v>#DIV/0!</v>
      </c>
      <c r="BK76" s="141">
        <f t="shared" si="805"/>
        <v>0</v>
      </c>
      <c r="BL76" s="141" t="e">
        <f t="shared" si="805"/>
        <v>#DIV/0!</v>
      </c>
      <c r="BM76" s="141">
        <f t="shared" si="805"/>
        <v>0</v>
      </c>
      <c r="BN76" s="141" t="e">
        <f t="shared" si="805"/>
        <v>#DIV/0!</v>
      </c>
      <c r="BO76" s="141">
        <f t="shared" si="805"/>
        <v>0</v>
      </c>
      <c r="BP76" s="141" t="e">
        <f t="shared" si="805"/>
        <v>#DIV/0!</v>
      </c>
      <c r="BQ76" s="141">
        <f t="shared" si="805"/>
        <v>0</v>
      </c>
      <c r="BR76" s="141" t="e">
        <f t="shared" si="805"/>
        <v>#DIV/0!</v>
      </c>
      <c r="BS76" s="141">
        <f t="shared" si="805"/>
        <v>0</v>
      </c>
      <c r="BT76" s="141">
        <f t="shared" si="805"/>
        <v>0</v>
      </c>
      <c r="BU76" s="141">
        <f t="shared" si="805"/>
        <v>0</v>
      </c>
      <c r="BV76" s="141">
        <f t="shared" si="805"/>
        <v>0</v>
      </c>
      <c r="BW76" s="141">
        <f t="shared" si="805"/>
        <v>0</v>
      </c>
      <c r="BX76" s="141">
        <f t="shared" ref="BX76:BY76" si="806">+BX72/BX120</f>
        <v>0</v>
      </c>
      <c r="BY76" s="141">
        <f t="shared" si="806"/>
        <v>0</v>
      </c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  <c r="CT76" s="141">
        <v>3.1640835942480065E-2</v>
      </c>
    </row>
    <row r="77" spans="1:98" s="141" customFormat="1" x14ac:dyDescent="0.2">
      <c r="A77" s="141" t="s">
        <v>159</v>
      </c>
      <c r="B77" s="141" t="e">
        <f t="shared" ref="B77:Z77" si="807">+B73/B120</f>
        <v>#DIV/0!</v>
      </c>
      <c r="C77" s="141" t="e">
        <f t="shared" si="807"/>
        <v>#DIV/0!</v>
      </c>
      <c r="D77" s="141" t="e">
        <f t="shared" si="807"/>
        <v>#DIV/0!</v>
      </c>
      <c r="E77" s="141" t="e">
        <f t="shared" si="807"/>
        <v>#DIV/0!</v>
      </c>
      <c r="F77" s="141" t="e">
        <f t="shared" si="807"/>
        <v>#DIV/0!</v>
      </c>
      <c r="G77" s="141" t="e">
        <f t="shared" si="807"/>
        <v>#DIV/0!</v>
      </c>
      <c r="H77" s="141" t="e">
        <f t="shared" si="807"/>
        <v>#DIV/0!</v>
      </c>
      <c r="I77" s="141" t="e">
        <f t="shared" si="807"/>
        <v>#DIV/0!</v>
      </c>
      <c r="J77" s="141">
        <f t="shared" si="807"/>
        <v>0</v>
      </c>
      <c r="K77" s="141">
        <f t="shared" si="807"/>
        <v>0</v>
      </c>
      <c r="L77" s="141">
        <f t="shared" si="807"/>
        <v>0</v>
      </c>
      <c r="M77" s="141">
        <f t="shared" si="807"/>
        <v>0</v>
      </c>
      <c r="N77" s="141">
        <f t="shared" si="807"/>
        <v>0</v>
      </c>
      <c r="O77" s="141">
        <f t="shared" si="807"/>
        <v>0</v>
      </c>
      <c r="P77" s="141">
        <f t="shared" si="807"/>
        <v>0</v>
      </c>
      <c r="Q77" s="141">
        <f t="shared" si="807"/>
        <v>0</v>
      </c>
      <c r="R77" s="141">
        <f t="shared" si="807"/>
        <v>0</v>
      </c>
      <c r="S77" s="141">
        <f t="shared" si="807"/>
        <v>0</v>
      </c>
      <c r="T77" s="141">
        <f t="shared" si="807"/>
        <v>0</v>
      </c>
      <c r="U77" s="141">
        <f t="shared" si="807"/>
        <v>3.5488653445808777E-3</v>
      </c>
      <c r="V77" s="141">
        <f t="shared" si="807"/>
        <v>1.3163907002679635E-2</v>
      </c>
      <c r="W77" s="141">
        <f t="shared" si="807"/>
        <v>7.4236804159225856E-3</v>
      </c>
      <c r="X77" s="141">
        <f t="shared" si="807"/>
        <v>3.3642587510478716E-3</v>
      </c>
      <c r="Y77" s="141">
        <f t="shared" si="807"/>
        <v>3.3172873070111989E-3</v>
      </c>
      <c r="Z77" s="141">
        <f t="shared" si="807"/>
        <v>1.6592026477272023E-2</v>
      </c>
      <c r="AA77" s="141">
        <f t="shared" ref="AA77" si="808">+AA73/AA120</f>
        <v>1.0827015458636876E-2</v>
      </c>
      <c r="AB77" s="113"/>
      <c r="AC77" s="113"/>
      <c r="AD77" s="113"/>
      <c r="AE77" s="113"/>
      <c r="AG77" s="142"/>
      <c r="AI77" s="141" t="e">
        <f t="shared" ref="AI77:BW77" si="809">+AI73/AI120</f>
        <v>#DIV/0!</v>
      </c>
      <c r="AJ77" s="141" t="e">
        <f t="shared" si="809"/>
        <v>#DIV/0!</v>
      </c>
      <c r="AK77" s="141" t="e">
        <f t="shared" si="809"/>
        <v>#DIV/0!</v>
      </c>
      <c r="AL77" s="141" t="e">
        <f t="shared" si="809"/>
        <v>#DIV/0!</v>
      </c>
      <c r="AM77" s="141" t="e">
        <f t="shared" si="809"/>
        <v>#DIV/0!</v>
      </c>
      <c r="AN77" s="141" t="e">
        <f t="shared" si="809"/>
        <v>#DIV/0!</v>
      </c>
      <c r="AO77" s="141" t="e">
        <f t="shared" si="809"/>
        <v>#DIV/0!</v>
      </c>
      <c r="AP77" s="141" t="e">
        <f t="shared" si="809"/>
        <v>#DIV/0!</v>
      </c>
      <c r="AQ77" s="141" t="e">
        <f t="shared" si="809"/>
        <v>#DIV/0!</v>
      </c>
      <c r="AR77" s="141" t="e">
        <f t="shared" si="809"/>
        <v>#DIV/0!</v>
      </c>
      <c r="AS77" s="141">
        <f t="shared" si="809"/>
        <v>0</v>
      </c>
      <c r="AT77" s="141" t="e">
        <f t="shared" si="809"/>
        <v>#DIV/0!</v>
      </c>
      <c r="AU77" s="141">
        <f t="shared" si="809"/>
        <v>0</v>
      </c>
      <c r="AV77" s="141" t="e">
        <f t="shared" si="809"/>
        <v>#DIV/0!</v>
      </c>
      <c r="AW77" s="141">
        <f t="shared" si="809"/>
        <v>0</v>
      </c>
      <c r="AX77" s="141" t="e">
        <f t="shared" si="809"/>
        <v>#DIV/0!</v>
      </c>
      <c r="AY77" s="141">
        <f t="shared" si="809"/>
        <v>0</v>
      </c>
      <c r="AZ77" s="141" t="e">
        <f t="shared" si="809"/>
        <v>#DIV/0!</v>
      </c>
      <c r="BA77" s="141">
        <f t="shared" si="809"/>
        <v>0</v>
      </c>
      <c r="BB77" s="141" t="e">
        <f t="shared" si="809"/>
        <v>#DIV/0!</v>
      </c>
      <c r="BC77" s="141">
        <f t="shared" si="809"/>
        <v>0</v>
      </c>
      <c r="BD77" s="141" t="e">
        <f t="shared" si="809"/>
        <v>#DIV/0!</v>
      </c>
      <c r="BE77" s="141">
        <f t="shared" si="809"/>
        <v>0</v>
      </c>
      <c r="BF77" s="141" t="e">
        <f t="shared" si="809"/>
        <v>#DIV/0!</v>
      </c>
      <c r="BG77" s="141">
        <f t="shared" si="809"/>
        <v>0</v>
      </c>
      <c r="BH77" s="141" t="e">
        <f t="shared" si="809"/>
        <v>#DIV/0!</v>
      </c>
      <c r="BI77" s="141">
        <f t="shared" si="809"/>
        <v>0</v>
      </c>
      <c r="BJ77" s="141" t="e">
        <f t="shared" si="809"/>
        <v>#DIV/0!</v>
      </c>
      <c r="BK77" s="141">
        <f t="shared" si="809"/>
        <v>0</v>
      </c>
      <c r="BL77" s="141" t="e">
        <f t="shared" si="809"/>
        <v>#DIV/0!</v>
      </c>
      <c r="BM77" s="141">
        <f t="shared" si="809"/>
        <v>0</v>
      </c>
      <c r="BN77" s="141" t="e">
        <f t="shared" si="809"/>
        <v>#DIV/0!</v>
      </c>
      <c r="BO77" s="141">
        <f t="shared" si="809"/>
        <v>0</v>
      </c>
      <c r="BP77" s="141" t="e">
        <f t="shared" si="809"/>
        <v>#DIV/0!</v>
      </c>
      <c r="BQ77" s="141">
        <f t="shared" si="809"/>
        <v>0</v>
      </c>
      <c r="BR77" s="141" t="e">
        <f t="shared" si="809"/>
        <v>#DIV/0!</v>
      </c>
      <c r="BS77" s="141">
        <f t="shared" si="809"/>
        <v>0</v>
      </c>
      <c r="BT77" s="141">
        <f t="shared" si="809"/>
        <v>0</v>
      </c>
      <c r="BU77" s="141">
        <f t="shared" si="809"/>
        <v>0</v>
      </c>
      <c r="BV77" s="141">
        <f t="shared" si="809"/>
        <v>0</v>
      </c>
      <c r="BW77" s="141">
        <f t="shared" si="809"/>
        <v>0</v>
      </c>
      <c r="BX77" s="141">
        <f t="shared" ref="BX77:BY77" si="810">+BX73/BX120</f>
        <v>0</v>
      </c>
      <c r="BY77" s="141">
        <f t="shared" si="810"/>
        <v>0</v>
      </c>
      <c r="BZ77" s="113">
        <f t="shared" ref="BZ77:CO77" si="811">+BY77</f>
        <v>0</v>
      </c>
      <c r="CA77" s="113">
        <f t="shared" si="811"/>
        <v>0</v>
      </c>
      <c r="CB77" s="113">
        <f t="shared" si="811"/>
        <v>0</v>
      </c>
      <c r="CC77" s="113">
        <f t="shared" si="811"/>
        <v>0</v>
      </c>
      <c r="CD77" s="113">
        <f t="shared" si="811"/>
        <v>0</v>
      </c>
      <c r="CE77" s="113">
        <f t="shared" si="811"/>
        <v>0</v>
      </c>
      <c r="CF77" s="113">
        <f t="shared" si="811"/>
        <v>0</v>
      </c>
      <c r="CG77" s="113">
        <f t="shared" si="811"/>
        <v>0</v>
      </c>
      <c r="CH77" s="113">
        <f t="shared" si="811"/>
        <v>0</v>
      </c>
      <c r="CI77" s="113">
        <f t="shared" si="811"/>
        <v>0</v>
      </c>
      <c r="CJ77" s="113">
        <f t="shared" si="811"/>
        <v>0</v>
      </c>
      <c r="CK77" s="113">
        <f t="shared" si="811"/>
        <v>0</v>
      </c>
      <c r="CL77" s="113">
        <f t="shared" si="811"/>
        <v>0</v>
      </c>
      <c r="CM77" s="113">
        <f t="shared" si="811"/>
        <v>0</v>
      </c>
      <c r="CN77" s="113">
        <f t="shared" si="811"/>
        <v>0</v>
      </c>
      <c r="CO77" s="113">
        <f t="shared" si="811"/>
        <v>0</v>
      </c>
      <c r="CT77" s="141">
        <v>1.0827015458636876E-2</v>
      </c>
    </row>
    <row r="78" spans="1:98" s="50" customFormat="1" x14ac:dyDescent="0.2">
      <c r="AB78" s="51"/>
      <c r="AC78" s="51"/>
      <c r="AD78" s="51"/>
      <c r="AE78" s="51"/>
      <c r="AG78" s="64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50" customFormat="1" x14ac:dyDescent="0.2">
      <c r="AB79" s="51"/>
      <c r="AC79" s="51"/>
      <c r="AD79" s="51"/>
      <c r="AE79" s="51"/>
      <c r="AF79" s="144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8" s="38" customFormat="1" x14ac:dyDescent="0.2">
      <c r="A80" s="38" t="s">
        <v>287</v>
      </c>
      <c r="D80" s="110" t="e">
        <f t="shared" ref="D80:Z80" si="812">+D37/D82</f>
        <v>#DIV/0!</v>
      </c>
      <c r="E80" s="110" t="e">
        <f t="shared" si="812"/>
        <v>#DIV/0!</v>
      </c>
      <c r="F80" s="110" t="e">
        <f t="shared" si="812"/>
        <v>#DIV/0!</v>
      </c>
      <c r="G80" s="110" t="e">
        <f t="shared" si="812"/>
        <v>#DIV/0!</v>
      </c>
      <c r="H80" s="110" t="e">
        <f t="shared" si="812"/>
        <v>#DIV/0!</v>
      </c>
      <c r="I80" s="110" t="e">
        <f t="shared" si="812"/>
        <v>#DIV/0!</v>
      </c>
      <c r="J80" s="110">
        <f t="shared" si="812"/>
        <v>0.1814699409544136</v>
      </c>
      <c r="K80" s="110">
        <f t="shared" si="812"/>
        <v>0.13950293722030371</v>
      </c>
      <c r="L80" s="110">
        <f t="shared" si="812"/>
        <v>0.19857551688285668</v>
      </c>
      <c r="M80" s="110">
        <f t="shared" si="812"/>
        <v>0.11722720957613607</v>
      </c>
      <c r="N80" s="110">
        <f t="shared" si="812"/>
        <v>0.13782069756373144</v>
      </c>
      <c r="O80" s="110">
        <f t="shared" si="812"/>
        <v>0.13597476482541559</v>
      </c>
      <c r="P80" s="110">
        <f t="shared" si="812"/>
        <v>0.13827631104672478</v>
      </c>
      <c r="Q80" s="110">
        <f t="shared" si="812"/>
        <v>0.13041159133645544</v>
      </c>
      <c r="R80" s="110">
        <f t="shared" si="812"/>
        <v>0.13575833688195299</v>
      </c>
      <c r="S80" s="110">
        <f t="shared" si="812"/>
        <v>0.1267936565899003</v>
      </c>
      <c r="T80" s="110">
        <f t="shared" si="812"/>
        <v>0.14421335253866283</v>
      </c>
      <c r="U80" s="110">
        <f t="shared" si="812"/>
        <v>0.12830217501621616</v>
      </c>
      <c r="V80" s="110">
        <f t="shared" si="812"/>
        <v>0.12029280073200183</v>
      </c>
      <c r="W80" s="110">
        <f t="shared" si="812"/>
        <v>0.13265118352865163</v>
      </c>
      <c r="X80" s="110">
        <f t="shared" si="812"/>
        <v>0.1301087880413879</v>
      </c>
      <c r="Y80" s="110">
        <f t="shared" si="812"/>
        <v>0.14216964098361881</v>
      </c>
      <c r="Z80" s="110">
        <f t="shared" si="812"/>
        <v>0.13901350872973425</v>
      </c>
      <c r="AA80" s="110">
        <f t="shared" ref="AA80" si="813">+AA37/AA82</f>
        <v>0.14586130115279797</v>
      </c>
      <c r="AB80" s="39"/>
      <c r="AC80" s="39"/>
      <c r="AD80" s="39"/>
      <c r="AE80" s="39"/>
      <c r="AG80" s="60"/>
      <c r="AI80" s="110" t="e">
        <f t="shared" ref="AI80:AT80" si="814">+AI37/AI82*4</f>
        <v>#DIV/0!</v>
      </c>
      <c r="AJ80" s="110" t="e">
        <f t="shared" si="814"/>
        <v>#DIV/0!</v>
      </c>
      <c r="AK80" s="110" t="e">
        <f t="shared" si="814"/>
        <v>#DIV/0!</v>
      </c>
      <c r="AL80" s="110" t="e">
        <f t="shared" si="814"/>
        <v>#DIV/0!</v>
      </c>
      <c r="AM80" s="110" t="e">
        <f t="shared" si="814"/>
        <v>#DIV/0!</v>
      </c>
      <c r="AN80" s="110" t="e">
        <f t="shared" si="814"/>
        <v>#DIV/0!</v>
      </c>
      <c r="AO80" s="110" t="e">
        <f t="shared" si="814"/>
        <v>#DIV/0!</v>
      </c>
      <c r="AP80" s="110" t="e">
        <f t="shared" si="814"/>
        <v>#DIV/0!</v>
      </c>
      <c r="AQ80" s="110" t="e">
        <f t="shared" si="814"/>
        <v>#DIV/0!</v>
      </c>
      <c r="AR80" s="110" t="e">
        <f t="shared" si="814"/>
        <v>#DIV/0!</v>
      </c>
      <c r="AS80" s="110">
        <f t="shared" si="814"/>
        <v>0.27614267943697873</v>
      </c>
      <c r="AT80" s="110">
        <f t="shared" si="814"/>
        <v>0.30771304790092596</v>
      </c>
      <c r="AU80" s="110">
        <f t="shared" ref="AU80:CO80" si="815">+AU37/AU82*4</f>
        <v>0.28605363593653504</v>
      </c>
      <c r="AV80" s="110">
        <f t="shared" si="815"/>
        <v>0.33820799453822098</v>
      </c>
      <c r="AW80" s="110">
        <f t="shared" si="815"/>
        <v>0.28259753476812921</v>
      </c>
      <c r="AX80" s="110">
        <f t="shared" si="815"/>
        <v>0.30633209299367109</v>
      </c>
      <c r="AY80" s="110">
        <f t="shared" si="815"/>
        <v>0.27807951570724809</v>
      </c>
      <c r="AZ80" s="110">
        <f t="shared" si="815"/>
        <v>0.3318658204504063</v>
      </c>
      <c r="BA80" s="110">
        <f t="shared" si="815"/>
        <v>0.22066549598141499</v>
      </c>
      <c r="BB80" s="110">
        <f t="shared" si="815"/>
        <v>0.27841611130901694</v>
      </c>
      <c r="BC80" s="110">
        <f t="shared" si="815"/>
        <v>0.26559880724473922</v>
      </c>
      <c r="BD80" s="110">
        <f t="shared" si="815"/>
        <v>0.24771528432342557</v>
      </c>
      <c r="BE80" s="110">
        <f t="shared" si="815"/>
        <v>0.33230555019955599</v>
      </c>
      <c r="BF80" s="110">
        <f t="shared" si="815"/>
        <v>0.25034681282004462</v>
      </c>
      <c r="BG80" s="110">
        <f t="shared" si="815"/>
        <v>0.26176425296225825</v>
      </c>
      <c r="BH80" s="110">
        <f t="shared" si="815"/>
        <v>0.30179229143858755</v>
      </c>
      <c r="BI80" s="110">
        <f t="shared" si="815"/>
        <v>0.30055255802739694</v>
      </c>
      <c r="BJ80" s="110">
        <f t="shared" si="815"/>
        <v>0.25994540111757725</v>
      </c>
      <c r="BK80" s="110">
        <f t="shared" si="815"/>
        <v>0.27665944207688348</v>
      </c>
      <c r="BL80" s="110">
        <f t="shared" si="815"/>
        <v>0.30473653345447038</v>
      </c>
      <c r="BM80" s="110">
        <f t="shared" si="815"/>
        <v>0.29532266617977565</v>
      </c>
      <c r="BN80" s="110">
        <f t="shared" si="815"/>
        <v>0.32213176215235922</v>
      </c>
      <c r="BO80" s="110">
        <f t="shared" si="815"/>
        <v>0.30454986741829448</v>
      </c>
      <c r="BP80" s="110">
        <f t="shared" si="815"/>
        <v>0.31477343629672216</v>
      </c>
      <c r="BQ80" s="110">
        <f t="shared" si="815"/>
        <v>0.29395540744028098</v>
      </c>
      <c r="BR80" s="110">
        <f t="shared" si="815"/>
        <v>0.30190601302220582</v>
      </c>
      <c r="BS80" s="110">
        <f t="shared" si="815"/>
        <v>0.31206715617935266</v>
      </c>
      <c r="BT80" s="110">
        <f t="shared" si="815"/>
        <v>0.15122437365952682</v>
      </c>
      <c r="BU80" s="110">
        <f t="shared" si="815"/>
        <v>0.15404628561418568</v>
      </c>
      <c r="BV80" s="110">
        <f t="shared" si="815"/>
        <v>0.15868807630774706</v>
      </c>
      <c r="BW80" s="110">
        <f t="shared" ref="BW80:BX80" si="816">+BW37/BW82*4</f>
        <v>0.16584375871468385</v>
      </c>
      <c r="BX80" s="110">
        <f t="shared" si="816"/>
        <v>0.15540139557859542</v>
      </c>
      <c r="BY80" s="110">
        <f t="shared" ref="BY80" si="817">+BY37/BY82*4</f>
        <v>0.1578514421915741</v>
      </c>
      <c r="BZ80" s="112">
        <f t="shared" si="815"/>
        <v>0.1548494143845604</v>
      </c>
      <c r="CA80" s="112">
        <f t="shared" si="815"/>
        <v>0.17101189177326251</v>
      </c>
      <c r="CB80" s="112">
        <f t="shared" si="815"/>
        <v>0.17120548368202371</v>
      </c>
      <c r="CC80" s="112">
        <f t="shared" si="815"/>
        <v>0.16894460572657438</v>
      </c>
      <c r="CD80" s="112">
        <f t="shared" si="815"/>
        <v>0.16874164222656199</v>
      </c>
      <c r="CE80" s="112">
        <f t="shared" si="815"/>
        <v>0.18008327741210337</v>
      </c>
      <c r="CF80" s="112">
        <f t="shared" si="815"/>
        <v>0.17878079282911588</v>
      </c>
      <c r="CG80" s="112">
        <f t="shared" si="815"/>
        <v>0.17367391522985418</v>
      </c>
      <c r="CH80" s="112">
        <f t="shared" si="815"/>
        <v>0.17396008120480122</v>
      </c>
      <c r="CI80" s="112">
        <f t="shared" si="815"/>
        <v>0.18199474602605889</v>
      </c>
      <c r="CJ80" s="112">
        <f t="shared" si="815"/>
        <v>0.17896447066332324</v>
      </c>
      <c r="CK80" s="112">
        <f t="shared" si="815"/>
        <v>0.17218732525874783</v>
      </c>
      <c r="CL80" s="112">
        <f t="shared" si="815"/>
        <v>0.17549610401803864</v>
      </c>
      <c r="CM80" s="112">
        <f t="shared" si="815"/>
        <v>0.18239528715808498</v>
      </c>
      <c r="CN80" s="112">
        <f t="shared" si="815"/>
        <v>0.17905807878250374</v>
      </c>
      <c r="CO80" s="112">
        <f t="shared" si="815"/>
        <v>0.17238849954870225</v>
      </c>
      <c r="CT80" s="38">
        <v>0.14586130115279797</v>
      </c>
    </row>
    <row r="81" spans="1:98" s="50" customFormat="1" x14ac:dyDescent="0.2">
      <c r="A81" s="50" t="s">
        <v>160</v>
      </c>
      <c r="B81" s="50">
        <f t="shared" ref="B81:Z81" si="818">+B131+B120+B148</f>
        <v>0</v>
      </c>
      <c r="C81" s="50">
        <f t="shared" si="818"/>
        <v>0</v>
      </c>
      <c r="D81" s="50">
        <f t="shared" si="818"/>
        <v>0</v>
      </c>
      <c r="E81" s="50">
        <f t="shared" si="818"/>
        <v>0</v>
      </c>
      <c r="F81" s="50">
        <f t="shared" si="818"/>
        <v>0</v>
      </c>
      <c r="G81" s="50">
        <f t="shared" si="818"/>
        <v>0</v>
      </c>
      <c r="H81" s="50">
        <f t="shared" si="818"/>
        <v>0</v>
      </c>
      <c r="I81" s="50">
        <f t="shared" si="818"/>
        <v>0</v>
      </c>
      <c r="J81" s="50">
        <f t="shared" si="818"/>
        <v>186.5965549</v>
      </c>
      <c r="K81" s="50">
        <f t="shared" si="818"/>
        <v>240.64855109999999</v>
      </c>
      <c r="L81" s="50">
        <f t="shared" si="818"/>
        <v>221.91825089999998</v>
      </c>
      <c r="M81" s="50">
        <f t="shared" si="818"/>
        <v>277.15158289999999</v>
      </c>
      <c r="N81" s="50">
        <f t="shared" si="818"/>
        <v>396.55726520000002</v>
      </c>
      <c r="O81" s="50">
        <f t="shared" si="818"/>
        <v>676.22903589999999</v>
      </c>
      <c r="P81" s="50">
        <f t="shared" si="818"/>
        <v>1352.5721728999999</v>
      </c>
      <c r="Q81" s="50">
        <f t="shared" si="818"/>
        <v>2474.1157271999996</v>
      </c>
      <c r="R81" s="50">
        <f t="shared" si="818"/>
        <v>3087.1154364999998</v>
      </c>
      <c r="S81" s="50">
        <f t="shared" si="818"/>
        <v>5055.0899999999992</v>
      </c>
      <c r="T81" s="50">
        <f t="shared" si="818"/>
        <v>6941.58</v>
      </c>
      <c r="U81" s="50">
        <f t="shared" si="818"/>
        <v>10340.59</v>
      </c>
      <c r="V81" s="50">
        <f t="shared" si="818"/>
        <v>10992.69</v>
      </c>
      <c r="W81" s="50">
        <f t="shared" si="818"/>
        <v>15472.66</v>
      </c>
      <c r="X81" s="50">
        <f t="shared" si="818"/>
        <v>20328.149999999998</v>
      </c>
      <c r="Y81" s="50">
        <f t="shared" si="818"/>
        <v>27900.29</v>
      </c>
      <c r="Z81" s="50">
        <f t="shared" si="818"/>
        <v>26732.53</v>
      </c>
      <c r="AA81" s="50">
        <f t="shared" ref="AA81" si="819">+AA131+AA120+AA148</f>
        <v>30222.809999999998</v>
      </c>
      <c r="AB81" s="51"/>
      <c r="AC81" s="51"/>
      <c r="AD81" s="51"/>
      <c r="AE81" s="51"/>
      <c r="AG81" s="64"/>
      <c r="AI81" s="50">
        <f t="shared" ref="AI81:AT81" si="820">+AI131+AI120+AI148</f>
        <v>0</v>
      </c>
      <c r="AJ81" s="50">
        <f t="shared" si="820"/>
        <v>0</v>
      </c>
      <c r="AK81" s="50">
        <f t="shared" si="820"/>
        <v>0</v>
      </c>
      <c r="AL81" s="50">
        <f t="shared" si="820"/>
        <v>0</v>
      </c>
      <c r="AM81" s="50">
        <f t="shared" si="820"/>
        <v>0</v>
      </c>
      <c r="AN81" s="50">
        <f t="shared" si="820"/>
        <v>0</v>
      </c>
      <c r="AO81" s="50">
        <f t="shared" si="820"/>
        <v>0</v>
      </c>
      <c r="AP81" s="50">
        <f t="shared" si="820"/>
        <v>0</v>
      </c>
      <c r="AQ81" s="50">
        <f t="shared" si="820"/>
        <v>0</v>
      </c>
      <c r="AR81" s="50">
        <f t="shared" si="820"/>
        <v>0</v>
      </c>
      <c r="AS81" s="50">
        <f t="shared" si="820"/>
        <v>4895.7299999999996</v>
      </c>
      <c r="AT81" s="50">
        <f t="shared" si="820"/>
        <v>0</v>
      </c>
      <c r="AU81" s="50">
        <f t="shared" ref="AU81:BU81" si="821">+AU131+AU120+AU148</f>
        <v>5683.13</v>
      </c>
      <c r="AV81" s="50">
        <f t="shared" si="821"/>
        <v>0</v>
      </c>
      <c r="AW81" s="50">
        <f t="shared" si="821"/>
        <v>6603.03</v>
      </c>
      <c r="AX81" s="50">
        <f t="shared" si="821"/>
        <v>0</v>
      </c>
      <c r="AY81" s="50">
        <f t="shared" si="821"/>
        <v>7407.09</v>
      </c>
      <c r="AZ81" s="50">
        <f t="shared" si="821"/>
        <v>0</v>
      </c>
      <c r="BA81" s="50">
        <f t="shared" si="821"/>
        <v>11144.47</v>
      </c>
      <c r="BB81" s="50">
        <f t="shared" si="821"/>
        <v>0</v>
      </c>
      <c r="BC81" s="50">
        <f t="shared" si="821"/>
        <v>10248.539999999999</v>
      </c>
      <c r="BD81" s="50">
        <f t="shared" si="821"/>
        <v>0</v>
      </c>
      <c r="BE81" s="50">
        <f t="shared" si="821"/>
        <v>11721.02</v>
      </c>
      <c r="BF81" s="50">
        <f t="shared" si="821"/>
        <v>0</v>
      </c>
      <c r="BG81" s="50">
        <f t="shared" si="821"/>
        <v>11883.67</v>
      </c>
      <c r="BH81" s="50">
        <f t="shared" si="821"/>
        <v>0</v>
      </c>
      <c r="BI81" s="50">
        <f t="shared" si="821"/>
        <v>14765.87</v>
      </c>
      <c r="BJ81" s="50">
        <f t="shared" si="821"/>
        <v>0</v>
      </c>
      <c r="BK81" s="50">
        <f t="shared" si="821"/>
        <v>15585.66</v>
      </c>
      <c r="BL81" s="50">
        <f t="shared" si="821"/>
        <v>0</v>
      </c>
      <c r="BM81" s="50">
        <f t="shared" si="821"/>
        <v>19497.86</v>
      </c>
      <c r="BN81" s="50">
        <f t="shared" si="821"/>
        <v>0</v>
      </c>
      <c r="BO81" s="50">
        <f t="shared" si="821"/>
        <v>21620.63</v>
      </c>
      <c r="BP81" s="50">
        <f t="shared" si="821"/>
        <v>0</v>
      </c>
      <c r="BQ81" s="50">
        <f t="shared" si="821"/>
        <v>26543.890000000003</v>
      </c>
      <c r="BR81" s="50">
        <f t="shared" si="821"/>
        <v>0</v>
      </c>
      <c r="BS81" s="50">
        <f t="shared" si="821"/>
        <v>24832.86</v>
      </c>
      <c r="BT81" s="50">
        <f t="shared" si="821"/>
        <v>23070</v>
      </c>
      <c r="BU81" s="50">
        <f t="shared" si="821"/>
        <v>25167.45</v>
      </c>
      <c r="BV81" s="50">
        <f>+BV131+BV120+BV148</f>
        <v>24274.45</v>
      </c>
      <c r="BW81" s="50">
        <f>+BW131+BW120+BW148</f>
        <v>25354.43</v>
      </c>
      <c r="BX81" s="50">
        <f>+BX131+BX120+BX148</f>
        <v>27724.630000000005</v>
      </c>
      <c r="BY81" s="50">
        <f>+BY131+BY120+BY148</f>
        <v>28998.07</v>
      </c>
      <c r="BZ81" s="39">
        <f t="shared" ref="BZ81:CO81" si="822">+BZ131+BZ120+BZ148</f>
        <v>30578.679425510283</v>
      </c>
      <c r="CA81" s="39">
        <f t="shared" si="822"/>
        <v>31184.799140705807</v>
      </c>
      <c r="CB81" s="39">
        <f t="shared" si="822"/>
        <v>32053.6651446213</v>
      </c>
      <c r="CC81" s="39">
        <f t="shared" si="822"/>
        <v>35446.807832184444</v>
      </c>
      <c r="CD81" s="39">
        <f t="shared" si="822"/>
        <v>35025.183345642152</v>
      </c>
      <c r="CE81" s="39">
        <f t="shared" si="822"/>
        <v>35814.700577331612</v>
      </c>
      <c r="CF81" s="39">
        <f t="shared" si="822"/>
        <v>36853.529383745692</v>
      </c>
      <c r="CG81" s="39">
        <f t="shared" si="822"/>
        <v>40736.563700273684</v>
      </c>
      <c r="CH81" s="39">
        <f t="shared" si="822"/>
        <v>40318.798737972094</v>
      </c>
      <c r="CI81" s="39">
        <f t="shared" si="822"/>
        <v>41243.896893898993</v>
      </c>
      <c r="CJ81" s="39">
        <f t="shared" si="822"/>
        <v>42429.972612020298</v>
      </c>
      <c r="CK81" s="39">
        <f t="shared" si="822"/>
        <v>46800.01105964624</v>
      </c>
      <c r="CL81" s="39">
        <f t="shared" si="822"/>
        <v>46354.696384828167</v>
      </c>
      <c r="CM81" s="39">
        <f t="shared" si="822"/>
        <v>47413.264995709222</v>
      </c>
      <c r="CN81" s="39">
        <f t="shared" si="822"/>
        <v>48762.290661099585</v>
      </c>
      <c r="CO81" s="39">
        <f t="shared" si="822"/>
        <v>53694.82750725832</v>
      </c>
      <c r="CT81" s="50">
        <v>30222.809999999998</v>
      </c>
    </row>
    <row r="82" spans="1:98" x14ac:dyDescent="0.2">
      <c r="A82" s="47" t="s">
        <v>161</v>
      </c>
      <c r="D82" s="111">
        <f t="shared" ref="D82:AA82" si="823">+AVERAGE(C81:D81)</f>
        <v>0</v>
      </c>
      <c r="E82" s="111">
        <f t="shared" si="823"/>
        <v>0</v>
      </c>
      <c r="F82" s="111">
        <f t="shared" si="823"/>
        <v>0</v>
      </c>
      <c r="G82" s="111">
        <f t="shared" si="823"/>
        <v>0</v>
      </c>
      <c r="H82" s="111">
        <f t="shared" si="823"/>
        <v>0</v>
      </c>
      <c r="I82" s="111">
        <f t="shared" si="823"/>
        <v>0</v>
      </c>
      <c r="J82" s="111">
        <f t="shared" si="823"/>
        <v>93.29827745</v>
      </c>
      <c r="K82" s="111">
        <f t="shared" si="823"/>
        <v>213.62255299999998</v>
      </c>
      <c r="L82" s="111">
        <f t="shared" si="823"/>
        <v>231.28340099999997</v>
      </c>
      <c r="M82" s="111">
        <f t="shared" si="823"/>
        <v>249.53491689999998</v>
      </c>
      <c r="N82" s="111">
        <f t="shared" si="823"/>
        <v>336.85442405000003</v>
      </c>
      <c r="O82" s="111">
        <f t="shared" si="823"/>
        <v>536.39315054999997</v>
      </c>
      <c r="P82" s="111">
        <f t="shared" si="823"/>
        <v>1014.4006044</v>
      </c>
      <c r="Q82" s="111">
        <f t="shared" si="823"/>
        <v>1913.3439500499999</v>
      </c>
      <c r="R82" s="111">
        <f t="shared" si="823"/>
        <v>2780.6155818499997</v>
      </c>
      <c r="S82" s="111">
        <f t="shared" si="823"/>
        <v>4071.1027182499993</v>
      </c>
      <c r="T82" s="111">
        <f t="shared" si="823"/>
        <v>5998.3349999999991</v>
      </c>
      <c r="U82" s="111">
        <f t="shared" si="823"/>
        <v>8641.0849999999991</v>
      </c>
      <c r="V82" s="111">
        <f t="shared" si="823"/>
        <v>10666.64</v>
      </c>
      <c r="W82" s="111">
        <f t="shared" si="823"/>
        <v>13232.674999999999</v>
      </c>
      <c r="X82" s="111">
        <f t="shared" si="823"/>
        <v>17900.404999999999</v>
      </c>
      <c r="Y82" s="111">
        <f t="shared" si="823"/>
        <v>24114.22</v>
      </c>
      <c r="Z82" s="111">
        <f t="shared" si="823"/>
        <v>27316.41</v>
      </c>
      <c r="AA82" s="111">
        <f t="shared" si="823"/>
        <v>28477.67</v>
      </c>
      <c r="AH82" s="48"/>
      <c r="AI82" s="111">
        <f t="shared" ref="AI82" si="824">+AVERAGE(AH81:AI81)</f>
        <v>0</v>
      </c>
      <c r="AJ82" s="111">
        <f t="shared" ref="AJ82" si="825">+AVERAGE(AI81:AJ81)</f>
        <v>0</v>
      </c>
      <c r="AK82" s="111">
        <f t="shared" ref="AK82" si="826">+AVERAGE(AJ81:AK81)</f>
        <v>0</v>
      </c>
      <c r="AL82" s="111">
        <f t="shared" ref="AL82" si="827">+AVERAGE(AK81:AL81)</f>
        <v>0</v>
      </c>
      <c r="AM82" s="111">
        <f t="shared" ref="AM82" si="828">+AVERAGE(AL81:AM81)</f>
        <v>0</v>
      </c>
      <c r="AN82" s="111">
        <f t="shared" ref="AN82" si="829">+AVERAGE(AM81:AN81)</f>
        <v>0</v>
      </c>
      <c r="AO82" s="111">
        <f t="shared" ref="AO82" si="830">+AVERAGE(AN81:AO81)</f>
        <v>0</v>
      </c>
      <c r="AP82" s="111">
        <f t="shared" ref="AP82" si="831">+AVERAGE(AO81:AP81)</f>
        <v>0</v>
      </c>
      <c r="AQ82" s="111">
        <f t="shared" ref="AQ82" si="832">+AVERAGE(AP81:AQ81)</f>
        <v>0</v>
      </c>
      <c r="AR82" s="111">
        <f t="shared" ref="AR82" si="833">+AVERAGE(AQ81:AR81)</f>
        <v>0</v>
      </c>
      <c r="AS82" s="111">
        <f t="shared" ref="AS82" si="834">+AVERAGE(AR81:AS81)</f>
        <v>2447.8649999999998</v>
      </c>
      <c r="AT82" s="111">
        <f t="shared" ref="AT82" si="835">+AVERAGE(AS81:AT81)</f>
        <v>2447.8649999999998</v>
      </c>
      <c r="AU82" s="111">
        <f t="shared" ref="AU82:CO82" si="836">+AVERAGE(AT81:AU81)</f>
        <v>2841.5650000000001</v>
      </c>
      <c r="AV82" s="111">
        <f t="shared" si="836"/>
        <v>2841.5650000000001</v>
      </c>
      <c r="AW82" s="111">
        <f t="shared" si="836"/>
        <v>3301.5149999999999</v>
      </c>
      <c r="AX82" s="111">
        <f t="shared" si="836"/>
        <v>3301.5149999999999</v>
      </c>
      <c r="AY82" s="111">
        <f t="shared" si="836"/>
        <v>3703.5450000000001</v>
      </c>
      <c r="AZ82" s="111">
        <f t="shared" si="836"/>
        <v>3703.5450000000001</v>
      </c>
      <c r="BA82" s="111">
        <f t="shared" si="836"/>
        <v>5572.2349999999997</v>
      </c>
      <c r="BB82" s="111">
        <f t="shared" si="836"/>
        <v>5572.2349999999997</v>
      </c>
      <c r="BC82" s="111">
        <f t="shared" si="836"/>
        <v>5124.2699999999995</v>
      </c>
      <c r="BD82" s="111">
        <f t="shared" si="836"/>
        <v>5124.2699999999995</v>
      </c>
      <c r="BE82" s="111">
        <f t="shared" si="836"/>
        <v>5860.51</v>
      </c>
      <c r="BF82" s="111">
        <f t="shared" si="836"/>
        <v>5860.51</v>
      </c>
      <c r="BG82" s="111">
        <f t="shared" si="836"/>
        <v>5941.835</v>
      </c>
      <c r="BH82" s="111">
        <f t="shared" si="836"/>
        <v>5941.835</v>
      </c>
      <c r="BI82" s="111">
        <f t="shared" si="836"/>
        <v>7382.9350000000004</v>
      </c>
      <c r="BJ82" s="111">
        <f t="shared" si="836"/>
        <v>7382.9350000000004</v>
      </c>
      <c r="BK82" s="111">
        <f t="shared" si="836"/>
        <v>7792.83</v>
      </c>
      <c r="BL82" s="111">
        <f t="shared" si="836"/>
        <v>7792.83</v>
      </c>
      <c r="BM82" s="111">
        <f t="shared" si="836"/>
        <v>9748.93</v>
      </c>
      <c r="BN82" s="111">
        <f t="shared" si="836"/>
        <v>9748.93</v>
      </c>
      <c r="BO82" s="111">
        <f t="shared" si="836"/>
        <v>10810.315000000001</v>
      </c>
      <c r="BP82" s="111">
        <f t="shared" si="836"/>
        <v>10810.315000000001</v>
      </c>
      <c r="BQ82" s="111">
        <f t="shared" si="836"/>
        <v>13271.945000000002</v>
      </c>
      <c r="BR82" s="111">
        <f t="shared" si="836"/>
        <v>13271.945000000002</v>
      </c>
      <c r="BS82" s="111">
        <f t="shared" si="836"/>
        <v>12416.43</v>
      </c>
      <c r="BT82" s="111">
        <f t="shared" si="836"/>
        <v>23951.43</v>
      </c>
      <c r="BU82" s="111">
        <f t="shared" si="836"/>
        <v>24118.724999999999</v>
      </c>
      <c r="BV82" s="111">
        <f>+AVERAGE(BU81:BV81)</f>
        <v>24720.95</v>
      </c>
      <c r="BW82" s="111">
        <f>+AVERAGE(BV81:BW81)</f>
        <v>24814.440000000002</v>
      </c>
      <c r="BX82" s="111">
        <f>+AVERAGE(BW81:BX81)</f>
        <v>26539.530000000002</v>
      </c>
      <c r="BY82" s="111">
        <f>+AVERAGE(BX81:BY81)</f>
        <v>28361.350000000002</v>
      </c>
      <c r="BZ82" s="39">
        <f t="shared" si="836"/>
        <v>29788.37471275514</v>
      </c>
      <c r="CA82" s="39">
        <f t="shared" si="836"/>
        <v>30881.739283108043</v>
      </c>
      <c r="CB82" s="39">
        <f t="shared" si="836"/>
        <v>31619.232142663554</v>
      </c>
      <c r="CC82" s="39">
        <f t="shared" si="836"/>
        <v>33750.236488402872</v>
      </c>
      <c r="CD82" s="39">
        <f t="shared" si="836"/>
        <v>35235.995588913298</v>
      </c>
      <c r="CE82" s="39">
        <f t="shared" si="836"/>
        <v>35419.941961486882</v>
      </c>
      <c r="CF82" s="39">
        <f t="shared" si="836"/>
        <v>36334.114980538652</v>
      </c>
      <c r="CG82" s="39">
        <f t="shared" si="836"/>
        <v>38795.046542009688</v>
      </c>
      <c r="CH82" s="39">
        <f t="shared" si="836"/>
        <v>40527.681219122889</v>
      </c>
      <c r="CI82" s="39">
        <f t="shared" si="836"/>
        <v>40781.347815935544</v>
      </c>
      <c r="CJ82" s="39">
        <f t="shared" si="836"/>
        <v>41836.934752959642</v>
      </c>
      <c r="CK82" s="39">
        <f t="shared" si="836"/>
        <v>44614.991835833265</v>
      </c>
      <c r="CL82" s="39">
        <f t="shared" si="836"/>
        <v>46577.353722237203</v>
      </c>
      <c r="CM82" s="39">
        <f t="shared" si="836"/>
        <v>46883.980690268698</v>
      </c>
      <c r="CN82" s="39">
        <f t="shared" si="836"/>
        <v>48087.777828404403</v>
      </c>
      <c r="CO82" s="39">
        <f t="shared" si="836"/>
        <v>51228.559084178953</v>
      </c>
      <c r="CT82" s="47">
        <v>28477.67</v>
      </c>
    </row>
    <row r="83" spans="1:98" s="127" customFormat="1" x14ac:dyDescent="0.2">
      <c r="A83" s="127" t="s">
        <v>175</v>
      </c>
      <c r="D83" s="127" t="e">
        <f t="shared" ref="D83:AE83" si="837">D56/D106</f>
        <v>#DIV/0!</v>
      </c>
      <c r="E83" s="127" t="e">
        <f t="shared" si="837"/>
        <v>#DIV/0!</v>
      </c>
      <c r="F83" s="127" t="e">
        <f t="shared" si="837"/>
        <v>#DIV/0!</v>
      </c>
      <c r="G83" s="127" t="e">
        <f t="shared" si="837"/>
        <v>#DIV/0!</v>
      </c>
      <c r="H83" s="127" t="e">
        <f t="shared" si="837"/>
        <v>#DIV/0!</v>
      </c>
      <c r="I83" s="127" t="e">
        <f t="shared" si="837"/>
        <v>#DIV/0!</v>
      </c>
      <c r="J83" s="127">
        <f t="shared" si="837"/>
        <v>2.2222962577856407E-2</v>
      </c>
      <c r="K83" s="127">
        <f t="shared" si="837"/>
        <v>1.8821461751473447E-2</v>
      </c>
      <c r="L83" s="127">
        <f t="shared" si="837"/>
        <v>6.5323619352175843E-2</v>
      </c>
      <c r="M83" s="127">
        <f t="shared" si="837"/>
        <v>-5.7102058675939274E-2</v>
      </c>
      <c r="N83" s="127">
        <f t="shared" si="837"/>
        <v>7.5187982925080998E-2</v>
      </c>
      <c r="O83" s="127">
        <f t="shared" si="837"/>
        <v>8.7696167901076552E-2</v>
      </c>
      <c r="P83" s="127">
        <f t="shared" si="837"/>
        <v>0.12983801782463431</v>
      </c>
      <c r="Q83" s="127">
        <f t="shared" si="837"/>
        <v>0.18019481707753013</v>
      </c>
      <c r="R83" s="127">
        <f t="shared" si="837"/>
        <v>0.10893946358633289</v>
      </c>
      <c r="S83" s="127">
        <f t="shared" si="837"/>
        <v>0.14781423045885861</v>
      </c>
      <c r="T83" s="127">
        <f t="shared" si="837"/>
        <v>0.13604728844088518</v>
      </c>
      <c r="U83" s="127">
        <f t="shared" si="837"/>
        <v>0.12270145518305942</v>
      </c>
      <c r="V83" s="127">
        <f t="shared" si="837"/>
        <v>3.9173987085982444E-2</v>
      </c>
      <c r="W83" s="127">
        <f t="shared" si="837"/>
        <v>8.4734251519711173E-2</v>
      </c>
      <c r="X83" s="127">
        <f t="shared" si="837"/>
        <v>0.1617465644789248</v>
      </c>
      <c r="Y83" s="127">
        <f t="shared" si="837"/>
        <v>0.22008234461449483</v>
      </c>
      <c r="Z83" s="127">
        <f t="shared" si="837"/>
        <v>7.6395138543460653E-2</v>
      </c>
      <c r="AA83" s="127">
        <f t="shared" ref="AA83" si="838">AA56/AA106</f>
        <v>9.9160696843495835E-2</v>
      </c>
      <c r="AB83" s="112">
        <f t="shared" si="837"/>
        <v>0.16335703562310228</v>
      </c>
      <c r="AC83" s="112">
        <f t="shared" si="837"/>
        <v>0.18112860442231132</v>
      </c>
      <c r="AD83" s="112">
        <f t="shared" si="837"/>
        <v>0.17605010819131989</v>
      </c>
      <c r="AE83" s="112">
        <f t="shared" si="837"/>
        <v>0.16890562370842946</v>
      </c>
      <c r="AG83" s="128"/>
      <c r="BZ83" s="112"/>
      <c r="CA83" s="112"/>
      <c r="CB83" s="112"/>
      <c r="CC83" s="112"/>
      <c r="CD83" s="112"/>
      <c r="CE83" s="112"/>
      <c r="CF83" s="112"/>
      <c r="CG83" s="112"/>
      <c r="CH83" s="112"/>
      <c r="CI83" s="112"/>
      <c r="CJ83" s="112"/>
      <c r="CK83" s="112"/>
      <c r="CL83" s="112"/>
      <c r="CM83" s="112"/>
      <c r="CN83" s="112"/>
      <c r="CO83" s="112"/>
      <c r="CT83" s="127">
        <v>9.91603175109185E-2</v>
      </c>
    </row>
    <row r="84" spans="1:98" x14ac:dyDescent="0.2"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spans="1:98" x14ac:dyDescent="0.2">
      <c r="A85" s="117" t="s">
        <v>170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spans="1:98" x14ac:dyDescent="0.2">
      <c r="A86" s="117" t="s">
        <v>171</v>
      </c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</row>
    <row r="87" spans="1:98" s="52" customFormat="1" x14ac:dyDescent="0.2"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49"/>
      <c r="AC87" s="49"/>
      <c r="AD87" s="49"/>
      <c r="AE87" s="49"/>
      <c r="AG87" s="63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</row>
    <row r="88" spans="1:98" s="88" customFormat="1" x14ac:dyDescent="0.2">
      <c r="A88" s="88" t="s">
        <v>36</v>
      </c>
      <c r="AB88" s="19"/>
      <c r="AC88" s="19"/>
      <c r="AD88" s="19"/>
      <c r="AE88" s="19"/>
      <c r="AG88" s="84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</row>
    <row r="89" spans="1:98" s="95" customFormat="1" x14ac:dyDescent="0.2">
      <c r="A89" s="95" t="s">
        <v>40</v>
      </c>
      <c r="B89" s="95">
        <f>+'Annual Raw'!C59</f>
        <v>0</v>
      </c>
      <c r="C89" s="95">
        <f>+'Annual Raw'!D59</f>
        <v>0</v>
      </c>
      <c r="D89" s="95">
        <f>+'Annual Raw'!E59</f>
        <v>0</v>
      </c>
      <c r="E89" s="95">
        <f>+'Annual Raw'!F59</f>
        <v>0</v>
      </c>
      <c r="F89" s="95">
        <f>+'Annual Raw'!G59</f>
        <v>0</v>
      </c>
      <c r="G89" s="95">
        <f>+'Annual Raw'!H59</f>
        <v>0</v>
      </c>
      <c r="H89" s="95">
        <f>+'Annual Raw'!I59</f>
        <v>0</v>
      </c>
      <c r="I89" s="95">
        <f>+'Annual Raw'!J59</f>
        <v>0</v>
      </c>
      <c r="J89" s="95">
        <f>+'Annual Raw'!K59</f>
        <v>0</v>
      </c>
      <c r="K89" s="95">
        <f>+'Annual Raw'!L59</f>
        <v>0</v>
      </c>
      <c r="L89" s="95">
        <f>+'Annual Raw'!M59</f>
        <v>0</v>
      </c>
      <c r="M89" s="95">
        <f>+'Annual Raw'!N59</f>
        <v>0</v>
      </c>
      <c r="N89" s="95">
        <f>+'Annual Raw'!O59</f>
        <v>0</v>
      </c>
      <c r="O89" s="95">
        <f>+'Annual Raw'!P59</f>
        <v>0</v>
      </c>
      <c r="P89" s="95">
        <f>+'Annual Raw'!Q59</f>
        <v>0</v>
      </c>
      <c r="Q89" s="95">
        <f>+'Annual Raw'!R59</f>
        <v>0</v>
      </c>
      <c r="R89" s="95">
        <f>+'Annual Raw'!S59</f>
        <v>0</v>
      </c>
      <c r="S89" s="95">
        <f>+'Annual Raw'!T59</f>
        <v>0</v>
      </c>
      <c r="T89" s="95">
        <f>+'Annual Raw'!U59</f>
        <v>501.1</v>
      </c>
      <c r="U89" s="95">
        <f>+'Annual Raw'!V59</f>
        <v>338.35</v>
      </c>
      <c r="V89" s="95">
        <f>+'Annual Raw'!W59</f>
        <v>670.45</v>
      </c>
      <c r="W89" s="95">
        <f>+'Annual Raw'!X59</f>
        <v>849.05</v>
      </c>
      <c r="X89" s="95">
        <f>+'Annual Raw'!Y59</f>
        <v>915.1</v>
      </c>
      <c r="Y89" s="95">
        <f>+'Annual Raw'!Z59</f>
        <v>1439.7</v>
      </c>
      <c r="Z89" s="95">
        <f>+'Annual Raw'!AA59</f>
        <v>952.55</v>
      </c>
      <c r="AA89" s="95">
        <f>+'Annual Raw'!AB59</f>
        <v>1155.3499999999999</v>
      </c>
      <c r="AB89" s="78">
        <f>+CC89</f>
        <v>1181</v>
      </c>
      <c r="AC89" s="78">
        <f>+CG89</f>
        <v>1181</v>
      </c>
      <c r="AD89" s="78">
        <f>+CK89</f>
        <v>1181</v>
      </c>
      <c r="AE89" s="78">
        <f>+CO89</f>
        <v>1181</v>
      </c>
      <c r="AG89" s="77"/>
      <c r="AH89" s="95">
        <f>+'QTR Share Price'!IA21</f>
        <v>0</v>
      </c>
      <c r="AI89" s="95">
        <f>+'QTR Share Price'!IB21</f>
        <v>0</v>
      </c>
      <c r="AJ89" s="95">
        <f>+'QTR Share Price'!IC21</f>
        <v>0</v>
      </c>
      <c r="AK89" s="95">
        <f>+'QTR Share Price'!ID21</f>
        <v>0</v>
      </c>
      <c r="AL89" s="95">
        <f>+'QTR Share Price'!IE21</f>
        <v>0</v>
      </c>
      <c r="AM89" s="95">
        <f>+'QTR Share Price'!IF21</f>
        <v>0</v>
      </c>
      <c r="AN89" s="95">
        <f>+'QTR Share Price'!IG21</f>
        <v>0</v>
      </c>
      <c r="AO89" s="95">
        <f>+'QTR Share Price'!IH21</f>
        <v>0</v>
      </c>
      <c r="AP89" s="95">
        <f>+'QTR Share Price'!II21</f>
        <v>0</v>
      </c>
      <c r="AQ89" s="95">
        <f>+'QTR Share Price'!IJ21</f>
        <v>0</v>
      </c>
      <c r="AR89" s="95">
        <f>+'QTR Share Price'!IK21</f>
        <v>0</v>
      </c>
      <c r="AS89" s="95">
        <f>+'QTR Share Price'!IL21</f>
        <v>0</v>
      </c>
      <c r="AT89" s="95">
        <f>+'QTR Share Price'!IM21</f>
        <v>0</v>
      </c>
      <c r="AU89" s="95">
        <f>+'QTR Share Price'!IN21</f>
        <v>292.45</v>
      </c>
      <c r="AV89" s="95">
        <f>+'QTR Share Price'!IO21</f>
        <v>383.15</v>
      </c>
      <c r="AW89" s="95">
        <f>+'QTR Share Price'!IP21</f>
        <v>501.1</v>
      </c>
      <c r="AX89" s="95">
        <f>+'QTR Share Price'!IQ21</f>
        <v>519.4</v>
      </c>
      <c r="AY89" s="95">
        <f>+'QTR Share Price'!IR21</f>
        <v>657.55</v>
      </c>
      <c r="AZ89" s="95">
        <f>+'QTR Share Price'!IS21</f>
        <v>767.15</v>
      </c>
      <c r="BA89" s="95">
        <f>+'QTR Share Price'!IT21</f>
        <v>338.35</v>
      </c>
      <c r="BB89" s="95">
        <f>+'QTR Share Price'!IU21</f>
        <v>520.9</v>
      </c>
      <c r="BC89" s="95">
        <f>+'QTR Share Price'!IV21</f>
        <v>743.8</v>
      </c>
      <c r="BD89" s="95">
        <f>+'QTR Share Price'!IW21</f>
        <v>756.65</v>
      </c>
      <c r="BE89" s="95">
        <f>+'QTR Share Price'!IX21</f>
        <v>670.45</v>
      </c>
      <c r="BF89" s="95">
        <f>+'QTR Share Price'!IY21</f>
        <v>749.75</v>
      </c>
      <c r="BG89" s="95">
        <f>+'QTR Share Price'!IZ21</f>
        <v>635.9</v>
      </c>
      <c r="BH89" s="95">
        <f>+'QTR Share Price'!JA21</f>
        <v>598.20000000000005</v>
      </c>
      <c r="BI89" s="95">
        <f>+'QTR Share Price'!JB21</f>
        <v>849.05</v>
      </c>
      <c r="BJ89" s="95">
        <f>+'QTR Share Price'!JC21</f>
        <v>1016.35</v>
      </c>
      <c r="BK89" s="95">
        <f>+'QTR Share Price'!JD21</f>
        <v>995.45</v>
      </c>
      <c r="BL89" s="95">
        <f>+'QTR Share Price'!JE21</f>
        <v>914</v>
      </c>
      <c r="BM89" s="95">
        <f>+'QTR Share Price'!JF21</f>
        <v>915.1</v>
      </c>
      <c r="BN89" s="95">
        <f>+'QTR Share Price'!JG21</f>
        <v>1248.55</v>
      </c>
      <c r="BO89" s="95">
        <f>+'QTR Share Price'!JH21</f>
        <v>1316.9</v>
      </c>
      <c r="BP89" s="95">
        <f>+'QTR Share Price'!JI21</f>
        <v>1597.55</v>
      </c>
      <c r="BQ89" s="95">
        <f>+'QTR Share Price'!JJ21</f>
        <v>1439.7</v>
      </c>
      <c r="BR89" s="95">
        <f>+'QTR Share Price'!JK21</f>
        <v>1322.35</v>
      </c>
      <c r="BS89" s="95">
        <f>+'QTR Share Price'!JL21</f>
        <v>1197.0999999999999</v>
      </c>
      <c r="BT89" s="95">
        <f>+'QTR Share Price'!JM21</f>
        <v>887.35</v>
      </c>
      <c r="BU89" s="95">
        <f>+'QTR Share Price'!JN21</f>
        <v>952.55</v>
      </c>
      <c r="BV89" s="95">
        <f>+'QTR Share Price'!JO21</f>
        <v>1210.55</v>
      </c>
      <c r="BW89" s="95">
        <f>+'QTR Share Price'!JP21</f>
        <v>1354.3</v>
      </c>
      <c r="BX89" s="95">
        <f>+'QTR Share Price'!JQ21</f>
        <v>1273.8499999999999</v>
      </c>
      <c r="BY89" s="95">
        <f>+'QTR Share Price'!JR21</f>
        <v>1155.3499999999999</v>
      </c>
      <c r="BZ89" s="78">
        <v>1181</v>
      </c>
      <c r="CA89" s="78">
        <f t="shared" ref="CA89" si="839">+BZ89</f>
        <v>1181</v>
      </c>
      <c r="CB89" s="78">
        <f t="shared" ref="CB89" si="840">+CA89</f>
        <v>1181</v>
      </c>
      <c r="CC89" s="78">
        <f t="shared" ref="CC89" si="841">+CB89</f>
        <v>1181</v>
      </c>
      <c r="CD89" s="78">
        <f t="shared" ref="CD89" si="842">+CC89</f>
        <v>1181</v>
      </c>
      <c r="CE89" s="78">
        <f t="shared" ref="CE89" si="843">+CD89</f>
        <v>1181</v>
      </c>
      <c r="CF89" s="78">
        <f t="shared" ref="CF89" si="844">+CE89</f>
        <v>1181</v>
      </c>
      <c r="CG89" s="78">
        <f t="shared" ref="CG89" si="845">+CF89</f>
        <v>1181</v>
      </c>
      <c r="CH89" s="78">
        <f t="shared" ref="CH89" si="846">+CG89</f>
        <v>1181</v>
      </c>
      <c r="CI89" s="78">
        <f t="shared" ref="CI89" si="847">+CH89</f>
        <v>1181</v>
      </c>
      <c r="CJ89" s="78">
        <f t="shared" ref="CJ89" si="848">+CI89</f>
        <v>1181</v>
      </c>
      <c r="CK89" s="78">
        <f t="shared" ref="CK89" si="849">+CJ89</f>
        <v>1181</v>
      </c>
      <c r="CL89" s="78">
        <f t="shared" ref="CL89" si="850">+CK89</f>
        <v>1181</v>
      </c>
      <c r="CM89" s="78">
        <f t="shared" ref="CM89" si="851">+CL89</f>
        <v>1181</v>
      </c>
      <c r="CN89" s="78">
        <f t="shared" ref="CN89" si="852">+CM89</f>
        <v>1181</v>
      </c>
      <c r="CO89" s="78">
        <f t="shared" ref="CO89" si="853">+CN89</f>
        <v>1181</v>
      </c>
      <c r="CT89" s="95">
        <v>1155.3499999999999</v>
      </c>
    </row>
    <row r="90" spans="1:98" s="95" customFormat="1" x14ac:dyDescent="0.2">
      <c r="A90" s="95" t="s">
        <v>37</v>
      </c>
      <c r="B90" s="95">
        <f>+'Annual Raw'!C60</f>
        <v>0</v>
      </c>
      <c r="C90" s="95">
        <f>+'Annual Raw'!D60</f>
        <v>0</v>
      </c>
      <c r="D90" s="95">
        <f>+'Annual Raw'!E60</f>
        <v>0</v>
      </c>
      <c r="E90" s="95">
        <f>+'Annual Raw'!F60</f>
        <v>0</v>
      </c>
      <c r="F90" s="95">
        <f>+'Annual Raw'!G60</f>
        <v>0</v>
      </c>
      <c r="G90" s="95">
        <f>+'Annual Raw'!H60</f>
        <v>0</v>
      </c>
      <c r="H90" s="95">
        <f>+'Annual Raw'!I60</f>
        <v>0</v>
      </c>
      <c r="I90" s="95">
        <f>+'Annual Raw'!J60</f>
        <v>0</v>
      </c>
      <c r="J90" s="95">
        <f>+'Annual Raw'!K60</f>
        <v>0</v>
      </c>
      <c r="K90" s="95">
        <f>+'Annual Raw'!L60</f>
        <v>0</v>
      </c>
      <c r="L90" s="95">
        <f>+'Annual Raw'!M60</f>
        <v>0</v>
      </c>
      <c r="M90" s="95">
        <f>+'Annual Raw'!N60</f>
        <v>0</v>
      </c>
      <c r="N90" s="95">
        <f>+'Annual Raw'!O60</f>
        <v>0</v>
      </c>
      <c r="O90" s="95">
        <f>+'Annual Raw'!P60</f>
        <v>0</v>
      </c>
      <c r="P90" s="95">
        <f>+'Annual Raw'!Q60</f>
        <v>0</v>
      </c>
      <c r="Q90" s="95">
        <f>+'Annual Raw'!R60</f>
        <v>0</v>
      </c>
      <c r="R90" s="95">
        <f>+'Annual Raw'!S60</f>
        <v>0</v>
      </c>
      <c r="S90" s="95">
        <f>+'Annual Raw'!T60</f>
        <v>0</v>
      </c>
      <c r="T90" s="95">
        <f>+'Annual Raw'!U60</f>
        <v>520.95000000000005</v>
      </c>
      <c r="U90" s="95">
        <f>+'Annual Raw'!V60</f>
        <v>1000.8</v>
      </c>
      <c r="V90" s="95">
        <f>+'Annual Raw'!W60</f>
        <v>839</v>
      </c>
      <c r="W90" s="95">
        <f>+'Annual Raw'!X60</f>
        <v>878.25</v>
      </c>
      <c r="X90" s="95">
        <f>+'Annual Raw'!Y60</f>
        <v>1154.3499999999999</v>
      </c>
      <c r="Y90" s="95">
        <f>+'Annual Raw'!Z60</f>
        <v>1794.4</v>
      </c>
      <c r="Z90" s="95">
        <f>+'Annual Raw'!AA60</f>
        <v>1553</v>
      </c>
      <c r="AA90" s="95">
        <f>+'Annual Raw'!AB60</f>
        <v>1496.6</v>
      </c>
      <c r="AB90" s="78">
        <f>+MAX(BZ90:CC90)</f>
        <v>1788.8156163658359</v>
      </c>
      <c r="AC90" s="78">
        <f>+MAX(CD90:CG90)</f>
        <v>2184.4890736522566</v>
      </c>
      <c r="AD90" s="78">
        <f>+MAX(CH90:CK90)</f>
        <v>2651.240197212735</v>
      </c>
      <c r="AE90" s="78">
        <f>+MAX(CL90:CO90)</f>
        <v>3190.0591230599398</v>
      </c>
      <c r="AG90" s="77"/>
      <c r="AH90" s="95">
        <f>+'QTR Share Price'!IA19</f>
        <v>0</v>
      </c>
      <c r="AI90" s="95">
        <f>+'QTR Share Price'!IB19</f>
        <v>0</v>
      </c>
      <c r="AJ90" s="95">
        <f>+'QTR Share Price'!IC19</f>
        <v>0</v>
      </c>
      <c r="AK90" s="95">
        <f>+'QTR Share Price'!ID19</f>
        <v>0</v>
      </c>
      <c r="AL90" s="95">
        <f>+'QTR Share Price'!IE19</f>
        <v>0</v>
      </c>
      <c r="AM90" s="95">
        <f>+'QTR Share Price'!IF19</f>
        <v>0</v>
      </c>
      <c r="AN90" s="95">
        <f>+'QTR Share Price'!IG19</f>
        <v>0</v>
      </c>
      <c r="AO90" s="95">
        <f>+'QTR Share Price'!IH19</f>
        <v>0</v>
      </c>
      <c r="AP90" s="95">
        <f>+'QTR Share Price'!II19</f>
        <v>0</v>
      </c>
      <c r="AQ90" s="95">
        <f>+'QTR Share Price'!IJ19</f>
        <v>0</v>
      </c>
      <c r="AR90" s="95">
        <f>+'QTR Share Price'!IK19</f>
        <v>0</v>
      </c>
      <c r="AS90" s="95">
        <f>+'QTR Share Price'!IL19</f>
        <v>0</v>
      </c>
      <c r="AT90" s="95">
        <f>+'QTR Share Price'!IM19</f>
        <v>0</v>
      </c>
      <c r="AU90" s="95">
        <f>+'QTR Share Price'!IN19</f>
        <v>423.3</v>
      </c>
      <c r="AV90" s="95">
        <f>+'QTR Share Price'!IO19</f>
        <v>399</v>
      </c>
      <c r="AW90" s="95">
        <f>+'QTR Share Price'!IP19</f>
        <v>520.95000000000005</v>
      </c>
      <c r="AX90" s="95">
        <f>+'QTR Share Price'!IQ19</f>
        <v>591</v>
      </c>
      <c r="AY90" s="95">
        <f>+'QTR Share Price'!IR19</f>
        <v>689</v>
      </c>
      <c r="AZ90" s="95">
        <f>+'QTR Share Price'!IS19</f>
        <v>848.55</v>
      </c>
      <c r="BA90" s="95">
        <f>+'QTR Share Price'!IT19</f>
        <v>1000.8</v>
      </c>
      <c r="BB90" s="95">
        <f>+'QTR Share Price'!IU19</f>
        <v>581.5</v>
      </c>
      <c r="BC90" s="95">
        <f>+'QTR Share Price'!IV19</f>
        <v>759.25</v>
      </c>
      <c r="BD90" s="95">
        <f>+'QTR Share Price'!IW19</f>
        <v>839</v>
      </c>
      <c r="BE90" s="95">
        <f>+'QTR Share Price'!IX19</f>
        <v>810</v>
      </c>
      <c r="BF90" s="95">
        <f>+'QTR Share Price'!IY19</f>
        <v>807.55</v>
      </c>
      <c r="BG90" s="95">
        <f>+'QTR Share Price'!IZ19</f>
        <v>757.7</v>
      </c>
      <c r="BH90" s="95">
        <f>+'QTR Share Price'!JA19</f>
        <v>728.8</v>
      </c>
      <c r="BI90" s="95">
        <f>+'QTR Share Price'!JB19</f>
        <v>878.25</v>
      </c>
      <c r="BJ90" s="95">
        <f>+'QTR Share Price'!JC19</f>
        <v>1154.3499999999999</v>
      </c>
      <c r="BK90" s="95">
        <f>+'QTR Share Price'!JD19</f>
        <v>1094.45</v>
      </c>
      <c r="BL90" s="95">
        <f>+'QTR Share Price'!JE19</f>
        <v>1026.95</v>
      </c>
      <c r="BM90" s="95">
        <f>+'QTR Share Price'!JF19</f>
        <v>1020.2</v>
      </c>
      <c r="BN90" s="95">
        <f>+'QTR Share Price'!JG19</f>
        <v>1397.65</v>
      </c>
      <c r="BO90" s="95">
        <f>+'QTR Share Price'!JH19</f>
        <v>1502.3</v>
      </c>
      <c r="BP90" s="95">
        <f>+'QTR Share Price'!JI19</f>
        <v>1794.4</v>
      </c>
      <c r="BQ90" s="95">
        <f>+'QTR Share Price'!JJ19</f>
        <v>1789.75</v>
      </c>
      <c r="BR90" s="95">
        <f>+'QTR Share Price'!JK19</f>
        <v>1553</v>
      </c>
      <c r="BS90" s="95">
        <f>+'QTR Share Price'!JL19</f>
        <v>1408.95</v>
      </c>
      <c r="BT90" s="95">
        <f>+'QTR Share Price'!JM19</f>
        <v>1218.0999999999999</v>
      </c>
      <c r="BU90" s="95">
        <f>+'QTR Share Price'!JN19</f>
        <v>1118</v>
      </c>
      <c r="BV90" s="95">
        <f>+'QTR Share Price'!JO19</f>
        <v>1253.6500000000001</v>
      </c>
      <c r="BW90" s="95">
        <f>+'QTR Share Price'!JP19</f>
        <v>1431</v>
      </c>
      <c r="BX90" s="95">
        <f>+'QTR Share Price'!JQ19</f>
        <v>1489.1</v>
      </c>
      <c r="BY90" s="95">
        <f>+'QTR Share Price'!JR19</f>
        <v>1496.6</v>
      </c>
      <c r="BZ90" s="78">
        <f t="shared" ref="BZ90:CO90" si="854">+BZ98*BZ70</f>
        <v>1551.1615520531334</v>
      </c>
      <c r="CA90" s="78">
        <f t="shared" si="854"/>
        <v>1624.405692469046</v>
      </c>
      <c r="CB90" s="78">
        <f t="shared" si="854"/>
        <v>1702.597103954668</v>
      </c>
      <c r="CC90" s="78">
        <f t="shared" si="854"/>
        <v>1788.8156163658359</v>
      </c>
      <c r="CD90" s="78">
        <f t="shared" si="854"/>
        <v>1876.3844050616167</v>
      </c>
      <c r="CE90" s="78">
        <f t="shared" si="854"/>
        <v>1974.4038096304589</v>
      </c>
      <c r="CF90" s="78">
        <f t="shared" si="854"/>
        <v>2076.5209637466046</v>
      </c>
      <c r="CG90" s="78">
        <f t="shared" si="854"/>
        <v>2184.4890736522566</v>
      </c>
      <c r="CH90" s="78">
        <f t="shared" si="854"/>
        <v>2294.579576866759</v>
      </c>
      <c r="CI90" s="78">
        <f t="shared" si="854"/>
        <v>2411.5225014874613</v>
      </c>
      <c r="CJ90" s="78">
        <f t="shared" si="854"/>
        <v>2529.8535351808787</v>
      </c>
      <c r="CK90" s="78">
        <f t="shared" si="854"/>
        <v>2651.240197212735</v>
      </c>
      <c r="CL90" s="78">
        <f t="shared" si="854"/>
        <v>2779.9381146236506</v>
      </c>
      <c r="CM90" s="78">
        <f t="shared" si="854"/>
        <v>2914.8501264610986</v>
      </c>
      <c r="CN90" s="78">
        <f t="shared" si="854"/>
        <v>3050.7379721720913</v>
      </c>
      <c r="CO90" s="78">
        <f t="shared" si="854"/>
        <v>3190.0591230599398</v>
      </c>
      <c r="CT90" s="95">
        <v>1496.6</v>
      </c>
    </row>
    <row r="91" spans="1:98" s="95" customFormat="1" x14ac:dyDescent="0.2">
      <c r="A91" s="95" t="s">
        <v>38</v>
      </c>
      <c r="B91" s="95">
        <f>+'Annual Raw'!C61</f>
        <v>0</v>
      </c>
      <c r="C91" s="95">
        <f>+'Annual Raw'!D61</f>
        <v>0</v>
      </c>
      <c r="D91" s="95">
        <f>+'Annual Raw'!E61</f>
        <v>0</v>
      </c>
      <c r="E91" s="95">
        <f>+'Annual Raw'!F61</f>
        <v>0</v>
      </c>
      <c r="F91" s="95">
        <f>+'Annual Raw'!G61</f>
        <v>0</v>
      </c>
      <c r="G91" s="95">
        <f>+'Annual Raw'!H61</f>
        <v>0</v>
      </c>
      <c r="H91" s="95">
        <f>+'Annual Raw'!I61</f>
        <v>0</v>
      </c>
      <c r="I91" s="95">
        <f>+'Annual Raw'!J61</f>
        <v>0</v>
      </c>
      <c r="J91" s="95">
        <f>+'Annual Raw'!K61</f>
        <v>0</v>
      </c>
      <c r="K91" s="95">
        <f>+'Annual Raw'!L61</f>
        <v>0</v>
      </c>
      <c r="L91" s="95">
        <f>+'Annual Raw'!M61</f>
        <v>0</v>
      </c>
      <c r="M91" s="95">
        <f>+'Annual Raw'!N61</f>
        <v>0</v>
      </c>
      <c r="N91" s="95">
        <f>+'Annual Raw'!O61</f>
        <v>0</v>
      </c>
      <c r="O91" s="95">
        <f>+'Annual Raw'!P61</f>
        <v>0</v>
      </c>
      <c r="P91" s="95">
        <f>+'Annual Raw'!Q61</f>
        <v>0</v>
      </c>
      <c r="Q91" s="95">
        <f>+'Annual Raw'!R61</f>
        <v>0</v>
      </c>
      <c r="R91" s="95">
        <f>+'Annual Raw'!S61</f>
        <v>0</v>
      </c>
      <c r="S91" s="95">
        <f>+'Annual Raw'!T61</f>
        <v>0</v>
      </c>
      <c r="T91" s="95">
        <f>+'Annual Raw'!U61</f>
        <v>245.75</v>
      </c>
      <c r="U91" s="95">
        <f>+'Annual Raw'!V61</f>
        <v>338.35</v>
      </c>
      <c r="V91" s="95">
        <f>+'Annual Raw'!W61</f>
        <v>305.75</v>
      </c>
      <c r="W91" s="95">
        <f>+'Annual Raw'!X61</f>
        <v>495.3</v>
      </c>
      <c r="X91" s="95">
        <f>+'Annual Raw'!Y61</f>
        <v>834.1</v>
      </c>
      <c r="Y91" s="95">
        <f>+'Annual Raw'!Z61</f>
        <v>903.2</v>
      </c>
      <c r="Z91" s="95">
        <f>+'Annual Raw'!AA61</f>
        <v>750.05</v>
      </c>
      <c r="AA91" s="95">
        <f>+'Annual Raw'!AB61</f>
        <v>860</v>
      </c>
      <c r="AB91" s="78">
        <f>+MIN(BZ91:CC91)</f>
        <v>1153.4729996525004</v>
      </c>
      <c r="AC91" s="78">
        <f>+MIN(CD91:CG91)</f>
        <v>1395.3148499218719</v>
      </c>
      <c r="AD91" s="78">
        <f>+MIN(CH91:CK91)</f>
        <v>1706.2926707837871</v>
      </c>
      <c r="AE91" s="78">
        <f>+MIN(CL91:CO91)</f>
        <v>2067.2144379023525</v>
      </c>
      <c r="AG91" s="77"/>
      <c r="AH91" s="95">
        <f>+'QTR Share Price'!IA20</f>
        <v>0</v>
      </c>
      <c r="AI91" s="95">
        <f>+'QTR Share Price'!IB20</f>
        <v>0</v>
      </c>
      <c r="AJ91" s="95">
        <f>+'QTR Share Price'!IC20</f>
        <v>0</v>
      </c>
      <c r="AK91" s="95">
        <f>+'QTR Share Price'!ID20</f>
        <v>0</v>
      </c>
      <c r="AL91" s="95">
        <f>+'QTR Share Price'!IE20</f>
        <v>0</v>
      </c>
      <c r="AM91" s="95">
        <f>+'QTR Share Price'!IF20</f>
        <v>0</v>
      </c>
      <c r="AN91" s="95">
        <f>+'QTR Share Price'!IG20</f>
        <v>0</v>
      </c>
      <c r="AO91" s="95">
        <f>+'QTR Share Price'!IH20</f>
        <v>0</v>
      </c>
      <c r="AP91" s="95">
        <f>+'QTR Share Price'!II20</f>
        <v>0</v>
      </c>
      <c r="AQ91" s="95">
        <f>+'QTR Share Price'!IJ20</f>
        <v>0</v>
      </c>
      <c r="AR91" s="95">
        <f>+'QTR Share Price'!IK20</f>
        <v>0</v>
      </c>
      <c r="AS91" s="95">
        <f>+'QTR Share Price'!IL20</f>
        <v>0</v>
      </c>
      <c r="AT91" s="95">
        <f>+'QTR Share Price'!IM20</f>
        <v>0</v>
      </c>
      <c r="AU91" s="95">
        <f>+'QTR Share Price'!IN20</f>
        <v>0</v>
      </c>
      <c r="AV91" s="95">
        <f>+'QTR Share Price'!IO20</f>
        <v>245.75</v>
      </c>
      <c r="AW91" s="95">
        <f>+'QTR Share Price'!IP20</f>
        <v>350.1</v>
      </c>
      <c r="AX91" s="95">
        <f>+'QTR Share Price'!IQ20</f>
        <v>398.7</v>
      </c>
      <c r="AY91" s="95">
        <f>+'QTR Share Price'!IR20</f>
        <v>483</v>
      </c>
      <c r="AZ91" s="95">
        <f>+'QTR Share Price'!IS20</f>
        <v>610</v>
      </c>
      <c r="BA91" s="95">
        <f>+'QTR Share Price'!IT20</f>
        <v>338.35</v>
      </c>
      <c r="BB91" s="95">
        <f>+'QTR Share Price'!IU20</f>
        <v>305.75</v>
      </c>
      <c r="BC91" s="95">
        <f>+'QTR Share Price'!IV20</f>
        <v>500</v>
      </c>
      <c r="BD91" s="95">
        <f>+'QTR Share Price'!IW20</f>
        <v>605.04999999999995</v>
      </c>
      <c r="BE91" s="95">
        <f>+'QTR Share Price'!IX20</f>
        <v>640</v>
      </c>
      <c r="BF91" s="95">
        <f>+'QTR Share Price'!IY20</f>
        <v>541</v>
      </c>
      <c r="BG91" s="95">
        <f>+'QTR Share Price'!IZ20</f>
        <v>597</v>
      </c>
      <c r="BH91" s="95">
        <f>+'QTR Share Price'!JA20</f>
        <v>495.3</v>
      </c>
      <c r="BI91" s="95">
        <f>+'QTR Share Price'!JB20</f>
        <v>560</v>
      </c>
      <c r="BJ91" s="95">
        <f>+'QTR Share Price'!JC20</f>
        <v>847</v>
      </c>
      <c r="BK91" s="95">
        <f>+'QTR Share Price'!JD20</f>
        <v>947</v>
      </c>
      <c r="BL91" s="95">
        <f>+'QTR Share Price'!JE20</f>
        <v>845</v>
      </c>
      <c r="BM91" s="95">
        <f>+'QTR Share Price'!JF20</f>
        <v>834.1</v>
      </c>
      <c r="BN91" s="95">
        <f>+'QTR Share Price'!JG20</f>
        <v>903.2</v>
      </c>
      <c r="BO91" s="95">
        <f>+'QTR Share Price'!JH20</f>
        <v>1240.3499999999999</v>
      </c>
      <c r="BP91" s="95">
        <f>+'QTR Share Price'!JI20</f>
        <v>1292.95</v>
      </c>
      <c r="BQ91" s="95">
        <f>+'QTR Share Price'!JJ20</f>
        <v>1278</v>
      </c>
      <c r="BR91" s="95">
        <f>+'QTR Share Price'!JK20</f>
        <v>1193.7</v>
      </c>
      <c r="BS91" s="95">
        <f>+'QTR Share Price'!JL20</f>
        <v>1153.55</v>
      </c>
      <c r="BT91" s="95">
        <f>+'QTR Share Price'!JM20</f>
        <v>810.1</v>
      </c>
      <c r="BU91" s="95">
        <f>+'QTR Share Price'!JN20</f>
        <v>750.05</v>
      </c>
      <c r="BV91" s="95">
        <f>+'QTR Share Price'!JO20</f>
        <v>860</v>
      </c>
      <c r="BW91" s="95">
        <f>+'QTR Share Price'!JP20</f>
        <v>1197.05</v>
      </c>
      <c r="BX91" s="95">
        <f>+'QTR Share Price'!JQ20</f>
        <v>1231</v>
      </c>
      <c r="BY91" s="95">
        <f>+'QTR Share Price'!JR20</f>
        <v>1112.9000000000001</v>
      </c>
      <c r="BZ91" s="78">
        <f t="shared" ref="BZ91:CO91" si="855">+BZ99*BZ70</f>
        <v>1153.4729996525004</v>
      </c>
      <c r="CA91" s="78">
        <f t="shared" si="855"/>
        <v>1207.938724541495</v>
      </c>
      <c r="CB91" s="78">
        <f t="shared" si="855"/>
        <v>1266.083333550147</v>
      </c>
      <c r="CC91" s="78">
        <f t="shared" si="855"/>
        <v>1330.1970462739134</v>
      </c>
      <c r="CD91" s="78">
        <f t="shared" si="855"/>
        <v>1395.3148499218719</v>
      </c>
      <c r="CE91" s="78">
        <f t="shared" si="855"/>
        <v>1468.2039287302805</v>
      </c>
      <c r="CF91" s="78">
        <f t="shared" si="855"/>
        <v>1544.1401714242925</v>
      </c>
      <c r="CG91" s="78">
        <f t="shared" si="855"/>
        <v>1624.4272952476256</v>
      </c>
      <c r="CH91" s="78">
        <f t="shared" si="855"/>
        <v>1706.2926707837871</v>
      </c>
      <c r="CI91" s="78">
        <f t="shared" si="855"/>
        <v>1793.2536361789359</v>
      </c>
      <c r="CJ91" s="78">
        <f t="shared" si="855"/>
        <v>1881.2468256733928</v>
      </c>
      <c r="CK91" s="78">
        <f t="shared" si="855"/>
        <v>1971.5122380583007</v>
      </c>
      <c r="CL91" s="78">
        <f t="shared" si="855"/>
        <v>2067.2144379023525</v>
      </c>
      <c r="CM91" s="78">
        <f t="shared" si="855"/>
        <v>2167.5375556184399</v>
      </c>
      <c r="CN91" s="78">
        <f t="shared" si="855"/>
        <v>2268.5863218163304</v>
      </c>
      <c r="CO91" s="78">
        <f t="shared" si="855"/>
        <v>2372.1881585282686</v>
      </c>
      <c r="CT91" s="95">
        <v>860</v>
      </c>
    </row>
    <row r="92" spans="1:98" s="89" customFormat="1" x14ac:dyDescent="0.2">
      <c r="AB92" s="83"/>
      <c r="AC92" s="83"/>
      <c r="AD92" s="83"/>
      <c r="AE92" s="83"/>
      <c r="AG92" s="82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</row>
    <row r="93" spans="1:98" s="90" customFormat="1" x14ac:dyDescent="0.2">
      <c r="A93" s="90" t="s">
        <v>46</v>
      </c>
      <c r="AB93" s="69"/>
      <c r="AC93" s="69"/>
      <c r="AD93" s="69"/>
      <c r="AE93" s="69"/>
      <c r="AG93" s="70"/>
      <c r="BZ93" s="69">
        <f t="shared" ref="BZ93:CC93" si="856">+BZ90/BZ89-1</f>
        <v>0.31343061139130679</v>
      </c>
      <c r="CA93" s="69">
        <f t="shared" si="856"/>
        <v>0.3754493585682015</v>
      </c>
      <c r="CB93" s="69">
        <f t="shared" si="856"/>
        <v>0.44165715830200503</v>
      </c>
      <c r="CC93" s="69">
        <f t="shared" si="856"/>
        <v>0.51466182588131737</v>
      </c>
      <c r="CD93" s="69">
        <f t="shared" ref="CD93:CO93" si="857">+CD90/CD89-1</f>
        <v>0.58880982647046287</v>
      </c>
      <c r="CE93" s="69">
        <f t="shared" si="857"/>
        <v>0.67180678207490163</v>
      </c>
      <c r="CF93" s="69">
        <f t="shared" si="857"/>
        <v>0.75827346633920789</v>
      </c>
      <c r="CG93" s="69">
        <f t="shared" si="857"/>
        <v>0.84969438920597518</v>
      </c>
      <c r="CH93" s="69">
        <f t="shared" si="857"/>
        <v>0.94291242749090509</v>
      </c>
      <c r="CI93" s="69">
        <f t="shared" si="857"/>
        <v>1.0419326854254543</v>
      </c>
      <c r="CJ93" s="69">
        <f t="shared" si="857"/>
        <v>1.1421283109067559</v>
      </c>
      <c r="CK93" s="69">
        <f t="shared" si="857"/>
        <v>1.2449112592825866</v>
      </c>
      <c r="CL93" s="69">
        <f t="shared" si="857"/>
        <v>1.3538849404095261</v>
      </c>
      <c r="CM93" s="69">
        <f t="shared" si="857"/>
        <v>1.4681203441668913</v>
      </c>
      <c r="CN93" s="69">
        <f t="shared" si="857"/>
        <v>1.5831820255479183</v>
      </c>
      <c r="CO93" s="69">
        <f t="shared" si="857"/>
        <v>1.7011508239288227</v>
      </c>
    </row>
    <row r="94" spans="1:98" s="90" customFormat="1" x14ac:dyDescent="0.2">
      <c r="A94" s="90" t="s">
        <v>47</v>
      </c>
      <c r="AB94" s="69"/>
      <c r="AC94" s="69"/>
      <c r="AD94" s="69"/>
      <c r="AE94" s="69"/>
      <c r="AG94" s="70"/>
      <c r="BZ94" s="69">
        <f t="shared" ref="BZ94:CC94" si="858">+BZ91/BZ89-1</f>
        <v>-2.3308213672734612E-2</v>
      </c>
      <c r="CA94" s="69">
        <f t="shared" si="858"/>
        <v>2.281009698687142E-2</v>
      </c>
      <c r="CB94" s="69">
        <f t="shared" si="858"/>
        <v>7.2043466172859505E-2</v>
      </c>
      <c r="CC94" s="69">
        <f t="shared" si="858"/>
        <v>0.12633111454184043</v>
      </c>
      <c r="CD94" s="69">
        <f t="shared" ref="CD94:CO94" si="859">+CD91/CD89-1</f>
        <v>0.18146896691098391</v>
      </c>
      <c r="CE94" s="69">
        <f t="shared" si="859"/>
        <v>0.24318706920430189</v>
      </c>
      <c r="CF94" s="69">
        <f t="shared" si="859"/>
        <v>0.30748532720092503</v>
      </c>
      <c r="CG94" s="69">
        <f t="shared" si="859"/>
        <v>0.37546765050603348</v>
      </c>
      <c r="CH94" s="69">
        <f t="shared" si="859"/>
        <v>0.44478634274664453</v>
      </c>
      <c r="CI94" s="69">
        <f t="shared" si="859"/>
        <v>0.51841967500333275</v>
      </c>
      <c r="CJ94" s="69">
        <f t="shared" si="859"/>
        <v>0.59292703274631053</v>
      </c>
      <c r="CK94" s="69">
        <f t="shared" si="859"/>
        <v>0.66935837261498787</v>
      </c>
      <c r="CL94" s="69">
        <f t="shared" si="859"/>
        <v>0.75039325817303348</v>
      </c>
      <c r="CM94" s="69">
        <f t="shared" si="859"/>
        <v>0.83534085996480933</v>
      </c>
      <c r="CN94" s="69">
        <f t="shared" si="859"/>
        <v>0.92090289738893349</v>
      </c>
      <c r="CO94" s="69">
        <f t="shared" si="859"/>
        <v>1.0086267218698293</v>
      </c>
    </row>
    <row r="95" spans="1:98" s="90" customFormat="1" x14ac:dyDescent="0.2">
      <c r="AB95" s="69"/>
      <c r="AC95" s="69"/>
      <c r="AD95" s="69"/>
      <c r="AE95" s="69"/>
      <c r="AG95" s="70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</row>
    <row r="96" spans="1:98" s="89" customFormat="1" x14ac:dyDescent="0.2">
      <c r="A96" s="89" t="s">
        <v>164</v>
      </c>
      <c r="AB96" s="83"/>
      <c r="AC96" s="83"/>
      <c r="AD96" s="83"/>
      <c r="AE96" s="83"/>
      <c r="AG96" s="82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</row>
    <row r="97" spans="1:98" s="89" customFormat="1" x14ac:dyDescent="0.2">
      <c r="A97" s="89" t="s">
        <v>40</v>
      </c>
      <c r="B97" s="89" t="e">
        <f t="shared" ref="B97:AE97" si="860">+B89/B70</f>
        <v>#DIV/0!</v>
      </c>
      <c r="C97" s="89" t="e">
        <f t="shared" si="860"/>
        <v>#DIV/0!</v>
      </c>
      <c r="D97" s="89" t="e">
        <f t="shared" si="860"/>
        <v>#DIV/0!</v>
      </c>
      <c r="E97" s="89" t="e">
        <f t="shared" si="860"/>
        <v>#DIV/0!</v>
      </c>
      <c r="F97" s="89" t="e">
        <f t="shared" si="860"/>
        <v>#DIV/0!</v>
      </c>
      <c r="G97" s="89" t="e">
        <f t="shared" si="860"/>
        <v>#DIV/0!</v>
      </c>
      <c r="H97" s="89" t="e">
        <f t="shared" si="860"/>
        <v>#DIV/0!</v>
      </c>
      <c r="I97" s="89" t="e">
        <f t="shared" si="860"/>
        <v>#DIV/0!</v>
      </c>
      <c r="J97" s="89">
        <f t="shared" si="860"/>
        <v>0</v>
      </c>
      <c r="K97" s="89">
        <f t="shared" si="860"/>
        <v>0</v>
      </c>
      <c r="L97" s="89">
        <f t="shared" si="860"/>
        <v>0</v>
      </c>
      <c r="M97" s="89">
        <f t="shared" si="860"/>
        <v>0</v>
      </c>
      <c r="N97" s="89">
        <f t="shared" si="860"/>
        <v>0</v>
      </c>
      <c r="O97" s="89">
        <f t="shared" si="860"/>
        <v>0</v>
      </c>
      <c r="P97" s="89">
        <f t="shared" si="860"/>
        <v>0</v>
      </c>
      <c r="Q97" s="89">
        <f t="shared" si="860"/>
        <v>0</v>
      </c>
      <c r="R97" s="89">
        <f t="shared" si="860"/>
        <v>0</v>
      </c>
      <c r="S97" s="89">
        <f t="shared" si="860"/>
        <v>0</v>
      </c>
      <c r="T97" s="89">
        <f t="shared" si="860"/>
        <v>3.394257228146432</v>
      </c>
      <c r="U97" s="89">
        <f t="shared" si="860"/>
        <v>2.0572760776246524</v>
      </c>
      <c r="V97" s="89">
        <f t="shared" si="860"/>
        <v>3.0697716093665597</v>
      </c>
      <c r="W97" s="89">
        <f t="shared" si="860"/>
        <v>3.356765341000234</v>
      </c>
      <c r="X97" s="89">
        <f t="shared" si="860"/>
        <v>2.9086645450072224</v>
      </c>
      <c r="Y97" s="89">
        <f t="shared" si="860"/>
        <v>3.5580668202160695</v>
      </c>
      <c r="Z97" s="89">
        <f t="shared" si="860"/>
        <v>2.3378826481758668</v>
      </c>
      <c r="AA97" s="89">
        <f t="shared" ref="AA97" si="861">+AA89/AA70</f>
        <v>2.4590929020120531</v>
      </c>
      <c r="AB97" s="83">
        <f t="shared" si="860"/>
        <v>2.0184216215607047</v>
      </c>
      <c r="AC97" s="83">
        <f t="shared" si="860"/>
        <v>1.6528277301115957</v>
      </c>
      <c r="AD97" s="83">
        <f t="shared" si="860"/>
        <v>1.3618472294038357</v>
      </c>
      <c r="AE97" s="83">
        <f t="shared" si="860"/>
        <v>1.131823573725784</v>
      </c>
      <c r="AG97" s="82"/>
      <c r="AH97" s="89" t="e">
        <f t="shared" ref="AH97:AS97" si="862">+AH89/AH70</f>
        <v>#DIV/0!</v>
      </c>
      <c r="AI97" s="89" t="e">
        <f t="shared" si="862"/>
        <v>#DIV/0!</v>
      </c>
      <c r="AJ97" s="89" t="e">
        <f t="shared" si="862"/>
        <v>#DIV/0!</v>
      </c>
      <c r="AK97" s="89" t="e">
        <f t="shared" si="862"/>
        <v>#DIV/0!</v>
      </c>
      <c r="AL97" s="89" t="e">
        <f t="shared" si="862"/>
        <v>#DIV/0!</v>
      </c>
      <c r="AM97" s="89" t="e">
        <f t="shared" si="862"/>
        <v>#DIV/0!</v>
      </c>
      <c r="AN97" s="89" t="e">
        <f t="shared" si="862"/>
        <v>#DIV/0!</v>
      </c>
      <c r="AO97" s="89" t="e">
        <f t="shared" si="862"/>
        <v>#DIV/0!</v>
      </c>
      <c r="AP97" s="89" t="e">
        <f t="shared" si="862"/>
        <v>#DIV/0!</v>
      </c>
      <c r="AQ97" s="89" t="e">
        <f t="shared" si="862"/>
        <v>#DIV/0!</v>
      </c>
      <c r="AR97" s="89" t="e">
        <f t="shared" si="862"/>
        <v>#DIV/0!</v>
      </c>
      <c r="AS97" s="89">
        <f t="shared" si="862"/>
        <v>0</v>
      </c>
      <c r="AT97" s="89" t="e">
        <f t="shared" ref="AT97:CO97" si="863">+AT89/AT70</f>
        <v>#DIV/0!</v>
      </c>
      <c r="AU97" s="89">
        <f t="shared" si="863"/>
        <v>2.1126953559196435</v>
      </c>
      <c r="AV97" s="89" t="e">
        <f t="shared" si="863"/>
        <v>#DIV/0!</v>
      </c>
      <c r="AW97" s="89">
        <f t="shared" si="863"/>
        <v>3.3874771887393975</v>
      </c>
      <c r="AX97" s="89" t="e">
        <f t="shared" si="863"/>
        <v>#DIV/0!</v>
      </c>
      <c r="AY97" s="89">
        <f t="shared" si="863"/>
        <v>4.1144000939279488</v>
      </c>
      <c r="AZ97" s="89" t="e">
        <f t="shared" si="863"/>
        <v>#DIV/0!</v>
      </c>
      <c r="BA97" s="89">
        <f t="shared" si="863"/>
        <v>1.9784581343125278</v>
      </c>
      <c r="BB97" s="89" t="e">
        <f t="shared" si="863"/>
        <v>#DIV/0!</v>
      </c>
      <c r="BC97" s="89">
        <f t="shared" si="863"/>
        <v>4.1237678847607615</v>
      </c>
      <c r="BD97" s="89" t="e">
        <f t="shared" si="863"/>
        <v>#DIV/0!</v>
      </c>
      <c r="BE97" s="89">
        <f t="shared" si="863"/>
        <v>2.9037002343189178</v>
      </c>
      <c r="BF97" s="89" t="e">
        <f t="shared" si="863"/>
        <v>#DIV/0!</v>
      </c>
      <c r="BG97" s="89">
        <f t="shared" si="863"/>
        <v>2.6955116736572511</v>
      </c>
      <c r="BH97" s="89" t="e">
        <f t="shared" si="863"/>
        <v>#DIV/0!</v>
      </c>
      <c r="BI97" s="89">
        <f t="shared" si="863"/>
        <v>3.2577164853572551</v>
      </c>
      <c r="BJ97" s="89" t="e">
        <f t="shared" si="863"/>
        <v>#DIV/0!</v>
      </c>
      <c r="BK97" s="89">
        <f t="shared" si="863"/>
        <v>3.4734144765845634</v>
      </c>
      <c r="BL97" s="89" t="e">
        <f t="shared" si="863"/>
        <v>#DIV/0!</v>
      </c>
      <c r="BM97" s="89">
        <f t="shared" si="863"/>
        <v>2.8648335118475337</v>
      </c>
      <c r="BN97" s="89">
        <f t="shared" si="863"/>
        <v>3.6590731436385395</v>
      </c>
      <c r="BO97" s="89">
        <f t="shared" si="863"/>
        <v>3.6315180052917175</v>
      </c>
      <c r="BP97" s="89">
        <f t="shared" si="863"/>
        <v>4.1523812728821605</v>
      </c>
      <c r="BQ97" s="89">
        <f t="shared" si="863"/>
        <v>3.5034997975640714</v>
      </c>
      <c r="BR97" s="89">
        <f t="shared" si="863"/>
        <v>3.0342744171627691</v>
      </c>
      <c r="BS97" s="89">
        <f t="shared" si="863"/>
        <v>2.7387109227993203</v>
      </c>
      <c r="BT97" s="89">
        <f t="shared" si="863"/>
        <v>2.0593958968716293</v>
      </c>
      <c r="BU97" s="89">
        <f t="shared" si="863"/>
        <v>2.1893954976804095</v>
      </c>
      <c r="BV97" s="89">
        <f t="shared" si="863"/>
        <v>2.7585279412100063</v>
      </c>
      <c r="BW97" s="89">
        <f t="shared" ref="BW97:BY97" si="864">+BW89/BW70</f>
        <v>3.0222501319025508</v>
      </c>
      <c r="BX97" s="89">
        <f t="shared" ref="BX97" si="865">+BX89/BX70</f>
        <v>2.7495278481541758</v>
      </c>
      <c r="BY97" s="89">
        <f t="shared" si="864"/>
        <v>2.3601271318817938</v>
      </c>
      <c r="BZ97" s="83">
        <f t="shared" si="863"/>
        <v>2.3276647827424783</v>
      </c>
      <c r="CA97" s="83">
        <f t="shared" si="863"/>
        <v>2.2227108251327699</v>
      </c>
      <c r="CB97" s="83">
        <f t="shared" si="863"/>
        <v>2.1206333011326293</v>
      </c>
      <c r="CC97" s="83">
        <f t="shared" si="863"/>
        <v>2.0184216215607047</v>
      </c>
      <c r="CD97" s="83">
        <f t="shared" si="863"/>
        <v>1.9242241127769752</v>
      </c>
      <c r="CE97" s="83">
        <f t="shared" si="863"/>
        <v>1.8286958824973196</v>
      </c>
      <c r="CF97" s="83">
        <f t="shared" si="863"/>
        <v>1.7387660322695579</v>
      </c>
      <c r="CG97" s="83">
        <f t="shared" si="863"/>
        <v>1.6528277301115957</v>
      </c>
      <c r="CH97" s="83">
        <f t="shared" si="863"/>
        <v>1.5735275226272532</v>
      </c>
      <c r="CI97" s="83">
        <f t="shared" si="863"/>
        <v>1.4972218234875199</v>
      </c>
      <c r="CJ97" s="83">
        <f t="shared" si="863"/>
        <v>1.4271909685080222</v>
      </c>
      <c r="CK97" s="83">
        <f t="shared" si="863"/>
        <v>1.3618472294038357</v>
      </c>
      <c r="CL97" s="83">
        <f t="shared" si="863"/>
        <v>1.2988001776244738</v>
      </c>
      <c r="CM97" s="83">
        <f t="shared" si="863"/>
        <v>1.2386860251514302</v>
      </c>
      <c r="CN97" s="83">
        <f t="shared" si="863"/>
        <v>1.183511710934501</v>
      </c>
      <c r="CO97" s="83">
        <f t="shared" si="863"/>
        <v>1.131823573725784</v>
      </c>
      <c r="CT97" s="89">
        <v>2.3601271318817938</v>
      </c>
    </row>
    <row r="98" spans="1:98" s="89" customFormat="1" x14ac:dyDescent="0.2">
      <c r="A98" s="89" t="s">
        <v>37</v>
      </c>
      <c r="B98" s="89" t="e">
        <f>B90/B65</f>
        <v>#DIV/0!</v>
      </c>
      <c r="C98" s="89" t="e">
        <f>C90/C65</f>
        <v>#DIV/0!</v>
      </c>
      <c r="D98" s="89" t="e">
        <f t="shared" ref="D98:AE98" si="866">D90/D70</f>
        <v>#DIV/0!</v>
      </c>
      <c r="E98" s="89" t="e">
        <f t="shared" si="866"/>
        <v>#DIV/0!</v>
      </c>
      <c r="F98" s="89" t="e">
        <f t="shared" si="866"/>
        <v>#DIV/0!</v>
      </c>
      <c r="G98" s="89" t="e">
        <f t="shared" si="866"/>
        <v>#DIV/0!</v>
      </c>
      <c r="H98" s="89" t="e">
        <f t="shared" si="866"/>
        <v>#DIV/0!</v>
      </c>
      <c r="I98" s="89" t="e">
        <f t="shared" si="866"/>
        <v>#DIV/0!</v>
      </c>
      <c r="J98" s="89">
        <f t="shared" si="866"/>
        <v>0</v>
      </c>
      <c r="K98" s="89">
        <f t="shared" si="866"/>
        <v>0</v>
      </c>
      <c r="L98" s="89">
        <f t="shared" si="866"/>
        <v>0</v>
      </c>
      <c r="M98" s="89">
        <f t="shared" si="866"/>
        <v>0</v>
      </c>
      <c r="N98" s="89">
        <f t="shared" si="866"/>
        <v>0</v>
      </c>
      <c r="O98" s="89">
        <f t="shared" si="866"/>
        <v>0</v>
      </c>
      <c r="P98" s="89">
        <f t="shared" si="866"/>
        <v>0</v>
      </c>
      <c r="Q98" s="89">
        <f t="shared" si="866"/>
        <v>0</v>
      </c>
      <c r="R98" s="89">
        <f t="shared" si="866"/>
        <v>0</v>
      </c>
      <c r="S98" s="89">
        <f t="shared" si="866"/>
        <v>0</v>
      </c>
      <c r="T98" s="89">
        <f t="shared" si="866"/>
        <v>3.5287134364455874</v>
      </c>
      <c r="U98" s="89">
        <f t="shared" si="866"/>
        <v>6.0851836810602977</v>
      </c>
      <c r="V98" s="89">
        <f t="shared" si="866"/>
        <v>3.8415070180603226</v>
      </c>
      <c r="W98" s="89">
        <f t="shared" si="866"/>
        <v>3.4722091287126267</v>
      </c>
      <c r="X98" s="89">
        <f t="shared" si="866"/>
        <v>3.669125688481135</v>
      </c>
      <c r="Y98" s="89">
        <f t="shared" si="866"/>
        <v>4.4346704884321149</v>
      </c>
      <c r="Z98" s="89">
        <f t="shared" si="866"/>
        <v>3.8115917827065466</v>
      </c>
      <c r="AA98" s="89">
        <f t="shared" ref="AA98" si="867">AA90/AA70</f>
        <v>3.1854229775836229</v>
      </c>
      <c r="AB98" s="83">
        <f t="shared" si="866"/>
        <v>3.0572261787114665</v>
      </c>
      <c r="AC98" s="83">
        <f t="shared" si="866"/>
        <v>3.0572261787114665</v>
      </c>
      <c r="AD98" s="83">
        <f t="shared" si="866"/>
        <v>3.0572261787114665</v>
      </c>
      <c r="AE98" s="83">
        <f t="shared" si="866"/>
        <v>3.0572261787114665</v>
      </c>
      <c r="AG98" s="82"/>
      <c r="AH98" s="89" t="e">
        <f t="shared" ref="AH98:AS98" si="868">AH90/AH70</f>
        <v>#DIV/0!</v>
      </c>
      <c r="AI98" s="89" t="e">
        <f t="shared" si="868"/>
        <v>#DIV/0!</v>
      </c>
      <c r="AJ98" s="89" t="e">
        <f t="shared" si="868"/>
        <v>#DIV/0!</v>
      </c>
      <c r="AK98" s="89" t="e">
        <f t="shared" si="868"/>
        <v>#DIV/0!</v>
      </c>
      <c r="AL98" s="89" t="e">
        <f t="shared" si="868"/>
        <v>#DIV/0!</v>
      </c>
      <c r="AM98" s="89" t="e">
        <f t="shared" si="868"/>
        <v>#DIV/0!</v>
      </c>
      <c r="AN98" s="89" t="e">
        <f t="shared" si="868"/>
        <v>#DIV/0!</v>
      </c>
      <c r="AO98" s="89" t="e">
        <f t="shared" si="868"/>
        <v>#DIV/0!</v>
      </c>
      <c r="AP98" s="89" t="e">
        <f t="shared" si="868"/>
        <v>#DIV/0!</v>
      </c>
      <c r="AQ98" s="89" t="e">
        <f t="shared" si="868"/>
        <v>#DIV/0!</v>
      </c>
      <c r="AR98" s="89" t="e">
        <f t="shared" si="868"/>
        <v>#DIV/0!</v>
      </c>
      <c r="AS98" s="89">
        <f t="shared" si="868"/>
        <v>0</v>
      </c>
      <c r="AT98" s="89" t="e">
        <f t="shared" ref="AT98:BV98" si="869">AT90/AT70</f>
        <v>#DIV/0!</v>
      </c>
      <c r="AU98" s="89">
        <f t="shared" si="869"/>
        <v>3.0579721120218331</v>
      </c>
      <c r="AV98" s="89" t="e">
        <f t="shared" si="869"/>
        <v>#DIV/0!</v>
      </c>
      <c r="AW98" s="89">
        <f t="shared" si="869"/>
        <v>3.5216648203428242</v>
      </c>
      <c r="AX98" s="89" t="e">
        <f t="shared" si="869"/>
        <v>#DIV/0!</v>
      </c>
      <c r="AY98" s="89">
        <f t="shared" si="869"/>
        <v>4.3111879928771302</v>
      </c>
      <c r="AZ98" s="89" t="e">
        <f t="shared" si="869"/>
        <v>#DIV/0!</v>
      </c>
      <c r="BA98" s="89">
        <f t="shared" si="869"/>
        <v>5.8520493595979834</v>
      </c>
      <c r="BB98" s="89" t="e">
        <f t="shared" si="869"/>
        <v>#DIV/0!</v>
      </c>
      <c r="BC98" s="89">
        <f t="shared" si="869"/>
        <v>4.2094256070242118</v>
      </c>
      <c r="BD98" s="89" t="e">
        <f t="shared" si="869"/>
        <v>#DIV/0!</v>
      </c>
      <c r="BE98" s="89">
        <f t="shared" si="869"/>
        <v>3.5080873887662367</v>
      </c>
      <c r="BF98" s="89" t="e">
        <f t="shared" si="869"/>
        <v>#DIV/0!</v>
      </c>
      <c r="BG98" s="89">
        <f t="shared" si="869"/>
        <v>3.2118087673063362</v>
      </c>
      <c r="BH98" s="89" t="e">
        <f t="shared" si="869"/>
        <v>#DIV/0!</v>
      </c>
      <c r="BI98" s="89">
        <f t="shared" si="869"/>
        <v>3.3697538463753718</v>
      </c>
      <c r="BJ98" s="89" t="e">
        <f t="shared" si="869"/>
        <v>#DIV/0!</v>
      </c>
      <c r="BK98" s="89">
        <f t="shared" si="869"/>
        <v>3.818854260784545</v>
      </c>
      <c r="BL98" s="89" t="e">
        <f t="shared" si="869"/>
        <v>#DIV/0!</v>
      </c>
      <c r="BM98" s="89">
        <f t="shared" si="869"/>
        <v>3.1938620356101559</v>
      </c>
      <c r="BN98" s="89">
        <f t="shared" si="869"/>
        <v>4.0960342631103321</v>
      </c>
      <c r="BO98" s="89">
        <f t="shared" si="869"/>
        <v>4.14278191157244</v>
      </c>
      <c r="BP98" s="89">
        <f t="shared" si="869"/>
        <v>4.6640374048134641</v>
      </c>
      <c r="BQ98" s="89">
        <f t="shared" si="869"/>
        <v>4.3553440040913358</v>
      </c>
      <c r="BR98" s="89">
        <f t="shared" si="869"/>
        <v>3.563525670097766</v>
      </c>
      <c r="BS98" s="89">
        <f t="shared" si="869"/>
        <v>3.223378794318021</v>
      </c>
      <c r="BT98" s="89">
        <f t="shared" si="869"/>
        <v>2.8270131762881969</v>
      </c>
      <c r="BU98" s="89">
        <f t="shared" si="869"/>
        <v>2.5696752573688499</v>
      </c>
      <c r="BV98" s="89">
        <f t="shared" si="869"/>
        <v>2.8567416079450867</v>
      </c>
      <c r="BW98" s="89">
        <f t="shared" ref="BW98:BY98" si="870">BW90/BW70</f>
        <v>3.1934135263623644</v>
      </c>
      <c r="BX98" s="89">
        <f t="shared" ref="BX98" si="871">BX90/BX70</f>
        <v>3.2141318983289895</v>
      </c>
      <c r="BY98" s="89">
        <f t="shared" si="870"/>
        <v>3.0572261787114665</v>
      </c>
      <c r="BZ98" s="83">
        <f t="shared" ref="BZ98:BZ99" si="872">BY98</f>
        <v>3.0572261787114665</v>
      </c>
      <c r="CA98" s="83">
        <f t="shared" ref="CA98:CA99" si="873">BZ98</f>
        <v>3.0572261787114665</v>
      </c>
      <c r="CB98" s="83">
        <f t="shared" ref="CB98:CB99" si="874">CA98</f>
        <v>3.0572261787114665</v>
      </c>
      <c r="CC98" s="83">
        <f t="shared" ref="CC98:CC99" si="875">CB98</f>
        <v>3.0572261787114665</v>
      </c>
      <c r="CD98" s="83">
        <f t="shared" ref="CD98:CD99" si="876">CC98</f>
        <v>3.0572261787114665</v>
      </c>
      <c r="CE98" s="83">
        <f t="shared" ref="CE98:CE99" si="877">CD98</f>
        <v>3.0572261787114665</v>
      </c>
      <c r="CF98" s="83">
        <f t="shared" ref="CF98:CF99" si="878">CE98</f>
        <v>3.0572261787114665</v>
      </c>
      <c r="CG98" s="83">
        <f t="shared" ref="CG98:CG99" si="879">CF98</f>
        <v>3.0572261787114665</v>
      </c>
      <c r="CH98" s="83">
        <f t="shared" ref="CH98:CH99" si="880">CG98</f>
        <v>3.0572261787114665</v>
      </c>
      <c r="CI98" s="83">
        <f t="shared" ref="CI98:CI99" si="881">CH98</f>
        <v>3.0572261787114665</v>
      </c>
      <c r="CJ98" s="83">
        <f t="shared" ref="CJ98:CJ99" si="882">CI98</f>
        <v>3.0572261787114665</v>
      </c>
      <c r="CK98" s="83">
        <f t="shared" ref="CK98:CK99" si="883">CJ98</f>
        <v>3.0572261787114665</v>
      </c>
      <c r="CL98" s="83">
        <f t="shared" ref="CL98:CL99" si="884">CK98</f>
        <v>3.0572261787114665</v>
      </c>
      <c r="CM98" s="83">
        <f t="shared" ref="CM98:CM99" si="885">CL98</f>
        <v>3.0572261787114665</v>
      </c>
      <c r="CN98" s="83">
        <f t="shared" ref="CN98:CN99" si="886">CM98</f>
        <v>3.0572261787114665</v>
      </c>
      <c r="CO98" s="83">
        <f t="shared" ref="CO98:CO99" si="887">CN98</f>
        <v>3.0572261787114665</v>
      </c>
      <c r="CT98" s="89">
        <v>3.0572261787114665</v>
      </c>
    </row>
    <row r="99" spans="1:98" s="89" customFormat="1" x14ac:dyDescent="0.2">
      <c r="A99" s="89" t="s">
        <v>38</v>
      </c>
      <c r="B99" s="89" t="e">
        <f>B91/B65</f>
        <v>#DIV/0!</v>
      </c>
      <c r="C99" s="89" t="e">
        <f>C91/C65</f>
        <v>#DIV/0!</v>
      </c>
      <c r="D99" s="89" t="e">
        <f t="shared" ref="D99:AE99" si="888">D91/D70</f>
        <v>#DIV/0!</v>
      </c>
      <c r="E99" s="89" t="e">
        <f t="shared" si="888"/>
        <v>#DIV/0!</v>
      </c>
      <c r="F99" s="89" t="e">
        <f t="shared" si="888"/>
        <v>#DIV/0!</v>
      </c>
      <c r="G99" s="89" t="e">
        <f t="shared" si="888"/>
        <v>#DIV/0!</v>
      </c>
      <c r="H99" s="89" t="e">
        <f t="shared" si="888"/>
        <v>#DIV/0!</v>
      </c>
      <c r="I99" s="89" t="e">
        <f t="shared" si="888"/>
        <v>#DIV/0!</v>
      </c>
      <c r="J99" s="89">
        <f t="shared" si="888"/>
        <v>0</v>
      </c>
      <c r="K99" s="89">
        <f t="shared" si="888"/>
        <v>0</v>
      </c>
      <c r="L99" s="89">
        <f t="shared" si="888"/>
        <v>0</v>
      </c>
      <c r="M99" s="89">
        <f t="shared" si="888"/>
        <v>0</v>
      </c>
      <c r="N99" s="89">
        <f t="shared" si="888"/>
        <v>0</v>
      </c>
      <c r="O99" s="89">
        <f t="shared" si="888"/>
        <v>0</v>
      </c>
      <c r="P99" s="89">
        <f t="shared" si="888"/>
        <v>0</v>
      </c>
      <c r="Q99" s="89">
        <f t="shared" si="888"/>
        <v>0</v>
      </c>
      <c r="R99" s="89">
        <f t="shared" si="888"/>
        <v>0</v>
      </c>
      <c r="S99" s="89">
        <f t="shared" si="888"/>
        <v>0</v>
      </c>
      <c r="T99" s="89">
        <f t="shared" si="888"/>
        <v>1.6646152740311029</v>
      </c>
      <c r="U99" s="89">
        <f t="shared" si="888"/>
        <v>2.0572760776246524</v>
      </c>
      <c r="V99" s="89">
        <f t="shared" si="888"/>
        <v>1.3999294049725193</v>
      </c>
      <c r="W99" s="89">
        <f t="shared" si="888"/>
        <v>1.958195481299589</v>
      </c>
      <c r="X99" s="89">
        <f t="shared" si="888"/>
        <v>2.6512043459627628</v>
      </c>
      <c r="Y99" s="89">
        <f t="shared" si="888"/>
        <v>2.2321636118768868</v>
      </c>
      <c r="Z99" s="89">
        <f t="shared" si="888"/>
        <v>1.8408785683316453</v>
      </c>
      <c r="AA99" s="89">
        <f t="shared" ref="AA99" si="889">AA91/AA70</f>
        <v>1.8304582124294508</v>
      </c>
      <c r="AB99" s="83">
        <f t="shared" si="888"/>
        <v>1.9713758191237003</v>
      </c>
      <c r="AC99" s="83">
        <f t="shared" si="888"/>
        <v>1.9527646707767734</v>
      </c>
      <c r="AD99" s="83">
        <f t="shared" si="888"/>
        <v>1.9675782779500184</v>
      </c>
      <c r="AE99" s="83">
        <f t="shared" si="888"/>
        <v>1.9811363528909218</v>
      </c>
      <c r="AG99" s="82"/>
      <c r="AH99" s="89" t="e">
        <f t="shared" ref="AH99:AS99" si="890">AH91/AH70</f>
        <v>#DIV/0!</v>
      </c>
      <c r="AI99" s="89" t="e">
        <f t="shared" si="890"/>
        <v>#DIV/0!</v>
      </c>
      <c r="AJ99" s="89" t="e">
        <f t="shared" si="890"/>
        <v>#DIV/0!</v>
      </c>
      <c r="AK99" s="89" t="e">
        <f t="shared" si="890"/>
        <v>#DIV/0!</v>
      </c>
      <c r="AL99" s="89" t="e">
        <f t="shared" si="890"/>
        <v>#DIV/0!</v>
      </c>
      <c r="AM99" s="89" t="e">
        <f t="shared" si="890"/>
        <v>#DIV/0!</v>
      </c>
      <c r="AN99" s="89" t="e">
        <f t="shared" si="890"/>
        <v>#DIV/0!</v>
      </c>
      <c r="AO99" s="89" t="e">
        <f t="shared" si="890"/>
        <v>#DIV/0!</v>
      </c>
      <c r="AP99" s="89" t="e">
        <f t="shared" si="890"/>
        <v>#DIV/0!</v>
      </c>
      <c r="AQ99" s="89" t="e">
        <f t="shared" si="890"/>
        <v>#DIV/0!</v>
      </c>
      <c r="AR99" s="89" t="e">
        <f t="shared" si="890"/>
        <v>#DIV/0!</v>
      </c>
      <c r="AS99" s="89">
        <f t="shared" si="890"/>
        <v>0</v>
      </c>
      <c r="AT99" s="89" t="e">
        <f t="shared" ref="AT99:BV99" si="891">AT91/AT70</f>
        <v>#DIV/0!</v>
      </c>
      <c r="AU99" s="89">
        <f t="shared" si="891"/>
        <v>0</v>
      </c>
      <c r="AV99" s="89" t="e">
        <f t="shared" si="891"/>
        <v>#DIV/0!</v>
      </c>
      <c r="AW99" s="89">
        <f t="shared" si="891"/>
        <v>2.3667047770458254</v>
      </c>
      <c r="AX99" s="89" t="e">
        <f t="shared" si="891"/>
        <v>#DIV/0!</v>
      </c>
      <c r="AY99" s="89">
        <f t="shared" si="891"/>
        <v>3.0222116118427489</v>
      </c>
      <c r="AZ99" s="89" t="e">
        <f t="shared" si="891"/>
        <v>#DIV/0!</v>
      </c>
      <c r="BA99" s="89">
        <f t="shared" si="891"/>
        <v>1.9784581343125278</v>
      </c>
      <c r="BB99" s="89" t="e">
        <f t="shared" si="891"/>
        <v>#DIV/0!</v>
      </c>
      <c r="BC99" s="89">
        <f t="shared" si="891"/>
        <v>2.7720945716326715</v>
      </c>
      <c r="BD99" s="89" t="e">
        <f t="shared" si="891"/>
        <v>#DIV/0!</v>
      </c>
      <c r="BE99" s="89">
        <f t="shared" si="891"/>
        <v>2.7718221343338167</v>
      </c>
      <c r="BF99" s="89" t="e">
        <f t="shared" si="891"/>
        <v>#DIV/0!</v>
      </c>
      <c r="BG99" s="89">
        <f t="shared" si="891"/>
        <v>2.5306187595115253</v>
      </c>
      <c r="BH99" s="89" t="e">
        <f t="shared" si="891"/>
        <v>#DIV/0!</v>
      </c>
      <c r="BI99" s="89">
        <f t="shared" si="891"/>
        <v>2.14866171815566</v>
      </c>
      <c r="BJ99" s="89" t="e">
        <f t="shared" si="891"/>
        <v>#DIV/0!</v>
      </c>
      <c r="BK99" s="89">
        <f t="shared" si="891"/>
        <v>3.3043583397715417</v>
      </c>
      <c r="BL99" s="89" t="e">
        <f t="shared" si="891"/>
        <v>#DIV/0!</v>
      </c>
      <c r="BM99" s="89">
        <f t="shared" si="891"/>
        <v>2.6112530130390423</v>
      </c>
      <c r="BN99" s="89">
        <f t="shared" si="891"/>
        <v>2.646970376303976</v>
      </c>
      <c r="BO99" s="89">
        <f t="shared" si="891"/>
        <v>3.4204217160479771</v>
      </c>
      <c r="BP99" s="89">
        <f t="shared" si="891"/>
        <v>3.3606593638840661</v>
      </c>
      <c r="BQ99" s="89">
        <f t="shared" si="891"/>
        <v>3.110003987835579</v>
      </c>
      <c r="BR99" s="89">
        <f t="shared" si="891"/>
        <v>2.7390731438478451</v>
      </c>
      <c r="BS99" s="89">
        <f t="shared" si="891"/>
        <v>2.6390777587462666</v>
      </c>
      <c r="BT99" s="89">
        <f t="shared" si="891"/>
        <v>1.8801111354659459</v>
      </c>
      <c r="BU99" s="89">
        <f t="shared" si="891"/>
        <v>1.7239578951605596</v>
      </c>
      <c r="BV99" s="89">
        <f t="shared" si="891"/>
        <v>1.9597158559667966</v>
      </c>
      <c r="BW99" s="89">
        <f t="shared" ref="BW99:BY99" si="892">BW91/BW70</f>
        <v>2.6713316993235976</v>
      </c>
      <c r="BX99" s="89">
        <f t="shared" ref="BX99" si="893">BX91/BX70</f>
        <v>2.6570387259707116</v>
      </c>
      <c r="BY99" s="89">
        <f t="shared" si="892"/>
        <v>2.2734110746278171</v>
      </c>
      <c r="BZ99" s="83">
        <f t="shared" si="872"/>
        <v>2.2734110746278171</v>
      </c>
      <c r="CA99" s="83">
        <f t="shared" si="873"/>
        <v>2.2734110746278171</v>
      </c>
      <c r="CB99" s="83">
        <f t="shared" si="874"/>
        <v>2.2734110746278171</v>
      </c>
      <c r="CC99" s="83">
        <f t="shared" si="875"/>
        <v>2.2734110746278171</v>
      </c>
      <c r="CD99" s="83">
        <f t="shared" si="876"/>
        <v>2.2734110746278171</v>
      </c>
      <c r="CE99" s="83">
        <f t="shared" si="877"/>
        <v>2.2734110746278171</v>
      </c>
      <c r="CF99" s="83">
        <f t="shared" si="878"/>
        <v>2.2734110746278171</v>
      </c>
      <c r="CG99" s="83">
        <f t="shared" si="879"/>
        <v>2.2734110746278171</v>
      </c>
      <c r="CH99" s="83">
        <f t="shared" si="880"/>
        <v>2.2734110746278171</v>
      </c>
      <c r="CI99" s="83">
        <f t="shared" si="881"/>
        <v>2.2734110746278171</v>
      </c>
      <c r="CJ99" s="83">
        <f t="shared" si="882"/>
        <v>2.2734110746278171</v>
      </c>
      <c r="CK99" s="83">
        <f t="shared" si="883"/>
        <v>2.2734110746278171</v>
      </c>
      <c r="CL99" s="83">
        <f t="shared" si="884"/>
        <v>2.2734110746278171</v>
      </c>
      <c r="CM99" s="83">
        <f t="shared" si="885"/>
        <v>2.2734110746278171</v>
      </c>
      <c r="CN99" s="83">
        <f t="shared" si="886"/>
        <v>2.2734110746278171</v>
      </c>
      <c r="CO99" s="83">
        <f t="shared" si="887"/>
        <v>2.2734110746278171</v>
      </c>
      <c r="CT99" s="89">
        <v>1.7567917370652555</v>
      </c>
    </row>
    <row r="100" spans="1:98" s="86" customFormat="1" x14ac:dyDescent="0.2"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8" s="86" customFormat="1" x14ac:dyDescent="0.2">
      <c r="A101" s="120" t="s">
        <v>172</v>
      </c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26"/>
      <c r="AC101" s="26"/>
      <c r="AD101" s="26"/>
      <c r="AE101" s="26"/>
      <c r="AG101" s="57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</row>
    <row r="102" spans="1:98" x14ac:dyDescent="0.2">
      <c r="A102" s="119" t="s">
        <v>173</v>
      </c>
      <c r="AA102" s="47"/>
      <c r="BY102" s="47"/>
    </row>
    <row r="103" spans="1:98" s="38" customFormat="1" x14ac:dyDescent="0.2">
      <c r="A103" s="38" t="s">
        <v>16</v>
      </c>
      <c r="B103" s="38">
        <f>+'Annual Raw'!C77</f>
        <v>0</v>
      </c>
      <c r="C103" s="38">
        <f>+'Annual Raw'!D77</f>
        <v>0</v>
      </c>
      <c r="D103" s="38">
        <f>+'Annual Raw'!E77</f>
        <v>0</v>
      </c>
      <c r="E103" s="38">
        <f>+'Annual Raw'!F77</f>
        <v>0</v>
      </c>
      <c r="F103" s="38">
        <f>+'Annual Raw'!G77</f>
        <v>0</v>
      </c>
      <c r="G103" s="38">
        <f>+'Annual Raw'!H77</f>
        <v>0</v>
      </c>
      <c r="H103" s="38">
        <f>+'Annual Raw'!I77</f>
        <v>0</v>
      </c>
      <c r="I103" s="38">
        <f>+'Annual Raw'!J77</f>
        <v>0</v>
      </c>
      <c r="J103" s="38">
        <f>+'Annual Raw'!K77</f>
        <v>16.480578999999999</v>
      </c>
      <c r="K103" s="38">
        <f>+'Annual Raw'!L77</f>
        <v>24.842320999999998</v>
      </c>
      <c r="L103" s="38">
        <f>+'Annual Raw'!M77</f>
        <v>24.842320999999998</v>
      </c>
      <c r="M103" s="38">
        <f>+'Annual Raw'!N77</f>
        <v>24.842320999999998</v>
      </c>
      <c r="N103" s="38">
        <f>+'Annual Raw'!O77</f>
        <v>39.620099000000003</v>
      </c>
      <c r="O103" s="38">
        <f>+'Annual Raw'!P77</f>
        <v>52.953432999999997</v>
      </c>
      <c r="P103" s="38">
        <f>+'Annual Raw'!Q77</f>
        <v>72.953433000000004</v>
      </c>
      <c r="Q103" s="38">
        <f>+'Annual Raw'!R77</f>
        <v>72.953433000000004</v>
      </c>
      <c r="R103" s="38">
        <f>+'Annual Raw'!S77</f>
        <v>85.681342999999998</v>
      </c>
      <c r="S103" s="38">
        <f>+'Annual Raw'!T77</f>
        <v>128.43</v>
      </c>
      <c r="T103" s="38">
        <f>+'Annual Raw'!U77</f>
        <v>143.55000000000001</v>
      </c>
      <c r="U103" s="38">
        <f>+'Annual Raw'!V77</f>
        <v>143.99</v>
      </c>
      <c r="V103" s="38">
        <f>+'Annual Raw'!W77</f>
        <v>155.58000000000001</v>
      </c>
      <c r="W103" s="38">
        <f>+'Annual Raw'!X77</f>
        <v>155.87</v>
      </c>
      <c r="X103" s="38">
        <f>+'Annual Raw'!Y77</f>
        <v>158.91</v>
      </c>
      <c r="Y103" s="38">
        <f>+'Annual Raw'!Z77</f>
        <v>159.38</v>
      </c>
      <c r="Z103" s="38">
        <f>+'Annual Raw'!AA77</f>
        <v>159.72</v>
      </c>
      <c r="AA103" s="38">
        <f>+'Annual Raw'!AB77</f>
        <v>160.19999999999999</v>
      </c>
      <c r="AB103" s="39">
        <f>CC103</f>
        <v>160.19999999999999</v>
      </c>
      <c r="AC103" s="39">
        <f>CG103</f>
        <v>160.19999999999999</v>
      </c>
      <c r="AD103" s="39">
        <f>CK103</f>
        <v>160.19999999999999</v>
      </c>
      <c r="AE103" s="39">
        <f>CO103</f>
        <v>160.19999999999999</v>
      </c>
      <c r="AG103" s="60"/>
      <c r="AH103" s="38">
        <f>+'QTR Raw'!D54</f>
        <v>0</v>
      </c>
      <c r="AI103" s="38">
        <f>+'QTR Raw'!E54</f>
        <v>0</v>
      </c>
      <c r="AJ103" s="38">
        <f>+'QTR Raw'!F54</f>
        <v>0</v>
      </c>
      <c r="AK103" s="38">
        <f>+'QTR Raw'!G54</f>
        <v>0</v>
      </c>
      <c r="AL103" s="38">
        <f>+'QTR Raw'!H54</f>
        <v>0</v>
      </c>
      <c r="AM103" s="38">
        <f>+'QTR Raw'!I54</f>
        <v>0</v>
      </c>
      <c r="AN103" s="38">
        <f>+'QTR Raw'!J54</f>
        <v>0</v>
      </c>
      <c r="AO103" s="38">
        <f>+'QTR Raw'!K54</f>
        <v>0</v>
      </c>
      <c r="AP103" s="38">
        <f>+'QTR Raw'!L54</f>
        <v>0</v>
      </c>
      <c r="AQ103" s="38">
        <f>+'QTR Raw'!M54</f>
        <v>0</v>
      </c>
      <c r="AR103" s="38">
        <f>+'QTR Raw'!N54</f>
        <v>0</v>
      </c>
      <c r="AS103" s="38">
        <f>+'QTR Raw'!O54</f>
        <v>128.43</v>
      </c>
      <c r="AT103" s="38">
        <f>+'QTR Raw'!P54</f>
        <v>0</v>
      </c>
      <c r="AU103" s="38">
        <f>+'QTR Raw'!Q54</f>
        <v>143.36000000000001</v>
      </c>
      <c r="AV103" s="38">
        <f>+'QTR Raw'!R54</f>
        <v>0</v>
      </c>
      <c r="AW103" s="38">
        <f>+'QTR Raw'!S54</f>
        <v>143.55000000000001</v>
      </c>
      <c r="AX103" s="38">
        <f>+'QTR Raw'!T54</f>
        <v>0</v>
      </c>
      <c r="AY103" s="38">
        <f>+'QTR Raw'!U54</f>
        <v>143.80000000000001</v>
      </c>
      <c r="AZ103" s="38">
        <f>+'QTR Raw'!V54</f>
        <v>0</v>
      </c>
      <c r="BA103" s="38">
        <f>+'QTR Raw'!W54</f>
        <v>143.99</v>
      </c>
      <c r="BB103" s="38">
        <f>+'QTR Raw'!X54</f>
        <v>0</v>
      </c>
      <c r="BC103" s="38">
        <f>+'QTR Raw'!Y54</f>
        <v>144.11000000000001</v>
      </c>
      <c r="BD103" s="38">
        <f>+'QTR Raw'!Z54</f>
        <v>0</v>
      </c>
      <c r="BE103" s="38">
        <f>+'QTR Raw'!AA54</f>
        <v>155.58000000000001</v>
      </c>
      <c r="BF103" s="38">
        <f>+'QTR Raw'!AB54</f>
        <v>0</v>
      </c>
      <c r="BG103" s="38">
        <f>+'QTR Raw'!AC54</f>
        <v>155.74</v>
      </c>
      <c r="BH103" s="38">
        <f>+'QTR Raw'!AD54</f>
        <v>0</v>
      </c>
      <c r="BI103" s="38">
        <f>+'QTR Raw'!AE54</f>
        <v>155.87</v>
      </c>
      <c r="BJ103" s="38">
        <f>+'QTR Raw'!AF54</f>
        <v>0</v>
      </c>
      <c r="BK103" s="38">
        <f>+'QTR Raw'!AG54</f>
        <v>156.11000000000001</v>
      </c>
      <c r="BL103" s="38">
        <f>+'QTR Raw'!AH54</f>
        <v>0</v>
      </c>
      <c r="BM103" s="38">
        <f>+'QTR Raw'!AI54</f>
        <v>158.91</v>
      </c>
      <c r="BN103" s="38">
        <f>BM103</f>
        <v>158.91</v>
      </c>
      <c r="BO103" s="38">
        <f>+'QTR Raw'!AK54</f>
        <v>159.11000000000001</v>
      </c>
      <c r="BP103" s="38">
        <f>BO103</f>
        <v>159.11000000000001</v>
      </c>
      <c r="BQ103" s="38">
        <f>+'QTR Raw'!AM54</f>
        <v>159.38</v>
      </c>
      <c r="BR103" s="38">
        <f>BQ103</f>
        <v>159.38</v>
      </c>
      <c r="BS103" s="38">
        <f>+'QTR Raw'!AO54</f>
        <v>159.46</v>
      </c>
      <c r="BT103" s="38">
        <f>BS103</f>
        <v>159.46</v>
      </c>
      <c r="BU103" s="38">
        <f>+'QTR Raw'!AQ54</f>
        <v>159.72</v>
      </c>
      <c r="BV103" s="38">
        <f>BU103</f>
        <v>159.72</v>
      </c>
      <c r="BW103" s="38">
        <f>+'QTR Raw'!AS54</f>
        <v>159.88</v>
      </c>
      <c r="BX103" s="38">
        <f t="shared" ref="BX103" si="894">BW103</f>
        <v>159.88</v>
      </c>
      <c r="BY103" s="38">
        <f>+'QTR Raw'!AU54</f>
        <v>160.19999999999999</v>
      </c>
      <c r="BZ103" s="39">
        <f t="shared" ref="BZ103" si="895">BY103</f>
        <v>160.19999999999999</v>
      </c>
      <c r="CA103" s="39">
        <f t="shared" ref="CA103" si="896">BZ103</f>
        <v>160.19999999999999</v>
      </c>
      <c r="CB103" s="39">
        <f t="shared" ref="CB103" si="897">CA103</f>
        <v>160.19999999999999</v>
      </c>
      <c r="CC103" s="39">
        <f t="shared" ref="CC103" si="898">CB103</f>
        <v>160.19999999999999</v>
      </c>
      <c r="CD103" s="39">
        <f t="shared" ref="CD103" si="899">CC103</f>
        <v>160.19999999999999</v>
      </c>
      <c r="CE103" s="39">
        <f t="shared" ref="CE103" si="900">CD103</f>
        <v>160.19999999999999</v>
      </c>
      <c r="CF103" s="39">
        <f t="shared" ref="CF103" si="901">CE103</f>
        <v>160.19999999999999</v>
      </c>
      <c r="CG103" s="39">
        <f t="shared" ref="CG103" si="902">CF103</f>
        <v>160.19999999999999</v>
      </c>
      <c r="CH103" s="39">
        <f t="shared" ref="CH103" si="903">CG103</f>
        <v>160.19999999999999</v>
      </c>
      <c r="CI103" s="39">
        <f t="shared" ref="CI103" si="904">CH103</f>
        <v>160.19999999999999</v>
      </c>
      <c r="CJ103" s="39">
        <f t="shared" ref="CJ103" si="905">CI103</f>
        <v>160.19999999999999</v>
      </c>
      <c r="CK103" s="39">
        <f t="shared" ref="CK103" si="906">CJ103</f>
        <v>160.19999999999999</v>
      </c>
      <c r="CL103" s="39">
        <f t="shared" ref="CL103" si="907">CK103</f>
        <v>160.19999999999999</v>
      </c>
      <c r="CM103" s="39">
        <f t="shared" ref="CM103" si="908">CL103</f>
        <v>160.19999999999999</v>
      </c>
      <c r="CN103" s="39">
        <f t="shared" ref="CN103" si="909">CM103</f>
        <v>160.19999999999999</v>
      </c>
      <c r="CO103" s="39">
        <f t="shared" ref="CO103" si="910">CN103</f>
        <v>160.19999999999999</v>
      </c>
      <c r="CT103" s="38">
        <v>160.19999999999999</v>
      </c>
    </row>
    <row r="104" spans="1:98" s="38" customFormat="1" x14ac:dyDescent="0.2">
      <c r="A104" s="38" t="s">
        <v>17</v>
      </c>
      <c r="B104" s="38">
        <f>+'Annual Raw'!C78</f>
        <v>0</v>
      </c>
      <c r="C104" s="38">
        <f>+'Annual Raw'!D78</f>
        <v>0</v>
      </c>
      <c r="D104" s="38">
        <f>+'Annual Raw'!E78</f>
        <v>0</v>
      </c>
      <c r="E104" s="38">
        <f>+'Annual Raw'!F78</f>
        <v>0</v>
      </c>
      <c r="F104" s="38">
        <f>+'Annual Raw'!G78</f>
        <v>0</v>
      </c>
      <c r="G104" s="38">
        <f>+'Annual Raw'!H78</f>
        <v>0</v>
      </c>
      <c r="H104" s="38">
        <f>+'Annual Raw'!I78</f>
        <v>0</v>
      </c>
      <c r="I104" s="38">
        <f>+'Annual Raw'!J78</f>
        <v>0</v>
      </c>
      <c r="J104" s="38">
        <f>+'Annual Raw'!K78</f>
        <v>0</v>
      </c>
      <c r="K104" s="38">
        <f>+'Annual Raw'!L78</f>
        <v>0</v>
      </c>
      <c r="L104" s="38">
        <f>+'Annual Raw'!M78</f>
        <v>0</v>
      </c>
      <c r="M104" s="38">
        <f>+'Annual Raw'!N78</f>
        <v>0</v>
      </c>
      <c r="N104" s="38">
        <f>+'Annual Raw'!O78</f>
        <v>0</v>
      </c>
      <c r="O104" s="38">
        <f>+'Annual Raw'!P78</f>
        <v>5.8698E-2</v>
      </c>
      <c r="P104" s="38">
        <f>+'Annual Raw'!Q78</f>
        <v>0.44867059999999997</v>
      </c>
      <c r="Q104" s="38">
        <f>+'Annual Raw'!R78</f>
        <v>0.68833699999999998</v>
      </c>
      <c r="R104" s="38">
        <f>+'Annual Raw'!S78</f>
        <v>1.3103526000000001</v>
      </c>
      <c r="S104" s="38">
        <f>+'Annual Raw'!T78</f>
        <v>5.08</v>
      </c>
      <c r="T104" s="38">
        <f>+'Annual Raw'!U78</f>
        <v>8.7899999999999991</v>
      </c>
      <c r="U104" s="38">
        <f>+'Annual Raw'!V78</f>
        <v>8.61</v>
      </c>
      <c r="V104" s="38">
        <f>+'Annual Raw'!W78</f>
        <v>8.52</v>
      </c>
      <c r="W104" s="38">
        <f>+'Annual Raw'!X78</f>
        <v>11.72</v>
      </c>
      <c r="X104" s="38">
        <f>+'Annual Raw'!Y78</f>
        <v>19.41</v>
      </c>
      <c r="Y104" s="38">
        <f>+'Annual Raw'!Z78</f>
        <v>31.17</v>
      </c>
      <c r="Z104" s="38">
        <f>+'Annual Raw'!AA78</f>
        <v>49.26</v>
      </c>
      <c r="AA104" s="38">
        <f>+'Annual Raw'!AB78</f>
        <v>66.16</v>
      </c>
      <c r="AB104" s="39"/>
      <c r="AC104" s="39"/>
      <c r="AD104" s="39"/>
      <c r="AE104" s="39"/>
      <c r="AG104" s="60"/>
      <c r="AH104" s="38">
        <f>+'QTR Raw'!D55</f>
        <v>0</v>
      </c>
      <c r="AI104" s="38">
        <f>+'QTR Raw'!E55</f>
        <v>0</v>
      </c>
      <c r="AJ104" s="38">
        <f>+'QTR Raw'!F55</f>
        <v>0</v>
      </c>
      <c r="AK104" s="38">
        <f>+'QTR Raw'!G55</f>
        <v>0</v>
      </c>
      <c r="AL104" s="38">
        <f>+'QTR Raw'!H55</f>
        <v>0</v>
      </c>
      <c r="AM104" s="38">
        <f>+'QTR Raw'!I55</f>
        <v>0</v>
      </c>
      <c r="AN104" s="38">
        <f>+'QTR Raw'!J55</f>
        <v>0</v>
      </c>
      <c r="AO104" s="38">
        <f>+'QTR Raw'!K55</f>
        <v>0</v>
      </c>
      <c r="AP104" s="38">
        <f>+'QTR Raw'!L55</f>
        <v>0</v>
      </c>
      <c r="AQ104" s="38">
        <f>+'QTR Raw'!M55</f>
        <v>0</v>
      </c>
      <c r="AR104" s="38">
        <f>+'QTR Raw'!N55</f>
        <v>0</v>
      </c>
      <c r="AS104" s="38">
        <f>+'QTR Raw'!O55</f>
        <v>0</v>
      </c>
      <c r="AT104" s="38">
        <f>+'QTR Raw'!P55</f>
        <v>0</v>
      </c>
      <c r="AU104" s="38">
        <f>+'QTR Raw'!Q55</f>
        <v>0</v>
      </c>
      <c r="AV104" s="38">
        <f>+'QTR Raw'!R55</f>
        <v>0</v>
      </c>
      <c r="AW104" s="38">
        <f>+'QTR Raw'!S55</f>
        <v>0</v>
      </c>
      <c r="AX104" s="38">
        <f>+'QTR Raw'!T55</f>
        <v>0</v>
      </c>
      <c r="AY104" s="38">
        <f>+'QTR Raw'!U55</f>
        <v>0</v>
      </c>
      <c r="AZ104" s="38">
        <f>+'QTR Raw'!V55</f>
        <v>0</v>
      </c>
      <c r="BA104" s="38">
        <f>+'QTR Raw'!W55</f>
        <v>0</v>
      </c>
      <c r="BB104" s="38">
        <f>+'QTR Raw'!X55</f>
        <v>0</v>
      </c>
      <c r="BC104" s="38">
        <f>+'QTR Raw'!Y55</f>
        <v>0</v>
      </c>
      <c r="BD104" s="38">
        <f>+'QTR Raw'!Z55</f>
        <v>0</v>
      </c>
      <c r="BE104" s="38">
        <f>+'QTR Raw'!AA55</f>
        <v>0</v>
      </c>
      <c r="BF104" s="38">
        <f>+'QTR Raw'!AB55</f>
        <v>0</v>
      </c>
      <c r="BG104" s="38">
        <f>+'QTR Raw'!AC55</f>
        <v>0</v>
      </c>
      <c r="BH104" s="38">
        <f>+'QTR Raw'!AD55</f>
        <v>0</v>
      </c>
      <c r="BI104" s="38">
        <f>+'QTR Raw'!AE55</f>
        <v>0</v>
      </c>
      <c r="BJ104" s="38">
        <f>+'QTR Raw'!AF55</f>
        <v>0</v>
      </c>
      <c r="BK104" s="38">
        <f>+'QTR Raw'!AG55</f>
        <v>0</v>
      </c>
      <c r="BL104" s="38">
        <f>+'QTR Raw'!AH55</f>
        <v>0</v>
      </c>
      <c r="BM104" s="38">
        <f>+'QTR Raw'!AI55</f>
        <v>0</v>
      </c>
      <c r="BN104" s="38">
        <f>+'QTR Raw'!AJ55</f>
        <v>0</v>
      </c>
      <c r="BO104" s="38">
        <f>+'QTR Raw'!AK55</f>
        <v>0</v>
      </c>
      <c r="BP104" s="38">
        <f>+'QTR Raw'!AL55</f>
        <v>0</v>
      </c>
      <c r="BQ104" s="38">
        <f>+'QTR Raw'!AM55</f>
        <v>0</v>
      </c>
      <c r="BR104" s="38">
        <f>+'QTR Raw'!AN55</f>
        <v>0</v>
      </c>
      <c r="BS104" s="38">
        <f>+'QTR Raw'!AO55</f>
        <v>0</v>
      </c>
      <c r="BT104" s="38">
        <f>+'QTR Raw'!AP55</f>
        <v>0</v>
      </c>
      <c r="BU104" s="38">
        <f>+'QTR Raw'!AQ55</f>
        <v>0</v>
      </c>
      <c r="BV104" s="38">
        <f>+'QTR Raw'!AR55</f>
        <v>0</v>
      </c>
      <c r="BW104" s="38">
        <f>+'QTR Raw'!AS55</f>
        <v>0</v>
      </c>
      <c r="BX104" s="38">
        <f t="shared" ref="BX104:CO104" si="911">+BW104</f>
        <v>0</v>
      </c>
      <c r="BY104" s="38">
        <f>+'QTR Raw'!AU55</f>
        <v>0</v>
      </c>
      <c r="BZ104" s="39">
        <f t="shared" si="911"/>
        <v>0</v>
      </c>
      <c r="CA104" s="39">
        <f t="shared" si="911"/>
        <v>0</v>
      </c>
      <c r="CB104" s="39">
        <f t="shared" si="911"/>
        <v>0</v>
      </c>
      <c r="CC104" s="39">
        <f t="shared" si="911"/>
        <v>0</v>
      </c>
      <c r="CD104" s="39">
        <f t="shared" si="911"/>
        <v>0</v>
      </c>
      <c r="CE104" s="39">
        <f t="shared" si="911"/>
        <v>0</v>
      </c>
      <c r="CF104" s="39">
        <f t="shared" si="911"/>
        <v>0</v>
      </c>
      <c r="CG104" s="39">
        <f t="shared" si="911"/>
        <v>0</v>
      </c>
      <c r="CH104" s="39">
        <f t="shared" si="911"/>
        <v>0</v>
      </c>
      <c r="CI104" s="39">
        <f t="shared" si="911"/>
        <v>0</v>
      </c>
      <c r="CJ104" s="39">
        <f t="shared" si="911"/>
        <v>0</v>
      </c>
      <c r="CK104" s="39">
        <f t="shared" si="911"/>
        <v>0</v>
      </c>
      <c r="CL104" s="39">
        <f t="shared" si="911"/>
        <v>0</v>
      </c>
      <c r="CM104" s="39">
        <f t="shared" si="911"/>
        <v>0</v>
      </c>
      <c r="CN104" s="39">
        <f t="shared" si="911"/>
        <v>0</v>
      </c>
      <c r="CO104" s="39">
        <f t="shared" si="911"/>
        <v>0</v>
      </c>
      <c r="CT104" s="38">
        <v>66.16</v>
      </c>
    </row>
    <row r="105" spans="1:98" s="38" customFormat="1" x14ac:dyDescent="0.2">
      <c r="A105" s="38" t="s">
        <v>18</v>
      </c>
      <c r="B105" s="38">
        <f>+'Annual Raw'!C79</f>
        <v>0</v>
      </c>
      <c r="C105" s="38">
        <f>+'Annual Raw'!D79</f>
        <v>0</v>
      </c>
      <c r="D105" s="38">
        <f>+'Annual Raw'!E79</f>
        <v>0</v>
      </c>
      <c r="E105" s="38">
        <f>+'Annual Raw'!F79</f>
        <v>0</v>
      </c>
      <c r="F105" s="38">
        <f>+'Annual Raw'!G79</f>
        <v>0</v>
      </c>
      <c r="G105" s="38">
        <f>+'Annual Raw'!H79</f>
        <v>0</v>
      </c>
      <c r="H105" s="38">
        <f>+'Annual Raw'!I79</f>
        <v>0</v>
      </c>
      <c r="I105" s="38">
        <f>+'Annual Raw'!J79</f>
        <v>0</v>
      </c>
      <c r="J105" s="38">
        <f>+'Annual Raw'!K79</f>
        <v>5.3167533000000002</v>
      </c>
      <c r="K105" s="38">
        <f>+'Annual Raw'!L79</f>
        <v>25.400657599999999</v>
      </c>
      <c r="L105" s="38">
        <f>+'Annual Raw'!M79</f>
        <v>28.892832299999998</v>
      </c>
      <c r="M105" s="38">
        <f>+'Annual Raw'!N79</f>
        <v>25.990191299999999</v>
      </c>
      <c r="N105" s="38">
        <f>+'Annual Raw'!O79</f>
        <v>72.870343899999995</v>
      </c>
      <c r="O105" s="38">
        <f>+'Annual Raw'!P79</f>
        <v>158.04600350000001</v>
      </c>
      <c r="P105" s="38">
        <f>+'Annual Raw'!Q79</f>
        <v>307.5018129</v>
      </c>
      <c r="Q105" s="38">
        <f>+'Annual Raw'!R79</f>
        <v>391.27793389999999</v>
      </c>
      <c r="R105" s="38">
        <f>+'Annual Raw'!S79</f>
        <v>603.8050508</v>
      </c>
      <c r="S105" s="38">
        <f>+'Annual Raw'!T79</f>
        <v>1303.97</v>
      </c>
      <c r="T105" s="38">
        <f>+'Annual Raw'!U79</f>
        <v>2212.7199999999998</v>
      </c>
      <c r="U105" s="38">
        <f>+'Annual Raw'!V79</f>
        <v>2516.48</v>
      </c>
      <c r="V105" s="38">
        <f>+'Annual Raw'!W79</f>
        <v>3470.71</v>
      </c>
      <c r="W105" s="38">
        <f>+'Annual Raw'!X79</f>
        <v>3999.32</v>
      </c>
      <c r="X105" s="38">
        <f>+'Annual Raw'!Y79</f>
        <v>4928.62</v>
      </c>
      <c r="Y105" s="38">
        <f>+'Annual Raw'!Z79</f>
        <v>6379.4</v>
      </c>
      <c r="Z105" s="38">
        <f>+'Annual Raw'!AA79</f>
        <v>6746.96</v>
      </c>
      <c r="AA105" s="38">
        <f>+'Annual Raw'!AB79</f>
        <v>7615.86</v>
      </c>
      <c r="AB105" s="39">
        <f>CC105</f>
        <v>9213.2727164539465</v>
      </c>
      <c r="AC105" s="39">
        <f>CG105</f>
        <v>11286.619081818395</v>
      </c>
      <c r="AD105" s="39">
        <f>CK105</f>
        <v>13732.415552981138</v>
      </c>
      <c r="AE105" s="39">
        <f>CO105</f>
        <v>16555.85048631352</v>
      </c>
      <c r="AG105" s="60"/>
      <c r="AH105" s="38">
        <f>+'QTR Raw'!D56</f>
        <v>0</v>
      </c>
      <c r="AI105" s="38">
        <f>+'QTR Raw'!E56</f>
        <v>0</v>
      </c>
      <c r="AJ105" s="38">
        <f>+'QTR Raw'!F56</f>
        <v>0</v>
      </c>
      <c r="AK105" s="38">
        <f>+'QTR Raw'!G56</f>
        <v>0</v>
      </c>
      <c r="AL105" s="38">
        <f>+'QTR Raw'!H56</f>
        <v>0</v>
      </c>
      <c r="AM105" s="38">
        <f>+'QTR Raw'!I56</f>
        <v>0</v>
      </c>
      <c r="AN105" s="38">
        <f>+'QTR Raw'!J56</f>
        <v>0</v>
      </c>
      <c r="AO105" s="38">
        <f>+'QTR Raw'!K56</f>
        <v>0</v>
      </c>
      <c r="AP105" s="38">
        <f>+'QTR Raw'!L56</f>
        <v>0</v>
      </c>
      <c r="AQ105" s="38">
        <f>+'QTR Raw'!M56</f>
        <v>0</v>
      </c>
      <c r="AR105" s="38">
        <f>+'QTR Raw'!N56</f>
        <v>0</v>
      </c>
      <c r="AS105" s="38">
        <f>+'QTR Raw'!O56</f>
        <v>1309.05</v>
      </c>
      <c r="AT105" s="38">
        <f>+'QTR Raw'!P56</f>
        <v>0</v>
      </c>
      <c r="AU105" s="38">
        <f>+'QTR Raw'!Q56</f>
        <v>2069.7800000000002</v>
      </c>
      <c r="AV105" s="38">
        <f>+'QTR Raw'!R56</f>
        <v>0</v>
      </c>
      <c r="AW105" s="38">
        <f>+'QTR Raw'!S56</f>
        <v>2221.5100000000002</v>
      </c>
      <c r="AX105" s="38">
        <f>+'QTR Raw'!T56</f>
        <v>0</v>
      </c>
      <c r="AY105" s="38">
        <f>+'QTR Raw'!U56</f>
        <v>2411.35</v>
      </c>
      <c r="AZ105" s="38">
        <f>+'QTR Raw'!V56</f>
        <v>0</v>
      </c>
      <c r="BA105" s="38">
        <f>+'QTR Raw'!W56</f>
        <v>2590.23</v>
      </c>
      <c r="BB105" s="38">
        <f>+'QTR Raw'!X56</f>
        <v>0</v>
      </c>
      <c r="BC105" s="38">
        <f>+'QTR Raw'!Y56</f>
        <v>2739.63</v>
      </c>
      <c r="BD105" s="38">
        <f>+'QTR Raw'!Z56</f>
        <v>0</v>
      </c>
      <c r="BE105" s="38">
        <f>+'QTR Raw'!AA56</f>
        <v>3535.97</v>
      </c>
      <c r="BF105" s="38">
        <f>+'QTR Raw'!AB56</f>
        <v>0</v>
      </c>
      <c r="BG105" s="38">
        <f>+'QTR Raw'!AC56</f>
        <v>3616</v>
      </c>
      <c r="BH105" s="38">
        <f>+'QTR Raw'!AD56</f>
        <v>0</v>
      </c>
      <c r="BI105" s="38">
        <f>+'QTR Raw'!AE56</f>
        <v>4011.04</v>
      </c>
      <c r="BJ105" s="38">
        <f>+'QTR Raw'!AF56</f>
        <v>0</v>
      </c>
      <c r="BK105" s="38">
        <f>+'QTR Raw'!AG56</f>
        <v>4425.91</v>
      </c>
      <c r="BL105" s="38">
        <f>+'QTR Raw'!AH56</f>
        <v>0</v>
      </c>
      <c r="BM105" s="38">
        <f>+'QTR Raw'!AI56</f>
        <v>4948.0600000000004</v>
      </c>
      <c r="BN105" s="38">
        <f t="shared" ref="BN105:CO105" si="912">BM105+BN56</f>
        <v>5296.52</v>
      </c>
      <c r="BO105" s="38">
        <f>+'QTR Raw'!AK56</f>
        <v>5638.63</v>
      </c>
      <c r="BP105" s="38">
        <f t="shared" si="912"/>
        <v>5991.97</v>
      </c>
      <c r="BQ105" s="38">
        <f>+'QTR Raw'!AM56</f>
        <v>6410.6</v>
      </c>
      <c r="BR105" s="38">
        <f t="shared" si="912"/>
        <v>6808.26</v>
      </c>
      <c r="BS105" s="38">
        <f>+'QTR Raw'!AO56</f>
        <v>6828.95</v>
      </c>
      <c r="BT105" s="38">
        <f t="shared" si="912"/>
        <v>6729.43</v>
      </c>
      <c r="BU105" s="38">
        <f>+'QTR Raw'!AQ56</f>
        <v>6796.25</v>
      </c>
      <c r="BV105" s="38">
        <f t="shared" si="912"/>
        <v>6856.44</v>
      </c>
      <c r="BW105" s="38">
        <f>+'QTR Raw'!AS56</f>
        <v>7004.5</v>
      </c>
      <c r="BX105" s="38">
        <f t="shared" si="912"/>
        <v>7256.59</v>
      </c>
      <c r="BY105" s="38">
        <f>+'QTR Raw'!AU56</f>
        <v>7682.05</v>
      </c>
      <c r="BZ105" s="39">
        <f t="shared" si="912"/>
        <v>7967.9549389206768</v>
      </c>
      <c r="CA105" s="39">
        <f t="shared" si="912"/>
        <v>8351.7574647637157</v>
      </c>
      <c r="CB105" s="39">
        <f t="shared" si="912"/>
        <v>8761.4839091864851</v>
      </c>
      <c r="CC105" s="39">
        <f t="shared" si="912"/>
        <v>9213.2727164539465</v>
      </c>
      <c r="CD105" s="39">
        <f t="shared" si="912"/>
        <v>9672.1370309999093</v>
      </c>
      <c r="CE105" s="39">
        <f t="shared" si="912"/>
        <v>10185.763033592453</v>
      </c>
      <c r="CF105" s="39">
        <f t="shared" si="912"/>
        <v>10720.861424523458</v>
      </c>
      <c r="CG105" s="39">
        <f t="shared" si="912"/>
        <v>11286.619081818395</v>
      </c>
      <c r="CH105" s="39">
        <f t="shared" si="912"/>
        <v>11863.498173649165</v>
      </c>
      <c r="CI105" s="39">
        <f t="shared" si="912"/>
        <v>12476.284255839932</v>
      </c>
      <c r="CJ105" s="39">
        <f t="shared" si="912"/>
        <v>13096.344090787281</v>
      </c>
      <c r="CK105" s="39">
        <f t="shared" si="912"/>
        <v>13732.415552981138</v>
      </c>
      <c r="CL105" s="39">
        <f t="shared" si="912"/>
        <v>14406.798315787335</v>
      </c>
      <c r="CM105" s="39">
        <f t="shared" si="912"/>
        <v>15113.743207429876</v>
      </c>
      <c r="CN105" s="39">
        <f t="shared" si="912"/>
        <v>15825.801511604024</v>
      </c>
      <c r="CO105" s="39">
        <f t="shared" si="912"/>
        <v>16555.85048631352</v>
      </c>
      <c r="CT105" s="38">
        <v>7682.05</v>
      </c>
    </row>
    <row r="106" spans="1:98" s="43" customFormat="1" x14ac:dyDescent="0.2">
      <c r="A106" s="43" t="s">
        <v>19</v>
      </c>
      <c r="B106" s="43">
        <f t="shared" ref="B106:AB106" si="913">SUM(B103:B105)</f>
        <v>0</v>
      </c>
      <c r="C106" s="43">
        <f t="shared" si="913"/>
        <v>0</v>
      </c>
      <c r="D106" s="43">
        <f t="shared" si="913"/>
        <v>0</v>
      </c>
      <c r="E106" s="43">
        <f t="shared" si="913"/>
        <v>0</v>
      </c>
      <c r="F106" s="43">
        <f t="shared" si="913"/>
        <v>0</v>
      </c>
      <c r="G106" s="43">
        <f t="shared" si="913"/>
        <v>0</v>
      </c>
      <c r="H106" s="43">
        <f t="shared" si="913"/>
        <v>0</v>
      </c>
      <c r="I106" s="43">
        <f t="shared" si="913"/>
        <v>0</v>
      </c>
      <c r="J106" s="43">
        <f t="shared" si="913"/>
        <v>21.797332300000001</v>
      </c>
      <c r="K106" s="43">
        <f t="shared" si="913"/>
        <v>50.242978600000001</v>
      </c>
      <c r="L106" s="43">
        <f t="shared" si="913"/>
        <v>53.735153299999993</v>
      </c>
      <c r="M106" s="43">
        <f t="shared" si="913"/>
        <v>50.832512299999998</v>
      </c>
      <c r="N106" s="43">
        <f t="shared" si="913"/>
        <v>112.49044290000001</v>
      </c>
      <c r="O106" s="43">
        <f t="shared" si="913"/>
        <v>211.05813449999999</v>
      </c>
      <c r="P106" s="43">
        <f t="shared" si="913"/>
        <v>380.90391650000004</v>
      </c>
      <c r="Q106" s="43">
        <f t="shared" si="913"/>
        <v>464.9197039</v>
      </c>
      <c r="R106" s="43">
        <f t="shared" si="913"/>
        <v>690.79674639999996</v>
      </c>
      <c r="S106" s="43">
        <f t="shared" si="913"/>
        <v>1437.48</v>
      </c>
      <c r="T106" s="43">
        <f t="shared" si="913"/>
        <v>2365.06</v>
      </c>
      <c r="U106" s="43">
        <f t="shared" si="913"/>
        <v>2669.08</v>
      </c>
      <c r="V106" s="43">
        <f t="shared" si="913"/>
        <v>3634.81</v>
      </c>
      <c r="W106" s="43">
        <f t="shared" si="913"/>
        <v>4166.91</v>
      </c>
      <c r="X106" s="43">
        <f t="shared" si="913"/>
        <v>5106.9399999999996</v>
      </c>
      <c r="Y106" s="43">
        <f t="shared" si="913"/>
        <v>6569.95</v>
      </c>
      <c r="Z106" s="43">
        <f t="shared" si="913"/>
        <v>6955.94</v>
      </c>
      <c r="AA106" s="43">
        <f t="shared" ref="AA106" si="914">SUM(AA103:AA105)</f>
        <v>7842.2199999999993</v>
      </c>
      <c r="AB106" s="44">
        <f t="shared" si="913"/>
        <v>9373.4727164539472</v>
      </c>
      <c r="AC106" s="44">
        <f t="shared" ref="AC106" si="915">SUM(AC103:AC105)</f>
        <v>11446.819081818396</v>
      </c>
      <c r="AD106" s="44">
        <f t="shared" ref="AD106" si="916">SUM(AD103:AD105)</f>
        <v>13892.615552981139</v>
      </c>
      <c r="AE106" s="44">
        <f t="shared" ref="AE106" si="917">SUM(AE103:AE105)</f>
        <v>16716.050486313521</v>
      </c>
      <c r="AG106" s="62"/>
      <c r="AH106" s="43">
        <f t="shared" ref="AH106" si="918">SUM(AH103:AH105)</f>
        <v>0</v>
      </c>
      <c r="AI106" s="43">
        <f t="shared" ref="AI106" si="919">SUM(AI103:AI105)</f>
        <v>0</v>
      </c>
      <c r="AJ106" s="43">
        <f t="shared" ref="AJ106:BC106" si="920">SUM(AJ103:AJ105)</f>
        <v>0</v>
      </c>
      <c r="AK106" s="43">
        <f t="shared" si="920"/>
        <v>0</v>
      </c>
      <c r="AL106" s="43">
        <f t="shared" si="920"/>
        <v>0</v>
      </c>
      <c r="AM106" s="43">
        <f t="shared" si="920"/>
        <v>0</v>
      </c>
      <c r="AN106" s="43">
        <f t="shared" si="920"/>
        <v>0</v>
      </c>
      <c r="AO106" s="43">
        <f t="shared" si="920"/>
        <v>0</v>
      </c>
      <c r="AP106" s="43">
        <f t="shared" si="920"/>
        <v>0</v>
      </c>
      <c r="AQ106" s="43">
        <f t="shared" si="920"/>
        <v>0</v>
      </c>
      <c r="AR106" s="43">
        <f t="shared" si="920"/>
        <v>0</v>
      </c>
      <c r="AS106" s="43">
        <f t="shared" si="920"/>
        <v>1437.48</v>
      </c>
      <c r="AT106" s="43">
        <f t="shared" si="920"/>
        <v>0</v>
      </c>
      <c r="AU106" s="43">
        <f t="shared" ref="AU106" si="921">SUM(AU103:AU105)</f>
        <v>2213.1400000000003</v>
      </c>
      <c r="AV106" s="43">
        <f t="shared" ref="AV106:BB106" si="922">SUM(AV103:AV105)</f>
        <v>0</v>
      </c>
      <c r="AW106" s="43">
        <f t="shared" si="922"/>
        <v>2365.0600000000004</v>
      </c>
      <c r="AX106" s="43">
        <f t="shared" si="922"/>
        <v>0</v>
      </c>
      <c r="AY106" s="43">
        <f t="shared" si="922"/>
        <v>2555.15</v>
      </c>
      <c r="AZ106" s="43">
        <f t="shared" si="922"/>
        <v>0</v>
      </c>
      <c r="BA106" s="43">
        <f t="shared" si="922"/>
        <v>2734.2200000000003</v>
      </c>
      <c r="BB106" s="43">
        <f t="shared" si="922"/>
        <v>0</v>
      </c>
      <c r="BC106" s="43">
        <f t="shared" si="920"/>
        <v>2883.7400000000002</v>
      </c>
      <c r="BD106" s="43">
        <f t="shared" ref="BD106:BV106" si="923">SUM(BD103:BD105)</f>
        <v>0</v>
      </c>
      <c r="BE106" s="43">
        <f t="shared" si="923"/>
        <v>3691.5499999999997</v>
      </c>
      <c r="BF106" s="43">
        <f t="shared" si="923"/>
        <v>0</v>
      </c>
      <c r="BG106" s="43">
        <f t="shared" si="923"/>
        <v>3771.74</v>
      </c>
      <c r="BH106" s="43">
        <f t="shared" si="923"/>
        <v>0</v>
      </c>
      <c r="BI106" s="43">
        <f t="shared" si="923"/>
        <v>4166.91</v>
      </c>
      <c r="BJ106" s="43">
        <f t="shared" si="923"/>
        <v>0</v>
      </c>
      <c r="BK106" s="43">
        <f t="shared" si="923"/>
        <v>4582.0199999999995</v>
      </c>
      <c r="BL106" s="43">
        <f t="shared" si="923"/>
        <v>0</v>
      </c>
      <c r="BM106" s="43">
        <f t="shared" si="923"/>
        <v>5106.97</v>
      </c>
      <c r="BN106" s="43">
        <f t="shared" si="923"/>
        <v>5455.43</v>
      </c>
      <c r="BO106" s="43">
        <f t="shared" si="923"/>
        <v>5797.74</v>
      </c>
      <c r="BP106" s="43">
        <f t="shared" si="923"/>
        <v>6151.08</v>
      </c>
      <c r="BQ106" s="43">
        <f t="shared" si="923"/>
        <v>6569.9800000000005</v>
      </c>
      <c r="BR106" s="43">
        <f t="shared" si="923"/>
        <v>6967.64</v>
      </c>
      <c r="BS106" s="43">
        <f t="shared" si="923"/>
        <v>6988.41</v>
      </c>
      <c r="BT106" s="43">
        <f t="shared" si="923"/>
        <v>6888.89</v>
      </c>
      <c r="BU106" s="43">
        <f t="shared" si="923"/>
        <v>6955.97</v>
      </c>
      <c r="BV106" s="43">
        <f t="shared" si="923"/>
        <v>7016.16</v>
      </c>
      <c r="BW106" s="43">
        <f t="shared" ref="BW106:BY106" si="924">SUM(BW103:BW105)</f>
        <v>7164.38</v>
      </c>
      <c r="BX106" s="43">
        <f t="shared" ref="BX106:CO106" si="925">SUM(BX103:BX105)</f>
        <v>7416.47</v>
      </c>
      <c r="BY106" s="43">
        <f t="shared" si="924"/>
        <v>7842.25</v>
      </c>
      <c r="BZ106" s="44">
        <f t="shared" si="925"/>
        <v>8128.1549389206766</v>
      </c>
      <c r="CA106" s="44">
        <f t="shared" si="925"/>
        <v>8511.9574647637164</v>
      </c>
      <c r="CB106" s="44">
        <f t="shared" si="925"/>
        <v>8921.6839091864858</v>
      </c>
      <c r="CC106" s="44">
        <f t="shared" si="925"/>
        <v>9373.4727164539472</v>
      </c>
      <c r="CD106" s="44">
        <f t="shared" si="925"/>
        <v>9832.33703099991</v>
      </c>
      <c r="CE106" s="44">
        <f t="shared" si="925"/>
        <v>10345.963033592454</v>
      </c>
      <c r="CF106" s="44">
        <f t="shared" si="925"/>
        <v>10881.061424523459</v>
      </c>
      <c r="CG106" s="44">
        <f t="shared" si="925"/>
        <v>11446.819081818396</v>
      </c>
      <c r="CH106" s="44">
        <f t="shared" si="925"/>
        <v>12023.698173649165</v>
      </c>
      <c r="CI106" s="44">
        <f t="shared" si="925"/>
        <v>12636.484255839932</v>
      </c>
      <c r="CJ106" s="44">
        <f t="shared" si="925"/>
        <v>13256.544090787282</v>
      </c>
      <c r="CK106" s="44">
        <f t="shared" si="925"/>
        <v>13892.615552981139</v>
      </c>
      <c r="CL106" s="44">
        <f t="shared" si="925"/>
        <v>14566.998315787336</v>
      </c>
      <c r="CM106" s="44">
        <f t="shared" si="925"/>
        <v>15273.943207429877</v>
      </c>
      <c r="CN106" s="44">
        <f t="shared" si="925"/>
        <v>15986.001511604025</v>
      </c>
      <c r="CO106" s="44">
        <f t="shared" si="925"/>
        <v>16716.050486313521</v>
      </c>
      <c r="CT106" s="43">
        <v>7842.25</v>
      </c>
    </row>
    <row r="107" spans="1:98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8" s="38" customFormat="1" x14ac:dyDescent="0.2">
      <c r="A108" s="38" t="s">
        <v>5</v>
      </c>
      <c r="B108" s="38">
        <f>+'Annual Raw'!C81</f>
        <v>0</v>
      </c>
      <c r="C108" s="38">
        <f>+'Annual Raw'!D81</f>
        <v>0</v>
      </c>
      <c r="D108" s="38">
        <f>+'Annual Raw'!E81</f>
        <v>0</v>
      </c>
      <c r="E108" s="38">
        <f>+'Annual Raw'!F81</f>
        <v>0</v>
      </c>
      <c r="F108" s="38">
        <f>+'Annual Raw'!G81</f>
        <v>0</v>
      </c>
      <c r="G108" s="38">
        <f>+'Annual Raw'!H81</f>
        <v>0</v>
      </c>
      <c r="H108" s="38">
        <f>+'Annual Raw'!I81</f>
        <v>0</v>
      </c>
      <c r="I108" s="38">
        <f>+'Annual Raw'!J81</f>
        <v>0</v>
      </c>
      <c r="J108" s="38">
        <f>+'Annual Raw'!K81</f>
        <v>0</v>
      </c>
      <c r="K108" s="38">
        <f>+'Annual Raw'!L81</f>
        <v>0</v>
      </c>
      <c r="L108" s="38">
        <f>+'Annual Raw'!M81</f>
        <v>0</v>
      </c>
      <c r="M108" s="38">
        <f>+'Annual Raw'!N81</f>
        <v>0</v>
      </c>
      <c r="N108" s="38">
        <f>+'Annual Raw'!O81</f>
        <v>0</v>
      </c>
      <c r="O108" s="38">
        <f>+'Annual Raw'!P81</f>
        <v>0</v>
      </c>
      <c r="P108" s="38">
        <f>+'Annual Raw'!Q81</f>
        <v>0</v>
      </c>
      <c r="Q108" s="38">
        <f>+'Annual Raw'!R81</f>
        <v>0</v>
      </c>
      <c r="R108" s="38">
        <f>+'Annual Raw'!S81</f>
        <v>0</v>
      </c>
      <c r="S108" s="38">
        <f>+'Annual Raw'!T81</f>
        <v>0</v>
      </c>
      <c r="T108" s="38">
        <f>+'Annual Raw'!U81</f>
        <v>0</v>
      </c>
      <c r="U108" s="38">
        <f>+'Annual Raw'!V81</f>
        <v>0</v>
      </c>
      <c r="V108" s="38">
        <f>+'Annual Raw'!W81</f>
        <v>0</v>
      </c>
      <c r="W108" s="38">
        <f>+'Annual Raw'!X81</f>
        <v>0</v>
      </c>
      <c r="X108" s="38">
        <f>+'Annual Raw'!Y81</f>
        <v>0</v>
      </c>
      <c r="Y108" s="38">
        <f>+'Annual Raw'!Z81</f>
        <v>0</v>
      </c>
      <c r="Z108" s="38">
        <f>+'Annual Raw'!AA81</f>
        <v>0</v>
      </c>
      <c r="AA108" s="38">
        <f>+'Annual Raw'!AB81</f>
        <v>0</v>
      </c>
      <c r="AB108" s="39">
        <f>CC108</f>
        <v>0</v>
      </c>
      <c r="AC108" s="39">
        <f>CG108</f>
        <v>0</v>
      </c>
      <c r="AD108" s="39">
        <f>CK108</f>
        <v>0</v>
      </c>
      <c r="AE108" s="39">
        <f>CO108</f>
        <v>0</v>
      </c>
      <c r="AG108" s="60"/>
      <c r="AH108" s="38">
        <f>+'QTR Raw'!D58</f>
        <v>0</v>
      </c>
      <c r="AI108" s="38">
        <f>+'QTR Raw'!E58</f>
        <v>0</v>
      </c>
      <c r="AJ108" s="38">
        <f>+'QTR Raw'!F58</f>
        <v>0</v>
      </c>
      <c r="AK108" s="38">
        <f>+'QTR Raw'!G58</f>
        <v>0</v>
      </c>
      <c r="AL108" s="38">
        <f>+'QTR Raw'!H58</f>
        <v>0</v>
      </c>
      <c r="AM108" s="38">
        <f>+'QTR Raw'!I58</f>
        <v>0</v>
      </c>
      <c r="AN108" s="38">
        <f>+'QTR Raw'!J58</f>
        <v>0</v>
      </c>
      <c r="AO108" s="38">
        <f>+'QTR Raw'!K58</f>
        <v>0</v>
      </c>
      <c r="AP108" s="38">
        <f>+'QTR Raw'!L58</f>
        <v>0</v>
      </c>
      <c r="AQ108" s="38">
        <f>+'QTR Raw'!M58</f>
        <v>0</v>
      </c>
      <c r="AR108" s="38">
        <f>+'QTR Raw'!N58</f>
        <v>0</v>
      </c>
      <c r="AS108" s="38">
        <f>+'QTR Raw'!O58</f>
        <v>0</v>
      </c>
      <c r="AT108" s="38">
        <f>+'QTR Raw'!P58</f>
        <v>0</v>
      </c>
      <c r="AU108" s="38">
        <f>+'QTR Raw'!Q58</f>
        <v>0</v>
      </c>
      <c r="AV108" s="38">
        <f>+'QTR Raw'!R58</f>
        <v>0</v>
      </c>
      <c r="AW108" s="38">
        <f>+'QTR Raw'!S58</f>
        <v>0</v>
      </c>
      <c r="AX108" s="38">
        <f>+'QTR Raw'!T58</f>
        <v>0</v>
      </c>
      <c r="AY108" s="38">
        <f>+'QTR Raw'!U58</f>
        <v>0</v>
      </c>
      <c r="AZ108" s="38">
        <f>+'QTR Raw'!V58</f>
        <v>0</v>
      </c>
      <c r="BA108" s="38">
        <f>+'QTR Raw'!W58</f>
        <v>108.95</v>
      </c>
      <c r="BB108" s="38">
        <f>+'QTR Raw'!X58</f>
        <v>0</v>
      </c>
      <c r="BC108" s="38">
        <f>+'QTR Raw'!Y58</f>
        <v>111.31</v>
      </c>
      <c r="BD108" s="38">
        <f>+'QTR Raw'!Z58</f>
        <v>0</v>
      </c>
      <c r="BE108" s="38">
        <f>+'QTR Raw'!AA58</f>
        <v>104.83</v>
      </c>
      <c r="BF108" s="38">
        <f>+'QTR Raw'!AB58</f>
        <v>0</v>
      </c>
      <c r="BG108" s="38">
        <f>+'QTR Raw'!AC58</f>
        <v>98.79</v>
      </c>
      <c r="BH108" s="38">
        <f>+'QTR Raw'!AD58</f>
        <v>0</v>
      </c>
      <c r="BI108" s="38">
        <f>+'QTR Raw'!AE58</f>
        <v>0</v>
      </c>
      <c r="BJ108" s="38">
        <f>+'QTR Raw'!AF58</f>
        <v>0</v>
      </c>
      <c r="BK108" s="38">
        <f>+'QTR Raw'!AG58</f>
        <v>0</v>
      </c>
      <c r="BL108" s="38">
        <f>+'QTR Raw'!AH58</f>
        <v>0</v>
      </c>
      <c r="BM108" s="38">
        <f>+'QTR Raw'!AI58</f>
        <v>0</v>
      </c>
      <c r="BN108" s="38">
        <f>+'QTR Raw'!AJ58</f>
        <v>0</v>
      </c>
      <c r="BO108" s="38">
        <f>+'QTR Raw'!AK58</f>
        <v>0</v>
      </c>
      <c r="BP108" s="38">
        <f>+'QTR Raw'!AL58</f>
        <v>0</v>
      </c>
      <c r="BQ108" s="38">
        <f>+'QTR Raw'!AM58</f>
        <v>0</v>
      </c>
      <c r="BR108" s="38">
        <f>+'QTR Raw'!AN58</f>
        <v>0</v>
      </c>
      <c r="BS108" s="38">
        <f>+'QTR Raw'!AO58</f>
        <v>0</v>
      </c>
      <c r="BT108" s="38">
        <f>+'QTR Raw'!AP58</f>
        <v>0</v>
      </c>
      <c r="BU108" s="38">
        <f>+'QTR Raw'!AQ58</f>
        <v>0</v>
      </c>
      <c r="BV108" s="38">
        <f>+'QTR Raw'!AR58</f>
        <v>0</v>
      </c>
      <c r="BW108" s="38">
        <f>+'QTR Raw'!AS58</f>
        <v>0</v>
      </c>
      <c r="BX108" s="38">
        <f t="shared" ref="BX108" si="926">BW108</f>
        <v>0</v>
      </c>
      <c r="BY108" s="38">
        <f>+'QTR Raw'!AU58</f>
        <v>0</v>
      </c>
      <c r="BZ108" s="39">
        <f t="shared" ref="BZ108" si="927">BY108</f>
        <v>0</v>
      </c>
      <c r="CA108" s="39">
        <f t="shared" ref="CA108" si="928">BZ108</f>
        <v>0</v>
      </c>
      <c r="CB108" s="39">
        <f t="shared" ref="CB108" si="929">CA108</f>
        <v>0</v>
      </c>
      <c r="CC108" s="39">
        <f t="shared" ref="CC108" si="930">CB108</f>
        <v>0</v>
      </c>
      <c r="CD108" s="39">
        <f t="shared" ref="CD108" si="931">CC108</f>
        <v>0</v>
      </c>
      <c r="CE108" s="39">
        <f t="shared" ref="CE108" si="932">CD108</f>
        <v>0</v>
      </c>
      <c r="CF108" s="39">
        <f t="shared" ref="CF108" si="933">CE108</f>
        <v>0</v>
      </c>
      <c r="CG108" s="39">
        <f t="shared" ref="CG108" si="934">CF108</f>
        <v>0</v>
      </c>
      <c r="CH108" s="39">
        <f t="shared" ref="CH108" si="935">CG108</f>
        <v>0</v>
      </c>
      <c r="CI108" s="39">
        <f t="shared" ref="CI108" si="936">CH108</f>
        <v>0</v>
      </c>
      <c r="CJ108" s="39">
        <f t="shared" ref="CJ108" si="937">CI108</f>
        <v>0</v>
      </c>
      <c r="CK108" s="39">
        <f t="shared" ref="CK108" si="938">CJ108</f>
        <v>0</v>
      </c>
      <c r="CL108" s="39">
        <f t="shared" ref="CL108" si="939">CK108</f>
        <v>0</v>
      </c>
      <c r="CM108" s="39">
        <f t="shared" ref="CM108" si="940">CL108</f>
        <v>0</v>
      </c>
      <c r="CN108" s="39">
        <f t="shared" ref="CN108" si="941">CM108</f>
        <v>0</v>
      </c>
      <c r="CO108" s="39">
        <f t="shared" ref="CO108" si="942">CN108</f>
        <v>0</v>
      </c>
      <c r="CT108" s="38">
        <v>0</v>
      </c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237</v>
      </c>
      <c r="B110" s="38">
        <f>+'Annual Raw'!C83</f>
        <v>0</v>
      </c>
      <c r="C110" s="38">
        <f>+'Annual Raw'!D83</f>
        <v>0</v>
      </c>
      <c r="D110" s="38">
        <f>+'Annual Raw'!E83</f>
        <v>0</v>
      </c>
      <c r="E110" s="38">
        <f>+'Annual Raw'!F83</f>
        <v>0</v>
      </c>
      <c r="F110" s="38">
        <f>+'Annual Raw'!G83</f>
        <v>0</v>
      </c>
      <c r="G110" s="38">
        <f>+'Annual Raw'!H83</f>
        <v>0</v>
      </c>
      <c r="H110" s="38">
        <f>+'Annual Raw'!I83</f>
        <v>0</v>
      </c>
      <c r="I110" s="38">
        <f>+'Annual Raw'!J83</f>
        <v>0</v>
      </c>
      <c r="J110" s="38">
        <f>+'Annual Raw'!K83</f>
        <v>189.24266589999999</v>
      </c>
      <c r="K110" s="38">
        <f>+'Annual Raw'!L83</f>
        <v>246.1376832</v>
      </c>
      <c r="L110" s="38">
        <f>+'Annual Raw'!M83</f>
        <v>78.937319200000005</v>
      </c>
      <c r="M110" s="38">
        <f>+'Annual Raw'!N83</f>
        <v>75.036076199999997</v>
      </c>
      <c r="N110" s="38">
        <f>+'Annual Raw'!O83</f>
        <v>136.50529940000001</v>
      </c>
      <c r="O110" s="38">
        <f>+'Annual Raw'!P83</f>
        <v>348.11773349999999</v>
      </c>
      <c r="P110" s="38">
        <f>+'Annual Raw'!Q83</f>
        <v>563.07977570000003</v>
      </c>
      <c r="Q110" s="38">
        <f>+'Annual Raw'!R83</f>
        <v>1040.8963729</v>
      </c>
      <c r="R110" s="38">
        <f>+'Annual Raw'!S83</f>
        <v>1087.9818396999999</v>
      </c>
      <c r="S110" s="38">
        <f>+'Annual Raw'!T83</f>
        <v>3534.62</v>
      </c>
      <c r="T110" s="38">
        <f>+'Annual Raw'!U83</f>
        <v>4829.5</v>
      </c>
      <c r="U110" s="38">
        <f>+'Annual Raw'!V83</f>
        <v>7797.56</v>
      </c>
      <c r="V110" s="38">
        <f>+'Annual Raw'!W83</f>
        <v>8755.7199999999993</v>
      </c>
      <c r="W110" s="38">
        <f>+'Annual Raw'!X83</f>
        <v>12710.17</v>
      </c>
      <c r="X110" s="38">
        <f>+'Annual Raw'!Y83</f>
        <v>16009.67</v>
      </c>
      <c r="Y110" s="38">
        <f>+'Annual Raw'!Z83</f>
        <v>11945.24</v>
      </c>
      <c r="Z110" s="38">
        <f>+'Annual Raw'!AA83</f>
        <v>9972.6</v>
      </c>
      <c r="AA110" s="38">
        <f>+'Annual Raw'!AB83</f>
        <v>10712.13</v>
      </c>
      <c r="AB110" s="39"/>
      <c r="AC110" s="39"/>
      <c r="AD110" s="39"/>
      <c r="AE110" s="39"/>
      <c r="AG110" s="60"/>
      <c r="AH110" s="38">
        <f>+'QTR Raw'!D60</f>
        <v>0</v>
      </c>
      <c r="AI110" s="38">
        <f>+'QTR Raw'!E60</f>
        <v>0</v>
      </c>
      <c r="AJ110" s="38">
        <f>+'QTR Raw'!F60</f>
        <v>0</v>
      </c>
      <c r="AK110" s="38">
        <f>+'QTR Raw'!G60</f>
        <v>0</v>
      </c>
      <c r="AL110" s="38">
        <f>+'QTR Raw'!H60</f>
        <v>0</v>
      </c>
      <c r="AM110" s="38">
        <f>+'QTR Raw'!I60</f>
        <v>0</v>
      </c>
      <c r="AN110" s="38">
        <f>+'QTR Raw'!J60</f>
        <v>0</v>
      </c>
      <c r="AO110" s="38">
        <f>+'QTR Raw'!K60</f>
        <v>0</v>
      </c>
      <c r="AP110" s="38">
        <f>+'QTR Raw'!L60</f>
        <v>0</v>
      </c>
      <c r="AQ110" s="38">
        <f>+'QTR Raw'!M60</f>
        <v>0</v>
      </c>
      <c r="AR110" s="38">
        <f>+'QTR Raw'!N60</f>
        <v>0</v>
      </c>
      <c r="AS110" s="38">
        <f>+'QTR Raw'!O60</f>
        <v>0</v>
      </c>
      <c r="AT110" s="38">
        <f>+'QTR Raw'!P60</f>
        <v>0</v>
      </c>
      <c r="AU110" s="38">
        <f>+'QTR Raw'!Q60</f>
        <v>0</v>
      </c>
      <c r="AV110" s="38">
        <f>+'QTR Raw'!R60</f>
        <v>0</v>
      </c>
      <c r="AW110" s="38">
        <f>+'QTR Raw'!S60</f>
        <v>0</v>
      </c>
      <c r="AX110" s="38">
        <f>+'QTR Raw'!T60</f>
        <v>0</v>
      </c>
      <c r="AY110" s="38">
        <f>+'QTR Raw'!U60</f>
        <v>0</v>
      </c>
      <c r="AZ110" s="38">
        <f>+'QTR Raw'!V60</f>
        <v>0</v>
      </c>
      <c r="BA110" s="38">
        <f>+'QTR Raw'!W60</f>
        <v>0</v>
      </c>
      <c r="BB110" s="38">
        <f>+'QTR Raw'!X60</f>
        <v>0</v>
      </c>
      <c r="BC110" s="38">
        <f>+'QTR Raw'!Y60</f>
        <v>0</v>
      </c>
      <c r="BD110" s="38">
        <f>+'QTR Raw'!Z60</f>
        <v>0</v>
      </c>
      <c r="BE110" s="38">
        <f>+'QTR Raw'!AA60</f>
        <v>0</v>
      </c>
      <c r="BF110" s="38">
        <f>+'QTR Raw'!AB60</f>
        <v>0</v>
      </c>
      <c r="BG110" s="38">
        <f>+'QTR Raw'!AC60</f>
        <v>0</v>
      </c>
      <c r="BH110" s="38">
        <f>+'QTR Raw'!AD60</f>
        <v>0</v>
      </c>
      <c r="BI110" s="38">
        <f>+'QTR Raw'!AE60</f>
        <v>0</v>
      </c>
      <c r="BJ110" s="38">
        <f>+'QTR Raw'!AF60</f>
        <v>0</v>
      </c>
      <c r="BK110" s="38">
        <f>+'QTR Raw'!AG60</f>
        <v>0</v>
      </c>
      <c r="BL110" s="38">
        <f>+'QTR Raw'!AH60</f>
        <v>0</v>
      </c>
      <c r="BM110" s="38">
        <f>+'QTR Raw'!AI60</f>
        <v>0</v>
      </c>
      <c r="BN110" s="38">
        <f>+'QTR Raw'!AJ60</f>
        <v>0</v>
      </c>
      <c r="BO110" s="38">
        <f>+'QTR Raw'!AK60</f>
        <v>0</v>
      </c>
      <c r="BP110" s="38">
        <f>+'QTR Raw'!AL60</f>
        <v>0</v>
      </c>
      <c r="BQ110" s="38">
        <f>+'QTR Raw'!AM60</f>
        <v>0</v>
      </c>
      <c r="BR110" s="38">
        <f>+'QTR Raw'!AN60</f>
        <v>0</v>
      </c>
      <c r="BS110" s="38">
        <f>+'QTR Raw'!AO60</f>
        <v>0</v>
      </c>
      <c r="BT110" s="38">
        <f>+'QTR Raw'!AP60</f>
        <v>0</v>
      </c>
      <c r="BU110" s="38">
        <f>+'QTR Raw'!AQ60</f>
        <v>0</v>
      </c>
      <c r="BV110" s="38">
        <f>+'QTR Raw'!AR60</f>
        <v>0</v>
      </c>
      <c r="BW110" s="38">
        <f>+'QTR Raw'!AS60</f>
        <v>0</v>
      </c>
      <c r="BY110" s="38">
        <f>+'QTR Raw'!AU60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T110" s="38">
        <v>10712.13</v>
      </c>
    </row>
    <row r="111" spans="1:98" s="38" customFormat="1" x14ac:dyDescent="0.2">
      <c r="A111" s="38" t="s">
        <v>208</v>
      </c>
      <c r="B111" s="38">
        <f>+'Annual Raw'!C84</f>
        <v>0</v>
      </c>
      <c r="C111" s="38">
        <f>+'Annual Raw'!D84</f>
        <v>0</v>
      </c>
      <c r="D111" s="38">
        <f>+'Annual Raw'!E84</f>
        <v>0</v>
      </c>
      <c r="E111" s="38">
        <f>+'Annual Raw'!F84</f>
        <v>0</v>
      </c>
      <c r="F111" s="38">
        <f>+'Annual Raw'!G84</f>
        <v>0</v>
      </c>
      <c r="G111" s="38">
        <f>+'Annual Raw'!H84</f>
        <v>0</v>
      </c>
      <c r="H111" s="38">
        <f>+'Annual Raw'!I84</f>
        <v>0</v>
      </c>
      <c r="I111" s="38">
        <f>+'Annual Raw'!J84</f>
        <v>0</v>
      </c>
      <c r="J111" s="38">
        <f>+'Annual Raw'!K84</f>
        <v>0</v>
      </c>
      <c r="K111" s="38">
        <f>+'Annual Raw'!L84</f>
        <v>0</v>
      </c>
      <c r="L111" s="38">
        <f>+'Annual Raw'!M84</f>
        <v>0</v>
      </c>
      <c r="M111" s="38">
        <f>+'Annual Raw'!N84</f>
        <v>0</v>
      </c>
      <c r="N111" s="38">
        <f>+'Annual Raw'!O84</f>
        <v>10.5</v>
      </c>
      <c r="O111" s="38">
        <f>+'Annual Raw'!P84</f>
        <v>21.9</v>
      </c>
      <c r="P111" s="38">
        <f>+'Annual Raw'!Q84</f>
        <v>21.9</v>
      </c>
      <c r="Q111" s="38">
        <f>+'Annual Raw'!R84</f>
        <v>81.25</v>
      </c>
      <c r="R111" s="38">
        <f>+'Annual Raw'!S84</f>
        <v>87.9</v>
      </c>
      <c r="S111" s="38">
        <f>+'Annual Raw'!T84</f>
        <v>88.84</v>
      </c>
      <c r="T111" s="38">
        <f>+'Annual Raw'!U84</f>
        <v>0</v>
      </c>
      <c r="U111" s="38">
        <f>+'Annual Raw'!V84</f>
        <v>0</v>
      </c>
      <c r="V111" s="38">
        <f>+'Annual Raw'!W84</f>
        <v>0</v>
      </c>
      <c r="W111" s="38">
        <f>+'Annual Raw'!X84</f>
        <v>184.95</v>
      </c>
      <c r="X111" s="38">
        <f>+'Annual Raw'!Y84</f>
        <v>277.33</v>
      </c>
      <c r="Y111" s="38">
        <f>+'Annual Raw'!Z84</f>
        <v>25.24</v>
      </c>
      <c r="Z111" s="38">
        <f>+'Annual Raw'!AA84</f>
        <v>12.64</v>
      </c>
      <c r="AA111" s="38">
        <f>+'Annual Raw'!AB84</f>
        <v>0</v>
      </c>
      <c r="AB111" s="39"/>
      <c r="AC111" s="39"/>
      <c r="AD111" s="39"/>
      <c r="AE111" s="39"/>
      <c r="AG111" s="60"/>
      <c r="AH111" s="38">
        <f>+'QTR Raw'!D61</f>
        <v>0</v>
      </c>
      <c r="AI111" s="38">
        <f>+'QTR Raw'!E61</f>
        <v>0</v>
      </c>
      <c r="AJ111" s="38">
        <f>+'QTR Raw'!F61</f>
        <v>0</v>
      </c>
      <c r="AK111" s="38">
        <f>+'QTR Raw'!G61</f>
        <v>0</v>
      </c>
      <c r="AL111" s="38">
        <f>+'QTR Raw'!H61</f>
        <v>0</v>
      </c>
      <c r="AM111" s="38">
        <f>+'QTR Raw'!I61</f>
        <v>0</v>
      </c>
      <c r="AN111" s="38">
        <f>+'QTR Raw'!J61</f>
        <v>0</v>
      </c>
      <c r="AO111" s="38">
        <f>+'QTR Raw'!K61</f>
        <v>0</v>
      </c>
      <c r="AP111" s="38">
        <f>+'QTR Raw'!L61</f>
        <v>0</v>
      </c>
      <c r="AQ111" s="38">
        <f>+'QTR Raw'!M61</f>
        <v>0</v>
      </c>
      <c r="AR111" s="38">
        <f>+'QTR Raw'!N61</f>
        <v>0</v>
      </c>
      <c r="AS111" s="38">
        <f>+'QTR Raw'!O61</f>
        <v>0</v>
      </c>
      <c r="AT111" s="38">
        <f>+'QTR Raw'!P61</f>
        <v>0</v>
      </c>
      <c r="AU111" s="38">
        <f>+'QTR Raw'!Q61</f>
        <v>0</v>
      </c>
      <c r="AV111" s="38">
        <f>+'QTR Raw'!R61</f>
        <v>0</v>
      </c>
      <c r="AW111" s="38">
        <f>+'QTR Raw'!S61</f>
        <v>0</v>
      </c>
      <c r="AX111" s="38">
        <f>+'QTR Raw'!T61</f>
        <v>0</v>
      </c>
      <c r="AY111" s="38">
        <f>+'QTR Raw'!U61</f>
        <v>0</v>
      </c>
      <c r="AZ111" s="38">
        <f>+'QTR Raw'!V61</f>
        <v>0</v>
      </c>
      <c r="BA111" s="38">
        <f>+'QTR Raw'!W61</f>
        <v>0</v>
      </c>
      <c r="BB111" s="38">
        <f>+'QTR Raw'!X61</f>
        <v>0</v>
      </c>
      <c r="BC111" s="38">
        <f>+'QTR Raw'!Y61</f>
        <v>0</v>
      </c>
      <c r="BD111" s="38">
        <f>+'QTR Raw'!Z61</f>
        <v>0</v>
      </c>
      <c r="BE111" s="38">
        <f>+'QTR Raw'!AA61</f>
        <v>0</v>
      </c>
      <c r="BF111" s="38">
        <f>+'QTR Raw'!AB61</f>
        <v>0</v>
      </c>
      <c r="BG111" s="38">
        <f>+'QTR Raw'!AC61</f>
        <v>0</v>
      </c>
      <c r="BH111" s="38">
        <f>+'QTR Raw'!AD61</f>
        <v>0</v>
      </c>
      <c r="BI111" s="38">
        <f>+'QTR Raw'!AE61</f>
        <v>0</v>
      </c>
      <c r="BJ111" s="38">
        <f>+'QTR Raw'!AF61</f>
        <v>0</v>
      </c>
      <c r="BK111" s="38">
        <f>+'QTR Raw'!AG61</f>
        <v>0</v>
      </c>
      <c r="BL111" s="38">
        <f>+'QTR Raw'!AH61</f>
        <v>0</v>
      </c>
      <c r="BM111" s="38">
        <f>+'QTR Raw'!AI61</f>
        <v>0</v>
      </c>
      <c r="BN111" s="38">
        <f>+'QTR Raw'!AJ61</f>
        <v>0</v>
      </c>
      <c r="BO111" s="38">
        <f>+'QTR Raw'!AK61</f>
        <v>0</v>
      </c>
      <c r="BP111" s="38">
        <f>+'QTR Raw'!AL61</f>
        <v>0</v>
      </c>
      <c r="BQ111" s="38">
        <f>+'QTR Raw'!AM61</f>
        <v>0</v>
      </c>
      <c r="BR111" s="38">
        <f>+'QTR Raw'!AN61</f>
        <v>0</v>
      </c>
      <c r="BS111" s="38">
        <f>+'QTR Raw'!AO61</f>
        <v>0</v>
      </c>
      <c r="BT111" s="38">
        <f>+'QTR Raw'!AP61</f>
        <v>0</v>
      </c>
      <c r="BU111" s="38">
        <f>+'QTR Raw'!AQ61</f>
        <v>0</v>
      </c>
      <c r="BV111" s="38">
        <f>+'QTR Raw'!AR61</f>
        <v>0</v>
      </c>
      <c r="BW111" s="38">
        <f>+'QTR Raw'!AS61</f>
        <v>0</v>
      </c>
      <c r="BY111" s="38">
        <f>+'QTR Raw'!AU61</f>
        <v>0</v>
      </c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T111" s="38">
        <v>0</v>
      </c>
    </row>
    <row r="112" spans="1:98" s="38" customFormat="1" x14ac:dyDescent="0.2">
      <c r="A112" s="38" t="s">
        <v>484</v>
      </c>
      <c r="B112" s="38">
        <f>+SUM('Annual Raw'!C95:C98)</f>
        <v>0</v>
      </c>
      <c r="C112" s="38">
        <f>+SUM('Annual Raw'!D95:D98)</f>
        <v>0</v>
      </c>
      <c r="D112" s="38">
        <f>+SUM('Annual Raw'!E95:E98)</f>
        <v>0</v>
      </c>
      <c r="E112" s="38">
        <f>+SUM('Annual Raw'!F95:F98)</f>
        <v>0</v>
      </c>
      <c r="F112" s="38">
        <f>+SUM('Annual Raw'!G95:G98)</f>
        <v>0</v>
      </c>
      <c r="G112" s="38">
        <f>+SUM('Annual Raw'!H95:H98)</f>
        <v>0</v>
      </c>
      <c r="H112" s="38">
        <f>+SUM('Annual Raw'!I95:I98)</f>
        <v>0</v>
      </c>
      <c r="I112" s="38">
        <f>+SUM('Annual Raw'!J95:J98)</f>
        <v>0</v>
      </c>
      <c r="J112" s="38">
        <f>+SUM('Annual Raw'!K95:K98)</f>
        <v>0</v>
      </c>
      <c r="K112" s="38">
        <f>+SUM('Annual Raw'!L95:L98)</f>
        <v>0</v>
      </c>
      <c r="L112" s="38">
        <f>+SUM('Annual Raw'!M95:M98)</f>
        <v>141.63083090000001</v>
      </c>
      <c r="M112" s="38">
        <f>+SUM('Annual Raw'!N95:N98)</f>
        <v>140.2948494</v>
      </c>
      <c r="N112" s="38">
        <f>+SUM('Annual Raw'!O95:O98)</f>
        <v>241.76279270000001</v>
      </c>
      <c r="O112" s="38">
        <f>+SUM('Annual Raw'!P95:P98)</f>
        <v>435.20614560000001</v>
      </c>
      <c r="P112" s="38">
        <f>+SUM('Annual Raw'!Q95:Q98)</f>
        <v>705.55193659999998</v>
      </c>
      <c r="Q112" s="38">
        <f>+SUM('Annual Raw'!R95:R98)</f>
        <v>1091.1685492000001</v>
      </c>
      <c r="R112" s="38">
        <f>+SUM('Annual Raw'!S95:S98)</f>
        <v>1492.3529314</v>
      </c>
      <c r="S112" s="38">
        <f>+SUM('Annual Raw'!T95:T98)</f>
        <v>0</v>
      </c>
      <c r="T112" s="38">
        <f>+SUM('Annual Raw'!U95:U98)</f>
        <v>0</v>
      </c>
      <c r="U112" s="38">
        <f>+SUM('Annual Raw'!V95:V98)</f>
        <v>0</v>
      </c>
      <c r="V112" s="38">
        <f>+SUM('Annual Raw'!W95:W98)</f>
        <v>0</v>
      </c>
      <c r="W112" s="38">
        <f>+SUM('Annual Raw'!X95:X98)</f>
        <v>0</v>
      </c>
      <c r="X112" s="38">
        <f>+SUM('Annual Raw'!Y95:Y98)</f>
        <v>0</v>
      </c>
      <c r="Y112" s="38">
        <f>+SUM('Annual Raw'!Z95:Z98)</f>
        <v>0</v>
      </c>
      <c r="Z112" s="38">
        <f>+SUM('Annual Raw'!AA95:AA98)</f>
        <v>0</v>
      </c>
      <c r="AA112" s="38">
        <f>+SUM('Annual Raw'!AB95:AB98)</f>
        <v>0</v>
      </c>
      <c r="AB112" s="39"/>
      <c r="AC112" s="39"/>
      <c r="AD112" s="39"/>
      <c r="AE112" s="39"/>
      <c r="AG112" s="60"/>
      <c r="AH112" s="38">
        <f>+'QTR Raw'!D89</f>
        <v>0</v>
      </c>
      <c r="AI112" s="38">
        <f>+'QTR Raw'!E89</f>
        <v>0</v>
      </c>
      <c r="AJ112" s="38">
        <f>+'QTR Raw'!F89</f>
        <v>0</v>
      </c>
      <c r="AK112" s="38">
        <f>+'QTR Raw'!G89</f>
        <v>0</v>
      </c>
      <c r="AL112" s="38">
        <f>+'QTR Raw'!H89</f>
        <v>0</v>
      </c>
      <c r="AM112" s="38">
        <f>+'QTR Raw'!I89</f>
        <v>0</v>
      </c>
      <c r="AN112" s="38">
        <f>+'QTR Raw'!J89</f>
        <v>0</v>
      </c>
      <c r="AO112" s="38">
        <f>+'QTR Raw'!K89</f>
        <v>0</v>
      </c>
      <c r="AP112" s="38">
        <f>+'QTR Raw'!L89</f>
        <v>0</v>
      </c>
      <c r="AQ112" s="38">
        <f>+'QTR Raw'!M89</f>
        <v>0</v>
      </c>
      <c r="AR112" s="38">
        <f>+'QTR Raw'!N89</f>
        <v>0</v>
      </c>
      <c r="AS112" s="38">
        <f>+'QTR Raw'!O89</f>
        <v>0</v>
      </c>
      <c r="AT112" s="38">
        <f>+'QTR Raw'!P89</f>
        <v>0</v>
      </c>
      <c r="AU112" s="38">
        <f>+'QTR Raw'!Q89</f>
        <v>0</v>
      </c>
      <c r="AV112" s="38">
        <f>+'QTR Raw'!R89</f>
        <v>0</v>
      </c>
      <c r="AW112" s="38">
        <f>+'QTR Raw'!S89</f>
        <v>0</v>
      </c>
      <c r="AX112" s="38">
        <f>+'QTR Raw'!T89</f>
        <v>0</v>
      </c>
      <c r="AY112" s="38">
        <f>+'QTR Raw'!U89</f>
        <v>0</v>
      </c>
      <c r="AZ112" s="38">
        <f>+'QTR Raw'!V89</f>
        <v>0</v>
      </c>
      <c r="BA112" s="38">
        <f>+'QTR Raw'!W89</f>
        <v>0</v>
      </c>
      <c r="BB112" s="38">
        <f>+'QTR Raw'!X89</f>
        <v>0</v>
      </c>
      <c r="BC112" s="38">
        <f>+'QTR Raw'!Y89</f>
        <v>0</v>
      </c>
      <c r="BD112" s="38">
        <f>+'QTR Raw'!Z89</f>
        <v>0</v>
      </c>
      <c r="BE112" s="38">
        <f>+'QTR Raw'!AA89</f>
        <v>0</v>
      </c>
      <c r="BF112" s="38">
        <f>+'QTR Raw'!AB89</f>
        <v>0</v>
      </c>
      <c r="BG112" s="38">
        <f>+'QTR Raw'!AC89</f>
        <v>0</v>
      </c>
      <c r="BH112" s="38">
        <f>+'QTR Raw'!AD89</f>
        <v>0</v>
      </c>
      <c r="BI112" s="38">
        <f>+'QTR Raw'!AE89</f>
        <v>0</v>
      </c>
      <c r="BJ112" s="38">
        <f>+'QTR Raw'!AF89</f>
        <v>0</v>
      </c>
      <c r="BK112" s="38">
        <f>+'QTR Raw'!AG89</f>
        <v>0</v>
      </c>
      <c r="BL112" s="38">
        <f>+'QTR Raw'!AH89</f>
        <v>0</v>
      </c>
      <c r="BM112" s="38">
        <f>+'QTR Raw'!AI89</f>
        <v>0</v>
      </c>
      <c r="BN112" s="38">
        <f>+'QTR Raw'!AJ89</f>
        <v>0</v>
      </c>
      <c r="BO112" s="38">
        <f>+'QTR Raw'!AK89</f>
        <v>0</v>
      </c>
      <c r="BP112" s="38">
        <f>+'QTR Raw'!AL89</f>
        <v>0</v>
      </c>
      <c r="BQ112" s="38">
        <f>+'QTR Raw'!AM89</f>
        <v>0</v>
      </c>
      <c r="BR112" s="38">
        <f>+'QTR Raw'!AN89</f>
        <v>0</v>
      </c>
      <c r="BS112" s="38">
        <f>+'QTR Raw'!AO89</f>
        <v>0</v>
      </c>
      <c r="BT112" s="38">
        <f>+'QTR Raw'!AP89</f>
        <v>0</v>
      </c>
      <c r="BU112" s="38">
        <f>+'QTR Raw'!AQ89</f>
        <v>0</v>
      </c>
      <c r="BV112" s="38">
        <f>+'QTR Raw'!AR89</f>
        <v>0</v>
      </c>
      <c r="BW112" s="38">
        <f>+'QTR Raw'!AS89</f>
        <v>0</v>
      </c>
      <c r="BY112" s="38">
        <f>+'QTR Raw'!AU89</f>
        <v>0</v>
      </c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T112" s="38">
        <v>0</v>
      </c>
    </row>
    <row r="113" spans="1:98" s="38" customFormat="1" x14ac:dyDescent="0.2">
      <c r="A113" s="38" t="s">
        <v>229</v>
      </c>
      <c r="B113" s="38">
        <f>+'Annual Raw'!C99</f>
        <v>0</v>
      </c>
      <c r="C113" s="38">
        <f>+'Annual Raw'!D99</f>
        <v>0</v>
      </c>
      <c r="D113" s="38">
        <f>+'Annual Raw'!E99</f>
        <v>0</v>
      </c>
      <c r="E113" s="38">
        <f>+'Annual Raw'!F99</f>
        <v>0</v>
      </c>
      <c r="F113" s="38">
        <f>+'Annual Raw'!G99</f>
        <v>0</v>
      </c>
      <c r="G113" s="38">
        <f>+'Annual Raw'!H99</f>
        <v>0</v>
      </c>
      <c r="H113" s="38">
        <f>+'Annual Raw'!I99</f>
        <v>0</v>
      </c>
      <c r="I113" s="38">
        <f>+'Annual Raw'!J99</f>
        <v>0</v>
      </c>
      <c r="J113" s="38">
        <f>+'Annual Raw'!K99</f>
        <v>0</v>
      </c>
      <c r="K113" s="38">
        <f>+'Annual Raw'!L99</f>
        <v>0</v>
      </c>
      <c r="L113" s="38">
        <f>+'Annual Raw'!M99</f>
        <v>5.5107157999999998</v>
      </c>
      <c r="M113" s="38">
        <f>+'Annual Raw'!N99</f>
        <v>31.75</v>
      </c>
      <c r="N113" s="38">
        <f>+'Annual Raw'!O99</f>
        <v>0</v>
      </c>
      <c r="O113" s="38">
        <f>+'Annual Raw'!P99</f>
        <v>0</v>
      </c>
      <c r="P113" s="38">
        <f>+'Annual Raw'!Q99</f>
        <v>0</v>
      </c>
      <c r="Q113" s="38">
        <f>+'Annual Raw'!R99</f>
        <v>20</v>
      </c>
      <c r="R113" s="38">
        <f>+'Annual Raw'!S99</f>
        <v>0</v>
      </c>
      <c r="S113" s="38">
        <f>+'Annual Raw'!T99</f>
        <v>0</v>
      </c>
      <c r="T113" s="38">
        <f>+'Annual Raw'!U99</f>
        <v>37.07</v>
      </c>
      <c r="U113" s="38">
        <f>+'Annual Raw'!V99</f>
        <v>25</v>
      </c>
      <c r="V113" s="38">
        <f>+'Annual Raw'!W99</f>
        <v>25</v>
      </c>
      <c r="W113" s="38">
        <f>+'Annual Raw'!X99</f>
        <v>25.57</v>
      </c>
      <c r="X113" s="38">
        <f>+'Annual Raw'!Y99</f>
        <v>25.26</v>
      </c>
      <c r="Y113" s="38">
        <f>+'Annual Raw'!Z99</f>
        <v>9870.5300000000007</v>
      </c>
      <c r="Z113" s="38">
        <f>+'Annual Raw'!AA99</f>
        <v>10460.530000000001</v>
      </c>
      <c r="AA113" s="38">
        <f>+'Annual Raw'!AB99</f>
        <v>12929</v>
      </c>
      <c r="AB113" s="39">
        <f>+CC113</f>
        <v>25615.85511573049</v>
      </c>
      <c r="AC113" s="39">
        <f>+CG113</f>
        <v>28832.264618455283</v>
      </c>
      <c r="AD113" s="39">
        <f>+CK113</f>
        <v>32449.9155066651</v>
      </c>
      <c r="AE113" s="39">
        <f>+CO113</f>
        <v>36521.297020944796</v>
      </c>
      <c r="AG113" s="60"/>
      <c r="AH113" s="38">
        <f>+'QTR Raw'!D86</f>
        <v>0</v>
      </c>
      <c r="AI113" s="38">
        <f>+'QTR Raw'!E86</f>
        <v>0</v>
      </c>
      <c r="AJ113" s="38">
        <f>+'QTR Raw'!F86</f>
        <v>0</v>
      </c>
      <c r="AK113" s="38">
        <f>+'QTR Raw'!G86</f>
        <v>0</v>
      </c>
      <c r="AL113" s="38">
        <f>+'QTR Raw'!H86</f>
        <v>0</v>
      </c>
      <c r="AM113" s="38">
        <f>+'QTR Raw'!I86</f>
        <v>0</v>
      </c>
      <c r="AN113" s="38">
        <f>+'QTR Raw'!J86</f>
        <v>0</v>
      </c>
      <c r="AO113" s="38">
        <f>+'QTR Raw'!K86</f>
        <v>0</v>
      </c>
      <c r="AP113" s="38">
        <f>+'QTR Raw'!L86</f>
        <v>0</v>
      </c>
      <c r="AQ113" s="38">
        <f>+'QTR Raw'!M86</f>
        <v>0</v>
      </c>
      <c r="AR113" s="38">
        <f>+'QTR Raw'!N86</f>
        <v>0</v>
      </c>
      <c r="AS113" s="38">
        <f>+'QTR Raw'!O86</f>
        <v>2754.46</v>
      </c>
      <c r="AT113" s="38">
        <f>+'QTR Raw'!P86</f>
        <v>0</v>
      </c>
      <c r="AU113" s="38">
        <f>+'QTR Raw'!Q86</f>
        <v>2710.76</v>
      </c>
      <c r="AV113" s="38">
        <f>+'QTR Raw'!R86</f>
        <v>0</v>
      </c>
      <c r="AW113" s="38">
        <f>+'QTR Raw'!S86</f>
        <v>4114.5</v>
      </c>
      <c r="AX113" s="38">
        <f>+'QTR Raw'!T86</f>
        <v>0</v>
      </c>
      <c r="AY113" s="38">
        <f>+'QTR Raw'!U86</f>
        <v>5114.42</v>
      </c>
      <c r="AZ113" s="38">
        <f>+'QTR Raw'!V86</f>
        <v>0</v>
      </c>
      <c r="BA113" s="38">
        <f>+'QTR Raw'!W86</f>
        <v>8644.06</v>
      </c>
      <c r="BB113" s="38">
        <f>+'QTR Raw'!X86</f>
        <v>0</v>
      </c>
      <c r="BC113" s="38">
        <f>+'QTR Raw'!Y86</f>
        <v>7966.42</v>
      </c>
      <c r="BD113" s="38">
        <f>+'QTR Raw'!Z86</f>
        <v>0</v>
      </c>
      <c r="BE113" s="38">
        <f>+'QTR Raw'!AA86</f>
        <v>9163.68</v>
      </c>
      <c r="BF113" s="38">
        <f>+'QTR Raw'!AB86</f>
        <v>0</v>
      </c>
      <c r="BG113" s="38">
        <f>+'QTR Raw'!AC86</f>
        <v>8263.92</v>
      </c>
      <c r="BH113" s="38">
        <f>+'QTR Raw'!AD86</f>
        <v>0</v>
      </c>
      <c r="BI113" s="38">
        <f>+'QTR Raw'!AE86</f>
        <v>11424.85</v>
      </c>
      <c r="BJ113" s="38">
        <f>+'QTR Raw'!AF86</f>
        <v>0</v>
      </c>
      <c r="BK113" s="38">
        <f>+'QTR Raw'!AG86</f>
        <v>11131.84</v>
      </c>
      <c r="BL113" s="38">
        <f>+'QTR Raw'!AH86</f>
        <v>0</v>
      </c>
      <c r="BM113" s="38">
        <f>+'QTR Raw'!AI86</f>
        <v>14562</v>
      </c>
      <c r="BN113" s="38">
        <f>+'QTR Raw'!AJ86</f>
        <v>0</v>
      </c>
      <c r="BO113" s="38">
        <f>+'QTR Raw'!AK86</f>
        <v>15359.42</v>
      </c>
      <c r="BP113" s="38">
        <f>+'QTR Raw'!AL86</f>
        <v>0</v>
      </c>
      <c r="BQ113" s="38">
        <f>+'QTR Raw'!AM86</f>
        <v>19773.650000000001</v>
      </c>
      <c r="BR113" s="38">
        <f>+'QTR Raw'!AN86</f>
        <v>0</v>
      </c>
      <c r="BS113" s="38">
        <f>+'QTR Raw'!AO86</f>
        <v>17199.52</v>
      </c>
      <c r="BT113" s="38">
        <v>19776</v>
      </c>
      <c r="BU113" s="38">
        <f>+'QTR Raw'!AQ86</f>
        <v>18878.73</v>
      </c>
      <c r="BV113" s="38">
        <f>+'QTR Raw'!AR86</f>
        <v>0</v>
      </c>
      <c r="BW113" s="38">
        <f>+'QTR Raw'!AS86</f>
        <v>18890.09</v>
      </c>
      <c r="BX113" s="38">
        <v>19776</v>
      </c>
      <c r="BY113" s="38">
        <f>+'QTR Raw'!AU86</f>
        <v>22728.880000000001</v>
      </c>
      <c r="BZ113" s="39">
        <f t="shared" ref="BZ113:CO113" si="943">+BZ119*BZ162</f>
        <v>21993.044486589606</v>
      </c>
      <c r="CA113" s="39">
        <f t="shared" si="943"/>
        <v>22215.361675942091</v>
      </c>
      <c r="CB113" s="39">
        <f t="shared" si="943"/>
        <v>22674.501235434815</v>
      </c>
      <c r="CC113" s="39">
        <f t="shared" si="943"/>
        <v>25615.85511573049</v>
      </c>
      <c r="CD113" s="39">
        <f t="shared" si="943"/>
        <v>24735.36631464224</v>
      </c>
      <c r="CE113" s="39">
        <f t="shared" si="943"/>
        <v>25011.257543739157</v>
      </c>
      <c r="CF113" s="39">
        <f t="shared" si="943"/>
        <v>25514.987959222228</v>
      </c>
      <c r="CG113" s="39">
        <f t="shared" si="943"/>
        <v>28832.264618455283</v>
      </c>
      <c r="CH113" s="39">
        <f t="shared" si="943"/>
        <v>27837.620564322922</v>
      </c>
      <c r="CI113" s="39">
        <f t="shared" si="943"/>
        <v>28149.932638059057</v>
      </c>
      <c r="CJ113" s="39">
        <f t="shared" si="943"/>
        <v>28715.948521233011</v>
      </c>
      <c r="CK113" s="39">
        <f t="shared" si="943"/>
        <v>32449.9155066651</v>
      </c>
      <c r="CL113" s="39">
        <f t="shared" si="943"/>
        <v>31330.218069040824</v>
      </c>
      <c r="CM113" s="39">
        <f t="shared" si="943"/>
        <v>31681.841788279344</v>
      </c>
      <c r="CN113" s="39">
        <f t="shared" si="943"/>
        <v>32318.809149495559</v>
      </c>
      <c r="CO113" s="39">
        <f t="shared" si="943"/>
        <v>36521.297020944796</v>
      </c>
      <c r="CT113" s="38">
        <v>22728.880000000001</v>
      </c>
    </row>
    <row r="114" spans="1:98" s="43" customFormat="1" x14ac:dyDescent="0.2">
      <c r="A114" s="43" t="s">
        <v>21</v>
      </c>
      <c r="B114" s="43">
        <f t="shared" ref="B114:AB114" si="944">SUM(B110:B113)</f>
        <v>0</v>
      </c>
      <c r="C114" s="43">
        <f t="shared" si="944"/>
        <v>0</v>
      </c>
      <c r="D114" s="43">
        <f t="shared" si="944"/>
        <v>0</v>
      </c>
      <c r="E114" s="43">
        <f t="shared" si="944"/>
        <v>0</v>
      </c>
      <c r="F114" s="43">
        <f t="shared" si="944"/>
        <v>0</v>
      </c>
      <c r="G114" s="43">
        <f t="shared" si="944"/>
        <v>0</v>
      </c>
      <c r="H114" s="43">
        <f t="shared" si="944"/>
        <v>0</v>
      </c>
      <c r="I114" s="43">
        <f t="shared" si="944"/>
        <v>0</v>
      </c>
      <c r="J114" s="43">
        <f t="shared" si="944"/>
        <v>189.24266589999999</v>
      </c>
      <c r="K114" s="43">
        <f t="shared" si="944"/>
        <v>246.1376832</v>
      </c>
      <c r="L114" s="43">
        <f t="shared" si="944"/>
        <v>226.07886590000004</v>
      </c>
      <c r="M114" s="43">
        <f t="shared" si="944"/>
        <v>247.0809256</v>
      </c>
      <c r="N114" s="43">
        <f t="shared" si="944"/>
        <v>388.76809209999999</v>
      </c>
      <c r="O114" s="43">
        <f t="shared" si="944"/>
        <v>805.22387909999998</v>
      </c>
      <c r="P114" s="43">
        <f t="shared" si="944"/>
        <v>1290.5317123</v>
      </c>
      <c r="Q114" s="43">
        <f t="shared" si="944"/>
        <v>2233.3149221000003</v>
      </c>
      <c r="R114" s="43">
        <f t="shared" si="944"/>
        <v>2668.2347711000002</v>
      </c>
      <c r="S114" s="43">
        <f t="shared" si="944"/>
        <v>3623.46</v>
      </c>
      <c r="T114" s="43">
        <f t="shared" si="944"/>
        <v>4866.57</v>
      </c>
      <c r="U114" s="43">
        <f t="shared" si="944"/>
        <v>7822.56</v>
      </c>
      <c r="V114" s="43">
        <f t="shared" si="944"/>
        <v>8780.7199999999993</v>
      </c>
      <c r="W114" s="43">
        <f t="shared" si="944"/>
        <v>12920.69</v>
      </c>
      <c r="X114" s="43">
        <f t="shared" si="944"/>
        <v>16312.26</v>
      </c>
      <c r="Y114" s="43">
        <f t="shared" si="944"/>
        <v>21841.010000000002</v>
      </c>
      <c r="Z114" s="43">
        <f t="shared" si="944"/>
        <v>20445.77</v>
      </c>
      <c r="AA114" s="43">
        <f t="shared" ref="AA114" si="945">SUM(AA110:AA113)</f>
        <v>23641.129999999997</v>
      </c>
      <c r="AB114" s="44">
        <f t="shared" si="944"/>
        <v>25615.85511573049</v>
      </c>
      <c r="AC114" s="44">
        <f>SUM(AC113:AC113)</f>
        <v>28832.264618455283</v>
      </c>
      <c r="AD114" s="44">
        <f>SUM(AD113:AD113)</f>
        <v>32449.9155066651</v>
      </c>
      <c r="AE114" s="44">
        <f>SUM(AE113:AE113)</f>
        <v>36521.297020944796</v>
      </c>
      <c r="AG114" s="62"/>
      <c r="AH114" s="43">
        <f t="shared" ref="AH114" si="946">SUM(AH110:AH113)</f>
        <v>0</v>
      </c>
      <c r="AI114" s="43">
        <f t="shared" ref="AI114:AT114" si="947">SUM(AI110:AI113)</f>
        <v>0</v>
      </c>
      <c r="AJ114" s="43">
        <f t="shared" si="947"/>
        <v>0</v>
      </c>
      <c r="AK114" s="43">
        <f t="shared" si="947"/>
        <v>0</v>
      </c>
      <c r="AL114" s="43">
        <f t="shared" si="947"/>
        <v>0</v>
      </c>
      <c r="AM114" s="43">
        <f t="shared" si="947"/>
        <v>0</v>
      </c>
      <c r="AN114" s="43">
        <f t="shared" si="947"/>
        <v>0</v>
      </c>
      <c r="AO114" s="43">
        <f t="shared" si="947"/>
        <v>0</v>
      </c>
      <c r="AP114" s="43">
        <f t="shared" si="947"/>
        <v>0</v>
      </c>
      <c r="AQ114" s="43">
        <f t="shared" si="947"/>
        <v>0</v>
      </c>
      <c r="AR114" s="43">
        <f t="shared" si="947"/>
        <v>0</v>
      </c>
      <c r="AS114" s="43">
        <f t="shared" si="947"/>
        <v>2754.46</v>
      </c>
      <c r="AT114" s="43">
        <f t="shared" si="947"/>
        <v>0</v>
      </c>
      <c r="AU114" s="43">
        <f t="shared" ref="AU114" si="948">SUM(AU110:AU113)</f>
        <v>2710.76</v>
      </c>
      <c r="AV114" s="43">
        <f t="shared" ref="AV114:CO114" si="949">SUM(AV110:AV113)</f>
        <v>0</v>
      </c>
      <c r="AW114" s="43">
        <f t="shared" si="949"/>
        <v>4114.5</v>
      </c>
      <c r="AX114" s="43">
        <f t="shared" si="949"/>
        <v>0</v>
      </c>
      <c r="AY114" s="43">
        <f t="shared" si="949"/>
        <v>5114.42</v>
      </c>
      <c r="AZ114" s="43">
        <f t="shared" si="949"/>
        <v>0</v>
      </c>
      <c r="BA114" s="43">
        <f t="shared" si="949"/>
        <v>8644.06</v>
      </c>
      <c r="BB114" s="43">
        <f t="shared" si="949"/>
        <v>0</v>
      </c>
      <c r="BC114" s="43">
        <f t="shared" si="949"/>
        <v>7966.42</v>
      </c>
      <c r="BD114" s="43">
        <f t="shared" si="949"/>
        <v>0</v>
      </c>
      <c r="BE114" s="43">
        <f t="shared" si="949"/>
        <v>9163.68</v>
      </c>
      <c r="BF114" s="43">
        <f t="shared" si="949"/>
        <v>0</v>
      </c>
      <c r="BG114" s="43">
        <f t="shared" si="949"/>
        <v>8263.92</v>
      </c>
      <c r="BH114" s="43">
        <f t="shared" si="949"/>
        <v>0</v>
      </c>
      <c r="BI114" s="43">
        <f t="shared" si="949"/>
        <v>11424.85</v>
      </c>
      <c r="BJ114" s="43">
        <f t="shared" si="949"/>
        <v>0</v>
      </c>
      <c r="BK114" s="43">
        <f t="shared" si="949"/>
        <v>11131.84</v>
      </c>
      <c r="BL114" s="43">
        <f t="shared" si="949"/>
        <v>0</v>
      </c>
      <c r="BM114" s="43">
        <f t="shared" si="949"/>
        <v>14562</v>
      </c>
      <c r="BN114" s="43">
        <f t="shared" si="949"/>
        <v>0</v>
      </c>
      <c r="BO114" s="43">
        <f t="shared" si="949"/>
        <v>15359.42</v>
      </c>
      <c r="BP114" s="43">
        <f t="shared" si="949"/>
        <v>0</v>
      </c>
      <c r="BQ114" s="43">
        <f t="shared" si="949"/>
        <v>19773.650000000001</v>
      </c>
      <c r="BR114" s="43">
        <f t="shared" si="949"/>
        <v>0</v>
      </c>
      <c r="BS114" s="43">
        <f t="shared" si="949"/>
        <v>17199.52</v>
      </c>
      <c r="BT114" s="43">
        <f t="shared" si="949"/>
        <v>19776</v>
      </c>
      <c r="BU114" s="43">
        <f t="shared" si="949"/>
        <v>18878.73</v>
      </c>
      <c r="BV114" s="43">
        <f>BU114</f>
        <v>18878.73</v>
      </c>
      <c r="BW114" s="43">
        <f t="shared" ref="BW114:BY114" si="950">SUM(BW110:BW113)</f>
        <v>18890.09</v>
      </c>
      <c r="BX114" s="43">
        <f t="shared" si="949"/>
        <v>19776</v>
      </c>
      <c r="BY114" s="43">
        <f t="shared" si="950"/>
        <v>22728.880000000001</v>
      </c>
      <c r="BZ114" s="44">
        <f t="shared" si="949"/>
        <v>21993.044486589606</v>
      </c>
      <c r="CA114" s="44">
        <f t="shared" si="949"/>
        <v>22215.361675942091</v>
      </c>
      <c r="CB114" s="44">
        <f t="shared" si="949"/>
        <v>22674.501235434815</v>
      </c>
      <c r="CC114" s="44">
        <f t="shared" si="949"/>
        <v>25615.85511573049</v>
      </c>
      <c r="CD114" s="44">
        <f t="shared" si="949"/>
        <v>24735.36631464224</v>
      </c>
      <c r="CE114" s="44">
        <f t="shared" si="949"/>
        <v>25011.257543739157</v>
      </c>
      <c r="CF114" s="44">
        <f t="shared" si="949"/>
        <v>25514.987959222228</v>
      </c>
      <c r="CG114" s="44">
        <f t="shared" si="949"/>
        <v>28832.264618455283</v>
      </c>
      <c r="CH114" s="44">
        <f t="shared" si="949"/>
        <v>27837.620564322922</v>
      </c>
      <c r="CI114" s="44">
        <f t="shared" si="949"/>
        <v>28149.932638059057</v>
      </c>
      <c r="CJ114" s="44">
        <f t="shared" si="949"/>
        <v>28715.948521233011</v>
      </c>
      <c r="CK114" s="44">
        <f t="shared" si="949"/>
        <v>32449.9155066651</v>
      </c>
      <c r="CL114" s="44">
        <f t="shared" si="949"/>
        <v>31330.218069040824</v>
      </c>
      <c r="CM114" s="44">
        <f t="shared" si="949"/>
        <v>31681.841788279344</v>
      </c>
      <c r="CN114" s="44">
        <f t="shared" si="949"/>
        <v>32318.809149495559</v>
      </c>
      <c r="CO114" s="44">
        <f t="shared" si="949"/>
        <v>36521.297020944796</v>
      </c>
      <c r="CT114" s="43">
        <v>22728.880000000001</v>
      </c>
    </row>
    <row r="115" spans="1:98" s="40" customFormat="1" x14ac:dyDescent="0.2">
      <c r="A115" s="40" t="s">
        <v>52</v>
      </c>
      <c r="B115" s="40">
        <f t="shared" ref="B115:AE115" si="951">B114+B108+B106</f>
        <v>0</v>
      </c>
      <c r="C115" s="40">
        <f t="shared" si="951"/>
        <v>0</v>
      </c>
      <c r="D115" s="40">
        <f t="shared" si="951"/>
        <v>0</v>
      </c>
      <c r="E115" s="40">
        <f t="shared" si="951"/>
        <v>0</v>
      </c>
      <c r="F115" s="40">
        <f t="shared" si="951"/>
        <v>0</v>
      </c>
      <c r="G115" s="40">
        <f t="shared" si="951"/>
        <v>0</v>
      </c>
      <c r="H115" s="40">
        <f t="shared" si="951"/>
        <v>0</v>
      </c>
      <c r="I115" s="40">
        <f t="shared" si="951"/>
        <v>0</v>
      </c>
      <c r="J115" s="40">
        <f t="shared" si="951"/>
        <v>211.03999819999999</v>
      </c>
      <c r="K115" s="40">
        <f t="shared" si="951"/>
        <v>296.38066179999998</v>
      </c>
      <c r="L115" s="40">
        <f t="shared" si="951"/>
        <v>279.81401920000002</v>
      </c>
      <c r="M115" s="40">
        <f t="shared" si="951"/>
        <v>297.91343790000002</v>
      </c>
      <c r="N115" s="40">
        <f t="shared" si="951"/>
        <v>501.25853499999999</v>
      </c>
      <c r="O115" s="40">
        <f t="shared" si="951"/>
        <v>1016.2820136</v>
      </c>
      <c r="P115" s="40">
        <f t="shared" si="951"/>
        <v>1671.4356287999999</v>
      </c>
      <c r="Q115" s="40">
        <f t="shared" si="951"/>
        <v>2698.2346260000004</v>
      </c>
      <c r="R115" s="40">
        <f t="shared" si="951"/>
        <v>3359.0315175000001</v>
      </c>
      <c r="S115" s="40">
        <f t="shared" si="951"/>
        <v>5060.9400000000005</v>
      </c>
      <c r="T115" s="40">
        <f t="shared" si="951"/>
        <v>7231.6299999999992</v>
      </c>
      <c r="U115" s="40">
        <f t="shared" si="951"/>
        <v>10491.64</v>
      </c>
      <c r="V115" s="40">
        <f t="shared" si="951"/>
        <v>12415.529999999999</v>
      </c>
      <c r="W115" s="40">
        <f t="shared" si="951"/>
        <v>17087.599999999999</v>
      </c>
      <c r="X115" s="40">
        <f t="shared" si="951"/>
        <v>21419.200000000001</v>
      </c>
      <c r="Y115" s="40">
        <f t="shared" si="951"/>
        <v>28410.960000000003</v>
      </c>
      <c r="Z115" s="40">
        <f t="shared" si="951"/>
        <v>27401.71</v>
      </c>
      <c r="AA115" s="40">
        <f t="shared" ref="AA115" si="952">AA114+AA108+AA106</f>
        <v>31483.35</v>
      </c>
      <c r="AB115" s="41">
        <f t="shared" si="951"/>
        <v>34989.327832184441</v>
      </c>
      <c r="AC115" s="41">
        <f t="shared" si="951"/>
        <v>40279.083700273681</v>
      </c>
      <c r="AD115" s="41">
        <f t="shared" si="951"/>
        <v>46342.531059646237</v>
      </c>
      <c r="AE115" s="41">
        <f t="shared" si="951"/>
        <v>53237.347507258317</v>
      </c>
      <c r="AG115" s="61"/>
      <c r="AH115" s="40">
        <f t="shared" ref="AH115" si="953">AH114+AH108+AH106</f>
        <v>0</v>
      </c>
      <c r="AI115" s="40">
        <f t="shared" ref="AI115" si="954">AI114+AI108+AI106</f>
        <v>0</v>
      </c>
      <c r="AJ115" s="40">
        <f t="shared" ref="AJ115" si="955">AJ114+AJ108+AJ106</f>
        <v>0</v>
      </c>
      <c r="AK115" s="40">
        <f t="shared" ref="AK115" si="956">AK114+AK108+AK106</f>
        <v>0</v>
      </c>
      <c r="AL115" s="40">
        <f t="shared" ref="AL115" si="957">AL114+AL108+AL106</f>
        <v>0</v>
      </c>
      <c r="AM115" s="40">
        <f t="shared" ref="AM115" si="958">AM114+AM108+AM106</f>
        <v>0</v>
      </c>
      <c r="AN115" s="40">
        <f t="shared" ref="AN115" si="959">AN114+AN108+AN106</f>
        <v>0</v>
      </c>
      <c r="AO115" s="40">
        <f t="shared" ref="AO115" si="960">AO114+AO108+AO106</f>
        <v>0</v>
      </c>
      <c r="AP115" s="40">
        <f t="shared" ref="AP115" si="961">AP114+AP108+AP106</f>
        <v>0</v>
      </c>
      <c r="AQ115" s="40">
        <f t="shared" ref="AQ115" si="962">AQ114+AQ108+AQ106</f>
        <v>0</v>
      </c>
      <c r="AR115" s="40">
        <f t="shared" ref="AR115" si="963">AR114+AR108+AR106</f>
        <v>0</v>
      </c>
      <c r="AS115" s="40">
        <f t="shared" ref="AS115" si="964">AS114+AS108+AS106</f>
        <v>4191.9400000000005</v>
      </c>
      <c r="AT115" s="40">
        <f t="shared" ref="AT115" si="965">AT114+AT108+AT106</f>
        <v>0</v>
      </c>
      <c r="AU115" s="40">
        <f t="shared" ref="AU115" si="966">AU114+AU108+AU106</f>
        <v>4923.9000000000005</v>
      </c>
      <c r="AV115" s="40">
        <f t="shared" ref="AV115:BM115" si="967">AV114+AV108+AV106</f>
        <v>0</v>
      </c>
      <c r="AW115" s="40">
        <f t="shared" si="967"/>
        <v>6479.56</v>
      </c>
      <c r="AX115" s="40">
        <f t="shared" si="967"/>
        <v>0</v>
      </c>
      <c r="AY115" s="40">
        <f t="shared" si="967"/>
        <v>7669.57</v>
      </c>
      <c r="AZ115" s="40">
        <f t="shared" si="967"/>
        <v>0</v>
      </c>
      <c r="BA115" s="40">
        <f t="shared" si="967"/>
        <v>11487.23</v>
      </c>
      <c r="BB115" s="40">
        <f t="shared" si="967"/>
        <v>0</v>
      </c>
      <c r="BC115" s="40">
        <f t="shared" si="967"/>
        <v>10961.470000000001</v>
      </c>
      <c r="BD115" s="40">
        <f t="shared" si="967"/>
        <v>0</v>
      </c>
      <c r="BE115" s="40">
        <f t="shared" si="967"/>
        <v>12960.06</v>
      </c>
      <c r="BF115" s="40">
        <f t="shared" si="967"/>
        <v>0</v>
      </c>
      <c r="BG115" s="40">
        <f t="shared" si="967"/>
        <v>12134.45</v>
      </c>
      <c r="BH115" s="40">
        <f t="shared" si="967"/>
        <v>0</v>
      </c>
      <c r="BI115" s="40">
        <f t="shared" si="967"/>
        <v>15591.76</v>
      </c>
      <c r="BJ115" s="40">
        <f t="shared" si="967"/>
        <v>0</v>
      </c>
      <c r="BK115" s="40">
        <f t="shared" si="967"/>
        <v>15713.86</v>
      </c>
      <c r="BL115" s="40">
        <f t="shared" si="967"/>
        <v>0</v>
      </c>
      <c r="BM115" s="40">
        <f t="shared" si="967"/>
        <v>19668.97</v>
      </c>
      <c r="BN115" s="40">
        <f t="shared" ref="BN115:CO115" si="968">BN114+BN108+BN106</f>
        <v>5455.43</v>
      </c>
      <c r="BO115" s="40">
        <f t="shared" si="968"/>
        <v>21157.16</v>
      </c>
      <c r="BP115" s="40">
        <f t="shared" si="968"/>
        <v>6151.08</v>
      </c>
      <c r="BQ115" s="40">
        <f t="shared" si="968"/>
        <v>26343.63</v>
      </c>
      <c r="BR115" s="40">
        <f t="shared" si="968"/>
        <v>6967.64</v>
      </c>
      <c r="BS115" s="40">
        <f t="shared" si="968"/>
        <v>24187.93</v>
      </c>
      <c r="BT115" s="40">
        <f t="shared" si="968"/>
        <v>26664.89</v>
      </c>
      <c r="BU115" s="40">
        <f t="shared" si="968"/>
        <v>25834.7</v>
      </c>
      <c r="BV115" s="40">
        <f t="shared" si="968"/>
        <v>25894.89</v>
      </c>
      <c r="BW115" s="40">
        <f t="shared" ref="BW115:BY115" si="969">BW114+BW108+BW106</f>
        <v>26054.47</v>
      </c>
      <c r="BX115" s="40">
        <f t="shared" si="968"/>
        <v>27192.47</v>
      </c>
      <c r="BY115" s="40">
        <f t="shared" si="969"/>
        <v>30571.13</v>
      </c>
      <c r="BZ115" s="41">
        <f t="shared" si="968"/>
        <v>30121.199425510284</v>
      </c>
      <c r="CA115" s="41">
        <f t="shared" si="968"/>
        <v>30727.319140705808</v>
      </c>
      <c r="CB115" s="41">
        <f t="shared" si="968"/>
        <v>31596.1851446213</v>
      </c>
      <c r="CC115" s="41">
        <f t="shared" si="968"/>
        <v>34989.327832184441</v>
      </c>
      <c r="CD115" s="41">
        <f t="shared" si="968"/>
        <v>34567.703345642149</v>
      </c>
      <c r="CE115" s="41">
        <f t="shared" si="968"/>
        <v>35357.220577331609</v>
      </c>
      <c r="CF115" s="41">
        <f t="shared" si="968"/>
        <v>36396.049383745689</v>
      </c>
      <c r="CG115" s="41">
        <f t="shared" si="968"/>
        <v>40279.083700273681</v>
      </c>
      <c r="CH115" s="41">
        <f t="shared" si="968"/>
        <v>39861.318737972091</v>
      </c>
      <c r="CI115" s="41">
        <f t="shared" si="968"/>
        <v>40786.41689389899</v>
      </c>
      <c r="CJ115" s="41">
        <f t="shared" si="968"/>
        <v>41972.492612020294</v>
      </c>
      <c r="CK115" s="41">
        <f t="shared" si="968"/>
        <v>46342.531059646237</v>
      </c>
      <c r="CL115" s="41">
        <f t="shared" si="968"/>
        <v>45897.216384828163</v>
      </c>
      <c r="CM115" s="41">
        <f t="shared" si="968"/>
        <v>46955.784995709218</v>
      </c>
      <c r="CN115" s="41">
        <f t="shared" si="968"/>
        <v>48304.810661099582</v>
      </c>
      <c r="CO115" s="41">
        <f t="shared" si="968"/>
        <v>53237.347507258317</v>
      </c>
      <c r="CT115" s="40">
        <v>30571.13</v>
      </c>
    </row>
    <row r="116" spans="1:98" s="38" customFormat="1" x14ac:dyDescent="0.2"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219</v>
      </c>
      <c r="B118" s="38">
        <f>+'Annual Raw'!C116</f>
        <v>0</v>
      </c>
      <c r="C118" s="38">
        <f>+'Annual Raw'!D116</f>
        <v>0</v>
      </c>
      <c r="D118" s="38">
        <f>+'Annual Raw'!E116</f>
        <v>0</v>
      </c>
      <c r="E118" s="38">
        <f>+'Annual Raw'!F116</f>
        <v>0</v>
      </c>
      <c r="F118" s="38">
        <f>+'Annual Raw'!G116</f>
        <v>0</v>
      </c>
      <c r="G118" s="38">
        <f>+'Annual Raw'!H116</f>
        <v>0</v>
      </c>
      <c r="H118" s="38">
        <f>+'Annual Raw'!I116</f>
        <v>0</v>
      </c>
      <c r="I118" s="38">
        <f>+'Annual Raw'!J116</f>
        <v>0</v>
      </c>
      <c r="J118" s="38">
        <f>+'Annual Raw'!K116</f>
        <v>0</v>
      </c>
      <c r="K118" s="38">
        <f>+'Annual Raw'!L116</f>
        <v>0</v>
      </c>
      <c r="L118" s="38">
        <f>+'Annual Raw'!M116</f>
        <v>2.4601779000000001</v>
      </c>
      <c r="M118" s="38">
        <f>+'Annual Raw'!N116</f>
        <v>8.2978903000000006</v>
      </c>
      <c r="N118" s="38">
        <f>+'Annual Raw'!O116</f>
        <v>5.1300287999999998</v>
      </c>
      <c r="O118" s="38">
        <f>+'Annual Raw'!P116</f>
        <v>5.6836422999999998</v>
      </c>
      <c r="P118" s="38">
        <f>+'Annual Raw'!Q116</f>
        <v>7.7859290999999997</v>
      </c>
      <c r="Q118" s="38">
        <f>+'Annual Raw'!R116</f>
        <v>5.1879952999999999</v>
      </c>
      <c r="R118" s="38">
        <f>+'Annual Raw'!S116</f>
        <v>5.8301971999999997</v>
      </c>
      <c r="S118" s="38">
        <f>+'Annual Raw'!T116</f>
        <v>154.16</v>
      </c>
      <c r="T118" s="38">
        <f>+'Annual Raw'!U116</f>
        <v>328.54</v>
      </c>
      <c r="U118" s="38">
        <f>+'Annual Raw'!V116</f>
        <v>492.7</v>
      </c>
      <c r="V118" s="38">
        <f>+'Annual Raw'!W116</f>
        <v>594.76</v>
      </c>
      <c r="W118" s="38">
        <f>+'Annual Raw'!X116</f>
        <v>492.93</v>
      </c>
      <c r="X118" s="38">
        <f>+'Annual Raw'!Y116</f>
        <v>571.96</v>
      </c>
      <c r="Y118" s="38">
        <f>+'Annual Raw'!Z116</f>
        <v>1356.39</v>
      </c>
      <c r="Z118" s="38">
        <f>+'Annual Raw'!AA116</f>
        <v>1192.29</v>
      </c>
      <c r="AA118" s="38">
        <f>+'Annual Raw'!AB116</f>
        <v>1017.32</v>
      </c>
      <c r="AB118" s="39"/>
      <c r="AC118" s="39"/>
      <c r="AD118" s="39"/>
      <c r="AE118" s="39"/>
      <c r="AG118" s="60"/>
      <c r="AH118" s="38">
        <f>+'QTR Raw'!D76</f>
        <v>0</v>
      </c>
      <c r="AI118" s="38">
        <f>+'QTR Raw'!E76</f>
        <v>0</v>
      </c>
      <c r="AJ118" s="38">
        <f>+'QTR Raw'!F76</f>
        <v>0</v>
      </c>
      <c r="AK118" s="38">
        <f>+'QTR Raw'!G76</f>
        <v>0</v>
      </c>
      <c r="AL118" s="38">
        <f>+'QTR Raw'!H76</f>
        <v>0</v>
      </c>
      <c r="AM118" s="38">
        <f>+'QTR Raw'!I76</f>
        <v>0</v>
      </c>
      <c r="AN118" s="38">
        <f>+'QTR Raw'!J76</f>
        <v>0</v>
      </c>
      <c r="AO118" s="38">
        <f>+'QTR Raw'!K76</f>
        <v>0</v>
      </c>
      <c r="AP118" s="38">
        <f>+'QTR Raw'!L76</f>
        <v>0</v>
      </c>
      <c r="AQ118" s="38">
        <f>+'QTR Raw'!M76</f>
        <v>0</v>
      </c>
      <c r="AR118" s="38">
        <f>+'QTR Raw'!N76</f>
        <v>0</v>
      </c>
      <c r="AS118" s="38">
        <f>+'QTR Raw'!O76</f>
        <v>0</v>
      </c>
      <c r="AT118" s="38">
        <f>+'QTR Raw'!P76</f>
        <v>0</v>
      </c>
      <c r="AU118" s="38">
        <f>+'QTR Raw'!Q76</f>
        <v>0</v>
      </c>
      <c r="AV118" s="38">
        <f>+'QTR Raw'!R76</f>
        <v>0</v>
      </c>
      <c r="AW118" s="38">
        <f>+'QTR Raw'!S76</f>
        <v>0</v>
      </c>
      <c r="AX118" s="38">
        <f>+'QTR Raw'!T76</f>
        <v>0</v>
      </c>
      <c r="AY118" s="38">
        <f>+'QTR Raw'!U76</f>
        <v>0</v>
      </c>
      <c r="AZ118" s="38">
        <f>+'QTR Raw'!V76</f>
        <v>0</v>
      </c>
      <c r="BA118" s="38">
        <f>+'QTR Raw'!W76</f>
        <v>0</v>
      </c>
      <c r="BB118" s="38">
        <f>+'QTR Raw'!X76</f>
        <v>0</v>
      </c>
      <c r="BC118" s="38">
        <f>+'QTR Raw'!Y76</f>
        <v>0</v>
      </c>
      <c r="BD118" s="38">
        <f>+'QTR Raw'!Z76</f>
        <v>0</v>
      </c>
      <c r="BE118" s="38">
        <f>+'QTR Raw'!AA76</f>
        <v>0</v>
      </c>
      <c r="BF118" s="38">
        <f>+'QTR Raw'!AB76</f>
        <v>0</v>
      </c>
      <c r="BG118" s="38">
        <f>+'QTR Raw'!AC76</f>
        <v>0</v>
      </c>
      <c r="BH118" s="38">
        <f>+'QTR Raw'!AD76</f>
        <v>0</v>
      </c>
      <c r="BI118" s="38">
        <f>+'QTR Raw'!AE76</f>
        <v>0</v>
      </c>
      <c r="BJ118" s="38">
        <f>+'QTR Raw'!AF76</f>
        <v>0</v>
      </c>
      <c r="BK118" s="38">
        <f>+'QTR Raw'!AG76</f>
        <v>0</v>
      </c>
      <c r="BL118" s="38">
        <f>+'QTR Raw'!AH76</f>
        <v>0</v>
      </c>
      <c r="BM118" s="38">
        <f>+'QTR Raw'!AI76</f>
        <v>0</v>
      </c>
      <c r="BN118" s="38">
        <f>+'QTR Raw'!AJ76</f>
        <v>0</v>
      </c>
      <c r="BO118" s="38">
        <f>+'QTR Raw'!AK76</f>
        <v>0</v>
      </c>
      <c r="BP118" s="38">
        <f>+'QTR Raw'!AL76</f>
        <v>0</v>
      </c>
      <c r="BQ118" s="38">
        <f>+'QTR Raw'!AM76</f>
        <v>0</v>
      </c>
      <c r="BR118" s="38">
        <f>+'QTR Raw'!AN76</f>
        <v>0</v>
      </c>
      <c r="BS118" s="38">
        <f>+'QTR Raw'!AO76</f>
        <v>0</v>
      </c>
      <c r="BT118" s="38">
        <f>+'QTR Raw'!AP76</f>
        <v>0</v>
      </c>
      <c r="BU118" s="38">
        <f>+'QTR Raw'!AQ76</f>
        <v>0</v>
      </c>
      <c r="BV118" s="38">
        <f>+'QTR Raw'!AR76</f>
        <v>0</v>
      </c>
      <c r="BW118" s="38">
        <f>+'QTR Raw'!AS76</f>
        <v>0</v>
      </c>
      <c r="BY118" s="38">
        <f>+'QTR Raw'!AU76</f>
        <v>0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T118" s="38">
        <v>1017.32</v>
      </c>
    </row>
    <row r="119" spans="1:98" s="38" customFormat="1" x14ac:dyDescent="0.2">
      <c r="A119" s="38" t="s">
        <v>243</v>
      </c>
      <c r="B119" s="38">
        <f>+'Annual Raw'!C124+'Annual Raw'!C105</f>
        <v>0</v>
      </c>
      <c r="C119" s="38">
        <f>+'Annual Raw'!D124+'Annual Raw'!D105</f>
        <v>0</v>
      </c>
      <c r="D119" s="38">
        <f>+'Annual Raw'!E124+'Annual Raw'!E105</f>
        <v>0</v>
      </c>
      <c r="E119" s="38">
        <f>+'Annual Raw'!F124+'Annual Raw'!F105</f>
        <v>0</v>
      </c>
      <c r="F119" s="38">
        <f>+'Annual Raw'!G124+'Annual Raw'!G105</f>
        <v>0</v>
      </c>
      <c r="G119" s="38">
        <f>+'Annual Raw'!H124+'Annual Raw'!H105</f>
        <v>0</v>
      </c>
      <c r="H119" s="38">
        <f>+'Annual Raw'!I124+'Annual Raw'!I105</f>
        <v>0</v>
      </c>
      <c r="I119" s="38">
        <f>+'Annual Raw'!J124+'Annual Raw'!J105</f>
        <v>0</v>
      </c>
      <c r="J119" s="38">
        <f>+'Annual Raw'!K124+'Annual Raw'!K105</f>
        <v>186.5965549</v>
      </c>
      <c r="K119" s="38">
        <f>+'Annual Raw'!L124+'Annual Raw'!L105</f>
        <v>236.4485511</v>
      </c>
      <c r="L119" s="38">
        <f>+'Annual Raw'!M124+'Annual Raw'!M105</f>
        <v>187.90334899999999</v>
      </c>
      <c r="M119" s="38">
        <f>+'Annual Raw'!N124+'Annual Raw'!N105</f>
        <v>268.6536926</v>
      </c>
      <c r="N119" s="38">
        <f>+'Annual Raw'!O124+'Annual Raw'!O105</f>
        <v>390.96345350000001</v>
      </c>
      <c r="O119" s="38">
        <f>+'Annual Raw'!P124+'Annual Raw'!P105</f>
        <v>670.34297319999996</v>
      </c>
      <c r="P119" s="38">
        <f>+'Annual Raw'!Q124+'Annual Raw'!Q105</f>
        <v>1344.5862437999999</v>
      </c>
      <c r="Q119" s="38">
        <f>+'Annual Raw'!R124+'Annual Raw'!R105</f>
        <v>2468.7277319</v>
      </c>
      <c r="R119" s="38">
        <f>+'Annual Raw'!S124+'Annual Raw'!S105</f>
        <v>3081.0852393</v>
      </c>
      <c r="S119" s="38">
        <f>+'Annual Raw'!T124+'Annual Raw'!T105</f>
        <v>4900.7299999999996</v>
      </c>
      <c r="T119" s="38">
        <f>+'Annual Raw'!U124+'Annual Raw'!U105</f>
        <v>6612.84</v>
      </c>
      <c r="U119" s="38">
        <f>+'Annual Raw'!V124+'Annual Raw'!V105</f>
        <v>9186.4499999999989</v>
      </c>
      <c r="V119" s="38">
        <f>+'Annual Raw'!W124+'Annual Raw'!W105</f>
        <v>9735</v>
      </c>
      <c r="W119" s="38">
        <f>+'Annual Raw'!X124+'Annual Raw'!X105</f>
        <v>14979.18</v>
      </c>
      <c r="X119" s="38">
        <f>+'Annual Raw'!Y124+'Annual Raw'!Y105</f>
        <v>19301.66</v>
      </c>
      <c r="Y119" s="38">
        <f>+'Annual Raw'!Z124+'Annual Raw'!Z105</f>
        <v>25104.99</v>
      </c>
      <c r="Z119" s="38">
        <f>+'Annual Raw'!AA124+'Annual Raw'!AA105</f>
        <v>24647.23</v>
      </c>
      <c r="AA119" s="38">
        <f>+'Annual Raw'!AB124+'Annual Raw'!AB105</f>
        <v>28130.14</v>
      </c>
      <c r="AB119" s="39">
        <f>+CC119</f>
        <v>31469.417151908106</v>
      </c>
      <c r="AC119" s="39">
        <f>+CG119</f>
        <v>35420.818809799683</v>
      </c>
      <c r="AD119" s="39">
        <f>+CK119</f>
        <v>39865.150822012467</v>
      </c>
      <c r="AE119" s="39">
        <f>+CO119</f>
        <v>44866.896915538549</v>
      </c>
      <c r="AG119" s="60"/>
      <c r="AH119" s="38">
        <f>+'QTR Raw'!D83</f>
        <v>0</v>
      </c>
      <c r="AI119" s="38">
        <f>+'QTR Raw'!E83</f>
        <v>0</v>
      </c>
      <c r="AJ119" s="38">
        <f>+'QTR Raw'!F83</f>
        <v>0</v>
      </c>
      <c r="AK119" s="38">
        <f>+'QTR Raw'!G83</f>
        <v>0</v>
      </c>
      <c r="AL119" s="38">
        <f>+'QTR Raw'!H83</f>
        <v>0</v>
      </c>
      <c r="AM119" s="38">
        <f>+'QTR Raw'!I83</f>
        <v>0</v>
      </c>
      <c r="AN119" s="38">
        <f>+'QTR Raw'!J83</f>
        <v>0</v>
      </c>
      <c r="AO119" s="38">
        <f>+'QTR Raw'!K83</f>
        <v>0</v>
      </c>
      <c r="AP119" s="38">
        <f>+'QTR Raw'!L83</f>
        <v>0</v>
      </c>
      <c r="AQ119" s="38">
        <f>+'QTR Raw'!M83</f>
        <v>0</v>
      </c>
      <c r="AR119" s="38">
        <f>+'QTR Raw'!N83</f>
        <v>0</v>
      </c>
      <c r="AS119" s="38">
        <f>+'QTR Raw'!O83</f>
        <v>4895.53</v>
      </c>
      <c r="AT119" s="38">
        <f>+'QTR Raw'!P83</f>
        <v>0</v>
      </c>
      <c r="AU119" s="38">
        <f>+'QTR Raw'!Q83</f>
        <v>5682.93</v>
      </c>
      <c r="AV119" s="38">
        <f>+'QTR Raw'!R83</f>
        <v>0</v>
      </c>
      <c r="AW119" s="38">
        <f>+'QTR Raw'!S83</f>
        <v>6602.83</v>
      </c>
      <c r="AX119" s="38">
        <f>+'QTR Raw'!T83</f>
        <v>0</v>
      </c>
      <c r="AY119" s="38">
        <f>+'QTR Raw'!U83</f>
        <v>7406.89</v>
      </c>
      <c r="AZ119" s="38">
        <f>+'QTR Raw'!V83</f>
        <v>0</v>
      </c>
      <c r="BA119" s="38">
        <f>+'QTR Raw'!W83</f>
        <v>11098.91</v>
      </c>
      <c r="BB119" s="38">
        <f>+'QTR Raw'!X83</f>
        <v>0</v>
      </c>
      <c r="BC119" s="38">
        <f>+'QTR Raw'!Y83</f>
        <v>10197.549999999999</v>
      </c>
      <c r="BD119" s="38">
        <f>+'QTR Raw'!Z83</f>
        <v>0</v>
      </c>
      <c r="BE119" s="38">
        <f>+'QTR Raw'!AA83</f>
        <v>11720.48</v>
      </c>
      <c r="BF119" s="38">
        <f>+'QTR Raw'!AB83</f>
        <v>0</v>
      </c>
      <c r="BG119" s="38">
        <f>+'QTR Raw'!AC83</f>
        <v>11776.11</v>
      </c>
      <c r="BH119" s="38">
        <f>+'QTR Raw'!AD83</f>
        <v>0</v>
      </c>
      <c r="BI119" s="38">
        <f>+'QTR Raw'!AE83</f>
        <v>14765.33</v>
      </c>
      <c r="BJ119" s="38">
        <f>+'QTR Raw'!AF83</f>
        <v>0</v>
      </c>
      <c r="BK119" s="38">
        <f>+'QTR Raw'!AG83</f>
        <v>15195.94</v>
      </c>
      <c r="BL119" s="38">
        <f>+'QTR Raw'!AH83</f>
        <v>0</v>
      </c>
      <c r="BM119" s="38">
        <f>+'QTR Raw'!AI83</f>
        <v>19043.34</v>
      </c>
      <c r="BN119" s="38">
        <f>+'QTR Raw'!AJ83</f>
        <v>0</v>
      </c>
      <c r="BO119" s="38">
        <f>+'QTR Raw'!AK83</f>
        <v>20880.09</v>
      </c>
      <c r="BP119" s="38">
        <f>+'QTR Raw'!AL83</f>
        <v>0</v>
      </c>
      <c r="BQ119" s="38">
        <f>+'QTR Raw'!AM83</f>
        <v>25104.99</v>
      </c>
      <c r="BR119" s="38">
        <f>+'QTR Raw'!AN83</f>
        <v>0</v>
      </c>
      <c r="BS119" s="38">
        <f>+'QTR Raw'!AO83</f>
        <v>23530.34</v>
      </c>
      <c r="BT119" s="38">
        <v>23070</v>
      </c>
      <c r="BU119" s="38">
        <f>+'QTR Raw'!AQ83</f>
        <v>24274.45</v>
      </c>
      <c r="BV119" s="38">
        <f>BU119</f>
        <v>24274.45</v>
      </c>
      <c r="BW119" s="38">
        <f>+'QTR Raw'!AS83</f>
        <v>24116.39</v>
      </c>
      <c r="BX119" s="38">
        <v>24819</v>
      </c>
      <c r="BY119" s="38">
        <f>+'QTR Raw'!AU83</f>
        <v>27922.73</v>
      </c>
      <c r="BZ119" s="39">
        <f t="shared" ref="BZ119:CO119" si="970">+BV119*(1+BZ160)</f>
        <v>27018.746329648893</v>
      </c>
      <c r="CA119" s="39">
        <f t="shared" si="970"/>
        <v>27291.865940146563</v>
      </c>
      <c r="CB119" s="39">
        <f t="shared" si="970"/>
        <v>27855.924967781637</v>
      </c>
      <c r="CC119" s="39">
        <f t="shared" si="970"/>
        <v>31469.417151908106</v>
      </c>
      <c r="CD119" s="39">
        <f t="shared" si="970"/>
        <v>30387.725002501233</v>
      </c>
      <c r="CE119" s="39">
        <f t="shared" si="970"/>
        <v>30726.66103012078</v>
      </c>
      <c r="CF119" s="39">
        <f t="shared" si="970"/>
        <v>31345.50051470258</v>
      </c>
      <c r="CG119" s="39">
        <f t="shared" si="970"/>
        <v>35420.818809799683</v>
      </c>
      <c r="CH119" s="39">
        <f t="shared" si="970"/>
        <v>34198.885420664657</v>
      </c>
      <c r="CI119" s="39">
        <f t="shared" si="970"/>
        <v>34582.564938118849</v>
      </c>
      <c r="CJ119" s="39">
        <f t="shared" si="970"/>
        <v>35277.922944390069</v>
      </c>
      <c r="CK119" s="39">
        <f t="shared" si="970"/>
        <v>39865.150822012467</v>
      </c>
      <c r="CL119" s="39">
        <f t="shared" si="970"/>
        <v>38489.587695607886</v>
      </c>
      <c r="CM119" s="39">
        <f t="shared" si="970"/>
        <v>38921.562090030005</v>
      </c>
      <c r="CN119" s="39">
        <f t="shared" si="970"/>
        <v>39704.084926441341</v>
      </c>
      <c r="CO119" s="39">
        <f t="shared" si="970"/>
        <v>44866.896915538549</v>
      </c>
      <c r="CT119" s="38">
        <v>27922.73</v>
      </c>
    </row>
    <row r="120" spans="1:98" s="43" customFormat="1" x14ac:dyDescent="0.2">
      <c r="A120" s="43" t="s">
        <v>286</v>
      </c>
      <c r="B120" s="43">
        <f>+B118+B119</f>
        <v>0</v>
      </c>
      <c r="C120" s="43">
        <f t="shared" ref="C120:Z120" si="971">+C118+C119</f>
        <v>0</v>
      </c>
      <c r="D120" s="43">
        <f t="shared" si="971"/>
        <v>0</v>
      </c>
      <c r="E120" s="43">
        <f t="shared" si="971"/>
        <v>0</v>
      </c>
      <c r="F120" s="43">
        <f t="shared" si="971"/>
        <v>0</v>
      </c>
      <c r="G120" s="43">
        <f t="shared" si="971"/>
        <v>0</v>
      </c>
      <c r="H120" s="43">
        <f t="shared" si="971"/>
        <v>0</v>
      </c>
      <c r="I120" s="43">
        <f t="shared" si="971"/>
        <v>0</v>
      </c>
      <c r="J120" s="43">
        <f t="shared" si="971"/>
        <v>186.5965549</v>
      </c>
      <c r="K120" s="43">
        <f t="shared" si="971"/>
        <v>236.4485511</v>
      </c>
      <c r="L120" s="43">
        <f t="shared" si="971"/>
        <v>190.36352689999998</v>
      </c>
      <c r="M120" s="43">
        <f t="shared" si="971"/>
        <v>276.95158290000001</v>
      </c>
      <c r="N120" s="43">
        <f t="shared" si="971"/>
        <v>396.09348230000001</v>
      </c>
      <c r="O120" s="43">
        <f t="shared" si="971"/>
        <v>676.02661549999993</v>
      </c>
      <c r="P120" s="43">
        <f t="shared" si="971"/>
        <v>1352.3721728999999</v>
      </c>
      <c r="Q120" s="43">
        <f t="shared" si="971"/>
        <v>2473.9157271999998</v>
      </c>
      <c r="R120" s="43">
        <f t="shared" si="971"/>
        <v>3086.9154364999999</v>
      </c>
      <c r="S120" s="43">
        <f t="shared" si="971"/>
        <v>5054.8899999999994</v>
      </c>
      <c r="T120" s="43">
        <f t="shared" si="971"/>
        <v>6941.38</v>
      </c>
      <c r="U120" s="43">
        <f t="shared" si="971"/>
        <v>9679.15</v>
      </c>
      <c r="V120" s="43">
        <f t="shared" si="971"/>
        <v>10329.76</v>
      </c>
      <c r="W120" s="43">
        <f t="shared" si="971"/>
        <v>15472.11</v>
      </c>
      <c r="X120" s="43">
        <f t="shared" si="971"/>
        <v>19873.62</v>
      </c>
      <c r="Y120" s="43">
        <f t="shared" si="971"/>
        <v>26461.38</v>
      </c>
      <c r="Z120" s="43">
        <f t="shared" si="971"/>
        <v>25839.52</v>
      </c>
      <c r="AA120" s="43">
        <f t="shared" ref="AA120" si="972">+AA118+AA119</f>
        <v>29147.46</v>
      </c>
      <c r="AB120" s="44">
        <f t="shared" ref="AB120" si="973">+AB118+AB119</f>
        <v>31469.417151908106</v>
      </c>
      <c r="AC120" s="44">
        <f t="shared" ref="AC120" si="974">+AC118+AC119</f>
        <v>35420.818809799683</v>
      </c>
      <c r="AD120" s="44">
        <f t="shared" ref="AD120" si="975">+AD118+AD119</f>
        <v>39865.150822012467</v>
      </c>
      <c r="AE120" s="44">
        <f t="shared" ref="AE120" si="976">+AE118+AE119</f>
        <v>44866.896915538549</v>
      </c>
      <c r="AG120" s="62"/>
      <c r="AH120" s="43">
        <f t="shared" ref="AH120" si="977">+AH118+AH119</f>
        <v>0</v>
      </c>
      <c r="AI120" s="43">
        <f t="shared" ref="AI120" si="978">+AI118+AI119</f>
        <v>0</v>
      </c>
      <c r="AJ120" s="43">
        <f t="shared" ref="AJ120" si="979">+AJ118+AJ119</f>
        <v>0</v>
      </c>
      <c r="AK120" s="43">
        <f t="shared" ref="AK120" si="980">+AK118+AK119</f>
        <v>0</v>
      </c>
      <c r="AL120" s="43">
        <f t="shared" ref="AL120" si="981">+AL118+AL119</f>
        <v>0</v>
      </c>
      <c r="AM120" s="43">
        <f t="shared" ref="AM120" si="982">+AM118+AM119</f>
        <v>0</v>
      </c>
      <c r="AN120" s="43">
        <f t="shared" ref="AN120" si="983">+AN118+AN119</f>
        <v>0</v>
      </c>
      <c r="AO120" s="43">
        <f t="shared" ref="AO120" si="984">+AO118+AO119</f>
        <v>0</v>
      </c>
      <c r="AP120" s="43">
        <f t="shared" ref="AP120" si="985">+AP118+AP119</f>
        <v>0</v>
      </c>
      <c r="AQ120" s="43">
        <f t="shared" ref="AQ120" si="986">+AQ118+AQ119</f>
        <v>0</v>
      </c>
      <c r="AR120" s="43">
        <f t="shared" ref="AR120" si="987">+AR118+AR119</f>
        <v>0</v>
      </c>
      <c r="AS120" s="43">
        <f t="shared" ref="AS120" si="988">+AS118+AS119</f>
        <v>4895.53</v>
      </c>
      <c r="AT120" s="43">
        <f t="shared" ref="AT120" si="989">+AT118+AT119</f>
        <v>0</v>
      </c>
      <c r="AU120" s="43">
        <f t="shared" ref="AU120:AV120" si="990">+AU118+AU119</f>
        <v>5682.93</v>
      </c>
      <c r="AV120" s="43">
        <f t="shared" si="990"/>
        <v>0</v>
      </c>
      <c r="AW120" s="43">
        <f t="shared" ref="AW120" si="991">+AW118+AW119</f>
        <v>6602.83</v>
      </c>
      <c r="AX120" s="43">
        <f t="shared" ref="AX120" si="992">+AX118+AX119</f>
        <v>0</v>
      </c>
      <c r="AY120" s="43">
        <f t="shared" ref="AY120" si="993">+AY118+AY119</f>
        <v>7406.89</v>
      </c>
      <c r="AZ120" s="43">
        <f t="shared" ref="AZ120" si="994">+AZ118+AZ119</f>
        <v>0</v>
      </c>
      <c r="BA120" s="43">
        <f t="shared" ref="BA120" si="995">+BA118+BA119</f>
        <v>11098.91</v>
      </c>
      <c r="BB120" s="43">
        <f t="shared" ref="BB120" si="996">+BB118+BB119</f>
        <v>0</v>
      </c>
      <c r="BC120" s="43">
        <f t="shared" ref="BC120" si="997">+BC118+BC119</f>
        <v>10197.549999999999</v>
      </c>
      <c r="BD120" s="43">
        <f t="shared" ref="BD120" si="998">+BD118+BD119</f>
        <v>0</v>
      </c>
      <c r="BE120" s="43">
        <f t="shared" ref="BE120" si="999">+BE118+BE119</f>
        <v>11720.48</v>
      </c>
      <c r="BF120" s="43">
        <f t="shared" ref="BF120" si="1000">+BF118+BF119</f>
        <v>0</v>
      </c>
      <c r="BG120" s="43">
        <f t="shared" ref="BG120" si="1001">+BG118+BG119</f>
        <v>11776.11</v>
      </c>
      <c r="BH120" s="43">
        <f t="shared" ref="BH120" si="1002">+BH118+BH119</f>
        <v>0</v>
      </c>
      <c r="BI120" s="43">
        <f t="shared" ref="BI120" si="1003">+BI118+BI119</f>
        <v>14765.33</v>
      </c>
      <c r="BJ120" s="43">
        <f t="shared" ref="BJ120" si="1004">+BJ118+BJ119</f>
        <v>0</v>
      </c>
      <c r="BK120" s="43">
        <f t="shared" ref="BK120" si="1005">+BK118+BK119</f>
        <v>15195.94</v>
      </c>
      <c r="BL120" s="43">
        <f t="shared" ref="BL120" si="1006">+BL118+BL119</f>
        <v>0</v>
      </c>
      <c r="BM120" s="43">
        <f t="shared" ref="BM120" si="1007">+BM118+BM119</f>
        <v>19043.34</v>
      </c>
      <c r="BN120" s="43">
        <f t="shared" ref="BN120" si="1008">+BN118+BN119</f>
        <v>0</v>
      </c>
      <c r="BO120" s="43">
        <f t="shared" ref="BO120" si="1009">+BO118+BO119</f>
        <v>20880.09</v>
      </c>
      <c r="BP120" s="43">
        <f t="shared" ref="BP120" si="1010">+BP118+BP119</f>
        <v>0</v>
      </c>
      <c r="BQ120" s="43">
        <f t="shared" ref="BQ120" si="1011">+BQ118+BQ119</f>
        <v>25104.99</v>
      </c>
      <c r="BR120" s="43">
        <f t="shared" ref="BR120" si="1012">+BR118+BR119</f>
        <v>0</v>
      </c>
      <c r="BS120" s="43">
        <f t="shared" ref="BS120" si="1013">+BS118+BS119</f>
        <v>23530.34</v>
      </c>
      <c r="BT120" s="43">
        <f t="shared" ref="BT120" si="1014">+BT118+BT119</f>
        <v>23070</v>
      </c>
      <c r="BU120" s="43">
        <f t="shared" ref="BU120" si="1015">+BU118+BU119</f>
        <v>24274.45</v>
      </c>
      <c r="BV120" s="43">
        <f t="shared" ref="BV120:BW120" si="1016">+BV118+BV119</f>
        <v>24274.45</v>
      </c>
      <c r="BW120" s="43">
        <f t="shared" si="1016"/>
        <v>24116.39</v>
      </c>
      <c r="BX120" s="43">
        <f t="shared" ref="BX120:BY120" si="1017">+BX118+BX119</f>
        <v>24819</v>
      </c>
      <c r="BY120" s="43">
        <f t="shared" si="1017"/>
        <v>27922.73</v>
      </c>
      <c r="BZ120" s="44">
        <f t="shared" ref="BZ120" si="1018">+BZ118+BZ119</f>
        <v>27018.746329648893</v>
      </c>
      <c r="CA120" s="44">
        <f t="shared" ref="CA120" si="1019">+CA118+CA119</f>
        <v>27291.865940146563</v>
      </c>
      <c r="CB120" s="44">
        <f t="shared" ref="CB120" si="1020">+CB118+CB119</f>
        <v>27855.924967781637</v>
      </c>
      <c r="CC120" s="44">
        <f t="shared" ref="CC120" si="1021">+CC118+CC119</f>
        <v>31469.417151908106</v>
      </c>
      <c r="CD120" s="44">
        <f t="shared" ref="CD120" si="1022">+CD118+CD119</f>
        <v>30387.725002501233</v>
      </c>
      <c r="CE120" s="44">
        <f t="shared" ref="CE120" si="1023">+CE118+CE119</f>
        <v>30726.66103012078</v>
      </c>
      <c r="CF120" s="44">
        <f t="shared" ref="CF120" si="1024">+CF118+CF119</f>
        <v>31345.50051470258</v>
      </c>
      <c r="CG120" s="44">
        <f t="shared" ref="CG120" si="1025">+CG118+CG119</f>
        <v>35420.818809799683</v>
      </c>
      <c r="CH120" s="44">
        <f t="shared" ref="CH120" si="1026">+CH118+CH119</f>
        <v>34198.885420664657</v>
      </c>
      <c r="CI120" s="44">
        <f t="shared" ref="CI120" si="1027">+CI118+CI119</f>
        <v>34582.564938118849</v>
      </c>
      <c r="CJ120" s="44">
        <f t="shared" ref="CJ120" si="1028">+CJ118+CJ119</f>
        <v>35277.922944390069</v>
      </c>
      <c r="CK120" s="44">
        <f t="shared" ref="CK120" si="1029">+CK118+CK119</f>
        <v>39865.150822012467</v>
      </c>
      <c r="CL120" s="44">
        <f t="shared" ref="CL120" si="1030">+CL118+CL119</f>
        <v>38489.587695607886</v>
      </c>
      <c r="CM120" s="44">
        <f t="shared" ref="CM120" si="1031">+CM118+CM119</f>
        <v>38921.562090030005</v>
      </c>
      <c r="CN120" s="44">
        <f t="shared" ref="CN120" si="1032">+CN118+CN119</f>
        <v>39704.084926441341</v>
      </c>
      <c r="CO120" s="44">
        <f t="shared" ref="CO120" si="1033">+CO118+CO119</f>
        <v>44866.896915538549</v>
      </c>
      <c r="CT120" s="43">
        <v>27922.73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38" customFormat="1" x14ac:dyDescent="0.2">
      <c r="A122" s="38" t="s">
        <v>238</v>
      </c>
      <c r="B122" s="38">
        <f>+'Annual Raw'!C106</f>
        <v>0</v>
      </c>
      <c r="C122" s="38">
        <f>+'Annual Raw'!D106</f>
        <v>0</v>
      </c>
      <c r="D122" s="38">
        <f>+'Annual Raw'!E106</f>
        <v>0</v>
      </c>
      <c r="E122" s="38">
        <f>+'Annual Raw'!F106</f>
        <v>0</v>
      </c>
      <c r="F122" s="38">
        <f>+'Annual Raw'!G106</f>
        <v>0</v>
      </c>
      <c r="G122" s="38">
        <f>+'Annual Raw'!H106</f>
        <v>0</v>
      </c>
      <c r="H122" s="38">
        <f>+'Annual Raw'!I106</f>
        <v>0</v>
      </c>
      <c r="I122" s="38">
        <f>+'Annual Raw'!J106</f>
        <v>0</v>
      </c>
      <c r="J122" s="38">
        <f>+'Annual Raw'!K106</f>
        <v>1.8517963</v>
      </c>
      <c r="K122" s="38">
        <f>+'Annual Raw'!L106</f>
        <v>11.318066399999999</v>
      </c>
      <c r="L122" s="38">
        <f>+'Annual Raw'!M106</f>
        <v>13.0947143</v>
      </c>
      <c r="M122" s="38">
        <f>+'Annual Raw'!N106</f>
        <v>13.1295865</v>
      </c>
      <c r="N122" s="38">
        <f>+'Annual Raw'!O106</f>
        <v>13.188662900000001</v>
      </c>
      <c r="O122" s="38">
        <f>+'Annual Raw'!P106</f>
        <v>13.378635299999999</v>
      </c>
      <c r="P122" s="38">
        <f>+'Annual Raw'!Q106</f>
        <v>16.205704300000001</v>
      </c>
      <c r="Q122" s="38">
        <f>+'Annual Raw'!R106</f>
        <v>26.0699507</v>
      </c>
      <c r="R122" s="38">
        <f>+'Annual Raw'!S106</f>
        <v>23.369158500000001</v>
      </c>
      <c r="S122" s="38">
        <f>+'Annual Raw'!T106</f>
        <v>32.340000000000003</v>
      </c>
      <c r="T122" s="38">
        <f>+'Annual Raw'!U106</f>
        <v>47.97</v>
      </c>
      <c r="U122" s="38">
        <f>+'Annual Raw'!V106</f>
        <v>128.97999999999999</v>
      </c>
      <c r="V122" s="38">
        <f>+'Annual Raw'!W106</f>
        <v>165.57</v>
      </c>
      <c r="W122" s="38">
        <f>+'Annual Raw'!X106</f>
        <v>759.55</v>
      </c>
      <c r="X122" s="38">
        <f>+'Annual Raw'!Y106</f>
        <v>777.52</v>
      </c>
      <c r="Y122" s="38">
        <f>+'Annual Raw'!Z106</f>
        <v>826.12</v>
      </c>
      <c r="Z122" s="38">
        <f>+'Annual Raw'!AA106</f>
        <v>867.81</v>
      </c>
      <c r="AA122" s="38">
        <f>+'Annual Raw'!AB106</f>
        <v>901.99</v>
      </c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T122" s="38">
        <v>901.99</v>
      </c>
    </row>
    <row r="123" spans="1:98" s="38" customFormat="1" x14ac:dyDescent="0.2">
      <c r="A123" s="38" t="s">
        <v>100</v>
      </c>
      <c r="B123" s="38">
        <f>+'Annual Raw'!C107</f>
        <v>0</v>
      </c>
      <c r="C123" s="38">
        <f>+'Annual Raw'!D107</f>
        <v>0</v>
      </c>
      <c r="D123" s="38">
        <f>+'Annual Raw'!E107</f>
        <v>0</v>
      </c>
      <c r="E123" s="38">
        <f>+'Annual Raw'!F107</f>
        <v>0</v>
      </c>
      <c r="F123" s="38">
        <f>+'Annual Raw'!G107</f>
        <v>0</v>
      </c>
      <c r="G123" s="38">
        <f>+'Annual Raw'!H107</f>
        <v>0</v>
      </c>
      <c r="H123" s="38">
        <f>+'Annual Raw'!I107</f>
        <v>0</v>
      </c>
      <c r="I123" s="38">
        <f>+'Annual Raw'!J107</f>
        <v>0</v>
      </c>
      <c r="J123" s="38">
        <f>+'Annual Raw'!K107</f>
        <v>0.32894479999999998</v>
      </c>
      <c r="K123" s="38">
        <f>+'Annual Raw'!L107</f>
        <v>5.9454756</v>
      </c>
      <c r="L123" s="38">
        <f>+'Annual Raw'!M107</f>
        <v>8.6324895000000001</v>
      </c>
      <c r="M123" s="38">
        <f>+'Annual Raw'!N107</f>
        <v>9.9424899999999994</v>
      </c>
      <c r="N123" s="38">
        <f>+'Annual Raw'!O107</f>
        <v>10.4161944</v>
      </c>
      <c r="O123" s="38">
        <f>+'Annual Raw'!P107</f>
        <v>10.750478899999999</v>
      </c>
      <c r="P123" s="38">
        <f>+'Annual Raw'!Q107</f>
        <v>12.4878929</v>
      </c>
      <c r="Q123" s="38">
        <f>+'Annual Raw'!R107</f>
        <v>14.733696699999999</v>
      </c>
      <c r="R123" s="38">
        <f>+'Annual Raw'!S107</f>
        <v>11.1069747</v>
      </c>
      <c r="S123" s="38">
        <f>+'Annual Raw'!T107</f>
        <v>16.18</v>
      </c>
      <c r="T123" s="38">
        <f>+'Annual Raw'!U107</f>
        <v>23.22</v>
      </c>
      <c r="U123" s="38">
        <f>+'Annual Raw'!V107</f>
        <v>42.36</v>
      </c>
      <c r="V123" s="38">
        <f>+'Annual Raw'!W107</f>
        <v>64.81</v>
      </c>
      <c r="W123" s="38">
        <f>+'Annual Raw'!X107</f>
        <v>130.68</v>
      </c>
      <c r="X123" s="38">
        <f>+'Annual Raw'!Y107</f>
        <v>178.51</v>
      </c>
      <c r="Y123" s="38">
        <f>+'Annual Raw'!Z107</f>
        <v>217.06</v>
      </c>
      <c r="Z123" s="38">
        <f>+'Annual Raw'!AA107</f>
        <v>264.23</v>
      </c>
      <c r="AA123" s="38">
        <f>+'Annual Raw'!AB107</f>
        <v>314.47000000000003</v>
      </c>
      <c r="AB123" s="39"/>
      <c r="AC123" s="39"/>
      <c r="AD123" s="39"/>
      <c r="AE123" s="39"/>
      <c r="AG123" s="60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T123" s="38">
        <v>314.47000000000003</v>
      </c>
    </row>
    <row r="124" spans="1:98" s="38" customFormat="1" x14ac:dyDescent="0.2">
      <c r="A124" s="38" t="s">
        <v>101</v>
      </c>
      <c r="B124" s="38">
        <f>+'Annual Raw'!C108</f>
        <v>0</v>
      </c>
      <c r="C124" s="38">
        <f>+'Annual Raw'!D108</f>
        <v>0</v>
      </c>
      <c r="D124" s="38">
        <f>+'Annual Raw'!E108</f>
        <v>0</v>
      </c>
      <c r="E124" s="38">
        <f>+'Annual Raw'!F108</f>
        <v>0</v>
      </c>
      <c r="F124" s="38">
        <f>+'Annual Raw'!G108</f>
        <v>0</v>
      </c>
      <c r="G124" s="38">
        <f>+'Annual Raw'!H108</f>
        <v>0</v>
      </c>
      <c r="H124" s="38">
        <f>+'Annual Raw'!I108</f>
        <v>0</v>
      </c>
      <c r="I124" s="38">
        <f>+'Annual Raw'!J108</f>
        <v>0</v>
      </c>
      <c r="J124" s="38">
        <f>+'Annual Raw'!K108</f>
        <v>0</v>
      </c>
      <c r="K124" s="38">
        <f>+'Annual Raw'!L108</f>
        <v>0</v>
      </c>
      <c r="L124" s="38">
        <f>+'Annual Raw'!M108</f>
        <v>0</v>
      </c>
      <c r="M124" s="38">
        <f>+'Annual Raw'!N108</f>
        <v>0</v>
      </c>
      <c r="N124" s="38">
        <f>+'Annual Raw'!O108</f>
        <v>0</v>
      </c>
      <c r="O124" s="38">
        <f>+'Annual Raw'!P108</f>
        <v>0</v>
      </c>
      <c r="P124" s="38">
        <f>+'Annual Raw'!Q108</f>
        <v>0</v>
      </c>
      <c r="Q124" s="38">
        <f>+'Annual Raw'!R108</f>
        <v>0</v>
      </c>
      <c r="R124" s="38">
        <f>+'Annual Raw'!S108</f>
        <v>0</v>
      </c>
      <c r="S124" s="38">
        <f>+'Annual Raw'!T108</f>
        <v>0</v>
      </c>
      <c r="T124" s="38">
        <f>+'Annual Raw'!U108</f>
        <v>0</v>
      </c>
      <c r="U124" s="38">
        <f>+'Annual Raw'!V108</f>
        <v>0</v>
      </c>
      <c r="V124" s="38">
        <f>+'Annual Raw'!W108</f>
        <v>0</v>
      </c>
      <c r="W124" s="38">
        <f>+'Annual Raw'!X108</f>
        <v>0</v>
      </c>
      <c r="X124" s="38">
        <f>+'Annual Raw'!Y108</f>
        <v>0</v>
      </c>
      <c r="Y124" s="38">
        <f>+'Annual Raw'!Z108</f>
        <v>0</v>
      </c>
      <c r="Z124" s="38">
        <f>+'Annual Raw'!AA108</f>
        <v>0</v>
      </c>
      <c r="AA124" s="38">
        <f>+'Annual Raw'!AB108</f>
        <v>0</v>
      </c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T124" s="38">
        <v>0</v>
      </c>
    </row>
    <row r="125" spans="1:98" s="43" customFormat="1" x14ac:dyDescent="0.2">
      <c r="A125" s="43" t="s">
        <v>20</v>
      </c>
      <c r="B125" s="43">
        <f>+B122-B123-B124</f>
        <v>0</v>
      </c>
      <c r="C125" s="43">
        <f t="shared" ref="C125:Z125" si="1034">+C122-C123-C124</f>
        <v>0</v>
      </c>
      <c r="D125" s="43">
        <f t="shared" si="1034"/>
        <v>0</v>
      </c>
      <c r="E125" s="43">
        <f t="shared" si="1034"/>
        <v>0</v>
      </c>
      <c r="F125" s="43">
        <f t="shared" si="1034"/>
        <v>0</v>
      </c>
      <c r="G125" s="43">
        <f t="shared" si="1034"/>
        <v>0</v>
      </c>
      <c r="H125" s="43">
        <f t="shared" si="1034"/>
        <v>0</v>
      </c>
      <c r="I125" s="43">
        <f t="shared" si="1034"/>
        <v>0</v>
      </c>
      <c r="J125" s="43">
        <f t="shared" si="1034"/>
        <v>1.5228515</v>
      </c>
      <c r="K125" s="43">
        <f t="shared" si="1034"/>
        <v>5.3725907999999993</v>
      </c>
      <c r="L125" s="43">
        <f t="shared" si="1034"/>
        <v>4.4622247999999995</v>
      </c>
      <c r="M125" s="43">
        <f t="shared" si="1034"/>
        <v>3.1870965000000009</v>
      </c>
      <c r="N125" s="43">
        <f t="shared" si="1034"/>
        <v>2.7724685000000004</v>
      </c>
      <c r="O125" s="43">
        <f t="shared" si="1034"/>
        <v>2.6281563999999999</v>
      </c>
      <c r="P125" s="43">
        <f t="shared" si="1034"/>
        <v>3.7178114000000004</v>
      </c>
      <c r="Q125" s="43">
        <f t="shared" si="1034"/>
        <v>11.336254</v>
      </c>
      <c r="R125" s="43">
        <f t="shared" si="1034"/>
        <v>12.262183800000001</v>
      </c>
      <c r="S125" s="43">
        <f t="shared" si="1034"/>
        <v>16.160000000000004</v>
      </c>
      <c r="T125" s="43">
        <f t="shared" si="1034"/>
        <v>24.75</v>
      </c>
      <c r="U125" s="43">
        <f t="shared" si="1034"/>
        <v>86.61999999999999</v>
      </c>
      <c r="V125" s="43">
        <f t="shared" si="1034"/>
        <v>100.75999999999999</v>
      </c>
      <c r="W125" s="43">
        <f t="shared" si="1034"/>
        <v>628.86999999999989</v>
      </c>
      <c r="X125" s="43">
        <f t="shared" si="1034"/>
        <v>599.01</v>
      </c>
      <c r="Y125" s="43">
        <f t="shared" si="1034"/>
        <v>609.05999999999995</v>
      </c>
      <c r="Z125" s="43">
        <f t="shared" si="1034"/>
        <v>603.57999999999993</v>
      </c>
      <c r="AA125" s="43">
        <f t="shared" ref="AA125" si="1035">+AA122-AA123-AA124</f>
        <v>587.52</v>
      </c>
      <c r="AB125" s="44">
        <f>+CC125</f>
        <v>124.45</v>
      </c>
      <c r="AC125" s="44">
        <f>+CG125</f>
        <v>124.45</v>
      </c>
      <c r="AD125" s="44">
        <f>+CK125</f>
        <v>124.45</v>
      </c>
      <c r="AE125" s="44">
        <f>+CO125</f>
        <v>124.45</v>
      </c>
      <c r="AG125" s="62"/>
      <c r="AH125" s="43">
        <f>+'QTR Raw'!D69</f>
        <v>0</v>
      </c>
      <c r="AI125" s="43">
        <f>+'QTR Raw'!E69</f>
        <v>0</v>
      </c>
      <c r="AJ125" s="43">
        <f>+'QTR Raw'!F69</f>
        <v>0</v>
      </c>
      <c r="AK125" s="43">
        <f>+'QTR Raw'!G69</f>
        <v>0</v>
      </c>
      <c r="AL125" s="43">
        <f>+'QTR Raw'!H69</f>
        <v>0</v>
      </c>
      <c r="AM125" s="43">
        <f>+'QTR Raw'!I69</f>
        <v>0</v>
      </c>
      <c r="AN125" s="43">
        <f>+'QTR Raw'!J69</f>
        <v>0</v>
      </c>
      <c r="AO125" s="43">
        <f>+'QTR Raw'!K69</f>
        <v>0</v>
      </c>
      <c r="AP125" s="43">
        <f>+'QTR Raw'!L69</f>
        <v>0</v>
      </c>
      <c r="AQ125" s="43">
        <f>+'QTR Raw'!M69</f>
        <v>0</v>
      </c>
      <c r="AR125" s="43">
        <f>+'QTR Raw'!N69</f>
        <v>0</v>
      </c>
      <c r="AS125" s="43">
        <f>+'QTR Raw'!O69</f>
        <v>17.22</v>
      </c>
      <c r="AT125" s="43">
        <f>+'QTR Raw'!P69</f>
        <v>0</v>
      </c>
      <c r="AU125" s="43">
        <f>+'QTR Raw'!Q69</f>
        <v>22.74</v>
      </c>
      <c r="AV125" s="43">
        <f>+'QTR Raw'!R69</f>
        <v>0</v>
      </c>
      <c r="AW125" s="43">
        <f>+'QTR Raw'!S69</f>
        <v>27.11</v>
      </c>
      <c r="AX125" s="43">
        <f>+'QTR Raw'!T69</f>
        <v>0</v>
      </c>
      <c r="AY125" s="43">
        <f>+'QTR Raw'!U69</f>
        <v>35.15</v>
      </c>
      <c r="AZ125" s="43">
        <f>+'QTR Raw'!V69</f>
        <v>0</v>
      </c>
      <c r="BA125" s="43">
        <f>+'QTR Raw'!W69</f>
        <v>207.16</v>
      </c>
      <c r="BB125" s="43">
        <f>+'QTR Raw'!X69</f>
        <v>0</v>
      </c>
      <c r="BC125" s="43">
        <f>+'QTR Raw'!Y69</f>
        <v>195.09</v>
      </c>
      <c r="BD125" s="43">
        <f>+'QTR Raw'!Z69</f>
        <v>0</v>
      </c>
      <c r="BE125" s="43">
        <f>+'QTR Raw'!AA69</f>
        <v>188.31</v>
      </c>
      <c r="BF125" s="43">
        <f>+'QTR Raw'!AB69</f>
        <v>0</v>
      </c>
      <c r="BG125" s="43">
        <f>+'QTR Raw'!AC69</f>
        <v>184.02</v>
      </c>
      <c r="BH125" s="43">
        <f>+'QTR Raw'!AD69</f>
        <v>0</v>
      </c>
      <c r="BI125" s="43">
        <f>+'QTR Raw'!AE69</f>
        <v>181.52</v>
      </c>
      <c r="BJ125" s="43">
        <f>+'QTR Raw'!AF69</f>
        <v>0</v>
      </c>
      <c r="BK125" s="43">
        <f>+'QTR Raw'!AG69</f>
        <v>170.45</v>
      </c>
      <c r="BL125" s="43">
        <f>+'QTR Raw'!AH69</f>
        <v>0</v>
      </c>
      <c r="BM125" s="43">
        <f>+'QTR Raw'!AI69</f>
        <v>162.54</v>
      </c>
      <c r="BN125" s="43">
        <f>+'QTR Raw'!AJ69</f>
        <v>0</v>
      </c>
      <c r="BO125" s="43">
        <f>+'QTR Raw'!AK69</f>
        <v>151.13999999999999</v>
      </c>
      <c r="BP125" s="43">
        <f>+'QTR Raw'!AL69</f>
        <v>0</v>
      </c>
      <c r="BQ125" s="43">
        <f>+'QTR Raw'!AM69</f>
        <v>148.66999999999999</v>
      </c>
      <c r="BR125" s="43">
        <f>+'QTR Raw'!AN69</f>
        <v>0</v>
      </c>
      <c r="BS125" s="43">
        <f>+'QTR Raw'!AO69</f>
        <v>154.83000000000001</v>
      </c>
      <c r="BT125" s="43">
        <f>+'QTR Raw'!AP69</f>
        <v>0</v>
      </c>
      <c r="BU125" s="43">
        <f>+'QTR Raw'!AQ69</f>
        <v>144.28</v>
      </c>
      <c r="BV125" s="43">
        <f>+'QTR Raw'!AR69</f>
        <v>0</v>
      </c>
      <c r="BW125" s="43">
        <f>+'QTR Raw'!AS69</f>
        <v>134.22</v>
      </c>
      <c r="BX125" s="43">
        <f t="shared" ref="BX125:CO125" si="1036">+BW125</f>
        <v>134.22</v>
      </c>
      <c r="BY125" s="43">
        <f>+'QTR Raw'!AU69</f>
        <v>124.45</v>
      </c>
      <c r="BZ125" s="44">
        <f t="shared" si="1036"/>
        <v>124.45</v>
      </c>
      <c r="CA125" s="44">
        <f t="shared" si="1036"/>
        <v>124.45</v>
      </c>
      <c r="CB125" s="44">
        <f t="shared" si="1036"/>
        <v>124.45</v>
      </c>
      <c r="CC125" s="44">
        <f t="shared" si="1036"/>
        <v>124.45</v>
      </c>
      <c r="CD125" s="44">
        <f t="shared" si="1036"/>
        <v>124.45</v>
      </c>
      <c r="CE125" s="44">
        <f t="shared" si="1036"/>
        <v>124.45</v>
      </c>
      <c r="CF125" s="44">
        <f t="shared" si="1036"/>
        <v>124.45</v>
      </c>
      <c r="CG125" s="44">
        <f t="shared" si="1036"/>
        <v>124.45</v>
      </c>
      <c r="CH125" s="44">
        <f t="shared" si="1036"/>
        <v>124.45</v>
      </c>
      <c r="CI125" s="44">
        <f t="shared" si="1036"/>
        <v>124.45</v>
      </c>
      <c r="CJ125" s="44">
        <f t="shared" si="1036"/>
        <v>124.45</v>
      </c>
      <c r="CK125" s="44">
        <f t="shared" si="1036"/>
        <v>124.45</v>
      </c>
      <c r="CL125" s="44">
        <f t="shared" si="1036"/>
        <v>124.45</v>
      </c>
      <c r="CM125" s="44">
        <f t="shared" si="1036"/>
        <v>124.45</v>
      </c>
      <c r="CN125" s="44">
        <f t="shared" si="1036"/>
        <v>124.45</v>
      </c>
      <c r="CO125" s="44">
        <f t="shared" si="1036"/>
        <v>124.45</v>
      </c>
      <c r="CT125" s="43">
        <v>124.45</v>
      </c>
    </row>
    <row r="126" spans="1:98" s="38" customFormat="1" x14ac:dyDescent="0.2">
      <c r="A126" s="38" t="s">
        <v>239</v>
      </c>
      <c r="AB126" s="39"/>
      <c r="AC126" s="39"/>
      <c r="AD126" s="39"/>
      <c r="AE126" s="39"/>
      <c r="AG126" s="60"/>
      <c r="AH126" s="38">
        <f>+'QTR Raw'!D70</f>
        <v>0</v>
      </c>
      <c r="AI126" s="38">
        <f>+'QTR Raw'!E70</f>
        <v>0</v>
      </c>
      <c r="AJ126" s="38">
        <f>+'QTR Raw'!F70</f>
        <v>0</v>
      </c>
      <c r="AK126" s="38">
        <f>+'QTR Raw'!G70</f>
        <v>0</v>
      </c>
      <c r="AL126" s="38">
        <f>+'QTR Raw'!H70</f>
        <v>0</v>
      </c>
      <c r="AM126" s="38">
        <f>+'QTR Raw'!I70</f>
        <v>0</v>
      </c>
      <c r="AN126" s="38">
        <f>+'QTR Raw'!J70</f>
        <v>0</v>
      </c>
      <c r="AO126" s="38">
        <f>+'QTR Raw'!K70</f>
        <v>0</v>
      </c>
      <c r="AP126" s="38">
        <f>+'QTR Raw'!L70</f>
        <v>0</v>
      </c>
      <c r="AQ126" s="38">
        <f>+'QTR Raw'!M70</f>
        <v>0</v>
      </c>
      <c r="AR126" s="38">
        <f>+'QTR Raw'!N70</f>
        <v>0</v>
      </c>
      <c r="AS126" s="38">
        <f>+'QTR Raw'!O70</f>
        <v>0</v>
      </c>
      <c r="AT126" s="38">
        <f>+'QTR Raw'!P70</f>
        <v>0</v>
      </c>
      <c r="AU126" s="38">
        <f>+'QTR Raw'!Q70</f>
        <v>0</v>
      </c>
      <c r="AV126" s="38">
        <f>+'QTR Raw'!R70</f>
        <v>0</v>
      </c>
      <c r="AW126" s="38">
        <f>+'QTR Raw'!S70</f>
        <v>0</v>
      </c>
      <c r="AX126" s="38">
        <f>+'QTR Raw'!T70</f>
        <v>0</v>
      </c>
      <c r="AY126" s="38">
        <f>+'QTR Raw'!U70</f>
        <v>0</v>
      </c>
      <c r="AZ126" s="38">
        <f>+'QTR Raw'!V70</f>
        <v>0</v>
      </c>
      <c r="BA126" s="38">
        <f>+'QTR Raw'!W70</f>
        <v>317.58</v>
      </c>
      <c r="BB126" s="38">
        <f>+'QTR Raw'!X70</f>
        <v>0</v>
      </c>
      <c r="BC126" s="38">
        <f>+'QTR Raw'!Y70</f>
        <v>317.58</v>
      </c>
      <c r="BD126" s="38">
        <f>+'QTR Raw'!Z70</f>
        <v>0</v>
      </c>
      <c r="BE126" s="38">
        <f>+'QTR Raw'!AA70</f>
        <v>317.58</v>
      </c>
      <c r="BF126" s="38">
        <f>+'QTR Raw'!AB70</f>
        <v>0</v>
      </c>
      <c r="BG126" s="38">
        <f>+'QTR Raw'!AC70</f>
        <v>317.58</v>
      </c>
      <c r="BH126" s="38">
        <f>+'QTR Raw'!AD70</f>
        <v>0</v>
      </c>
      <c r="BI126" s="38">
        <f>+'QTR Raw'!AE70</f>
        <v>375.68</v>
      </c>
      <c r="BJ126" s="38">
        <f>+'QTR Raw'!AF70</f>
        <v>0</v>
      </c>
      <c r="BK126" s="38">
        <f>+'QTR Raw'!AG70</f>
        <v>375.68</v>
      </c>
      <c r="BL126" s="38">
        <f>+'QTR Raw'!AH70</f>
        <v>0</v>
      </c>
      <c r="BM126" s="38">
        <f>+'QTR Raw'!AI70</f>
        <v>375.68</v>
      </c>
      <c r="BN126" s="38">
        <f>+'QTR Raw'!AJ70</f>
        <v>0</v>
      </c>
      <c r="BO126" s="38">
        <f>+'QTR Raw'!AK70</f>
        <v>375.68</v>
      </c>
      <c r="BP126" s="38">
        <f>+'QTR Raw'!AL70</f>
        <v>0</v>
      </c>
      <c r="BQ126" s="38">
        <f>+'QTR Raw'!AM70</f>
        <v>375.68</v>
      </c>
      <c r="BR126" s="38">
        <f>+'QTR Raw'!AN70</f>
        <v>0</v>
      </c>
      <c r="BS126" s="38">
        <f>+'QTR Raw'!AO70</f>
        <v>375.68</v>
      </c>
      <c r="BT126" s="38">
        <f>+'QTR Raw'!AP70</f>
        <v>0</v>
      </c>
      <c r="BU126" s="38">
        <f>+'QTR Raw'!AQ70</f>
        <v>375.68</v>
      </c>
      <c r="BV126" s="38">
        <f>+'QTR Raw'!AR70</f>
        <v>0</v>
      </c>
      <c r="BW126" s="38">
        <f>+'QTR Raw'!AS70</f>
        <v>375.68</v>
      </c>
      <c r="BX126" s="38">
        <v>375.7</v>
      </c>
      <c r="BY126" s="38">
        <f>+'QTR Raw'!AU70</f>
        <v>375.68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240</v>
      </c>
      <c r="B127" s="38">
        <f>+'Annual Raw'!C112</f>
        <v>0</v>
      </c>
      <c r="C127" s="38">
        <f>+'Annual Raw'!D112</f>
        <v>0</v>
      </c>
      <c r="D127" s="38">
        <f>+'Annual Raw'!E112</f>
        <v>0</v>
      </c>
      <c r="E127" s="38">
        <f>+'Annual Raw'!F112</f>
        <v>0</v>
      </c>
      <c r="F127" s="38">
        <f>+'Annual Raw'!G112</f>
        <v>0</v>
      </c>
      <c r="G127" s="38">
        <f>+'Annual Raw'!H112</f>
        <v>0</v>
      </c>
      <c r="H127" s="38">
        <f>+'Annual Raw'!I112</f>
        <v>0</v>
      </c>
      <c r="I127" s="38">
        <f>+'Annual Raw'!J112</f>
        <v>0</v>
      </c>
      <c r="J127" s="38">
        <f>+'Annual Raw'!K112</f>
        <v>0</v>
      </c>
      <c r="K127" s="38">
        <f>+'Annual Raw'!L112</f>
        <v>0</v>
      </c>
      <c r="L127" s="38">
        <f>+'Annual Raw'!M112</f>
        <v>3.78E-2</v>
      </c>
      <c r="M127" s="38">
        <f>+'Annual Raw'!N112</f>
        <v>8.6225599999999999E-2</v>
      </c>
      <c r="N127" s="38">
        <f>+'Annual Raw'!O112</f>
        <v>0.10827000000000001</v>
      </c>
      <c r="O127" s="38">
        <f>+'Annual Raw'!P112</f>
        <v>0.23108000000000001</v>
      </c>
      <c r="P127" s="38">
        <f>+'Annual Raw'!Q112</f>
        <v>2.4943743</v>
      </c>
      <c r="Q127" s="38">
        <f>+'Annual Raw'!R112</f>
        <v>0</v>
      </c>
      <c r="R127" s="38">
        <f>+'Annual Raw'!S112</f>
        <v>2.3273931999999999</v>
      </c>
      <c r="S127" s="38">
        <f>+'Annual Raw'!T112</f>
        <v>1.06</v>
      </c>
      <c r="T127" s="38">
        <f>+'Annual Raw'!U112</f>
        <v>2.36</v>
      </c>
      <c r="U127" s="38">
        <f>+'Annual Raw'!V112</f>
        <v>2.84</v>
      </c>
      <c r="V127" s="38">
        <f>+'Annual Raw'!W112</f>
        <v>0.62</v>
      </c>
      <c r="W127" s="38">
        <f>+'Annual Raw'!X112</f>
        <v>3.07</v>
      </c>
      <c r="X127" s="38">
        <f>+'Annual Raw'!Y112</f>
        <v>3.94</v>
      </c>
      <c r="Y127" s="38">
        <f>+'Annual Raw'!Z112</f>
        <v>4.54</v>
      </c>
      <c r="Z127" s="38">
        <f>+'Annual Raw'!AA112</f>
        <v>3.5</v>
      </c>
      <c r="AA127" s="38">
        <f>+'Annual Raw'!AB112</f>
        <v>0.11</v>
      </c>
      <c r="AB127" s="39"/>
      <c r="AC127" s="39"/>
      <c r="AD127" s="39"/>
      <c r="AE127" s="39"/>
      <c r="AG127" s="60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0.11</v>
      </c>
    </row>
    <row r="128" spans="1:98" s="38" customFormat="1" x14ac:dyDescent="0.2">
      <c r="A128" s="38" t="s">
        <v>102</v>
      </c>
      <c r="B128" s="38">
        <f>+'Annual Raw'!C111</f>
        <v>0</v>
      </c>
      <c r="C128" s="38">
        <f>+'Annual Raw'!D111</f>
        <v>0</v>
      </c>
      <c r="D128" s="38">
        <f>+'Annual Raw'!E111</f>
        <v>0</v>
      </c>
      <c r="E128" s="38">
        <f>+'Annual Raw'!F111</f>
        <v>0</v>
      </c>
      <c r="F128" s="38">
        <f>+'Annual Raw'!G111</f>
        <v>0</v>
      </c>
      <c r="G128" s="38">
        <f>+'Annual Raw'!H111</f>
        <v>0</v>
      </c>
      <c r="H128" s="38">
        <f>+'Annual Raw'!I111</f>
        <v>0</v>
      </c>
      <c r="I128" s="38">
        <f>+'Annual Raw'!J111</f>
        <v>0</v>
      </c>
      <c r="J128" s="38">
        <f>+'Annual Raw'!K111</f>
        <v>0</v>
      </c>
      <c r="K128" s="38">
        <f>+'Annual Raw'!L111</f>
        <v>0</v>
      </c>
      <c r="L128" s="38">
        <f>+'Annual Raw'!M111</f>
        <v>0</v>
      </c>
      <c r="M128" s="38">
        <f>+'Annual Raw'!N111</f>
        <v>0</v>
      </c>
      <c r="N128" s="38">
        <f>+'Annual Raw'!O111</f>
        <v>0</v>
      </c>
      <c r="O128" s="38">
        <f>+'Annual Raw'!P111</f>
        <v>0</v>
      </c>
      <c r="P128" s="38">
        <f>+'Annual Raw'!Q111</f>
        <v>0</v>
      </c>
      <c r="Q128" s="38">
        <f>+'Annual Raw'!R111</f>
        <v>0</v>
      </c>
      <c r="R128" s="38">
        <f>+'Annual Raw'!S111</f>
        <v>0.70362199999999997</v>
      </c>
      <c r="S128" s="38">
        <f>+'Annual Raw'!T111</f>
        <v>0</v>
      </c>
      <c r="T128" s="38">
        <f>+'Annual Raw'!U111</f>
        <v>0</v>
      </c>
      <c r="U128" s="38">
        <f>+'Annual Raw'!V111</f>
        <v>0</v>
      </c>
      <c r="V128" s="38">
        <f>+'Annual Raw'!W111</f>
        <v>0</v>
      </c>
      <c r="W128" s="38">
        <f>+'Annual Raw'!X111</f>
        <v>0</v>
      </c>
      <c r="X128" s="38">
        <f>+'Annual Raw'!Y111</f>
        <v>0</v>
      </c>
      <c r="Y128" s="38">
        <f>+'Annual Raw'!Z111</f>
        <v>0</v>
      </c>
      <c r="Z128" s="38">
        <f>+'Annual Raw'!AA111</f>
        <v>0</v>
      </c>
      <c r="AA128" s="38">
        <f>+'Annual Raw'!AB111</f>
        <v>0</v>
      </c>
      <c r="AB128" s="39">
        <f>+CC128</f>
        <v>0</v>
      </c>
      <c r="AC128" s="39">
        <f>+CG128</f>
        <v>0</v>
      </c>
      <c r="AD128" s="39">
        <f>+CK128</f>
        <v>0</v>
      </c>
      <c r="AE128" s="39">
        <f>+CO128</f>
        <v>0</v>
      </c>
      <c r="AG128" s="60"/>
      <c r="AH128" s="38">
        <f>+'QTR Raw'!D72+'QTR Raw'!D73</f>
        <v>0</v>
      </c>
      <c r="AI128" s="38">
        <f>+'QTR Raw'!E72+'QTR Raw'!E73</f>
        <v>0</v>
      </c>
      <c r="AJ128" s="38">
        <f>+'QTR Raw'!F72+'QTR Raw'!F73</f>
        <v>0</v>
      </c>
      <c r="AK128" s="38">
        <f>+'QTR Raw'!G72+'QTR Raw'!G73</f>
        <v>0</v>
      </c>
      <c r="AL128" s="38">
        <f>+'QTR Raw'!H72+'QTR Raw'!H73</f>
        <v>0</v>
      </c>
      <c r="AM128" s="38">
        <f>+'QTR Raw'!I72+'QTR Raw'!I73</f>
        <v>0</v>
      </c>
      <c r="AN128" s="38">
        <f>+'QTR Raw'!J72+'QTR Raw'!J73</f>
        <v>0</v>
      </c>
      <c r="AO128" s="38">
        <f>+'QTR Raw'!K72+'QTR Raw'!K73</f>
        <v>0</v>
      </c>
      <c r="AP128" s="38">
        <f>+'QTR Raw'!L72+'QTR Raw'!L73</f>
        <v>0</v>
      </c>
      <c r="AQ128" s="38">
        <f>+'QTR Raw'!M72+'QTR Raw'!M73</f>
        <v>0</v>
      </c>
      <c r="AR128" s="38">
        <f>+'QTR Raw'!N72+'QTR Raw'!N73</f>
        <v>0</v>
      </c>
      <c r="AS128" s="38">
        <f>+'QTR Raw'!O72+'QTR Raw'!O73</f>
        <v>0</v>
      </c>
      <c r="AT128" s="38">
        <f>+'QTR Raw'!P72+'QTR Raw'!P73</f>
        <v>0</v>
      </c>
      <c r="AU128" s="38">
        <f>+'QTR Raw'!Q72+'QTR Raw'!Q73</f>
        <v>0</v>
      </c>
      <c r="AV128" s="38">
        <f>+'QTR Raw'!R72+'QTR Raw'!R73</f>
        <v>0</v>
      </c>
      <c r="AW128" s="38">
        <f>+'QTR Raw'!S72+'QTR Raw'!S73</f>
        <v>0</v>
      </c>
      <c r="AX128" s="38">
        <f>+'QTR Raw'!T72+'QTR Raw'!T73</f>
        <v>0</v>
      </c>
      <c r="AY128" s="38">
        <f>+'QTR Raw'!U72+'QTR Raw'!U73</f>
        <v>0</v>
      </c>
      <c r="AZ128" s="38">
        <f>+'QTR Raw'!V72+'QTR Raw'!V73</f>
        <v>0</v>
      </c>
      <c r="BA128" s="38">
        <f>+'QTR Raw'!W72+'QTR Raw'!W73</f>
        <v>0</v>
      </c>
      <c r="BB128" s="38">
        <f>+'QTR Raw'!X72+'QTR Raw'!X73</f>
        <v>0</v>
      </c>
      <c r="BC128" s="38">
        <f>+'QTR Raw'!Y72+'QTR Raw'!Y73</f>
        <v>0</v>
      </c>
      <c r="BD128" s="38">
        <f>+'QTR Raw'!Z72+'QTR Raw'!Z73</f>
        <v>0</v>
      </c>
      <c r="BE128" s="38">
        <f>+'QTR Raw'!AA72+'QTR Raw'!AA73</f>
        <v>0</v>
      </c>
      <c r="BF128" s="38">
        <f>+'QTR Raw'!AB72+'QTR Raw'!AB73</f>
        <v>0</v>
      </c>
      <c r="BG128" s="38">
        <f>+'QTR Raw'!AC72+'QTR Raw'!AC73</f>
        <v>0</v>
      </c>
      <c r="BH128" s="38">
        <f>+'QTR Raw'!AD72+'QTR Raw'!AD73</f>
        <v>0</v>
      </c>
      <c r="BI128" s="38">
        <f>+'QTR Raw'!AE72+'QTR Raw'!AE73</f>
        <v>0</v>
      </c>
      <c r="BJ128" s="38">
        <f>+'QTR Raw'!AF72+'QTR Raw'!AF73</f>
        <v>0</v>
      </c>
      <c r="BK128" s="38">
        <f>+'QTR Raw'!AG72+'QTR Raw'!AG73</f>
        <v>0</v>
      </c>
      <c r="BL128" s="38">
        <f>+'QTR Raw'!AH72+'QTR Raw'!AH73</f>
        <v>0</v>
      </c>
      <c r="BM128" s="38">
        <f>+'QTR Raw'!AI72+'QTR Raw'!AI73</f>
        <v>0</v>
      </c>
      <c r="BN128" s="38">
        <f>+'QTR Raw'!AJ72+'QTR Raw'!AJ73</f>
        <v>0</v>
      </c>
      <c r="BO128" s="38">
        <f>+'QTR Raw'!AK72+'QTR Raw'!AK73</f>
        <v>0</v>
      </c>
      <c r="BP128" s="38">
        <f>+'QTR Raw'!AL72+'QTR Raw'!AL73</f>
        <v>0</v>
      </c>
      <c r="BQ128" s="38">
        <f>+'QTR Raw'!AM72+'QTR Raw'!AM73</f>
        <v>0</v>
      </c>
      <c r="BR128" s="38">
        <f>+'QTR Raw'!AN72+'QTR Raw'!AN73</f>
        <v>0</v>
      </c>
      <c r="BS128" s="38">
        <f>+'QTR Raw'!AO72+'QTR Raw'!AO73</f>
        <v>0</v>
      </c>
      <c r="BT128" s="38">
        <f>+'QTR Raw'!AP72+'QTR Raw'!AP73</f>
        <v>0</v>
      </c>
      <c r="BU128" s="38">
        <f>+'QTR Raw'!AQ72+'QTR Raw'!AQ73</f>
        <v>0</v>
      </c>
      <c r="BV128" s="38">
        <f>+'QTR Raw'!AR72+'QTR Raw'!AR73</f>
        <v>0</v>
      </c>
      <c r="BW128" s="38">
        <f>+'QTR Raw'!AS72+'QTR Raw'!AS73</f>
        <v>0</v>
      </c>
      <c r="BX128" s="38">
        <f t="shared" ref="BX128:CO128" si="1037">+BW128</f>
        <v>0</v>
      </c>
      <c r="BY128" s="38">
        <f>+'QTR Raw'!AU72+'QTR Raw'!AU73</f>
        <v>0</v>
      </c>
      <c r="BZ128" s="39">
        <f t="shared" si="1037"/>
        <v>0</v>
      </c>
      <c r="CA128" s="39">
        <f t="shared" si="1037"/>
        <v>0</v>
      </c>
      <c r="CB128" s="39">
        <f t="shared" si="1037"/>
        <v>0</v>
      </c>
      <c r="CC128" s="39">
        <f t="shared" si="1037"/>
        <v>0</v>
      </c>
      <c r="CD128" s="39">
        <f t="shared" si="1037"/>
        <v>0</v>
      </c>
      <c r="CE128" s="39">
        <f t="shared" si="1037"/>
        <v>0</v>
      </c>
      <c r="CF128" s="39">
        <f t="shared" si="1037"/>
        <v>0</v>
      </c>
      <c r="CG128" s="39">
        <f t="shared" si="1037"/>
        <v>0</v>
      </c>
      <c r="CH128" s="39">
        <f t="shared" si="1037"/>
        <v>0</v>
      </c>
      <c r="CI128" s="39">
        <f t="shared" si="1037"/>
        <v>0</v>
      </c>
      <c r="CJ128" s="39">
        <f t="shared" si="1037"/>
        <v>0</v>
      </c>
      <c r="CK128" s="39">
        <f t="shared" si="1037"/>
        <v>0</v>
      </c>
      <c r="CL128" s="39">
        <f t="shared" si="1037"/>
        <v>0</v>
      </c>
      <c r="CM128" s="39">
        <f t="shared" si="1037"/>
        <v>0</v>
      </c>
      <c r="CN128" s="39">
        <f t="shared" si="1037"/>
        <v>0</v>
      </c>
      <c r="CO128" s="39">
        <f t="shared" si="1037"/>
        <v>0</v>
      </c>
      <c r="CT128" s="38">
        <v>0</v>
      </c>
    </row>
    <row r="129" spans="1:98" s="43" customFormat="1" x14ac:dyDescent="0.2">
      <c r="A129" s="43" t="s">
        <v>241</v>
      </c>
      <c r="B129" s="43">
        <f>+B125+B127+B128</f>
        <v>0</v>
      </c>
      <c r="C129" s="43">
        <f t="shared" ref="C129:AE129" si="1038">+C125+C127+C128</f>
        <v>0</v>
      </c>
      <c r="D129" s="43">
        <f t="shared" si="1038"/>
        <v>0</v>
      </c>
      <c r="E129" s="43">
        <f t="shared" si="1038"/>
        <v>0</v>
      </c>
      <c r="F129" s="43">
        <f t="shared" si="1038"/>
        <v>0</v>
      </c>
      <c r="G129" s="43">
        <f t="shared" si="1038"/>
        <v>0</v>
      </c>
      <c r="H129" s="43">
        <f t="shared" si="1038"/>
        <v>0</v>
      </c>
      <c r="I129" s="43">
        <f t="shared" si="1038"/>
        <v>0</v>
      </c>
      <c r="J129" s="43">
        <f t="shared" si="1038"/>
        <v>1.5228515</v>
      </c>
      <c r="K129" s="43">
        <f t="shared" si="1038"/>
        <v>5.3725907999999993</v>
      </c>
      <c r="L129" s="43">
        <f t="shared" si="1038"/>
        <v>4.5000247999999994</v>
      </c>
      <c r="M129" s="43">
        <f t="shared" si="1038"/>
        <v>3.273322100000001</v>
      </c>
      <c r="N129" s="43">
        <f t="shared" si="1038"/>
        <v>2.8807385000000005</v>
      </c>
      <c r="O129" s="43">
        <f t="shared" si="1038"/>
        <v>2.8592363999999999</v>
      </c>
      <c r="P129" s="43">
        <f t="shared" si="1038"/>
        <v>6.2121857000000009</v>
      </c>
      <c r="Q129" s="43">
        <f t="shared" si="1038"/>
        <v>11.336254</v>
      </c>
      <c r="R129" s="43">
        <f t="shared" si="1038"/>
        <v>15.293199</v>
      </c>
      <c r="S129" s="43">
        <f t="shared" si="1038"/>
        <v>17.220000000000002</v>
      </c>
      <c r="T129" s="43">
        <f t="shared" si="1038"/>
        <v>27.11</v>
      </c>
      <c r="U129" s="43">
        <f t="shared" si="1038"/>
        <v>89.46</v>
      </c>
      <c r="V129" s="43">
        <f t="shared" si="1038"/>
        <v>101.38</v>
      </c>
      <c r="W129" s="43">
        <f t="shared" si="1038"/>
        <v>631.93999999999994</v>
      </c>
      <c r="X129" s="43">
        <f t="shared" si="1038"/>
        <v>602.95000000000005</v>
      </c>
      <c r="Y129" s="43">
        <f t="shared" si="1038"/>
        <v>613.59999999999991</v>
      </c>
      <c r="Z129" s="43">
        <f t="shared" si="1038"/>
        <v>607.07999999999993</v>
      </c>
      <c r="AA129" s="43">
        <f t="shared" ref="AA129" si="1039">+AA125+AA127+AA128</f>
        <v>587.63</v>
      </c>
      <c r="AB129" s="44">
        <f t="shared" si="1038"/>
        <v>124.45</v>
      </c>
      <c r="AC129" s="44">
        <f t="shared" si="1038"/>
        <v>124.45</v>
      </c>
      <c r="AD129" s="44">
        <f t="shared" si="1038"/>
        <v>124.45</v>
      </c>
      <c r="AE129" s="44">
        <f t="shared" si="1038"/>
        <v>124.45</v>
      </c>
      <c r="AG129" s="62"/>
      <c r="AH129" s="43">
        <f t="shared" ref="AH129" si="1040">+AH125+AH127+AH128+AH126</f>
        <v>0</v>
      </c>
      <c r="AI129" s="43">
        <f t="shared" ref="AI129:AT129" si="1041">+AI125+AI127+AI128+AI126</f>
        <v>0</v>
      </c>
      <c r="AJ129" s="43">
        <f t="shared" si="1041"/>
        <v>0</v>
      </c>
      <c r="AK129" s="43">
        <f t="shared" si="1041"/>
        <v>0</v>
      </c>
      <c r="AL129" s="43">
        <f t="shared" si="1041"/>
        <v>0</v>
      </c>
      <c r="AM129" s="43">
        <f t="shared" si="1041"/>
        <v>0</v>
      </c>
      <c r="AN129" s="43">
        <f t="shared" si="1041"/>
        <v>0</v>
      </c>
      <c r="AO129" s="43">
        <f t="shared" si="1041"/>
        <v>0</v>
      </c>
      <c r="AP129" s="43">
        <f t="shared" si="1041"/>
        <v>0</v>
      </c>
      <c r="AQ129" s="43">
        <f t="shared" si="1041"/>
        <v>0</v>
      </c>
      <c r="AR129" s="43">
        <f t="shared" si="1041"/>
        <v>0</v>
      </c>
      <c r="AS129" s="43">
        <f t="shared" si="1041"/>
        <v>17.22</v>
      </c>
      <c r="AT129" s="43">
        <f t="shared" si="1041"/>
        <v>0</v>
      </c>
      <c r="AU129" s="43">
        <f t="shared" ref="AU129" si="1042">+AU125+AU127+AU128+AU126</f>
        <v>22.74</v>
      </c>
      <c r="AV129" s="43">
        <f t="shared" ref="AV129" si="1043">+AV125+AV127+AV128+AV126</f>
        <v>0</v>
      </c>
      <c r="AW129" s="43">
        <f>+AW125+AW127+AW128+AW126</f>
        <v>27.11</v>
      </c>
      <c r="AX129" s="43">
        <f t="shared" ref="AX129:BV129" si="1044">+AX125+AX127+AX128+AX126</f>
        <v>0</v>
      </c>
      <c r="AY129" s="43">
        <f t="shared" si="1044"/>
        <v>35.15</v>
      </c>
      <c r="AZ129" s="43">
        <f t="shared" si="1044"/>
        <v>0</v>
      </c>
      <c r="BA129" s="43">
        <f t="shared" si="1044"/>
        <v>524.74</v>
      </c>
      <c r="BB129" s="43">
        <f t="shared" si="1044"/>
        <v>0</v>
      </c>
      <c r="BC129" s="43">
        <f t="shared" si="1044"/>
        <v>512.66999999999996</v>
      </c>
      <c r="BD129" s="43">
        <f t="shared" si="1044"/>
        <v>0</v>
      </c>
      <c r="BE129" s="43">
        <f t="shared" si="1044"/>
        <v>505.89</v>
      </c>
      <c r="BF129" s="43">
        <f t="shared" si="1044"/>
        <v>0</v>
      </c>
      <c r="BG129" s="43">
        <f t="shared" si="1044"/>
        <v>501.6</v>
      </c>
      <c r="BH129" s="43">
        <f t="shared" si="1044"/>
        <v>0</v>
      </c>
      <c r="BI129" s="43">
        <f t="shared" si="1044"/>
        <v>557.20000000000005</v>
      </c>
      <c r="BJ129" s="43">
        <f t="shared" si="1044"/>
        <v>0</v>
      </c>
      <c r="BK129" s="43">
        <f t="shared" si="1044"/>
        <v>546.13</v>
      </c>
      <c r="BL129" s="43">
        <f t="shared" si="1044"/>
        <v>0</v>
      </c>
      <c r="BM129" s="43">
        <f t="shared" si="1044"/>
        <v>538.22</v>
      </c>
      <c r="BN129" s="43">
        <f t="shared" si="1044"/>
        <v>0</v>
      </c>
      <c r="BO129" s="43">
        <f t="shared" si="1044"/>
        <v>526.81999999999994</v>
      </c>
      <c r="BP129" s="43">
        <f t="shared" si="1044"/>
        <v>0</v>
      </c>
      <c r="BQ129" s="43">
        <f t="shared" si="1044"/>
        <v>524.35</v>
      </c>
      <c r="BR129" s="43">
        <f t="shared" si="1044"/>
        <v>0</v>
      </c>
      <c r="BS129" s="43">
        <f t="shared" si="1044"/>
        <v>530.51</v>
      </c>
      <c r="BT129" s="43">
        <f t="shared" si="1044"/>
        <v>0</v>
      </c>
      <c r="BU129" s="43">
        <f t="shared" si="1044"/>
        <v>519.96</v>
      </c>
      <c r="BV129" s="43">
        <f t="shared" si="1044"/>
        <v>0</v>
      </c>
      <c r="BW129" s="43">
        <f t="shared" ref="BW129:BY129" si="1045">+BW125+BW127+BW128+BW126</f>
        <v>509.9</v>
      </c>
      <c r="BX129" s="43">
        <f t="shared" ref="BX129" si="1046">+BX125+BX127+BX128+BX126</f>
        <v>509.91999999999996</v>
      </c>
      <c r="BY129" s="43">
        <f t="shared" si="1045"/>
        <v>500.13</v>
      </c>
      <c r="BZ129" s="44">
        <f t="shared" ref="BZ129" si="1047">+BZ125+BZ127+BZ128+BZ126</f>
        <v>124.45</v>
      </c>
      <c r="CA129" s="44">
        <f t="shared" ref="CA129" si="1048">+CA125+CA127+CA128+CA126</f>
        <v>124.45</v>
      </c>
      <c r="CB129" s="44">
        <f t="shared" ref="CB129" si="1049">+CB125+CB127+CB128+CB126</f>
        <v>124.45</v>
      </c>
      <c r="CC129" s="44">
        <f t="shared" ref="CC129" si="1050">+CC125+CC127+CC128+CC126</f>
        <v>124.45</v>
      </c>
      <c r="CD129" s="44">
        <f t="shared" ref="CD129" si="1051">+CD125+CD127+CD128+CD126</f>
        <v>124.45</v>
      </c>
      <c r="CE129" s="44">
        <f t="shared" ref="CE129" si="1052">+CE125+CE127+CE128+CE126</f>
        <v>124.45</v>
      </c>
      <c r="CF129" s="44">
        <f t="shared" ref="CF129" si="1053">+CF125+CF127+CF128+CF126</f>
        <v>124.45</v>
      </c>
      <c r="CG129" s="44">
        <f t="shared" ref="CG129" si="1054">+CG125+CG127+CG128+CG126</f>
        <v>124.45</v>
      </c>
      <c r="CH129" s="44">
        <f t="shared" ref="CH129" si="1055">+CH125+CH127+CH128+CH126</f>
        <v>124.45</v>
      </c>
      <c r="CI129" s="44">
        <f t="shared" ref="CI129" si="1056">+CI125+CI127+CI128+CI126</f>
        <v>124.45</v>
      </c>
      <c r="CJ129" s="44">
        <f t="shared" ref="CJ129" si="1057">+CJ125+CJ127+CJ128+CJ126</f>
        <v>124.45</v>
      </c>
      <c r="CK129" s="44">
        <f t="shared" ref="CK129" si="1058">+CK125+CK127+CK128+CK126</f>
        <v>124.45</v>
      </c>
      <c r="CL129" s="44">
        <f t="shared" ref="CL129" si="1059">+CL125+CL127+CL128+CL126</f>
        <v>124.45</v>
      </c>
      <c r="CM129" s="44">
        <f t="shared" ref="CM129" si="1060">+CM125+CM127+CM128+CM126</f>
        <v>124.45</v>
      </c>
      <c r="CN129" s="44">
        <f t="shared" ref="CN129" si="1061">+CN125+CN127+CN128+CN126</f>
        <v>124.45</v>
      </c>
      <c r="CO129" s="44">
        <f t="shared" ref="CO129" si="1062">+CO125+CO127+CO128+CO126</f>
        <v>124.45</v>
      </c>
      <c r="CT129" s="43">
        <v>124.45</v>
      </c>
    </row>
    <row r="130" spans="1:98" s="38" customFormat="1" x14ac:dyDescent="0.2">
      <c r="AB130" s="39"/>
      <c r="AC130" s="39"/>
      <c r="AD130" s="39"/>
      <c r="AE130" s="39"/>
      <c r="AG130" s="60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242</v>
      </c>
      <c r="B131" s="38">
        <f>+'Annual Raw'!C115</f>
        <v>0</v>
      </c>
      <c r="C131" s="38">
        <f>+'Annual Raw'!D115</f>
        <v>0</v>
      </c>
      <c r="D131" s="38">
        <f>+'Annual Raw'!E115</f>
        <v>0</v>
      </c>
      <c r="E131" s="38">
        <f>+'Annual Raw'!F115</f>
        <v>0</v>
      </c>
      <c r="F131" s="38">
        <f>+'Annual Raw'!G115</f>
        <v>0</v>
      </c>
      <c r="G131" s="38">
        <f>+'Annual Raw'!H115</f>
        <v>0</v>
      </c>
      <c r="H131" s="38">
        <f>+'Annual Raw'!I115</f>
        <v>0</v>
      </c>
      <c r="I131" s="38">
        <f>+'Annual Raw'!J115</f>
        <v>0</v>
      </c>
      <c r="J131" s="38">
        <f>+'Annual Raw'!K115</f>
        <v>0</v>
      </c>
      <c r="K131" s="38">
        <f>+'Annual Raw'!L115</f>
        <v>0.2</v>
      </c>
      <c r="L131" s="38">
        <f>+'Annual Raw'!M115</f>
        <v>0.2</v>
      </c>
      <c r="M131" s="38">
        <f>+'Annual Raw'!N115</f>
        <v>0.2</v>
      </c>
      <c r="N131" s="38">
        <f>+'Annual Raw'!O115</f>
        <v>0.20460999999999999</v>
      </c>
      <c r="O131" s="38">
        <f>+'Annual Raw'!P115</f>
        <v>0.2024204</v>
      </c>
      <c r="P131" s="38">
        <f>+'Annual Raw'!Q115</f>
        <v>0.2</v>
      </c>
      <c r="Q131" s="38">
        <f>+'Annual Raw'!R115</f>
        <v>0.2</v>
      </c>
      <c r="R131" s="38">
        <f>+'Annual Raw'!S115</f>
        <v>0.2</v>
      </c>
      <c r="S131" s="38">
        <f>+'Annual Raw'!T115</f>
        <v>0.2</v>
      </c>
      <c r="T131" s="38">
        <f>+'Annual Raw'!U115</f>
        <v>0.2</v>
      </c>
      <c r="U131" s="38">
        <f>+'Annual Raw'!V115</f>
        <v>661.44</v>
      </c>
      <c r="V131" s="38">
        <f>+'Annual Raw'!W115</f>
        <v>662.93</v>
      </c>
      <c r="W131" s="38">
        <f>+'Annual Raw'!X115</f>
        <v>0.55000000000000004</v>
      </c>
      <c r="X131" s="38">
        <f>+'Annual Raw'!Y115</f>
        <v>0.55000000000000004</v>
      </c>
      <c r="Y131" s="38">
        <f>+'Annual Raw'!Z115</f>
        <v>0.55000000000000004</v>
      </c>
      <c r="Z131" s="38">
        <f>+'Annual Raw'!AA115</f>
        <v>0.71</v>
      </c>
      <c r="AA131" s="38">
        <f>+'Annual Raw'!AB115</f>
        <v>0.01</v>
      </c>
      <c r="AB131" s="39"/>
      <c r="AC131" s="39"/>
      <c r="AD131" s="39"/>
      <c r="AE131" s="39"/>
      <c r="AG131" s="60"/>
      <c r="AH131" s="38">
        <f>+'QTR Raw'!D75</f>
        <v>0</v>
      </c>
      <c r="AI131" s="38">
        <f>+'QTR Raw'!E75</f>
        <v>0</v>
      </c>
      <c r="AJ131" s="38">
        <f>+'QTR Raw'!F75</f>
        <v>0</v>
      </c>
      <c r="AK131" s="38">
        <f>+'QTR Raw'!G75</f>
        <v>0</v>
      </c>
      <c r="AL131" s="38">
        <f>+'QTR Raw'!H75</f>
        <v>0</v>
      </c>
      <c r="AM131" s="38">
        <f>+'QTR Raw'!I75</f>
        <v>0</v>
      </c>
      <c r="AN131" s="38">
        <f>+'QTR Raw'!J75</f>
        <v>0</v>
      </c>
      <c r="AO131" s="38">
        <f>+'QTR Raw'!K75</f>
        <v>0</v>
      </c>
      <c r="AP131" s="38">
        <f>+'QTR Raw'!L75</f>
        <v>0</v>
      </c>
      <c r="AQ131" s="38">
        <f>+'QTR Raw'!M75</f>
        <v>0</v>
      </c>
      <c r="AR131" s="38">
        <f>+'QTR Raw'!N75</f>
        <v>0</v>
      </c>
      <c r="AS131" s="38">
        <f>+'QTR Raw'!O75</f>
        <v>0</v>
      </c>
      <c r="AT131" s="38">
        <f>+'QTR Raw'!P75</f>
        <v>0</v>
      </c>
      <c r="AU131" s="38">
        <f>+'QTR Raw'!Q75</f>
        <v>0</v>
      </c>
      <c r="AV131" s="38">
        <f>+'QTR Raw'!R75</f>
        <v>0</v>
      </c>
      <c r="AW131" s="38">
        <f>+'QTR Raw'!S75</f>
        <v>0</v>
      </c>
      <c r="AX131" s="38">
        <f>+'QTR Raw'!T75</f>
        <v>0</v>
      </c>
      <c r="AY131" s="38">
        <f>+'QTR Raw'!U75</f>
        <v>0</v>
      </c>
      <c r="AZ131" s="38">
        <f>+'QTR Raw'!V75</f>
        <v>0</v>
      </c>
      <c r="BA131" s="38">
        <f>+'QTR Raw'!W75</f>
        <v>0</v>
      </c>
      <c r="BB131" s="38">
        <f>+'QTR Raw'!X75</f>
        <v>0</v>
      </c>
      <c r="BC131" s="38">
        <f>+'QTR Raw'!Y75</f>
        <v>0</v>
      </c>
      <c r="BD131" s="38">
        <f>+'QTR Raw'!Z75</f>
        <v>0</v>
      </c>
      <c r="BE131" s="38">
        <f>+'QTR Raw'!AA75</f>
        <v>0</v>
      </c>
      <c r="BF131" s="38">
        <f>+'QTR Raw'!AB75</f>
        <v>0</v>
      </c>
      <c r="BG131" s="38">
        <f>+'QTR Raw'!AC75</f>
        <v>0</v>
      </c>
      <c r="BH131" s="38">
        <f>+'QTR Raw'!AD75</f>
        <v>0</v>
      </c>
      <c r="BI131" s="38">
        <f>+'QTR Raw'!AE75</f>
        <v>0</v>
      </c>
      <c r="BJ131" s="38">
        <f>+'QTR Raw'!AF75</f>
        <v>0</v>
      </c>
      <c r="BK131" s="38">
        <f>+'QTR Raw'!AG75</f>
        <v>0</v>
      </c>
      <c r="BL131" s="38">
        <f>+'QTR Raw'!AH75</f>
        <v>0</v>
      </c>
      <c r="BM131" s="38">
        <f>+'QTR Raw'!AI75</f>
        <v>0</v>
      </c>
      <c r="BN131" s="38">
        <f>+'QTR Raw'!AJ75</f>
        <v>0</v>
      </c>
      <c r="BO131" s="38">
        <f>+'QTR Raw'!AK75</f>
        <v>0</v>
      </c>
      <c r="BP131" s="38">
        <f>+'QTR Raw'!AL75</f>
        <v>0</v>
      </c>
      <c r="BQ131" s="38">
        <f>+'QTR Raw'!AM75</f>
        <v>0</v>
      </c>
      <c r="BR131" s="38">
        <f>+'QTR Raw'!AN75</f>
        <v>0</v>
      </c>
      <c r="BS131" s="38">
        <f>+'QTR Raw'!AO75</f>
        <v>0</v>
      </c>
      <c r="BT131" s="38">
        <f>+'QTR Raw'!AP75</f>
        <v>0</v>
      </c>
      <c r="BU131" s="38">
        <f>+'QTR Raw'!AQ75</f>
        <v>0</v>
      </c>
      <c r="BV131" s="38">
        <f>+'QTR Raw'!AR75</f>
        <v>0</v>
      </c>
      <c r="BW131" s="38">
        <f>+'QTR Raw'!AS75</f>
        <v>0</v>
      </c>
      <c r="BY131" s="38">
        <f>+'QTR Raw'!AU75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T131" s="38">
        <v>0.01</v>
      </c>
    </row>
    <row r="132" spans="1:98" s="38" customFormat="1" x14ac:dyDescent="0.2">
      <c r="AB132" s="39"/>
      <c r="AC132" s="39"/>
      <c r="AD132" s="39"/>
      <c r="AE132" s="39"/>
      <c r="AG132" s="60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220</v>
      </c>
      <c r="B133" s="38">
        <f>+'Annual Raw'!C117+'Annual Raw'!C114+'Annual Raw'!C110</f>
        <v>0</v>
      </c>
      <c r="C133" s="38">
        <f>+'Annual Raw'!D117+'Annual Raw'!D114+'Annual Raw'!D110</f>
        <v>0</v>
      </c>
      <c r="D133" s="38">
        <f>+'Annual Raw'!E117+'Annual Raw'!E114+'Annual Raw'!E110</f>
        <v>0</v>
      </c>
      <c r="E133" s="38">
        <f>+'Annual Raw'!F117+'Annual Raw'!F114+'Annual Raw'!F110</f>
        <v>0</v>
      </c>
      <c r="F133" s="38">
        <f>+'Annual Raw'!G117+'Annual Raw'!G114+'Annual Raw'!G110</f>
        <v>0</v>
      </c>
      <c r="G133" s="38">
        <f>+'Annual Raw'!H117+'Annual Raw'!H114+'Annual Raw'!H110</f>
        <v>0</v>
      </c>
      <c r="H133" s="38">
        <f>+'Annual Raw'!I117+'Annual Raw'!I114+'Annual Raw'!I110</f>
        <v>0</v>
      </c>
      <c r="I133" s="38">
        <f>+'Annual Raw'!J117+'Annual Raw'!J114+'Annual Raw'!J110</f>
        <v>0</v>
      </c>
      <c r="J133" s="38">
        <f>+'Annual Raw'!K117+'Annual Raw'!K114+'Annual Raw'!K110</f>
        <v>0</v>
      </c>
      <c r="K133" s="38">
        <f>+'Annual Raw'!L117+'Annual Raw'!L114+'Annual Raw'!L110</f>
        <v>0</v>
      </c>
      <c r="L133" s="38">
        <f>+'Annual Raw'!M117+'Annual Raw'!M114+'Annual Raw'!M110</f>
        <v>2.7623663999999999</v>
      </c>
      <c r="M133" s="38">
        <f>+'Annual Raw'!N117+'Annual Raw'!N114+'Annual Raw'!N110</f>
        <v>23.813893400000001</v>
      </c>
      <c r="N133" s="38">
        <f>+'Annual Raw'!O117+'Annual Raw'!O114+'Annual Raw'!O110</f>
        <v>34.161360700000003</v>
      </c>
      <c r="O133" s="38">
        <f>+'Annual Raw'!P117+'Annual Raw'!P114+'Annual Raw'!P110</f>
        <v>43.783053000000002</v>
      </c>
      <c r="P133" s="38">
        <f>+'Annual Raw'!Q117+'Annual Raw'!Q114+'Annual Raw'!Q110</f>
        <v>72.984200900000005</v>
      </c>
      <c r="Q133" s="38">
        <f>+'Annual Raw'!R117+'Annual Raw'!R114+'Annual Raw'!R110</f>
        <v>38.781458200000003</v>
      </c>
      <c r="R133" s="38">
        <f>+'Annual Raw'!S117+'Annual Raw'!S114+'Annual Raw'!S110</f>
        <v>11.8588918</v>
      </c>
      <c r="S133" s="38">
        <f>+'Annual Raw'!T117+'Annual Raw'!T114+'Annual Raw'!T110</f>
        <v>2.4300000000000002</v>
      </c>
      <c r="T133" s="38">
        <f>+'Annual Raw'!U117+'Annual Raw'!U114+'Annual Raw'!U110</f>
        <v>10.1</v>
      </c>
      <c r="U133" s="38">
        <f>+'Annual Raw'!V117+'Annual Raw'!V114+'Annual Raw'!V110</f>
        <v>9.3000000000000007</v>
      </c>
      <c r="V133" s="38">
        <f>+'Annual Raw'!W117+'Annual Raw'!W114+'Annual Raw'!W110</f>
        <v>9.68</v>
      </c>
      <c r="W133" s="38">
        <f>+'Annual Raw'!X117+'Annual Raw'!X114+'Annual Raw'!X110</f>
        <v>12.95</v>
      </c>
      <c r="X133" s="38">
        <f>+'Annual Raw'!Y117+'Annual Raw'!Y114+'Annual Raw'!Y110</f>
        <v>0</v>
      </c>
      <c r="Y133" s="38">
        <f>+'Annual Raw'!Z117+'Annual Raw'!Z114+'Annual Raw'!Z110</f>
        <v>118.8</v>
      </c>
      <c r="Z133" s="38">
        <f>+'Annual Raw'!AA117+'Annual Raw'!AA114+'Annual Raw'!AA110</f>
        <v>112.89</v>
      </c>
      <c r="AA133" s="38">
        <f>+'Annual Raw'!AB117+'Annual Raw'!AB114+'Annual Raw'!AB110</f>
        <v>405.98</v>
      </c>
      <c r="AB133" s="39"/>
      <c r="AC133" s="39"/>
      <c r="AD133" s="39"/>
      <c r="AE133" s="39"/>
      <c r="AG133" s="60"/>
      <c r="AH133" s="38">
        <f>+'QTR Raw'!D77</f>
        <v>0</v>
      </c>
      <c r="AI133" s="38">
        <f>+'QTR Raw'!E77</f>
        <v>0</v>
      </c>
      <c r="AJ133" s="38">
        <f>+'QTR Raw'!F77</f>
        <v>0</v>
      </c>
      <c r="AK133" s="38">
        <f>+'QTR Raw'!G77</f>
        <v>0</v>
      </c>
      <c r="AL133" s="38">
        <f>+'QTR Raw'!H77</f>
        <v>0</v>
      </c>
      <c r="AM133" s="38">
        <f>+'QTR Raw'!I77</f>
        <v>0</v>
      </c>
      <c r="AN133" s="38">
        <f>+'QTR Raw'!J77</f>
        <v>0</v>
      </c>
      <c r="AO133" s="38">
        <f>+'QTR Raw'!K77</f>
        <v>0</v>
      </c>
      <c r="AP133" s="38">
        <f>+'QTR Raw'!L77</f>
        <v>0</v>
      </c>
      <c r="AQ133" s="38">
        <f>+'QTR Raw'!M77</f>
        <v>0</v>
      </c>
      <c r="AR133" s="38">
        <f>+'QTR Raw'!N77</f>
        <v>0</v>
      </c>
      <c r="AS133" s="38">
        <f>+'QTR Raw'!O77</f>
        <v>9.5399999999999991</v>
      </c>
      <c r="AT133" s="38">
        <f>+'QTR Raw'!P77</f>
        <v>0</v>
      </c>
      <c r="AU133" s="38">
        <f>+'QTR Raw'!Q77</f>
        <v>13.48</v>
      </c>
      <c r="AV133" s="38">
        <f>+'QTR Raw'!R77</f>
        <v>0</v>
      </c>
      <c r="AW133" s="38">
        <f>+'QTR Raw'!S77</f>
        <v>21.52</v>
      </c>
      <c r="AX133" s="38">
        <f>+'QTR Raw'!T77</f>
        <v>0</v>
      </c>
      <c r="AY133" s="38">
        <f>+'QTR Raw'!U77</f>
        <v>121.2</v>
      </c>
      <c r="AZ133" s="38">
        <f>+'QTR Raw'!V77</f>
        <v>0</v>
      </c>
      <c r="BA133" s="38">
        <f>+'QTR Raw'!W77</f>
        <v>87.34</v>
      </c>
      <c r="BB133" s="38">
        <f>+'QTR Raw'!X77</f>
        <v>0</v>
      </c>
      <c r="BC133" s="38">
        <f>+'QTR Raw'!Y77</f>
        <v>86.82</v>
      </c>
      <c r="BD133" s="38">
        <f>+'QTR Raw'!Z77</f>
        <v>0</v>
      </c>
      <c r="BE133" s="38">
        <f>+'QTR Raw'!AA77</f>
        <v>112.4</v>
      </c>
      <c r="BF133" s="38">
        <f>+'QTR Raw'!AB77</f>
        <v>0</v>
      </c>
      <c r="BG133" s="38">
        <f>+'QTR Raw'!AC77</f>
        <v>120.54</v>
      </c>
      <c r="BH133" s="38">
        <f>+'QTR Raw'!AD77</f>
        <v>0</v>
      </c>
      <c r="BI133" s="38">
        <f>+'QTR Raw'!AE77</f>
        <v>123.62</v>
      </c>
      <c r="BJ133" s="38">
        <f>+'QTR Raw'!AF77</f>
        <v>0</v>
      </c>
      <c r="BK133" s="38">
        <f>+'QTR Raw'!AG77</f>
        <v>169.19</v>
      </c>
      <c r="BL133" s="38">
        <f>+'QTR Raw'!AH77</f>
        <v>0</v>
      </c>
      <c r="BM133" s="38">
        <f>+'QTR Raw'!AI77</f>
        <v>123.44</v>
      </c>
      <c r="BN133" s="38">
        <f>+'QTR Raw'!AJ77</f>
        <v>0</v>
      </c>
      <c r="BO133" s="38">
        <f>+'QTR Raw'!AK77</f>
        <v>132.32</v>
      </c>
      <c r="BP133" s="38">
        <f>+'QTR Raw'!AL77</f>
        <v>0</v>
      </c>
      <c r="BQ133" s="38">
        <f>+'QTR Raw'!AM77</f>
        <v>169.15</v>
      </c>
      <c r="BR133" s="38">
        <f>+'QTR Raw'!AN77</f>
        <v>0</v>
      </c>
      <c r="BS133" s="38">
        <f>+'QTR Raw'!AO77</f>
        <v>154.75</v>
      </c>
      <c r="BT133" s="38">
        <f>+'QTR Raw'!AP77</f>
        <v>0</v>
      </c>
      <c r="BU133" s="38">
        <f>+'QTR Raw'!AQ77</f>
        <v>147.79</v>
      </c>
      <c r="BV133" s="38">
        <f>+'QTR Raw'!AR77</f>
        <v>0</v>
      </c>
      <c r="BW133" s="38">
        <f>+'QTR Raw'!AS77</f>
        <v>240.01</v>
      </c>
      <c r="BY133" s="38">
        <f>+'QTR Raw'!AU77</f>
        <v>119.96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T133" s="38">
        <v>405.98</v>
      </c>
    </row>
    <row r="134" spans="1:98" s="38" customFormat="1" x14ac:dyDescent="0.2">
      <c r="A134" s="38" t="s">
        <v>222</v>
      </c>
      <c r="B134" s="38">
        <f>+'Annual Raw'!C120</f>
        <v>0</v>
      </c>
      <c r="C134" s="38">
        <f>+'Annual Raw'!D120</f>
        <v>0</v>
      </c>
      <c r="D134" s="38">
        <f>+'Annual Raw'!E120</f>
        <v>0</v>
      </c>
      <c r="E134" s="38">
        <f>+'Annual Raw'!F120</f>
        <v>0</v>
      </c>
      <c r="F134" s="38">
        <f>+'Annual Raw'!G120</f>
        <v>0</v>
      </c>
      <c r="G134" s="38">
        <f>+'Annual Raw'!H120</f>
        <v>0</v>
      </c>
      <c r="H134" s="38">
        <f>+'Annual Raw'!I120</f>
        <v>0</v>
      </c>
      <c r="I134" s="38">
        <f>+'Annual Raw'!J120</f>
        <v>0</v>
      </c>
      <c r="J134" s="38">
        <f>+'Annual Raw'!K120</f>
        <v>0</v>
      </c>
      <c r="K134" s="38">
        <f>+'Annual Raw'!L120</f>
        <v>0</v>
      </c>
      <c r="L134" s="38">
        <f>+'Annual Raw'!M120</f>
        <v>0</v>
      </c>
      <c r="M134" s="38">
        <f>+'Annual Raw'!N120</f>
        <v>0</v>
      </c>
      <c r="N134" s="38">
        <f>+'Annual Raw'!O120</f>
        <v>0</v>
      </c>
      <c r="O134" s="38">
        <f>+'Annual Raw'!P120</f>
        <v>0</v>
      </c>
      <c r="P134" s="38">
        <f>+'Annual Raw'!Q120</f>
        <v>0</v>
      </c>
      <c r="Q134" s="38">
        <f>+'Annual Raw'!R120</f>
        <v>0</v>
      </c>
      <c r="R134" s="38">
        <f>+'Annual Raw'!S120</f>
        <v>0</v>
      </c>
      <c r="S134" s="38">
        <f>+'Annual Raw'!T120</f>
        <v>0</v>
      </c>
      <c r="T134" s="38">
        <f>+'Annual Raw'!U120</f>
        <v>0</v>
      </c>
      <c r="U134" s="38">
        <f>+'Annual Raw'!V120</f>
        <v>0</v>
      </c>
      <c r="V134" s="38">
        <f>+'Annual Raw'!W120</f>
        <v>0</v>
      </c>
      <c r="W134" s="38">
        <f>+'Annual Raw'!X120</f>
        <v>0</v>
      </c>
      <c r="X134" s="38">
        <f>+'Annual Raw'!Y120</f>
        <v>0</v>
      </c>
      <c r="Y134" s="38">
        <f>+'Annual Raw'!Z120</f>
        <v>0</v>
      </c>
      <c r="Z134" s="38">
        <f>+'Annual Raw'!AA120</f>
        <v>0</v>
      </c>
      <c r="AA134" s="38">
        <f>+'Annual Raw'!AB120</f>
        <v>0</v>
      </c>
      <c r="AB134" s="39"/>
      <c r="AC134" s="39"/>
      <c r="AD134" s="39"/>
      <c r="AE134" s="39"/>
      <c r="AG134" s="60"/>
      <c r="AH134" s="38">
        <f>+'QTR Raw'!D79</f>
        <v>0</v>
      </c>
      <c r="AI134" s="38">
        <f>+'QTR Raw'!E79</f>
        <v>0</v>
      </c>
      <c r="AJ134" s="38">
        <f>+'QTR Raw'!F79</f>
        <v>0</v>
      </c>
      <c r="AK134" s="38">
        <f>+'QTR Raw'!G79</f>
        <v>0</v>
      </c>
      <c r="AL134" s="38">
        <f>+'QTR Raw'!H79</f>
        <v>0</v>
      </c>
      <c r="AM134" s="38">
        <f>+'QTR Raw'!I79</f>
        <v>0</v>
      </c>
      <c r="AN134" s="38">
        <f>+'QTR Raw'!J79</f>
        <v>0</v>
      </c>
      <c r="AO134" s="38">
        <f>+'QTR Raw'!K79</f>
        <v>0</v>
      </c>
      <c r="AP134" s="38">
        <f>+'QTR Raw'!L79</f>
        <v>0</v>
      </c>
      <c r="AQ134" s="38">
        <f>+'QTR Raw'!M79</f>
        <v>0</v>
      </c>
      <c r="AR134" s="38">
        <f>+'QTR Raw'!N79</f>
        <v>0</v>
      </c>
      <c r="AS134" s="38">
        <f>+'QTR Raw'!O79</f>
        <v>0</v>
      </c>
      <c r="AT134" s="38">
        <f>+'QTR Raw'!P79</f>
        <v>0</v>
      </c>
      <c r="AU134" s="38">
        <f>+'QTR Raw'!Q79</f>
        <v>0</v>
      </c>
      <c r="AV134" s="38">
        <f>+'QTR Raw'!R79</f>
        <v>0</v>
      </c>
      <c r="AW134" s="38">
        <f>+'QTR Raw'!S79</f>
        <v>0</v>
      </c>
      <c r="AX134" s="38">
        <f>+'QTR Raw'!T79</f>
        <v>0</v>
      </c>
      <c r="AY134" s="38">
        <f>+'QTR Raw'!U79</f>
        <v>0</v>
      </c>
      <c r="AZ134" s="38">
        <f>+'QTR Raw'!V79</f>
        <v>0</v>
      </c>
      <c r="BA134" s="38">
        <f>+'QTR Raw'!W79</f>
        <v>0</v>
      </c>
      <c r="BB134" s="38">
        <f>+'QTR Raw'!X79</f>
        <v>0</v>
      </c>
      <c r="BC134" s="38">
        <f>+'QTR Raw'!Y79</f>
        <v>0</v>
      </c>
      <c r="BD134" s="38">
        <f>+'QTR Raw'!Z79</f>
        <v>0</v>
      </c>
      <c r="BE134" s="38">
        <f>+'QTR Raw'!AA79</f>
        <v>0</v>
      </c>
      <c r="BF134" s="38">
        <f>+'QTR Raw'!AB79</f>
        <v>0</v>
      </c>
      <c r="BG134" s="38">
        <f>+'QTR Raw'!AC79</f>
        <v>0</v>
      </c>
      <c r="BH134" s="38">
        <f>+'QTR Raw'!AD79</f>
        <v>0</v>
      </c>
      <c r="BI134" s="38">
        <f>+'QTR Raw'!AE79</f>
        <v>0</v>
      </c>
      <c r="BJ134" s="38">
        <f>+'QTR Raw'!AF79</f>
        <v>0</v>
      </c>
      <c r="BK134" s="38">
        <f>+'QTR Raw'!AG79</f>
        <v>0</v>
      </c>
      <c r="BL134" s="38">
        <f>+'QTR Raw'!AH79</f>
        <v>0</v>
      </c>
      <c r="BM134" s="38">
        <f>+'QTR Raw'!AI79</f>
        <v>0</v>
      </c>
      <c r="BN134" s="38">
        <f>+'QTR Raw'!AJ79</f>
        <v>0</v>
      </c>
      <c r="BO134" s="38">
        <f>+'QTR Raw'!AK79</f>
        <v>0</v>
      </c>
      <c r="BP134" s="38">
        <f>+'QTR Raw'!AL79</f>
        <v>0</v>
      </c>
      <c r="BQ134" s="38">
        <f>+'QTR Raw'!AM79</f>
        <v>0</v>
      </c>
      <c r="BR134" s="38">
        <f>+'QTR Raw'!AN79</f>
        <v>0</v>
      </c>
      <c r="BS134" s="38">
        <f>+'QTR Raw'!AO79</f>
        <v>0</v>
      </c>
      <c r="BT134" s="38">
        <f>+'QTR Raw'!AP79</f>
        <v>0</v>
      </c>
      <c r="BU134" s="38">
        <f>+'QTR Raw'!AQ79</f>
        <v>0</v>
      </c>
      <c r="BV134" s="38">
        <f>+'QTR Raw'!AR79</f>
        <v>0</v>
      </c>
      <c r="BW134" s="38">
        <f>+'QTR Raw'!AS79</f>
        <v>0</v>
      </c>
      <c r="BY134" s="38">
        <f>+'QTR Raw'!AU79</f>
        <v>0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T134" s="38">
        <v>0</v>
      </c>
    </row>
    <row r="135" spans="1:98" s="38" customFormat="1" x14ac:dyDescent="0.2">
      <c r="A135" s="38" t="s">
        <v>223</v>
      </c>
      <c r="B135" s="38">
        <f>+'Annual Raw'!C121</f>
        <v>0</v>
      </c>
      <c r="C135" s="38">
        <f>+'Annual Raw'!D121</f>
        <v>0</v>
      </c>
      <c r="D135" s="38">
        <f>+'Annual Raw'!E121</f>
        <v>0</v>
      </c>
      <c r="E135" s="38">
        <f>+'Annual Raw'!F121</f>
        <v>0</v>
      </c>
      <c r="F135" s="38">
        <f>+'Annual Raw'!G121</f>
        <v>0</v>
      </c>
      <c r="G135" s="38">
        <f>+'Annual Raw'!H121</f>
        <v>0</v>
      </c>
      <c r="H135" s="38">
        <f>+'Annual Raw'!I121</f>
        <v>0</v>
      </c>
      <c r="I135" s="38">
        <f>+'Annual Raw'!J121</f>
        <v>0</v>
      </c>
      <c r="J135" s="38">
        <f>+'Annual Raw'!K121</f>
        <v>0</v>
      </c>
      <c r="K135" s="38">
        <f>+'Annual Raw'!L121</f>
        <v>0</v>
      </c>
      <c r="L135" s="38">
        <f>+'Annual Raw'!M121</f>
        <v>0</v>
      </c>
      <c r="M135" s="38">
        <f>+'Annual Raw'!N121</f>
        <v>0.1100151</v>
      </c>
      <c r="N135" s="38">
        <f>+'Annual Raw'!O121</f>
        <v>2.03845E-2</v>
      </c>
      <c r="O135" s="38">
        <f>+'Annual Raw'!P121</f>
        <v>0</v>
      </c>
      <c r="P135" s="38">
        <f>+'Annual Raw'!Q121</f>
        <v>0</v>
      </c>
      <c r="Q135" s="38">
        <f>+'Annual Raw'!R121</f>
        <v>0</v>
      </c>
      <c r="R135" s="38">
        <f>+'Annual Raw'!S121</f>
        <v>0</v>
      </c>
      <c r="S135" s="38">
        <f>+'Annual Raw'!T121</f>
        <v>0</v>
      </c>
      <c r="T135" s="38">
        <f>+'Annual Raw'!U121</f>
        <v>0.09</v>
      </c>
      <c r="U135" s="38">
        <f>+'Annual Raw'!V121</f>
        <v>0.22</v>
      </c>
      <c r="V135" s="38">
        <f>+'Annual Raw'!W121</f>
        <v>0</v>
      </c>
      <c r="W135" s="38">
        <f>+'Annual Raw'!X121</f>
        <v>0</v>
      </c>
      <c r="X135" s="38">
        <f>+'Annual Raw'!Y121</f>
        <v>0</v>
      </c>
      <c r="Y135" s="38">
        <f>+'Annual Raw'!Z121</f>
        <v>0</v>
      </c>
      <c r="Z135" s="38">
        <f>+'Annual Raw'!AA121</f>
        <v>0</v>
      </c>
      <c r="AA135" s="38">
        <f>+'Annual Raw'!AB121</f>
        <v>0</v>
      </c>
      <c r="AB135" s="39"/>
      <c r="AC135" s="39"/>
      <c r="AD135" s="39"/>
      <c r="AE135" s="39"/>
      <c r="AG135" s="60"/>
      <c r="AH135" s="38">
        <f>+'QTR Raw'!D80</f>
        <v>0</v>
      </c>
      <c r="AI135" s="38">
        <f>+'QTR Raw'!E80</f>
        <v>0</v>
      </c>
      <c r="AJ135" s="38">
        <f>+'QTR Raw'!F80</f>
        <v>0</v>
      </c>
      <c r="AK135" s="38">
        <f>+'QTR Raw'!G80</f>
        <v>0</v>
      </c>
      <c r="AL135" s="38">
        <f>+'QTR Raw'!H80</f>
        <v>0</v>
      </c>
      <c r="AM135" s="38">
        <f>+'QTR Raw'!I80</f>
        <v>0</v>
      </c>
      <c r="AN135" s="38">
        <f>+'QTR Raw'!J80</f>
        <v>0</v>
      </c>
      <c r="AO135" s="38">
        <f>+'QTR Raw'!K80</f>
        <v>0</v>
      </c>
      <c r="AP135" s="38">
        <f>+'QTR Raw'!L80</f>
        <v>0</v>
      </c>
      <c r="AQ135" s="38">
        <f>+'QTR Raw'!M80</f>
        <v>0</v>
      </c>
      <c r="AR135" s="38">
        <f>+'QTR Raw'!N80</f>
        <v>0</v>
      </c>
      <c r="AS135" s="38">
        <f>+'QTR Raw'!O80</f>
        <v>5.46</v>
      </c>
      <c r="AT135" s="38">
        <f>+'QTR Raw'!P80</f>
        <v>0</v>
      </c>
      <c r="AU135" s="38">
        <f>+'QTR Raw'!Q80</f>
        <v>0</v>
      </c>
      <c r="AV135" s="38">
        <f>+'QTR Raw'!R80</f>
        <v>0</v>
      </c>
      <c r="AW135" s="38">
        <f>+'QTR Raw'!S80</f>
        <v>0.09</v>
      </c>
      <c r="AX135" s="38">
        <f>+'QTR Raw'!T80</f>
        <v>0</v>
      </c>
      <c r="AY135" s="38">
        <f>+'QTR Raw'!U80</f>
        <v>0.31</v>
      </c>
      <c r="AZ135" s="38">
        <f>+'QTR Raw'!V80</f>
        <v>0</v>
      </c>
      <c r="BA135" s="38">
        <f>+'QTR Raw'!W80</f>
        <v>0.22</v>
      </c>
      <c r="BB135" s="38">
        <f>+'QTR Raw'!X80</f>
        <v>0</v>
      </c>
      <c r="BC135" s="38">
        <f>+'QTR Raw'!Y80</f>
        <v>0</v>
      </c>
      <c r="BD135" s="38">
        <f>+'QTR Raw'!Z80</f>
        <v>0</v>
      </c>
      <c r="BE135" s="38">
        <f>+'QTR Raw'!AA80</f>
        <v>0</v>
      </c>
      <c r="BF135" s="38">
        <f>+'QTR Raw'!AB80</f>
        <v>0</v>
      </c>
      <c r="BG135" s="38">
        <f>+'QTR Raw'!AC80</f>
        <v>0</v>
      </c>
      <c r="BH135" s="38">
        <f>+'QTR Raw'!AD80</f>
        <v>0</v>
      </c>
      <c r="BI135" s="38">
        <f>+'QTR Raw'!AE80</f>
        <v>0</v>
      </c>
      <c r="BJ135" s="38">
        <f>+'QTR Raw'!AF80</f>
        <v>0</v>
      </c>
      <c r="BK135" s="38">
        <f>+'QTR Raw'!AG80</f>
        <v>0</v>
      </c>
      <c r="BL135" s="38">
        <f>+'QTR Raw'!AH80</f>
        <v>0</v>
      </c>
      <c r="BM135" s="38">
        <f>+'QTR Raw'!AI80</f>
        <v>0</v>
      </c>
      <c r="BN135" s="38">
        <f>+'QTR Raw'!AJ80</f>
        <v>0</v>
      </c>
      <c r="BO135" s="38">
        <f>+'QTR Raw'!AK80</f>
        <v>0</v>
      </c>
      <c r="BP135" s="38">
        <f>+'QTR Raw'!AL80</f>
        <v>0</v>
      </c>
      <c r="BQ135" s="38">
        <f>+'QTR Raw'!AM80</f>
        <v>0</v>
      </c>
      <c r="BR135" s="38">
        <f>+'QTR Raw'!AN80</f>
        <v>0</v>
      </c>
      <c r="BS135" s="38">
        <f>+'QTR Raw'!AO80</f>
        <v>0</v>
      </c>
      <c r="BT135" s="38">
        <f>+'QTR Raw'!AP80</f>
        <v>0</v>
      </c>
      <c r="BU135" s="38">
        <f>+'QTR Raw'!AQ80</f>
        <v>0</v>
      </c>
      <c r="BV135" s="38">
        <f>+'QTR Raw'!AR80</f>
        <v>0</v>
      </c>
      <c r="BW135" s="38">
        <f>+'QTR Raw'!AS80</f>
        <v>0</v>
      </c>
      <c r="BY135" s="38">
        <f>+'QTR Raw'!AU80</f>
        <v>0</v>
      </c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T135" s="38">
        <v>0</v>
      </c>
    </row>
    <row r="136" spans="1:98" s="38" customFormat="1" x14ac:dyDescent="0.2">
      <c r="A136" s="38" t="s">
        <v>225</v>
      </c>
      <c r="B136" s="38">
        <f>+'Annual Raw'!C123+'Annual Raw'!C125</f>
        <v>0</v>
      </c>
      <c r="C136" s="38">
        <f>+'Annual Raw'!D123+'Annual Raw'!D125</f>
        <v>0</v>
      </c>
      <c r="D136" s="38">
        <f>+'Annual Raw'!E123+'Annual Raw'!E125</f>
        <v>0</v>
      </c>
      <c r="E136" s="38">
        <f>+'Annual Raw'!F123+'Annual Raw'!F125</f>
        <v>0</v>
      </c>
      <c r="F136" s="38">
        <f>+'Annual Raw'!G123+'Annual Raw'!G125</f>
        <v>0</v>
      </c>
      <c r="G136" s="38">
        <f>+'Annual Raw'!H123+'Annual Raw'!H125</f>
        <v>0</v>
      </c>
      <c r="H136" s="38">
        <f>+'Annual Raw'!I123+'Annual Raw'!I125</f>
        <v>0</v>
      </c>
      <c r="I136" s="38">
        <f>+'Annual Raw'!J123+'Annual Raw'!J125</f>
        <v>0</v>
      </c>
      <c r="J136" s="38">
        <f>+'Annual Raw'!K123+'Annual Raw'!K125</f>
        <v>0.88277749999999999</v>
      </c>
      <c r="K136" s="38">
        <f>+'Annual Raw'!L123+'Annual Raw'!L125</f>
        <v>3.1148886</v>
      </c>
      <c r="L136" s="38">
        <f>+'Annual Raw'!M123+'Annual Raw'!M125</f>
        <v>2.4757958000000002</v>
      </c>
      <c r="M136" s="38">
        <f>+'Annual Raw'!N123+'Annual Raw'!N125</f>
        <v>3.3259268</v>
      </c>
      <c r="N136" s="38">
        <f>+'Annual Raw'!O123+'Annual Raw'!O125</f>
        <v>16.952237199999999</v>
      </c>
      <c r="O136" s="38">
        <f>+'Annual Raw'!P123+'Annual Raw'!P125</f>
        <v>9.2909538000000005</v>
      </c>
      <c r="P136" s="38">
        <f>+'Annual Raw'!Q123+'Annual Raw'!Q125</f>
        <v>13.088177</v>
      </c>
      <c r="Q136" s="38">
        <f>+'Annual Raw'!R123+'Annual Raw'!R125</f>
        <v>22.254303100000001</v>
      </c>
      <c r="R136" s="38">
        <f>+'Annual Raw'!S123+'Annual Raw'!S125</f>
        <v>37.484215800000001</v>
      </c>
      <c r="S136" s="38">
        <f>+'Annual Raw'!T123+'Annual Raw'!T125</f>
        <v>7.42</v>
      </c>
      <c r="T136" s="38">
        <f>+'Annual Raw'!U123+'Annual Raw'!U125</f>
        <v>34.880000000000003</v>
      </c>
      <c r="U136" s="38">
        <f>+'Annual Raw'!V123+'Annual Raw'!V125</f>
        <v>32.49</v>
      </c>
      <c r="V136" s="38">
        <f>+'Annual Raw'!W123+'Annual Raw'!W125</f>
        <v>96.17</v>
      </c>
      <c r="W136" s="38">
        <f>+'Annual Raw'!X123+'Annual Raw'!X125</f>
        <v>86.08</v>
      </c>
      <c r="X136" s="38">
        <f>+'Annual Raw'!Y123+'Annual Raw'!Y125</f>
        <v>165.81</v>
      </c>
      <c r="Y136" s="38">
        <f>+'Annual Raw'!Z123+'Annual Raw'!Z125</f>
        <v>179.96</v>
      </c>
      <c r="Z136" s="38">
        <f>+'Annual Raw'!AA123+'Annual Raw'!AA125</f>
        <v>183.53</v>
      </c>
      <c r="AA136" s="38">
        <f>+'Annual Raw'!AB123+'Annual Raw'!AB125</f>
        <v>337.83</v>
      </c>
      <c r="AB136" s="39">
        <f>+CC136</f>
        <v>777.17000000000007</v>
      </c>
      <c r="AC136" s="39">
        <f>+CG136</f>
        <v>777.17000000000007</v>
      </c>
      <c r="AD136" s="39">
        <f>+CK136</f>
        <v>777.17000000000007</v>
      </c>
      <c r="AE136" s="39">
        <f>+CO136</f>
        <v>777.17000000000007</v>
      </c>
      <c r="AG136" s="60"/>
      <c r="AH136" s="38">
        <f>+'QTR Raw'!D82</f>
        <v>0</v>
      </c>
      <c r="AI136" s="38">
        <f>+'QTR Raw'!E82</f>
        <v>0</v>
      </c>
      <c r="AJ136" s="38">
        <f>+'QTR Raw'!F82</f>
        <v>0</v>
      </c>
      <c r="AK136" s="38">
        <f>+'QTR Raw'!G82</f>
        <v>0</v>
      </c>
      <c r="AL136" s="38">
        <f>+'QTR Raw'!H82</f>
        <v>0</v>
      </c>
      <c r="AM136" s="38">
        <f>+'QTR Raw'!I82</f>
        <v>0</v>
      </c>
      <c r="AN136" s="38">
        <f>+'QTR Raw'!J82</f>
        <v>0</v>
      </c>
      <c r="AO136" s="38">
        <f>+'QTR Raw'!K82</f>
        <v>0</v>
      </c>
      <c r="AP136" s="38">
        <f>+'QTR Raw'!L82</f>
        <v>0</v>
      </c>
      <c r="AQ136" s="38">
        <f>+'QTR Raw'!M82</f>
        <v>0</v>
      </c>
      <c r="AR136" s="38">
        <f>+'QTR Raw'!N82</f>
        <v>0</v>
      </c>
      <c r="AS136" s="38">
        <f>+'QTR Raw'!O82</f>
        <v>12.56</v>
      </c>
      <c r="AT136" s="38">
        <f>+'QTR Raw'!P82</f>
        <v>0</v>
      </c>
      <c r="AU136" s="38">
        <f>+'QTR Raw'!Q82</f>
        <v>37.64</v>
      </c>
      <c r="AV136" s="38">
        <f>+'QTR Raw'!R82</f>
        <v>0</v>
      </c>
      <c r="AW136" s="38">
        <f>+'QTR Raw'!S82</f>
        <v>46.7</v>
      </c>
      <c r="AX136" s="38">
        <f>+'QTR Raw'!T82</f>
        <v>0</v>
      </c>
      <c r="AY136" s="38">
        <f>+'QTR Raw'!U82</f>
        <v>32.1</v>
      </c>
      <c r="AZ136" s="38">
        <f>+'QTR Raw'!V82</f>
        <v>0</v>
      </c>
      <c r="BA136" s="38">
        <f>+'QTR Raw'!W82</f>
        <v>58.36</v>
      </c>
      <c r="BB136" s="38">
        <f>+'QTR Raw'!X82</f>
        <v>0</v>
      </c>
      <c r="BC136" s="38">
        <f>+'QTR Raw'!Y82</f>
        <v>47.51</v>
      </c>
      <c r="BD136" s="38">
        <f>+'QTR Raw'!Z82</f>
        <v>0</v>
      </c>
      <c r="BE136" s="38">
        <f>+'QTR Raw'!AA82</f>
        <v>132.44999999999999</v>
      </c>
      <c r="BF136" s="38">
        <f>+'QTR Raw'!AB82</f>
        <v>0</v>
      </c>
      <c r="BG136" s="38">
        <f>+'QTR Raw'!AC82</f>
        <v>97.37</v>
      </c>
      <c r="BH136" s="38">
        <f>+'QTR Raw'!AD82</f>
        <v>0</v>
      </c>
      <c r="BI136" s="38">
        <f>+'QTR Raw'!AE82</f>
        <v>118.48</v>
      </c>
      <c r="BJ136" s="38">
        <f>+'QTR Raw'!AF82</f>
        <v>0</v>
      </c>
      <c r="BK136" s="38">
        <f>+'QTR Raw'!AG82</f>
        <v>110.84</v>
      </c>
      <c r="BL136" s="38">
        <f>+'QTR Raw'!AH82</f>
        <v>0</v>
      </c>
      <c r="BM136" s="38">
        <f>+'QTR Raw'!AI82</f>
        <v>181.22</v>
      </c>
      <c r="BN136" s="38">
        <f>+'QTR Raw'!AJ82</f>
        <v>0</v>
      </c>
      <c r="BO136" s="38">
        <f>+'QTR Raw'!AK82</f>
        <v>173.73</v>
      </c>
      <c r="BP136" s="38">
        <f>+'QTR Raw'!AL82</f>
        <v>0</v>
      </c>
      <c r="BQ136" s="38">
        <f>+'QTR Raw'!AM82</f>
        <v>182.61</v>
      </c>
      <c r="BR136" s="38">
        <f>+'QTR Raw'!AN82</f>
        <v>0</v>
      </c>
      <c r="BS136" s="38">
        <f>+'QTR Raw'!AO82</f>
        <v>148.97</v>
      </c>
      <c r="BT136" s="38">
        <f>+'QTR Raw'!AP82</f>
        <v>0</v>
      </c>
      <c r="BU136" s="38">
        <f>+'QTR Raw'!AQ82</f>
        <v>169.04</v>
      </c>
      <c r="BV136" s="38">
        <f>+'QTR Raw'!AR82</f>
        <v>0</v>
      </c>
      <c r="BW136" s="38">
        <f>+'QTR Raw'!AS82</f>
        <v>342.44</v>
      </c>
      <c r="BX136" s="38">
        <f t="shared" ref="BX136:CO136" si="1063">+BW137</f>
        <v>582.45000000000005</v>
      </c>
      <c r="BY136" s="38">
        <f>+'QTR Raw'!AU82</f>
        <v>657.21</v>
      </c>
      <c r="BZ136" s="39">
        <f t="shared" si="1063"/>
        <v>777.17000000000007</v>
      </c>
      <c r="CA136" s="39">
        <f t="shared" si="1063"/>
        <v>777.17000000000007</v>
      </c>
      <c r="CB136" s="39">
        <f t="shared" si="1063"/>
        <v>777.17000000000007</v>
      </c>
      <c r="CC136" s="39">
        <f t="shared" si="1063"/>
        <v>777.17000000000007</v>
      </c>
      <c r="CD136" s="39">
        <f t="shared" si="1063"/>
        <v>777.17000000000007</v>
      </c>
      <c r="CE136" s="39">
        <f t="shared" si="1063"/>
        <v>777.17000000000007</v>
      </c>
      <c r="CF136" s="39">
        <f t="shared" si="1063"/>
        <v>777.17000000000007</v>
      </c>
      <c r="CG136" s="39">
        <f t="shared" si="1063"/>
        <v>777.17000000000007</v>
      </c>
      <c r="CH136" s="39">
        <f t="shared" si="1063"/>
        <v>777.17000000000007</v>
      </c>
      <c r="CI136" s="39">
        <f t="shared" si="1063"/>
        <v>777.17000000000007</v>
      </c>
      <c r="CJ136" s="39">
        <f t="shared" si="1063"/>
        <v>777.17000000000007</v>
      </c>
      <c r="CK136" s="39">
        <f t="shared" si="1063"/>
        <v>777.17000000000007</v>
      </c>
      <c r="CL136" s="39">
        <f t="shared" si="1063"/>
        <v>777.17000000000007</v>
      </c>
      <c r="CM136" s="39">
        <f t="shared" si="1063"/>
        <v>777.17000000000007</v>
      </c>
      <c r="CN136" s="39">
        <f t="shared" si="1063"/>
        <v>777.17000000000007</v>
      </c>
      <c r="CO136" s="39">
        <f t="shared" si="1063"/>
        <v>777.17000000000007</v>
      </c>
      <c r="CT136" s="38">
        <v>657.21</v>
      </c>
    </row>
    <row r="137" spans="1:98" s="43" customFormat="1" x14ac:dyDescent="0.2">
      <c r="A137" s="43" t="s">
        <v>244</v>
      </c>
      <c r="B137" s="43">
        <f>+SUM(B133:B136)</f>
        <v>0</v>
      </c>
      <c r="C137" s="43">
        <f t="shared" ref="C137:Z137" si="1064">+SUM(C133:C136)</f>
        <v>0</v>
      </c>
      <c r="D137" s="43">
        <f t="shared" si="1064"/>
        <v>0</v>
      </c>
      <c r="E137" s="43">
        <f t="shared" si="1064"/>
        <v>0</v>
      </c>
      <c r="F137" s="43">
        <f t="shared" si="1064"/>
        <v>0</v>
      </c>
      <c r="G137" s="43">
        <f t="shared" si="1064"/>
        <v>0</v>
      </c>
      <c r="H137" s="43">
        <f t="shared" si="1064"/>
        <v>0</v>
      </c>
      <c r="I137" s="43">
        <f t="shared" si="1064"/>
        <v>0</v>
      </c>
      <c r="J137" s="43">
        <f t="shared" si="1064"/>
        <v>0.88277749999999999</v>
      </c>
      <c r="K137" s="43">
        <f t="shared" si="1064"/>
        <v>3.1148886</v>
      </c>
      <c r="L137" s="43">
        <f t="shared" si="1064"/>
        <v>5.2381621999999997</v>
      </c>
      <c r="M137" s="43">
        <f t="shared" si="1064"/>
        <v>27.249835300000001</v>
      </c>
      <c r="N137" s="43">
        <f t="shared" si="1064"/>
        <v>51.133982400000001</v>
      </c>
      <c r="O137" s="43">
        <f t="shared" si="1064"/>
        <v>53.074006800000006</v>
      </c>
      <c r="P137" s="43">
        <f t="shared" si="1064"/>
        <v>86.072377900000006</v>
      </c>
      <c r="Q137" s="43">
        <f t="shared" si="1064"/>
        <v>61.035761300000004</v>
      </c>
      <c r="R137" s="43">
        <f t="shared" si="1064"/>
        <v>49.343107600000003</v>
      </c>
      <c r="S137" s="43">
        <f t="shared" si="1064"/>
        <v>9.85</v>
      </c>
      <c r="T137" s="43">
        <f t="shared" si="1064"/>
        <v>45.07</v>
      </c>
      <c r="U137" s="43">
        <f t="shared" si="1064"/>
        <v>42.010000000000005</v>
      </c>
      <c r="V137" s="43">
        <f t="shared" si="1064"/>
        <v>105.85</v>
      </c>
      <c r="W137" s="43">
        <f t="shared" si="1064"/>
        <v>99.03</v>
      </c>
      <c r="X137" s="43">
        <f t="shared" si="1064"/>
        <v>165.81</v>
      </c>
      <c r="Y137" s="43">
        <f t="shared" si="1064"/>
        <v>298.76</v>
      </c>
      <c r="Z137" s="43">
        <f t="shared" si="1064"/>
        <v>296.42</v>
      </c>
      <c r="AA137" s="43">
        <f t="shared" ref="AA137" si="1065">+SUM(AA133:AA136)</f>
        <v>743.81</v>
      </c>
      <c r="AB137" s="44">
        <f t="shared" ref="AB137" si="1066">+SUM(AB133:AB136)</f>
        <v>777.17000000000007</v>
      </c>
      <c r="AC137" s="44">
        <f t="shared" ref="AC137" si="1067">+SUM(AC133:AC136)</f>
        <v>777.17000000000007</v>
      </c>
      <c r="AD137" s="44">
        <f t="shared" ref="AD137" si="1068">+SUM(AD133:AD136)</f>
        <v>777.17000000000007</v>
      </c>
      <c r="AE137" s="44">
        <f t="shared" ref="AE137" si="1069">+SUM(AE133:AE136)</f>
        <v>777.17000000000007</v>
      </c>
      <c r="AG137" s="62"/>
      <c r="AH137" s="43">
        <f t="shared" ref="AH137" si="1070">+SUM(AH133:AH136)</f>
        <v>0</v>
      </c>
      <c r="AI137" s="43">
        <f t="shared" ref="AI137" si="1071">+SUM(AI133:AI136)</f>
        <v>0</v>
      </c>
      <c r="AJ137" s="43">
        <f t="shared" ref="AJ137" si="1072">+SUM(AJ133:AJ136)</f>
        <v>0</v>
      </c>
      <c r="AK137" s="43">
        <f t="shared" ref="AK137" si="1073">+SUM(AK133:AK136)</f>
        <v>0</v>
      </c>
      <c r="AL137" s="43">
        <f t="shared" ref="AL137" si="1074">+SUM(AL133:AL136)</f>
        <v>0</v>
      </c>
      <c r="AM137" s="43">
        <f t="shared" ref="AM137" si="1075">+SUM(AM133:AM136)</f>
        <v>0</v>
      </c>
      <c r="AN137" s="43">
        <f t="shared" ref="AN137" si="1076">+SUM(AN133:AN136)</f>
        <v>0</v>
      </c>
      <c r="AO137" s="43">
        <f t="shared" ref="AO137" si="1077">+SUM(AO133:AO136)</f>
        <v>0</v>
      </c>
      <c r="AP137" s="43">
        <f t="shared" ref="AP137" si="1078">+SUM(AP133:AP136)</f>
        <v>0</v>
      </c>
      <c r="AQ137" s="43">
        <f t="shared" ref="AQ137" si="1079">+SUM(AQ133:AQ136)</f>
        <v>0</v>
      </c>
      <c r="AR137" s="43">
        <f t="shared" ref="AR137" si="1080">+SUM(AR133:AR136)</f>
        <v>0</v>
      </c>
      <c r="AS137" s="43">
        <f t="shared" ref="AS137" si="1081">+SUM(AS133:AS136)</f>
        <v>27.560000000000002</v>
      </c>
      <c r="AT137" s="43">
        <f t="shared" ref="AT137" si="1082">+SUM(AT133:AT136)</f>
        <v>0</v>
      </c>
      <c r="AU137" s="43">
        <f t="shared" ref="AU137" si="1083">+SUM(AU133:AU136)</f>
        <v>51.120000000000005</v>
      </c>
      <c r="AV137" s="43">
        <f t="shared" ref="AV137:BV137" si="1084">+SUM(AV133:AV136)</f>
        <v>0</v>
      </c>
      <c r="AW137" s="43">
        <f t="shared" si="1084"/>
        <v>68.31</v>
      </c>
      <c r="AX137" s="43">
        <f t="shared" si="1084"/>
        <v>0</v>
      </c>
      <c r="AY137" s="43">
        <f t="shared" si="1084"/>
        <v>153.61000000000001</v>
      </c>
      <c r="AZ137" s="43">
        <f t="shared" si="1084"/>
        <v>0</v>
      </c>
      <c r="BA137" s="43">
        <f t="shared" si="1084"/>
        <v>145.92000000000002</v>
      </c>
      <c r="BB137" s="43">
        <f t="shared" si="1084"/>
        <v>0</v>
      </c>
      <c r="BC137" s="43">
        <f t="shared" si="1084"/>
        <v>134.32999999999998</v>
      </c>
      <c r="BD137" s="43">
        <f t="shared" si="1084"/>
        <v>0</v>
      </c>
      <c r="BE137" s="43">
        <f t="shared" si="1084"/>
        <v>244.85</v>
      </c>
      <c r="BF137" s="43">
        <f t="shared" si="1084"/>
        <v>0</v>
      </c>
      <c r="BG137" s="43">
        <f t="shared" si="1084"/>
        <v>217.91000000000003</v>
      </c>
      <c r="BH137" s="43">
        <f t="shared" si="1084"/>
        <v>0</v>
      </c>
      <c r="BI137" s="43">
        <f t="shared" si="1084"/>
        <v>242.10000000000002</v>
      </c>
      <c r="BJ137" s="43">
        <f t="shared" si="1084"/>
        <v>0</v>
      </c>
      <c r="BK137" s="43">
        <f t="shared" si="1084"/>
        <v>280.02999999999997</v>
      </c>
      <c r="BL137" s="43">
        <f t="shared" si="1084"/>
        <v>0</v>
      </c>
      <c r="BM137" s="43">
        <f t="shared" si="1084"/>
        <v>304.65999999999997</v>
      </c>
      <c r="BN137" s="43">
        <f t="shared" si="1084"/>
        <v>0</v>
      </c>
      <c r="BO137" s="43">
        <f t="shared" si="1084"/>
        <v>306.04999999999995</v>
      </c>
      <c r="BP137" s="43">
        <f t="shared" si="1084"/>
        <v>0</v>
      </c>
      <c r="BQ137" s="43">
        <f t="shared" si="1084"/>
        <v>351.76</v>
      </c>
      <c r="BR137" s="43">
        <f t="shared" si="1084"/>
        <v>0</v>
      </c>
      <c r="BS137" s="43">
        <f t="shared" si="1084"/>
        <v>303.72000000000003</v>
      </c>
      <c r="BT137" s="43">
        <f t="shared" si="1084"/>
        <v>0</v>
      </c>
      <c r="BU137" s="43">
        <f t="shared" si="1084"/>
        <v>316.83</v>
      </c>
      <c r="BV137" s="43">
        <f t="shared" si="1084"/>
        <v>0</v>
      </c>
      <c r="BW137" s="43">
        <f t="shared" ref="BW137:BY137" si="1085">+SUM(BW133:BW136)</f>
        <v>582.45000000000005</v>
      </c>
      <c r="BX137" s="43">
        <f t="shared" ref="BX137" si="1086">+SUM(BX133:BX136)</f>
        <v>582.45000000000005</v>
      </c>
      <c r="BY137" s="43">
        <f t="shared" si="1085"/>
        <v>777.17000000000007</v>
      </c>
      <c r="BZ137" s="44">
        <f t="shared" ref="BZ137" si="1087">+SUM(BZ133:BZ136)</f>
        <v>777.17000000000007</v>
      </c>
      <c r="CA137" s="44">
        <f t="shared" ref="CA137" si="1088">+SUM(CA133:CA136)</f>
        <v>777.17000000000007</v>
      </c>
      <c r="CB137" s="44">
        <f t="shared" ref="CB137" si="1089">+SUM(CB133:CB136)</f>
        <v>777.17000000000007</v>
      </c>
      <c r="CC137" s="44">
        <f t="shared" ref="CC137" si="1090">+SUM(CC133:CC136)</f>
        <v>777.17000000000007</v>
      </c>
      <c r="CD137" s="44">
        <f t="shared" ref="CD137" si="1091">+SUM(CD133:CD136)</f>
        <v>777.17000000000007</v>
      </c>
      <c r="CE137" s="44">
        <f t="shared" ref="CE137" si="1092">+SUM(CE133:CE136)</f>
        <v>777.17000000000007</v>
      </c>
      <c r="CF137" s="44">
        <f t="shared" ref="CF137" si="1093">+SUM(CF133:CF136)</f>
        <v>777.17000000000007</v>
      </c>
      <c r="CG137" s="44">
        <f t="shared" ref="CG137" si="1094">+SUM(CG133:CG136)</f>
        <v>777.17000000000007</v>
      </c>
      <c r="CH137" s="44">
        <f t="shared" ref="CH137" si="1095">+SUM(CH133:CH136)</f>
        <v>777.17000000000007</v>
      </c>
      <c r="CI137" s="44">
        <f t="shared" ref="CI137" si="1096">+SUM(CI133:CI136)</f>
        <v>777.17000000000007</v>
      </c>
      <c r="CJ137" s="44">
        <f t="shared" ref="CJ137" si="1097">+SUM(CJ133:CJ136)</f>
        <v>777.17000000000007</v>
      </c>
      <c r="CK137" s="44">
        <f t="shared" ref="CK137" si="1098">+SUM(CK133:CK136)</f>
        <v>777.17000000000007</v>
      </c>
      <c r="CL137" s="44">
        <f t="shared" ref="CL137" si="1099">+SUM(CL133:CL136)</f>
        <v>777.17000000000007</v>
      </c>
      <c r="CM137" s="44">
        <f t="shared" ref="CM137" si="1100">+SUM(CM133:CM136)</f>
        <v>777.17000000000007</v>
      </c>
      <c r="CN137" s="44">
        <f t="shared" ref="CN137" si="1101">+SUM(CN133:CN136)</f>
        <v>777.17000000000007</v>
      </c>
      <c r="CO137" s="44">
        <f t="shared" ref="CO137" si="1102">+SUM(CO133:CO136)</f>
        <v>777.17000000000007</v>
      </c>
      <c r="CT137" s="43">
        <v>657.21</v>
      </c>
    </row>
    <row r="138" spans="1:98" s="38" customFormat="1" x14ac:dyDescent="0.2">
      <c r="A138" s="38" t="s">
        <v>209</v>
      </c>
      <c r="B138" s="38">
        <f>+'Annual Raw'!C89</f>
        <v>0</v>
      </c>
      <c r="C138" s="38">
        <f>+'Annual Raw'!D89</f>
        <v>0</v>
      </c>
      <c r="D138" s="38">
        <f>+'Annual Raw'!E89</f>
        <v>0</v>
      </c>
      <c r="E138" s="38">
        <f>+'Annual Raw'!F89</f>
        <v>0</v>
      </c>
      <c r="F138" s="38">
        <f>+'Annual Raw'!G89</f>
        <v>0</v>
      </c>
      <c r="G138" s="38">
        <f>+'Annual Raw'!H89</f>
        <v>0</v>
      </c>
      <c r="H138" s="38">
        <f>+'Annual Raw'!I89</f>
        <v>0</v>
      </c>
      <c r="I138" s="38">
        <f>+'Annual Raw'!J89</f>
        <v>0</v>
      </c>
      <c r="J138" s="38">
        <f>+'Annual Raw'!K89</f>
        <v>0</v>
      </c>
      <c r="K138" s="38">
        <f>+'Annual Raw'!L89</f>
        <v>0</v>
      </c>
      <c r="L138" s="38">
        <f>+'Annual Raw'!M89</f>
        <v>0</v>
      </c>
      <c r="M138" s="38">
        <f>+'Annual Raw'!N89</f>
        <v>0</v>
      </c>
      <c r="N138" s="38">
        <f>+'Annual Raw'!O89</f>
        <v>0</v>
      </c>
      <c r="O138" s="38">
        <f>+'Annual Raw'!P89</f>
        <v>0</v>
      </c>
      <c r="P138" s="38">
        <f>+'Annual Raw'!Q89</f>
        <v>0</v>
      </c>
      <c r="Q138" s="38">
        <f>+'Annual Raw'!R89</f>
        <v>0</v>
      </c>
      <c r="R138" s="38">
        <f>+'Annual Raw'!S89</f>
        <v>0</v>
      </c>
      <c r="S138" s="38">
        <f>+'Annual Raw'!T89</f>
        <v>0</v>
      </c>
      <c r="T138" s="38">
        <f>+'Annual Raw'!U89</f>
        <v>0</v>
      </c>
      <c r="U138" s="38">
        <f>+'Annual Raw'!V89</f>
        <v>0</v>
      </c>
      <c r="V138" s="38">
        <f>+'Annual Raw'!W89</f>
        <v>0</v>
      </c>
      <c r="W138" s="38">
        <f>+'Annual Raw'!X89</f>
        <v>0</v>
      </c>
      <c r="X138" s="38">
        <f>+'Annual Raw'!Y89</f>
        <v>66.8</v>
      </c>
      <c r="Y138" s="38">
        <f>+'Annual Raw'!Z89</f>
        <v>87.81</v>
      </c>
      <c r="Z138" s="38">
        <f>+'Annual Raw'!AA89</f>
        <v>89.37</v>
      </c>
      <c r="AA138" s="38">
        <f>+'Annual Raw'!AB89</f>
        <v>85.83</v>
      </c>
      <c r="AB138" s="39"/>
      <c r="AC138" s="39"/>
      <c r="AD138" s="39"/>
      <c r="AE138" s="39"/>
      <c r="AG138" s="60"/>
      <c r="AH138" s="38">
        <f>+'QTR Raw'!D62</f>
        <v>0</v>
      </c>
      <c r="AI138" s="38">
        <f>+'QTR Raw'!E62</f>
        <v>0</v>
      </c>
      <c r="AJ138" s="38">
        <f>+'QTR Raw'!F62</f>
        <v>0</v>
      </c>
      <c r="AK138" s="38">
        <f>+'QTR Raw'!G62</f>
        <v>0</v>
      </c>
      <c r="AL138" s="38">
        <f>+'QTR Raw'!H62</f>
        <v>0</v>
      </c>
      <c r="AM138" s="38">
        <f>+'QTR Raw'!I62</f>
        <v>0</v>
      </c>
      <c r="AN138" s="38">
        <f>+'QTR Raw'!J62</f>
        <v>0</v>
      </c>
      <c r="AO138" s="38">
        <f>+'QTR Raw'!K62</f>
        <v>0</v>
      </c>
      <c r="AP138" s="38">
        <f>+'QTR Raw'!L62</f>
        <v>0</v>
      </c>
      <c r="AQ138" s="38">
        <f>+'QTR Raw'!M62</f>
        <v>0</v>
      </c>
      <c r="AR138" s="38">
        <f>+'QTR Raw'!N62</f>
        <v>0</v>
      </c>
      <c r="AS138" s="38">
        <f>+'QTR Raw'!O62</f>
        <v>11.02</v>
      </c>
      <c r="AT138" s="38">
        <f>+'QTR Raw'!P62</f>
        <v>0</v>
      </c>
      <c r="AU138" s="38">
        <f>+'QTR Raw'!Q62</f>
        <v>34.29</v>
      </c>
      <c r="AV138" s="38">
        <f>+'QTR Raw'!R62</f>
        <v>0</v>
      </c>
      <c r="AW138" s="38">
        <f>+'QTR Raw'!S62</f>
        <v>9.9</v>
      </c>
      <c r="AX138" s="38">
        <f>+'QTR Raw'!T62</f>
        <v>0</v>
      </c>
      <c r="AY138" s="38">
        <f>+'QTR Raw'!U62</f>
        <v>11.38</v>
      </c>
      <c r="AZ138" s="38">
        <f>+'QTR Raw'!V62</f>
        <v>0</v>
      </c>
      <c r="BA138" s="38">
        <f>+'QTR Raw'!W62</f>
        <v>11.21</v>
      </c>
      <c r="BB138" s="38">
        <f>+'QTR Raw'!X62</f>
        <v>0</v>
      </c>
      <c r="BC138" s="38">
        <f>+'QTR Raw'!Y62</f>
        <v>64.739999999999995</v>
      </c>
      <c r="BD138" s="38">
        <f>+'QTR Raw'!Z62</f>
        <v>0</v>
      </c>
      <c r="BE138" s="38">
        <f>+'QTR Raw'!AA62</f>
        <v>12.36</v>
      </c>
      <c r="BF138" s="38">
        <f>+'QTR Raw'!AB62</f>
        <v>0</v>
      </c>
      <c r="BG138" s="38">
        <f>+'QTR Raw'!AC62</f>
        <v>12.93</v>
      </c>
      <c r="BH138" s="38">
        <f>+'QTR Raw'!AD62</f>
        <v>0</v>
      </c>
      <c r="BI138" s="38">
        <f>+'QTR Raw'!AE62</f>
        <v>14.98</v>
      </c>
      <c r="BJ138" s="38">
        <f>+'QTR Raw'!AF62</f>
        <v>0</v>
      </c>
      <c r="BK138" s="38">
        <f>+'QTR Raw'!AG62</f>
        <v>16.239999999999998</v>
      </c>
      <c r="BL138" s="38">
        <f>+'QTR Raw'!AH62</f>
        <v>0</v>
      </c>
      <c r="BM138" s="38">
        <f>+'QTR Raw'!AI62</f>
        <v>19.66</v>
      </c>
      <c r="BN138" s="38">
        <f>+'QTR Raw'!AJ62</f>
        <v>0</v>
      </c>
      <c r="BO138" s="38">
        <f>+'QTR Raw'!AK62</f>
        <v>51.33</v>
      </c>
      <c r="BP138" s="38">
        <f>+'QTR Raw'!AL62</f>
        <v>0</v>
      </c>
      <c r="BQ138" s="38">
        <f>+'QTR Raw'!AM62</f>
        <v>24.86</v>
      </c>
      <c r="BR138" s="38">
        <f>+'QTR Raw'!AN62</f>
        <v>0</v>
      </c>
      <c r="BS138" s="38">
        <f>+'QTR Raw'!AO62</f>
        <v>67.19</v>
      </c>
      <c r="BT138" s="38">
        <f>+'QTR Raw'!AP62</f>
        <v>0</v>
      </c>
      <c r="BU138" s="38">
        <f>+'QTR Raw'!AQ62</f>
        <v>40.83</v>
      </c>
      <c r="BV138" s="38">
        <f>+'QTR Raw'!AR62</f>
        <v>0</v>
      </c>
      <c r="BW138" s="38">
        <f>+'QTR Raw'!AS62</f>
        <v>30.8</v>
      </c>
      <c r="BY138" s="38">
        <f>+'QTR Raw'!AU62</f>
        <v>61.8</v>
      </c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T138" s="38">
        <v>85.83</v>
      </c>
    </row>
    <row r="139" spans="1:98" s="38" customFormat="1" x14ac:dyDescent="0.2">
      <c r="A139" s="38" t="s">
        <v>245</v>
      </c>
      <c r="B139" s="38">
        <f>+'Annual Raw'!C90</f>
        <v>0</v>
      </c>
      <c r="C139" s="38">
        <f>+'Annual Raw'!D90</f>
        <v>0</v>
      </c>
      <c r="D139" s="38">
        <f>+'Annual Raw'!E90</f>
        <v>0</v>
      </c>
      <c r="E139" s="38">
        <f>+'Annual Raw'!F90</f>
        <v>0</v>
      </c>
      <c r="F139" s="38">
        <f>+'Annual Raw'!G90</f>
        <v>0</v>
      </c>
      <c r="G139" s="38">
        <f>+'Annual Raw'!H90</f>
        <v>0</v>
      </c>
      <c r="H139" s="38">
        <f>+'Annual Raw'!I90</f>
        <v>0</v>
      </c>
      <c r="I139" s="38">
        <f>+'Annual Raw'!J90</f>
        <v>0</v>
      </c>
      <c r="J139" s="38">
        <f>+'Annual Raw'!K90</f>
        <v>0</v>
      </c>
      <c r="K139" s="38">
        <f>+'Annual Raw'!L90</f>
        <v>0</v>
      </c>
      <c r="L139" s="38">
        <f>+'Annual Raw'!M90</f>
        <v>0</v>
      </c>
      <c r="M139" s="38">
        <f>+'Annual Raw'!N90</f>
        <v>0</v>
      </c>
      <c r="N139" s="38">
        <f>+'Annual Raw'!O90</f>
        <v>0</v>
      </c>
      <c r="O139" s="38">
        <f>+'Annual Raw'!P90</f>
        <v>0</v>
      </c>
      <c r="P139" s="38">
        <f>+'Annual Raw'!Q90</f>
        <v>0</v>
      </c>
      <c r="Q139" s="38">
        <f>+'Annual Raw'!R90</f>
        <v>0</v>
      </c>
      <c r="R139" s="38">
        <f>+'Annual Raw'!S90</f>
        <v>0</v>
      </c>
      <c r="S139" s="38">
        <f>+'Annual Raw'!T90</f>
        <v>0</v>
      </c>
      <c r="T139" s="38">
        <f>+'Annual Raw'!U90</f>
        <v>0</v>
      </c>
      <c r="U139" s="38">
        <f>+'Annual Raw'!V90</f>
        <v>0</v>
      </c>
      <c r="V139" s="38">
        <f>+'Annual Raw'!W90</f>
        <v>0</v>
      </c>
      <c r="W139" s="38">
        <f>+'Annual Raw'!X90</f>
        <v>0</v>
      </c>
      <c r="X139" s="38">
        <f>+'Annual Raw'!Y90</f>
        <v>0</v>
      </c>
      <c r="Y139" s="38">
        <f>+'Annual Raw'!Z90</f>
        <v>0</v>
      </c>
      <c r="Z139" s="38">
        <f>+'Annual Raw'!AA90</f>
        <v>0</v>
      </c>
      <c r="AA139" s="38">
        <f>+'Annual Raw'!AB90</f>
        <v>0</v>
      </c>
      <c r="AB139" s="39"/>
      <c r="AC139" s="39"/>
      <c r="AD139" s="39"/>
      <c r="AE139" s="39"/>
      <c r="AG139" s="60"/>
      <c r="AH139" s="38">
        <f>+'QTR Raw'!D63</f>
        <v>0</v>
      </c>
      <c r="AI139" s="38">
        <f>+'QTR Raw'!E63</f>
        <v>0</v>
      </c>
      <c r="AJ139" s="38">
        <f>+'QTR Raw'!F63</f>
        <v>0</v>
      </c>
      <c r="AK139" s="38">
        <f>+'QTR Raw'!G63</f>
        <v>0</v>
      </c>
      <c r="AL139" s="38">
        <f>+'QTR Raw'!H63</f>
        <v>0</v>
      </c>
      <c r="AM139" s="38">
        <f>+'QTR Raw'!I63</f>
        <v>0</v>
      </c>
      <c r="AN139" s="38">
        <f>+'QTR Raw'!J63</f>
        <v>0</v>
      </c>
      <c r="AO139" s="38">
        <f>+'QTR Raw'!K63</f>
        <v>0</v>
      </c>
      <c r="AP139" s="38">
        <f>+'QTR Raw'!L63</f>
        <v>0</v>
      </c>
      <c r="AQ139" s="38">
        <f>+'QTR Raw'!M63</f>
        <v>0</v>
      </c>
      <c r="AR139" s="38">
        <f>+'QTR Raw'!N63</f>
        <v>0</v>
      </c>
      <c r="AS139" s="38">
        <f>+'QTR Raw'!O63</f>
        <v>0</v>
      </c>
      <c r="AT139" s="38">
        <f>+'QTR Raw'!P63</f>
        <v>0</v>
      </c>
      <c r="AU139" s="38">
        <f>+'QTR Raw'!Q63</f>
        <v>0</v>
      </c>
      <c r="AV139" s="38">
        <f>+'QTR Raw'!R63</f>
        <v>0</v>
      </c>
      <c r="AW139" s="38">
        <f>+'QTR Raw'!S63</f>
        <v>0</v>
      </c>
      <c r="AX139" s="38">
        <f>+'QTR Raw'!T63</f>
        <v>0</v>
      </c>
      <c r="AY139" s="38">
        <f>+'QTR Raw'!U63</f>
        <v>0</v>
      </c>
      <c r="AZ139" s="38">
        <f>+'QTR Raw'!V63</f>
        <v>0</v>
      </c>
      <c r="BA139" s="38">
        <f>+'QTR Raw'!W63</f>
        <v>0</v>
      </c>
      <c r="BB139" s="38">
        <f>+'QTR Raw'!X63</f>
        <v>0</v>
      </c>
      <c r="BC139" s="38">
        <f>+'QTR Raw'!Y63</f>
        <v>0</v>
      </c>
      <c r="BD139" s="38">
        <f>+'QTR Raw'!Z63</f>
        <v>0</v>
      </c>
      <c r="BE139" s="38">
        <f>+'QTR Raw'!AA63</f>
        <v>0</v>
      </c>
      <c r="BF139" s="38">
        <f>+'QTR Raw'!AB63</f>
        <v>0</v>
      </c>
      <c r="BG139" s="38">
        <f>+'QTR Raw'!AC63</f>
        <v>0</v>
      </c>
      <c r="BH139" s="38">
        <f>+'QTR Raw'!AD63</f>
        <v>0</v>
      </c>
      <c r="BI139" s="38">
        <f>+'QTR Raw'!AE63</f>
        <v>0</v>
      </c>
      <c r="BJ139" s="38">
        <f>+'QTR Raw'!AF63</f>
        <v>0</v>
      </c>
      <c r="BK139" s="38">
        <f>+'QTR Raw'!AG63</f>
        <v>0</v>
      </c>
      <c r="BL139" s="38">
        <f>+'QTR Raw'!AH63</f>
        <v>0</v>
      </c>
      <c r="BM139" s="38">
        <f>+'QTR Raw'!AI63</f>
        <v>0</v>
      </c>
      <c r="BN139" s="38">
        <f>+'QTR Raw'!AJ63</f>
        <v>0</v>
      </c>
      <c r="BO139" s="38">
        <f>+'QTR Raw'!AK63</f>
        <v>0</v>
      </c>
      <c r="BP139" s="38">
        <f>+'QTR Raw'!AL63</f>
        <v>0</v>
      </c>
      <c r="BQ139" s="38">
        <f>+'QTR Raw'!AM63</f>
        <v>0</v>
      </c>
      <c r="BR139" s="38">
        <f>+'QTR Raw'!AN63</f>
        <v>0</v>
      </c>
      <c r="BS139" s="38">
        <f>+'QTR Raw'!AO63</f>
        <v>0</v>
      </c>
      <c r="BT139" s="38">
        <f>+'QTR Raw'!AP63</f>
        <v>0</v>
      </c>
      <c r="BU139" s="38">
        <f>+'QTR Raw'!AQ63</f>
        <v>0</v>
      </c>
      <c r="BV139" s="38">
        <f>+'QTR Raw'!AR63</f>
        <v>0</v>
      </c>
      <c r="BW139" s="38">
        <f>+'QTR Raw'!AS63</f>
        <v>0</v>
      </c>
      <c r="BY139" s="38">
        <f>+'QTR Raw'!AU63</f>
        <v>0</v>
      </c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T139" s="38">
        <v>0</v>
      </c>
    </row>
    <row r="140" spans="1:98" s="38" customFormat="1" x14ac:dyDescent="0.2">
      <c r="A140" s="38" t="s">
        <v>246</v>
      </c>
      <c r="B140" s="38">
        <f>+'Annual Raw'!C91</f>
        <v>0</v>
      </c>
      <c r="C140" s="38">
        <f>+'Annual Raw'!D91</f>
        <v>0</v>
      </c>
      <c r="D140" s="38">
        <f>+'Annual Raw'!E91</f>
        <v>0</v>
      </c>
      <c r="E140" s="38">
        <f>+'Annual Raw'!F91</f>
        <v>0</v>
      </c>
      <c r="F140" s="38">
        <f>+'Annual Raw'!G91</f>
        <v>0</v>
      </c>
      <c r="G140" s="38">
        <f>+'Annual Raw'!H91</f>
        <v>0</v>
      </c>
      <c r="H140" s="38">
        <f>+'Annual Raw'!I91</f>
        <v>0</v>
      </c>
      <c r="I140" s="38">
        <f>+'Annual Raw'!J91</f>
        <v>0</v>
      </c>
      <c r="J140" s="38">
        <f>+'Annual Raw'!K91</f>
        <v>0</v>
      </c>
      <c r="K140" s="38">
        <f>+'Annual Raw'!L91</f>
        <v>0</v>
      </c>
      <c r="L140" s="38">
        <f>+'Annual Raw'!M91</f>
        <v>0.245478</v>
      </c>
      <c r="M140" s="38">
        <f>+'Annual Raw'!N91</f>
        <v>1.1043191000000001</v>
      </c>
      <c r="N140" s="38">
        <f>+'Annual Raw'!O91</f>
        <v>5.0697701999999998</v>
      </c>
      <c r="O140" s="38">
        <f>+'Annual Raw'!P91</f>
        <v>2.9014696999999998</v>
      </c>
      <c r="P140" s="38">
        <f>+'Annual Raw'!Q91</f>
        <v>2.9842369999999998</v>
      </c>
      <c r="Q140" s="38">
        <f>+'Annual Raw'!R91</f>
        <v>10.7518592</v>
      </c>
      <c r="R140" s="38">
        <f>+'Annual Raw'!S91</f>
        <v>30.723250700000001</v>
      </c>
      <c r="S140" s="38">
        <f>+'Annual Raw'!T91</f>
        <v>143.41999999999999</v>
      </c>
      <c r="T140" s="38">
        <f>+'Annual Raw'!U91</f>
        <v>319.45</v>
      </c>
      <c r="U140" s="38">
        <f>+'Annual Raw'!V91</f>
        <v>478.8</v>
      </c>
      <c r="V140" s="38">
        <f>+'Annual Raw'!W91</f>
        <v>568.30999999999995</v>
      </c>
      <c r="W140" s="38">
        <f>+'Annual Raw'!X91</f>
        <v>462.96</v>
      </c>
      <c r="X140" s="38">
        <f>+'Annual Raw'!Y91</f>
        <v>528.83000000000004</v>
      </c>
      <c r="Y140" s="38">
        <f>+'Annual Raw'!Z91</f>
        <v>1323.35</v>
      </c>
      <c r="Z140" s="38">
        <f>+'Annual Raw'!AA91</f>
        <v>1186.76</v>
      </c>
      <c r="AA140" s="38">
        <f>+'Annual Raw'!AB91</f>
        <v>1051.03</v>
      </c>
      <c r="AB140" s="39"/>
      <c r="AC140" s="39"/>
      <c r="AD140" s="39"/>
      <c r="AE140" s="39"/>
      <c r="AG140" s="60"/>
      <c r="AH140" s="38">
        <f>+'QTR Raw'!D64</f>
        <v>0</v>
      </c>
      <c r="AI140" s="38">
        <f>+'QTR Raw'!E64</f>
        <v>0</v>
      </c>
      <c r="AJ140" s="38">
        <f>+'QTR Raw'!F64</f>
        <v>0</v>
      </c>
      <c r="AK140" s="38">
        <f>+'QTR Raw'!G64</f>
        <v>0</v>
      </c>
      <c r="AL140" s="38">
        <f>+'QTR Raw'!H64</f>
        <v>0</v>
      </c>
      <c r="AM140" s="38">
        <f>+'QTR Raw'!I64</f>
        <v>0</v>
      </c>
      <c r="AN140" s="38">
        <f>+'QTR Raw'!J64</f>
        <v>0</v>
      </c>
      <c r="AO140" s="38">
        <f>+'QTR Raw'!K64</f>
        <v>0</v>
      </c>
      <c r="AP140" s="38">
        <f>+'QTR Raw'!L64</f>
        <v>0</v>
      </c>
      <c r="AQ140" s="38">
        <f>+'QTR Raw'!M64</f>
        <v>0</v>
      </c>
      <c r="AR140" s="38">
        <f>+'QTR Raw'!N64</f>
        <v>0</v>
      </c>
      <c r="AS140" s="38">
        <f>+'QTR Raw'!O64</f>
        <v>6.53</v>
      </c>
      <c r="AT140" s="38">
        <f>+'QTR Raw'!P64</f>
        <v>0</v>
      </c>
      <c r="AU140" s="38">
        <f>+'QTR Raw'!Q64</f>
        <v>9.98</v>
      </c>
      <c r="AV140" s="38">
        <f>+'QTR Raw'!R64</f>
        <v>0</v>
      </c>
      <c r="AW140" s="38">
        <f>+'QTR Raw'!S64</f>
        <v>11.88</v>
      </c>
      <c r="AX140" s="38">
        <f>+'QTR Raw'!T64</f>
        <v>0</v>
      </c>
      <c r="AY140" s="38">
        <f>+'QTR Raw'!U64</f>
        <v>13.35</v>
      </c>
      <c r="AZ140" s="38">
        <f>+'QTR Raw'!V64</f>
        <v>0</v>
      </c>
      <c r="BA140" s="38">
        <f>+'QTR Raw'!W64</f>
        <v>20.309999999999999</v>
      </c>
      <c r="BB140" s="38">
        <f>+'QTR Raw'!X64</f>
        <v>0</v>
      </c>
      <c r="BC140" s="38">
        <f>+'QTR Raw'!Y64</f>
        <v>24.41</v>
      </c>
      <c r="BD140" s="38">
        <f>+'QTR Raw'!Z64</f>
        <v>0</v>
      </c>
      <c r="BE140" s="38">
        <f>+'QTR Raw'!AA64</f>
        <v>25.53</v>
      </c>
      <c r="BF140" s="38">
        <f>+'QTR Raw'!AB64</f>
        <v>0</v>
      </c>
      <c r="BG140" s="38">
        <f>+'QTR Raw'!AC64</f>
        <v>28.95</v>
      </c>
      <c r="BH140" s="38">
        <f>+'QTR Raw'!AD64</f>
        <v>0</v>
      </c>
      <c r="BI140" s="38">
        <f>+'QTR Raw'!AE64</f>
        <v>31.25</v>
      </c>
      <c r="BJ140" s="38">
        <f>+'QTR Raw'!AF64</f>
        <v>0</v>
      </c>
      <c r="BK140" s="38">
        <f>+'QTR Raw'!AG64</f>
        <v>34.49</v>
      </c>
      <c r="BL140" s="38">
        <f>+'QTR Raw'!AH64</f>
        <v>0</v>
      </c>
      <c r="BM140" s="38">
        <f>+'QTR Raw'!AI64</f>
        <v>36.630000000000003</v>
      </c>
      <c r="BN140" s="38">
        <f>+'QTR Raw'!AJ64</f>
        <v>0</v>
      </c>
      <c r="BO140" s="38">
        <f>+'QTR Raw'!AK64</f>
        <v>42.1</v>
      </c>
      <c r="BP140" s="38">
        <f>+'QTR Raw'!AL64</f>
        <v>0</v>
      </c>
      <c r="BQ140" s="38">
        <f>+'QTR Raw'!AM64</f>
        <v>47.46</v>
      </c>
      <c r="BR140" s="38">
        <f>+'QTR Raw'!AN64</f>
        <v>0</v>
      </c>
      <c r="BS140" s="38">
        <f>+'QTR Raw'!AO64</f>
        <v>55.16</v>
      </c>
      <c r="BT140" s="38">
        <f>+'QTR Raw'!AP64</f>
        <v>0</v>
      </c>
      <c r="BU140" s="38">
        <f>+'QTR Raw'!AQ64</f>
        <v>58.79</v>
      </c>
      <c r="BV140" s="38">
        <f>+'QTR Raw'!AR64</f>
        <v>0</v>
      </c>
      <c r="BW140" s="38">
        <f>+'QTR Raw'!AS64</f>
        <v>60.11</v>
      </c>
      <c r="BY140" s="38">
        <f>+'QTR Raw'!AU64</f>
        <v>75.91</v>
      </c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T140" s="38">
        <v>1051.03</v>
      </c>
    </row>
    <row r="141" spans="1:98" s="38" customFormat="1" x14ac:dyDescent="0.2">
      <c r="A141" s="38" t="s">
        <v>228</v>
      </c>
      <c r="AB141" s="39"/>
      <c r="AC141" s="39"/>
      <c r="AD141" s="39"/>
      <c r="AE141" s="39"/>
      <c r="AG141" s="60"/>
      <c r="AH141" s="38">
        <f>+'QTR Raw'!D85</f>
        <v>0</v>
      </c>
      <c r="AI141" s="38">
        <f>+'QTR Raw'!E85</f>
        <v>0</v>
      </c>
      <c r="AJ141" s="38">
        <f>+'QTR Raw'!F85</f>
        <v>0</v>
      </c>
      <c r="AK141" s="38">
        <f>+'QTR Raw'!G85</f>
        <v>0</v>
      </c>
      <c r="AL141" s="38">
        <f>+'QTR Raw'!H85</f>
        <v>0</v>
      </c>
      <c r="AM141" s="38">
        <f>+'QTR Raw'!I85</f>
        <v>0</v>
      </c>
      <c r="AN141" s="38">
        <f>+'QTR Raw'!J85</f>
        <v>0</v>
      </c>
      <c r="AO141" s="38">
        <f>+'QTR Raw'!K85</f>
        <v>0</v>
      </c>
      <c r="AP141" s="38">
        <f>+'QTR Raw'!L85</f>
        <v>0</v>
      </c>
      <c r="AQ141" s="38">
        <f>+'QTR Raw'!M85</f>
        <v>0</v>
      </c>
      <c r="AR141" s="38">
        <f>+'QTR Raw'!N85</f>
        <v>0</v>
      </c>
      <c r="AS141" s="38">
        <f>+'QTR Raw'!O85</f>
        <v>0</v>
      </c>
      <c r="AT141" s="38">
        <f>+'QTR Raw'!P85</f>
        <v>0</v>
      </c>
      <c r="AU141" s="38">
        <f>+'QTR Raw'!Q85</f>
        <v>0</v>
      </c>
      <c r="AV141" s="38">
        <f>+'QTR Raw'!R85</f>
        <v>0</v>
      </c>
      <c r="AW141" s="38">
        <f>+'QTR Raw'!S85</f>
        <v>0</v>
      </c>
      <c r="AX141" s="38">
        <f>+'QTR Raw'!T85</f>
        <v>0</v>
      </c>
      <c r="AY141" s="38">
        <f>+'QTR Raw'!U85</f>
        <v>0</v>
      </c>
      <c r="AZ141" s="38">
        <f>+'QTR Raw'!V85</f>
        <v>0</v>
      </c>
      <c r="BA141" s="38">
        <f>+'QTR Raw'!W85</f>
        <v>0</v>
      </c>
      <c r="BB141" s="38">
        <f>+'QTR Raw'!X85</f>
        <v>0</v>
      </c>
      <c r="BC141" s="38">
        <f>+'QTR Raw'!Y85</f>
        <v>0</v>
      </c>
      <c r="BD141" s="38">
        <f>+'QTR Raw'!Z85</f>
        <v>0</v>
      </c>
      <c r="BE141" s="38">
        <f>+'QTR Raw'!AA85</f>
        <v>0</v>
      </c>
      <c r="BF141" s="38">
        <f>+'QTR Raw'!AB85</f>
        <v>0</v>
      </c>
      <c r="BG141" s="38">
        <f>+'QTR Raw'!AC85</f>
        <v>0</v>
      </c>
      <c r="BH141" s="38">
        <f>+'QTR Raw'!AD85</f>
        <v>0</v>
      </c>
      <c r="BI141" s="38">
        <f>+'QTR Raw'!AE85</f>
        <v>0</v>
      </c>
      <c r="BJ141" s="38">
        <f>+'QTR Raw'!AF85</f>
        <v>0</v>
      </c>
      <c r="BK141" s="38">
        <f>+'QTR Raw'!AG85</f>
        <v>0</v>
      </c>
      <c r="BL141" s="38">
        <f>+'QTR Raw'!AH85</f>
        <v>0</v>
      </c>
      <c r="BM141" s="38">
        <f>+'QTR Raw'!AI85</f>
        <v>0</v>
      </c>
      <c r="BN141" s="38">
        <f>+'QTR Raw'!AJ85</f>
        <v>0</v>
      </c>
      <c r="BO141" s="38">
        <f>+'QTR Raw'!AK85</f>
        <v>0</v>
      </c>
      <c r="BP141" s="38">
        <f>+'QTR Raw'!AL85</f>
        <v>0</v>
      </c>
      <c r="BQ141" s="38">
        <f>+'QTR Raw'!AM85</f>
        <v>0</v>
      </c>
      <c r="BR141" s="38">
        <f>+'QTR Raw'!AN85</f>
        <v>0</v>
      </c>
      <c r="BS141" s="38">
        <f>+'QTR Raw'!AO85</f>
        <v>0</v>
      </c>
      <c r="BT141" s="38">
        <f>+'QTR Raw'!AP85</f>
        <v>0</v>
      </c>
      <c r="BU141" s="38">
        <f>+'QTR Raw'!AQ85</f>
        <v>0</v>
      </c>
      <c r="BV141" s="38">
        <f>+'QTR Raw'!AR85</f>
        <v>0</v>
      </c>
      <c r="BW141" s="38">
        <f>+'QTR Raw'!AS85</f>
        <v>0</v>
      </c>
      <c r="BY141" s="38">
        <f>+'QTR Raw'!AU85</f>
        <v>0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38" customFormat="1" x14ac:dyDescent="0.2">
      <c r="A142" s="38" t="s">
        <v>230</v>
      </c>
      <c r="B142" s="38">
        <f>+'Annual Raw'!C93</f>
        <v>0</v>
      </c>
      <c r="C142" s="38">
        <f>+'Annual Raw'!D93</f>
        <v>0</v>
      </c>
      <c r="D142" s="38">
        <f>+'Annual Raw'!E93</f>
        <v>0</v>
      </c>
      <c r="E142" s="38">
        <f>+'Annual Raw'!F93</f>
        <v>0</v>
      </c>
      <c r="F142" s="38">
        <f>+'Annual Raw'!G93</f>
        <v>0</v>
      </c>
      <c r="G142" s="38">
        <f>+'Annual Raw'!H93</f>
        <v>0</v>
      </c>
      <c r="H142" s="38">
        <f>+'Annual Raw'!I93</f>
        <v>0</v>
      </c>
      <c r="I142" s="38">
        <f>+'Annual Raw'!J93</f>
        <v>0</v>
      </c>
      <c r="J142" s="38">
        <f>+'Annual Raw'!K93</f>
        <v>0</v>
      </c>
      <c r="K142" s="38">
        <f>+'Annual Raw'!L93</f>
        <v>0</v>
      </c>
      <c r="L142" s="38">
        <f>+'Annual Raw'!M93</f>
        <v>0.2100679</v>
      </c>
      <c r="M142" s="38">
        <f>+'Annual Raw'!N93</f>
        <v>0</v>
      </c>
      <c r="N142" s="38">
        <f>+'Annual Raw'!O93</f>
        <v>0</v>
      </c>
      <c r="O142" s="38">
        <f>+'Annual Raw'!P93</f>
        <v>0</v>
      </c>
      <c r="P142" s="38">
        <f>+'Annual Raw'!Q93</f>
        <v>0</v>
      </c>
      <c r="Q142" s="38">
        <f>+'Annual Raw'!R93</f>
        <v>0</v>
      </c>
      <c r="R142" s="38">
        <f>+'Annual Raw'!S93</f>
        <v>0</v>
      </c>
      <c r="S142" s="38">
        <f>+'Annual Raw'!T93</f>
        <v>35.08</v>
      </c>
      <c r="T142" s="38">
        <f>+'Annual Raw'!U93</f>
        <v>103.73</v>
      </c>
      <c r="U142" s="38">
        <f>+'Annual Raw'!V93</f>
        <v>79.84</v>
      </c>
      <c r="V142" s="38">
        <f>+'Annual Raw'!W93</f>
        <v>170.26</v>
      </c>
      <c r="W142" s="38">
        <f>+'Annual Raw'!X93</f>
        <v>258.81</v>
      </c>
      <c r="X142" s="38">
        <f>+'Annual Raw'!Y93</f>
        <v>303.7</v>
      </c>
      <c r="Y142" s="38">
        <f>+'Annual Raw'!Z93</f>
        <v>256.35000000000002</v>
      </c>
      <c r="Z142" s="38">
        <f>+'Annual Raw'!AA93</f>
        <v>32.06</v>
      </c>
      <c r="AA142" s="38">
        <f>+'Annual Raw'!AB93</f>
        <v>40.33</v>
      </c>
      <c r="AB142" s="39"/>
      <c r="AC142" s="39"/>
      <c r="AD142" s="39"/>
      <c r="AE142" s="39"/>
      <c r="AG142" s="60"/>
      <c r="AH142" s="38">
        <f>+'QTR Raw'!D87</f>
        <v>0</v>
      </c>
      <c r="AI142" s="38">
        <f>+'QTR Raw'!E87</f>
        <v>0</v>
      </c>
      <c r="AJ142" s="38">
        <f>+'QTR Raw'!F87</f>
        <v>0</v>
      </c>
      <c r="AK142" s="38">
        <f>+'QTR Raw'!G87</f>
        <v>0</v>
      </c>
      <c r="AL142" s="38">
        <f>+'QTR Raw'!H87</f>
        <v>0</v>
      </c>
      <c r="AM142" s="38">
        <f>+'QTR Raw'!I87</f>
        <v>0</v>
      </c>
      <c r="AN142" s="38">
        <f>+'QTR Raw'!J87</f>
        <v>0</v>
      </c>
      <c r="AO142" s="38">
        <f>+'QTR Raw'!K87</f>
        <v>0</v>
      </c>
      <c r="AP142" s="38">
        <f>+'QTR Raw'!L87</f>
        <v>0</v>
      </c>
      <c r="AQ142" s="38">
        <f>+'QTR Raw'!M87</f>
        <v>0</v>
      </c>
      <c r="AR142" s="38">
        <f>+'QTR Raw'!N87</f>
        <v>0</v>
      </c>
      <c r="AS142" s="38">
        <f>+'QTR Raw'!O87</f>
        <v>35.08</v>
      </c>
      <c r="AT142" s="38">
        <f>+'QTR Raw'!P87</f>
        <v>0</v>
      </c>
      <c r="AU142" s="38">
        <f>+'QTR Raw'!Q87</f>
        <v>0</v>
      </c>
      <c r="AV142" s="38">
        <f>+'QTR Raw'!R87</f>
        <v>0</v>
      </c>
      <c r="AW142" s="38">
        <f>+'QTR Raw'!S87</f>
        <v>103.73</v>
      </c>
      <c r="AX142" s="38">
        <f>+'QTR Raw'!T87</f>
        <v>0</v>
      </c>
      <c r="AY142" s="38">
        <f>+'QTR Raw'!U87</f>
        <v>94.9</v>
      </c>
      <c r="AZ142" s="38">
        <f>+'QTR Raw'!V87</f>
        <v>0</v>
      </c>
      <c r="BA142" s="38">
        <f>+'QTR Raw'!W87</f>
        <v>108.65</v>
      </c>
      <c r="BB142" s="38">
        <f>+'QTR Raw'!X87</f>
        <v>0</v>
      </c>
      <c r="BC142" s="38">
        <f>+'QTR Raw'!Y87</f>
        <v>145.07</v>
      </c>
      <c r="BD142" s="38">
        <f>+'QTR Raw'!Z87</f>
        <v>0</v>
      </c>
      <c r="BE142" s="38">
        <f>+'QTR Raw'!AA87</f>
        <v>201.69</v>
      </c>
      <c r="BF142" s="38">
        <f>+'QTR Raw'!AB87</f>
        <v>0</v>
      </c>
      <c r="BG142" s="38">
        <f>+'QTR Raw'!AC87</f>
        <v>218.07</v>
      </c>
      <c r="BH142" s="38">
        <f>+'QTR Raw'!AD87</f>
        <v>0</v>
      </c>
      <c r="BI142" s="38">
        <f>+'QTR Raw'!AE87</f>
        <v>259.02</v>
      </c>
      <c r="BJ142" s="38">
        <f>+'QTR Raw'!AF87</f>
        <v>0</v>
      </c>
      <c r="BK142" s="38">
        <f>+'QTR Raw'!AG87</f>
        <v>250.04</v>
      </c>
      <c r="BL142" s="38">
        <f>+'QTR Raw'!AH87</f>
        <v>0</v>
      </c>
      <c r="BM142" s="38">
        <f>+'QTR Raw'!AI87</f>
        <v>303.7</v>
      </c>
      <c r="BN142" s="38">
        <f>+'QTR Raw'!AJ87</f>
        <v>0</v>
      </c>
      <c r="BO142" s="38">
        <f>+'QTR Raw'!AK87</f>
        <v>306.87</v>
      </c>
      <c r="BP142" s="38">
        <f>+'QTR Raw'!AL87</f>
        <v>0</v>
      </c>
      <c r="BQ142" s="38">
        <f>+'QTR Raw'!AM87</f>
        <v>256.35000000000002</v>
      </c>
      <c r="BR142" s="38">
        <f>+'QTR Raw'!AN87</f>
        <v>0</v>
      </c>
      <c r="BS142" s="38">
        <f>+'QTR Raw'!AO87</f>
        <v>227.97</v>
      </c>
      <c r="BT142" s="38">
        <f>+'QTR Raw'!AP87</f>
        <v>0</v>
      </c>
      <c r="BU142" s="38">
        <f>+'QTR Raw'!AQ87</f>
        <v>160.57</v>
      </c>
      <c r="BV142" s="38">
        <f>+'QTR Raw'!AR87</f>
        <v>0</v>
      </c>
      <c r="BW142" s="38">
        <f>+'QTR Raw'!AS87</f>
        <v>214.55</v>
      </c>
      <c r="BY142" s="38">
        <f>+'QTR Raw'!AU87</f>
        <v>198.24</v>
      </c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T142" s="38">
        <v>40.33</v>
      </c>
    </row>
    <row r="143" spans="1:98" s="38" customFormat="1" x14ac:dyDescent="0.2">
      <c r="A143" s="38" t="s">
        <v>231</v>
      </c>
      <c r="B143" s="38">
        <f>+'Annual Raw'!C94+'Annual Raw'!C101-B112</f>
        <v>0</v>
      </c>
      <c r="C143" s="38">
        <f>+'Annual Raw'!D94+'Annual Raw'!D101-C112</f>
        <v>0</v>
      </c>
      <c r="D143" s="38">
        <f>+'Annual Raw'!E94+'Annual Raw'!E101-D112</f>
        <v>0</v>
      </c>
      <c r="E143" s="38">
        <f>+'Annual Raw'!F94+'Annual Raw'!F101-E112</f>
        <v>0</v>
      </c>
      <c r="F143" s="38">
        <f>+'Annual Raw'!G94+'Annual Raw'!G101-F112</f>
        <v>0</v>
      </c>
      <c r="G143" s="38">
        <f>+'Annual Raw'!H94+'Annual Raw'!H101-G112</f>
        <v>0</v>
      </c>
      <c r="H143" s="38">
        <f>+'Annual Raw'!I94+'Annual Raw'!I101-H112</f>
        <v>0</v>
      </c>
      <c r="I143" s="38">
        <f>+'Annual Raw'!J94+'Annual Raw'!J101-I112</f>
        <v>0</v>
      </c>
      <c r="J143" s="38">
        <f>+'Annual Raw'!K94+'Annual Raw'!K101-J112</f>
        <v>5.3223501999999998</v>
      </c>
      <c r="K143" s="38">
        <f>+'Annual Raw'!L94+'Annual Raw'!L101-K112</f>
        <v>10.840714</v>
      </c>
      <c r="L143" s="38">
        <f>+'Annual Raw'!M94+'Annual Raw'!M101-L112</f>
        <v>8.3516239999999868</v>
      </c>
      <c r="M143" s="38">
        <f>+'Annual Raw'!N94+'Annual Raw'!N101-M112</f>
        <v>25.616406299999994</v>
      </c>
      <c r="N143" s="38">
        <f>+'Annual Raw'!O94+'Annual Raw'!O101-N112</f>
        <v>37.663107699999983</v>
      </c>
      <c r="O143" s="38">
        <f>+'Annual Raw'!P94+'Annual Raw'!P101-O112</f>
        <v>36.528819800000008</v>
      </c>
      <c r="P143" s="38">
        <f>+'Annual Raw'!Q94+'Annual Raw'!Q101-P112</f>
        <v>44.847978699999999</v>
      </c>
      <c r="Q143" s="38">
        <f>+'Annual Raw'!R94+'Annual Raw'!R101-Q112</f>
        <v>83.287745899999891</v>
      </c>
      <c r="R143" s="38">
        <f>+'Annual Raw'!S94+'Annual Raw'!S101-R112</f>
        <v>57.063155000000052</v>
      </c>
      <c r="S143" s="38">
        <f>+'Annual Raw'!T94+'Annual Raw'!T101-S112</f>
        <v>11.02</v>
      </c>
      <c r="T143" s="38">
        <f>+'Annual Raw'!U94+'Annual Raw'!U101-T112</f>
        <v>9.9</v>
      </c>
      <c r="U143" s="38">
        <f>+'Annual Raw'!V94+'Annual Raw'!V101-U112</f>
        <v>74.16</v>
      </c>
      <c r="V143" s="38">
        <f>+'Annual Raw'!W94+'Annual Raw'!W101-V112</f>
        <v>91.32</v>
      </c>
      <c r="W143" s="38">
        <f>+'Annual Raw'!X94+'Annual Raw'!X101-W112</f>
        <v>102.61</v>
      </c>
      <c r="X143" s="38">
        <f>+'Annual Raw'!Y94+'Annual Raw'!Y101-X112</f>
        <v>31.19</v>
      </c>
      <c r="Y143" s="38">
        <f>+'Annual Raw'!Z94+'Annual Raw'!Z101-Y112</f>
        <v>68.13</v>
      </c>
      <c r="Z143" s="38">
        <f>+'Annual Raw'!AA94+'Annual Raw'!AA101-Z112</f>
        <v>202.39</v>
      </c>
      <c r="AA143" s="38">
        <f>+'Annual Raw'!AB94+'Annual Raw'!AB101-AA112</f>
        <v>209.33</v>
      </c>
      <c r="AB143" s="39">
        <f>+CC143</f>
        <v>1359.1</v>
      </c>
      <c r="AC143" s="39">
        <f>+CG143</f>
        <v>1359.1</v>
      </c>
      <c r="AD143" s="39">
        <f>+CK143</f>
        <v>1359.1</v>
      </c>
      <c r="AE143" s="39">
        <f>+CO143</f>
        <v>1359.1</v>
      </c>
      <c r="AG143" s="60"/>
      <c r="AH143" s="38">
        <f>+'QTR Raw'!D88</f>
        <v>0</v>
      </c>
      <c r="AI143" s="38">
        <f>+'QTR Raw'!E88</f>
        <v>0</v>
      </c>
      <c r="AJ143" s="38">
        <f>+'QTR Raw'!F88</f>
        <v>0</v>
      </c>
      <c r="AK143" s="38">
        <f>+'QTR Raw'!G88</f>
        <v>0</v>
      </c>
      <c r="AL143" s="38">
        <f>+'QTR Raw'!H88</f>
        <v>0</v>
      </c>
      <c r="AM143" s="38">
        <f>+'QTR Raw'!I88</f>
        <v>0</v>
      </c>
      <c r="AN143" s="38">
        <f>+'QTR Raw'!J88</f>
        <v>0</v>
      </c>
      <c r="AO143" s="38">
        <f>+'QTR Raw'!K88</f>
        <v>0</v>
      </c>
      <c r="AP143" s="38">
        <f>+'QTR Raw'!L88</f>
        <v>0</v>
      </c>
      <c r="AQ143" s="38">
        <f>+'QTR Raw'!M88</f>
        <v>0</v>
      </c>
      <c r="AR143" s="38">
        <f>+'QTR Raw'!N88</f>
        <v>0</v>
      </c>
      <c r="AS143" s="38">
        <f>+'QTR Raw'!O88</f>
        <v>869</v>
      </c>
      <c r="AT143" s="38">
        <f>+'QTR Raw'!P88</f>
        <v>0</v>
      </c>
      <c r="AU143" s="38">
        <f>+'QTR Raw'!Q88</f>
        <v>1237.0999999999999</v>
      </c>
      <c r="AV143" s="38">
        <f>+'QTR Raw'!R88</f>
        <v>0</v>
      </c>
      <c r="AW143" s="38">
        <f>+'QTR Raw'!S88</f>
        <v>752.07</v>
      </c>
      <c r="AX143" s="38">
        <f>+'QTR Raw'!T88</f>
        <v>0</v>
      </c>
      <c r="AY143" s="38">
        <f>+'QTR Raw'!U88</f>
        <v>527.45000000000005</v>
      </c>
      <c r="AZ143" s="38">
        <f>+'QTR Raw'!V88</f>
        <v>0</v>
      </c>
      <c r="BA143" s="38">
        <f>+'QTR Raw'!W88</f>
        <v>962.81</v>
      </c>
      <c r="BB143" s="38">
        <f>+'QTR Raw'!X88</f>
        <v>0</v>
      </c>
      <c r="BC143" s="38">
        <f>+'QTR Raw'!Y88</f>
        <v>1662.96</v>
      </c>
      <c r="BD143" s="38">
        <f>+'QTR Raw'!Z88</f>
        <v>0</v>
      </c>
      <c r="BE143" s="38">
        <f>+'QTR Raw'!AA88</f>
        <v>1860.59</v>
      </c>
      <c r="BF143" s="38">
        <f>+'QTR Raw'!AB88</f>
        <v>0</v>
      </c>
      <c r="BG143" s="38">
        <f>+'QTR Raw'!AC88</f>
        <v>1871.96</v>
      </c>
      <c r="BH143" s="38">
        <f>+'QTR Raw'!AD88</f>
        <v>0</v>
      </c>
      <c r="BI143" s="38">
        <f>+'QTR Raw'!AE88</f>
        <v>1584.94</v>
      </c>
      <c r="BJ143" s="38">
        <f>+'QTR Raw'!AF88</f>
        <v>0</v>
      </c>
      <c r="BK143" s="38">
        <f>+'QTR Raw'!AG88</f>
        <v>1258.18</v>
      </c>
      <c r="BL143" s="38">
        <f>+'QTR Raw'!AH88</f>
        <v>0</v>
      </c>
      <c r="BM143" s="38">
        <f>+'QTR Raw'!AI88</f>
        <v>1829.14</v>
      </c>
      <c r="BN143" s="38">
        <f>+'QTR Raw'!AJ88</f>
        <v>0</v>
      </c>
      <c r="BO143" s="38">
        <f>+'QTR Raw'!AK88</f>
        <v>2396.29</v>
      </c>
      <c r="BP143" s="38">
        <f>+'QTR Raw'!AL88</f>
        <v>0</v>
      </c>
      <c r="BQ143" s="38">
        <f>+'QTR Raw'!AM88</f>
        <v>2198.5300000000002</v>
      </c>
      <c r="BR143" s="38">
        <f>+'QTR Raw'!AN88</f>
        <v>0</v>
      </c>
      <c r="BS143" s="38">
        <f>+'QTR Raw'!AO88</f>
        <v>2105.42</v>
      </c>
      <c r="BT143" s="38">
        <f>+'QTR Raw'!AP88</f>
        <v>0</v>
      </c>
      <c r="BU143" s="38">
        <f>+'QTR Raw'!AQ88</f>
        <v>1707.56</v>
      </c>
      <c r="BV143" s="38">
        <f>+'QTR Raw'!AR88</f>
        <v>0</v>
      </c>
      <c r="BW143" s="38">
        <f>+'QTR Raw'!AS88</f>
        <v>1319.07</v>
      </c>
      <c r="BX143" s="38">
        <f t="shared" ref="BX143:CO143" si="1103">+BW145</f>
        <v>1624.53</v>
      </c>
      <c r="BY143" s="38">
        <f>+'QTR Raw'!AU88</f>
        <v>1023.15</v>
      </c>
      <c r="BZ143" s="39">
        <f t="shared" si="1103"/>
        <v>1359.1</v>
      </c>
      <c r="CA143" s="39">
        <f t="shared" si="1103"/>
        <v>1359.1</v>
      </c>
      <c r="CB143" s="39">
        <f t="shared" si="1103"/>
        <v>1359.1</v>
      </c>
      <c r="CC143" s="39">
        <f t="shared" si="1103"/>
        <v>1359.1</v>
      </c>
      <c r="CD143" s="39">
        <f t="shared" si="1103"/>
        <v>1359.1</v>
      </c>
      <c r="CE143" s="39">
        <f t="shared" si="1103"/>
        <v>1359.1</v>
      </c>
      <c r="CF143" s="39">
        <f t="shared" si="1103"/>
        <v>1359.1</v>
      </c>
      <c r="CG143" s="39">
        <f t="shared" si="1103"/>
        <v>1359.1</v>
      </c>
      <c r="CH143" s="39">
        <f t="shared" si="1103"/>
        <v>1359.1</v>
      </c>
      <c r="CI143" s="39">
        <f t="shared" si="1103"/>
        <v>1359.1</v>
      </c>
      <c r="CJ143" s="39">
        <f t="shared" si="1103"/>
        <v>1359.1</v>
      </c>
      <c r="CK143" s="39">
        <f t="shared" si="1103"/>
        <v>1359.1</v>
      </c>
      <c r="CL143" s="39">
        <f t="shared" si="1103"/>
        <v>1359.1</v>
      </c>
      <c r="CM143" s="39">
        <f t="shared" si="1103"/>
        <v>1359.1</v>
      </c>
      <c r="CN143" s="39">
        <f t="shared" si="1103"/>
        <v>1359.1</v>
      </c>
      <c r="CO143" s="39">
        <f t="shared" si="1103"/>
        <v>1359.1</v>
      </c>
      <c r="CT143" s="38">
        <v>1023.15</v>
      </c>
    </row>
    <row r="144" spans="1:98" s="38" customFormat="1" x14ac:dyDescent="0.2">
      <c r="A144" s="38" t="s">
        <v>247</v>
      </c>
      <c r="B144" s="38">
        <f>+'Annual Raw'!C100</f>
        <v>0</v>
      </c>
      <c r="C144" s="38">
        <f>+'Annual Raw'!D100</f>
        <v>0</v>
      </c>
      <c r="D144" s="38">
        <f>+'Annual Raw'!E100</f>
        <v>0</v>
      </c>
      <c r="E144" s="38">
        <f>+'Annual Raw'!F100</f>
        <v>0</v>
      </c>
      <c r="F144" s="38">
        <f>+'Annual Raw'!G100</f>
        <v>0</v>
      </c>
      <c r="G144" s="38">
        <f>+'Annual Raw'!H100</f>
        <v>0</v>
      </c>
      <c r="H144" s="38">
        <f>+'Annual Raw'!I100</f>
        <v>0</v>
      </c>
      <c r="I144" s="38">
        <f>+'Annual Raw'!J100</f>
        <v>0</v>
      </c>
      <c r="J144" s="38">
        <f>+'Annual Raw'!K100</f>
        <v>0.4317338</v>
      </c>
      <c r="K144" s="38">
        <f>+'Annual Raw'!L100</f>
        <v>3.0304478000000001</v>
      </c>
      <c r="L144" s="38">
        <f>+'Annual Raw'!M100</f>
        <v>2.8004123999999999</v>
      </c>
      <c r="M144" s="38">
        <f>+'Annual Raw'!N100</f>
        <v>0.48467130000000003</v>
      </c>
      <c r="N144" s="38">
        <f>+'Annual Raw'!O100</f>
        <v>1.3757128000000001</v>
      </c>
      <c r="O144" s="38">
        <f>+'Annual Raw'!P100</f>
        <v>6.1507797000000002</v>
      </c>
      <c r="P144" s="38">
        <f>+'Annual Raw'!Q100</f>
        <v>12.0488704</v>
      </c>
      <c r="Q144" s="38">
        <f>+'Annual Raw'!R100</f>
        <v>20.744229300000001</v>
      </c>
      <c r="R144" s="38">
        <f>+'Annual Raw'!S100</f>
        <v>117.25403129999999</v>
      </c>
      <c r="S144" s="38">
        <f>+'Annual Raw'!T100</f>
        <v>4.76</v>
      </c>
      <c r="T144" s="38">
        <f>+'Annual Raw'!U100</f>
        <v>7.74</v>
      </c>
      <c r="U144" s="38">
        <f>+'Annual Raw'!V100</f>
        <v>12.33</v>
      </c>
      <c r="V144" s="38">
        <f>+'Annual Raw'!W100</f>
        <v>15.48</v>
      </c>
      <c r="W144" s="38">
        <f>+'Annual Raw'!X100</f>
        <v>208.39</v>
      </c>
      <c r="X144" s="38">
        <f>+'Annual Raw'!Y100</f>
        <v>264.52999999999997</v>
      </c>
      <c r="Y144" s="38">
        <f>+'Annual Raw'!Z100</f>
        <v>24.84</v>
      </c>
      <c r="Z144" s="38">
        <f>+'Annual Raw'!AA100</f>
        <v>422.13</v>
      </c>
      <c r="AA144" s="38">
        <f>+'Annual Raw'!AB100</f>
        <v>283.64999999999998</v>
      </c>
      <c r="AB144" s="39"/>
      <c r="AC144" s="39"/>
      <c r="AD144" s="39"/>
      <c r="AE144" s="39"/>
      <c r="AG144" s="60"/>
      <c r="AH144" s="38">
        <f>+'QTR Raw'!D90</f>
        <v>0</v>
      </c>
      <c r="AI144" s="38">
        <f>+'QTR Raw'!E90</f>
        <v>0</v>
      </c>
      <c r="AJ144" s="38">
        <f>+'QTR Raw'!F90</f>
        <v>0</v>
      </c>
      <c r="AK144" s="38">
        <f>+'QTR Raw'!G90</f>
        <v>0</v>
      </c>
      <c r="AL144" s="38">
        <f>+'QTR Raw'!H90</f>
        <v>0</v>
      </c>
      <c r="AM144" s="38">
        <f>+'QTR Raw'!I90</f>
        <v>0</v>
      </c>
      <c r="AN144" s="38">
        <f>+'QTR Raw'!J90</f>
        <v>0</v>
      </c>
      <c r="AO144" s="38">
        <f>+'QTR Raw'!K90</f>
        <v>0</v>
      </c>
      <c r="AP144" s="38">
        <f>+'QTR Raw'!L90</f>
        <v>0</v>
      </c>
      <c r="AQ144" s="38">
        <f>+'QTR Raw'!M90</f>
        <v>0</v>
      </c>
      <c r="AR144" s="38">
        <f>+'QTR Raw'!N90</f>
        <v>0</v>
      </c>
      <c r="AS144" s="38">
        <f>+'QTR Raw'!O90</f>
        <v>0</v>
      </c>
      <c r="AT144" s="38">
        <f>+'QTR Raw'!P90</f>
        <v>0</v>
      </c>
      <c r="AU144" s="38">
        <f>+'QTR Raw'!Q90</f>
        <v>0</v>
      </c>
      <c r="AV144" s="38">
        <f>+'QTR Raw'!R90</f>
        <v>0</v>
      </c>
      <c r="AW144" s="38">
        <f>+'QTR Raw'!S90</f>
        <v>0</v>
      </c>
      <c r="AX144" s="38">
        <f>+'QTR Raw'!T90</f>
        <v>0</v>
      </c>
      <c r="AY144" s="38">
        <f>+'QTR Raw'!U90</f>
        <v>0</v>
      </c>
      <c r="AZ144" s="38">
        <f>+'QTR Raw'!V90</f>
        <v>0</v>
      </c>
      <c r="BA144" s="38">
        <f>+'QTR Raw'!W90</f>
        <v>0</v>
      </c>
      <c r="BB144" s="38">
        <f>+'QTR Raw'!X90</f>
        <v>0</v>
      </c>
      <c r="BC144" s="38">
        <f>+'QTR Raw'!Y90</f>
        <v>0</v>
      </c>
      <c r="BD144" s="38">
        <f>+'QTR Raw'!Z90</f>
        <v>0</v>
      </c>
      <c r="BE144" s="38">
        <f>+'QTR Raw'!AA90</f>
        <v>0</v>
      </c>
      <c r="BF144" s="38">
        <f>+'QTR Raw'!AB90</f>
        <v>0</v>
      </c>
      <c r="BG144" s="38">
        <f>+'QTR Raw'!AC90</f>
        <v>0</v>
      </c>
      <c r="BH144" s="38">
        <f>+'QTR Raw'!AD90</f>
        <v>0</v>
      </c>
      <c r="BI144" s="38">
        <f>+'QTR Raw'!AE90</f>
        <v>0</v>
      </c>
      <c r="BJ144" s="38">
        <f>+'QTR Raw'!AF90</f>
        <v>0</v>
      </c>
      <c r="BK144" s="38">
        <f>+'QTR Raw'!AG90</f>
        <v>0</v>
      </c>
      <c r="BL144" s="38">
        <f>+'QTR Raw'!AH90</f>
        <v>0</v>
      </c>
      <c r="BM144" s="38">
        <f>+'QTR Raw'!AI90</f>
        <v>0</v>
      </c>
      <c r="BN144" s="38">
        <f>+'QTR Raw'!AJ90</f>
        <v>0</v>
      </c>
      <c r="BO144" s="38">
        <f>+'QTR Raw'!AK90</f>
        <v>0</v>
      </c>
      <c r="BP144" s="38">
        <f>+'QTR Raw'!AL90</f>
        <v>0</v>
      </c>
      <c r="BQ144" s="38">
        <f>+'QTR Raw'!AM90</f>
        <v>0</v>
      </c>
      <c r="BR144" s="38">
        <f>+'QTR Raw'!AN90</f>
        <v>0</v>
      </c>
      <c r="BS144" s="38">
        <f>+'QTR Raw'!AO90</f>
        <v>0</v>
      </c>
      <c r="BT144" s="38">
        <f>+'QTR Raw'!AP90</f>
        <v>0</v>
      </c>
      <c r="BU144" s="38">
        <f>+'QTR Raw'!AQ90</f>
        <v>0</v>
      </c>
      <c r="BV144" s="38">
        <f>+'QTR Raw'!AR90</f>
        <v>0</v>
      </c>
      <c r="BW144" s="38">
        <f>+'QTR Raw'!AS90</f>
        <v>0</v>
      </c>
      <c r="BY144" s="38">
        <f>+'QTR Raw'!AU90</f>
        <v>0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T144" s="38">
        <v>283.64999999999998</v>
      </c>
    </row>
    <row r="145" spans="1:98" s="43" customFormat="1" x14ac:dyDescent="0.2">
      <c r="A145" s="43" t="s">
        <v>248</v>
      </c>
      <c r="B145" s="43">
        <f>+SUM(B138:B144)</f>
        <v>0</v>
      </c>
      <c r="C145" s="43">
        <f t="shared" ref="C145:Z145" si="1104">+SUM(C138:C144)</f>
        <v>0</v>
      </c>
      <c r="D145" s="43">
        <f t="shared" si="1104"/>
        <v>0</v>
      </c>
      <c r="E145" s="43">
        <f t="shared" si="1104"/>
        <v>0</v>
      </c>
      <c r="F145" s="43">
        <f t="shared" si="1104"/>
        <v>0</v>
      </c>
      <c r="G145" s="43">
        <f t="shared" si="1104"/>
        <v>0</v>
      </c>
      <c r="H145" s="43">
        <f t="shared" si="1104"/>
        <v>0</v>
      </c>
      <c r="I145" s="43">
        <f t="shared" si="1104"/>
        <v>0</v>
      </c>
      <c r="J145" s="43">
        <f t="shared" si="1104"/>
        <v>5.7540839999999998</v>
      </c>
      <c r="K145" s="43">
        <f t="shared" si="1104"/>
        <v>13.871161799999999</v>
      </c>
      <c r="L145" s="43">
        <f t="shared" si="1104"/>
        <v>11.607582299999986</v>
      </c>
      <c r="M145" s="43">
        <f t="shared" si="1104"/>
        <v>27.205396699999994</v>
      </c>
      <c r="N145" s="43">
        <f t="shared" si="1104"/>
        <v>44.108590699999986</v>
      </c>
      <c r="O145" s="43">
        <f t="shared" si="1104"/>
        <v>45.581069200000009</v>
      </c>
      <c r="P145" s="43">
        <f t="shared" si="1104"/>
        <v>59.881086099999997</v>
      </c>
      <c r="Q145" s="43">
        <f t="shared" si="1104"/>
        <v>114.78383439999989</v>
      </c>
      <c r="R145" s="43">
        <f t="shared" si="1104"/>
        <v>205.04043700000005</v>
      </c>
      <c r="S145" s="43">
        <f t="shared" si="1104"/>
        <v>194.28</v>
      </c>
      <c r="T145" s="43">
        <f t="shared" si="1104"/>
        <v>440.82</v>
      </c>
      <c r="U145" s="43">
        <f t="shared" si="1104"/>
        <v>645.13</v>
      </c>
      <c r="V145" s="43">
        <f t="shared" si="1104"/>
        <v>845.36999999999989</v>
      </c>
      <c r="W145" s="43">
        <f t="shared" si="1104"/>
        <v>1032.77</v>
      </c>
      <c r="X145" s="43">
        <f t="shared" si="1104"/>
        <v>1195.05</v>
      </c>
      <c r="Y145" s="43">
        <f t="shared" si="1104"/>
        <v>1760.4799999999998</v>
      </c>
      <c r="Z145" s="43">
        <f t="shared" si="1104"/>
        <v>1932.71</v>
      </c>
      <c r="AA145" s="43">
        <f t="shared" ref="AA145" si="1105">+SUM(AA138:AA144)</f>
        <v>1670.1699999999996</v>
      </c>
      <c r="AB145" s="44">
        <f t="shared" ref="AB145:AE145" si="1106">+SUM(AB138:AB144)</f>
        <v>1359.1</v>
      </c>
      <c r="AC145" s="44">
        <f t="shared" si="1106"/>
        <v>1359.1</v>
      </c>
      <c r="AD145" s="44">
        <f t="shared" si="1106"/>
        <v>1359.1</v>
      </c>
      <c r="AE145" s="44">
        <f t="shared" si="1106"/>
        <v>1359.1</v>
      </c>
      <c r="AG145" s="62"/>
      <c r="AH145" s="43">
        <f t="shared" ref="AH145" si="1107">+SUM(AH138:AH144)</f>
        <v>0</v>
      </c>
      <c r="AI145" s="43">
        <f t="shared" ref="AI145:AT145" si="1108">+SUM(AI138:AI144)</f>
        <v>0</v>
      </c>
      <c r="AJ145" s="43">
        <f t="shared" si="1108"/>
        <v>0</v>
      </c>
      <c r="AK145" s="43">
        <f t="shared" si="1108"/>
        <v>0</v>
      </c>
      <c r="AL145" s="43">
        <f t="shared" si="1108"/>
        <v>0</v>
      </c>
      <c r="AM145" s="43">
        <f t="shared" si="1108"/>
        <v>0</v>
      </c>
      <c r="AN145" s="43">
        <f t="shared" si="1108"/>
        <v>0</v>
      </c>
      <c r="AO145" s="43">
        <f t="shared" si="1108"/>
        <v>0</v>
      </c>
      <c r="AP145" s="43">
        <f t="shared" si="1108"/>
        <v>0</v>
      </c>
      <c r="AQ145" s="43">
        <f t="shared" si="1108"/>
        <v>0</v>
      </c>
      <c r="AR145" s="43">
        <f t="shared" si="1108"/>
        <v>0</v>
      </c>
      <c r="AS145" s="43">
        <f t="shared" si="1108"/>
        <v>921.63</v>
      </c>
      <c r="AT145" s="43">
        <f t="shared" si="1108"/>
        <v>0</v>
      </c>
      <c r="AU145" s="43">
        <f t="shared" ref="AU145" si="1109">+SUM(AU138:AU144)</f>
        <v>1281.3699999999999</v>
      </c>
      <c r="AV145" s="43">
        <f t="shared" ref="AV145:BV145" si="1110">+SUM(AV138:AV144)</f>
        <v>0</v>
      </c>
      <c r="AW145" s="43">
        <f t="shared" si="1110"/>
        <v>877.58</v>
      </c>
      <c r="AX145" s="43">
        <f t="shared" si="1110"/>
        <v>0</v>
      </c>
      <c r="AY145" s="43">
        <f t="shared" si="1110"/>
        <v>647.08000000000004</v>
      </c>
      <c r="AZ145" s="43">
        <f t="shared" si="1110"/>
        <v>0</v>
      </c>
      <c r="BA145" s="43">
        <f t="shared" si="1110"/>
        <v>1102.98</v>
      </c>
      <c r="BB145" s="43">
        <f t="shared" si="1110"/>
        <v>0</v>
      </c>
      <c r="BC145" s="43">
        <f t="shared" si="1110"/>
        <v>1897.18</v>
      </c>
      <c r="BD145" s="43">
        <f t="shared" si="1110"/>
        <v>0</v>
      </c>
      <c r="BE145" s="43">
        <f t="shared" si="1110"/>
        <v>2100.17</v>
      </c>
      <c r="BF145" s="43">
        <f t="shared" si="1110"/>
        <v>0</v>
      </c>
      <c r="BG145" s="43">
        <f t="shared" si="1110"/>
        <v>2131.91</v>
      </c>
      <c r="BH145" s="43">
        <f t="shared" si="1110"/>
        <v>0</v>
      </c>
      <c r="BI145" s="43">
        <f t="shared" si="1110"/>
        <v>1890.19</v>
      </c>
      <c r="BJ145" s="43">
        <f t="shared" si="1110"/>
        <v>0</v>
      </c>
      <c r="BK145" s="43">
        <f t="shared" si="1110"/>
        <v>1558.95</v>
      </c>
      <c r="BL145" s="43">
        <f t="shared" si="1110"/>
        <v>0</v>
      </c>
      <c r="BM145" s="43">
        <f t="shared" si="1110"/>
        <v>2189.13</v>
      </c>
      <c r="BN145" s="43">
        <f t="shared" si="1110"/>
        <v>0</v>
      </c>
      <c r="BO145" s="43">
        <f t="shared" si="1110"/>
        <v>2796.59</v>
      </c>
      <c r="BP145" s="43">
        <f t="shared" si="1110"/>
        <v>0</v>
      </c>
      <c r="BQ145" s="43">
        <f t="shared" si="1110"/>
        <v>2527.2000000000003</v>
      </c>
      <c r="BR145" s="43">
        <f t="shared" si="1110"/>
        <v>0</v>
      </c>
      <c r="BS145" s="43">
        <f t="shared" si="1110"/>
        <v>2455.7400000000002</v>
      </c>
      <c r="BT145" s="43">
        <f t="shared" si="1110"/>
        <v>0</v>
      </c>
      <c r="BU145" s="43">
        <f t="shared" si="1110"/>
        <v>1967.75</v>
      </c>
      <c r="BV145" s="43">
        <f t="shared" si="1110"/>
        <v>0</v>
      </c>
      <c r="BW145" s="43">
        <f t="shared" ref="BW145:BY145" si="1111">+SUM(BW138:BW144)</f>
        <v>1624.53</v>
      </c>
      <c r="BX145" s="43">
        <f t="shared" ref="BX145" si="1112">+SUM(BX138:BX144)</f>
        <v>1624.53</v>
      </c>
      <c r="BY145" s="43">
        <f t="shared" si="1111"/>
        <v>1359.1</v>
      </c>
      <c r="BZ145" s="44">
        <f t="shared" ref="BZ145" si="1113">+SUM(BZ138:BZ144)</f>
        <v>1359.1</v>
      </c>
      <c r="CA145" s="44">
        <f t="shared" ref="CA145" si="1114">+SUM(CA138:CA144)</f>
        <v>1359.1</v>
      </c>
      <c r="CB145" s="44">
        <f t="shared" ref="CB145" si="1115">+SUM(CB138:CB144)</f>
        <v>1359.1</v>
      </c>
      <c r="CC145" s="44">
        <f t="shared" ref="CC145" si="1116">+SUM(CC138:CC144)</f>
        <v>1359.1</v>
      </c>
      <c r="CD145" s="44">
        <f t="shared" ref="CD145" si="1117">+SUM(CD138:CD144)</f>
        <v>1359.1</v>
      </c>
      <c r="CE145" s="44">
        <f t="shared" ref="CE145" si="1118">+SUM(CE138:CE144)</f>
        <v>1359.1</v>
      </c>
      <c r="CF145" s="44">
        <f t="shared" ref="CF145" si="1119">+SUM(CF138:CF144)</f>
        <v>1359.1</v>
      </c>
      <c r="CG145" s="44">
        <f t="shared" ref="CG145" si="1120">+SUM(CG138:CG144)</f>
        <v>1359.1</v>
      </c>
      <c r="CH145" s="44">
        <f t="shared" ref="CH145" si="1121">+SUM(CH138:CH144)</f>
        <v>1359.1</v>
      </c>
      <c r="CI145" s="44">
        <f t="shared" ref="CI145" si="1122">+SUM(CI138:CI144)</f>
        <v>1359.1</v>
      </c>
      <c r="CJ145" s="44">
        <f t="shared" ref="CJ145" si="1123">+SUM(CJ138:CJ144)</f>
        <v>1359.1</v>
      </c>
      <c r="CK145" s="44">
        <f t="shared" ref="CK145" si="1124">+SUM(CK138:CK144)</f>
        <v>1359.1</v>
      </c>
      <c r="CL145" s="44">
        <f t="shared" ref="CL145" si="1125">+SUM(CL138:CL144)</f>
        <v>1359.1</v>
      </c>
      <c r="CM145" s="44">
        <f t="shared" ref="CM145" si="1126">+SUM(CM138:CM144)</f>
        <v>1359.1</v>
      </c>
      <c r="CN145" s="44">
        <f t="shared" ref="CN145" si="1127">+SUM(CN138:CN144)</f>
        <v>1359.1</v>
      </c>
      <c r="CO145" s="44">
        <f t="shared" ref="CO145" si="1128">+SUM(CO138:CO144)</f>
        <v>1359.1</v>
      </c>
      <c r="CT145" s="43">
        <v>1023.15</v>
      </c>
    </row>
    <row r="146" spans="1:98" s="43" customFormat="1" x14ac:dyDescent="0.2">
      <c r="A146" s="43" t="s">
        <v>22</v>
      </c>
      <c r="B146" s="43">
        <f>+B137-B145</f>
        <v>0</v>
      </c>
      <c r="C146" s="43">
        <f t="shared" ref="C146:Z146" si="1129">+C137-C145</f>
        <v>0</v>
      </c>
      <c r="D146" s="43">
        <f t="shared" si="1129"/>
        <v>0</v>
      </c>
      <c r="E146" s="43">
        <f t="shared" si="1129"/>
        <v>0</v>
      </c>
      <c r="F146" s="43">
        <f t="shared" si="1129"/>
        <v>0</v>
      </c>
      <c r="G146" s="43">
        <f t="shared" si="1129"/>
        <v>0</v>
      </c>
      <c r="H146" s="43">
        <f t="shared" si="1129"/>
        <v>0</v>
      </c>
      <c r="I146" s="43">
        <f t="shared" si="1129"/>
        <v>0</v>
      </c>
      <c r="J146" s="43">
        <f t="shared" si="1129"/>
        <v>-4.8713064999999993</v>
      </c>
      <c r="K146" s="43">
        <f t="shared" si="1129"/>
        <v>-10.756273199999999</v>
      </c>
      <c r="L146" s="43">
        <f t="shared" si="1129"/>
        <v>-6.3694200999999868</v>
      </c>
      <c r="M146" s="43">
        <f t="shared" si="1129"/>
        <v>4.4438600000006545E-2</v>
      </c>
      <c r="N146" s="43">
        <f t="shared" si="1129"/>
        <v>7.0253917000000143</v>
      </c>
      <c r="O146" s="43">
        <f t="shared" si="1129"/>
        <v>7.4929375999999976</v>
      </c>
      <c r="P146" s="43">
        <f t="shared" si="1129"/>
        <v>26.191291800000009</v>
      </c>
      <c r="Q146" s="43">
        <f t="shared" si="1129"/>
        <v>-53.748073099999885</v>
      </c>
      <c r="R146" s="43">
        <f t="shared" si="1129"/>
        <v>-155.69732940000006</v>
      </c>
      <c r="S146" s="43">
        <f t="shared" si="1129"/>
        <v>-184.43</v>
      </c>
      <c r="T146" s="43">
        <f t="shared" si="1129"/>
        <v>-395.75</v>
      </c>
      <c r="U146" s="43">
        <f t="shared" si="1129"/>
        <v>-603.12</v>
      </c>
      <c r="V146" s="43">
        <f t="shared" si="1129"/>
        <v>-739.51999999999987</v>
      </c>
      <c r="W146" s="43">
        <f t="shared" si="1129"/>
        <v>-933.74</v>
      </c>
      <c r="X146" s="43">
        <f t="shared" si="1129"/>
        <v>-1029.24</v>
      </c>
      <c r="Y146" s="43">
        <f t="shared" si="1129"/>
        <v>-1461.7199999999998</v>
      </c>
      <c r="Z146" s="43">
        <f t="shared" si="1129"/>
        <v>-1636.29</v>
      </c>
      <c r="AA146" s="43">
        <f t="shared" ref="AA146" si="1130">+AA137-AA145</f>
        <v>-926.35999999999967</v>
      </c>
      <c r="AB146" s="44">
        <f t="shared" ref="AB146:AE146" si="1131">+AB137-AB145</f>
        <v>-581.92999999999984</v>
      </c>
      <c r="AC146" s="44">
        <f t="shared" si="1131"/>
        <v>-581.92999999999984</v>
      </c>
      <c r="AD146" s="44">
        <f t="shared" si="1131"/>
        <v>-581.92999999999984</v>
      </c>
      <c r="AE146" s="44">
        <f t="shared" si="1131"/>
        <v>-581.92999999999984</v>
      </c>
      <c r="AG146" s="62"/>
      <c r="AH146" s="43">
        <f t="shared" ref="AH146" si="1132">+AH137-AH145</f>
        <v>0</v>
      </c>
      <c r="AI146" s="43">
        <f t="shared" ref="AI146:AT146" si="1133">+AI137-AI145</f>
        <v>0</v>
      </c>
      <c r="AJ146" s="43">
        <f t="shared" si="1133"/>
        <v>0</v>
      </c>
      <c r="AK146" s="43">
        <f t="shared" si="1133"/>
        <v>0</v>
      </c>
      <c r="AL146" s="43">
        <f t="shared" si="1133"/>
        <v>0</v>
      </c>
      <c r="AM146" s="43">
        <f t="shared" si="1133"/>
        <v>0</v>
      </c>
      <c r="AN146" s="43">
        <f t="shared" si="1133"/>
        <v>0</v>
      </c>
      <c r="AO146" s="43">
        <f t="shared" si="1133"/>
        <v>0</v>
      </c>
      <c r="AP146" s="43">
        <f t="shared" si="1133"/>
        <v>0</v>
      </c>
      <c r="AQ146" s="43">
        <f t="shared" si="1133"/>
        <v>0</v>
      </c>
      <c r="AR146" s="43">
        <f t="shared" si="1133"/>
        <v>0</v>
      </c>
      <c r="AS146" s="43">
        <f t="shared" si="1133"/>
        <v>-894.06999999999994</v>
      </c>
      <c r="AT146" s="43">
        <f t="shared" si="1133"/>
        <v>0</v>
      </c>
      <c r="AU146" s="43">
        <f t="shared" ref="AU146" si="1134">+AU137-AU145</f>
        <v>-1230.25</v>
      </c>
      <c r="AV146" s="43">
        <f t="shared" ref="AV146:BV146" si="1135">+AV137-AV145</f>
        <v>0</v>
      </c>
      <c r="AW146" s="43">
        <f t="shared" si="1135"/>
        <v>-809.27</v>
      </c>
      <c r="AX146" s="43">
        <f t="shared" si="1135"/>
        <v>0</v>
      </c>
      <c r="AY146" s="43">
        <f t="shared" si="1135"/>
        <v>-493.47</v>
      </c>
      <c r="AZ146" s="43">
        <f t="shared" si="1135"/>
        <v>0</v>
      </c>
      <c r="BA146" s="43">
        <f t="shared" si="1135"/>
        <v>-957.06</v>
      </c>
      <c r="BB146" s="43">
        <f t="shared" si="1135"/>
        <v>0</v>
      </c>
      <c r="BC146" s="43">
        <f t="shared" si="1135"/>
        <v>-1762.8500000000001</v>
      </c>
      <c r="BD146" s="43">
        <f t="shared" si="1135"/>
        <v>0</v>
      </c>
      <c r="BE146" s="43">
        <f t="shared" si="1135"/>
        <v>-1855.3200000000002</v>
      </c>
      <c r="BF146" s="43">
        <f t="shared" si="1135"/>
        <v>0</v>
      </c>
      <c r="BG146" s="43">
        <f t="shared" si="1135"/>
        <v>-1913.9999999999998</v>
      </c>
      <c r="BH146" s="43">
        <f t="shared" si="1135"/>
        <v>0</v>
      </c>
      <c r="BI146" s="43">
        <f t="shared" si="1135"/>
        <v>-1648.0900000000001</v>
      </c>
      <c r="BJ146" s="43">
        <f t="shared" si="1135"/>
        <v>0</v>
      </c>
      <c r="BK146" s="43">
        <f t="shared" si="1135"/>
        <v>-1278.92</v>
      </c>
      <c r="BL146" s="43">
        <f t="shared" si="1135"/>
        <v>0</v>
      </c>
      <c r="BM146" s="43">
        <f t="shared" si="1135"/>
        <v>-1884.4700000000003</v>
      </c>
      <c r="BN146" s="43">
        <f t="shared" si="1135"/>
        <v>0</v>
      </c>
      <c r="BO146" s="43">
        <f t="shared" si="1135"/>
        <v>-2490.54</v>
      </c>
      <c r="BP146" s="43">
        <f t="shared" si="1135"/>
        <v>0</v>
      </c>
      <c r="BQ146" s="43">
        <f t="shared" si="1135"/>
        <v>-2175.4400000000005</v>
      </c>
      <c r="BR146" s="43">
        <f t="shared" si="1135"/>
        <v>0</v>
      </c>
      <c r="BS146" s="43">
        <f t="shared" si="1135"/>
        <v>-2152.0200000000004</v>
      </c>
      <c r="BT146" s="43">
        <f t="shared" si="1135"/>
        <v>0</v>
      </c>
      <c r="BU146" s="43">
        <f t="shared" si="1135"/>
        <v>-1650.92</v>
      </c>
      <c r="BV146" s="43">
        <f t="shared" si="1135"/>
        <v>0</v>
      </c>
      <c r="BW146" s="43">
        <f t="shared" ref="BW146:BY146" si="1136">+BW137-BW145</f>
        <v>-1042.08</v>
      </c>
      <c r="BX146" s="43">
        <f t="shared" ref="BX146" si="1137">+BX137-BX145</f>
        <v>-1042.08</v>
      </c>
      <c r="BY146" s="43">
        <f t="shared" si="1136"/>
        <v>-581.92999999999984</v>
      </c>
      <c r="BZ146" s="44">
        <f t="shared" ref="BZ146" si="1138">+BZ137-BZ145</f>
        <v>-581.92999999999984</v>
      </c>
      <c r="CA146" s="44">
        <f t="shared" ref="CA146" si="1139">+CA137-CA145</f>
        <v>-581.92999999999984</v>
      </c>
      <c r="CB146" s="44">
        <f t="shared" ref="CB146" si="1140">+CB137-CB145</f>
        <v>-581.92999999999984</v>
      </c>
      <c r="CC146" s="44">
        <f t="shared" ref="CC146" si="1141">+CC137-CC145</f>
        <v>-581.92999999999984</v>
      </c>
      <c r="CD146" s="44">
        <f t="shared" ref="CD146" si="1142">+CD137-CD145</f>
        <v>-581.92999999999984</v>
      </c>
      <c r="CE146" s="44">
        <f t="shared" ref="CE146" si="1143">+CE137-CE145</f>
        <v>-581.92999999999984</v>
      </c>
      <c r="CF146" s="44">
        <f t="shared" ref="CF146" si="1144">+CF137-CF145</f>
        <v>-581.92999999999984</v>
      </c>
      <c r="CG146" s="44">
        <f t="shared" ref="CG146" si="1145">+CG137-CG145</f>
        <v>-581.92999999999984</v>
      </c>
      <c r="CH146" s="44">
        <f t="shared" ref="CH146" si="1146">+CH137-CH145</f>
        <v>-581.92999999999984</v>
      </c>
      <c r="CI146" s="44">
        <f t="shared" ref="CI146" si="1147">+CI137-CI145</f>
        <v>-581.92999999999984</v>
      </c>
      <c r="CJ146" s="44">
        <f t="shared" ref="CJ146" si="1148">+CJ137-CJ145</f>
        <v>-581.92999999999984</v>
      </c>
      <c r="CK146" s="44">
        <f t="shared" ref="CK146" si="1149">+CK137-CK145</f>
        <v>-581.92999999999984</v>
      </c>
      <c r="CL146" s="44">
        <f t="shared" ref="CL146" si="1150">+CL137-CL145</f>
        <v>-581.92999999999984</v>
      </c>
      <c r="CM146" s="44">
        <f t="shared" ref="CM146" si="1151">+CM137-CM145</f>
        <v>-581.92999999999984</v>
      </c>
      <c r="CN146" s="44">
        <f t="shared" ref="CN146" si="1152">+CN137-CN145</f>
        <v>-581.92999999999984</v>
      </c>
      <c r="CO146" s="44">
        <f t="shared" ref="CO146" si="1153">+CO137-CO145</f>
        <v>-581.92999999999984</v>
      </c>
      <c r="CT146" s="43">
        <v>-365.93999999999994</v>
      </c>
    </row>
    <row r="147" spans="1:98" s="38" customFormat="1" x14ac:dyDescent="0.2">
      <c r="AB147" s="39"/>
      <c r="AC147" s="39"/>
      <c r="AD147" s="39"/>
      <c r="AE147" s="39"/>
      <c r="AG147" s="60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</row>
    <row r="148" spans="1:98" s="38" customFormat="1" x14ac:dyDescent="0.2">
      <c r="A148" s="38" t="s">
        <v>249</v>
      </c>
      <c r="B148" s="38">
        <f>+'Annual Raw'!C119</f>
        <v>0</v>
      </c>
      <c r="C148" s="38">
        <f>+'Annual Raw'!D119</f>
        <v>0</v>
      </c>
      <c r="D148" s="38">
        <f>+'Annual Raw'!E119</f>
        <v>0</v>
      </c>
      <c r="E148" s="38">
        <f>+'Annual Raw'!F119</f>
        <v>0</v>
      </c>
      <c r="F148" s="38">
        <f>+'Annual Raw'!G119</f>
        <v>0</v>
      </c>
      <c r="G148" s="38">
        <f>+'Annual Raw'!H119</f>
        <v>0</v>
      </c>
      <c r="H148" s="38">
        <f>+'Annual Raw'!I119</f>
        <v>0</v>
      </c>
      <c r="I148" s="38">
        <f>+'Annual Raw'!J119</f>
        <v>0</v>
      </c>
      <c r="J148" s="38">
        <f>+'Annual Raw'!K119</f>
        <v>0</v>
      </c>
      <c r="K148" s="38">
        <f>+'Annual Raw'!L119</f>
        <v>4</v>
      </c>
      <c r="L148" s="38">
        <f>+'Annual Raw'!M119</f>
        <v>31.354724000000001</v>
      </c>
      <c r="M148" s="38">
        <f>+'Annual Raw'!N119</f>
        <v>0</v>
      </c>
      <c r="N148" s="38">
        <f>+'Annual Raw'!O119</f>
        <v>0.25917289999999998</v>
      </c>
      <c r="O148" s="38">
        <f>+'Annual Raw'!P119</f>
        <v>0</v>
      </c>
      <c r="P148" s="38">
        <f>+'Annual Raw'!Q119</f>
        <v>0</v>
      </c>
      <c r="Q148" s="38">
        <f>+'Annual Raw'!R119</f>
        <v>0</v>
      </c>
      <c r="R148" s="38">
        <f>+'Annual Raw'!S119</f>
        <v>0</v>
      </c>
      <c r="S148" s="38">
        <f>+'Annual Raw'!T119</f>
        <v>0</v>
      </c>
      <c r="T148" s="38">
        <f>+'Annual Raw'!U119</f>
        <v>0</v>
      </c>
      <c r="U148" s="38">
        <f>+'Annual Raw'!V119</f>
        <v>0</v>
      </c>
      <c r="V148" s="38">
        <f>+'Annual Raw'!W119</f>
        <v>0</v>
      </c>
      <c r="W148" s="38">
        <f>+'Annual Raw'!X119</f>
        <v>0</v>
      </c>
      <c r="X148" s="38">
        <f>+'Annual Raw'!Y119</f>
        <v>453.98</v>
      </c>
      <c r="Y148" s="38">
        <f>+'Annual Raw'!Z119</f>
        <v>1438.36</v>
      </c>
      <c r="Z148" s="38">
        <f>+'Annual Raw'!AA119</f>
        <v>892.3</v>
      </c>
      <c r="AA148" s="38">
        <f>+'Annual Raw'!AB119</f>
        <v>1075.3399999999999</v>
      </c>
      <c r="AB148" s="39">
        <f>+CC148</f>
        <v>3977.3906802763377</v>
      </c>
      <c r="AC148" s="39">
        <f>+CG148</f>
        <v>5315.7448904740013</v>
      </c>
      <c r="AD148" s="39">
        <f>+CK148</f>
        <v>6934.8602376337731</v>
      </c>
      <c r="AE148" s="39">
        <f>+CO148</f>
        <v>8827.9305917197707</v>
      </c>
      <c r="AG148" s="60"/>
      <c r="AH148" s="38">
        <f>+'QTR Raw'!D78</f>
        <v>0</v>
      </c>
      <c r="AI148" s="38">
        <f>+'QTR Raw'!E78</f>
        <v>0</v>
      </c>
      <c r="AJ148" s="38">
        <f>+'QTR Raw'!F78</f>
        <v>0</v>
      </c>
      <c r="AK148" s="38">
        <f>+'QTR Raw'!G78</f>
        <v>0</v>
      </c>
      <c r="AL148" s="38">
        <f>+'QTR Raw'!H78</f>
        <v>0</v>
      </c>
      <c r="AM148" s="38">
        <f>+'QTR Raw'!I78</f>
        <v>0</v>
      </c>
      <c r="AN148" s="38">
        <f>+'QTR Raw'!J78</f>
        <v>0</v>
      </c>
      <c r="AO148" s="38">
        <f>+'QTR Raw'!K78</f>
        <v>0</v>
      </c>
      <c r="AP148" s="38">
        <f>+'QTR Raw'!L78</f>
        <v>0</v>
      </c>
      <c r="AQ148" s="38">
        <f>+'QTR Raw'!M78</f>
        <v>0</v>
      </c>
      <c r="AR148" s="38">
        <f>+'QTR Raw'!N78</f>
        <v>0</v>
      </c>
      <c r="AS148" s="38">
        <f>+'QTR Raw'!O78</f>
        <v>0.2</v>
      </c>
      <c r="AT148" s="38">
        <f>+'QTR Raw'!P78</f>
        <v>0</v>
      </c>
      <c r="AU148" s="38">
        <f>+'QTR Raw'!Q78</f>
        <v>0.2</v>
      </c>
      <c r="AV148" s="38">
        <f>+'QTR Raw'!R78</f>
        <v>0</v>
      </c>
      <c r="AW148" s="38">
        <f>+'QTR Raw'!S78</f>
        <v>0.2</v>
      </c>
      <c r="AX148" s="38">
        <f>+'QTR Raw'!T78</f>
        <v>0</v>
      </c>
      <c r="AY148" s="38">
        <f>+'QTR Raw'!U78</f>
        <v>0.2</v>
      </c>
      <c r="AZ148" s="38">
        <f>+'QTR Raw'!V78</f>
        <v>0</v>
      </c>
      <c r="BA148" s="38">
        <f>+'QTR Raw'!W78</f>
        <v>45.56</v>
      </c>
      <c r="BB148" s="38">
        <f>+'QTR Raw'!X78</f>
        <v>0</v>
      </c>
      <c r="BC148" s="38">
        <f>+'QTR Raw'!Y78</f>
        <v>50.99</v>
      </c>
      <c r="BD148" s="38">
        <f>+'QTR Raw'!Z78</f>
        <v>0</v>
      </c>
      <c r="BE148" s="38">
        <f>+'QTR Raw'!AA78</f>
        <v>0.54</v>
      </c>
      <c r="BF148" s="38">
        <f>+'QTR Raw'!AB78</f>
        <v>0</v>
      </c>
      <c r="BG148" s="38">
        <f>+'QTR Raw'!AC78</f>
        <v>107.56</v>
      </c>
      <c r="BH148" s="38">
        <f>+'QTR Raw'!AD78</f>
        <v>0</v>
      </c>
      <c r="BI148" s="38">
        <f>+'QTR Raw'!AE78</f>
        <v>0.54</v>
      </c>
      <c r="BJ148" s="38">
        <f>+'QTR Raw'!AF78</f>
        <v>0</v>
      </c>
      <c r="BK148" s="38">
        <f>+'QTR Raw'!AG78</f>
        <v>389.72</v>
      </c>
      <c r="BL148" s="38">
        <f>+'QTR Raw'!AH78</f>
        <v>0</v>
      </c>
      <c r="BM148" s="38">
        <f>+'QTR Raw'!AI78</f>
        <v>454.52</v>
      </c>
      <c r="BN148" s="38">
        <f>+'QTR Raw'!AJ78</f>
        <v>0</v>
      </c>
      <c r="BO148" s="38">
        <f>+'QTR Raw'!AK78</f>
        <v>740.54</v>
      </c>
      <c r="BP148" s="38">
        <f>+'QTR Raw'!AL78</f>
        <v>0</v>
      </c>
      <c r="BQ148" s="38">
        <f>+'QTR Raw'!AM78</f>
        <v>1438.9</v>
      </c>
      <c r="BR148" s="38">
        <f>+'QTR Raw'!AN78</f>
        <v>0</v>
      </c>
      <c r="BS148" s="38">
        <f>+'QTR Raw'!AO78</f>
        <v>1302.52</v>
      </c>
      <c r="BT148" s="38">
        <f>+'QTR Raw'!AP78</f>
        <v>0</v>
      </c>
      <c r="BU148" s="38">
        <f>+'QTR Raw'!AQ78</f>
        <v>893</v>
      </c>
      <c r="BV148" s="38">
        <f>+'QTR Raw'!AR78</f>
        <v>0</v>
      </c>
      <c r="BW148" s="38">
        <f>+'QTR Raw'!AS78</f>
        <v>1238.04</v>
      </c>
      <c r="BX148" s="38">
        <f t="shared" ref="BX148:CO148" si="1154">+BX115-BX146-BX129-BX120</f>
        <v>2905.6300000000047</v>
      </c>
      <c r="BY148" s="38">
        <f>+'QTR Raw'!AU78</f>
        <v>1075.3399999999999</v>
      </c>
      <c r="BZ148" s="39">
        <f t="shared" si="1154"/>
        <v>3559.93309586139</v>
      </c>
      <c r="CA148" s="39">
        <f t="shared" si="1154"/>
        <v>3892.9332005592441</v>
      </c>
      <c r="CB148" s="39">
        <f t="shared" si="1154"/>
        <v>4197.740176839663</v>
      </c>
      <c r="CC148" s="39">
        <f t="shared" si="1154"/>
        <v>3977.3906802763377</v>
      </c>
      <c r="CD148" s="39">
        <f t="shared" si="1154"/>
        <v>4637.4583431409192</v>
      </c>
      <c r="CE148" s="39">
        <f t="shared" si="1154"/>
        <v>5088.0395472108321</v>
      </c>
      <c r="CF148" s="39">
        <f t="shared" si="1154"/>
        <v>5508.0288690431116</v>
      </c>
      <c r="CG148" s="39">
        <f t="shared" si="1154"/>
        <v>5315.7448904740013</v>
      </c>
      <c r="CH148" s="39">
        <f t="shared" si="1154"/>
        <v>6119.913317307437</v>
      </c>
      <c r="CI148" s="39">
        <f t="shared" si="1154"/>
        <v>6661.3319557801442</v>
      </c>
      <c r="CJ148" s="39">
        <f t="shared" si="1154"/>
        <v>7152.0496676302282</v>
      </c>
      <c r="CK148" s="39">
        <f t="shared" si="1154"/>
        <v>6934.8602376337731</v>
      </c>
      <c r="CL148" s="39">
        <f t="shared" si="1154"/>
        <v>7865.1086892202802</v>
      </c>
      <c r="CM148" s="39">
        <f t="shared" si="1154"/>
        <v>8491.7029056792162</v>
      </c>
      <c r="CN148" s="39">
        <f t="shared" si="1154"/>
        <v>9058.2057346582442</v>
      </c>
      <c r="CO148" s="39">
        <f t="shared" si="1154"/>
        <v>8827.9305917197707</v>
      </c>
      <c r="CT148" s="38">
        <v>1075.3399999999999</v>
      </c>
    </row>
    <row r="149" spans="1:98" s="38" customFormat="1" x14ac:dyDescent="0.2">
      <c r="A149" s="38" t="s">
        <v>224</v>
      </c>
      <c r="B149" s="38">
        <f>+'Annual Raw'!C122</f>
        <v>0</v>
      </c>
      <c r="C149" s="38">
        <f>+'Annual Raw'!D122</f>
        <v>0</v>
      </c>
      <c r="D149" s="38">
        <f>+'Annual Raw'!E122</f>
        <v>0</v>
      </c>
      <c r="E149" s="38">
        <f>+'Annual Raw'!F122</f>
        <v>0</v>
      </c>
      <c r="F149" s="38">
        <f>+'Annual Raw'!G122</f>
        <v>0</v>
      </c>
      <c r="G149" s="38">
        <f>+'Annual Raw'!H122</f>
        <v>0</v>
      </c>
      <c r="H149" s="38">
        <f>+'Annual Raw'!I122</f>
        <v>0</v>
      </c>
      <c r="I149" s="38">
        <f>+'Annual Raw'!J122</f>
        <v>0</v>
      </c>
      <c r="J149" s="38">
        <f>+'Annual Raw'!K122</f>
        <v>23.8404645</v>
      </c>
      <c r="K149" s="38">
        <f>+'Annual Raw'!L122</f>
        <v>59.1829088</v>
      </c>
      <c r="L149" s="38">
        <f>+'Annual Raw'!M122</f>
        <v>58.136188699999998</v>
      </c>
      <c r="M149" s="38">
        <f>+'Annual Raw'!N122</f>
        <v>16.908274200000001</v>
      </c>
      <c r="N149" s="38">
        <f>+'Annual Raw'!O122</f>
        <v>91.242385499999997</v>
      </c>
      <c r="O149" s="38">
        <f>+'Annual Raw'!P122</f>
        <v>325.031026</v>
      </c>
      <c r="P149" s="38">
        <f>+'Annual Raw'!Q122</f>
        <v>279.7744826</v>
      </c>
      <c r="Q149" s="38">
        <f>+'Annual Raw'!R122</f>
        <v>254.91474529999999</v>
      </c>
      <c r="R149" s="38">
        <f>+'Annual Raw'!S122</f>
        <v>363.688086</v>
      </c>
      <c r="S149" s="38">
        <f>+'Annual Raw'!T122</f>
        <v>143.06</v>
      </c>
      <c r="T149" s="38">
        <f>+'Annual Raw'!U122</f>
        <v>615.54999999999995</v>
      </c>
      <c r="U149" s="38">
        <f>+'Annual Raw'!V122</f>
        <v>580.44000000000005</v>
      </c>
      <c r="V149" s="38">
        <f>+'Annual Raw'!W122</f>
        <v>1945.97</v>
      </c>
      <c r="W149" s="38">
        <f>+'Annual Raw'!X122</f>
        <v>1761.35</v>
      </c>
      <c r="X149" s="38">
        <f>+'Annual Raw'!Y122</f>
        <v>1436.41</v>
      </c>
      <c r="Y149" s="38">
        <f>+'Annual Raw'!Z122</f>
        <v>1221.8699999999999</v>
      </c>
      <c r="Z149" s="38">
        <f>+'Annual Raw'!AA122</f>
        <v>1343.14</v>
      </c>
      <c r="AA149" s="38">
        <f>+'Annual Raw'!AB122</f>
        <v>1271.4100000000001</v>
      </c>
      <c r="AB149" s="39"/>
      <c r="AC149" s="39"/>
      <c r="AD149" s="39"/>
      <c r="AE149" s="39"/>
      <c r="AG149" s="60"/>
      <c r="AH149" s="38">
        <f>+'QTR Raw'!D81</f>
        <v>0</v>
      </c>
      <c r="AI149" s="38">
        <f>+'QTR Raw'!E81</f>
        <v>0</v>
      </c>
      <c r="AJ149" s="38">
        <f>+'QTR Raw'!F81</f>
        <v>0</v>
      </c>
      <c r="AK149" s="38">
        <f>+'QTR Raw'!G81</f>
        <v>0</v>
      </c>
      <c r="AL149" s="38">
        <f>+'QTR Raw'!H81</f>
        <v>0</v>
      </c>
      <c r="AM149" s="38">
        <f>+'QTR Raw'!I81</f>
        <v>0</v>
      </c>
      <c r="AN149" s="38">
        <f>+'QTR Raw'!J81</f>
        <v>0</v>
      </c>
      <c r="AO149" s="38">
        <f>+'QTR Raw'!K81</f>
        <v>0</v>
      </c>
      <c r="AP149" s="38">
        <f>+'QTR Raw'!L81</f>
        <v>0</v>
      </c>
      <c r="AQ149" s="38">
        <f>+'QTR Raw'!M81</f>
        <v>0</v>
      </c>
      <c r="AR149" s="38">
        <f>+'QTR Raw'!N81</f>
        <v>0</v>
      </c>
      <c r="AS149" s="38">
        <f>+'QTR Raw'!O81</f>
        <v>143.06</v>
      </c>
      <c r="AT149" s="38">
        <f>+'QTR Raw'!P81</f>
        <v>0</v>
      </c>
      <c r="AU149" s="38">
        <f>+'QTR Raw'!Q81</f>
        <v>411.25</v>
      </c>
      <c r="AV149" s="38">
        <f>+'QTR Raw'!R81</f>
        <v>0</v>
      </c>
      <c r="AW149" s="38">
        <f>+'QTR Raw'!S81</f>
        <v>615.54999999999995</v>
      </c>
      <c r="AX149" s="38">
        <f>+'QTR Raw'!T81</f>
        <v>0</v>
      </c>
      <c r="AY149" s="38">
        <f>+'QTR Raw'!U81</f>
        <v>677.98</v>
      </c>
      <c r="AZ149" s="38">
        <f>+'QTR Raw'!V81</f>
        <v>0</v>
      </c>
      <c r="BA149" s="38">
        <f>+'QTR Raw'!W81</f>
        <v>717.64</v>
      </c>
      <c r="BB149" s="38">
        <f>+'QTR Raw'!X81</f>
        <v>0</v>
      </c>
      <c r="BC149" s="38">
        <f>+'QTR Raw'!Y81</f>
        <v>1855.39</v>
      </c>
      <c r="BD149" s="38">
        <f>+'QTR Raw'!Z81</f>
        <v>0</v>
      </c>
      <c r="BE149" s="38">
        <f>+'QTR Raw'!AA81</f>
        <v>2484.38</v>
      </c>
      <c r="BF149" s="38">
        <f>+'QTR Raw'!AB81</f>
        <v>0</v>
      </c>
      <c r="BG149" s="38">
        <f>+'QTR Raw'!AC81</f>
        <v>1515.9</v>
      </c>
      <c r="BH149" s="38">
        <f>+'QTR Raw'!AD81</f>
        <v>0</v>
      </c>
      <c r="BI149" s="38">
        <f>+'QTR Raw'!AE81</f>
        <v>1761.39</v>
      </c>
      <c r="BJ149" s="38">
        <f>+'QTR Raw'!AF81</f>
        <v>0</v>
      </c>
      <c r="BK149" s="38">
        <f>+'QTR Raw'!AG81</f>
        <v>757.86</v>
      </c>
      <c r="BL149" s="38">
        <f>+'QTR Raw'!AH81</f>
        <v>0</v>
      </c>
      <c r="BM149" s="38">
        <f>+'QTR Raw'!AI81</f>
        <v>1436.43</v>
      </c>
      <c r="BN149" s="38">
        <f>+'QTR Raw'!AJ81</f>
        <v>0</v>
      </c>
      <c r="BO149" s="38">
        <f>+'QTR Raw'!AK81</f>
        <v>1408.3</v>
      </c>
      <c r="BP149" s="38">
        <f>+'QTR Raw'!AL81</f>
        <v>0</v>
      </c>
      <c r="BQ149" s="38">
        <f>+'QTR Raw'!AM81</f>
        <v>1313.91</v>
      </c>
      <c r="BR149" s="38">
        <f>+'QTR Raw'!AN81</f>
        <v>0</v>
      </c>
      <c r="BS149" s="38">
        <f>+'QTR Raw'!AO81</f>
        <v>733.21</v>
      </c>
      <c r="BT149" s="38">
        <f>+'QTR Raw'!AP81</f>
        <v>0</v>
      </c>
      <c r="BU149" s="38">
        <f>+'QTR Raw'!AQ81</f>
        <v>1442.96</v>
      </c>
      <c r="BV149" s="38">
        <f>+'QTR Raw'!AR81</f>
        <v>0</v>
      </c>
      <c r="BW149" s="38">
        <f>+'QTR Raw'!AS81</f>
        <v>937.46</v>
      </c>
      <c r="BY149" s="38">
        <f>+'QTR Raw'!AU81</f>
        <v>1327</v>
      </c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T149" s="38">
        <v>1271.4100000000001</v>
      </c>
    </row>
    <row r="150" spans="1:98" s="43" customFormat="1" x14ac:dyDescent="0.2">
      <c r="A150" s="43" t="s">
        <v>250</v>
      </c>
      <c r="B150" s="43">
        <f t="shared" ref="B150:O150" si="1155">+B148+B149</f>
        <v>0</v>
      </c>
      <c r="C150" s="43">
        <f t="shared" si="1155"/>
        <v>0</v>
      </c>
      <c r="D150" s="43">
        <f t="shared" si="1155"/>
        <v>0</v>
      </c>
      <c r="E150" s="43">
        <f t="shared" si="1155"/>
        <v>0</v>
      </c>
      <c r="F150" s="43">
        <f t="shared" si="1155"/>
        <v>0</v>
      </c>
      <c r="G150" s="43">
        <f t="shared" si="1155"/>
        <v>0</v>
      </c>
      <c r="H150" s="43">
        <f t="shared" si="1155"/>
        <v>0</v>
      </c>
      <c r="I150" s="43">
        <f t="shared" si="1155"/>
        <v>0</v>
      </c>
      <c r="J150" s="43">
        <f t="shared" si="1155"/>
        <v>23.8404645</v>
      </c>
      <c r="K150" s="43">
        <f t="shared" si="1155"/>
        <v>63.1829088</v>
      </c>
      <c r="L150" s="43">
        <f t="shared" si="1155"/>
        <v>89.490912699999996</v>
      </c>
      <c r="M150" s="43">
        <f t="shared" si="1155"/>
        <v>16.908274200000001</v>
      </c>
      <c r="N150" s="43">
        <f t="shared" si="1155"/>
        <v>91.501558399999993</v>
      </c>
      <c r="O150" s="43">
        <f t="shared" si="1155"/>
        <v>325.031026</v>
      </c>
      <c r="P150" s="43">
        <f>+P148+P149</f>
        <v>279.7744826</v>
      </c>
      <c r="Q150" s="43">
        <f t="shared" ref="Q150:AE150" si="1156">+Q148+Q149</f>
        <v>254.91474529999999</v>
      </c>
      <c r="R150" s="43">
        <f t="shared" si="1156"/>
        <v>363.688086</v>
      </c>
      <c r="S150" s="43">
        <f t="shared" si="1156"/>
        <v>143.06</v>
      </c>
      <c r="T150" s="43">
        <f t="shared" si="1156"/>
        <v>615.54999999999995</v>
      </c>
      <c r="U150" s="43">
        <f t="shared" si="1156"/>
        <v>580.44000000000005</v>
      </c>
      <c r="V150" s="43">
        <f t="shared" si="1156"/>
        <v>1945.97</v>
      </c>
      <c r="W150" s="43">
        <f t="shared" si="1156"/>
        <v>1761.35</v>
      </c>
      <c r="X150" s="43">
        <f t="shared" si="1156"/>
        <v>1890.39</v>
      </c>
      <c r="Y150" s="43">
        <f t="shared" si="1156"/>
        <v>2660.2299999999996</v>
      </c>
      <c r="Z150" s="43">
        <f t="shared" si="1156"/>
        <v>2235.44</v>
      </c>
      <c r="AA150" s="43">
        <f t="shared" ref="AA150" si="1157">+AA148+AA149</f>
        <v>2346.75</v>
      </c>
      <c r="AB150" s="44">
        <f t="shared" si="1156"/>
        <v>3977.3906802763377</v>
      </c>
      <c r="AC150" s="44">
        <f t="shared" si="1156"/>
        <v>5315.7448904740013</v>
      </c>
      <c r="AD150" s="44">
        <f t="shared" si="1156"/>
        <v>6934.8602376337731</v>
      </c>
      <c r="AE150" s="44">
        <f t="shared" si="1156"/>
        <v>8827.9305917197707</v>
      </c>
      <c r="AG150" s="62"/>
      <c r="AH150" s="43">
        <f t="shared" ref="AH150" si="1158">+AH148+AH149</f>
        <v>0</v>
      </c>
      <c r="AI150" s="43">
        <f t="shared" ref="AI150:AT150" si="1159">+AI148+AI149</f>
        <v>0</v>
      </c>
      <c r="AJ150" s="43">
        <f t="shared" si="1159"/>
        <v>0</v>
      </c>
      <c r="AK150" s="43">
        <f t="shared" si="1159"/>
        <v>0</v>
      </c>
      <c r="AL150" s="43">
        <f t="shared" si="1159"/>
        <v>0</v>
      </c>
      <c r="AM150" s="43">
        <f t="shared" si="1159"/>
        <v>0</v>
      </c>
      <c r="AN150" s="43">
        <f t="shared" si="1159"/>
        <v>0</v>
      </c>
      <c r="AO150" s="43">
        <f t="shared" si="1159"/>
        <v>0</v>
      </c>
      <c r="AP150" s="43">
        <f t="shared" si="1159"/>
        <v>0</v>
      </c>
      <c r="AQ150" s="43">
        <f t="shared" si="1159"/>
        <v>0</v>
      </c>
      <c r="AR150" s="43">
        <f t="shared" si="1159"/>
        <v>0</v>
      </c>
      <c r="AS150" s="43">
        <f t="shared" si="1159"/>
        <v>143.26</v>
      </c>
      <c r="AT150" s="43">
        <f t="shared" si="1159"/>
        <v>0</v>
      </c>
      <c r="AU150" s="43">
        <f t="shared" ref="AU150" si="1160">+AU148+AU149</f>
        <v>411.45</v>
      </c>
      <c r="AV150" s="43">
        <f t="shared" ref="AV150:BV150" si="1161">+AV148+AV149</f>
        <v>0</v>
      </c>
      <c r="AW150" s="43">
        <f t="shared" si="1161"/>
        <v>615.75</v>
      </c>
      <c r="AX150" s="43">
        <f t="shared" si="1161"/>
        <v>0</v>
      </c>
      <c r="AY150" s="43">
        <f t="shared" si="1161"/>
        <v>678.18000000000006</v>
      </c>
      <c r="AZ150" s="43">
        <f t="shared" si="1161"/>
        <v>0</v>
      </c>
      <c r="BA150" s="43">
        <f t="shared" si="1161"/>
        <v>763.2</v>
      </c>
      <c r="BB150" s="43">
        <f t="shared" si="1161"/>
        <v>0</v>
      </c>
      <c r="BC150" s="43">
        <f t="shared" si="1161"/>
        <v>1906.38</v>
      </c>
      <c r="BD150" s="43">
        <f t="shared" si="1161"/>
        <v>0</v>
      </c>
      <c r="BE150" s="43">
        <f t="shared" si="1161"/>
        <v>2484.92</v>
      </c>
      <c r="BF150" s="43">
        <f t="shared" si="1161"/>
        <v>0</v>
      </c>
      <c r="BG150" s="43">
        <f t="shared" si="1161"/>
        <v>1623.46</v>
      </c>
      <c r="BH150" s="43">
        <f t="shared" si="1161"/>
        <v>0</v>
      </c>
      <c r="BI150" s="43">
        <f t="shared" si="1161"/>
        <v>1761.93</v>
      </c>
      <c r="BJ150" s="43">
        <f t="shared" si="1161"/>
        <v>0</v>
      </c>
      <c r="BK150" s="43">
        <f t="shared" si="1161"/>
        <v>1147.58</v>
      </c>
      <c r="BL150" s="43">
        <f t="shared" si="1161"/>
        <v>0</v>
      </c>
      <c r="BM150" s="43">
        <f t="shared" si="1161"/>
        <v>1890.95</v>
      </c>
      <c r="BN150" s="43">
        <f t="shared" si="1161"/>
        <v>0</v>
      </c>
      <c r="BO150" s="43">
        <f t="shared" si="1161"/>
        <v>2148.84</v>
      </c>
      <c r="BP150" s="43">
        <f t="shared" si="1161"/>
        <v>0</v>
      </c>
      <c r="BQ150" s="43">
        <f t="shared" si="1161"/>
        <v>2752.8100000000004</v>
      </c>
      <c r="BR150" s="43">
        <f t="shared" si="1161"/>
        <v>0</v>
      </c>
      <c r="BS150" s="43">
        <f t="shared" si="1161"/>
        <v>2035.73</v>
      </c>
      <c r="BT150" s="43">
        <f t="shared" si="1161"/>
        <v>0</v>
      </c>
      <c r="BU150" s="43">
        <f t="shared" si="1161"/>
        <v>2335.96</v>
      </c>
      <c r="BV150" s="43">
        <f t="shared" si="1161"/>
        <v>0</v>
      </c>
      <c r="BW150" s="43">
        <f t="shared" ref="BW150:BY150" si="1162">+BW148+BW149</f>
        <v>2175.5</v>
      </c>
      <c r="BX150" s="43">
        <f t="shared" ref="BX150" si="1163">+BX148+BX149</f>
        <v>2905.6300000000047</v>
      </c>
      <c r="BY150" s="43">
        <f t="shared" si="1162"/>
        <v>2402.34</v>
      </c>
      <c r="BZ150" s="44">
        <f t="shared" ref="BZ150" si="1164">+BZ148+BZ149</f>
        <v>3559.93309586139</v>
      </c>
      <c r="CA150" s="44">
        <f t="shared" ref="CA150" si="1165">+CA148+CA149</f>
        <v>3892.9332005592441</v>
      </c>
      <c r="CB150" s="44">
        <f t="shared" ref="CB150" si="1166">+CB148+CB149</f>
        <v>4197.740176839663</v>
      </c>
      <c r="CC150" s="44">
        <f t="shared" ref="CC150" si="1167">+CC148+CC149</f>
        <v>3977.3906802763377</v>
      </c>
      <c r="CD150" s="44">
        <f t="shared" ref="CD150" si="1168">+CD148+CD149</f>
        <v>4637.4583431409192</v>
      </c>
      <c r="CE150" s="44">
        <f t="shared" ref="CE150" si="1169">+CE148+CE149</f>
        <v>5088.0395472108321</v>
      </c>
      <c r="CF150" s="44">
        <f t="shared" ref="CF150" si="1170">+CF148+CF149</f>
        <v>5508.0288690431116</v>
      </c>
      <c r="CG150" s="44">
        <f t="shared" ref="CG150" si="1171">+CG148+CG149</f>
        <v>5315.7448904740013</v>
      </c>
      <c r="CH150" s="44">
        <f t="shared" ref="CH150" si="1172">+CH148+CH149</f>
        <v>6119.913317307437</v>
      </c>
      <c r="CI150" s="44">
        <f t="shared" ref="CI150" si="1173">+CI148+CI149</f>
        <v>6661.3319557801442</v>
      </c>
      <c r="CJ150" s="44">
        <f t="shared" ref="CJ150" si="1174">+CJ148+CJ149</f>
        <v>7152.0496676302282</v>
      </c>
      <c r="CK150" s="44">
        <f t="shared" ref="CK150" si="1175">+CK148+CK149</f>
        <v>6934.8602376337731</v>
      </c>
      <c r="CL150" s="44">
        <f t="shared" ref="CL150" si="1176">+CL148+CL149</f>
        <v>7865.1086892202802</v>
      </c>
      <c r="CM150" s="44">
        <f t="shared" ref="CM150" si="1177">+CM148+CM149</f>
        <v>8491.7029056792162</v>
      </c>
      <c r="CN150" s="44">
        <f t="shared" ref="CN150" si="1178">+CN148+CN149</f>
        <v>9058.2057346582442</v>
      </c>
      <c r="CO150" s="44">
        <f t="shared" ref="CO150" si="1179">+CO148+CO149</f>
        <v>8827.9305917197707</v>
      </c>
      <c r="CT150" s="43">
        <v>1075.3399999999999</v>
      </c>
    </row>
    <row r="151" spans="1:98" s="38" customFormat="1" x14ac:dyDescent="0.2">
      <c r="AB151" s="39"/>
      <c r="AC151" s="39"/>
      <c r="AD151" s="39"/>
      <c r="AE151" s="39"/>
      <c r="AG151" s="60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</row>
    <row r="152" spans="1:98" s="38" customFormat="1" x14ac:dyDescent="0.2">
      <c r="A152" s="38" t="s">
        <v>236</v>
      </c>
      <c r="B152" s="38">
        <f>-'Annual Raw'!C88</f>
        <v>0</v>
      </c>
      <c r="C152" s="38">
        <f>-'Annual Raw'!D88</f>
        <v>0</v>
      </c>
      <c r="D152" s="38">
        <f>-'Annual Raw'!E88</f>
        <v>0</v>
      </c>
      <c r="E152" s="38">
        <f>-'Annual Raw'!F88</f>
        <v>0</v>
      </c>
      <c r="F152" s="38">
        <f>-'Annual Raw'!G88</f>
        <v>0</v>
      </c>
      <c r="G152" s="38">
        <f>-'Annual Raw'!H88</f>
        <v>0</v>
      </c>
      <c r="H152" s="38">
        <f>-'Annual Raw'!I88</f>
        <v>0</v>
      </c>
      <c r="I152" s="38">
        <f>-'Annual Raw'!J88</f>
        <v>0</v>
      </c>
      <c r="J152" s="38">
        <f>-'Annual Raw'!K88</f>
        <v>-2.5789699999999999E-2</v>
      </c>
      <c r="K152" s="38">
        <f>-'Annual Raw'!L88</f>
        <v>-5.5516999999999997E-2</v>
      </c>
      <c r="L152" s="38">
        <f>-'Annual Raw'!M88</f>
        <v>1.0179918999999999</v>
      </c>
      <c r="M152" s="38">
        <f>-'Annual Raw'!N88</f>
        <v>0</v>
      </c>
      <c r="N152" s="38">
        <f>-'Annual Raw'!O88</f>
        <v>1.7218903000000001</v>
      </c>
      <c r="O152" s="38">
        <f>-'Annual Raw'!P88</f>
        <v>1.2678605999999999</v>
      </c>
      <c r="P152" s="38">
        <f>-'Annual Raw'!Q88</f>
        <v>3.5612469</v>
      </c>
      <c r="Q152" s="38">
        <f>-'Annual Raw'!R88</f>
        <v>8.3618816999999996</v>
      </c>
      <c r="R152" s="38">
        <f>-'Annual Raw'!S88</f>
        <v>48.494459499999998</v>
      </c>
      <c r="S152" s="38">
        <f>-'Annual Raw'!T88</f>
        <v>30</v>
      </c>
      <c r="T152" s="38">
        <f>-'Annual Raw'!U88</f>
        <v>43.14</v>
      </c>
      <c r="U152" s="38">
        <f>-'Annual Raw'!V88</f>
        <v>84.27</v>
      </c>
      <c r="V152" s="38">
        <f>-'Annual Raw'!W88</f>
        <v>115.01</v>
      </c>
      <c r="W152" s="38">
        <f>-'Annual Raw'!X88</f>
        <v>155.38999999999999</v>
      </c>
      <c r="X152" s="38">
        <f>-'Annual Raw'!Y88</f>
        <v>80.930000000000007</v>
      </c>
      <c r="Y152" s="38">
        <f>-'Annual Raw'!Z88</f>
        <v>136.91999999999999</v>
      </c>
      <c r="Z152" s="38">
        <f>-'Annual Raw'!AA88</f>
        <v>355.25</v>
      </c>
      <c r="AA152" s="38">
        <f>-'Annual Raw'!AB88</f>
        <v>327.86</v>
      </c>
      <c r="AB152" s="39"/>
      <c r="AC152" s="39"/>
      <c r="AD152" s="39"/>
      <c r="AE152" s="39"/>
      <c r="AG152" s="60"/>
      <c r="AH152" s="38">
        <f>+'QTR Raw'!D94</f>
        <v>0</v>
      </c>
      <c r="AI152" s="38">
        <f>+'QTR Raw'!E94</f>
        <v>0</v>
      </c>
      <c r="AJ152" s="38">
        <f>+'QTR Raw'!F94</f>
        <v>0</v>
      </c>
      <c r="AK152" s="38">
        <f>+'QTR Raw'!G94</f>
        <v>0</v>
      </c>
      <c r="AL152" s="38">
        <f>+'QTR Raw'!H94</f>
        <v>0</v>
      </c>
      <c r="AM152" s="38">
        <f>+'QTR Raw'!I94</f>
        <v>0</v>
      </c>
      <c r="AN152" s="38">
        <f>+'QTR Raw'!J94</f>
        <v>0</v>
      </c>
      <c r="AO152" s="38">
        <f>+'QTR Raw'!K94</f>
        <v>0</v>
      </c>
      <c r="AP152" s="38">
        <f>+'QTR Raw'!L94</f>
        <v>0</v>
      </c>
      <c r="AQ152" s="38">
        <f>+'QTR Raw'!M94</f>
        <v>0</v>
      </c>
      <c r="AR152" s="38">
        <f>+'QTR Raw'!N94</f>
        <v>0</v>
      </c>
      <c r="AS152" s="38">
        <f>+'QTR Raw'!O94</f>
        <v>30</v>
      </c>
      <c r="AT152" s="38">
        <f>+'QTR Raw'!P94</f>
        <v>0</v>
      </c>
      <c r="AU152" s="38">
        <f>+'QTR Raw'!Q94</f>
        <v>37.03</v>
      </c>
      <c r="AV152" s="38">
        <f>+'QTR Raw'!R94</f>
        <v>0</v>
      </c>
      <c r="AW152" s="38">
        <f>+'QTR Raw'!S94</f>
        <v>43.14</v>
      </c>
      <c r="AX152" s="38">
        <f>+'QTR Raw'!T94</f>
        <v>0</v>
      </c>
      <c r="AY152" s="38">
        <f>+'QTR Raw'!U94</f>
        <v>42.82</v>
      </c>
      <c r="AZ152" s="38">
        <f>+'QTR Raw'!V94</f>
        <v>0</v>
      </c>
      <c r="BA152" s="38">
        <f>+'QTR Raw'!W94</f>
        <v>57.44</v>
      </c>
      <c r="BB152" s="38">
        <f>+'QTR Raw'!X94</f>
        <v>0</v>
      </c>
      <c r="BC152" s="38">
        <f>+'QTR Raw'!Y94</f>
        <v>107.72</v>
      </c>
      <c r="BD152" s="38">
        <f>+'QTR Raw'!Z94</f>
        <v>0</v>
      </c>
      <c r="BE152" s="38">
        <f>+'QTR Raw'!AA94</f>
        <v>104.09</v>
      </c>
      <c r="BF152" s="38">
        <f>+'QTR Raw'!AB94</f>
        <v>0</v>
      </c>
      <c r="BG152" s="38">
        <f>+'QTR Raw'!AC94</f>
        <v>147.28</v>
      </c>
      <c r="BH152" s="38">
        <f>+'QTR Raw'!AD94</f>
        <v>0</v>
      </c>
      <c r="BI152" s="38">
        <f>+'QTR Raw'!AE94</f>
        <v>155.38999999999999</v>
      </c>
      <c r="BJ152" s="38">
        <f>+'QTR Raw'!AF94</f>
        <v>0</v>
      </c>
      <c r="BK152" s="38">
        <f>+'QTR Raw'!AG94</f>
        <v>103.13</v>
      </c>
      <c r="BL152" s="38">
        <f>+'QTR Raw'!AH94</f>
        <v>0</v>
      </c>
      <c r="BM152" s="38">
        <f>+'QTR Raw'!AI94</f>
        <v>80.930000000000007</v>
      </c>
      <c r="BN152" s="38">
        <f>+'QTR Raw'!AJ94</f>
        <v>0</v>
      </c>
      <c r="BO152" s="38">
        <f>+'QTR Raw'!AK94</f>
        <v>91.95</v>
      </c>
      <c r="BP152" s="38">
        <f>+'QTR Raw'!AL94</f>
        <v>0</v>
      </c>
      <c r="BQ152" s="38">
        <f>+'QTR Raw'!AM94</f>
        <v>136.91999999999999</v>
      </c>
      <c r="BR152" s="38">
        <f>+'QTR Raw'!AN94</f>
        <v>0</v>
      </c>
      <c r="BS152" s="38">
        <f>+'QTR Raw'!AO94</f>
        <v>243.37</v>
      </c>
      <c r="BT152" s="38">
        <f>+'QTR Raw'!AP94</f>
        <v>0</v>
      </c>
      <c r="BU152" s="38">
        <f>+'QTR Raw'!AQ94</f>
        <v>355.25</v>
      </c>
      <c r="BV152" s="38">
        <f>+'QTR Raw'!AR94</f>
        <v>0</v>
      </c>
      <c r="BW152" s="38">
        <f>+'QTR Raw'!AS94</f>
        <v>294.76</v>
      </c>
      <c r="BY152" s="38">
        <f>+'QTR Raw'!AU94</f>
        <v>327.86</v>
      </c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T152" s="38">
        <v>327.86</v>
      </c>
    </row>
    <row r="153" spans="1:98" s="38" customFormat="1" x14ac:dyDescent="0.2">
      <c r="A153" s="38" t="s">
        <v>235</v>
      </c>
      <c r="B153" s="38">
        <f>+'Annual Raw'!C129</f>
        <v>0</v>
      </c>
      <c r="C153" s="38">
        <f>+'Annual Raw'!D129</f>
        <v>0</v>
      </c>
      <c r="D153" s="38">
        <f>+'Annual Raw'!E129</f>
        <v>0</v>
      </c>
      <c r="E153" s="38">
        <f>+'Annual Raw'!F129</f>
        <v>0</v>
      </c>
      <c r="F153" s="38">
        <f>+'Annual Raw'!G129</f>
        <v>0</v>
      </c>
      <c r="G153" s="38">
        <f>+'Annual Raw'!H129</f>
        <v>0</v>
      </c>
      <c r="H153" s="38">
        <f>+'Annual Raw'!I129</f>
        <v>0</v>
      </c>
      <c r="I153" s="38">
        <f>+'Annual Raw'!J129</f>
        <v>0</v>
      </c>
      <c r="J153" s="38">
        <f>+'Annual Raw'!K129</f>
        <v>3.9772235</v>
      </c>
      <c r="K153" s="38">
        <f>+'Annual Raw'!L129</f>
        <v>1.9884013</v>
      </c>
      <c r="L153" s="38">
        <f>+'Annual Raw'!M129</f>
        <v>0.61098300000000005</v>
      </c>
      <c r="M153" s="38">
        <f>+'Annual Raw'!N129</f>
        <v>0.53582010000000002</v>
      </c>
      <c r="N153" s="38">
        <f>+'Annual Raw'!O129</f>
        <v>1.8308637999999999</v>
      </c>
      <c r="O153" s="38">
        <f>+'Annual Raw'!P129</f>
        <v>3.4019170999999999</v>
      </c>
      <c r="P153" s="38">
        <f>+'Annual Raw'!Q129</f>
        <v>3.1242489</v>
      </c>
      <c r="Q153" s="38">
        <f>+'Annual Raw'!R129</f>
        <v>3.2540909</v>
      </c>
      <c r="R153" s="38">
        <f>+'Annual Raw'!S129</f>
        <v>0.13766590000000001</v>
      </c>
      <c r="S153" s="38">
        <f>+'Annual Raw'!T129</f>
        <v>0</v>
      </c>
      <c r="T153" s="38">
        <f>+'Annual Raw'!U129</f>
        <v>0</v>
      </c>
      <c r="U153" s="38">
        <f>+'Annual Raw'!V129</f>
        <v>0</v>
      </c>
      <c r="V153" s="38">
        <f>+'Annual Raw'!W129</f>
        <v>0</v>
      </c>
      <c r="W153" s="38">
        <f>+'Annual Raw'!X129</f>
        <v>0</v>
      </c>
      <c r="X153" s="38">
        <f>+'Annual Raw'!Y129</f>
        <v>0</v>
      </c>
      <c r="Y153" s="38">
        <f>+'Annual Raw'!Z129</f>
        <v>0</v>
      </c>
      <c r="Z153" s="38">
        <f>+'Annual Raw'!AA129</f>
        <v>0</v>
      </c>
      <c r="AA153" s="38">
        <f>+'Annual Raw'!AB129</f>
        <v>0</v>
      </c>
      <c r="AB153" s="39"/>
      <c r="AC153" s="39"/>
      <c r="AD153" s="39"/>
      <c r="AE153" s="39"/>
      <c r="AG153" s="60"/>
      <c r="AH153" s="38">
        <f>+'QTR Raw'!D93</f>
        <v>0</v>
      </c>
      <c r="AI153" s="38">
        <f>+'QTR Raw'!E93</f>
        <v>0</v>
      </c>
      <c r="AJ153" s="38">
        <f>+'QTR Raw'!F93</f>
        <v>0</v>
      </c>
      <c r="AK153" s="38">
        <f>+'QTR Raw'!G93</f>
        <v>0</v>
      </c>
      <c r="AL153" s="38">
        <f>+'QTR Raw'!H93</f>
        <v>0</v>
      </c>
      <c r="AM153" s="38">
        <f>+'QTR Raw'!I93</f>
        <v>0</v>
      </c>
      <c r="AN153" s="38">
        <f>+'QTR Raw'!J93</f>
        <v>0</v>
      </c>
      <c r="AO153" s="38">
        <f>+'QTR Raw'!K93</f>
        <v>0</v>
      </c>
      <c r="AP153" s="38">
        <f>+'QTR Raw'!L93</f>
        <v>0</v>
      </c>
      <c r="AQ153" s="38">
        <f>+'QTR Raw'!M93</f>
        <v>0</v>
      </c>
      <c r="AR153" s="38">
        <f>+'QTR Raw'!N93</f>
        <v>0</v>
      </c>
      <c r="AS153" s="38">
        <f>+'QTR Raw'!O93</f>
        <v>0</v>
      </c>
      <c r="AT153" s="38">
        <f>+'QTR Raw'!P93</f>
        <v>0</v>
      </c>
      <c r="AU153" s="38">
        <f>+'QTR Raw'!Q93</f>
        <v>0</v>
      </c>
      <c r="AV153" s="38">
        <f>+'QTR Raw'!R93</f>
        <v>0</v>
      </c>
      <c r="AW153" s="38">
        <f>+'QTR Raw'!S93</f>
        <v>0</v>
      </c>
      <c r="AX153" s="38">
        <f>+'QTR Raw'!T93</f>
        <v>0</v>
      </c>
      <c r="AY153" s="38">
        <f>+'QTR Raw'!U93</f>
        <v>0</v>
      </c>
      <c r="AZ153" s="38">
        <f>+'QTR Raw'!V93</f>
        <v>0</v>
      </c>
      <c r="BA153" s="38">
        <f>+'QTR Raw'!W93</f>
        <v>0</v>
      </c>
      <c r="BB153" s="38">
        <f>+'QTR Raw'!X93</f>
        <v>0</v>
      </c>
      <c r="BC153" s="38">
        <f>+'QTR Raw'!Y93</f>
        <v>0</v>
      </c>
      <c r="BD153" s="38">
        <f>+'QTR Raw'!Z93</f>
        <v>0</v>
      </c>
      <c r="BE153" s="38">
        <f>+'QTR Raw'!AA93</f>
        <v>0</v>
      </c>
      <c r="BF153" s="38">
        <f>+'QTR Raw'!AB93</f>
        <v>0</v>
      </c>
      <c r="BG153" s="38">
        <f>+'QTR Raw'!AC93</f>
        <v>0</v>
      </c>
      <c r="BH153" s="38">
        <f>+'QTR Raw'!AD93</f>
        <v>0</v>
      </c>
      <c r="BI153" s="38">
        <f>+'QTR Raw'!AE93</f>
        <v>0</v>
      </c>
      <c r="BJ153" s="38">
        <f>+'QTR Raw'!AF93</f>
        <v>0</v>
      </c>
      <c r="BK153" s="38">
        <f>+'QTR Raw'!AG93</f>
        <v>0</v>
      </c>
      <c r="BL153" s="38">
        <f>+'QTR Raw'!AH93</f>
        <v>0</v>
      </c>
      <c r="BM153" s="38">
        <f>+'QTR Raw'!AI93</f>
        <v>0</v>
      </c>
      <c r="BN153" s="38">
        <f>+'QTR Raw'!AJ93</f>
        <v>0</v>
      </c>
      <c r="BO153" s="38">
        <f>+'QTR Raw'!AK93</f>
        <v>0</v>
      </c>
      <c r="BP153" s="38">
        <f>+'QTR Raw'!AL93</f>
        <v>0</v>
      </c>
      <c r="BQ153" s="38">
        <f>+'QTR Raw'!AM93</f>
        <v>0</v>
      </c>
      <c r="BR153" s="38">
        <f>+'QTR Raw'!AN93</f>
        <v>0</v>
      </c>
      <c r="BS153" s="38">
        <f>+'QTR Raw'!AO93</f>
        <v>0</v>
      </c>
      <c r="BT153" s="38">
        <f>+'QTR Raw'!AP93</f>
        <v>0</v>
      </c>
      <c r="BU153" s="38">
        <f>+'QTR Raw'!AQ93</f>
        <v>0</v>
      </c>
      <c r="BV153" s="38">
        <f>+'QTR Raw'!AR93</f>
        <v>0</v>
      </c>
      <c r="BW153" s="38">
        <f>+'QTR Raw'!AS93</f>
        <v>0</v>
      </c>
      <c r="BY153" s="38">
        <f>+'QTR Raw'!AU93</f>
        <v>0</v>
      </c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T153" s="38">
        <v>0</v>
      </c>
    </row>
    <row r="154" spans="1:98" s="40" customFormat="1" x14ac:dyDescent="0.2">
      <c r="A154" s="40" t="s">
        <v>51</v>
      </c>
      <c r="B154" s="40">
        <f t="shared" ref="B154:Y154" si="1180">B146+B131+B152+B150+B129+B153+B120</f>
        <v>0</v>
      </c>
      <c r="C154" s="40">
        <f t="shared" si="1180"/>
        <v>0</v>
      </c>
      <c r="D154" s="40">
        <f t="shared" si="1180"/>
        <v>0</v>
      </c>
      <c r="E154" s="40">
        <f t="shared" si="1180"/>
        <v>0</v>
      </c>
      <c r="F154" s="40">
        <f t="shared" si="1180"/>
        <v>0</v>
      </c>
      <c r="G154" s="40">
        <f t="shared" si="1180"/>
        <v>0</v>
      </c>
      <c r="H154" s="40">
        <f t="shared" si="1180"/>
        <v>0</v>
      </c>
      <c r="I154" s="40">
        <f t="shared" si="1180"/>
        <v>0</v>
      </c>
      <c r="J154" s="40">
        <f t="shared" si="1180"/>
        <v>211.03999820000001</v>
      </c>
      <c r="K154" s="40">
        <f t="shared" si="1180"/>
        <v>296.38066179999998</v>
      </c>
      <c r="L154" s="40">
        <f t="shared" si="1180"/>
        <v>279.81401920000002</v>
      </c>
      <c r="M154" s="40">
        <f t="shared" si="1180"/>
        <v>297.91343790000002</v>
      </c>
      <c r="N154" s="40">
        <f t="shared" si="1180"/>
        <v>501.25853500000005</v>
      </c>
      <c r="O154" s="40">
        <f t="shared" si="1180"/>
        <v>1016.2820135999999</v>
      </c>
      <c r="P154" s="40">
        <f t="shared" si="1180"/>
        <v>1671.4356287999999</v>
      </c>
      <c r="Q154" s="40">
        <f t="shared" si="1180"/>
        <v>2698.2346259999999</v>
      </c>
      <c r="R154" s="40">
        <f t="shared" si="1180"/>
        <v>3359.0315175000001</v>
      </c>
      <c r="S154" s="40">
        <f t="shared" si="1180"/>
        <v>5060.9399999999996</v>
      </c>
      <c r="T154" s="40">
        <f t="shared" si="1180"/>
        <v>7231.63</v>
      </c>
      <c r="U154" s="40">
        <f t="shared" si="1180"/>
        <v>10491.64</v>
      </c>
      <c r="V154" s="40">
        <f t="shared" si="1180"/>
        <v>12415.53</v>
      </c>
      <c r="W154" s="40">
        <f t="shared" si="1180"/>
        <v>17087.599999999999</v>
      </c>
      <c r="X154" s="40">
        <f t="shared" si="1180"/>
        <v>21419.200000000001</v>
      </c>
      <c r="Y154" s="40">
        <f t="shared" si="1180"/>
        <v>28410.959999999999</v>
      </c>
      <c r="Z154" s="40">
        <f>Z146+Z131+Z152+Z150+Z129+Z153+Z120</f>
        <v>27401.71</v>
      </c>
      <c r="AA154" s="40">
        <f>AA146+AA131+AA152+AA150+AA129+AA153+AA120</f>
        <v>31483.35</v>
      </c>
      <c r="AB154" s="41">
        <f t="shared" ref="AB154:AE154" si="1181">AB146+AB131+AB152+AB150+AB129+AB153+AB120</f>
        <v>34989.327832184441</v>
      </c>
      <c r="AC154" s="41">
        <f t="shared" si="1181"/>
        <v>40279.083700273681</v>
      </c>
      <c r="AD154" s="41">
        <f t="shared" si="1181"/>
        <v>46342.531059646237</v>
      </c>
      <c r="AE154" s="41">
        <f t="shared" si="1181"/>
        <v>53237.347507258324</v>
      </c>
      <c r="AG154" s="61"/>
      <c r="AH154" s="40">
        <f t="shared" ref="AH154" si="1182">AH146+AH131+AH152+AH150+AH129+AH120</f>
        <v>0</v>
      </c>
      <c r="AI154" s="40">
        <f t="shared" ref="AI154" si="1183">AI146+AI131+AI152+AI150+AI129+AI120</f>
        <v>0</v>
      </c>
      <c r="AJ154" s="40">
        <f t="shared" ref="AJ154" si="1184">AJ146+AJ131+AJ152+AJ150+AJ129+AJ120</f>
        <v>0</v>
      </c>
      <c r="AK154" s="40">
        <f t="shared" ref="AK154" si="1185">AK146+AK131+AK152+AK150+AK129+AK120</f>
        <v>0</v>
      </c>
      <c r="AL154" s="40">
        <f t="shared" ref="AL154" si="1186">AL146+AL131+AL152+AL150+AL129+AL120</f>
        <v>0</v>
      </c>
      <c r="AM154" s="40">
        <f t="shared" ref="AM154" si="1187">AM146+AM131+AM152+AM150+AM129+AM120</f>
        <v>0</v>
      </c>
      <c r="AN154" s="40">
        <f t="shared" ref="AN154" si="1188">AN146+AN131+AN152+AN150+AN129+AN120</f>
        <v>0</v>
      </c>
      <c r="AO154" s="40">
        <f t="shared" ref="AO154" si="1189">AO146+AO131+AO152+AO150+AO129+AO120</f>
        <v>0</v>
      </c>
      <c r="AP154" s="40">
        <f t="shared" ref="AP154" si="1190">AP146+AP131+AP152+AP150+AP129+AP120</f>
        <v>0</v>
      </c>
      <c r="AQ154" s="40">
        <f t="shared" ref="AQ154" si="1191">AQ146+AQ131+AQ152+AQ150+AQ129+AQ120</f>
        <v>0</v>
      </c>
      <c r="AR154" s="40">
        <f t="shared" ref="AR154" si="1192">AR146+AR131+AR152+AR150+AR129+AR120</f>
        <v>0</v>
      </c>
      <c r="AS154" s="40">
        <f t="shared" ref="AS154" si="1193">AS146+AS131+AS152+AS150+AS129+AS120</f>
        <v>4191.9399999999996</v>
      </c>
      <c r="AT154" s="40">
        <f t="shared" ref="AT154" si="1194">AT146+AT131+AT152+AT150+AT129+AT120</f>
        <v>0</v>
      </c>
      <c r="AU154" s="40">
        <f t="shared" ref="AU154" si="1195">AU146+AU131+AU152+AU150+AU129+AU120</f>
        <v>4923.9000000000005</v>
      </c>
      <c r="AV154" s="40">
        <f t="shared" ref="AV154:BV154" si="1196">AV146+AV131+AV152+AV150+AV129+AV120</f>
        <v>0</v>
      </c>
      <c r="AW154" s="40">
        <f t="shared" si="1196"/>
        <v>6479.5599999999995</v>
      </c>
      <c r="AX154" s="40">
        <f t="shared" si="1196"/>
        <v>0</v>
      </c>
      <c r="AY154" s="40">
        <f t="shared" si="1196"/>
        <v>7669.5700000000006</v>
      </c>
      <c r="AZ154" s="40">
        <f t="shared" si="1196"/>
        <v>0</v>
      </c>
      <c r="BA154" s="40">
        <f t="shared" si="1196"/>
        <v>11487.23</v>
      </c>
      <c r="BB154" s="40">
        <f t="shared" si="1196"/>
        <v>0</v>
      </c>
      <c r="BC154" s="40">
        <f t="shared" si="1196"/>
        <v>10961.47</v>
      </c>
      <c r="BD154" s="40">
        <f t="shared" si="1196"/>
        <v>0</v>
      </c>
      <c r="BE154" s="40">
        <f t="shared" si="1196"/>
        <v>12960.06</v>
      </c>
      <c r="BF154" s="40">
        <f t="shared" si="1196"/>
        <v>0</v>
      </c>
      <c r="BG154" s="40">
        <f t="shared" si="1196"/>
        <v>12134.45</v>
      </c>
      <c r="BH154" s="40">
        <f t="shared" si="1196"/>
        <v>0</v>
      </c>
      <c r="BI154" s="40">
        <f t="shared" si="1196"/>
        <v>15591.76</v>
      </c>
      <c r="BJ154" s="40">
        <f t="shared" si="1196"/>
        <v>0</v>
      </c>
      <c r="BK154" s="40">
        <f t="shared" si="1196"/>
        <v>15713.86</v>
      </c>
      <c r="BL154" s="40">
        <f t="shared" si="1196"/>
        <v>0</v>
      </c>
      <c r="BM154" s="40">
        <f t="shared" si="1196"/>
        <v>19668.97</v>
      </c>
      <c r="BN154" s="40">
        <f t="shared" si="1196"/>
        <v>0</v>
      </c>
      <c r="BO154" s="40">
        <f t="shared" si="1196"/>
        <v>21157.16</v>
      </c>
      <c r="BP154" s="40">
        <f t="shared" si="1196"/>
        <v>0</v>
      </c>
      <c r="BQ154" s="40">
        <f t="shared" si="1196"/>
        <v>26343.63</v>
      </c>
      <c r="BR154" s="40">
        <f t="shared" si="1196"/>
        <v>0</v>
      </c>
      <c r="BS154" s="40">
        <f t="shared" si="1196"/>
        <v>24187.93</v>
      </c>
      <c r="BT154" s="40">
        <f t="shared" si="1196"/>
        <v>23070</v>
      </c>
      <c r="BU154" s="40">
        <f t="shared" si="1196"/>
        <v>25834.7</v>
      </c>
      <c r="BV154" s="40">
        <f t="shared" si="1196"/>
        <v>24274.45</v>
      </c>
      <c r="BW154" s="40">
        <f>BW146+BW131+BW152+BW150+BW129+BW120</f>
        <v>26054.47</v>
      </c>
      <c r="BX154" s="40">
        <f t="shared" ref="BX154:CO154" si="1197">BX146+BX131+BX152+BX150+BX129+BX120</f>
        <v>27192.470000000005</v>
      </c>
      <c r="BY154" s="40">
        <f>BY146+BY131+BY152+BY150+BY129+BY120</f>
        <v>30571.13</v>
      </c>
      <c r="BZ154" s="41">
        <f t="shared" si="1197"/>
        <v>30121.199425510284</v>
      </c>
      <c r="CA154" s="41">
        <f t="shared" si="1197"/>
        <v>30727.319140705808</v>
      </c>
      <c r="CB154" s="41">
        <f t="shared" si="1197"/>
        <v>31596.1851446213</v>
      </c>
      <c r="CC154" s="41">
        <f t="shared" si="1197"/>
        <v>34989.327832184441</v>
      </c>
      <c r="CD154" s="41">
        <f t="shared" si="1197"/>
        <v>34567.703345642149</v>
      </c>
      <c r="CE154" s="41">
        <f t="shared" si="1197"/>
        <v>35357.220577331609</v>
      </c>
      <c r="CF154" s="41">
        <f t="shared" si="1197"/>
        <v>36396.049383745689</v>
      </c>
      <c r="CG154" s="41">
        <f t="shared" si="1197"/>
        <v>40279.083700273681</v>
      </c>
      <c r="CH154" s="41">
        <f t="shared" si="1197"/>
        <v>39861.318737972091</v>
      </c>
      <c r="CI154" s="41">
        <f t="shared" si="1197"/>
        <v>40786.41689389899</v>
      </c>
      <c r="CJ154" s="41">
        <f t="shared" si="1197"/>
        <v>41972.492612020294</v>
      </c>
      <c r="CK154" s="41">
        <f t="shared" si="1197"/>
        <v>46342.531059646237</v>
      </c>
      <c r="CL154" s="41">
        <f t="shared" si="1197"/>
        <v>45897.216384828163</v>
      </c>
      <c r="CM154" s="41">
        <f t="shared" si="1197"/>
        <v>46955.784995709218</v>
      </c>
      <c r="CN154" s="41">
        <f t="shared" si="1197"/>
        <v>48304.810661099589</v>
      </c>
      <c r="CO154" s="41">
        <f t="shared" si="1197"/>
        <v>53237.347507258324</v>
      </c>
      <c r="CT154" s="40">
        <v>28756.579999999998</v>
      </c>
    </row>
    <row r="155" spans="1:98" s="38" customFormat="1" x14ac:dyDescent="0.2">
      <c r="A155" s="38" t="s">
        <v>289</v>
      </c>
      <c r="B155" s="38">
        <f t="shared" ref="B155:AB155" si="1198">B154-B115</f>
        <v>0</v>
      </c>
      <c r="C155" s="38">
        <f t="shared" si="1198"/>
        <v>0</v>
      </c>
      <c r="D155" s="38">
        <f t="shared" si="1198"/>
        <v>0</v>
      </c>
      <c r="E155" s="38">
        <f t="shared" si="1198"/>
        <v>0</v>
      </c>
      <c r="F155" s="38">
        <f t="shared" si="1198"/>
        <v>0</v>
      </c>
      <c r="G155" s="38">
        <f t="shared" si="1198"/>
        <v>0</v>
      </c>
      <c r="H155" s="38">
        <f t="shared" si="1198"/>
        <v>0</v>
      </c>
      <c r="I155" s="38">
        <f t="shared" si="1198"/>
        <v>0</v>
      </c>
      <c r="J155" s="38">
        <f t="shared" si="1198"/>
        <v>0</v>
      </c>
      <c r="K155" s="38">
        <f t="shared" si="1198"/>
        <v>0</v>
      </c>
      <c r="L155" s="38">
        <f t="shared" si="1198"/>
        <v>0</v>
      </c>
      <c r="M155" s="38">
        <f t="shared" si="1198"/>
        <v>0</v>
      </c>
      <c r="N155" s="38">
        <f t="shared" si="1198"/>
        <v>0</v>
      </c>
      <c r="O155" s="38">
        <f t="shared" si="1198"/>
        <v>0</v>
      </c>
      <c r="P155" s="38">
        <f t="shared" si="1198"/>
        <v>0</v>
      </c>
      <c r="Q155" s="38">
        <f t="shared" si="1198"/>
        <v>0</v>
      </c>
      <c r="R155" s="38">
        <f t="shared" si="1198"/>
        <v>0</v>
      </c>
      <c r="S155" s="38">
        <f t="shared" si="1198"/>
        <v>0</v>
      </c>
      <c r="T155" s="38">
        <f t="shared" si="1198"/>
        <v>0</v>
      </c>
      <c r="U155" s="38">
        <f t="shared" si="1198"/>
        <v>0</v>
      </c>
      <c r="V155" s="38">
        <f t="shared" si="1198"/>
        <v>0</v>
      </c>
      <c r="W155" s="38">
        <f t="shared" si="1198"/>
        <v>0</v>
      </c>
      <c r="X155" s="38">
        <f t="shared" si="1198"/>
        <v>0</v>
      </c>
      <c r="Y155" s="38">
        <f t="shared" si="1198"/>
        <v>0</v>
      </c>
      <c r="Z155" s="38">
        <f t="shared" si="1198"/>
        <v>0</v>
      </c>
      <c r="AA155" s="38">
        <f t="shared" ref="AA155" si="1199">AA154-AA115</f>
        <v>0</v>
      </c>
      <c r="AB155" s="39">
        <f t="shared" si="1198"/>
        <v>0</v>
      </c>
      <c r="AC155" s="39">
        <f t="shared" ref="AC155:AE155" si="1200">AC154-AC115</f>
        <v>0</v>
      </c>
      <c r="AD155" s="39">
        <f t="shared" si="1200"/>
        <v>0</v>
      </c>
      <c r="AE155" s="39">
        <f t="shared" si="1200"/>
        <v>0</v>
      </c>
      <c r="AG155" s="60"/>
      <c r="AH155" s="38">
        <f t="shared" ref="AH155" si="1201">AH154-AH115</f>
        <v>0</v>
      </c>
      <c r="AI155" s="38">
        <f t="shared" ref="AI155" si="1202">AI154-AI115</f>
        <v>0</v>
      </c>
      <c r="AJ155" s="38">
        <f t="shared" ref="AJ155" si="1203">AJ154-AJ115</f>
        <v>0</v>
      </c>
      <c r="AK155" s="38">
        <f t="shared" ref="AK155" si="1204">AK154-AK115</f>
        <v>0</v>
      </c>
      <c r="AL155" s="38">
        <f t="shared" ref="AL155" si="1205">AL154-AL115</f>
        <v>0</v>
      </c>
      <c r="AM155" s="38">
        <f t="shared" ref="AM155" si="1206">AM154-AM115</f>
        <v>0</v>
      </c>
      <c r="AN155" s="38">
        <f t="shared" ref="AN155" si="1207">AN154-AN115</f>
        <v>0</v>
      </c>
      <c r="AO155" s="38">
        <f t="shared" ref="AO155" si="1208">AO154-AO115</f>
        <v>0</v>
      </c>
      <c r="AP155" s="38">
        <f t="shared" ref="AP155" si="1209">AP154-AP115</f>
        <v>0</v>
      </c>
      <c r="AQ155" s="38">
        <f t="shared" ref="AQ155" si="1210">AQ154-AQ115</f>
        <v>0</v>
      </c>
      <c r="AR155" s="38">
        <f t="shared" ref="AR155" si="1211">AR154-AR115</f>
        <v>0</v>
      </c>
      <c r="AS155" s="38">
        <f t="shared" ref="AS155" si="1212">AS154-AS115</f>
        <v>0</v>
      </c>
      <c r="AT155" s="38">
        <f t="shared" ref="AT155" si="1213">AT154-AT115</f>
        <v>0</v>
      </c>
      <c r="AU155" s="38">
        <f t="shared" ref="AU155" si="1214">AU154-AU115</f>
        <v>0</v>
      </c>
      <c r="AV155" s="38">
        <f t="shared" ref="AV155:BM155" si="1215">AV154-AV115</f>
        <v>0</v>
      </c>
      <c r="AW155" s="38">
        <f t="shared" si="1215"/>
        <v>0</v>
      </c>
      <c r="AX155" s="38">
        <f t="shared" si="1215"/>
        <v>0</v>
      </c>
      <c r="AY155" s="38">
        <f t="shared" si="1215"/>
        <v>0</v>
      </c>
      <c r="AZ155" s="38">
        <f t="shared" si="1215"/>
        <v>0</v>
      </c>
      <c r="BA155" s="38">
        <f t="shared" si="1215"/>
        <v>0</v>
      </c>
      <c r="BB155" s="38">
        <f t="shared" si="1215"/>
        <v>0</v>
      </c>
      <c r="BC155" s="38">
        <f t="shared" si="1215"/>
        <v>0</v>
      </c>
      <c r="BD155" s="38">
        <f t="shared" si="1215"/>
        <v>0</v>
      </c>
      <c r="BE155" s="38">
        <f t="shared" si="1215"/>
        <v>0</v>
      </c>
      <c r="BF155" s="38">
        <f t="shared" si="1215"/>
        <v>0</v>
      </c>
      <c r="BG155" s="38">
        <f t="shared" si="1215"/>
        <v>0</v>
      </c>
      <c r="BH155" s="38">
        <f t="shared" si="1215"/>
        <v>0</v>
      </c>
      <c r="BI155" s="38">
        <f t="shared" si="1215"/>
        <v>0</v>
      </c>
      <c r="BJ155" s="38">
        <f t="shared" si="1215"/>
        <v>0</v>
      </c>
      <c r="BK155" s="38">
        <f t="shared" si="1215"/>
        <v>0</v>
      </c>
      <c r="BL155" s="38">
        <f t="shared" si="1215"/>
        <v>0</v>
      </c>
      <c r="BM155" s="38">
        <f t="shared" si="1215"/>
        <v>0</v>
      </c>
      <c r="BN155" s="38">
        <f t="shared" ref="BN155:CO155" si="1216">BN154-BN115</f>
        <v>-5455.43</v>
      </c>
      <c r="BO155" s="38">
        <f t="shared" si="1216"/>
        <v>0</v>
      </c>
      <c r="BP155" s="38">
        <f t="shared" si="1216"/>
        <v>-6151.08</v>
      </c>
      <c r="BQ155" s="38">
        <f t="shared" si="1216"/>
        <v>0</v>
      </c>
      <c r="BR155" s="38">
        <f t="shared" si="1216"/>
        <v>-6967.64</v>
      </c>
      <c r="BS155" s="38">
        <f t="shared" si="1216"/>
        <v>0</v>
      </c>
      <c r="BT155" s="38">
        <f t="shared" si="1216"/>
        <v>-3594.8899999999994</v>
      </c>
      <c r="BU155" s="38">
        <f t="shared" si="1216"/>
        <v>0</v>
      </c>
      <c r="BV155" s="38">
        <f t="shared" si="1216"/>
        <v>-1620.4399999999987</v>
      </c>
      <c r="BW155" s="38">
        <f t="shared" si="1216"/>
        <v>0</v>
      </c>
      <c r="BX155" s="38">
        <f t="shared" si="1216"/>
        <v>0</v>
      </c>
      <c r="BY155" s="38">
        <f t="shared" ref="BY155" si="1217">BY154-BY115</f>
        <v>0</v>
      </c>
      <c r="BZ155" s="39">
        <f t="shared" si="1216"/>
        <v>0</v>
      </c>
      <c r="CA155" s="39">
        <f t="shared" si="1216"/>
        <v>0</v>
      </c>
      <c r="CB155" s="39">
        <f t="shared" si="1216"/>
        <v>0</v>
      </c>
      <c r="CC155" s="39">
        <f t="shared" si="1216"/>
        <v>0</v>
      </c>
      <c r="CD155" s="39">
        <f t="shared" si="1216"/>
        <v>0</v>
      </c>
      <c r="CE155" s="39">
        <f t="shared" si="1216"/>
        <v>0</v>
      </c>
      <c r="CF155" s="39">
        <f t="shared" si="1216"/>
        <v>0</v>
      </c>
      <c r="CG155" s="39">
        <f t="shared" si="1216"/>
        <v>0</v>
      </c>
      <c r="CH155" s="39">
        <f t="shared" si="1216"/>
        <v>0</v>
      </c>
      <c r="CI155" s="39">
        <f t="shared" si="1216"/>
        <v>0</v>
      </c>
      <c r="CJ155" s="39">
        <f t="shared" si="1216"/>
        <v>0</v>
      </c>
      <c r="CK155" s="39">
        <f t="shared" si="1216"/>
        <v>0</v>
      </c>
      <c r="CL155" s="39">
        <f t="shared" si="1216"/>
        <v>0</v>
      </c>
      <c r="CM155" s="39">
        <f t="shared" si="1216"/>
        <v>0</v>
      </c>
      <c r="CN155" s="39">
        <f t="shared" si="1216"/>
        <v>0</v>
      </c>
      <c r="CO155" s="39">
        <f t="shared" si="1216"/>
        <v>0</v>
      </c>
      <c r="CT155" s="38">
        <v>-1814.5500000000029</v>
      </c>
    </row>
    <row r="156" spans="1:98" s="38" customFormat="1" x14ac:dyDescent="0.2">
      <c r="A156" s="118" t="s">
        <v>174</v>
      </c>
      <c r="AB156" s="39"/>
      <c r="AC156" s="39"/>
      <c r="AD156" s="39"/>
      <c r="AE156" s="39"/>
      <c r="AG156" s="60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</row>
    <row r="157" spans="1:98" s="38" customFormat="1" x14ac:dyDescent="0.2">
      <c r="A157" s="47"/>
      <c r="AB157" s="39"/>
      <c r="AC157" s="39"/>
      <c r="AD157" s="39"/>
      <c r="AE157" s="39"/>
      <c r="AG157" s="60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</row>
    <row r="158" spans="1:98" s="38" customFormat="1" x14ac:dyDescent="0.2">
      <c r="A158" s="38" t="s">
        <v>49</v>
      </c>
      <c r="B158" s="38" t="e">
        <f t="shared" ref="B158:AB158" si="1218">+B114/B106</f>
        <v>#DIV/0!</v>
      </c>
      <c r="C158" s="38" t="e">
        <f t="shared" si="1218"/>
        <v>#DIV/0!</v>
      </c>
      <c r="D158" s="38" t="e">
        <f t="shared" si="1218"/>
        <v>#DIV/0!</v>
      </c>
      <c r="E158" s="38" t="e">
        <f t="shared" si="1218"/>
        <v>#DIV/0!</v>
      </c>
      <c r="F158" s="38" t="e">
        <f t="shared" si="1218"/>
        <v>#DIV/0!</v>
      </c>
      <c r="G158" s="38" t="e">
        <f t="shared" si="1218"/>
        <v>#DIV/0!</v>
      </c>
      <c r="H158" s="38" t="e">
        <f t="shared" si="1218"/>
        <v>#DIV/0!</v>
      </c>
      <c r="I158" s="38" t="e">
        <f t="shared" si="1218"/>
        <v>#DIV/0!</v>
      </c>
      <c r="J158" s="38">
        <f t="shared" si="1218"/>
        <v>8.6819186538712341</v>
      </c>
      <c r="K158" s="38">
        <f t="shared" si="1218"/>
        <v>4.898946878917724</v>
      </c>
      <c r="L158" s="38">
        <f t="shared" si="1218"/>
        <v>4.207280560600914</v>
      </c>
      <c r="M158" s="38">
        <f t="shared" si="1218"/>
        <v>4.8606868797236293</v>
      </c>
      <c r="N158" s="38">
        <f t="shared" si="1218"/>
        <v>3.4560099691811237</v>
      </c>
      <c r="O158" s="38">
        <f t="shared" si="1218"/>
        <v>3.8151757619178617</v>
      </c>
      <c r="P158" s="38">
        <f t="shared" si="1218"/>
        <v>3.3880767731617687</v>
      </c>
      <c r="Q158" s="38">
        <f t="shared" si="1218"/>
        <v>4.8036572839691178</v>
      </c>
      <c r="R158" s="38">
        <f t="shared" si="1218"/>
        <v>3.8625468128001019</v>
      </c>
      <c r="S158" s="38">
        <f t="shared" si="1218"/>
        <v>2.5207028967359544</v>
      </c>
      <c r="T158" s="38">
        <f t="shared" si="1218"/>
        <v>2.0576940965556898</v>
      </c>
      <c r="U158" s="38">
        <f t="shared" si="1218"/>
        <v>2.9308076191047103</v>
      </c>
      <c r="V158" s="38">
        <f t="shared" si="1218"/>
        <v>2.4157301206940662</v>
      </c>
      <c r="W158" s="38">
        <f t="shared" si="1218"/>
        <v>3.100784514184372</v>
      </c>
      <c r="X158" s="38">
        <f t="shared" si="1218"/>
        <v>3.194135823017306</v>
      </c>
      <c r="Y158" s="38">
        <f t="shared" si="1218"/>
        <v>3.3243799420086915</v>
      </c>
      <c r="Z158" s="38">
        <f t="shared" si="1218"/>
        <v>2.9393252385730757</v>
      </c>
      <c r="AA158" s="38">
        <f t="shared" ref="AA158" si="1219">+AA114/AA106</f>
        <v>3.0145966320761213</v>
      </c>
      <c r="AB158" s="39">
        <f t="shared" si="1218"/>
        <v>2.7328030806304149</v>
      </c>
      <c r="AC158" s="39">
        <f t="shared" ref="AC158:AE158" si="1220">+AC114/AC106</f>
        <v>2.5188014602459416</v>
      </c>
      <c r="AD158" s="39">
        <f t="shared" si="1220"/>
        <v>2.3357671838620666</v>
      </c>
      <c r="AE158" s="39">
        <f t="shared" si="1220"/>
        <v>2.1848041827133193</v>
      </c>
      <c r="AG158" s="60"/>
      <c r="AH158" s="38" t="e">
        <f t="shared" ref="AH158:BM158" si="1221">+AH114/AH106</f>
        <v>#DIV/0!</v>
      </c>
      <c r="AI158" s="38" t="e">
        <f t="shared" si="1221"/>
        <v>#DIV/0!</v>
      </c>
      <c r="AJ158" s="38" t="e">
        <f t="shared" si="1221"/>
        <v>#DIV/0!</v>
      </c>
      <c r="AK158" s="38" t="e">
        <f t="shared" si="1221"/>
        <v>#DIV/0!</v>
      </c>
      <c r="AL158" s="38" t="e">
        <f t="shared" si="1221"/>
        <v>#DIV/0!</v>
      </c>
      <c r="AM158" s="38" t="e">
        <f t="shared" si="1221"/>
        <v>#DIV/0!</v>
      </c>
      <c r="AN158" s="38" t="e">
        <f t="shared" si="1221"/>
        <v>#DIV/0!</v>
      </c>
      <c r="AO158" s="38" t="e">
        <f t="shared" si="1221"/>
        <v>#DIV/0!</v>
      </c>
      <c r="AP158" s="38" t="e">
        <f t="shared" si="1221"/>
        <v>#DIV/0!</v>
      </c>
      <c r="AQ158" s="38" t="e">
        <f t="shared" si="1221"/>
        <v>#DIV/0!</v>
      </c>
      <c r="AR158" s="38" t="e">
        <f t="shared" si="1221"/>
        <v>#DIV/0!</v>
      </c>
      <c r="AS158" s="38">
        <f t="shared" si="1221"/>
        <v>1.9161727467512593</v>
      </c>
      <c r="AT158" s="38" t="e">
        <f t="shared" si="1221"/>
        <v>#DIV/0!</v>
      </c>
      <c r="AU158" s="38">
        <f t="shared" si="1221"/>
        <v>1.224847953586307</v>
      </c>
      <c r="AV158" s="38" t="e">
        <f t="shared" si="1221"/>
        <v>#DIV/0!</v>
      </c>
      <c r="AW158" s="38">
        <f t="shared" si="1221"/>
        <v>1.7397021640042956</v>
      </c>
      <c r="AX158" s="38" t="e">
        <f t="shared" si="1221"/>
        <v>#DIV/0!</v>
      </c>
      <c r="AY158" s="38">
        <f t="shared" si="1221"/>
        <v>2.0016124297986417</v>
      </c>
      <c r="AZ158" s="38" t="e">
        <f t="shared" si="1221"/>
        <v>#DIV/0!</v>
      </c>
      <c r="BA158" s="38">
        <f t="shared" si="1221"/>
        <v>3.1614354367973312</v>
      </c>
      <c r="BB158" s="38" t="e">
        <f t="shared" si="1221"/>
        <v>#DIV/0!</v>
      </c>
      <c r="BC158" s="38">
        <f t="shared" si="1221"/>
        <v>2.7625306026202083</v>
      </c>
      <c r="BD158" s="38" t="e">
        <f t="shared" si="1221"/>
        <v>#DIV/0!</v>
      </c>
      <c r="BE158" s="38">
        <f t="shared" si="1221"/>
        <v>2.4823393967303709</v>
      </c>
      <c r="BF158" s="38" t="e">
        <f t="shared" si="1221"/>
        <v>#DIV/0!</v>
      </c>
      <c r="BG158" s="38">
        <f t="shared" si="1221"/>
        <v>2.1910099847815601</v>
      </c>
      <c r="BH158" s="38" t="e">
        <f t="shared" si="1221"/>
        <v>#DIV/0!</v>
      </c>
      <c r="BI158" s="38">
        <f t="shared" si="1221"/>
        <v>2.7418038786534868</v>
      </c>
      <c r="BJ158" s="38" t="e">
        <f t="shared" si="1221"/>
        <v>#DIV/0!</v>
      </c>
      <c r="BK158" s="38">
        <f t="shared" si="1221"/>
        <v>2.4294612419849764</v>
      </c>
      <c r="BL158" s="38" t="e">
        <f t="shared" si="1221"/>
        <v>#DIV/0!</v>
      </c>
      <c r="BM158" s="38">
        <f t="shared" si="1221"/>
        <v>2.8513972081292822</v>
      </c>
      <c r="BN158" s="38">
        <f t="shared" ref="BN158:CO158" si="1222">+BN114/BN106</f>
        <v>0</v>
      </c>
      <c r="BO158" s="38">
        <f t="shared" si="1222"/>
        <v>2.6492081397234095</v>
      </c>
      <c r="BP158" s="38">
        <f t="shared" si="1222"/>
        <v>0</v>
      </c>
      <c r="BQ158" s="38">
        <f t="shared" si="1222"/>
        <v>3.0096971375864157</v>
      </c>
      <c r="BR158" s="38">
        <f t="shared" si="1222"/>
        <v>0</v>
      </c>
      <c r="BS158" s="38">
        <f t="shared" si="1222"/>
        <v>2.4611492456796324</v>
      </c>
      <c r="BT158" s="38">
        <f t="shared" si="1222"/>
        <v>2.8707092144017397</v>
      </c>
      <c r="BU158" s="38">
        <f t="shared" si="1222"/>
        <v>2.7140326942180599</v>
      </c>
      <c r="BV158" s="38">
        <f t="shared" si="1222"/>
        <v>2.6907496408291713</v>
      </c>
      <c r="BW158" s="38">
        <f t="shared" ref="BW158:BY158" si="1223">+BW114/BW106</f>
        <v>2.6366677926073154</v>
      </c>
      <c r="BX158" s="38">
        <f t="shared" si="1222"/>
        <v>2.6664976734214525</v>
      </c>
      <c r="BY158" s="38">
        <f t="shared" si="1223"/>
        <v>2.8982600656699291</v>
      </c>
      <c r="BZ158" s="39">
        <f t="shared" si="1222"/>
        <v>2.7057855874866017</v>
      </c>
      <c r="CA158" s="39">
        <f t="shared" si="1222"/>
        <v>2.6099004568461819</v>
      </c>
      <c r="CB158" s="39">
        <f t="shared" si="1222"/>
        <v>2.5415046605817673</v>
      </c>
      <c r="CC158" s="39">
        <f t="shared" si="1222"/>
        <v>2.7328030806304149</v>
      </c>
      <c r="CD158" s="39">
        <f t="shared" si="1222"/>
        <v>2.5157158706679068</v>
      </c>
      <c r="CE158" s="39">
        <f t="shared" si="1222"/>
        <v>2.4174895524495641</v>
      </c>
      <c r="CF158" s="39">
        <f t="shared" si="1222"/>
        <v>2.3448988075480575</v>
      </c>
      <c r="CG158" s="39">
        <f t="shared" si="1222"/>
        <v>2.5188014602459416</v>
      </c>
      <c r="CH158" s="39">
        <f t="shared" si="1222"/>
        <v>2.3152294878235677</v>
      </c>
      <c r="CI158" s="39">
        <f t="shared" si="1222"/>
        <v>2.2276712468540931</v>
      </c>
      <c r="CJ158" s="39">
        <f t="shared" si="1222"/>
        <v>2.166171539473047</v>
      </c>
      <c r="CK158" s="39">
        <f t="shared" si="1222"/>
        <v>2.3357671838620666</v>
      </c>
      <c r="CL158" s="39">
        <f t="shared" si="1222"/>
        <v>2.1507669177860715</v>
      </c>
      <c r="CM158" s="39">
        <f t="shared" si="1222"/>
        <v>2.0742411673278967</v>
      </c>
      <c r="CN158" s="39">
        <f t="shared" si="1222"/>
        <v>2.021694363411374</v>
      </c>
      <c r="CO158" s="39">
        <f t="shared" si="1222"/>
        <v>2.1848041827133193</v>
      </c>
      <c r="CT158" s="38">
        <v>2.8982600656699291</v>
      </c>
    </row>
    <row r="159" spans="1:98" x14ac:dyDescent="0.2">
      <c r="AA159" s="47"/>
      <c r="BY159" s="47"/>
    </row>
    <row r="160" spans="1:98" s="94" customFormat="1" x14ac:dyDescent="0.2">
      <c r="A160" s="94" t="s">
        <v>48</v>
      </c>
      <c r="C160" s="94" t="e">
        <f t="shared" ref="C160:AB160" si="1224">+C119/B119-1</f>
        <v>#DIV/0!</v>
      </c>
      <c r="D160" s="94" t="e">
        <f t="shared" si="1224"/>
        <v>#DIV/0!</v>
      </c>
      <c r="E160" s="94" t="e">
        <f t="shared" si="1224"/>
        <v>#DIV/0!</v>
      </c>
      <c r="F160" s="126" t="e">
        <f t="shared" si="1224"/>
        <v>#DIV/0!</v>
      </c>
      <c r="G160" s="94" t="e">
        <f t="shared" si="1224"/>
        <v>#DIV/0!</v>
      </c>
      <c r="H160" s="94" t="e">
        <f t="shared" si="1224"/>
        <v>#DIV/0!</v>
      </c>
      <c r="I160" s="94" t="e">
        <f t="shared" si="1224"/>
        <v>#DIV/0!</v>
      </c>
      <c r="J160" s="94" t="e">
        <f t="shared" si="1224"/>
        <v>#DIV/0!</v>
      </c>
      <c r="K160" s="94">
        <f t="shared" si="1224"/>
        <v>0.26716461205147368</v>
      </c>
      <c r="L160" s="94">
        <f t="shared" si="1224"/>
        <v>-0.20530978884902973</v>
      </c>
      <c r="M160" s="94">
        <f t="shared" si="1224"/>
        <v>0.42974403612146372</v>
      </c>
      <c r="N160" s="94">
        <f t="shared" si="1224"/>
        <v>0.45526923421859578</v>
      </c>
      <c r="O160" s="94">
        <f t="shared" si="1224"/>
        <v>0.71459241829108699</v>
      </c>
      <c r="P160" s="94">
        <f t="shared" si="1224"/>
        <v>1.0058183609822615</v>
      </c>
      <c r="Q160" s="94">
        <f t="shared" si="1224"/>
        <v>0.83605011823043029</v>
      </c>
      <c r="R160" s="94">
        <f t="shared" si="1224"/>
        <v>0.24804578467173166</v>
      </c>
      <c r="S160" s="94">
        <f t="shared" si="1224"/>
        <v>0.5905856603673223</v>
      </c>
      <c r="T160" s="94">
        <f t="shared" si="1224"/>
        <v>0.34935815684602112</v>
      </c>
      <c r="U160" s="94">
        <f t="shared" si="1224"/>
        <v>0.38918376975701796</v>
      </c>
      <c r="V160" s="94">
        <f t="shared" si="1224"/>
        <v>5.9712946785755339E-2</v>
      </c>
      <c r="W160" s="94">
        <f t="shared" si="1224"/>
        <v>0.53869337442218801</v>
      </c>
      <c r="X160" s="94">
        <f t="shared" si="1224"/>
        <v>0.2885658627508314</v>
      </c>
      <c r="Y160" s="94">
        <f t="shared" si="1224"/>
        <v>0.30066481328548944</v>
      </c>
      <c r="Z160" s="94">
        <f t="shared" si="1224"/>
        <v>-1.823382522757433E-2</v>
      </c>
      <c r="AA160" s="94">
        <f t="shared" si="1224"/>
        <v>0.1413104028322858</v>
      </c>
      <c r="AB160" s="85">
        <f t="shared" si="1224"/>
        <v>0.11870815971438842</v>
      </c>
      <c r="AC160" s="85">
        <f t="shared" ref="AC160:AE160" si="1225">+AC119/AB119-1</f>
        <v>0.12556322981189982</v>
      </c>
      <c r="AD160" s="85">
        <f t="shared" si="1225"/>
        <v>0.12547231152610161</v>
      </c>
      <c r="AE160" s="85">
        <f t="shared" si="1225"/>
        <v>0.12546662913323914</v>
      </c>
      <c r="AG160" s="59"/>
      <c r="AK160" s="94" t="e">
        <f t="shared" ref="AK160:BY160" si="1226">+AK119/AG119-1</f>
        <v>#DIV/0!</v>
      </c>
      <c r="AL160" s="94" t="e">
        <f t="shared" si="1226"/>
        <v>#DIV/0!</v>
      </c>
      <c r="AM160" s="94" t="e">
        <f t="shared" si="1226"/>
        <v>#DIV/0!</v>
      </c>
      <c r="AN160" s="94" t="e">
        <f t="shared" si="1226"/>
        <v>#DIV/0!</v>
      </c>
      <c r="AO160" s="94" t="e">
        <f t="shared" si="1226"/>
        <v>#DIV/0!</v>
      </c>
      <c r="AP160" s="94" t="e">
        <f t="shared" si="1226"/>
        <v>#DIV/0!</v>
      </c>
      <c r="AQ160" s="94" t="e">
        <f t="shared" si="1226"/>
        <v>#DIV/0!</v>
      </c>
      <c r="AR160" s="94" t="e">
        <f t="shared" si="1226"/>
        <v>#DIV/0!</v>
      </c>
      <c r="AS160" s="94" t="e">
        <f t="shared" si="1226"/>
        <v>#DIV/0!</v>
      </c>
      <c r="AT160" s="94" t="e">
        <f t="shared" si="1226"/>
        <v>#DIV/0!</v>
      </c>
      <c r="AU160" s="94" t="e">
        <f t="shared" si="1226"/>
        <v>#DIV/0!</v>
      </c>
      <c r="AV160" s="94" t="e">
        <f t="shared" si="1226"/>
        <v>#DIV/0!</v>
      </c>
      <c r="AW160" s="94">
        <f t="shared" si="1226"/>
        <v>0.34874671383895106</v>
      </c>
      <c r="AX160" s="94" t="e">
        <f t="shared" si="1226"/>
        <v>#DIV/0!</v>
      </c>
      <c r="AY160" s="94">
        <f t="shared" si="1226"/>
        <v>0.30335759898503056</v>
      </c>
      <c r="AZ160" s="94" t="e">
        <f t="shared" si="1226"/>
        <v>#DIV/0!</v>
      </c>
      <c r="BA160" s="94">
        <f t="shared" si="1226"/>
        <v>0.68093226692191067</v>
      </c>
      <c r="BB160" s="94" t="e">
        <f t="shared" si="1226"/>
        <v>#DIV/0!</v>
      </c>
      <c r="BC160" s="94">
        <f t="shared" si="1226"/>
        <v>0.37676541706438171</v>
      </c>
      <c r="BD160" s="94" t="e">
        <f t="shared" si="1226"/>
        <v>#DIV/0!</v>
      </c>
      <c r="BE160" s="94">
        <f t="shared" si="1226"/>
        <v>5.6002796671024369E-2</v>
      </c>
      <c r="BF160" s="94" t="e">
        <f t="shared" si="1226"/>
        <v>#DIV/0!</v>
      </c>
      <c r="BG160" s="94">
        <f t="shared" si="1226"/>
        <v>0.15479796617815067</v>
      </c>
      <c r="BH160" s="94" t="e">
        <f t="shared" si="1226"/>
        <v>#DIV/0!</v>
      </c>
      <c r="BI160" s="94">
        <f t="shared" si="1226"/>
        <v>0.25978884823829751</v>
      </c>
      <c r="BJ160" s="94" t="e">
        <f t="shared" si="1226"/>
        <v>#DIV/0!</v>
      </c>
      <c r="BK160" s="94">
        <f t="shared" si="1226"/>
        <v>0.29040404683719845</v>
      </c>
      <c r="BL160" s="94" t="e">
        <f t="shared" si="1226"/>
        <v>#DIV/0!</v>
      </c>
      <c r="BM160" s="94">
        <f t="shared" si="1226"/>
        <v>0.28973344991273486</v>
      </c>
      <c r="BN160" s="94" t="e">
        <f t="shared" si="1226"/>
        <v>#DIV/0!</v>
      </c>
      <c r="BO160" s="94">
        <f t="shared" si="1226"/>
        <v>0.37405714947545188</v>
      </c>
      <c r="BP160" s="94" t="e">
        <f t="shared" si="1226"/>
        <v>#DIV/0!</v>
      </c>
      <c r="BQ160" s="94">
        <f t="shared" si="1226"/>
        <v>0.31830813292206095</v>
      </c>
      <c r="BR160" s="94" t="e">
        <f t="shared" si="1226"/>
        <v>#DIV/0!</v>
      </c>
      <c r="BS160" s="94">
        <f t="shared" si="1226"/>
        <v>0.12692713489261775</v>
      </c>
      <c r="BT160" s="94" t="e">
        <f t="shared" si="1226"/>
        <v>#DIV/0!</v>
      </c>
      <c r="BU160" s="94">
        <f t="shared" si="1226"/>
        <v>-3.3082666035716413E-2</v>
      </c>
      <c r="BV160" s="94" t="e">
        <f t="shared" si="1226"/>
        <v>#DIV/0!</v>
      </c>
      <c r="BW160" s="94">
        <f t="shared" si="1226"/>
        <v>2.4906142452680191E-2</v>
      </c>
      <c r="BX160" s="94">
        <f t="shared" si="1226"/>
        <v>7.5812743823146844E-2</v>
      </c>
      <c r="BY160" s="94">
        <f t="shared" si="1226"/>
        <v>0.1502930035489991</v>
      </c>
      <c r="BZ160" s="85">
        <f t="shared" ref="BZ160:CO160" si="1227">AVERAGE(BX160:BY160)</f>
        <v>0.11305287368607297</v>
      </c>
      <c r="CA160" s="85">
        <f t="shared" si="1227"/>
        <v>0.13167293861753604</v>
      </c>
      <c r="CB160" s="85">
        <f t="shared" si="1227"/>
        <v>0.12236290615180451</v>
      </c>
      <c r="CC160" s="85">
        <f t="shared" si="1227"/>
        <v>0.12701792238467027</v>
      </c>
      <c r="CD160" s="85">
        <f t="shared" si="1227"/>
        <v>0.12469041426823739</v>
      </c>
      <c r="CE160" s="85">
        <f t="shared" si="1227"/>
        <v>0.12585416832645382</v>
      </c>
      <c r="CF160" s="85">
        <f t="shared" si="1227"/>
        <v>0.1252722912973456</v>
      </c>
      <c r="CG160" s="85">
        <f t="shared" si="1227"/>
        <v>0.12556322981189971</v>
      </c>
      <c r="CH160" s="85">
        <f t="shared" si="1227"/>
        <v>0.12541776055462267</v>
      </c>
      <c r="CI160" s="85">
        <f t="shared" si="1227"/>
        <v>0.12549049518326119</v>
      </c>
      <c r="CJ160" s="85">
        <f t="shared" si="1227"/>
        <v>0.12545412786894194</v>
      </c>
      <c r="CK160" s="85">
        <f t="shared" si="1227"/>
        <v>0.12547231152610155</v>
      </c>
      <c r="CL160" s="85">
        <f t="shared" si="1227"/>
        <v>0.12546321969752175</v>
      </c>
      <c r="CM160" s="85">
        <f t="shared" si="1227"/>
        <v>0.12546776561181167</v>
      </c>
      <c r="CN160" s="85">
        <f t="shared" si="1227"/>
        <v>0.12546549265466672</v>
      </c>
      <c r="CO160" s="85">
        <f t="shared" si="1227"/>
        <v>0.12546662913323919</v>
      </c>
      <c r="CT160" s="94">
        <v>0.13289525841240568</v>
      </c>
    </row>
    <row r="161" spans="1:98" s="129" customFormat="1" x14ac:dyDescent="0.2">
      <c r="A161" s="129" t="s">
        <v>21</v>
      </c>
      <c r="C161" s="129" t="e">
        <f t="shared" ref="C161:AB161" si="1228">+C114/B114-1</f>
        <v>#DIV/0!</v>
      </c>
      <c r="D161" s="129" t="e">
        <f t="shared" si="1228"/>
        <v>#DIV/0!</v>
      </c>
      <c r="E161" s="129" t="e">
        <f t="shared" si="1228"/>
        <v>#DIV/0!</v>
      </c>
      <c r="F161" s="129" t="e">
        <f t="shared" si="1228"/>
        <v>#DIV/0!</v>
      </c>
      <c r="G161" s="129" t="e">
        <f t="shared" si="1228"/>
        <v>#DIV/0!</v>
      </c>
      <c r="H161" s="129" t="e">
        <f t="shared" si="1228"/>
        <v>#DIV/0!</v>
      </c>
      <c r="I161" s="129" t="e">
        <f t="shared" si="1228"/>
        <v>#DIV/0!</v>
      </c>
      <c r="J161" s="129" t="e">
        <f t="shared" si="1228"/>
        <v>#DIV/0!</v>
      </c>
      <c r="K161" s="129">
        <f t="shared" si="1228"/>
        <v>0.30064582439387433</v>
      </c>
      <c r="L161" s="129">
        <f t="shared" si="1228"/>
        <v>-8.1494296359737373E-2</v>
      </c>
      <c r="M161" s="129">
        <f t="shared" si="1228"/>
        <v>9.2897049958175382E-2</v>
      </c>
      <c r="N161" s="129">
        <f t="shared" si="1228"/>
        <v>0.57344437315803876</v>
      </c>
      <c r="O161" s="129">
        <f t="shared" si="1228"/>
        <v>1.0712190518271187</v>
      </c>
      <c r="P161" s="129">
        <f t="shared" si="1228"/>
        <v>0.60269925643838262</v>
      </c>
      <c r="Q161" s="129">
        <f t="shared" si="1228"/>
        <v>0.73053858406916761</v>
      </c>
      <c r="R161" s="129">
        <f t="shared" si="1228"/>
        <v>0.19474183631524844</v>
      </c>
      <c r="S161" s="129">
        <f t="shared" si="1228"/>
        <v>0.35799894343862437</v>
      </c>
      <c r="T161" s="129">
        <f t="shared" si="1228"/>
        <v>0.34307264327466003</v>
      </c>
      <c r="U161" s="129">
        <f t="shared" si="1228"/>
        <v>0.60740727041838527</v>
      </c>
      <c r="V161" s="129">
        <f t="shared" si="1228"/>
        <v>0.12248675625370709</v>
      </c>
      <c r="W161" s="129">
        <f t="shared" si="1228"/>
        <v>0.47148411519784261</v>
      </c>
      <c r="X161" s="129">
        <f t="shared" si="1228"/>
        <v>0.26249139945312505</v>
      </c>
      <c r="Y161" s="129">
        <f t="shared" si="1228"/>
        <v>0.33893218965367167</v>
      </c>
      <c r="Z161" s="129">
        <f t="shared" si="1228"/>
        <v>-6.3881661150285707E-2</v>
      </c>
      <c r="AA161" s="129">
        <f t="shared" si="1228"/>
        <v>0.15628464958766508</v>
      </c>
      <c r="AB161" s="130">
        <f t="shared" si="1228"/>
        <v>8.3529218600400856E-2</v>
      </c>
      <c r="AC161" s="130">
        <f t="shared" ref="AC161:AE161" si="1229">+AC114/AB114-1</f>
        <v>0.1255632298118996</v>
      </c>
      <c r="AD161" s="130">
        <f t="shared" si="1229"/>
        <v>0.12547231152610161</v>
      </c>
      <c r="AE161" s="130">
        <f t="shared" si="1229"/>
        <v>0.12546662913323914</v>
      </c>
      <c r="AG161" s="131"/>
      <c r="AK161" s="129" t="e">
        <f t="shared" ref="AK161:BY161" si="1230">+AK114/AG114-1</f>
        <v>#DIV/0!</v>
      </c>
      <c r="AL161" s="129" t="e">
        <f t="shared" si="1230"/>
        <v>#DIV/0!</v>
      </c>
      <c r="AM161" s="129" t="e">
        <f t="shared" si="1230"/>
        <v>#DIV/0!</v>
      </c>
      <c r="AN161" s="129" t="e">
        <f t="shared" si="1230"/>
        <v>#DIV/0!</v>
      </c>
      <c r="AO161" s="129" t="e">
        <f t="shared" si="1230"/>
        <v>#DIV/0!</v>
      </c>
      <c r="AP161" s="129" t="e">
        <f t="shared" si="1230"/>
        <v>#DIV/0!</v>
      </c>
      <c r="AQ161" s="129" t="e">
        <f t="shared" si="1230"/>
        <v>#DIV/0!</v>
      </c>
      <c r="AR161" s="129" t="e">
        <f t="shared" si="1230"/>
        <v>#DIV/0!</v>
      </c>
      <c r="AS161" s="129" t="e">
        <f t="shared" si="1230"/>
        <v>#DIV/0!</v>
      </c>
      <c r="AT161" s="129" t="e">
        <f t="shared" si="1230"/>
        <v>#DIV/0!</v>
      </c>
      <c r="AU161" s="129" t="e">
        <f t="shared" si="1230"/>
        <v>#DIV/0!</v>
      </c>
      <c r="AV161" s="129" t="e">
        <f t="shared" si="1230"/>
        <v>#DIV/0!</v>
      </c>
      <c r="AW161" s="129">
        <f t="shared" si="1230"/>
        <v>0.49375921233199982</v>
      </c>
      <c r="AX161" s="129" t="e">
        <f t="shared" si="1230"/>
        <v>#DIV/0!</v>
      </c>
      <c r="AY161" s="129">
        <f t="shared" si="1230"/>
        <v>0.88671073794802924</v>
      </c>
      <c r="AZ161" s="129" t="e">
        <f t="shared" si="1230"/>
        <v>#DIV/0!</v>
      </c>
      <c r="BA161" s="129">
        <f t="shared" si="1230"/>
        <v>1.1008773848584275</v>
      </c>
      <c r="BB161" s="129" t="e">
        <f t="shared" si="1230"/>
        <v>#DIV/0!</v>
      </c>
      <c r="BC161" s="129">
        <f t="shared" si="1230"/>
        <v>0.55763898936731837</v>
      </c>
      <c r="BD161" s="129" t="e">
        <f t="shared" si="1230"/>
        <v>#DIV/0!</v>
      </c>
      <c r="BE161" s="129">
        <f t="shared" si="1230"/>
        <v>6.0112956180313537E-2</v>
      </c>
      <c r="BF161" s="129" t="e">
        <f t="shared" si="1230"/>
        <v>#DIV/0!</v>
      </c>
      <c r="BG161" s="129">
        <f t="shared" si="1230"/>
        <v>3.7344252499868169E-2</v>
      </c>
      <c r="BH161" s="129" t="e">
        <f t="shared" si="1230"/>
        <v>#DIV/0!</v>
      </c>
      <c r="BI161" s="129">
        <f t="shared" si="1230"/>
        <v>0.24675348768180472</v>
      </c>
      <c r="BJ161" s="129" t="e">
        <f t="shared" si="1230"/>
        <v>#DIV/0!</v>
      </c>
      <c r="BK161" s="129">
        <f t="shared" si="1230"/>
        <v>0.34704111366034529</v>
      </c>
      <c r="BL161" s="129" t="e">
        <f t="shared" si="1230"/>
        <v>#DIV/0!</v>
      </c>
      <c r="BM161" s="129">
        <f t="shared" si="1230"/>
        <v>0.27459003838124785</v>
      </c>
      <c r="BN161" s="129" t="e">
        <f t="shared" si="1230"/>
        <v>#DIV/0!</v>
      </c>
      <c r="BO161" s="129">
        <f t="shared" si="1230"/>
        <v>0.37977369419610763</v>
      </c>
      <c r="BP161" s="129" t="e">
        <f t="shared" si="1230"/>
        <v>#DIV/0!</v>
      </c>
      <c r="BQ161" s="129">
        <f t="shared" si="1230"/>
        <v>0.35789383326466151</v>
      </c>
      <c r="BR161" s="129" t="e">
        <f t="shared" si="1230"/>
        <v>#DIV/0!</v>
      </c>
      <c r="BS161" s="129">
        <f t="shared" si="1230"/>
        <v>0.11980270088323652</v>
      </c>
      <c r="BT161" s="129" t="e">
        <f t="shared" si="1230"/>
        <v>#DIV/0!</v>
      </c>
      <c r="BU161" s="129">
        <f t="shared" si="1230"/>
        <v>-4.5258209789290405E-2</v>
      </c>
      <c r="BV161" s="129" t="e">
        <f t="shared" si="1230"/>
        <v>#DIV/0!</v>
      </c>
      <c r="BW161" s="129">
        <f t="shared" si="1230"/>
        <v>9.8291696512460724E-2</v>
      </c>
      <c r="BX161" s="129">
        <f t="shared" si="1230"/>
        <v>0</v>
      </c>
      <c r="BY161" s="129">
        <f t="shared" si="1230"/>
        <v>0.20394115493997744</v>
      </c>
      <c r="BZ161" s="85" t="e">
        <f t="shared" ref="BZ161:CG161" si="1231">+AVERAGE(BV161:BY161)</f>
        <v>#DIV/0!</v>
      </c>
      <c r="CA161" s="85" t="e">
        <f t="shared" si="1231"/>
        <v>#DIV/0!</v>
      </c>
      <c r="CB161" s="85" t="e">
        <f t="shared" si="1231"/>
        <v>#DIV/0!</v>
      </c>
      <c r="CC161" s="85" t="e">
        <f t="shared" si="1231"/>
        <v>#DIV/0!</v>
      </c>
      <c r="CD161" s="85" t="e">
        <f t="shared" si="1231"/>
        <v>#DIV/0!</v>
      </c>
      <c r="CE161" s="85" t="e">
        <f t="shared" si="1231"/>
        <v>#DIV/0!</v>
      </c>
      <c r="CF161" s="85" t="e">
        <f t="shared" si="1231"/>
        <v>#DIV/0!</v>
      </c>
      <c r="CG161" s="85" t="e">
        <f t="shared" si="1231"/>
        <v>#DIV/0!</v>
      </c>
      <c r="CH161" s="85" t="e">
        <f t="shared" ref="CH161:CO161" si="1232">+AVERAGE(CD161:CG161)</f>
        <v>#DIV/0!</v>
      </c>
      <c r="CI161" s="85" t="e">
        <f t="shared" si="1232"/>
        <v>#DIV/0!</v>
      </c>
      <c r="CJ161" s="85" t="e">
        <f t="shared" si="1232"/>
        <v>#DIV/0!</v>
      </c>
      <c r="CK161" s="85" t="e">
        <f t="shared" si="1232"/>
        <v>#DIV/0!</v>
      </c>
      <c r="CL161" s="85" t="e">
        <f t="shared" si="1232"/>
        <v>#DIV/0!</v>
      </c>
      <c r="CM161" s="85" t="e">
        <f t="shared" si="1232"/>
        <v>#DIV/0!</v>
      </c>
      <c r="CN161" s="85" t="e">
        <f t="shared" si="1232"/>
        <v>#DIV/0!</v>
      </c>
      <c r="CO161" s="85" t="e">
        <f t="shared" si="1232"/>
        <v>#DIV/0!</v>
      </c>
      <c r="CT161" s="129">
        <v>0.11166661857195903</v>
      </c>
    </row>
    <row r="162" spans="1:98" s="132" customFormat="1" x14ac:dyDescent="0.2">
      <c r="A162" s="137" t="s">
        <v>467</v>
      </c>
      <c r="AB162" s="133"/>
      <c r="AC162" s="133"/>
      <c r="AD162" s="133"/>
      <c r="AE162" s="133"/>
      <c r="AG162" s="134"/>
      <c r="AJ162" s="135"/>
      <c r="AK162" s="135" t="e">
        <f t="shared" ref="AK162" si="1233">+AK113/AK119</f>
        <v>#DIV/0!</v>
      </c>
      <c r="AL162" s="135" t="e">
        <f t="shared" ref="AL162:BV162" si="1234">+AL113/AL119</f>
        <v>#DIV/0!</v>
      </c>
      <c r="AM162" s="135" t="e">
        <f t="shared" si="1234"/>
        <v>#DIV/0!</v>
      </c>
      <c r="AN162" s="135" t="e">
        <f t="shared" si="1234"/>
        <v>#DIV/0!</v>
      </c>
      <c r="AO162" s="135" t="e">
        <f t="shared" si="1234"/>
        <v>#DIV/0!</v>
      </c>
      <c r="AP162" s="135" t="e">
        <f t="shared" si="1234"/>
        <v>#DIV/0!</v>
      </c>
      <c r="AQ162" s="135" t="e">
        <f t="shared" si="1234"/>
        <v>#DIV/0!</v>
      </c>
      <c r="AR162" s="135" t="e">
        <f t="shared" si="1234"/>
        <v>#DIV/0!</v>
      </c>
      <c r="AS162" s="135">
        <f t="shared" si="1234"/>
        <v>0.56264796661444216</v>
      </c>
      <c r="AT162" s="135" t="e">
        <f t="shared" si="1234"/>
        <v>#DIV/0!</v>
      </c>
      <c r="AU162" s="135">
        <f t="shared" si="1234"/>
        <v>0.47700042055770531</v>
      </c>
      <c r="AV162" s="135" t="e">
        <f t="shared" si="1234"/>
        <v>#DIV/0!</v>
      </c>
      <c r="AW162" s="135">
        <f t="shared" si="1234"/>
        <v>0.62314189521765673</v>
      </c>
      <c r="AX162" s="135" t="e">
        <f t="shared" si="1234"/>
        <v>#DIV/0!</v>
      </c>
      <c r="AY162" s="135">
        <f t="shared" si="1234"/>
        <v>0.69049493107093529</v>
      </c>
      <c r="AZ162" s="135" t="e">
        <f t="shared" si="1234"/>
        <v>#DIV/0!</v>
      </c>
      <c r="BA162" s="135">
        <f t="shared" si="1234"/>
        <v>0.77882062292603504</v>
      </c>
      <c r="BB162" s="135" t="e">
        <f t="shared" si="1234"/>
        <v>#DIV/0!</v>
      </c>
      <c r="BC162" s="135">
        <f t="shared" si="1234"/>
        <v>0.78120921201661186</v>
      </c>
      <c r="BD162" s="135" t="e">
        <f t="shared" si="1234"/>
        <v>#DIV/0!</v>
      </c>
      <c r="BE162" s="135">
        <f t="shared" si="1234"/>
        <v>0.78185193780459505</v>
      </c>
      <c r="BF162" s="135" t="e">
        <f t="shared" si="1234"/>
        <v>#DIV/0!</v>
      </c>
      <c r="BG162" s="135">
        <f t="shared" si="1234"/>
        <v>0.70175295577232211</v>
      </c>
      <c r="BH162" s="135" t="e">
        <f t="shared" si="1234"/>
        <v>#DIV/0!</v>
      </c>
      <c r="BI162" s="135">
        <f t="shared" si="1234"/>
        <v>0.77376191388881932</v>
      </c>
      <c r="BJ162" s="135" t="e">
        <f t="shared" si="1234"/>
        <v>#DIV/0!</v>
      </c>
      <c r="BK162" s="135">
        <f t="shared" si="1234"/>
        <v>0.73255356364923785</v>
      </c>
      <c r="BL162" s="135" t="e">
        <f t="shared" si="1234"/>
        <v>#DIV/0!</v>
      </c>
      <c r="BM162" s="135">
        <f t="shared" si="1234"/>
        <v>0.76467678463966926</v>
      </c>
      <c r="BN162" s="135" t="e">
        <f t="shared" si="1234"/>
        <v>#DIV/0!</v>
      </c>
      <c r="BO162" s="135">
        <f t="shared" si="1234"/>
        <v>0.73560123543528788</v>
      </c>
      <c r="BP162" s="135" t="e">
        <f t="shared" si="1234"/>
        <v>#DIV/0!</v>
      </c>
      <c r="BQ162" s="135">
        <f t="shared" si="1234"/>
        <v>0.78763823447051762</v>
      </c>
      <c r="BR162" s="135" t="e">
        <f t="shared" si="1234"/>
        <v>#DIV/0!</v>
      </c>
      <c r="BS162" s="135">
        <f t="shared" si="1234"/>
        <v>0.73095076399236047</v>
      </c>
      <c r="BT162" s="135">
        <f t="shared" si="1234"/>
        <v>0.85721716514954482</v>
      </c>
      <c r="BU162" s="135">
        <f t="shared" si="1234"/>
        <v>0.77772019551421345</v>
      </c>
      <c r="BV162" s="135">
        <f t="shared" si="1234"/>
        <v>0</v>
      </c>
      <c r="BW162" s="135">
        <f t="shared" ref="BW162:BY162" si="1235">+BW113/BW119</f>
        <v>0.78328846066927926</v>
      </c>
      <c r="BX162" s="135">
        <f t="shared" ref="BX162:CO162" si="1236">+BW162</f>
        <v>0.78328846066927926</v>
      </c>
      <c r="BY162" s="135">
        <f t="shared" si="1235"/>
        <v>0.81399204160911209</v>
      </c>
      <c r="BZ162" s="136">
        <f t="shared" si="1236"/>
        <v>0.81399204160911209</v>
      </c>
      <c r="CA162" s="136">
        <f t="shared" si="1236"/>
        <v>0.81399204160911209</v>
      </c>
      <c r="CB162" s="136">
        <f t="shared" si="1236"/>
        <v>0.81399204160911209</v>
      </c>
      <c r="CC162" s="136">
        <f t="shared" si="1236"/>
        <v>0.81399204160911209</v>
      </c>
      <c r="CD162" s="136">
        <f t="shared" si="1236"/>
        <v>0.81399204160911209</v>
      </c>
      <c r="CE162" s="136">
        <f t="shared" si="1236"/>
        <v>0.81399204160911209</v>
      </c>
      <c r="CF162" s="136">
        <f t="shared" si="1236"/>
        <v>0.81399204160911209</v>
      </c>
      <c r="CG162" s="136">
        <f t="shared" si="1236"/>
        <v>0.81399204160911209</v>
      </c>
      <c r="CH162" s="136">
        <f t="shared" si="1236"/>
        <v>0.81399204160911209</v>
      </c>
      <c r="CI162" s="136">
        <f t="shared" si="1236"/>
        <v>0.81399204160911209</v>
      </c>
      <c r="CJ162" s="136">
        <f t="shared" si="1236"/>
        <v>0.81399204160911209</v>
      </c>
      <c r="CK162" s="136">
        <f t="shared" si="1236"/>
        <v>0.81399204160911209</v>
      </c>
      <c r="CL162" s="136">
        <f t="shared" si="1236"/>
        <v>0.81399204160911209</v>
      </c>
      <c r="CM162" s="136">
        <f t="shared" si="1236"/>
        <v>0.81399204160911209</v>
      </c>
      <c r="CN162" s="136">
        <f t="shared" si="1236"/>
        <v>0.81399204160911209</v>
      </c>
      <c r="CO162" s="136">
        <f t="shared" si="1236"/>
        <v>0.81399204160911209</v>
      </c>
    </row>
  </sheetData>
  <sortState xmlns:xlrd2="http://schemas.microsoft.com/office/spreadsheetml/2017/richdata2" ref="A41:CO44">
    <sortCondition descending="1" ref="Z41:Z4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221842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8" t="s">
        <v>497</v>
      </c>
      <c r="L2" s="148" t="s">
        <v>497</v>
      </c>
    </row>
    <row r="3" spans="1:18" x14ac:dyDescent="0.25">
      <c r="A3" s="149" t="s">
        <v>498</v>
      </c>
      <c r="B3" s="150" t="s">
        <v>499</v>
      </c>
      <c r="C3" s="150" t="s">
        <v>500</v>
      </c>
      <c r="D3" s="150" t="s">
        <v>501</v>
      </c>
      <c r="E3" s="150" t="s">
        <v>502</v>
      </c>
      <c r="F3" s="150" t="s">
        <v>503</v>
      </c>
      <c r="G3" s="150" t="s">
        <v>504</v>
      </c>
      <c r="H3" s="150"/>
      <c r="I3" s="150"/>
      <c r="J3" s="150"/>
      <c r="K3" s="150"/>
      <c r="L3" s="149" t="s">
        <v>498</v>
      </c>
      <c r="M3" s="151" t="s">
        <v>500</v>
      </c>
      <c r="N3" s="151" t="s">
        <v>499</v>
      </c>
      <c r="O3" s="151" t="s">
        <v>501</v>
      </c>
      <c r="P3" s="151" t="s">
        <v>502</v>
      </c>
      <c r="Q3" s="151" t="s">
        <v>503</v>
      </c>
      <c r="R3" s="150" t="s">
        <v>504</v>
      </c>
    </row>
    <row r="4" spans="1:18" x14ac:dyDescent="0.25">
      <c r="A4" s="148">
        <v>43335</v>
      </c>
      <c r="B4" s="107">
        <v>423.3</v>
      </c>
      <c r="C4" s="107">
        <v>420.8</v>
      </c>
      <c r="D4" s="107">
        <v>385</v>
      </c>
      <c r="E4" s="107">
        <v>385</v>
      </c>
      <c r="F4" s="107">
        <v>420.8</v>
      </c>
      <c r="G4">
        <v>1983509</v>
      </c>
      <c r="H4" s="107"/>
      <c r="I4" s="107"/>
      <c r="L4" s="148">
        <v>43335</v>
      </c>
      <c r="M4" s="107">
        <v>422.05</v>
      </c>
      <c r="N4" s="107">
        <v>426.9</v>
      </c>
      <c r="O4" s="107">
        <v>385</v>
      </c>
      <c r="P4" s="107">
        <v>390</v>
      </c>
      <c r="Q4" s="107">
        <v>422.05</v>
      </c>
      <c r="R4">
        <v>11600387</v>
      </c>
    </row>
    <row r="5" spans="1:18" x14ac:dyDescent="0.25">
      <c r="A5" s="148">
        <v>43336</v>
      </c>
      <c r="B5" s="107">
        <v>418</v>
      </c>
      <c r="C5" s="107">
        <v>406.65</v>
      </c>
      <c r="D5" s="107">
        <v>401.85</v>
      </c>
      <c r="E5" s="107">
        <v>418</v>
      </c>
      <c r="F5" s="107">
        <v>406.65</v>
      </c>
      <c r="G5">
        <v>189848</v>
      </c>
      <c r="H5" s="107"/>
      <c r="I5" s="107"/>
      <c r="L5" s="148">
        <v>43336</v>
      </c>
      <c r="M5" s="107">
        <v>406.8</v>
      </c>
      <c r="N5" s="107">
        <v>420</v>
      </c>
      <c r="O5" s="107">
        <v>401.75</v>
      </c>
      <c r="P5" s="107">
        <v>418</v>
      </c>
      <c r="Q5" s="107">
        <v>406.8</v>
      </c>
      <c r="R5">
        <v>785983</v>
      </c>
    </row>
    <row r="6" spans="1:18" x14ac:dyDescent="0.25">
      <c r="A6" s="148">
        <v>43339</v>
      </c>
      <c r="B6" s="107">
        <v>407.7</v>
      </c>
      <c r="C6" s="107">
        <v>400.1</v>
      </c>
      <c r="D6" s="107">
        <v>394.9</v>
      </c>
      <c r="E6" s="107">
        <v>407.7</v>
      </c>
      <c r="F6" s="107">
        <v>400.1</v>
      </c>
      <c r="G6">
        <v>61425</v>
      </c>
      <c r="H6" s="107"/>
      <c r="I6" s="107"/>
      <c r="L6" s="148">
        <v>43339</v>
      </c>
      <c r="M6" s="107">
        <v>400.25</v>
      </c>
      <c r="N6" s="107">
        <v>406</v>
      </c>
      <c r="O6" s="107">
        <v>395</v>
      </c>
      <c r="P6" s="107">
        <v>406</v>
      </c>
      <c r="Q6" s="107">
        <v>400.25</v>
      </c>
      <c r="R6">
        <v>411202</v>
      </c>
    </row>
    <row r="7" spans="1:18" x14ac:dyDescent="0.25">
      <c r="A7" s="148">
        <v>43340</v>
      </c>
      <c r="B7" s="107">
        <v>408</v>
      </c>
      <c r="C7" s="107">
        <v>396.2</v>
      </c>
      <c r="D7" s="107">
        <v>395.05</v>
      </c>
      <c r="E7" s="107">
        <v>399.8</v>
      </c>
      <c r="F7" s="107">
        <v>396.2</v>
      </c>
      <c r="G7">
        <v>60926</v>
      </c>
      <c r="H7" s="107"/>
      <c r="I7" s="107"/>
      <c r="L7" s="148">
        <v>43340</v>
      </c>
      <c r="M7" s="107">
        <v>395.8</v>
      </c>
      <c r="N7" s="107">
        <v>408</v>
      </c>
      <c r="O7" s="107">
        <v>395</v>
      </c>
      <c r="P7" s="107">
        <v>397.1</v>
      </c>
      <c r="Q7" s="107">
        <v>395.8</v>
      </c>
      <c r="R7">
        <v>370390</v>
      </c>
    </row>
    <row r="8" spans="1:18" x14ac:dyDescent="0.25">
      <c r="A8" s="148">
        <v>43341</v>
      </c>
      <c r="B8" s="107">
        <v>399.45</v>
      </c>
      <c r="C8" s="107">
        <v>392.25</v>
      </c>
      <c r="D8" s="107">
        <v>388.2</v>
      </c>
      <c r="E8" s="107">
        <v>393.1</v>
      </c>
      <c r="F8" s="107">
        <v>392.25</v>
      </c>
      <c r="G8">
        <v>19157</v>
      </c>
      <c r="H8" s="107"/>
      <c r="I8" s="107"/>
      <c r="L8" s="148">
        <v>43341</v>
      </c>
      <c r="M8" s="107">
        <v>392.75</v>
      </c>
      <c r="N8" s="107">
        <v>400</v>
      </c>
      <c r="O8" s="107">
        <v>389</v>
      </c>
      <c r="P8" s="107">
        <v>395.8</v>
      </c>
      <c r="Q8" s="107">
        <v>392.75</v>
      </c>
      <c r="R8">
        <v>212493</v>
      </c>
    </row>
    <row r="9" spans="1:18" x14ac:dyDescent="0.25">
      <c r="A9" s="148">
        <v>43342</v>
      </c>
      <c r="B9" s="107">
        <v>395</v>
      </c>
      <c r="C9" s="107">
        <v>380.6</v>
      </c>
      <c r="D9" s="107">
        <v>374.05</v>
      </c>
      <c r="E9" s="107">
        <v>388</v>
      </c>
      <c r="F9" s="107">
        <v>380.6</v>
      </c>
      <c r="G9">
        <v>40436</v>
      </c>
      <c r="H9" s="107"/>
      <c r="I9" s="107"/>
      <c r="L9" s="148">
        <v>43342</v>
      </c>
      <c r="M9" s="107">
        <v>380.35</v>
      </c>
      <c r="N9" s="107">
        <v>392</v>
      </c>
      <c r="O9" s="107">
        <v>373.1</v>
      </c>
      <c r="P9" s="107">
        <v>388</v>
      </c>
      <c r="Q9" s="107">
        <v>380.35</v>
      </c>
      <c r="R9">
        <v>296385</v>
      </c>
    </row>
    <row r="10" spans="1:18" x14ac:dyDescent="0.25">
      <c r="A10" s="148">
        <v>43343</v>
      </c>
      <c r="B10" s="107">
        <v>387.6</v>
      </c>
      <c r="C10" s="107">
        <v>384.05</v>
      </c>
      <c r="D10" s="107">
        <v>375.55</v>
      </c>
      <c r="E10" s="107">
        <v>380</v>
      </c>
      <c r="F10" s="107">
        <v>384.05</v>
      </c>
      <c r="G10">
        <v>31279</v>
      </c>
      <c r="H10" s="107"/>
      <c r="I10" s="107"/>
      <c r="L10" s="148">
        <v>43343</v>
      </c>
      <c r="M10" s="107">
        <v>384.95</v>
      </c>
      <c r="N10" s="107">
        <v>389</v>
      </c>
      <c r="O10" s="107">
        <v>375.95</v>
      </c>
      <c r="P10" s="107">
        <v>380.1</v>
      </c>
      <c r="Q10" s="107">
        <v>384.95</v>
      </c>
      <c r="R10">
        <v>256303</v>
      </c>
    </row>
    <row r="11" spans="1:18" x14ac:dyDescent="0.25">
      <c r="A11" s="148">
        <v>43346</v>
      </c>
      <c r="B11" s="107">
        <v>387.25</v>
      </c>
      <c r="C11" s="107">
        <v>381.3</v>
      </c>
      <c r="D11" s="107">
        <v>380.7</v>
      </c>
      <c r="E11" s="107">
        <v>385</v>
      </c>
      <c r="F11" s="107">
        <v>381.3</v>
      </c>
      <c r="G11">
        <v>11575</v>
      </c>
      <c r="H11" s="107"/>
      <c r="I11" s="107"/>
      <c r="L11" s="148">
        <v>43346</v>
      </c>
      <c r="M11" s="107">
        <v>381.1</v>
      </c>
      <c r="N11" s="107">
        <v>387.85</v>
      </c>
      <c r="O11" s="107">
        <v>380.3</v>
      </c>
      <c r="P11" s="107">
        <v>386.5</v>
      </c>
      <c r="Q11" s="107">
        <v>381.1</v>
      </c>
      <c r="R11">
        <v>80770</v>
      </c>
    </row>
    <row r="12" spans="1:18" x14ac:dyDescent="0.25">
      <c r="A12" s="148">
        <v>43347</v>
      </c>
      <c r="B12" s="107">
        <v>383.8</v>
      </c>
      <c r="C12" s="107">
        <v>380.1</v>
      </c>
      <c r="D12" s="107">
        <v>375.1</v>
      </c>
      <c r="E12" s="107">
        <v>383.8</v>
      </c>
      <c r="F12" s="107">
        <v>380.1</v>
      </c>
      <c r="G12">
        <v>62065</v>
      </c>
      <c r="H12" s="107"/>
      <c r="I12" s="107"/>
      <c r="L12" s="148">
        <v>43347</v>
      </c>
      <c r="M12" s="107">
        <v>380.3</v>
      </c>
      <c r="N12" s="107">
        <v>382</v>
      </c>
      <c r="O12" s="107">
        <v>375.05</v>
      </c>
      <c r="P12" s="107">
        <v>378.05</v>
      </c>
      <c r="Q12" s="107">
        <v>380.3</v>
      </c>
      <c r="R12">
        <v>162888</v>
      </c>
    </row>
    <row r="13" spans="1:18" x14ac:dyDescent="0.25">
      <c r="A13" s="148">
        <v>43348</v>
      </c>
      <c r="B13" s="107">
        <v>380</v>
      </c>
      <c r="C13" s="107">
        <v>375.7</v>
      </c>
      <c r="D13" s="107">
        <v>374.1</v>
      </c>
      <c r="E13" s="107">
        <v>380</v>
      </c>
      <c r="F13" s="107">
        <v>375.7</v>
      </c>
      <c r="G13">
        <v>20987</v>
      </c>
      <c r="H13" s="107"/>
      <c r="I13" s="107"/>
      <c r="L13" s="148">
        <v>43348</v>
      </c>
      <c r="M13" s="107">
        <v>376.1</v>
      </c>
      <c r="N13" s="107">
        <v>380</v>
      </c>
      <c r="O13" s="107">
        <v>373.4</v>
      </c>
      <c r="P13" s="107">
        <v>378</v>
      </c>
      <c r="Q13" s="107">
        <v>376.1</v>
      </c>
      <c r="R13">
        <v>183808</v>
      </c>
    </row>
    <row r="14" spans="1:18" x14ac:dyDescent="0.25">
      <c r="A14" s="148">
        <v>43349</v>
      </c>
      <c r="B14" s="107">
        <v>394.5</v>
      </c>
      <c r="C14" s="107">
        <v>383.95</v>
      </c>
      <c r="D14" s="107">
        <v>376.55</v>
      </c>
      <c r="E14" s="107">
        <v>376.55</v>
      </c>
      <c r="F14" s="107">
        <v>383.95</v>
      </c>
      <c r="G14">
        <v>23116</v>
      </c>
      <c r="H14" s="107"/>
      <c r="I14" s="107"/>
      <c r="L14" s="148">
        <v>43349</v>
      </c>
      <c r="M14" s="107">
        <v>382.65</v>
      </c>
      <c r="N14" s="107">
        <v>395</v>
      </c>
      <c r="O14" s="107">
        <v>375</v>
      </c>
      <c r="P14" s="107">
        <v>375</v>
      </c>
      <c r="Q14" s="107">
        <v>382.65</v>
      </c>
      <c r="R14">
        <v>106322</v>
      </c>
    </row>
    <row r="15" spans="1:18" x14ac:dyDescent="0.25">
      <c r="A15" s="148">
        <v>43350</v>
      </c>
      <c r="B15" s="107">
        <v>388.55</v>
      </c>
      <c r="C15" s="107">
        <v>383.45</v>
      </c>
      <c r="D15" s="107">
        <v>380.6</v>
      </c>
      <c r="E15" s="107">
        <v>385</v>
      </c>
      <c r="F15" s="107">
        <v>383.45</v>
      </c>
      <c r="G15">
        <v>6312</v>
      </c>
      <c r="H15" s="107"/>
      <c r="I15" s="107"/>
      <c r="L15" s="148">
        <v>43350</v>
      </c>
      <c r="M15" s="107">
        <v>385.25</v>
      </c>
      <c r="N15" s="107">
        <v>388.65</v>
      </c>
      <c r="O15" s="107">
        <v>384</v>
      </c>
      <c r="P15" s="107">
        <v>385</v>
      </c>
      <c r="Q15" s="107">
        <v>385.25</v>
      </c>
      <c r="R15">
        <v>144584</v>
      </c>
    </row>
    <row r="16" spans="1:18" x14ac:dyDescent="0.25">
      <c r="A16" s="148">
        <v>43353</v>
      </c>
      <c r="B16" s="107">
        <v>381.85</v>
      </c>
      <c r="C16" s="107">
        <v>376.1</v>
      </c>
      <c r="D16" s="107">
        <v>375.05</v>
      </c>
      <c r="E16" s="107">
        <v>380.1</v>
      </c>
      <c r="F16" s="107">
        <v>376.1</v>
      </c>
      <c r="G16">
        <v>8374</v>
      </c>
      <c r="H16" s="107"/>
      <c r="I16" s="107"/>
      <c r="L16" s="148">
        <v>43353</v>
      </c>
      <c r="M16" s="107">
        <v>376.1</v>
      </c>
      <c r="N16" s="107">
        <v>383</v>
      </c>
      <c r="O16" s="107">
        <v>375.3</v>
      </c>
      <c r="P16" s="107">
        <v>383</v>
      </c>
      <c r="Q16" s="107">
        <v>376.1</v>
      </c>
      <c r="R16">
        <v>83141</v>
      </c>
    </row>
    <row r="17" spans="1:18" x14ac:dyDescent="0.25">
      <c r="A17" s="148">
        <v>43354</v>
      </c>
      <c r="B17" s="107">
        <v>380.55</v>
      </c>
      <c r="C17" s="107">
        <v>377.7</v>
      </c>
      <c r="D17" s="107">
        <v>376</v>
      </c>
      <c r="E17" s="107">
        <v>376</v>
      </c>
      <c r="F17" s="107">
        <v>377.7</v>
      </c>
      <c r="G17">
        <v>8775</v>
      </c>
      <c r="H17" s="107"/>
      <c r="I17" s="107"/>
      <c r="L17" s="148">
        <v>43354</v>
      </c>
      <c r="M17" s="107">
        <v>378.1</v>
      </c>
      <c r="N17" s="107">
        <v>380.9</v>
      </c>
      <c r="O17" s="107">
        <v>376</v>
      </c>
      <c r="P17" s="107">
        <v>376.15</v>
      </c>
      <c r="Q17" s="107">
        <v>378.1</v>
      </c>
      <c r="R17">
        <v>79912</v>
      </c>
    </row>
    <row r="18" spans="1:18" x14ac:dyDescent="0.25">
      <c r="A18" s="148">
        <v>43355</v>
      </c>
      <c r="B18" s="107">
        <v>377.7</v>
      </c>
      <c r="C18" s="107">
        <v>371.85</v>
      </c>
      <c r="D18" s="107">
        <v>361.45</v>
      </c>
      <c r="E18" s="107">
        <v>377.65</v>
      </c>
      <c r="F18" s="107">
        <v>371.85</v>
      </c>
      <c r="G18">
        <v>18239</v>
      </c>
      <c r="H18" s="107"/>
      <c r="I18" s="107"/>
      <c r="L18" s="148">
        <v>43355</v>
      </c>
      <c r="M18" s="107">
        <v>371.65</v>
      </c>
      <c r="N18" s="107">
        <v>378.2</v>
      </c>
      <c r="O18" s="107">
        <v>360.45</v>
      </c>
      <c r="P18" s="107">
        <v>378</v>
      </c>
      <c r="Q18" s="107">
        <v>371.65</v>
      </c>
      <c r="R18">
        <v>135269</v>
      </c>
    </row>
    <row r="19" spans="1:18" x14ac:dyDescent="0.25">
      <c r="A19" s="148">
        <v>43357</v>
      </c>
      <c r="B19" s="107">
        <v>374</v>
      </c>
      <c r="C19" s="107">
        <v>367.4</v>
      </c>
      <c r="D19" s="107">
        <v>365</v>
      </c>
      <c r="E19" s="107">
        <v>370.1</v>
      </c>
      <c r="F19" s="107">
        <v>367.4</v>
      </c>
      <c r="G19">
        <v>11472</v>
      </c>
      <c r="H19" s="107"/>
      <c r="I19" s="107"/>
      <c r="L19" s="148">
        <v>43357</v>
      </c>
      <c r="M19" s="107">
        <v>367.65</v>
      </c>
      <c r="N19" s="107">
        <v>373.55</v>
      </c>
      <c r="O19" s="107">
        <v>366</v>
      </c>
      <c r="P19" s="107">
        <v>369.1</v>
      </c>
      <c r="Q19" s="107">
        <v>367.65</v>
      </c>
      <c r="R19">
        <v>53753</v>
      </c>
    </row>
    <row r="20" spans="1:18" x14ac:dyDescent="0.25">
      <c r="A20" s="148">
        <v>43360</v>
      </c>
      <c r="B20" s="107">
        <v>367.4</v>
      </c>
      <c r="C20" s="107">
        <v>359.15</v>
      </c>
      <c r="D20" s="107">
        <v>358.5</v>
      </c>
      <c r="E20" s="107">
        <v>366.1</v>
      </c>
      <c r="F20" s="107">
        <v>359.15</v>
      </c>
      <c r="G20">
        <v>18750</v>
      </c>
      <c r="H20" s="107"/>
      <c r="I20" s="107"/>
      <c r="L20" s="148">
        <v>43360</v>
      </c>
      <c r="M20" s="107">
        <v>360.15</v>
      </c>
      <c r="N20" s="107">
        <v>367.65</v>
      </c>
      <c r="O20" s="107">
        <v>358.45</v>
      </c>
      <c r="P20" s="107">
        <v>367.65</v>
      </c>
      <c r="Q20" s="107">
        <v>360.15</v>
      </c>
      <c r="R20">
        <v>293017</v>
      </c>
    </row>
    <row r="21" spans="1:18" x14ac:dyDescent="0.25">
      <c r="A21" s="148">
        <v>43361</v>
      </c>
      <c r="B21" s="107">
        <v>362.85</v>
      </c>
      <c r="C21" s="107">
        <v>358.25</v>
      </c>
      <c r="D21" s="107">
        <v>357.05</v>
      </c>
      <c r="E21" s="107">
        <v>360</v>
      </c>
      <c r="F21" s="107">
        <v>358.25</v>
      </c>
      <c r="G21">
        <v>11934</v>
      </c>
      <c r="H21" s="107"/>
      <c r="I21" s="107"/>
      <c r="L21" s="148">
        <v>43361</v>
      </c>
      <c r="M21" s="107">
        <v>357.45</v>
      </c>
      <c r="N21" s="107">
        <v>362</v>
      </c>
      <c r="O21" s="107">
        <v>356</v>
      </c>
      <c r="P21" s="107">
        <v>359.15</v>
      </c>
      <c r="Q21" s="107">
        <v>357.45</v>
      </c>
      <c r="R21">
        <v>64000</v>
      </c>
    </row>
    <row r="22" spans="1:18" x14ac:dyDescent="0.25">
      <c r="A22" s="148">
        <v>43362</v>
      </c>
      <c r="B22" s="107">
        <v>360.85</v>
      </c>
      <c r="C22" s="107">
        <v>349.4</v>
      </c>
      <c r="D22" s="107">
        <v>341.1</v>
      </c>
      <c r="E22" s="107">
        <v>360.85</v>
      </c>
      <c r="F22" s="107">
        <v>349.4</v>
      </c>
      <c r="G22">
        <v>16804</v>
      </c>
      <c r="H22" s="107"/>
      <c r="I22" s="107"/>
      <c r="L22" s="148">
        <v>43362</v>
      </c>
      <c r="M22" s="107">
        <v>351.45</v>
      </c>
      <c r="N22" s="107">
        <v>359.75</v>
      </c>
      <c r="O22" s="107">
        <v>342</v>
      </c>
      <c r="P22" s="107">
        <v>358</v>
      </c>
      <c r="Q22" s="107">
        <v>351.45</v>
      </c>
      <c r="R22">
        <v>152301</v>
      </c>
    </row>
    <row r="23" spans="1:18" x14ac:dyDescent="0.25">
      <c r="A23" s="148">
        <v>43364</v>
      </c>
      <c r="B23" s="107">
        <v>354.85</v>
      </c>
      <c r="C23" s="107">
        <v>330.65</v>
      </c>
      <c r="D23" s="107">
        <v>296.8</v>
      </c>
      <c r="E23" s="107">
        <v>349.55</v>
      </c>
      <c r="F23" s="107">
        <v>330.65</v>
      </c>
      <c r="G23">
        <v>40175</v>
      </c>
      <c r="H23" s="107"/>
      <c r="I23" s="107"/>
      <c r="L23" s="148">
        <v>43364</v>
      </c>
      <c r="M23" s="107">
        <v>332.7</v>
      </c>
      <c r="N23" s="107">
        <v>355.95</v>
      </c>
      <c r="O23" s="107">
        <v>294.85000000000002</v>
      </c>
      <c r="P23" s="107">
        <v>348</v>
      </c>
      <c r="Q23" s="107">
        <v>332.7</v>
      </c>
      <c r="R23">
        <v>159380</v>
      </c>
    </row>
    <row r="24" spans="1:18" x14ac:dyDescent="0.25">
      <c r="A24" s="148">
        <v>43367</v>
      </c>
      <c r="B24" s="107">
        <v>330</v>
      </c>
      <c r="C24" s="107">
        <v>291.55</v>
      </c>
      <c r="D24" s="107">
        <v>273</v>
      </c>
      <c r="E24" s="107">
        <v>330</v>
      </c>
      <c r="F24" s="107">
        <v>291.55</v>
      </c>
      <c r="G24">
        <v>151391</v>
      </c>
      <c r="H24" s="107"/>
      <c r="I24" s="107"/>
      <c r="L24" s="148">
        <v>43367</v>
      </c>
      <c r="M24" s="107">
        <v>292.45</v>
      </c>
      <c r="N24" s="107">
        <v>331</v>
      </c>
      <c r="O24" s="107">
        <v>271.05</v>
      </c>
      <c r="P24" s="107">
        <v>325</v>
      </c>
      <c r="Q24" s="107">
        <v>292.45</v>
      </c>
      <c r="R24">
        <v>615181</v>
      </c>
    </row>
    <row r="25" spans="1:18" x14ac:dyDescent="0.25">
      <c r="A25" s="148">
        <v>43368</v>
      </c>
      <c r="B25" s="107">
        <v>292</v>
      </c>
      <c r="C25" s="107">
        <v>276.05</v>
      </c>
      <c r="D25" s="107">
        <v>259.8</v>
      </c>
      <c r="E25" s="107">
        <v>292</v>
      </c>
      <c r="F25" s="107">
        <v>276.05</v>
      </c>
      <c r="G25">
        <v>42144</v>
      </c>
      <c r="H25" s="107"/>
      <c r="I25" s="107"/>
      <c r="L25" s="148">
        <v>43368</v>
      </c>
      <c r="M25" s="107">
        <v>276.55</v>
      </c>
      <c r="N25" s="107">
        <v>297.60000000000002</v>
      </c>
      <c r="O25" s="107">
        <v>258.64999999999998</v>
      </c>
      <c r="P25" s="107">
        <v>281.75</v>
      </c>
      <c r="Q25" s="107">
        <v>276.55</v>
      </c>
      <c r="R25">
        <v>254102</v>
      </c>
    </row>
    <row r="26" spans="1:18" x14ac:dyDescent="0.25">
      <c r="A26" s="148">
        <v>43369</v>
      </c>
      <c r="B26" s="107">
        <v>331.25</v>
      </c>
      <c r="C26" s="107">
        <v>326.45</v>
      </c>
      <c r="D26" s="107">
        <v>282.75</v>
      </c>
      <c r="E26" s="107">
        <v>285.75</v>
      </c>
      <c r="F26" s="107">
        <v>326.45</v>
      </c>
      <c r="G26">
        <v>54208</v>
      </c>
      <c r="H26" s="107"/>
      <c r="I26" s="107"/>
      <c r="L26" s="148">
        <v>43369</v>
      </c>
      <c r="M26" s="107">
        <v>326.10000000000002</v>
      </c>
      <c r="N26" s="107">
        <v>331.85</v>
      </c>
      <c r="O26" s="107">
        <v>279.60000000000002</v>
      </c>
      <c r="P26" s="107">
        <v>279.60000000000002</v>
      </c>
      <c r="Q26" s="107">
        <v>326.10000000000002</v>
      </c>
      <c r="R26">
        <v>447494</v>
      </c>
    </row>
    <row r="27" spans="1:18" x14ac:dyDescent="0.25">
      <c r="A27" s="148">
        <v>43370</v>
      </c>
      <c r="B27" s="107">
        <v>335</v>
      </c>
      <c r="C27" s="107">
        <v>300.35000000000002</v>
      </c>
      <c r="D27" s="107">
        <v>295</v>
      </c>
      <c r="E27" s="107">
        <v>335</v>
      </c>
      <c r="F27" s="107">
        <v>300.35000000000002</v>
      </c>
      <c r="G27">
        <v>38963</v>
      </c>
      <c r="H27" s="107"/>
      <c r="I27" s="107"/>
      <c r="L27" s="148">
        <v>43370</v>
      </c>
      <c r="M27" s="107">
        <v>301.2</v>
      </c>
      <c r="N27" s="107">
        <v>327.9</v>
      </c>
      <c r="O27" s="107">
        <v>295</v>
      </c>
      <c r="P27" s="107">
        <v>324.7</v>
      </c>
      <c r="Q27" s="107">
        <v>301.2</v>
      </c>
      <c r="R27">
        <v>204139</v>
      </c>
    </row>
    <row r="28" spans="1:18" x14ac:dyDescent="0.25">
      <c r="A28" s="148">
        <v>43371</v>
      </c>
      <c r="B28" s="107">
        <v>307.35000000000002</v>
      </c>
      <c r="C28" s="107">
        <v>292.45</v>
      </c>
      <c r="D28" s="107">
        <v>286.2</v>
      </c>
      <c r="E28" s="107">
        <v>302.05</v>
      </c>
      <c r="F28" s="107">
        <v>292.45</v>
      </c>
      <c r="G28">
        <v>20334</v>
      </c>
      <c r="H28" s="107"/>
      <c r="I28" s="107"/>
      <c r="L28" s="148">
        <v>43371</v>
      </c>
      <c r="M28" s="107">
        <v>293.39999999999998</v>
      </c>
      <c r="N28" s="107">
        <v>307.95</v>
      </c>
      <c r="O28" s="107">
        <v>285.64999999999998</v>
      </c>
      <c r="P28" s="107">
        <v>302.10000000000002</v>
      </c>
      <c r="Q28" s="107">
        <v>293.39999999999998</v>
      </c>
      <c r="R28">
        <v>289156</v>
      </c>
    </row>
    <row r="29" spans="1:18" x14ac:dyDescent="0.25">
      <c r="A29" s="148">
        <v>43374</v>
      </c>
      <c r="B29" s="107">
        <v>296.10000000000002</v>
      </c>
      <c r="C29" s="107">
        <v>294.39999999999998</v>
      </c>
      <c r="D29" s="107">
        <v>275</v>
      </c>
      <c r="E29" s="107">
        <v>288</v>
      </c>
      <c r="F29" s="107">
        <v>294.39999999999998</v>
      </c>
      <c r="G29">
        <v>15332</v>
      </c>
      <c r="H29" s="107"/>
      <c r="I29" s="107"/>
      <c r="L29" s="148">
        <v>43374</v>
      </c>
      <c r="M29" s="107">
        <v>295.35000000000002</v>
      </c>
      <c r="N29" s="107">
        <v>300</v>
      </c>
      <c r="O29" s="107">
        <v>275</v>
      </c>
      <c r="P29" s="107">
        <v>286</v>
      </c>
      <c r="Q29" s="107">
        <v>295.35000000000002</v>
      </c>
      <c r="R29">
        <v>72722</v>
      </c>
    </row>
    <row r="30" spans="1:18" x14ac:dyDescent="0.25">
      <c r="A30" s="148">
        <v>43376</v>
      </c>
      <c r="B30" s="107">
        <v>295.05</v>
      </c>
      <c r="C30" s="107">
        <v>289.55</v>
      </c>
      <c r="D30" s="107">
        <v>283</v>
      </c>
      <c r="E30" s="107">
        <v>290</v>
      </c>
      <c r="F30" s="107">
        <v>289.55</v>
      </c>
      <c r="G30">
        <v>111166</v>
      </c>
      <c r="H30" s="107"/>
      <c r="I30" s="107"/>
      <c r="L30" s="148">
        <v>43376</v>
      </c>
      <c r="M30" s="107">
        <v>289.95</v>
      </c>
      <c r="N30" s="107">
        <v>295.95</v>
      </c>
      <c r="O30" s="107">
        <v>285</v>
      </c>
      <c r="P30" s="107">
        <v>293</v>
      </c>
      <c r="Q30" s="107">
        <v>289.95</v>
      </c>
      <c r="R30">
        <v>156998</v>
      </c>
    </row>
    <row r="31" spans="1:18" x14ac:dyDescent="0.25">
      <c r="A31" s="148">
        <v>43377</v>
      </c>
      <c r="B31" s="107">
        <v>294</v>
      </c>
      <c r="C31" s="107">
        <v>290.64999999999998</v>
      </c>
      <c r="D31" s="107">
        <v>281</v>
      </c>
      <c r="E31" s="107">
        <v>284</v>
      </c>
      <c r="F31" s="107">
        <v>290.64999999999998</v>
      </c>
      <c r="G31">
        <v>9191</v>
      </c>
      <c r="H31" s="107"/>
      <c r="I31" s="107"/>
      <c r="L31" s="148">
        <v>43377</v>
      </c>
      <c r="M31" s="107">
        <v>287.14999999999998</v>
      </c>
      <c r="N31" s="107">
        <v>292</v>
      </c>
      <c r="O31" s="107">
        <v>280.10000000000002</v>
      </c>
      <c r="P31" s="107">
        <v>285</v>
      </c>
      <c r="Q31" s="107">
        <v>287.14999999999998</v>
      </c>
      <c r="R31">
        <v>54270</v>
      </c>
    </row>
    <row r="32" spans="1:18" x14ac:dyDescent="0.25">
      <c r="A32" s="148">
        <v>43378</v>
      </c>
      <c r="B32" s="107">
        <v>288.95</v>
      </c>
      <c r="C32" s="107">
        <v>280.64999999999998</v>
      </c>
      <c r="D32" s="107">
        <v>274.14999999999998</v>
      </c>
      <c r="E32" s="107">
        <v>288.95</v>
      </c>
      <c r="F32" s="107">
        <v>280.64999999999998</v>
      </c>
      <c r="G32">
        <v>23649</v>
      </c>
      <c r="H32" s="107"/>
      <c r="I32" s="107"/>
      <c r="L32" s="148">
        <v>43378</v>
      </c>
      <c r="M32" s="107">
        <v>280.85000000000002</v>
      </c>
      <c r="N32" s="107">
        <v>289.85000000000002</v>
      </c>
      <c r="O32" s="107">
        <v>276.05</v>
      </c>
      <c r="P32" s="107">
        <v>287</v>
      </c>
      <c r="Q32" s="107">
        <v>280.85000000000002</v>
      </c>
      <c r="R32">
        <v>310535</v>
      </c>
    </row>
    <row r="33" spans="1:18" x14ac:dyDescent="0.25">
      <c r="A33" s="148">
        <v>43381</v>
      </c>
      <c r="B33" s="107">
        <v>279.75</v>
      </c>
      <c r="C33" s="107">
        <v>267.3</v>
      </c>
      <c r="D33" s="107">
        <v>265</v>
      </c>
      <c r="E33" s="107">
        <v>279.75</v>
      </c>
      <c r="F33" s="107">
        <v>267.3</v>
      </c>
      <c r="G33">
        <v>14664</v>
      </c>
      <c r="H33" s="107"/>
      <c r="I33" s="107"/>
      <c r="L33" s="148">
        <v>43381</v>
      </c>
      <c r="M33" s="107">
        <v>269.14999999999998</v>
      </c>
      <c r="N33" s="107">
        <v>278.85000000000002</v>
      </c>
      <c r="O33" s="107">
        <v>263.75</v>
      </c>
      <c r="P33" s="107">
        <v>276</v>
      </c>
      <c r="Q33" s="107">
        <v>269.14999999999998</v>
      </c>
      <c r="R33">
        <v>110920</v>
      </c>
    </row>
    <row r="34" spans="1:18" x14ac:dyDescent="0.25">
      <c r="A34" s="148">
        <v>43382</v>
      </c>
      <c r="B34" s="107">
        <v>270</v>
      </c>
      <c r="C34" s="107">
        <v>265.3</v>
      </c>
      <c r="D34" s="107">
        <v>263.3</v>
      </c>
      <c r="E34" s="107">
        <v>264</v>
      </c>
      <c r="F34" s="107">
        <v>265.3</v>
      </c>
      <c r="G34">
        <v>10654</v>
      </c>
      <c r="H34" s="107"/>
      <c r="I34" s="107"/>
      <c r="L34" s="148">
        <v>43382</v>
      </c>
      <c r="M34" s="107">
        <v>265.64999999999998</v>
      </c>
      <c r="N34" s="107">
        <v>271.05</v>
      </c>
      <c r="O34" s="107">
        <v>262.39999999999998</v>
      </c>
      <c r="P34" s="107">
        <v>265.5</v>
      </c>
      <c r="Q34" s="107">
        <v>265.64999999999998</v>
      </c>
      <c r="R34">
        <v>61062</v>
      </c>
    </row>
    <row r="35" spans="1:18" x14ac:dyDescent="0.25">
      <c r="A35" s="148">
        <v>43383</v>
      </c>
      <c r="B35" s="107">
        <v>284.5</v>
      </c>
      <c r="C35" s="107">
        <v>279.2</v>
      </c>
      <c r="D35" s="107">
        <v>265</v>
      </c>
      <c r="E35" s="107">
        <v>265</v>
      </c>
      <c r="F35" s="107">
        <v>279.2</v>
      </c>
      <c r="G35">
        <v>5681</v>
      </c>
      <c r="H35" s="107"/>
      <c r="I35" s="107"/>
      <c r="L35" s="148">
        <v>43383</v>
      </c>
      <c r="M35" s="107">
        <v>279.95</v>
      </c>
      <c r="N35" s="107">
        <v>283</v>
      </c>
      <c r="O35" s="107">
        <v>263.39999999999998</v>
      </c>
      <c r="P35" s="107">
        <v>265.05</v>
      </c>
      <c r="Q35" s="107">
        <v>279.95</v>
      </c>
      <c r="R35">
        <v>48015</v>
      </c>
    </row>
    <row r="36" spans="1:18" x14ac:dyDescent="0.25">
      <c r="A36" s="148">
        <v>43384</v>
      </c>
      <c r="B36" s="107">
        <v>290</v>
      </c>
      <c r="C36" s="107">
        <v>274.85000000000002</v>
      </c>
      <c r="D36" s="107">
        <v>270</v>
      </c>
      <c r="E36" s="107">
        <v>280</v>
      </c>
      <c r="F36" s="107">
        <v>274.85000000000002</v>
      </c>
      <c r="G36">
        <v>8089</v>
      </c>
      <c r="H36" s="107"/>
      <c r="I36" s="107"/>
      <c r="L36" s="148">
        <v>43384</v>
      </c>
      <c r="M36" s="107">
        <v>277.3</v>
      </c>
      <c r="N36" s="107">
        <v>295</v>
      </c>
      <c r="O36" s="107">
        <v>264.3</v>
      </c>
      <c r="P36" s="107">
        <v>270</v>
      </c>
      <c r="Q36" s="107">
        <v>277.3</v>
      </c>
      <c r="R36">
        <v>51990</v>
      </c>
    </row>
    <row r="37" spans="1:18" x14ac:dyDescent="0.25">
      <c r="A37" s="148">
        <v>43385</v>
      </c>
      <c r="B37" s="107">
        <v>286.95</v>
      </c>
      <c r="C37" s="107">
        <v>281.85000000000002</v>
      </c>
      <c r="D37" s="107">
        <v>277.2</v>
      </c>
      <c r="E37" s="107">
        <v>281.95</v>
      </c>
      <c r="F37" s="107">
        <v>281.85000000000002</v>
      </c>
      <c r="G37">
        <v>7839</v>
      </c>
      <c r="H37" s="107"/>
      <c r="I37" s="107"/>
      <c r="L37" s="148">
        <v>43385</v>
      </c>
      <c r="M37" s="107">
        <v>281.75</v>
      </c>
      <c r="N37" s="107">
        <v>286.89999999999998</v>
      </c>
      <c r="O37" s="107">
        <v>277</v>
      </c>
      <c r="P37" s="107">
        <v>277.5</v>
      </c>
      <c r="Q37" s="107">
        <v>281.75</v>
      </c>
      <c r="R37">
        <v>138597</v>
      </c>
    </row>
    <row r="38" spans="1:18" x14ac:dyDescent="0.25">
      <c r="A38" s="148">
        <v>43388</v>
      </c>
      <c r="B38" s="107">
        <v>287.35000000000002</v>
      </c>
      <c r="C38" s="107">
        <v>282.2</v>
      </c>
      <c r="D38" s="107">
        <v>279.14999999999998</v>
      </c>
      <c r="E38" s="107">
        <v>287.35000000000002</v>
      </c>
      <c r="F38" s="107">
        <v>282.2</v>
      </c>
      <c r="G38">
        <v>20824</v>
      </c>
      <c r="H38" s="107"/>
      <c r="I38" s="107"/>
      <c r="L38" s="148">
        <v>43388</v>
      </c>
      <c r="M38" s="107">
        <v>283.39999999999998</v>
      </c>
      <c r="N38" s="107">
        <v>288.35000000000002</v>
      </c>
      <c r="O38" s="107">
        <v>279.5</v>
      </c>
      <c r="P38" s="107">
        <v>286.5</v>
      </c>
      <c r="Q38" s="107">
        <v>283.39999999999998</v>
      </c>
      <c r="R38">
        <v>57091</v>
      </c>
    </row>
    <row r="39" spans="1:18" x14ac:dyDescent="0.25">
      <c r="A39" s="148">
        <v>43389</v>
      </c>
      <c r="B39" s="107">
        <v>288.60000000000002</v>
      </c>
      <c r="C39" s="107">
        <v>280.14999999999998</v>
      </c>
      <c r="D39" s="107">
        <v>278.14999999999998</v>
      </c>
      <c r="E39" s="107">
        <v>285.3</v>
      </c>
      <c r="F39" s="107">
        <v>280.14999999999998</v>
      </c>
      <c r="G39">
        <v>4927</v>
      </c>
      <c r="H39" s="107"/>
      <c r="I39" s="107"/>
      <c r="L39" s="148">
        <v>43389</v>
      </c>
      <c r="M39" s="107">
        <v>281.2</v>
      </c>
      <c r="N39" s="107">
        <v>289</v>
      </c>
      <c r="O39" s="107">
        <v>280.35000000000002</v>
      </c>
      <c r="P39" s="107">
        <v>285</v>
      </c>
      <c r="Q39" s="107">
        <v>281.2</v>
      </c>
      <c r="R39">
        <v>36611</v>
      </c>
    </row>
    <row r="40" spans="1:18" x14ac:dyDescent="0.25">
      <c r="A40" s="148">
        <v>43390</v>
      </c>
      <c r="B40" s="107">
        <v>287.5</v>
      </c>
      <c r="C40" s="107">
        <v>280.39999999999998</v>
      </c>
      <c r="D40" s="107">
        <v>277.25</v>
      </c>
      <c r="E40" s="107">
        <v>285.95</v>
      </c>
      <c r="F40" s="107">
        <v>280.39999999999998</v>
      </c>
      <c r="G40">
        <v>7709</v>
      </c>
      <c r="H40" s="107"/>
      <c r="I40" s="107"/>
      <c r="L40" s="148">
        <v>43390</v>
      </c>
      <c r="M40" s="107">
        <v>280.35000000000002</v>
      </c>
      <c r="N40" s="107">
        <v>286.39999999999998</v>
      </c>
      <c r="O40" s="107">
        <v>276</v>
      </c>
      <c r="P40" s="107">
        <v>282.55</v>
      </c>
      <c r="Q40" s="107">
        <v>280.35000000000002</v>
      </c>
      <c r="R40">
        <v>64947</v>
      </c>
    </row>
    <row r="41" spans="1:18" x14ac:dyDescent="0.25">
      <c r="A41" s="148">
        <v>43392</v>
      </c>
      <c r="B41" s="107">
        <v>284.8</v>
      </c>
      <c r="C41" s="107">
        <v>277.25</v>
      </c>
      <c r="D41" s="107">
        <v>274.64999999999998</v>
      </c>
      <c r="E41" s="107">
        <v>280</v>
      </c>
      <c r="F41" s="107">
        <v>277.25</v>
      </c>
      <c r="G41">
        <v>10983</v>
      </c>
      <c r="H41" s="107"/>
      <c r="I41" s="107"/>
      <c r="L41" s="148">
        <v>43392</v>
      </c>
      <c r="M41" s="107">
        <v>277.3</v>
      </c>
      <c r="N41" s="107">
        <v>282</v>
      </c>
      <c r="O41" s="107">
        <v>274.89999999999998</v>
      </c>
      <c r="P41" s="107">
        <v>280</v>
      </c>
      <c r="Q41" s="107">
        <v>277.3</v>
      </c>
      <c r="R41">
        <v>64508</v>
      </c>
    </row>
    <row r="42" spans="1:18" x14ac:dyDescent="0.25">
      <c r="A42" s="148">
        <v>43395</v>
      </c>
      <c r="B42" s="107">
        <v>281.3</v>
      </c>
      <c r="C42" s="107">
        <v>271.35000000000002</v>
      </c>
      <c r="D42" s="107">
        <v>265.05</v>
      </c>
      <c r="E42" s="107">
        <v>281.3</v>
      </c>
      <c r="F42" s="107">
        <v>271.35000000000002</v>
      </c>
      <c r="G42">
        <v>6126</v>
      </c>
      <c r="H42" s="107"/>
      <c r="I42" s="107"/>
      <c r="L42" s="148">
        <v>43395</v>
      </c>
      <c r="M42" s="107">
        <v>270.60000000000002</v>
      </c>
      <c r="N42" s="107">
        <v>279.95</v>
      </c>
      <c r="O42" s="107">
        <v>265.10000000000002</v>
      </c>
      <c r="P42" s="107">
        <v>275</v>
      </c>
      <c r="Q42" s="107">
        <v>270.60000000000002</v>
      </c>
      <c r="R42">
        <v>41446</v>
      </c>
    </row>
    <row r="43" spans="1:18" x14ac:dyDescent="0.25">
      <c r="A43" s="148">
        <v>43396</v>
      </c>
      <c r="B43" s="107">
        <v>272</v>
      </c>
      <c r="C43" s="107">
        <v>268.35000000000002</v>
      </c>
      <c r="D43" s="107">
        <v>261.14999999999998</v>
      </c>
      <c r="E43" s="107">
        <v>268.89999999999998</v>
      </c>
      <c r="F43" s="107">
        <v>268.35000000000002</v>
      </c>
      <c r="G43">
        <v>60471</v>
      </c>
      <c r="H43" s="107"/>
      <c r="I43" s="107"/>
      <c r="L43" s="148">
        <v>43396</v>
      </c>
      <c r="M43" s="107">
        <v>268.85000000000002</v>
      </c>
      <c r="N43" s="107">
        <v>271.10000000000002</v>
      </c>
      <c r="O43" s="107">
        <v>261.14999999999998</v>
      </c>
      <c r="P43" s="107">
        <v>270</v>
      </c>
      <c r="Q43" s="107">
        <v>268.85000000000002</v>
      </c>
      <c r="R43">
        <v>31084</v>
      </c>
    </row>
    <row r="44" spans="1:18" x14ac:dyDescent="0.25">
      <c r="A44" s="148">
        <v>43397</v>
      </c>
      <c r="B44" s="107">
        <v>269.7</v>
      </c>
      <c r="C44" s="107">
        <v>258.5</v>
      </c>
      <c r="D44" s="107">
        <v>257.25</v>
      </c>
      <c r="E44" s="107">
        <v>268</v>
      </c>
      <c r="F44" s="107">
        <v>258.5</v>
      </c>
      <c r="G44">
        <v>8582</v>
      </c>
      <c r="H44" s="107"/>
      <c r="I44" s="107"/>
      <c r="L44" s="148">
        <v>43397</v>
      </c>
      <c r="M44" s="107">
        <v>257.60000000000002</v>
      </c>
      <c r="N44" s="107">
        <v>269.95</v>
      </c>
      <c r="O44" s="107">
        <v>255.95</v>
      </c>
      <c r="P44" s="107">
        <v>269.89999999999998</v>
      </c>
      <c r="Q44" s="107">
        <v>257.60000000000002</v>
      </c>
      <c r="R44">
        <v>56209</v>
      </c>
    </row>
    <row r="45" spans="1:18" x14ac:dyDescent="0.25">
      <c r="A45" s="148">
        <v>43398</v>
      </c>
      <c r="B45" s="107">
        <v>258.95</v>
      </c>
      <c r="C45" s="107">
        <v>249.25</v>
      </c>
      <c r="D45" s="107">
        <v>248.05</v>
      </c>
      <c r="E45" s="107">
        <v>250</v>
      </c>
      <c r="F45" s="107">
        <v>249.25</v>
      </c>
      <c r="G45">
        <v>10507</v>
      </c>
      <c r="H45" s="107"/>
      <c r="I45" s="107"/>
      <c r="L45" s="148">
        <v>43398</v>
      </c>
      <c r="M45" s="107">
        <v>249.9</v>
      </c>
      <c r="N45" s="107">
        <v>259.95</v>
      </c>
      <c r="O45" s="107">
        <v>248.2</v>
      </c>
      <c r="P45" s="107">
        <v>258.2</v>
      </c>
      <c r="Q45" s="107">
        <v>249.9</v>
      </c>
      <c r="R45">
        <v>42751</v>
      </c>
    </row>
    <row r="46" spans="1:18" x14ac:dyDescent="0.25">
      <c r="A46" s="148">
        <v>43399</v>
      </c>
      <c r="B46" s="107">
        <v>260</v>
      </c>
      <c r="C46" s="107">
        <v>248.15</v>
      </c>
      <c r="D46" s="107">
        <v>245.75</v>
      </c>
      <c r="E46" s="107">
        <v>250</v>
      </c>
      <c r="F46" s="107">
        <v>248.15</v>
      </c>
      <c r="G46">
        <v>8378</v>
      </c>
      <c r="H46" s="107"/>
      <c r="I46" s="107"/>
      <c r="L46" s="148">
        <v>43399</v>
      </c>
      <c r="M46" s="107">
        <v>247.7</v>
      </c>
      <c r="N46" s="107">
        <v>252.65</v>
      </c>
      <c r="O46" s="107">
        <v>242.05</v>
      </c>
      <c r="P46" s="107">
        <v>248</v>
      </c>
      <c r="Q46" s="107">
        <v>247.7</v>
      </c>
      <c r="R46">
        <v>33349</v>
      </c>
    </row>
    <row r="47" spans="1:18" x14ac:dyDescent="0.25">
      <c r="A47" s="148">
        <v>43402</v>
      </c>
      <c r="B47" s="107">
        <v>286</v>
      </c>
      <c r="C47" s="107">
        <v>276.8</v>
      </c>
      <c r="D47" s="107">
        <v>246.75</v>
      </c>
      <c r="E47" s="107">
        <v>246.75</v>
      </c>
      <c r="F47" s="107">
        <v>276.8</v>
      </c>
      <c r="G47">
        <v>21307</v>
      </c>
      <c r="H47" s="107"/>
      <c r="I47" s="107"/>
      <c r="L47" s="148">
        <v>43402</v>
      </c>
      <c r="M47" s="107">
        <v>275.89999999999998</v>
      </c>
      <c r="N47" s="107">
        <v>285.39999999999998</v>
      </c>
      <c r="O47" s="107">
        <v>249.2</v>
      </c>
      <c r="P47" s="107">
        <v>252.9</v>
      </c>
      <c r="Q47" s="107">
        <v>275.89999999999998</v>
      </c>
      <c r="R47">
        <v>166599</v>
      </c>
    </row>
    <row r="48" spans="1:18" x14ac:dyDescent="0.25">
      <c r="A48" s="148">
        <v>43403</v>
      </c>
      <c r="B48" s="107">
        <v>293.8</v>
      </c>
      <c r="C48" s="107">
        <v>290.2</v>
      </c>
      <c r="D48" s="107">
        <v>272.8</v>
      </c>
      <c r="E48" s="107">
        <v>276</v>
      </c>
      <c r="F48" s="107">
        <v>290.2</v>
      </c>
      <c r="G48">
        <v>11488</v>
      </c>
      <c r="H48" s="107"/>
      <c r="I48" s="107"/>
      <c r="L48" s="148">
        <v>43403</v>
      </c>
      <c r="M48" s="107">
        <v>290.14999999999998</v>
      </c>
      <c r="N48" s="107">
        <v>293.39999999999998</v>
      </c>
      <c r="O48" s="107">
        <v>270.10000000000002</v>
      </c>
      <c r="P48" s="107">
        <v>270.10000000000002</v>
      </c>
      <c r="Q48" s="107">
        <v>290.14999999999998</v>
      </c>
      <c r="R48">
        <v>64264</v>
      </c>
    </row>
    <row r="49" spans="1:18" x14ac:dyDescent="0.25">
      <c r="A49" s="148">
        <v>43404</v>
      </c>
      <c r="B49" s="107">
        <v>323</v>
      </c>
      <c r="C49" s="107">
        <v>313.75</v>
      </c>
      <c r="D49" s="107">
        <v>275</v>
      </c>
      <c r="E49" s="107">
        <v>283.10000000000002</v>
      </c>
      <c r="F49" s="107">
        <v>313.75</v>
      </c>
      <c r="G49">
        <v>11879</v>
      </c>
      <c r="H49" s="107"/>
      <c r="I49" s="107"/>
      <c r="L49" s="148">
        <v>43404</v>
      </c>
      <c r="M49" s="107">
        <v>314.35000000000002</v>
      </c>
      <c r="N49" s="107">
        <v>320.39999999999998</v>
      </c>
      <c r="O49" s="107">
        <v>290.10000000000002</v>
      </c>
      <c r="P49" s="107">
        <v>291.8</v>
      </c>
      <c r="Q49" s="107">
        <v>314.35000000000002</v>
      </c>
      <c r="R49">
        <v>113608</v>
      </c>
    </row>
    <row r="50" spans="1:18" x14ac:dyDescent="0.25">
      <c r="A50" s="148">
        <v>43405</v>
      </c>
      <c r="B50" s="107">
        <v>318</v>
      </c>
      <c r="C50" s="107">
        <v>314.35000000000002</v>
      </c>
      <c r="D50" s="107">
        <v>307.25</v>
      </c>
      <c r="E50" s="107">
        <v>312.39999999999998</v>
      </c>
      <c r="F50" s="107">
        <v>314.35000000000002</v>
      </c>
      <c r="G50">
        <v>6346</v>
      </c>
      <c r="H50" s="107"/>
      <c r="I50" s="107"/>
      <c r="L50" s="148">
        <v>43405</v>
      </c>
      <c r="M50" s="107">
        <v>316.5</v>
      </c>
      <c r="N50" s="107">
        <v>319</v>
      </c>
      <c r="O50" s="107">
        <v>306.55</v>
      </c>
      <c r="P50" s="107">
        <v>314</v>
      </c>
      <c r="Q50" s="107">
        <v>316.5</v>
      </c>
      <c r="R50">
        <v>38544</v>
      </c>
    </row>
    <row r="51" spans="1:18" x14ac:dyDescent="0.25">
      <c r="A51" s="148">
        <v>43406</v>
      </c>
      <c r="B51" s="107">
        <v>325</v>
      </c>
      <c r="C51" s="107">
        <v>317.2</v>
      </c>
      <c r="D51" s="107">
        <v>314.95</v>
      </c>
      <c r="E51" s="107">
        <v>315.60000000000002</v>
      </c>
      <c r="F51" s="107">
        <v>317.2</v>
      </c>
      <c r="G51">
        <v>5349</v>
      </c>
      <c r="H51" s="107"/>
      <c r="I51" s="107"/>
      <c r="L51" s="148">
        <v>43406</v>
      </c>
      <c r="M51" s="107">
        <v>317.10000000000002</v>
      </c>
      <c r="N51" s="107">
        <v>325.95</v>
      </c>
      <c r="O51" s="107">
        <v>311.10000000000002</v>
      </c>
      <c r="P51" s="107">
        <v>311.10000000000002</v>
      </c>
      <c r="Q51" s="107">
        <v>317.10000000000002</v>
      </c>
      <c r="R51">
        <v>121795</v>
      </c>
    </row>
    <row r="52" spans="1:18" x14ac:dyDescent="0.25">
      <c r="A52" s="148">
        <v>43409</v>
      </c>
      <c r="B52" s="107">
        <v>329.5</v>
      </c>
      <c r="C52" s="107">
        <v>325.75</v>
      </c>
      <c r="D52" s="107">
        <v>318.05</v>
      </c>
      <c r="E52" s="107">
        <v>320</v>
      </c>
      <c r="F52" s="107">
        <v>325.75</v>
      </c>
      <c r="G52">
        <v>51096</v>
      </c>
      <c r="H52" s="107"/>
      <c r="I52" s="107"/>
      <c r="L52" s="148">
        <v>43409</v>
      </c>
      <c r="M52" s="107">
        <v>326</v>
      </c>
      <c r="N52" s="107">
        <v>329.5</v>
      </c>
      <c r="O52" s="107">
        <v>318</v>
      </c>
      <c r="P52" s="107">
        <v>318</v>
      </c>
      <c r="Q52" s="107">
        <v>326</v>
      </c>
      <c r="R52">
        <v>51931</v>
      </c>
    </row>
    <row r="53" spans="1:18" x14ac:dyDescent="0.25">
      <c r="A53" s="148">
        <v>43410</v>
      </c>
      <c r="B53" s="107">
        <v>344.95</v>
      </c>
      <c r="C53" s="107">
        <v>332</v>
      </c>
      <c r="D53" s="107">
        <v>321.75</v>
      </c>
      <c r="E53" s="107">
        <v>330</v>
      </c>
      <c r="F53" s="107">
        <v>332</v>
      </c>
      <c r="G53">
        <v>13813</v>
      </c>
      <c r="H53" s="107"/>
      <c r="I53" s="107"/>
      <c r="L53" s="148">
        <v>43410</v>
      </c>
      <c r="M53" s="107">
        <v>335</v>
      </c>
      <c r="N53" s="107">
        <v>343.2</v>
      </c>
      <c r="O53" s="107">
        <v>321</v>
      </c>
      <c r="P53" s="107">
        <v>328.9</v>
      </c>
      <c r="Q53" s="107">
        <v>335</v>
      </c>
      <c r="R53">
        <v>101895</v>
      </c>
    </row>
    <row r="54" spans="1:18" x14ac:dyDescent="0.25">
      <c r="A54" s="148">
        <v>43411</v>
      </c>
      <c r="B54" s="107">
        <v>342</v>
      </c>
      <c r="C54" s="107">
        <v>337.7</v>
      </c>
      <c r="D54" s="107">
        <v>330</v>
      </c>
      <c r="E54" s="107">
        <v>330</v>
      </c>
      <c r="F54" s="107">
        <v>337.7</v>
      </c>
      <c r="G54">
        <v>3758</v>
      </c>
      <c r="H54" s="107"/>
      <c r="I54" s="107"/>
      <c r="L54" s="148">
        <v>43411</v>
      </c>
      <c r="M54" s="107">
        <v>338.9</v>
      </c>
      <c r="N54" s="107">
        <v>344.95</v>
      </c>
      <c r="O54" s="107">
        <v>333.65</v>
      </c>
      <c r="P54" s="107">
        <v>340</v>
      </c>
      <c r="Q54" s="107">
        <v>338.9</v>
      </c>
      <c r="R54">
        <v>17463</v>
      </c>
    </row>
    <row r="55" spans="1:18" x14ac:dyDescent="0.25">
      <c r="A55" s="148">
        <v>43413</v>
      </c>
      <c r="B55" s="107">
        <v>373.9</v>
      </c>
      <c r="C55" s="107">
        <v>366.95</v>
      </c>
      <c r="D55" s="107">
        <v>337.3</v>
      </c>
      <c r="E55" s="107">
        <v>338.95</v>
      </c>
      <c r="F55" s="107">
        <v>366.95</v>
      </c>
      <c r="G55">
        <v>31175</v>
      </c>
      <c r="H55" s="107"/>
      <c r="I55" s="107"/>
      <c r="L55" s="148">
        <v>43413</v>
      </c>
      <c r="M55" s="107">
        <v>365.85</v>
      </c>
      <c r="N55" s="107">
        <v>373.95</v>
      </c>
      <c r="O55" s="107">
        <v>336.3</v>
      </c>
      <c r="P55" s="107">
        <v>339</v>
      </c>
      <c r="Q55" s="107">
        <v>365.85</v>
      </c>
      <c r="R55">
        <v>224986</v>
      </c>
    </row>
    <row r="56" spans="1:18" x14ac:dyDescent="0.25">
      <c r="A56" s="148">
        <v>43416</v>
      </c>
      <c r="B56" s="107">
        <v>372</v>
      </c>
      <c r="C56" s="107">
        <v>360.6</v>
      </c>
      <c r="D56" s="107">
        <v>359</v>
      </c>
      <c r="E56" s="107">
        <v>367.2</v>
      </c>
      <c r="F56" s="107">
        <v>360.6</v>
      </c>
      <c r="G56">
        <v>8938</v>
      </c>
      <c r="H56" s="107"/>
      <c r="I56" s="107"/>
      <c r="L56" s="148">
        <v>43416</v>
      </c>
      <c r="M56" s="107">
        <v>360</v>
      </c>
      <c r="N56" s="107">
        <v>373</v>
      </c>
      <c r="O56" s="107">
        <v>358.2</v>
      </c>
      <c r="P56" s="107">
        <v>371</v>
      </c>
      <c r="Q56" s="107">
        <v>360</v>
      </c>
      <c r="R56">
        <v>46418</v>
      </c>
    </row>
    <row r="57" spans="1:18" x14ac:dyDescent="0.25">
      <c r="A57" s="148">
        <v>43417</v>
      </c>
      <c r="B57" s="107">
        <v>360.6</v>
      </c>
      <c r="C57" s="107">
        <v>349.2</v>
      </c>
      <c r="D57" s="107">
        <v>340</v>
      </c>
      <c r="E57" s="107">
        <v>360</v>
      </c>
      <c r="F57" s="107">
        <v>349.2</v>
      </c>
      <c r="G57">
        <v>8641</v>
      </c>
      <c r="H57" s="107"/>
      <c r="I57" s="107"/>
      <c r="L57" s="148">
        <v>43417</v>
      </c>
      <c r="M57" s="107">
        <v>349</v>
      </c>
      <c r="N57" s="107">
        <v>359.95</v>
      </c>
      <c r="O57" s="107">
        <v>340</v>
      </c>
      <c r="P57" s="107">
        <v>359.5</v>
      </c>
      <c r="Q57" s="107">
        <v>349</v>
      </c>
      <c r="R57">
        <v>47641</v>
      </c>
    </row>
    <row r="58" spans="1:18" x14ac:dyDescent="0.25">
      <c r="A58" s="148">
        <v>43418</v>
      </c>
      <c r="B58" s="107">
        <v>365</v>
      </c>
      <c r="C58" s="107">
        <v>355.85</v>
      </c>
      <c r="D58" s="107">
        <v>349.55</v>
      </c>
      <c r="E58" s="107">
        <v>349.55</v>
      </c>
      <c r="F58" s="107">
        <v>355.85</v>
      </c>
      <c r="G58">
        <v>8690</v>
      </c>
      <c r="H58" s="107"/>
      <c r="I58" s="107"/>
      <c r="L58" s="148">
        <v>43418</v>
      </c>
      <c r="M58" s="107">
        <v>355.3</v>
      </c>
      <c r="N58" s="107">
        <v>365</v>
      </c>
      <c r="O58" s="107">
        <v>349.4</v>
      </c>
      <c r="P58" s="107">
        <v>349.4</v>
      </c>
      <c r="Q58" s="107">
        <v>355.3</v>
      </c>
      <c r="R58">
        <v>37246</v>
      </c>
    </row>
    <row r="59" spans="1:18" x14ac:dyDescent="0.25">
      <c r="A59" s="148">
        <v>43419</v>
      </c>
      <c r="B59" s="107">
        <v>363.4</v>
      </c>
      <c r="C59" s="107">
        <v>358.7</v>
      </c>
      <c r="D59" s="107">
        <v>350.25</v>
      </c>
      <c r="E59" s="107">
        <v>350.25</v>
      </c>
      <c r="F59" s="107">
        <v>358.7</v>
      </c>
      <c r="G59">
        <v>7082</v>
      </c>
      <c r="H59" s="107"/>
      <c r="I59" s="107"/>
      <c r="L59" s="148">
        <v>43419</v>
      </c>
      <c r="M59" s="107">
        <v>358.9</v>
      </c>
      <c r="N59" s="107">
        <v>363.6</v>
      </c>
      <c r="O59" s="107">
        <v>351</v>
      </c>
      <c r="P59" s="107">
        <v>352.2</v>
      </c>
      <c r="Q59" s="107">
        <v>358.9</v>
      </c>
      <c r="R59">
        <v>39809</v>
      </c>
    </row>
    <row r="60" spans="1:18" x14ac:dyDescent="0.25">
      <c r="A60" s="148">
        <v>43420</v>
      </c>
      <c r="B60" s="107">
        <v>364</v>
      </c>
      <c r="C60" s="107">
        <v>362.6</v>
      </c>
      <c r="D60" s="107">
        <v>354.25</v>
      </c>
      <c r="E60" s="107">
        <v>354.25</v>
      </c>
      <c r="F60" s="107">
        <v>362.6</v>
      </c>
      <c r="G60">
        <v>9699</v>
      </c>
      <c r="H60" s="107"/>
      <c r="I60" s="107"/>
      <c r="L60" s="148">
        <v>43420</v>
      </c>
      <c r="M60" s="107">
        <v>362.3</v>
      </c>
      <c r="N60" s="107">
        <v>364.95</v>
      </c>
      <c r="O60" s="107">
        <v>355</v>
      </c>
      <c r="P60" s="107">
        <v>355</v>
      </c>
      <c r="Q60" s="107">
        <v>362.3</v>
      </c>
      <c r="R60">
        <v>102341</v>
      </c>
    </row>
    <row r="61" spans="1:18" x14ac:dyDescent="0.25">
      <c r="A61" s="148">
        <v>43423</v>
      </c>
      <c r="B61" s="107">
        <v>364.2</v>
      </c>
      <c r="C61" s="107">
        <v>359.8</v>
      </c>
      <c r="D61" s="107">
        <v>356.75</v>
      </c>
      <c r="E61" s="107">
        <v>359.4</v>
      </c>
      <c r="F61" s="107">
        <v>359.8</v>
      </c>
      <c r="G61">
        <v>3640</v>
      </c>
      <c r="H61" s="107"/>
      <c r="I61" s="107"/>
      <c r="L61" s="148">
        <v>43423</v>
      </c>
      <c r="M61" s="107">
        <v>359.5</v>
      </c>
      <c r="N61" s="107">
        <v>364.4</v>
      </c>
      <c r="O61" s="107">
        <v>356.15</v>
      </c>
      <c r="P61" s="107">
        <v>358.5</v>
      </c>
      <c r="Q61" s="107">
        <v>359.5</v>
      </c>
      <c r="R61">
        <v>26420</v>
      </c>
    </row>
    <row r="62" spans="1:18" x14ac:dyDescent="0.25">
      <c r="A62" s="148">
        <v>43424</v>
      </c>
      <c r="B62" s="107">
        <v>364.95</v>
      </c>
      <c r="C62" s="107">
        <v>359.9</v>
      </c>
      <c r="D62" s="107">
        <v>339</v>
      </c>
      <c r="E62" s="107">
        <v>339</v>
      </c>
      <c r="F62" s="107">
        <v>359.9</v>
      </c>
      <c r="G62">
        <v>4784</v>
      </c>
      <c r="H62" s="107"/>
      <c r="I62" s="107"/>
      <c r="L62" s="148">
        <v>43424</v>
      </c>
      <c r="M62" s="107">
        <v>359.1</v>
      </c>
      <c r="N62" s="107">
        <v>365</v>
      </c>
      <c r="O62" s="107">
        <v>350.3</v>
      </c>
      <c r="P62" s="107">
        <v>357</v>
      </c>
      <c r="Q62" s="107">
        <v>359.1</v>
      </c>
      <c r="R62">
        <v>52775</v>
      </c>
    </row>
    <row r="63" spans="1:18" x14ac:dyDescent="0.25">
      <c r="A63" s="148">
        <v>43425</v>
      </c>
      <c r="B63" s="107">
        <v>387</v>
      </c>
      <c r="C63" s="107">
        <v>368.8</v>
      </c>
      <c r="D63" s="107">
        <v>354.3</v>
      </c>
      <c r="E63" s="107">
        <v>359</v>
      </c>
      <c r="F63" s="107">
        <v>368.8</v>
      </c>
      <c r="G63">
        <v>17768</v>
      </c>
      <c r="H63" s="107"/>
      <c r="I63" s="107"/>
      <c r="L63" s="148">
        <v>43425</v>
      </c>
      <c r="M63" s="107">
        <v>369.6</v>
      </c>
      <c r="N63" s="107">
        <v>387.6</v>
      </c>
      <c r="O63" s="107">
        <v>354</v>
      </c>
      <c r="P63" s="107">
        <v>354</v>
      </c>
      <c r="Q63" s="107">
        <v>369.6</v>
      </c>
      <c r="R63">
        <v>85387</v>
      </c>
    </row>
    <row r="64" spans="1:18" x14ac:dyDescent="0.25">
      <c r="A64" s="148">
        <v>43426</v>
      </c>
      <c r="B64" s="107">
        <v>377.5</v>
      </c>
      <c r="C64" s="107">
        <v>369.55</v>
      </c>
      <c r="D64" s="107">
        <v>367</v>
      </c>
      <c r="E64" s="107">
        <v>374.4</v>
      </c>
      <c r="F64" s="107">
        <v>369.55</v>
      </c>
      <c r="G64">
        <v>3653</v>
      </c>
      <c r="H64" s="107"/>
      <c r="I64" s="107"/>
      <c r="L64" s="148">
        <v>43426</v>
      </c>
      <c r="M64" s="107">
        <v>370.65</v>
      </c>
      <c r="N64" s="107">
        <v>375</v>
      </c>
      <c r="O64" s="107">
        <v>366</v>
      </c>
      <c r="P64" s="107">
        <v>370</v>
      </c>
      <c r="Q64" s="107">
        <v>370.65</v>
      </c>
      <c r="R64">
        <v>38986</v>
      </c>
    </row>
    <row r="65" spans="1:18" x14ac:dyDescent="0.25">
      <c r="A65" s="148">
        <v>43430</v>
      </c>
      <c r="B65" s="107">
        <v>379</v>
      </c>
      <c r="C65" s="107">
        <v>358.15</v>
      </c>
      <c r="D65" s="107">
        <v>353.05</v>
      </c>
      <c r="E65" s="107">
        <v>379</v>
      </c>
      <c r="F65" s="107">
        <v>358.15</v>
      </c>
      <c r="G65">
        <v>3928</v>
      </c>
      <c r="H65" s="107"/>
      <c r="I65" s="107"/>
      <c r="L65" s="148">
        <v>43430</v>
      </c>
      <c r="M65" s="107">
        <v>358</v>
      </c>
      <c r="N65" s="107">
        <v>375</v>
      </c>
      <c r="O65" s="107">
        <v>354</v>
      </c>
      <c r="P65" s="107">
        <v>370</v>
      </c>
      <c r="Q65" s="107">
        <v>358</v>
      </c>
      <c r="R65">
        <v>21592</v>
      </c>
    </row>
    <row r="66" spans="1:18" x14ac:dyDescent="0.25">
      <c r="A66" s="148">
        <v>43431</v>
      </c>
      <c r="B66" s="107">
        <v>370</v>
      </c>
      <c r="C66" s="107">
        <v>367.25</v>
      </c>
      <c r="D66" s="107">
        <v>357</v>
      </c>
      <c r="E66" s="107">
        <v>359.05</v>
      </c>
      <c r="F66" s="107">
        <v>367.25</v>
      </c>
      <c r="G66">
        <v>5236</v>
      </c>
      <c r="H66" s="107"/>
      <c r="I66" s="107"/>
      <c r="L66" s="148">
        <v>43431</v>
      </c>
      <c r="M66" s="107">
        <v>367.35</v>
      </c>
      <c r="N66" s="107">
        <v>370</v>
      </c>
      <c r="O66" s="107">
        <v>355.05</v>
      </c>
      <c r="P66" s="107">
        <v>361.55</v>
      </c>
      <c r="Q66" s="107">
        <v>367.35</v>
      </c>
      <c r="R66">
        <v>61163</v>
      </c>
    </row>
    <row r="67" spans="1:18" x14ac:dyDescent="0.25">
      <c r="A67" s="148">
        <v>43432</v>
      </c>
      <c r="B67" s="107">
        <v>379.5</v>
      </c>
      <c r="C67" s="107">
        <v>377.6</v>
      </c>
      <c r="D67" s="107">
        <v>365.3</v>
      </c>
      <c r="E67" s="107">
        <v>365.3</v>
      </c>
      <c r="F67" s="107">
        <v>377.6</v>
      </c>
      <c r="G67">
        <v>11050</v>
      </c>
      <c r="H67" s="107"/>
      <c r="I67" s="107"/>
      <c r="L67" s="148">
        <v>43432</v>
      </c>
      <c r="M67" s="107">
        <v>377</v>
      </c>
      <c r="N67" s="107">
        <v>379.8</v>
      </c>
      <c r="O67" s="107">
        <v>362.5</v>
      </c>
      <c r="P67" s="107">
        <v>362.5</v>
      </c>
      <c r="Q67" s="107">
        <v>377</v>
      </c>
      <c r="R67">
        <v>63906</v>
      </c>
    </row>
    <row r="68" spans="1:18" x14ac:dyDescent="0.25">
      <c r="A68" s="148">
        <v>43433</v>
      </c>
      <c r="B68" s="107">
        <v>388.6</v>
      </c>
      <c r="C68" s="107">
        <v>386.65</v>
      </c>
      <c r="D68" s="107">
        <v>375.05</v>
      </c>
      <c r="E68" s="107">
        <v>375.05</v>
      </c>
      <c r="F68" s="107">
        <v>386.65</v>
      </c>
      <c r="G68">
        <v>14659</v>
      </c>
      <c r="H68" s="107"/>
      <c r="I68" s="107"/>
      <c r="L68" s="148">
        <v>43433</v>
      </c>
      <c r="M68" s="107">
        <v>386.4</v>
      </c>
      <c r="N68" s="107">
        <v>387.5</v>
      </c>
      <c r="O68" s="107">
        <v>375.05</v>
      </c>
      <c r="P68" s="107">
        <v>380</v>
      </c>
      <c r="Q68" s="107">
        <v>386.4</v>
      </c>
      <c r="R68">
        <v>73796</v>
      </c>
    </row>
    <row r="69" spans="1:18" x14ac:dyDescent="0.25">
      <c r="A69" s="148">
        <v>43434</v>
      </c>
      <c r="B69" s="107">
        <v>393</v>
      </c>
      <c r="C69" s="107">
        <v>389.85</v>
      </c>
      <c r="D69" s="107">
        <v>386</v>
      </c>
      <c r="E69" s="107">
        <v>386.05</v>
      </c>
      <c r="F69" s="107">
        <v>389.85</v>
      </c>
      <c r="G69">
        <v>25576</v>
      </c>
      <c r="H69" s="107"/>
      <c r="I69" s="107"/>
      <c r="L69" s="148">
        <v>43434</v>
      </c>
      <c r="M69" s="107">
        <v>389.1</v>
      </c>
      <c r="N69" s="107">
        <v>392.45</v>
      </c>
      <c r="O69" s="107">
        <v>380</v>
      </c>
      <c r="P69" s="107">
        <v>389</v>
      </c>
      <c r="Q69" s="107">
        <v>389.1</v>
      </c>
      <c r="R69">
        <v>205036</v>
      </c>
    </row>
    <row r="70" spans="1:18" x14ac:dyDescent="0.25">
      <c r="A70" s="148">
        <v>43437</v>
      </c>
      <c r="B70" s="107">
        <v>397.5</v>
      </c>
      <c r="C70" s="107">
        <v>394.3</v>
      </c>
      <c r="D70" s="107">
        <v>386.9</v>
      </c>
      <c r="E70" s="107">
        <v>386.9</v>
      </c>
      <c r="F70" s="107">
        <v>394.3</v>
      </c>
      <c r="G70">
        <v>10386</v>
      </c>
      <c r="H70" s="107"/>
      <c r="I70" s="107"/>
      <c r="L70" s="148">
        <v>43437</v>
      </c>
      <c r="M70" s="107">
        <v>394</v>
      </c>
      <c r="N70" s="107">
        <v>398.7</v>
      </c>
      <c r="O70" s="107">
        <v>385.65</v>
      </c>
      <c r="P70" s="107">
        <v>390</v>
      </c>
      <c r="Q70" s="107">
        <v>394</v>
      </c>
      <c r="R70">
        <v>72784</v>
      </c>
    </row>
    <row r="71" spans="1:18" x14ac:dyDescent="0.25">
      <c r="A71" s="148">
        <v>43438</v>
      </c>
      <c r="B71" s="107">
        <v>399</v>
      </c>
      <c r="C71" s="107">
        <v>389.95</v>
      </c>
      <c r="D71" s="107">
        <v>385.15</v>
      </c>
      <c r="E71" s="107">
        <v>391.2</v>
      </c>
      <c r="F71" s="107">
        <v>389.95</v>
      </c>
      <c r="G71">
        <v>8632</v>
      </c>
      <c r="H71" s="107"/>
      <c r="I71" s="107"/>
      <c r="L71" s="148">
        <v>43438</v>
      </c>
      <c r="M71" s="107">
        <v>388.85</v>
      </c>
      <c r="N71" s="107">
        <v>399.8</v>
      </c>
      <c r="O71" s="107">
        <v>386</v>
      </c>
      <c r="P71" s="107">
        <v>394</v>
      </c>
      <c r="Q71" s="107">
        <v>388.85</v>
      </c>
      <c r="R71">
        <v>55745</v>
      </c>
    </row>
    <row r="72" spans="1:18" x14ac:dyDescent="0.25">
      <c r="A72" s="148">
        <v>43439</v>
      </c>
      <c r="B72" s="107">
        <v>392.95</v>
      </c>
      <c r="C72" s="107">
        <v>390.15</v>
      </c>
      <c r="D72" s="107">
        <v>387.2</v>
      </c>
      <c r="E72" s="107">
        <v>387.75</v>
      </c>
      <c r="F72" s="107">
        <v>390.15</v>
      </c>
      <c r="G72">
        <v>7984</v>
      </c>
      <c r="H72" s="107"/>
      <c r="I72" s="107"/>
      <c r="L72" s="148">
        <v>43439</v>
      </c>
      <c r="M72" s="107">
        <v>389.85</v>
      </c>
      <c r="N72" s="107">
        <v>394</v>
      </c>
      <c r="O72" s="107">
        <v>385</v>
      </c>
      <c r="P72" s="107">
        <v>385</v>
      </c>
      <c r="Q72" s="107">
        <v>389.85</v>
      </c>
      <c r="R72">
        <v>53611</v>
      </c>
    </row>
    <row r="73" spans="1:18" x14ac:dyDescent="0.25">
      <c r="A73" s="148">
        <v>43440</v>
      </c>
      <c r="B73" s="107">
        <v>390.5</v>
      </c>
      <c r="C73" s="107">
        <v>386.4</v>
      </c>
      <c r="D73" s="107">
        <v>381</v>
      </c>
      <c r="E73" s="107">
        <v>385.65</v>
      </c>
      <c r="F73" s="107">
        <v>386.4</v>
      </c>
      <c r="G73">
        <v>7662</v>
      </c>
      <c r="H73" s="107"/>
      <c r="I73" s="107"/>
      <c r="L73" s="148">
        <v>43440</v>
      </c>
      <c r="M73" s="107">
        <v>385.6</v>
      </c>
      <c r="N73" s="107">
        <v>392</v>
      </c>
      <c r="O73" s="107">
        <v>380.05</v>
      </c>
      <c r="P73" s="107">
        <v>386</v>
      </c>
      <c r="Q73" s="107">
        <v>385.6</v>
      </c>
      <c r="R73">
        <v>51439</v>
      </c>
    </row>
    <row r="74" spans="1:18" x14ac:dyDescent="0.25">
      <c r="A74" s="148">
        <v>43441</v>
      </c>
      <c r="B74" s="107">
        <v>390.3</v>
      </c>
      <c r="C74" s="107">
        <v>381.3</v>
      </c>
      <c r="D74" s="107">
        <v>379.05</v>
      </c>
      <c r="E74" s="107">
        <v>381.25</v>
      </c>
      <c r="F74" s="107">
        <v>381.3</v>
      </c>
      <c r="G74">
        <v>3006</v>
      </c>
      <c r="H74" s="107"/>
      <c r="I74" s="107"/>
      <c r="L74" s="148">
        <v>43441</v>
      </c>
      <c r="M74" s="107">
        <v>382.65</v>
      </c>
      <c r="N74" s="107">
        <v>391.9</v>
      </c>
      <c r="O74" s="107">
        <v>380.55</v>
      </c>
      <c r="P74" s="107">
        <v>381</v>
      </c>
      <c r="Q74" s="107">
        <v>382.65</v>
      </c>
      <c r="R74">
        <v>31615</v>
      </c>
    </row>
    <row r="75" spans="1:18" x14ac:dyDescent="0.25">
      <c r="A75" s="148">
        <v>43444</v>
      </c>
      <c r="B75" s="107">
        <v>385</v>
      </c>
      <c r="C75" s="107">
        <v>383.6</v>
      </c>
      <c r="D75" s="107">
        <v>372.05</v>
      </c>
      <c r="E75" s="107">
        <v>372.05</v>
      </c>
      <c r="F75" s="107">
        <v>383.6</v>
      </c>
      <c r="G75">
        <v>5941</v>
      </c>
      <c r="H75" s="107"/>
      <c r="I75" s="107"/>
      <c r="L75" s="148">
        <v>43444</v>
      </c>
      <c r="M75" s="107">
        <v>383.65</v>
      </c>
      <c r="N75" s="107">
        <v>386.5</v>
      </c>
      <c r="O75" s="107">
        <v>372.5</v>
      </c>
      <c r="P75" s="107">
        <v>380</v>
      </c>
      <c r="Q75" s="107">
        <v>383.65</v>
      </c>
      <c r="R75">
        <v>73625</v>
      </c>
    </row>
    <row r="76" spans="1:18" x14ac:dyDescent="0.25">
      <c r="A76" s="148">
        <v>43445</v>
      </c>
      <c r="B76" s="107">
        <v>388.95</v>
      </c>
      <c r="C76" s="107">
        <v>385.95</v>
      </c>
      <c r="D76" s="107">
        <v>377.5</v>
      </c>
      <c r="E76" s="107">
        <v>377.5</v>
      </c>
      <c r="F76" s="107">
        <v>385.95</v>
      </c>
      <c r="G76">
        <v>3532</v>
      </c>
      <c r="H76" s="107"/>
      <c r="I76" s="107"/>
      <c r="L76" s="148">
        <v>43445</v>
      </c>
      <c r="M76" s="107">
        <v>386.2</v>
      </c>
      <c r="N76" s="107">
        <v>389.5</v>
      </c>
      <c r="O76" s="107">
        <v>373.4</v>
      </c>
      <c r="P76" s="107">
        <v>374</v>
      </c>
      <c r="Q76" s="107">
        <v>386.2</v>
      </c>
      <c r="R76">
        <v>33545</v>
      </c>
    </row>
    <row r="77" spans="1:18" x14ac:dyDescent="0.25">
      <c r="A77" s="148">
        <v>43446</v>
      </c>
      <c r="B77" s="107">
        <v>393.45</v>
      </c>
      <c r="C77" s="107">
        <v>392.15</v>
      </c>
      <c r="D77" s="107">
        <v>384</v>
      </c>
      <c r="E77" s="107">
        <v>384</v>
      </c>
      <c r="F77" s="107">
        <v>392.15</v>
      </c>
      <c r="G77">
        <v>5831</v>
      </c>
      <c r="H77" s="107"/>
      <c r="I77" s="107"/>
      <c r="L77" s="148">
        <v>43446</v>
      </c>
      <c r="M77" s="107">
        <v>391.9</v>
      </c>
      <c r="N77" s="107">
        <v>395</v>
      </c>
      <c r="O77" s="107">
        <v>381.4</v>
      </c>
      <c r="P77" s="107">
        <v>387</v>
      </c>
      <c r="Q77" s="107">
        <v>391.9</v>
      </c>
      <c r="R77">
        <v>143035</v>
      </c>
    </row>
    <row r="78" spans="1:18" x14ac:dyDescent="0.25">
      <c r="A78" s="148">
        <v>43447</v>
      </c>
      <c r="B78" s="107">
        <v>397.65</v>
      </c>
      <c r="C78" s="107">
        <v>395.3</v>
      </c>
      <c r="D78" s="107">
        <v>386.8</v>
      </c>
      <c r="E78" s="107">
        <v>392.2</v>
      </c>
      <c r="F78" s="107">
        <v>395.3</v>
      </c>
      <c r="G78">
        <v>105633</v>
      </c>
      <c r="H78" s="107"/>
      <c r="I78" s="107"/>
      <c r="L78" s="148">
        <v>43447</v>
      </c>
      <c r="M78" s="107">
        <v>395.45</v>
      </c>
      <c r="N78" s="107">
        <v>398.1</v>
      </c>
      <c r="O78" s="107">
        <v>385.6</v>
      </c>
      <c r="P78" s="107">
        <v>385.6</v>
      </c>
      <c r="Q78" s="107">
        <v>395.45</v>
      </c>
      <c r="R78">
        <v>56527</v>
      </c>
    </row>
    <row r="79" spans="1:18" x14ac:dyDescent="0.25">
      <c r="A79" s="148">
        <v>43448</v>
      </c>
      <c r="B79" s="107">
        <v>398.15</v>
      </c>
      <c r="C79" s="107">
        <v>387.1</v>
      </c>
      <c r="D79" s="107">
        <v>380.05</v>
      </c>
      <c r="E79" s="107">
        <v>394.95</v>
      </c>
      <c r="F79" s="107">
        <v>387.1</v>
      </c>
      <c r="G79">
        <v>11497</v>
      </c>
      <c r="H79" s="107"/>
      <c r="I79" s="107"/>
      <c r="L79" s="148">
        <v>43448</v>
      </c>
      <c r="M79" s="107">
        <v>389.2</v>
      </c>
      <c r="N79" s="107">
        <v>399</v>
      </c>
      <c r="O79" s="107">
        <v>385.15</v>
      </c>
      <c r="P79" s="107">
        <v>396</v>
      </c>
      <c r="Q79" s="107">
        <v>389.2</v>
      </c>
      <c r="R79">
        <v>59964</v>
      </c>
    </row>
    <row r="80" spans="1:18" x14ac:dyDescent="0.25">
      <c r="A80" s="148">
        <v>43451</v>
      </c>
      <c r="B80" s="107">
        <v>395</v>
      </c>
      <c r="C80" s="107">
        <v>384.55</v>
      </c>
      <c r="D80" s="107">
        <v>382.7</v>
      </c>
      <c r="E80" s="107">
        <v>394.95</v>
      </c>
      <c r="F80" s="107">
        <v>384.55</v>
      </c>
      <c r="G80">
        <v>4437</v>
      </c>
      <c r="H80" s="107"/>
      <c r="I80" s="107"/>
      <c r="L80" s="148">
        <v>43451</v>
      </c>
      <c r="M80" s="107">
        <v>384.7</v>
      </c>
      <c r="N80" s="107">
        <v>394.95</v>
      </c>
      <c r="O80" s="107">
        <v>382.3</v>
      </c>
      <c r="P80" s="107">
        <v>384.2</v>
      </c>
      <c r="Q80" s="107">
        <v>384.7</v>
      </c>
      <c r="R80">
        <v>49798</v>
      </c>
    </row>
    <row r="81" spans="1:18" x14ac:dyDescent="0.25">
      <c r="A81" s="148">
        <v>43452</v>
      </c>
      <c r="B81" s="107">
        <v>384.05</v>
      </c>
      <c r="C81" s="107">
        <v>382.75</v>
      </c>
      <c r="D81" s="107">
        <v>374.6</v>
      </c>
      <c r="E81" s="107">
        <v>382</v>
      </c>
      <c r="F81" s="107">
        <v>382.75</v>
      </c>
      <c r="G81">
        <v>5032</v>
      </c>
      <c r="H81" s="107"/>
      <c r="I81" s="107"/>
      <c r="L81" s="148">
        <v>43452</v>
      </c>
      <c r="M81" s="107">
        <v>379.65</v>
      </c>
      <c r="N81" s="107">
        <v>385</v>
      </c>
      <c r="O81" s="107">
        <v>373.25</v>
      </c>
      <c r="P81" s="107">
        <v>384.7</v>
      </c>
      <c r="Q81" s="107">
        <v>379.65</v>
      </c>
      <c r="R81">
        <v>206921</v>
      </c>
    </row>
    <row r="82" spans="1:18" x14ac:dyDescent="0.25">
      <c r="A82" s="148">
        <v>43453</v>
      </c>
      <c r="B82" s="107">
        <v>385.65</v>
      </c>
      <c r="C82" s="107">
        <v>383.5</v>
      </c>
      <c r="D82" s="107">
        <v>378.2</v>
      </c>
      <c r="E82" s="107">
        <v>381.7</v>
      </c>
      <c r="F82" s="107">
        <v>383.5</v>
      </c>
      <c r="G82">
        <v>2131</v>
      </c>
      <c r="H82" s="107"/>
      <c r="I82" s="107"/>
      <c r="L82" s="148">
        <v>43453</v>
      </c>
      <c r="M82" s="107">
        <v>384.35</v>
      </c>
      <c r="N82" s="107">
        <v>386.45</v>
      </c>
      <c r="O82" s="107">
        <v>375.55</v>
      </c>
      <c r="P82" s="107">
        <v>375.55</v>
      </c>
      <c r="Q82" s="107">
        <v>384.35</v>
      </c>
      <c r="R82">
        <v>31598</v>
      </c>
    </row>
    <row r="83" spans="1:18" x14ac:dyDescent="0.25">
      <c r="A83" s="148">
        <v>43454</v>
      </c>
      <c r="B83" s="107">
        <v>383.3</v>
      </c>
      <c r="C83" s="107">
        <v>380.4</v>
      </c>
      <c r="D83" s="107">
        <v>375.1</v>
      </c>
      <c r="E83" s="107">
        <v>377.25</v>
      </c>
      <c r="F83" s="107">
        <v>380.4</v>
      </c>
      <c r="G83">
        <v>5483</v>
      </c>
      <c r="H83" s="107"/>
      <c r="I83" s="107"/>
      <c r="L83" s="148">
        <v>43454</v>
      </c>
      <c r="M83" s="107">
        <v>379.75</v>
      </c>
      <c r="N83" s="107">
        <v>384.2</v>
      </c>
      <c r="O83" s="107">
        <v>378.05</v>
      </c>
      <c r="P83" s="107">
        <v>383</v>
      </c>
      <c r="Q83" s="107">
        <v>379.75</v>
      </c>
      <c r="R83">
        <v>96654</v>
      </c>
    </row>
    <row r="84" spans="1:18" x14ac:dyDescent="0.25">
      <c r="A84" s="148">
        <v>43455</v>
      </c>
      <c r="B84" s="107">
        <v>382.4</v>
      </c>
      <c r="C84" s="107">
        <v>372.65</v>
      </c>
      <c r="D84" s="107">
        <v>371.75</v>
      </c>
      <c r="E84" s="107">
        <v>378.2</v>
      </c>
      <c r="F84" s="107">
        <v>372.65</v>
      </c>
      <c r="G84">
        <v>7197</v>
      </c>
      <c r="H84" s="107"/>
      <c r="I84" s="107"/>
      <c r="L84" s="148">
        <v>43455</v>
      </c>
      <c r="M84" s="107">
        <v>373.7</v>
      </c>
      <c r="N84" s="107">
        <v>384</v>
      </c>
      <c r="O84" s="107">
        <v>372.5</v>
      </c>
      <c r="P84" s="107">
        <v>384</v>
      </c>
      <c r="Q84" s="107">
        <v>373.7</v>
      </c>
      <c r="R84">
        <v>38431</v>
      </c>
    </row>
    <row r="85" spans="1:18" x14ac:dyDescent="0.25">
      <c r="A85" s="148">
        <v>43458</v>
      </c>
      <c r="B85" s="107">
        <v>377.75</v>
      </c>
      <c r="C85" s="107">
        <v>369.75</v>
      </c>
      <c r="D85" s="107">
        <v>366</v>
      </c>
      <c r="E85" s="107">
        <v>375</v>
      </c>
      <c r="F85" s="107">
        <v>369.75</v>
      </c>
      <c r="G85">
        <v>52088</v>
      </c>
      <c r="H85" s="107"/>
      <c r="I85" s="107"/>
      <c r="L85" s="148">
        <v>43458</v>
      </c>
      <c r="M85" s="107">
        <v>369.05</v>
      </c>
      <c r="N85" s="107">
        <v>378.8</v>
      </c>
      <c r="O85" s="107">
        <v>366.35</v>
      </c>
      <c r="P85" s="107">
        <v>373.7</v>
      </c>
      <c r="Q85" s="107">
        <v>369.05</v>
      </c>
      <c r="R85">
        <v>211898</v>
      </c>
    </row>
    <row r="86" spans="1:18" x14ac:dyDescent="0.25">
      <c r="A86" s="148">
        <v>43460</v>
      </c>
      <c r="B86" s="107">
        <v>368</v>
      </c>
      <c r="C86" s="107">
        <v>365.4</v>
      </c>
      <c r="D86" s="107">
        <v>357</v>
      </c>
      <c r="E86" s="107">
        <v>365</v>
      </c>
      <c r="F86" s="107">
        <v>365.4</v>
      </c>
      <c r="G86">
        <v>3829</v>
      </c>
      <c r="H86" s="107"/>
      <c r="I86" s="107"/>
      <c r="L86" s="148">
        <v>43460</v>
      </c>
      <c r="M86" s="107">
        <v>365.55</v>
      </c>
      <c r="N86" s="107">
        <v>369.05</v>
      </c>
      <c r="O86" s="107">
        <v>356.05</v>
      </c>
      <c r="P86" s="107">
        <v>369.05</v>
      </c>
      <c r="Q86" s="107">
        <v>365.55</v>
      </c>
      <c r="R86">
        <v>29680</v>
      </c>
    </row>
    <row r="87" spans="1:18" x14ac:dyDescent="0.25">
      <c r="A87" s="148">
        <v>43461</v>
      </c>
      <c r="B87" s="107">
        <v>373.6</v>
      </c>
      <c r="C87" s="107">
        <v>370.1</v>
      </c>
      <c r="D87" s="107">
        <v>367.95</v>
      </c>
      <c r="E87" s="107">
        <v>371.7</v>
      </c>
      <c r="F87" s="107">
        <v>370.1</v>
      </c>
      <c r="G87">
        <v>6126</v>
      </c>
      <c r="H87" s="107"/>
      <c r="I87" s="107"/>
      <c r="L87" s="148">
        <v>43461</v>
      </c>
      <c r="M87" s="107">
        <v>369.45</v>
      </c>
      <c r="N87" s="107">
        <v>374.8</v>
      </c>
      <c r="O87" s="107">
        <v>363.1</v>
      </c>
      <c r="P87" s="107">
        <v>367.8</v>
      </c>
      <c r="Q87" s="107">
        <v>369.45</v>
      </c>
      <c r="R87">
        <v>22675</v>
      </c>
    </row>
    <row r="88" spans="1:18" x14ac:dyDescent="0.25">
      <c r="A88" s="148">
        <v>43462</v>
      </c>
      <c r="B88" s="107">
        <v>382.1</v>
      </c>
      <c r="C88" s="107">
        <v>378.2</v>
      </c>
      <c r="D88" s="107">
        <v>362.5</v>
      </c>
      <c r="E88" s="107">
        <v>362.5</v>
      </c>
      <c r="F88" s="107">
        <v>378.2</v>
      </c>
      <c r="G88">
        <v>38195</v>
      </c>
      <c r="H88" s="107"/>
      <c r="I88" s="107"/>
      <c r="L88" s="148">
        <v>43462</v>
      </c>
      <c r="M88" s="107">
        <v>378.9</v>
      </c>
      <c r="N88" s="107">
        <v>380.5</v>
      </c>
      <c r="O88" s="107">
        <v>366.95</v>
      </c>
      <c r="P88" s="107">
        <v>366.95</v>
      </c>
      <c r="Q88" s="107">
        <v>378.9</v>
      </c>
      <c r="R88">
        <v>46102</v>
      </c>
    </row>
    <row r="89" spans="1:18" x14ac:dyDescent="0.25">
      <c r="A89" s="148">
        <v>43465</v>
      </c>
      <c r="B89" s="107">
        <v>389.8</v>
      </c>
      <c r="C89" s="107">
        <v>383.15</v>
      </c>
      <c r="D89" s="107">
        <v>379.95</v>
      </c>
      <c r="E89" s="107">
        <v>380</v>
      </c>
      <c r="F89" s="107">
        <v>383.15</v>
      </c>
      <c r="G89">
        <v>5134</v>
      </c>
      <c r="H89" s="107"/>
      <c r="I89" s="107"/>
      <c r="L89" s="148">
        <v>43465</v>
      </c>
      <c r="M89" s="107">
        <v>383.25</v>
      </c>
      <c r="N89" s="107">
        <v>389.6</v>
      </c>
      <c r="O89" s="107">
        <v>379.95</v>
      </c>
      <c r="P89" s="107">
        <v>380</v>
      </c>
      <c r="Q89" s="107">
        <v>383.25</v>
      </c>
      <c r="R89">
        <v>41441</v>
      </c>
    </row>
    <row r="90" spans="1:18" x14ac:dyDescent="0.25">
      <c r="A90" s="148">
        <v>43466</v>
      </c>
      <c r="B90" s="107">
        <v>388</v>
      </c>
      <c r="C90" s="107">
        <v>386.25</v>
      </c>
      <c r="D90" s="107">
        <v>383</v>
      </c>
      <c r="E90" s="107">
        <v>383</v>
      </c>
      <c r="F90" s="107">
        <v>386.25</v>
      </c>
      <c r="G90">
        <v>2122</v>
      </c>
      <c r="H90" s="107"/>
      <c r="I90" s="107"/>
      <c r="L90" s="148">
        <v>43466</v>
      </c>
      <c r="M90" s="107">
        <v>386.8</v>
      </c>
      <c r="N90" s="107">
        <v>389.6</v>
      </c>
      <c r="O90" s="107">
        <v>379.65</v>
      </c>
      <c r="P90" s="107">
        <v>387.2</v>
      </c>
      <c r="Q90" s="107">
        <v>386.8</v>
      </c>
      <c r="R90">
        <v>36817</v>
      </c>
    </row>
    <row r="91" spans="1:18" x14ac:dyDescent="0.25">
      <c r="A91" s="148">
        <v>43467</v>
      </c>
      <c r="B91" s="107">
        <v>393.8</v>
      </c>
      <c r="C91" s="107">
        <v>385.15</v>
      </c>
      <c r="D91" s="107">
        <v>383.05</v>
      </c>
      <c r="E91" s="107">
        <v>386.45</v>
      </c>
      <c r="F91" s="107">
        <v>385.15</v>
      </c>
      <c r="G91">
        <v>6986</v>
      </c>
      <c r="H91" s="107"/>
      <c r="I91" s="107"/>
      <c r="L91" s="148">
        <v>43467</v>
      </c>
      <c r="M91" s="107">
        <v>384.2</v>
      </c>
      <c r="N91" s="107">
        <v>393.85</v>
      </c>
      <c r="O91" s="107">
        <v>381.1</v>
      </c>
      <c r="P91" s="107">
        <v>382</v>
      </c>
      <c r="Q91" s="107">
        <v>384.2</v>
      </c>
      <c r="R91">
        <v>56469</v>
      </c>
    </row>
    <row r="92" spans="1:18" x14ac:dyDescent="0.25">
      <c r="A92" s="148">
        <v>43468</v>
      </c>
      <c r="B92" s="107">
        <v>389.9</v>
      </c>
      <c r="C92" s="107">
        <v>384.6</v>
      </c>
      <c r="D92" s="107">
        <v>380</v>
      </c>
      <c r="E92" s="107">
        <v>386.4</v>
      </c>
      <c r="F92" s="107">
        <v>384.6</v>
      </c>
      <c r="G92">
        <v>29463</v>
      </c>
      <c r="H92" s="107"/>
      <c r="I92" s="107"/>
      <c r="L92" s="148">
        <v>43468</v>
      </c>
      <c r="M92" s="107">
        <v>381.05</v>
      </c>
      <c r="N92" s="107">
        <v>388.25</v>
      </c>
      <c r="O92" s="107">
        <v>379</v>
      </c>
      <c r="P92" s="107">
        <v>382.1</v>
      </c>
      <c r="Q92" s="107">
        <v>381.05</v>
      </c>
      <c r="R92">
        <v>23396</v>
      </c>
    </row>
    <row r="93" spans="1:18" x14ac:dyDescent="0.25">
      <c r="A93" s="148">
        <v>43469</v>
      </c>
      <c r="B93" s="107">
        <v>386.9</v>
      </c>
      <c r="C93" s="107">
        <v>384.3</v>
      </c>
      <c r="D93" s="107">
        <v>378.3</v>
      </c>
      <c r="E93" s="107">
        <v>378.3</v>
      </c>
      <c r="F93" s="107">
        <v>384.3</v>
      </c>
      <c r="G93">
        <v>32480</v>
      </c>
      <c r="H93" s="107"/>
      <c r="I93" s="107"/>
      <c r="L93" s="148">
        <v>43469</v>
      </c>
      <c r="M93" s="107">
        <v>385.5</v>
      </c>
      <c r="N93" s="107">
        <v>386.5</v>
      </c>
      <c r="O93" s="107">
        <v>381.3</v>
      </c>
      <c r="P93" s="107">
        <v>383.45</v>
      </c>
      <c r="Q93" s="107">
        <v>385.5</v>
      </c>
      <c r="R93">
        <v>18909</v>
      </c>
    </row>
    <row r="94" spans="1:18" x14ac:dyDescent="0.25">
      <c r="A94" s="148">
        <v>43472</v>
      </c>
      <c r="B94" s="107">
        <v>387.55</v>
      </c>
      <c r="C94" s="107">
        <v>383.15</v>
      </c>
      <c r="D94" s="107">
        <v>383</v>
      </c>
      <c r="E94" s="107">
        <v>383.05</v>
      </c>
      <c r="F94" s="107">
        <v>383.15</v>
      </c>
      <c r="G94">
        <v>2292</v>
      </c>
      <c r="H94" s="107"/>
      <c r="I94" s="107"/>
      <c r="L94" s="148">
        <v>43472</v>
      </c>
      <c r="M94" s="107">
        <v>382.55</v>
      </c>
      <c r="N94" s="107">
        <v>388</v>
      </c>
      <c r="O94" s="107">
        <v>380.1</v>
      </c>
      <c r="P94" s="107">
        <v>381.7</v>
      </c>
      <c r="Q94" s="107">
        <v>382.55</v>
      </c>
      <c r="R94">
        <v>24835</v>
      </c>
    </row>
    <row r="95" spans="1:18" x14ac:dyDescent="0.25">
      <c r="A95" s="148">
        <v>43473</v>
      </c>
      <c r="B95" s="107">
        <v>388.95</v>
      </c>
      <c r="C95" s="107">
        <v>387.8</v>
      </c>
      <c r="D95" s="107">
        <v>384</v>
      </c>
      <c r="E95" s="107">
        <v>386.4</v>
      </c>
      <c r="F95" s="107">
        <v>387.8</v>
      </c>
      <c r="G95">
        <v>3089</v>
      </c>
      <c r="H95" s="107"/>
      <c r="I95" s="107"/>
      <c r="L95" s="148">
        <v>43473</v>
      </c>
      <c r="M95" s="107">
        <v>387.7</v>
      </c>
      <c r="N95" s="107">
        <v>388.95</v>
      </c>
      <c r="O95" s="107">
        <v>381.5</v>
      </c>
      <c r="P95" s="107">
        <v>381.5</v>
      </c>
      <c r="Q95" s="107">
        <v>387.7</v>
      </c>
      <c r="R95">
        <v>32830</v>
      </c>
    </row>
    <row r="96" spans="1:18" x14ac:dyDescent="0.25">
      <c r="A96" s="148">
        <v>43474</v>
      </c>
      <c r="B96" s="107">
        <v>394.9</v>
      </c>
      <c r="C96" s="107">
        <v>391.95</v>
      </c>
      <c r="D96" s="107">
        <v>384.6</v>
      </c>
      <c r="E96" s="107">
        <v>386.05</v>
      </c>
      <c r="F96" s="107">
        <v>391.95</v>
      </c>
      <c r="G96">
        <v>7805</v>
      </c>
      <c r="H96" s="107"/>
      <c r="I96" s="107"/>
      <c r="L96" s="148">
        <v>43474</v>
      </c>
      <c r="M96" s="107">
        <v>391.9</v>
      </c>
      <c r="N96" s="107">
        <v>394</v>
      </c>
      <c r="O96" s="107">
        <v>384.25</v>
      </c>
      <c r="P96" s="107">
        <v>385.6</v>
      </c>
      <c r="Q96" s="107">
        <v>391.9</v>
      </c>
      <c r="R96">
        <v>56923</v>
      </c>
    </row>
    <row r="97" spans="1:18" x14ac:dyDescent="0.25">
      <c r="A97" s="148">
        <v>43475</v>
      </c>
      <c r="B97" s="107">
        <v>416.75</v>
      </c>
      <c r="C97" s="107">
        <v>414.4</v>
      </c>
      <c r="D97" s="107">
        <v>386.95</v>
      </c>
      <c r="E97" s="107">
        <v>388.05</v>
      </c>
      <c r="F97" s="107">
        <v>414.4</v>
      </c>
      <c r="G97">
        <v>27550</v>
      </c>
      <c r="H97" s="107"/>
      <c r="I97" s="107"/>
      <c r="L97" s="148">
        <v>43475</v>
      </c>
      <c r="M97" s="107">
        <v>414.2</v>
      </c>
      <c r="N97" s="107">
        <v>416.8</v>
      </c>
      <c r="O97" s="107">
        <v>386.05</v>
      </c>
      <c r="P97" s="107">
        <v>386.75</v>
      </c>
      <c r="Q97" s="107">
        <v>414.2</v>
      </c>
      <c r="R97">
        <v>145295</v>
      </c>
    </row>
    <row r="98" spans="1:18" x14ac:dyDescent="0.25">
      <c r="A98" s="148">
        <v>43476</v>
      </c>
      <c r="B98" s="107">
        <v>419</v>
      </c>
      <c r="C98" s="107">
        <v>413.65</v>
      </c>
      <c r="D98" s="107">
        <v>409.6</v>
      </c>
      <c r="E98" s="107">
        <v>414</v>
      </c>
      <c r="F98" s="107">
        <v>413.65</v>
      </c>
      <c r="G98">
        <v>19830</v>
      </c>
      <c r="H98" s="107"/>
      <c r="I98" s="107"/>
      <c r="L98" s="148">
        <v>43476</v>
      </c>
      <c r="M98" s="107">
        <v>413.6</v>
      </c>
      <c r="N98" s="107">
        <v>419.45</v>
      </c>
      <c r="O98" s="107">
        <v>409.55</v>
      </c>
      <c r="P98" s="107">
        <v>415</v>
      </c>
      <c r="Q98" s="107">
        <v>413.6</v>
      </c>
      <c r="R98">
        <v>98462</v>
      </c>
    </row>
    <row r="99" spans="1:18" x14ac:dyDescent="0.25">
      <c r="A99" s="148">
        <v>43479</v>
      </c>
      <c r="B99" s="107">
        <v>414</v>
      </c>
      <c r="C99" s="107">
        <v>404.25</v>
      </c>
      <c r="D99" s="107">
        <v>400.2</v>
      </c>
      <c r="E99" s="107">
        <v>405</v>
      </c>
      <c r="F99" s="107">
        <v>404.25</v>
      </c>
      <c r="G99">
        <v>5151</v>
      </c>
      <c r="H99" s="107"/>
      <c r="I99" s="107"/>
      <c r="L99" s="148">
        <v>43479</v>
      </c>
      <c r="M99" s="107">
        <v>402.75</v>
      </c>
      <c r="N99" s="107">
        <v>414.9</v>
      </c>
      <c r="O99" s="107">
        <v>400.55</v>
      </c>
      <c r="P99" s="107">
        <v>408</v>
      </c>
      <c r="Q99" s="107">
        <v>402.75</v>
      </c>
      <c r="R99">
        <v>46457</v>
      </c>
    </row>
    <row r="100" spans="1:18" x14ac:dyDescent="0.25">
      <c r="A100" s="148">
        <v>43480</v>
      </c>
      <c r="B100" s="107">
        <v>407.1</v>
      </c>
      <c r="C100" s="107">
        <v>402.85</v>
      </c>
      <c r="D100" s="107">
        <v>401</v>
      </c>
      <c r="E100" s="107">
        <v>401.05</v>
      </c>
      <c r="F100" s="107">
        <v>402.85</v>
      </c>
      <c r="G100">
        <v>3758</v>
      </c>
      <c r="H100" s="107"/>
      <c r="I100" s="107"/>
      <c r="L100" s="148">
        <v>43480</v>
      </c>
      <c r="M100" s="107">
        <v>404.75</v>
      </c>
      <c r="N100" s="107">
        <v>408.85</v>
      </c>
      <c r="O100" s="107">
        <v>400.1</v>
      </c>
      <c r="P100" s="107">
        <v>402</v>
      </c>
      <c r="Q100" s="107">
        <v>404.75</v>
      </c>
      <c r="R100">
        <v>48655</v>
      </c>
    </row>
    <row r="101" spans="1:18" x14ac:dyDescent="0.25">
      <c r="A101" s="148">
        <v>43481</v>
      </c>
      <c r="B101" s="107">
        <v>404.55</v>
      </c>
      <c r="C101" s="107">
        <v>393.8</v>
      </c>
      <c r="D101" s="107">
        <v>384</v>
      </c>
      <c r="E101" s="107">
        <v>400.05</v>
      </c>
      <c r="F101" s="107">
        <v>393.8</v>
      </c>
      <c r="G101">
        <v>2026</v>
      </c>
      <c r="H101" s="107"/>
      <c r="I101" s="107"/>
      <c r="L101" s="148">
        <v>43481</v>
      </c>
      <c r="M101" s="107">
        <v>395.3</v>
      </c>
      <c r="N101" s="107">
        <v>406.85</v>
      </c>
      <c r="O101" s="107">
        <v>391.5</v>
      </c>
      <c r="P101" s="107">
        <v>406.85</v>
      </c>
      <c r="Q101" s="107">
        <v>395.3</v>
      </c>
      <c r="R101">
        <v>27574</v>
      </c>
    </row>
    <row r="102" spans="1:18" x14ac:dyDescent="0.25">
      <c r="A102" s="148">
        <v>43482</v>
      </c>
      <c r="B102" s="107">
        <v>398</v>
      </c>
      <c r="C102" s="107">
        <v>396.9</v>
      </c>
      <c r="D102" s="107">
        <v>393.3</v>
      </c>
      <c r="E102" s="107">
        <v>396</v>
      </c>
      <c r="F102" s="107">
        <v>396.9</v>
      </c>
      <c r="G102">
        <v>3660</v>
      </c>
      <c r="H102" s="107"/>
      <c r="I102" s="107"/>
      <c r="L102" s="148">
        <v>43482</v>
      </c>
      <c r="M102" s="107">
        <v>397.45</v>
      </c>
      <c r="N102" s="107">
        <v>400</v>
      </c>
      <c r="O102" s="107">
        <v>392</v>
      </c>
      <c r="P102" s="107">
        <v>399</v>
      </c>
      <c r="Q102" s="107">
        <v>397.45</v>
      </c>
      <c r="R102">
        <v>27853</v>
      </c>
    </row>
    <row r="103" spans="1:18" x14ac:dyDescent="0.25">
      <c r="A103" s="148">
        <v>43483</v>
      </c>
      <c r="B103" s="107">
        <v>405</v>
      </c>
      <c r="C103" s="107">
        <v>401.5</v>
      </c>
      <c r="D103" s="107">
        <v>391.2</v>
      </c>
      <c r="E103" s="107">
        <v>391.2</v>
      </c>
      <c r="F103" s="107">
        <v>401.5</v>
      </c>
      <c r="G103">
        <v>3312</v>
      </c>
      <c r="H103" s="107"/>
      <c r="I103" s="107"/>
      <c r="L103" s="148">
        <v>43483</v>
      </c>
      <c r="M103" s="107">
        <v>402.15</v>
      </c>
      <c r="N103" s="107">
        <v>406.8</v>
      </c>
      <c r="O103" s="107">
        <v>391.2</v>
      </c>
      <c r="P103" s="107">
        <v>395</v>
      </c>
      <c r="Q103" s="107">
        <v>402.15</v>
      </c>
      <c r="R103">
        <v>39662</v>
      </c>
    </row>
    <row r="104" spans="1:18" x14ac:dyDescent="0.25">
      <c r="A104" s="148">
        <v>43486</v>
      </c>
      <c r="B104" s="107">
        <v>404</v>
      </c>
      <c r="C104" s="107">
        <v>400.65</v>
      </c>
      <c r="D104" s="107">
        <v>396.35</v>
      </c>
      <c r="E104" s="107">
        <v>396.35</v>
      </c>
      <c r="F104" s="107">
        <v>400.65</v>
      </c>
      <c r="G104">
        <v>26138</v>
      </c>
      <c r="H104" s="107"/>
      <c r="I104" s="107"/>
      <c r="L104" s="148">
        <v>43486</v>
      </c>
      <c r="M104" s="107">
        <v>398.4</v>
      </c>
      <c r="N104" s="107">
        <v>403</v>
      </c>
      <c r="O104" s="107">
        <v>393.6</v>
      </c>
      <c r="P104" s="107">
        <v>401</v>
      </c>
      <c r="Q104" s="107">
        <v>398.4</v>
      </c>
      <c r="R104">
        <v>21948</v>
      </c>
    </row>
    <row r="105" spans="1:18" x14ac:dyDescent="0.25">
      <c r="A105" s="148">
        <v>43487</v>
      </c>
      <c r="B105" s="107">
        <v>405</v>
      </c>
      <c r="C105" s="107">
        <v>398.7</v>
      </c>
      <c r="D105" s="107">
        <v>386</v>
      </c>
      <c r="E105" s="107">
        <v>392.25</v>
      </c>
      <c r="F105" s="107">
        <v>398.7</v>
      </c>
      <c r="G105">
        <v>4175</v>
      </c>
      <c r="H105" s="107"/>
      <c r="I105" s="107"/>
      <c r="L105" s="148">
        <v>43487</v>
      </c>
      <c r="M105" s="107">
        <v>402.2</v>
      </c>
      <c r="N105" s="107">
        <v>407.3</v>
      </c>
      <c r="O105" s="107">
        <v>393</v>
      </c>
      <c r="P105" s="107">
        <v>399.95</v>
      </c>
      <c r="Q105" s="107">
        <v>402.2</v>
      </c>
      <c r="R105">
        <v>42155</v>
      </c>
    </row>
    <row r="106" spans="1:18" x14ac:dyDescent="0.25">
      <c r="A106" s="148">
        <v>43488</v>
      </c>
      <c r="B106" s="107">
        <v>404.9</v>
      </c>
      <c r="C106" s="107">
        <v>393.1</v>
      </c>
      <c r="D106" s="107">
        <v>388.5</v>
      </c>
      <c r="E106" s="107">
        <v>395.65</v>
      </c>
      <c r="F106" s="107">
        <v>393.1</v>
      </c>
      <c r="G106">
        <v>2697</v>
      </c>
      <c r="H106" s="107"/>
      <c r="I106" s="107"/>
      <c r="L106" s="148">
        <v>43488</v>
      </c>
      <c r="M106" s="107">
        <v>392.3</v>
      </c>
      <c r="N106" s="107">
        <v>404.9</v>
      </c>
      <c r="O106" s="107">
        <v>386.6</v>
      </c>
      <c r="P106" s="107">
        <v>399.3</v>
      </c>
      <c r="Q106" s="107">
        <v>392.3</v>
      </c>
      <c r="R106">
        <v>30192</v>
      </c>
    </row>
    <row r="107" spans="1:18" x14ac:dyDescent="0.25">
      <c r="A107" s="148">
        <v>43489</v>
      </c>
      <c r="B107" s="107">
        <v>396.2</v>
      </c>
      <c r="C107" s="107">
        <v>390.1</v>
      </c>
      <c r="D107" s="107">
        <v>386</v>
      </c>
      <c r="E107" s="107">
        <v>393.5</v>
      </c>
      <c r="F107" s="107">
        <v>390.1</v>
      </c>
      <c r="G107">
        <v>1708</v>
      </c>
      <c r="H107" s="107"/>
      <c r="I107" s="107"/>
      <c r="L107" s="148">
        <v>43489</v>
      </c>
      <c r="M107" s="107">
        <v>389.8</v>
      </c>
      <c r="N107" s="107">
        <v>396.9</v>
      </c>
      <c r="O107" s="107">
        <v>387.95</v>
      </c>
      <c r="P107" s="107">
        <v>387.95</v>
      </c>
      <c r="Q107" s="107">
        <v>389.8</v>
      </c>
      <c r="R107">
        <v>22416</v>
      </c>
    </row>
    <row r="108" spans="1:18" x14ac:dyDescent="0.25">
      <c r="A108" s="148">
        <v>43490</v>
      </c>
      <c r="B108" s="107">
        <v>392.85</v>
      </c>
      <c r="C108" s="107">
        <v>384.3</v>
      </c>
      <c r="D108" s="107">
        <v>383.6</v>
      </c>
      <c r="E108" s="107">
        <v>391.9</v>
      </c>
      <c r="F108" s="107">
        <v>384.3</v>
      </c>
      <c r="G108">
        <v>1206</v>
      </c>
      <c r="H108" s="107"/>
      <c r="I108" s="107"/>
      <c r="L108" s="148">
        <v>43490</v>
      </c>
      <c r="M108" s="107">
        <v>383.05</v>
      </c>
      <c r="N108" s="107">
        <v>394.55</v>
      </c>
      <c r="O108" s="107">
        <v>382.1</v>
      </c>
      <c r="P108" s="107">
        <v>388</v>
      </c>
      <c r="Q108" s="107">
        <v>383.05</v>
      </c>
      <c r="R108">
        <v>32111</v>
      </c>
    </row>
    <row r="109" spans="1:18" x14ac:dyDescent="0.25">
      <c r="A109" s="148">
        <v>43493</v>
      </c>
      <c r="B109" s="107">
        <v>386.85</v>
      </c>
      <c r="C109" s="107">
        <v>372.45</v>
      </c>
      <c r="D109" s="107">
        <v>370</v>
      </c>
      <c r="E109" s="107">
        <v>385</v>
      </c>
      <c r="F109" s="107">
        <v>372.45</v>
      </c>
      <c r="G109">
        <v>4459</v>
      </c>
      <c r="H109" s="107"/>
      <c r="I109" s="107"/>
      <c r="L109" s="148">
        <v>43493</v>
      </c>
      <c r="M109" s="107">
        <v>373.3</v>
      </c>
      <c r="N109" s="107">
        <v>387</v>
      </c>
      <c r="O109" s="107">
        <v>370.05</v>
      </c>
      <c r="P109" s="107">
        <v>386</v>
      </c>
      <c r="Q109" s="107">
        <v>373.3</v>
      </c>
      <c r="R109">
        <v>17895</v>
      </c>
    </row>
    <row r="110" spans="1:18" x14ac:dyDescent="0.25">
      <c r="A110" s="148">
        <v>43494</v>
      </c>
      <c r="B110" s="107">
        <v>376.55</v>
      </c>
      <c r="C110" s="107">
        <v>373.1</v>
      </c>
      <c r="D110" s="107">
        <v>366.45</v>
      </c>
      <c r="E110" s="107">
        <v>370</v>
      </c>
      <c r="F110" s="107">
        <v>373.1</v>
      </c>
      <c r="G110">
        <v>5007</v>
      </c>
      <c r="H110" s="107"/>
      <c r="I110" s="107"/>
      <c r="L110" s="148">
        <v>43494</v>
      </c>
      <c r="M110" s="107">
        <v>373.3</v>
      </c>
      <c r="N110" s="107">
        <v>376.3</v>
      </c>
      <c r="O110" s="107">
        <v>370</v>
      </c>
      <c r="P110" s="107">
        <v>373</v>
      </c>
      <c r="Q110" s="107">
        <v>373.3</v>
      </c>
      <c r="R110">
        <v>22024</v>
      </c>
    </row>
    <row r="111" spans="1:18" x14ac:dyDescent="0.25">
      <c r="A111" s="148">
        <v>43495</v>
      </c>
      <c r="B111" s="107">
        <v>393</v>
      </c>
      <c r="C111" s="107">
        <v>386.55</v>
      </c>
      <c r="D111" s="107">
        <v>374.1</v>
      </c>
      <c r="E111" s="107">
        <v>375</v>
      </c>
      <c r="F111" s="107">
        <v>386.55</v>
      </c>
      <c r="G111">
        <v>4464</v>
      </c>
      <c r="H111" s="107"/>
      <c r="I111" s="107"/>
      <c r="L111" s="148">
        <v>43495</v>
      </c>
      <c r="M111" s="107">
        <v>384.25</v>
      </c>
      <c r="N111" s="107">
        <v>388.4</v>
      </c>
      <c r="O111" s="107">
        <v>370.4</v>
      </c>
      <c r="P111" s="107">
        <v>381</v>
      </c>
      <c r="Q111" s="107">
        <v>384.25</v>
      </c>
      <c r="R111">
        <v>21578</v>
      </c>
    </row>
    <row r="112" spans="1:18" x14ac:dyDescent="0.25">
      <c r="A112" s="148">
        <v>43496</v>
      </c>
      <c r="B112" s="107">
        <v>398</v>
      </c>
      <c r="C112" s="107">
        <v>395.55</v>
      </c>
      <c r="D112" s="107">
        <v>384</v>
      </c>
      <c r="E112" s="107">
        <v>384</v>
      </c>
      <c r="F112" s="107">
        <v>395.55</v>
      </c>
      <c r="G112">
        <v>4933</v>
      </c>
      <c r="H112" s="107"/>
      <c r="I112" s="107"/>
      <c r="L112" s="148">
        <v>43496</v>
      </c>
      <c r="M112" s="107">
        <v>394.55</v>
      </c>
      <c r="N112" s="107">
        <v>398.4</v>
      </c>
      <c r="O112" s="107">
        <v>382.55</v>
      </c>
      <c r="P112" s="107">
        <v>390</v>
      </c>
      <c r="Q112" s="107">
        <v>394.55</v>
      </c>
      <c r="R112">
        <v>45829</v>
      </c>
    </row>
    <row r="113" spans="1:18" x14ac:dyDescent="0.25">
      <c r="A113" s="148">
        <v>43497</v>
      </c>
      <c r="B113" s="107">
        <v>407.1</v>
      </c>
      <c r="C113" s="107">
        <v>405.6</v>
      </c>
      <c r="D113" s="107">
        <v>395.05</v>
      </c>
      <c r="E113" s="107">
        <v>399.9</v>
      </c>
      <c r="F113" s="107">
        <v>405.6</v>
      </c>
      <c r="G113">
        <v>10018</v>
      </c>
      <c r="H113" s="107"/>
      <c r="I113" s="107"/>
      <c r="L113" s="148">
        <v>43497</v>
      </c>
      <c r="M113" s="107">
        <v>407.3</v>
      </c>
      <c r="N113" s="107">
        <v>410</v>
      </c>
      <c r="O113" s="107">
        <v>395.5</v>
      </c>
      <c r="P113" s="107">
        <v>398</v>
      </c>
      <c r="Q113" s="107">
        <v>407.3</v>
      </c>
      <c r="R113">
        <v>96991</v>
      </c>
    </row>
    <row r="114" spans="1:18" x14ac:dyDescent="0.25">
      <c r="A114" s="148">
        <v>43500</v>
      </c>
      <c r="B114" s="107">
        <v>409.9</v>
      </c>
      <c r="C114" s="107">
        <v>403.75</v>
      </c>
      <c r="D114" s="107">
        <v>389.15</v>
      </c>
      <c r="E114" s="107">
        <v>405.2</v>
      </c>
      <c r="F114" s="107">
        <v>403.75</v>
      </c>
      <c r="G114">
        <v>8747</v>
      </c>
      <c r="H114" s="107"/>
      <c r="I114" s="107"/>
      <c r="L114" s="148">
        <v>43500</v>
      </c>
      <c r="M114" s="107">
        <v>403.7</v>
      </c>
      <c r="N114" s="107">
        <v>410</v>
      </c>
      <c r="O114" s="107">
        <v>329.9</v>
      </c>
      <c r="P114" s="107">
        <v>395.65</v>
      </c>
      <c r="Q114" s="107">
        <v>403.7</v>
      </c>
      <c r="R114">
        <v>121090</v>
      </c>
    </row>
    <row r="115" spans="1:18" x14ac:dyDescent="0.25">
      <c r="A115" s="148">
        <v>43501</v>
      </c>
      <c r="B115" s="107">
        <v>407</v>
      </c>
      <c r="C115" s="107">
        <v>395.65</v>
      </c>
      <c r="D115" s="107">
        <v>394.05</v>
      </c>
      <c r="E115" s="107">
        <v>399</v>
      </c>
      <c r="F115" s="107">
        <v>395.65</v>
      </c>
      <c r="G115">
        <v>5813</v>
      </c>
      <c r="H115" s="107"/>
      <c r="I115" s="107"/>
      <c r="L115" s="148">
        <v>43501</v>
      </c>
      <c r="M115" s="107">
        <v>402.5</v>
      </c>
      <c r="N115" s="107">
        <v>407.8</v>
      </c>
      <c r="O115" s="107">
        <v>395</v>
      </c>
      <c r="P115" s="107">
        <v>395</v>
      </c>
      <c r="Q115" s="107">
        <v>402.5</v>
      </c>
      <c r="R115">
        <v>56718</v>
      </c>
    </row>
    <row r="116" spans="1:18" x14ac:dyDescent="0.25">
      <c r="A116" s="148">
        <v>43502</v>
      </c>
      <c r="B116" s="107">
        <v>403</v>
      </c>
      <c r="C116" s="107">
        <v>398.25</v>
      </c>
      <c r="D116" s="107">
        <v>394</v>
      </c>
      <c r="E116" s="107">
        <v>401.85</v>
      </c>
      <c r="F116" s="107">
        <v>398.25</v>
      </c>
      <c r="G116">
        <v>8741</v>
      </c>
      <c r="H116" s="107"/>
      <c r="I116" s="107"/>
      <c r="L116" s="148">
        <v>43502</v>
      </c>
      <c r="M116" s="107">
        <v>403.05</v>
      </c>
      <c r="N116" s="107">
        <v>404.8</v>
      </c>
      <c r="O116" s="107">
        <v>394.4</v>
      </c>
      <c r="P116" s="107">
        <v>401</v>
      </c>
      <c r="Q116" s="107">
        <v>403.05</v>
      </c>
      <c r="R116">
        <v>38297</v>
      </c>
    </row>
    <row r="117" spans="1:18" x14ac:dyDescent="0.25">
      <c r="A117" s="148">
        <v>43503</v>
      </c>
      <c r="B117" s="107">
        <v>406.5</v>
      </c>
      <c r="C117" s="107">
        <v>399.05</v>
      </c>
      <c r="D117" s="107">
        <v>393.1</v>
      </c>
      <c r="E117" s="107">
        <v>400</v>
      </c>
      <c r="F117" s="107">
        <v>399.05</v>
      </c>
      <c r="G117">
        <v>5836</v>
      </c>
      <c r="H117" s="107"/>
      <c r="I117" s="107"/>
      <c r="L117" s="148">
        <v>43503</v>
      </c>
      <c r="M117" s="107">
        <v>400.55</v>
      </c>
      <c r="N117" s="107">
        <v>407.95</v>
      </c>
      <c r="O117" s="107">
        <v>396.65</v>
      </c>
      <c r="P117" s="107">
        <v>397</v>
      </c>
      <c r="Q117" s="107">
        <v>400.55</v>
      </c>
      <c r="R117">
        <v>34574</v>
      </c>
    </row>
    <row r="118" spans="1:18" x14ac:dyDescent="0.25">
      <c r="A118" s="148">
        <v>43504</v>
      </c>
      <c r="B118" s="107">
        <v>401.15</v>
      </c>
      <c r="C118" s="107">
        <v>375.4</v>
      </c>
      <c r="D118" s="107">
        <v>370.05</v>
      </c>
      <c r="E118" s="107">
        <v>399</v>
      </c>
      <c r="F118" s="107">
        <v>375.4</v>
      </c>
      <c r="G118">
        <v>5210</v>
      </c>
      <c r="H118" s="107"/>
      <c r="I118" s="107"/>
      <c r="L118" s="148">
        <v>43504</v>
      </c>
      <c r="M118" s="107">
        <v>368.5</v>
      </c>
      <c r="N118" s="107">
        <v>403.6</v>
      </c>
      <c r="O118" s="107">
        <v>341.05</v>
      </c>
      <c r="P118" s="107">
        <v>397</v>
      </c>
      <c r="Q118" s="107">
        <v>368.5</v>
      </c>
      <c r="R118">
        <v>69223</v>
      </c>
    </row>
    <row r="119" spans="1:18" x14ac:dyDescent="0.25">
      <c r="A119" s="148">
        <v>43507</v>
      </c>
      <c r="B119" s="107">
        <v>379.05</v>
      </c>
      <c r="C119" s="107">
        <v>373.4</v>
      </c>
      <c r="D119" s="107">
        <v>350.1</v>
      </c>
      <c r="E119" s="107">
        <v>370</v>
      </c>
      <c r="F119" s="107">
        <v>373.4</v>
      </c>
      <c r="G119">
        <v>13923</v>
      </c>
      <c r="H119" s="107"/>
      <c r="I119" s="107"/>
      <c r="L119" s="148">
        <v>43507</v>
      </c>
      <c r="M119" s="107">
        <v>375.8</v>
      </c>
      <c r="N119" s="107">
        <v>380</v>
      </c>
      <c r="O119" s="107">
        <v>356.65</v>
      </c>
      <c r="P119" s="107">
        <v>361.2</v>
      </c>
      <c r="Q119" s="107">
        <v>375.8</v>
      </c>
      <c r="R119">
        <v>58308</v>
      </c>
    </row>
    <row r="120" spans="1:18" x14ac:dyDescent="0.25">
      <c r="A120" s="148">
        <v>43508</v>
      </c>
      <c r="B120" s="107">
        <v>386.8</v>
      </c>
      <c r="C120" s="107">
        <v>384.75</v>
      </c>
      <c r="D120" s="107">
        <v>364</v>
      </c>
      <c r="E120" s="107">
        <v>365.05</v>
      </c>
      <c r="F120" s="107">
        <v>384.75</v>
      </c>
      <c r="G120">
        <v>3853</v>
      </c>
      <c r="H120" s="107"/>
      <c r="I120" s="107"/>
      <c r="L120" s="148">
        <v>43508</v>
      </c>
      <c r="M120" s="107">
        <v>384.65</v>
      </c>
      <c r="N120" s="107">
        <v>387.3</v>
      </c>
      <c r="O120" s="107">
        <v>362.1</v>
      </c>
      <c r="P120" s="107">
        <v>366</v>
      </c>
      <c r="Q120" s="107">
        <v>384.65</v>
      </c>
      <c r="R120">
        <v>22478</v>
      </c>
    </row>
    <row r="121" spans="1:18" x14ac:dyDescent="0.25">
      <c r="A121" s="148">
        <v>43509</v>
      </c>
      <c r="B121" s="107">
        <v>389.7</v>
      </c>
      <c r="C121" s="107">
        <v>386.55</v>
      </c>
      <c r="D121" s="107">
        <v>381.4</v>
      </c>
      <c r="E121" s="107">
        <v>381.4</v>
      </c>
      <c r="F121" s="107">
        <v>386.55</v>
      </c>
      <c r="G121">
        <v>1994</v>
      </c>
      <c r="H121" s="107"/>
      <c r="I121" s="107"/>
      <c r="L121" s="148">
        <v>43509</v>
      </c>
      <c r="M121" s="107">
        <v>388.55</v>
      </c>
      <c r="N121" s="107">
        <v>390</v>
      </c>
      <c r="O121" s="107">
        <v>383</v>
      </c>
      <c r="P121" s="107">
        <v>383</v>
      </c>
      <c r="Q121" s="107">
        <v>388.55</v>
      </c>
      <c r="R121">
        <v>22078</v>
      </c>
    </row>
    <row r="122" spans="1:18" x14ac:dyDescent="0.25">
      <c r="A122" s="148">
        <v>43510</v>
      </c>
      <c r="B122" s="107">
        <v>398.2</v>
      </c>
      <c r="C122" s="107">
        <v>394.8</v>
      </c>
      <c r="D122" s="107">
        <v>388</v>
      </c>
      <c r="E122" s="107">
        <v>390</v>
      </c>
      <c r="F122" s="107">
        <v>394.8</v>
      </c>
      <c r="G122">
        <v>3680</v>
      </c>
      <c r="H122" s="107"/>
      <c r="I122" s="107"/>
      <c r="L122" s="148">
        <v>43510</v>
      </c>
      <c r="M122" s="107">
        <v>395.5</v>
      </c>
      <c r="N122" s="107">
        <v>398.55</v>
      </c>
      <c r="O122" s="107">
        <v>383.5</v>
      </c>
      <c r="P122" s="107">
        <v>388.5</v>
      </c>
      <c r="Q122" s="107">
        <v>395.5</v>
      </c>
      <c r="R122">
        <v>44674</v>
      </c>
    </row>
    <row r="123" spans="1:18" x14ac:dyDescent="0.25">
      <c r="A123" s="148">
        <v>43511</v>
      </c>
      <c r="B123" s="107">
        <v>404</v>
      </c>
      <c r="C123" s="107">
        <v>398.75</v>
      </c>
      <c r="D123" s="107">
        <v>398</v>
      </c>
      <c r="E123" s="107">
        <v>398</v>
      </c>
      <c r="F123" s="107">
        <v>398.75</v>
      </c>
      <c r="G123">
        <v>7102</v>
      </c>
      <c r="H123" s="107"/>
      <c r="I123" s="107"/>
      <c r="L123" s="148">
        <v>43511</v>
      </c>
      <c r="M123" s="107">
        <v>398.95</v>
      </c>
      <c r="N123" s="107">
        <v>404</v>
      </c>
      <c r="O123" s="107">
        <v>393.95</v>
      </c>
      <c r="P123" s="107">
        <v>393.95</v>
      </c>
      <c r="Q123" s="107">
        <v>398.95</v>
      </c>
      <c r="R123">
        <v>41075</v>
      </c>
    </row>
    <row r="124" spans="1:18" x14ac:dyDescent="0.25">
      <c r="A124" s="148">
        <v>43514</v>
      </c>
      <c r="B124" s="107">
        <v>403</v>
      </c>
      <c r="C124" s="107">
        <v>397.2</v>
      </c>
      <c r="D124" s="107">
        <v>395</v>
      </c>
      <c r="E124" s="107">
        <v>399.9</v>
      </c>
      <c r="F124" s="107">
        <v>397.2</v>
      </c>
      <c r="G124">
        <v>2974</v>
      </c>
      <c r="H124" s="107"/>
      <c r="I124" s="107"/>
      <c r="L124" s="148">
        <v>43514</v>
      </c>
      <c r="M124" s="107">
        <v>397.9</v>
      </c>
      <c r="N124" s="107">
        <v>403.95</v>
      </c>
      <c r="O124" s="107">
        <v>395</v>
      </c>
      <c r="P124" s="107">
        <v>398.5</v>
      </c>
      <c r="Q124" s="107">
        <v>397.9</v>
      </c>
      <c r="R124">
        <v>39532</v>
      </c>
    </row>
    <row r="125" spans="1:18" x14ac:dyDescent="0.25">
      <c r="A125" s="148">
        <v>43515</v>
      </c>
      <c r="B125" s="107">
        <v>402.25</v>
      </c>
      <c r="C125" s="107">
        <v>391.65</v>
      </c>
      <c r="D125" s="107">
        <v>387</v>
      </c>
      <c r="E125" s="107">
        <v>399.9</v>
      </c>
      <c r="F125" s="107">
        <v>391.65</v>
      </c>
      <c r="G125">
        <v>2936</v>
      </c>
      <c r="H125" s="107"/>
      <c r="I125" s="107"/>
      <c r="L125" s="148">
        <v>43515</v>
      </c>
      <c r="M125" s="107">
        <v>391.7</v>
      </c>
      <c r="N125" s="107">
        <v>402.55</v>
      </c>
      <c r="O125" s="107">
        <v>390</v>
      </c>
      <c r="P125" s="107">
        <v>394.4</v>
      </c>
      <c r="Q125" s="107">
        <v>391.7</v>
      </c>
      <c r="R125">
        <v>23587</v>
      </c>
    </row>
    <row r="126" spans="1:18" x14ac:dyDescent="0.25">
      <c r="A126" s="148">
        <v>43516</v>
      </c>
      <c r="B126" s="107">
        <v>404.8</v>
      </c>
      <c r="C126" s="107">
        <v>401.3</v>
      </c>
      <c r="D126" s="107">
        <v>394.6</v>
      </c>
      <c r="E126" s="107">
        <v>395.45</v>
      </c>
      <c r="F126" s="107">
        <v>401.3</v>
      </c>
      <c r="G126">
        <v>6644</v>
      </c>
      <c r="H126" s="107"/>
      <c r="I126" s="107"/>
      <c r="L126" s="148">
        <v>43516</v>
      </c>
      <c r="M126" s="107">
        <v>401</v>
      </c>
      <c r="N126" s="107">
        <v>404.95</v>
      </c>
      <c r="O126" s="107">
        <v>393.95</v>
      </c>
      <c r="P126" s="107">
        <v>393.95</v>
      </c>
      <c r="Q126" s="107">
        <v>401</v>
      </c>
      <c r="R126">
        <v>40967</v>
      </c>
    </row>
    <row r="127" spans="1:18" x14ac:dyDescent="0.25">
      <c r="A127" s="148">
        <v>43517</v>
      </c>
      <c r="B127" s="107">
        <v>409.5</v>
      </c>
      <c r="C127" s="107">
        <v>405.35</v>
      </c>
      <c r="D127" s="107">
        <v>401.2</v>
      </c>
      <c r="E127" s="107">
        <v>403</v>
      </c>
      <c r="F127" s="107">
        <v>405.35</v>
      </c>
      <c r="G127">
        <v>8722</v>
      </c>
      <c r="H127" s="107"/>
      <c r="I127" s="107"/>
      <c r="L127" s="148">
        <v>43517</v>
      </c>
      <c r="M127" s="107">
        <v>405</v>
      </c>
      <c r="N127" s="107">
        <v>409.5</v>
      </c>
      <c r="O127" s="107">
        <v>401</v>
      </c>
      <c r="P127" s="107">
        <v>401.5</v>
      </c>
      <c r="Q127" s="107">
        <v>405</v>
      </c>
      <c r="R127">
        <v>77722</v>
      </c>
    </row>
    <row r="128" spans="1:18" x14ac:dyDescent="0.25">
      <c r="A128" s="148">
        <v>43518</v>
      </c>
      <c r="B128" s="107">
        <v>406.95</v>
      </c>
      <c r="C128" s="107">
        <v>401.85</v>
      </c>
      <c r="D128" s="107">
        <v>398.05</v>
      </c>
      <c r="E128" s="107">
        <v>398.05</v>
      </c>
      <c r="F128" s="107">
        <v>401.85</v>
      </c>
      <c r="G128">
        <v>4882</v>
      </c>
      <c r="H128" s="107"/>
      <c r="I128" s="107"/>
      <c r="L128" s="148">
        <v>43518</v>
      </c>
      <c r="M128" s="107">
        <v>401.2</v>
      </c>
      <c r="N128" s="107">
        <v>407.85</v>
      </c>
      <c r="O128" s="107">
        <v>398.05</v>
      </c>
      <c r="P128" s="107">
        <v>399.95</v>
      </c>
      <c r="Q128" s="107">
        <v>401.2</v>
      </c>
      <c r="R128">
        <v>29277</v>
      </c>
    </row>
    <row r="129" spans="1:18" x14ac:dyDescent="0.25">
      <c r="A129" s="148">
        <v>43521</v>
      </c>
      <c r="B129" s="107">
        <v>406.8</v>
      </c>
      <c r="C129" s="107">
        <v>402.65</v>
      </c>
      <c r="D129" s="107">
        <v>401.45</v>
      </c>
      <c r="E129" s="107">
        <v>404.8</v>
      </c>
      <c r="F129" s="107">
        <v>402.65</v>
      </c>
      <c r="G129">
        <v>2570</v>
      </c>
      <c r="H129" s="107"/>
      <c r="I129" s="107"/>
      <c r="L129" s="148">
        <v>43521</v>
      </c>
      <c r="M129" s="107">
        <v>402.5</v>
      </c>
      <c r="N129" s="107">
        <v>407.8</v>
      </c>
      <c r="O129" s="107">
        <v>401.2</v>
      </c>
      <c r="P129" s="107">
        <v>401.2</v>
      </c>
      <c r="Q129" s="107">
        <v>402.5</v>
      </c>
      <c r="R129">
        <v>18503</v>
      </c>
    </row>
    <row r="130" spans="1:18" x14ac:dyDescent="0.25">
      <c r="A130" s="148">
        <v>43522</v>
      </c>
      <c r="B130" s="107">
        <v>419.8</v>
      </c>
      <c r="C130" s="107">
        <v>411.35</v>
      </c>
      <c r="D130" s="107">
        <v>392.4</v>
      </c>
      <c r="E130" s="107">
        <v>402</v>
      </c>
      <c r="F130" s="107">
        <v>411.35</v>
      </c>
      <c r="G130">
        <v>24460</v>
      </c>
      <c r="H130" s="107"/>
      <c r="I130" s="107"/>
      <c r="L130" s="148">
        <v>43522</v>
      </c>
      <c r="M130" s="107">
        <v>410.7</v>
      </c>
      <c r="N130" s="107">
        <v>417.45</v>
      </c>
      <c r="O130" s="107">
        <v>385</v>
      </c>
      <c r="P130" s="107">
        <v>397</v>
      </c>
      <c r="Q130" s="107">
        <v>410.7</v>
      </c>
      <c r="R130">
        <v>94733</v>
      </c>
    </row>
    <row r="131" spans="1:18" x14ac:dyDescent="0.25">
      <c r="A131" s="148">
        <v>43523</v>
      </c>
      <c r="B131" s="107">
        <v>419</v>
      </c>
      <c r="C131" s="107">
        <v>406.9</v>
      </c>
      <c r="D131" s="107">
        <v>403.65</v>
      </c>
      <c r="E131" s="107">
        <v>415</v>
      </c>
      <c r="F131" s="107">
        <v>406.9</v>
      </c>
      <c r="G131">
        <v>11524</v>
      </c>
      <c r="H131" s="107"/>
      <c r="I131" s="107"/>
      <c r="L131" s="148">
        <v>43523</v>
      </c>
      <c r="M131" s="107">
        <v>409.25</v>
      </c>
      <c r="N131" s="107">
        <v>420</v>
      </c>
      <c r="O131" s="107">
        <v>402.05</v>
      </c>
      <c r="P131" s="107">
        <v>411</v>
      </c>
      <c r="Q131" s="107">
        <v>409.25</v>
      </c>
      <c r="R131">
        <v>80608</v>
      </c>
    </row>
    <row r="132" spans="1:18" x14ac:dyDescent="0.25">
      <c r="A132" s="148">
        <v>43524</v>
      </c>
      <c r="B132" s="107">
        <v>416.25</v>
      </c>
      <c r="C132" s="107">
        <v>411.5</v>
      </c>
      <c r="D132" s="107">
        <v>410.4</v>
      </c>
      <c r="E132" s="107">
        <v>411</v>
      </c>
      <c r="F132" s="107">
        <v>411.5</v>
      </c>
      <c r="G132">
        <v>4748</v>
      </c>
      <c r="H132" s="107"/>
      <c r="I132" s="107"/>
      <c r="L132" s="148">
        <v>43524</v>
      </c>
      <c r="M132" s="107">
        <v>416.55</v>
      </c>
      <c r="N132" s="107">
        <v>418.3</v>
      </c>
      <c r="O132" s="107">
        <v>403.2</v>
      </c>
      <c r="P132" s="107">
        <v>409.25</v>
      </c>
      <c r="Q132" s="107">
        <v>416.55</v>
      </c>
      <c r="R132">
        <v>54081</v>
      </c>
    </row>
    <row r="133" spans="1:18" x14ac:dyDescent="0.25">
      <c r="A133" s="148">
        <v>43525</v>
      </c>
      <c r="B133" s="107">
        <v>444</v>
      </c>
      <c r="C133" s="107">
        <v>439.1</v>
      </c>
      <c r="D133" s="107">
        <v>413</v>
      </c>
      <c r="E133" s="107">
        <v>413</v>
      </c>
      <c r="F133" s="107">
        <v>439.1</v>
      </c>
      <c r="G133">
        <v>73109</v>
      </c>
      <c r="H133" s="107"/>
      <c r="I133" s="107"/>
      <c r="L133" s="148">
        <v>43525</v>
      </c>
      <c r="M133" s="107">
        <v>440.1</v>
      </c>
      <c r="N133" s="107">
        <v>444.95</v>
      </c>
      <c r="O133" s="107">
        <v>412</v>
      </c>
      <c r="P133" s="107">
        <v>412</v>
      </c>
      <c r="Q133" s="107">
        <v>440.1</v>
      </c>
      <c r="R133">
        <v>602760</v>
      </c>
    </row>
    <row r="134" spans="1:18" x14ac:dyDescent="0.25">
      <c r="A134" s="148">
        <v>43529</v>
      </c>
      <c r="B134" s="107">
        <v>470.9</v>
      </c>
      <c r="C134" s="107">
        <v>465.75</v>
      </c>
      <c r="D134" s="107">
        <v>435.95</v>
      </c>
      <c r="E134" s="107">
        <v>438.9</v>
      </c>
      <c r="F134" s="107">
        <v>465.75</v>
      </c>
      <c r="G134">
        <v>80507</v>
      </c>
      <c r="H134" s="107"/>
      <c r="I134" s="107"/>
      <c r="L134" s="148">
        <v>43529</v>
      </c>
      <c r="M134" s="107">
        <v>466.2</v>
      </c>
      <c r="N134" s="107">
        <v>471.8</v>
      </c>
      <c r="O134" s="107">
        <v>435</v>
      </c>
      <c r="P134" s="107">
        <v>435</v>
      </c>
      <c r="Q134" s="107">
        <v>466.2</v>
      </c>
      <c r="R134">
        <v>547039</v>
      </c>
    </row>
    <row r="135" spans="1:18" x14ac:dyDescent="0.25">
      <c r="A135" s="148">
        <v>43530</v>
      </c>
      <c r="B135" s="107">
        <v>485.95</v>
      </c>
      <c r="C135" s="107">
        <v>472.95</v>
      </c>
      <c r="D135" s="107">
        <v>460.6</v>
      </c>
      <c r="E135" s="107">
        <v>465</v>
      </c>
      <c r="F135" s="107">
        <v>472.95</v>
      </c>
      <c r="G135">
        <v>41560</v>
      </c>
      <c r="H135" s="107"/>
      <c r="I135" s="107"/>
      <c r="L135" s="148">
        <v>43530</v>
      </c>
      <c r="M135" s="107">
        <v>475.6</v>
      </c>
      <c r="N135" s="107">
        <v>487.4</v>
      </c>
      <c r="O135" s="107">
        <v>462.5</v>
      </c>
      <c r="P135" s="107">
        <v>468</v>
      </c>
      <c r="Q135" s="107">
        <v>475.6</v>
      </c>
      <c r="R135">
        <v>283975</v>
      </c>
    </row>
    <row r="136" spans="1:18" x14ac:dyDescent="0.25">
      <c r="A136" s="148">
        <v>43531</v>
      </c>
      <c r="B136" s="107">
        <v>476.8</v>
      </c>
      <c r="C136" s="107">
        <v>468.1</v>
      </c>
      <c r="D136" s="107">
        <v>460</v>
      </c>
      <c r="E136" s="107">
        <v>472</v>
      </c>
      <c r="F136" s="107">
        <v>468.1</v>
      </c>
      <c r="G136">
        <v>11557</v>
      </c>
      <c r="H136" s="107"/>
      <c r="I136" s="107"/>
      <c r="L136" s="148">
        <v>43531</v>
      </c>
      <c r="M136" s="107">
        <v>474.15</v>
      </c>
      <c r="N136" s="107">
        <v>480</v>
      </c>
      <c r="O136" s="107">
        <v>460.85</v>
      </c>
      <c r="P136" s="107">
        <v>474</v>
      </c>
      <c r="Q136" s="107">
        <v>474.15</v>
      </c>
      <c r="R136">
        <v>107099</v>
      </c>
    </row>
    <row r="137" spans="1:18" x14ac:dyDescent="0.25">
      <c r="A137" s="148">
        <v>43532</v>
      </c>
      <c r="B137" s="107">
        <v>478</v>
      </c>
      <c r="C137" s="107">
        <v>470.1</v>
      </c>
      <c r="D137" s="107">
        <v>465</v>
      </c>
      <c r="E137" s="107">
        <v>465</v>
      </c>
      <c r="F137" s="107">
        <v>470.1</v>
      </c>
      <c r="G137">
        <v>12186</v>
      </c>
      <c r="H137" s="107"/>
      <c r="I137" s="107"/>
      <c r="L137" s="148">
        <v>43532</v>
      </c>
      <c r="M137" s="107">
        <v>475.15</v>
      </c>
      <c r="N137" s="107">
        <v>481.15</v>
      </c>
      <c r="O137" s="107">
        <v>464</v>
      </c>
      <c r="P137" s="107">
        <v>464</v>
      </c>
      <c r="Q137" s="107">
        <v>475.15</v>
      </c>
      <c r="R137">
        <v>156069</v>
      </c>
    </row>
    <row r="138" spans="1:18" x14ac:dyDescent="0.25">
      <c r="A138" s="148">
        <v>43535</v>
      </c>
      <c r="B138" s="107">
        <v>499</v>
      </c>
      <c r="C138" s="107">
        <v>494.55</v>
      </c>
      <c r="D138" s="107">
        <v>465</v>
      </c>
      <c r="E138" s="107">
        <v>466</v>
      </c>
      <c r="F138" s="107">
        <v>494.55</v>
      </c>
      <c r="G138">
        <v>34491</v>
      </c>
      <c r="H138" s="107"/>
      <c r="I138" s="107"/>
      <c r="L138" s="148">
        <v>43535</v>
      </c>
      <c r="M138" s="107">
        <v>493.75</v>
      </c>
      <c r="N138" s="107">
        <v>498</v>
      </c>
      <c r="O138" s="107">
        <v>471.7</v>
      </c>
      <c r="P138" s="107">
        <v>471.7</v>
      </c>
      <c r="Q138" s="107">
        <v>493.75</v>
      </c>
      <c r="R138">
        <v>225620</v>
      </c>
    </row>
    <row r="139" spans="1:18" x14ac:dyDescent="0.25">
      <c r="A139" s="148">
        <v>43536</v>
      </c>
      <c r="B139" s="107">
        <v>499</v>
      </c>
      <c r="C139" s="107">
        <v>479.25</v>
      </c>
      <c r="D139" s="107">
        <v>476.3</v>
      </c>
      <c r="E139" s="107">
        <v>499</v>
      </c>
      <c r="F139" s="107">
        <v>479.25</v>
      </c>
      <c r="G139">
        <v>17811</v>
      </c>
      <c r="H139" s="107"/>
      <c r="I139" s="107"/>
      <c r="L139" s="148">
        <v>43536</v>
      </c>
      <c r="M139" s="107">
        <v>480.85</v>
      </c>
      <c r="N139" s="107">
        <v>498.85</v>
      </c>
      <c r="O139" s="107">
        <v>479</v>
      </c>
      <c r="P139" s="107">
        <v>498.7</v>
      </c>
      <c r="Q139" s="107">
        <v>480.85</v>
      </c>
      <c r="R139">
        <v>126788</v>
      </c>
    </row>
    <row r="140" spans="1:18" x14ac:dyDescent="0.25">
      <c r="A140" s="148">
        <v>43537</v>
      </c>
      <c r="B140" s="107">
        <v>484.9</v>
      </c>
      <c r="C140" s="107">
        <v>475.2</v>
      </c>
      <c r="D140" s="107">
        <v>470</v>
      </c>
      <c r="E140" s="107">
        <v>479</v>
      </c>
      <c r="F140" s="107">
        <v>475.2</v>
      </c>
      <c r="G140">
        <v>13058</v>
      </c>
      <c r="H140" s="107"/>
      <c r="I140" s="107"/>
      <c r="L140" s="148">
        <v>43537</v>
      </c>
      <c r="M140" s="107">
        <v>474.3</v>
      </c>
      <c r="N140" s="107">
        <v>486.9</v>
      </c>
      <c r="O140" s="107">
        <v>470.55</v>
      </c>
      <c r="P140" s="107">
        <v>482</v>
      </c>
      <c r="Q140" s="107">
        <v>474.3</v>
      </c>
      <c r="R140">
        <v>55251</v>
      </c>
    </row>
    <row r="141" spans="1:18" x14ac:dyDescent="0.25">
      <c r="A141" s="148">
        <v>43538</v>
      </c>
      <c r="B141" s="107">
        <v>480.7</v>
      </c>
      <c r="C141" s="107">
        <v>473.05</v>
      </c>
      <c r="D141" s="107">
        <v>462.1</v>
      </c>
      <c r="E141" s="107">
        <v>474.2</v>
      </c>
      <c r="F141" s="107">
        <v>473.05</v>
      </c>
      <c r="G141">
        <v>11669</v>
      </c>
      <c r="H141" s="107"/>
      <c r="I141" s="107"/>
      <c r="L141" s="148">
        <v>43538</v>
      </c>
      <c r="M141" s="107">
        <v>471</v>
      </c>
      <c r="N141" s="107">
        <v>481.35</v>
      </c>
      <c r="O141" s="107">
        <v>462.05</v>
      </c>
      <c r="P141" s="107">
        <v>470</v>
      </c>
      <c r="Q141" s="107">
        <v>471</v>
      </c>
      <c r="R141">
        <v>419781</v>
      </c>
    </row>
    <row r="142" spans="1:18" x14ac:dyDescent="0.25">
      <c r="A142" s="148">
        <v>43539</v>
      </c>
      <c r="B142" s="107">
        <v>479</v>
      </c>
      <c r="C142" s="107">
        <v>459.25</v>
      </c>
      <c r="D142" s="107">
        <v>455.1</v>
      </c>
      <c r="E142" s="107">
        <v>470.5</v>
      </c>
      <c r="F142" s="107">
        <v>459.25</v>
      </c>
      <c r="G142">
        <v>6628</v>
      </c>
      <c r="H142" s="107"/>
      <c r="I142" s="107"/>
      <c r="L142" s="148">
        <v>43539</v>
      </c>
      <c r="M142" s="107">
        <v>461.65</v>
      </c>
      <c r="N142" s="107">
        <v>480</v>
      </c>
      <c r="O142" s="107">
        <v>455.1</v>
      </c>
      <c r="P142" s="107">
        <v>462.8</v>
      </c>
      <c r="Q142" s="107">
        <v>461.65</v>
      </c>
      <c r="R142">
        <v>57094</v>
      </c>
    </row>
    <row r="143" spans="1:18" x14ac:dyDescent="0.25">
      <c r="A143" s="148">
        <v>43542</v>
      </c>
      <c r="B143" s="107">
        <v>463</v>
      </c>
      <c r="C143" s="107">
        <v>452.45</v>
      </c>
      <c r="D143" s="107">
        <v>449</v>
      </c>
      <c r="E143" s="107">
        <v>463</v>
      </c>
      <c r="F143" s="107">
        <v>452.45</v>
      </c>
      <c r="G143">
        <v>7269</v>
      </c>
      <c r="H143" s="107"/>
      <c r="I143" s="107"/>
      <c r="L143" s="148">
        <v>43542</v>
      </c>
      <c r="M143" s="107">
        <v>454.15</v>
      </c>
      <c r="N143" s="107">
        <v>465</v>
      </c>
      <c r="O143" s="107">
        <v>450.65</v>
      </c>
      <c r="P143" s="107">
        <v>456.9</v>
      </c>
      <c r="Q143" s="107">
        <v>454.15</v>
      </c>
      <c r="R143">
        <v>47856</v>
      </c>
    </row>
    <row r="144" spans="1:18" x14ac:dyDescent="0.25">
      <c r="A144" s="148">
        <v>43543</v>
      </c>
      <c r="B144" s="107">
        <v>478</v>
      </c>
      <c r="C144" s="107">
        <v>472.4</v>
      </c>
      <c r="D144" s="107">
        <v>439.2</v>
      </c>
      <c r="E144" s="107">
        <v>439.2</v>
      </c>
      <c r="F144" s="107">
        <v>472.4</v>
      </c>
      <c r="G144">
        <v>19272</v>
      </c>
      <c r="H144" s="107"/>
      <c r="I144" s="107"/>
      <c r="L144" s="148">
        <v>43543</v>
      </c>
      <c r="M144" s="107">
        <v>471.8</v>
      </c>
      <c r="N144" s="107">
        <v>477</v>
      </c>
      <c r="O144" s="107">
        <v>452.65</v>
      </c>
      <c r="P144" s="107">
        <v>452.65</v>
      </c>
      <c r="Q144" s="107">
        <v>471.8</v>
      </c>
      <c r="R144">
        <v>89684</v>
      </c>
    </row>
    <row r="145" spans="1:18" x14ac:dyDescent="0.25">
      <c r="A145" s="148">
        <v>43544</v>
      </c>
      <c r="B145" s="107">
        <v>477.9</v>
      </c>
      <c r="C145" s="107">
        <v>470.05</v>
      </c>
      <c r="D145" s="107">
        <v>467.05</v>
      </c>
      <c r="E145" s="107">
        <v>472.95</v>
      </c>
      <c r="F145" s="107">
        <v>470.05</v>
      </c>
      <c r="G145">
        <v>5873</v>
      </c>
      <c r="H145" s="107"/>
      <c r="I145" s="107"/>
      <c r="L145" s="148">
        <v>43544</v>
      </c>
      <c r="M145" s="107">
        <v>469.95</v>
      </c>
      <c r="N145" s="107">
        <v>476.5</v>
      </c>
      <c r="O145" s="107">
        <v>465.2</v>
      </c>
      <c r="P145" s="107">
        <v>474</v>
      </c>
      <c r="Q145" s="107">
        <v>469.95</v>
      </c>
      <c r="R145">
        <v>40423</v>
      </c>
    </row>
    <row r="146" spans="1:18" x14ac:dyDescent="0.25">
      <c r="A146" s="148">
        <v>43546</v>
      </c>
      <c r="B146" s="107">
        <v>488</v>
      </c>
      <c r="C146" s="107">
        <v>473.6</v>
      </c>
      <c r="D146" s="107">
        <v>471</v>
      </c>
      <c r="E146" s="107">
        <v>475</v>
      </c>
      <c r="F146" s="107">
        <v>473.6</v>
      </c>
      <c r="G146">
        <v>10568</v>
      </c>
      <c r="H146" s="107"/>
      <c r="I146" s="107"/>
      <c r="L146" s="148">
        <v>43546</v>
      </c>
      <c r="M146" s="107">
        <v>473</v>
      </c>
      <c r="N146" s="107">
        <v>487</v>
      </c>
      <c r="O146" s="107">
        <v>469.95</v>
      </c>
      <c r="P146" s="107">
        <v>469.95</v>
      </c>
      <c r="Q146" s="107">
        <v>473</v>
      </c>
      <c r="R146">
        <v>48903</v>
      </c>
    </row>
    <row r="147" spans="1:18" x14ac:dyDescent="0.25">
      <c r="A147" s="148">
        <v>43549</v>
      </c>
      <c r="B147" s="107">
        <v>474.7</v>
      </c>
      <c r="C147" s="107">
        <v>470.25</v>
      </c>
      <c r="D147" s="107">
        <v>467</v>
      </c>
      <c r="E147" s="107">
        <v>472</v>
      </c>
      <c r="F147" s="107">
        <v>470.25</v>
      </c>
      <c r="G147">
        <v>5265</v>
      </c>
      <c r="H147" s="107"/>
      <c r="I147" s="107"/>
      <c r="L147" s="148">
        <v>43549</v>
      </c>
      <c r="M147" s="107">
        <v>474.3</v>
      </c>
      <c r="N147" s="107">
        <v>477.95</v>
      </c>
      <c r="O147" s="107">
        <v>461.65</v>
      </c>
      <c r="P147" s="107">
        <v>470</v>
      </c>
      <c r="Q147" s="107">
        <v>474.3</v>
      </c>
      <c r="R147">
        <v>31834</v>
      </c>
    </row>
    <row r="148" spans="1:18" x14ac:dyDescent="0.25">
      <c r="A148" s="148">
        <v>43550</v>
      </c>
      <c r="B148" s="107">
        <v>482.85</v>
      </c>
      <c r="C148" s="107">
        <v>476.5</v>
      </c>
      <c r="D148" s="107">
        <v>473.45</v>
      </c>
      <c r="E148" s="107">
        <v>473.45</v>
      </c>
      <c r="F148" s="107">
        <v>476.5</v>
      </c>
      <c r="G148">
        <v>8463</v>
      </c>
      <c r="H148" s="107"/>
      <c r="I148" s="107"/>
      <c r="L148" s="148">
        <v>43550</v>
      </c>
      <c r="M148" s="107">
        <v>477.6</v>
      </c>
      <c r="N148" s="107">
        <v>484.25</v>
      </c>
      <c r="O148" s="107">
        <v>472.55</v>
      </c>
      <c r="P148" s="107">
        <v>474.3</v>
      </c>
      <c r="Q148" s="107">
        <v>477.6</v>
      </c>
      <c r="R148">
        <v>56056</v>
      </c>
    </row>
    <row r="149" spans="1:18" x14ac:dyDescent="0.25">
      <c r="A149" s="148">
        <v>43551</v>
      </c>
      <c r="B149" s="107">
        <v>485</v>
      </c>
      <c r="C149" s="107">
        <v>474.25</v>
      </c>
      <c r="D149" s="107">
        <v>469</v>
      </c>
      <c r="E149" s="107">
        <v>475.2</v>
      </c>
      <c r="F149" s="107">
        <v>474.25</v>
      </c>
      <c r="G149">
        <v>5920</v>
      </c>
      <c r="H149" s="107"/>
      <c r="I149" s="107"/>
      <c r="L149" s="148">
        <v>43551</v>
      </c>
      <c r="M149" s="107">
        <v>478.9</v>
      </c>
      <c r="N149" s="107">
        <v>484.9</v>
      </c>
      <c r="O149" s="107">
        <v>472.9</v>
      </c>
      <c r="P149" s="107">
        <v>481.6</v>
      </c>
      <c r="Q149" s="107">
        <v>478.9</v>
      </c>
      <c r="R149">
        <v>44460</v>
      </c>
    </row>
    <row r="150" spans="1:18" x14ac:dyDescent="0.25">
      <c r="A150" s="148">
        <v>43552</v>
      </c>
      <c r="B150" s="107">
        <v>520.95000000000005</v>
      </c>
      <c r="C150" s="107">
        <v>499.85</v>
      </c>
      <c r="D150" s="107">
        <v>474.5</v>
      </c>
      <c r="E150" s="107">
        <v>475</v>
      </c>
      <c r="F150" s="107">
        <v>499.85</v>
      </c>
      <c r="G150">
        <v>40036</v>
      </c>
      <c r="H150" s="107"/>
      <c r="I150" s="107"/>
      <c r="L150" s="148">
        <v>43552</v>
      </c>
      <c r="M150" s="107">
        <v>500.7</v>
      </c>
      <c r="N150" s="107">
        <v>525</v>
      </c>
      <c r="O150" s="107">
        <v>471.9</v>
      </c>
      <c r="P150" s="107">
        <v>474.1</v>
      </c>
      <c r="Q150" s="107">
        <v>500.7</v>
      </c>
      <c r="R150">
        <v>406762</v>
      </c>
    </row>
    <row r="151" spans="1:18" x14ac:dyDescent="0.25">
      <c r="A151" s="148">
        <v>43553</v>
      </c>
      <c r="B151" s="107">
        <v>506</v>
      </c>
      <c r="C151" s="107">
        <v>501.1</v>
      </c>
      <c r="D151" s="107">
        <v>496.1</v>
      </c>
      <c r="E151" s="107">
        <v>505.9</v>
      </c>
      <c r="F151" s="107">
        <v>501.1</v>
      </c>
      <c r="G151">
        <v>10229</v>
      </c>
      <c r="H151" s="107"/>
      <c r="I151" s="107"/>
      <c r="L151" s="148">
        <v>43553</v>
      </c>
      <c r="M151" s="107">
        <v>504</v>
      </c>
      <c r="N151" s="107">
        <v>508</v>
      </c>
      <c r="O151" s="107">
        <v>496.15</v>
      </c>
      <c r="P151" s="107">
        <v>505</v>
      </c>
      <c r="Q151" s="107">
        <v>504</v>
      </c>
      <c r="R151">
        <v>81962</v>
      </c>
    </row>
    <row r="152" spans="1:18" x14ac:dyDescent="0.25">
      <c r="A152" s="148">
        <v>43556</v>
      </c>
      <c r="B152" s="107">
        <v>520</v>
      </c>
      <c r="C152" s="107">
        <v>513.45000000000005</v>
      </c>
      <c r="D152" s="107">
        <v>507.5</v>
      </c>
      <c r="E152" s="107">
        <v>509.65</v>
      </c>
      <c r="F152" s="107">
        <v>513.45000000000005</v>
      </c>
      <c r="G152">
        <v>15388</v>
      </c>
      <c r="H152" s="107"/>
      <c r="I152" s="107"/>
      <c r="L152" s="148">
        <v>43556</v>
      </c>
      <c r="M152" s="107">
        <v>518.04999999999995</v>
      </c>
      <c r="N152" s="107">
        <v>521.79999999999995</v>
      </c>
      <c r="O152" s="107">
        <v>505</v>
      </c>
      <c r="P152" s="107">
        <v>505</v>
      </c>
      <c r="Q152" s="107">
        <v>518.04999999999995</v>
      </c>
      <c r="R152">
        <v>145853</v>
      </c>
    </row>
    <row r="153" spans="1:18" x14ac:dyDescent="0.25">
      <c r="A153" s="148">
        <v>43557</v>
      </c>
      <c r="B153" s="107">
        <v>545</v>
      </c>
      <c r="C153" s="107">
        <v>537.20000000000005</v>
      </c>
      <c r="D153" s="107">
        <v>509.05</v>
      </c>
      <c r="E153" s="107">
        <v>515.95000000000005</v>
      </c>
      <c r="F153" s="107">
        <v>537.20000000000005</v>
      </c>
      <c r="G153">
        <v>71716</v>
      </c>
      <c r="H153" s="107"/>
      <c r="I153" s="107"/>
      <c r="L153" s="148">
        <v>43557</v>
      </c>
      <c r="M153" s="107">
        <v>537.79999999999995</v>
      </c>
      <c r="N153" s="107">
        <v>547.6</v>
      </c>
      <c r="O153" s="107">
        <v>508</v>
      </c>
      <c r="P153" s="107">
        <v>518.5</v>
      </c>
      <c r="Q153" s="107">
        <v>537.79999999999995</v>
      </c>
      <c r="R153">
        <v>430466</v>
      </c>
    </row>
    <row r="154" spans="1:18" x14ac:dyDescent="0.25">
      <c r="A154" s="148">
        <v>43558</v>
      </c>
      <c r="B154" s="107">
        <v>555.6</v>
      </c>
      <c r="C154" s="107">
        <v>546.15</v>
      </c>
      <c r="D154" s="107">
        <v>527.54999999999995</v>
      </c>
      <c r="E154" s="107">
        <v>540.5</v>
      </c>
      <c r="F154" s="107">
        <v>546.15</v>
      </c>
      <c r="G154">
        <v>108584</v>
      </c>
      <c r="H154" s="107"/>
      <c r="I154" s="107"/>
      <c r="L154" s="148">
        <v>43558</v>
      </c>
      <c r="M154" s="107">
        <v>555.75</v>
      </c>
      <c r="N154" s="107">
        <v>560</v>
      </c>
      <c r="O154" s="107">
        <v>527.45000000000005</v>
      </c>
      <c r="P154" s="107">
        <v>535</v>
      </c>
      <c r="Q154" s="107">
        <v>555.75</v>
      </c>
      <c r="R154">
        <v>418660</v>
      </c>
    </row>
    <row r="155" spans="1:18" x14ac:dyDescent="0.25">
      <c r="A155" s="148">
        <v>43559</v>
      </c>
      <c r="B155" s="107">
        <v>566.45000000000005</v>
      </c>
      <c r="C155" s="107">
        <v>548.25</v>
      </c>
      <c r="D155" s="107">
        <v>545</v>
      </c>
      <c r="E155" s="107">
        <v>550</v>
      </c>
      <c r="F155" s="107">
        <v>548.25</v>
      </c>
      <c r="G155">
        <v>26428</v>
      </c>
      <c r="H155" s="107"/>
      <c r="I155" s="107"/>
      <c r="L155" s="148">
        <v>43559</v>
      </c>
      <c r="M155" s="107">
        <v>547.29999999999995</v>
      </c>
      <c r="N155" s="107">
        <v>567.9</v>
      </c>
      <c r="O155" s="107">
        <v>544.29999999999995</v>
      </c>
      <c r="P155" s="107">
        <v>557.75</v>
      </c>
      <c r="Q155" s="107">
        <v>547.29999999999995</v>
      </c>
      <c r="R155">
        <v>637409</v>
      </c>
    </row>
    <row r="156" spans="1:18" x14ac:dyDescent="0.25">
      <c r="A156" s="148">
        <v>43560</v>
      </c>
      <c r="B156" s="107">
        <v>554.9</v>
      </c>
      <c r="C156" s="107">
        <v>545.15</v>
      </c>
      <c r="D156" s="107">
        <v>543.4</v>
      </c>
      <c r="E156" s="107">
        <v>547</v>
      </c>
      <c r="F156" s="107">
        <v>545.15</v>
      </c>
      <c r="G156">
        <v>5003</v>
      </c>
      <c r="H156" s="107"/>
      <c r="I156" s="107"/>
      <c r="L156" s="148">
        <v>43560</v>
      </c>
      <c r="M156" s="107">
        <v>546.6</v>
      </c>
      <c r="N156" s="107">
        <v>554.95000000000005</v>
      </c>
      <c r="O156" s="107">
        <v>543.4</v>
      </c>
      <c r="P156" s="107">
        <v>551</v>
      </c>
      <c r="Q156" s="107">
        <v>546.6</v>
      </c>
      <c r="R156">
        <v>131209</v>
      </c>
    </row>
    <row r="157" spans="1:18" x14ac:dyDescent="0.25">
      <c r="A157" s="148">
        <v>43563</v>
      </c>
      <c r="B157" s="107">
        <v>548.95000000000005</v>
      </c>
      <c r="C157" s="107">
        <v>533.95000000000005</v>
      </c>
      <c r="D157" s="107">
        <v>530.95000000000005</v>
      </c>
      <c r="E157" s="107">
        <v>545</v>
      </c>
      <c r="F157" s="107">
        <v>533.95000000000005</v>
      </c>
      <c r="G157">
        <v>7096</v>
      </c>
      <c r="H157" s="107"/>
      <c r="I157" s="107"/>
      <c r="L157" s="148">
        <v>43563</v>
      </c>
      <c r="M157" s="107">
        <v>536.70000000000005</v>
      </c>
      <c r="N157" s="107">
        <v>548.95000000000005</v>
      </c>
      <c r="O157" s="107">
        <v>535</v>
      </c>
      <c r="P157" s="107">
        <v>542.5</v>
      </c>
      <c r="Q157" s="107">
        <v>536.70000000000005</v>
      </c>
      <c r="R157">
        <v>154701</v>
      </c>
    </row>
    <row r="158" spans="1:18" x14ac:dyDescent="0.25">
      <c r="A158" s="148">
        <v>43564</v>
      </c>
      <c r="B158" s="107">
        <v>550</v>
      </c>
      <c r="C158" s="107">
        <v>541.45000000000005</v>
      </c>
      <c r="D158" s="107">
        <v>529.45000000000005</v>
      </c>
      <c r="E158" s="107">
        <v>534.04999999999995</v>
      </c>
      <c r="F158" s="107">
        <v>541.45000000000005</v>
      </c>
      <c r="G158">
        <v>14649</v>
      </c>
      <c r="H158" s="107"/>
      <c r="I158" s="107"/>
      <c r="L158" s="148">
        <v>43564</v>
      </c>
      <c r="M158" s="107">
        <v>543.35</v>
      </c>
      <c r="N158" s="107">
        <v>547.6</v>
      </c>
      <c r="O158" s="107">
        <v>528</v>
      </c>
      <c r="P158" s="107">
        <v>536</v>
      </c>
      <c r="Q158" s="107">
        <v>543.35</v>
      </c>
      <c r="R158">
        <v>618364</v>
      </c>
    </row>
    <row r="159" spans="1:18" x14ac:dyDescent="0.25">
      <c r="A159" s="148">
        <v>43565</v>
      </c>
      <c r="B159" s="107">
        <v>547</v>
      </c>
      <c r="C159" s="107">
        <v>541.75</v>
      </c>
      <c r="D159" s="107">
        <v>535</v>
      </c>
      <c r="E159" s="107">
        <v>540</v>
      </c>
      <c r="F159" s="107">
        <v>541.75</v>
      </c>
      <c r="G159">
        <v>5650</v>
      </c>
      <c r="H159" s="107"/>
      <c r="I159" s="107"/>
      <c r="L159" s="148">
        <v>43565</v>
      </c>
      <c r="M159" s="107">
        <v>542.9</v>
      </c>
      <c r="N159" s="107">
        <v>547.79999999999995</v>
      </c>
      <c r="O159" s="107">
        <v>533.25</v>
      </c>
      <c r="P159" s="107">
        <v>540.04999999999995</v>
      </c>
      <c r="Q159" s="107">
        <v>542.9</v>
      </c>
      <c r="R159">
        <v>126513</v>
      </c>
    </row>
    <row r="160" spans="1:18" x14ac:dyDescent="0.25">
      <c r="A160" s="148">
        <v>43566</v>
      </c>
      <c r="B160" s="107">
        <v>545.35</v>
      </c>
      <c r="C160" s="107">
        <v>537.95000000000005</v>
      </c>
      <c r="D160" s="107">
        <v>535</v>
      </c>
      <c r="E160" s="107">
        <v>541.75</v>
      </c>
      <c r="F160" s="107">
        <v>537.95000000000005</v>
      </c>
      <c r="G160">
        <v>3631</v>
      </c>
      <c r="H160" s="107"/>
      <c r="I160" s="107"/>
      <c r="L160" s="148">
        <v>43566</v>
      </c>
      <c r="M160" s="107">
        <v>535.54999999999995</v>
      </c>
      <c r="N160" s="107">
        <v>546</v>
      </c>
      <c r="O160" s="107">
        <v>532</v>
      </c>
      <c r="P160" s="107">
        <v>546</v>
      </c>
      <c r="Q160" s="107">
        <v>535.54999999999995</v>
      </c>
      <c r="R160">
        <v>94114</v>
      </c>
    </row>
    <row r="161" spans="1:18" x14ac:dyDescent="0.25">
      <c r="A161" s="148">
        <v>43567</v>
      </c>
      <c r="B161" s="107">
        <v>547</v>
      </c>
      <c r="C161" s="107">
        <v>536.65</v>
      </c>
      <c r="D161" s="107">
        <v>533.5</v>
      </c>
      <c r="E161" s="107">
        <v>536.29999999999995</v>
      </c>
      <c r="F161" s="107">
        <v>536.65</v>
      </c>
      <c r="G161">
        <v>7789</v>
      </c>
      <c r="H161" s="107"/>
      <c r="I161" s="107"/>
      <c r="L161" s="148">
        <v>43567</v>
      </c>
      <c r="M161" s="107">
        <v>544.5</v>
      </c>
      <c r="N161" s="107">
        <v>547</v>
      </c>
      <c r="O161" s="107">
        <v>532.04999999999995</v>
      </c>
      <c r="P161" s="107">
        <v>532.04999999999995</v>
      </c>
      <c r="Q161" s="107">
        <v>544.5</v>
      </c>
      <c r="R161">
        <v>568505</v>
      </c>
    </row>
    <row r="162" spans="1:18" x14ac:dyDescent="0.25">
      <c r="A162" s="148">
        <v>43570</v>
      </c>
      <c r="B162" s="107">
        <v>543.85</v>
      </c>
      <c r="C162" s="107">
        <v>529.04999999999995</v>
      </c>
      <c r="D162" s="107">
        <v>527</v>
      </c>
      <c r="E162" s="107">
        <v>538</v>
      </c>
      <c r="F162" s="107">
        <v>529.04999999999995</v>
      </c>
      <c r="G162">
        <v>2156</v>
      </c>
      <c r="H162" s="107"/>
      <c r="I162" s="107"/>
      <c r="L162" s="148">
        <v>43570</v>
      </c>
      <c r="M162" s="107">
        <v>529.35</v>
      </c>
      <c r="N162" s="107">
        <v>547</v>
      </c>
      <c r="O162" s="107">
        <v>526.15</v>
      </c>
      <c r="P162" s="107">
        <v>545</v>
      </c>
      <c r="Q162" s="107">
        <v>529.35</v>
      </c>
      <c r="R162">
        <v>34805</v>
      </c>
    </row>
    <row r="163" spans="1:18" x14ac:dyDescent="0.25">
      <c r="A163" s="148">
        <v>43571</v>
      </c>
      <c r="B163" s="107">
        <v>532</v>
      </c>
      <c r="C163" s="107">
        <v>515.85</v>
      </c>
      <c r="D163" s="107">
        <v>513.54999999999995</v>
      </c>
      <c r="E163" s="107">
        <v>529.5</v>
      </c>
      <c r="F163" s="107">
        <v>515.85</v>
      </c>
      <c r="G163">
        <v>5558</v>
      </c>
      <c r="H163" s="107"/>
      <c r="I163" s="107"/>
      <c r="L163" s="148">
        <v>43571</v>
      </c>
      <c r="M163" s="107">
        <v>516.75</v>
      </c>
      <c r="N163" s="107">
        <v>532.85</v>
      </c>
      <c r="O163" s="107">
        <v>513.04999999999995</v>
      </c>
      <c r="P163" s="107">
        <v>526.6</v>
      </c>
      <c r="Q163" s="107">
        <v>516.75</v>
      </c>
      <c r="R163">
        <v>46304</v>
      </c>
    </row>
    <row r="164" spans="1:18" x14ac:dyDescent="0.25">
      <c r="A164" s="148">
        <v>43573</v>
      </c>
      <c r="B164" s="107">
        <v>519.5</v>
      </c>
      <c r="C164" s="107">
        <v>513</v>
      </c>
      <c r="D164" s="107">
        <v>505.2</v>
      </c>
      <c r="E164" s="107">
        <v>507.6</v>
      </c>
      <c r="F164" s="107">
        <v>513</v>
      </c>
      <c r="G164">
        <v>6107</v>
      </c>
      <c r="H164" s="107"/>
      <c r="I164" s="107"/>
      <c r="L164" s="148">
        <v>43573</v>
      </c>
      <c r="M164" s="107">
        <v>515.54999999999995</v>
      </c>
      <c r="N164" s="107">
        <v>520</v>
      </c>
      <c r="O164" s="107">
        <v>506.45</v>
      </c>
      <c r="P164" s="107">
        <v>506.45</v>
      </c>
      <c r="Q164" s="107">
        <v>515.54999999999995</v>
      </c>
      <c r="R164">
        <v>43141</v>
      </c>
    </row>
    <row r="165" spans="1:18" x14ac:dyDescent="0.25">
      <c r="A165" s="148">
        <v>43577</v>
      </c>
      <c r="B165" s="107">
        <v>512.5</v>
      </c>
      <c r="C165" s="107">
        <v>491.7</v>
      </c>
      <c r="D165" s="107">
        <v>485</v>
      </c>
      <c r="E165" s="107">
        <v>511</v>
      </c>
      <c r="F165" s="107">
        <v>491.7</v>
      </c>
      <c r="G165">
        <v>5732</v>
      </c>
      <c r="H165" s="107"/>
      <c r="I165" s="107"/>
      <c r="L165" s="148">
        <v>43577</v>
      </c>
      <c r="M165" s="107">
        <v>490.15</v>
      </c>
      <c r="N165" s="107">
        <v>515.5</v>
      </c>
      <c r="O165" s="107">
        <v>476.2</v>
      </c>
      <c r="P165" s="107">
        <v>515.5</v>
      </c>
      <c r="Q165" s="107">
        <v>490.15</v>
      </c>
      <c r="R165">
        <v>61159</v>
      </c>
    </row>
    <row r="166" spans="1:18" x14ac:dyDescent="0.25">
      <c r="A166" s="148">
        <v>43578</v>
      </c>
      <c r="B166" s="107">
        <v>506.4</v>
      </c>
      <c r="C166" s="107">
        <v>492.45</v>
      </c>
      <c r="D166" s="107">
        <v>490</v>
      </c>
      <c r="E166" s="107">
        <v>492</v>
      </c>
      <c r="F166" s="107">
        <v>492.45</v>
      </c>
      <c r="G166">
        <v>7746</v>
      </c>
      <c r="H166" s="107"/>
      <c r="I166" s="107"/>
      <c r="L166" s="148">
        <v>43578</v>
      </c>
      <c r="M166" s="107">
        <v>494.75</v>
      </c>
      <c r="N166" s="107">
        <v>508.4</v>
      </c>
      <c r="O166" s="107">
        <v>490</v>
      </c>
      <c r="P166" s="107">
        <v>492.1</v>
      </c>
      <c r="Q166" s="107">
        <v>494.75</v>
      </c>
      <c r="R166">
        <v>53184</v>
      </c>
    </row>
    <row r="167" spans="1:18" x14ac:dyDescent="0.25">
      <c r="A167" s="148">
        <v>43579</v>
      </c>
      <c r="B167" s="107">
        <v>499</v>
      </c>
      <c r="C167" s="107">
        <v>489.4</v>
      </c>
      <c r="D167" s="107">
        <v>482.6</v>
      </c>
      <c r="E167" s="107">
        <v>491</v>
      </c>
      <c r="F167" s="107">
        <v>489.4</v>
      </c>
      <c r="G167">
        <v>5034</v>
      </c>
      <c r="H167" s="107"/>
      <c r="I167" s="107"/>
      <c r="L167" s="148">
        <v>43579</v>
      </c>
      <c r="M167" s="107">
        <v>487.65</v>
      </c>
      <c r="N167" s="107">
        <v>500</v>
      </c>
      <c r="O167" s="107">
        <v>481.1</v>
      </c>
      <c r="P167" s="107">
        <v>495</v>
      </c>
      <c r="Q167" s="107">
        <v>487.65</v>
      </c>
      <c r="R167">
        <v>43684</v>
      </c>
    </row>
    <row r="168" spans="1:18" x14ac:dyDescent="0.25">
      <c r="A168" s="148">
        <v>43580</v>
      </c>
      <c r="B168" s="107">
        <v>515.20000000000005</v>
      </c>
      <c r="C168" s="107">
        <v>500.25</v>
      </c>
      <c r="D168" s="107">
        <v>489</v>
      </c>
      <c r="E168" s="107">
        <v>489</v>
      </c>
      <c r="F168" s="107">
        <v>500.25</v>
      </c>
      <c r="G168">
        <v>11269</v>
      </c>
      <c r="H168" s="107"/>
      <c r="I168" s="107"/>
      <c r="L168" s="148">
        <v>43580</v>
      </c>
      <c r="M168" s="107">
        <v>502.6</v>
      </c>
      <c r="N168" s="107">
        <v>514.29999999999995</v>
      </c>
      <c r="O168" s="107">
        <v>483.5</v>
      </c>
      <c r="P168" s="107">
        <v>490</v>
      </c>
      <c r="Q168" s="107">
        <v>502.6</v>
      </c>
      <c r="R168">
        <v>69689</v>
      </c>
    </row>
    <row r="169" spans="1:18" x14ac:dyDescent="0.25">
      <c r="A169" s="148">
        <v>43581</v>
      </c>
      <c r="B169" s="107">
        <v>514.5</v>
      </c>
      <c r="C169" s="107">
        <v>504.6</v>
      </c>
      <c r="D169" s="107">
        <v>500</v>
      </c>
      <c r="E169" s="107">
        <v>503.55</v>
      </c>
      <c r="F169" s="107">
        <v>504.6</v>
      </c>
      <c r="G169">
        <v>2323</v>
      </c>
      <c r="H169" s="107"/>
      <c r="I169" s="107"/>
      <c r="L169" s="148">
        <v>43581</v>
      </c>
      <c r="M169" s="107">
        <v>505.9</v>
      </c>
      <c r="N169" s="107">
        <v>514.5</v>
      </c>
      <c r="O169" s="107">
        <v>500.1</v>
      </c>
      <c r="P169" s="107">
        <v>503</v>
      </c>
      <c r="Q169" s="107">
        <v>505.9</v>
      </c>
      <c r="R169">
        <v>31788</v>
      </c>
    </row>
    <row r="170" spans="1:18" x14ac:dyDescent="0.25">
      <c r="A170" s="148">
        <v>43585</v>
      </c>
      <c r="B170" s="107">
        <v>525.04999999999995</v>
      </c>
      <c r="C170" s="107">
        <v>521.9</v>
      </c>
      <c r="D170" s="107">
        <v>496.5</v>
      </c>
      <c r="E170" s="107">
        <v>496.5</v>
      </c>
      <c r="F170" s="107">
        <v>521.9</v>
      </c>
      <c r="G170">
        <v>6639</v>
      </c>
      <c r="H170" s="107"/>
      <c r="I170" s="107"/>
      <c r="L170" s="148">
        <v>43585</v>
      </c>
      <c r="M170" s="107">
        <v>522.15</v>
      </c>
      <c r="N170" s="107">
        <v>527.79999999999995</v>
      </c>
      <c r="O170" s="107">
        <v>496.5</v>
      </c>
      <c r="P170" s="107">
        <v>501</v>
      </c>
      <c r="Q170" s="107">
        <v>522.15</v>
      </c>
      <c r="R170">
        <v>44344</v>
      </c>
    </row>
    <row r="171" spans="1:18" x14ac:dyDescent="0.25">
      <c r="A171" s="148">
        <v>43587</v>
      </c>
      <c r="B171" s="107">
        <v>530</v>
      </c>
      <c r="C171" s="107">
        <v>525.6</v>
      </c>
      <c r="D171" s="107">
        <v>512</v>
      </c>
      <c r="E171" s="107">
        <v>512</v>
      </c>
      <c r="F171" s="107">
        <v>525.6</v>
      </c>
      <c r="G171">
        <v>4201</v>
      </c>
      <c r="H171" s="107"/>
      <c r="I171" s="107"/>
      <c r="L171" s="148">
        <v>43587</v>
      </c>
      <c r="M171" s="107">
        <v>527</v>
      </c>
      <c r="N171" s="107">
        <v>530</v>
      </c>
      <c r="O171" s="107">
        <v>513.5</v>
      </c>
      <c r="P171" s="107">
        <v>513.5</v>
      </c>
      <c r="Q171" s="107">
        <v>527</v>
      </c>
      <c r="R171">
        <v>58470</v>
      </c>
    </row>
    <row r="172" spans="1:18" x14ac:dyDescent="0.25">
      <c r="A172" s="148">
        <v>43588</v>
      </c>
      <c r="B172" s="107">
        <v>546</v>
      </c>
      <c r="C172" s="107">
        <v>541.45000000000005</v>
      </c>
      <c r="D172" s="107">
        <v>520</v>
      </c>
      <c r="E172" s="107">
        <v>520</v>
      </c>
      <c r="F172" s="107">
        <v>541.45000000000005</v>
      </c>
      <c r="G172">
        <v>6370</v>
      </c>
      <c r="H172" s="107"/>
      <c r="I172" s="107"/>
      <c r="L172" s="148">
        <v>43588</v>
      </c>
      <c r="M172" s="107">
        <v>544</v>
      </c>
      <c r="N172" s="107">
        <v>546.04999999999995</v>
      </c>
      <c r="O172" s="107">
        <v>527</v>
      </c>
      <c r="P172" s="107">
        <v>527</v>
      </c>
      <c r="Q172" s="107">
        <v>544</v>
      </c>
      <c r="R172">
        <v>73467</v>
      </c>
    </row>
    <row r="173" spans="1:18" x14ac:dyDescent="0.25">
      <c r="A173" s="148">
        <v>43591</v>
      </c>
      <c r="B173" s="107">
        <v>545</v>
      </c>
      <c r="C173" s="107">
        <v>539.9</v>
      </c>
      <c r="D173" s="107">
        <v>529.5</v>
      </c>
      <c r="E173" s="107">
        <v>545</v>
      </c>
      <c r="F173" s="107">
        <v>539.9</v>
      </c>
      <c r="G173">
        <v>3163</v>
      </c>
      <c r="H173" s="107"/>
      <c r="I173" s="107"/>
      <c r="L173" s="148">
        <v>43591</v>
      </c>
      <c r="M173" s="107">
        <v>541.4</v>
      </c>
      <c r="N173" s="107">
        <v>545</v>
      </c>
      <c r="O173" s="107">
        <v>530.04999999999995</v>
      </c>
      <c r="P173" s="107">
        <v>543</v>
      </c>
      <c r="Q173" s="107">
        <v>541.4</v>
      </c>
      <c r="R173">
        <v>51584</v>
      </c>
    </row>
    <row r="174" spans="1:18" x14ac:dyDescent="0.25">
      <c r="A174" s="148">
        <v>43592</v>
      </c>
      <c r="B174" s="107">
        <v>545</v>
      </c>
      <c r="C174" s="107">
        <v>514</v>
      </c>
      <c r="D174" s="107">
        <v>510.05</v>
      </c>
      <c r="E174" s="107">
        <v>538</v>
      </c>
      <c r="F174" s="107">
        <v>514</v>
      </c>
      <c r="G174">
        <v>3494</v>
      </c>
      <c r="H174" s="107"/>
      <c r="I174" s="107"/>
      <c r="L174" s="148">
        <v>43592</v>
      </c>
      <c r="M174" s="107">
        <v>517.20000000000005</v>
      </c>
      <c r="N174" s="107">
        <v>545.95000000000005</v>
      </c>
      <c r="O174" s="107">
        <v>500.05</v>
      </c>
      <c r="P174" s="107">
        <v>535.25</v>
      </c>
      <c r="Q174" s="107">
        <v>517.20000000000005</v>
      </c>
      <c r="R174">
        <v>68504</v>
      </c>
    </row>
    <row r="175" spans="1:18" x14ac:dyDescent="0.25">
      <c r="A175" s="148">
        <v>43593</v>
      </c>
      <c r="B175" s="107">
        <v>520</v>
      </c>
      <c r="C175" s="107">
        <v>496.35</v>
      </c>
      <c r="D175" s="107">
        <v>493</v>
      </c>
      <c r="E175" s="107">
        <v>519.9</v>
      </c>
      <c r="F175" s="107">
        <v>496.35</v>
      </c>
      <c r="G175">
        <v>6283</v>
      </c>
      <c r="H175" s="107"/>
      <c r="I175" s="107"/>
      <c r="L175" s="148">
        <v>43593</v>
      </c>
      <c r="M175" s="107">
        <v>498.05</v>
      </c>
      <c r="N175" s="107">
        <v>520.85</v>
      </c>
      <c r="O175" s="107">
        <v>495</v>
      </c>
      <c r="P175" s="107">
        <v>516</v>
      </c>
      <c r="Q175" s="107">
        <v>498.05</v>
      </c>
      <c r="R175">
        <v>74028</v>
      </c>
    </row>
    <row r="176" spans="1:18" x14ac:dyDescent="0.25">
      <c r="A176" s="148">
        <v>43594</v>
      </c>
      <c r="B176" s="107">
        <v>512.1</v>
      </c>
      <c r="C176" s="107">
        <v>501.55</v>
      </c>
      <c r="D176" s="107">
        <v>450.25</v>
      </c>
      <c r="E176" s="107">
        <v>495</v>
      </c>
      <c r="F176" s="107">
        <v>501.55</v>
      </c>
      <c r="G176">
        <v>36121</v>
      </c>
      <c r="H176" s="107"/>
      <c r="I176" s="107"/>
      <c r="L176" s="148">
        <v>43594</v>
      </c>
      <c r="M176" s="107">
        <v>501.4</v>
      </c>
      <c r="N176" s="107">
        <v>514</v>
      </c>
      <c r="O176" s="107">
        <v>446</v>
      </c>
      <c r="P176" s="107">
        <v>478</v>
      </c>
      <c r="Q176" s="107">
        <v>501.4</v>
      </c>
      <c r="R176">
        <v>376102</v>
      </c>
    </row>
    <row r="177" spans="1:18" x14ac:dyDescent="0.25">
      <c r="A177" s="148">
        <v>43595</v>
      </c>
      <c r="B177" s="107">
        <v>520</v>
      </c>
      <c r="C177" s="107">
        <v>483.45</v>
      </c>
      <c r="D177" s="107">
        <v>480</v>
      </c>
      <c r="E177" s="107">
        <v>502</v>
      </c>
      <c r="F177" s="107">
        <v>483.45</v>
      </c>
      <c r="G177">
        <v>10472</v>
      </c>
      <c r="H177" s="107"/>
      <c r="I177" s="107"/>
      <c r="L177" s="148">
        <v>43595</v>
      </c>
      <c r="M177" s="107">
        <v>483.75</v>
      </c>
      <c r="N177" s="107">
        <v>522.79999999999995</v>
      </c>
      <c r="O177" s="107">
        <v>478</v>
      </c>
      <c r="P177" s="107">
        <v>497</v>
      </c>
      <c r="Q177" s="107">
        <v>483.75</v>
      </c>
      <c r="R177">
        <v>89898</v>
      </c>
    </row>
    <row r="178" spans="1:18" x14ac:dyDescent="0.25">
      <c r="A178" s="148">
        <v>43598</v>
      </c>
      <c r="B178" s="107">
        <v>497.05</v>
      </c>
      <c r="C178" s="107">
        <v>451.35</v>
      </c>
      <c r="D178" s="107">
        <v>442.15</v>
      </c>
      <c r="E178" s="107">
        <v>479.5</v>
      </c>
      <c r="F178" s="107">
        <v>451.35</v>
      </c>
      <c r="G178">
        <v>10602</v>
      </c>
      <c r="H178" s="107"/>
      <c r="I178" s="107"/>
      <c r="L178" s="148">
        <v>43598</v>
      </c>
      <c r="M178" s="107">
        <v>452.55</v>
      </c>
      <c r="N178" s="107">
        <v>499.95</v>
      </c>
      <c r="O178" s="107">
        <v>444.1</v>
      </c>
      <c r="P178" s="107">
        <v>486</v>
      </c>
      <c r="Q178" s="107">
        <v>452.55</v>
      </c>
      <c r="R178">
        <v>59507</v>
      </c>
    </row>
    <row r="179" spans="1:18" x14ac:dyDescent="0.25">
      <c r="A179" s="148">
        <v>43599</v>
      </c>
      <c r="B179" s="107">
        <v>459</v>
      </c>
      <c r="C179" s="107">
        <v>455.35</v>
      </c>
      <c r="D179" s="107">
        <v>398.7</v>
      </c>
      <c r="E179" s="107">
        <v>450</v>
      </c>
      <c r="F179" s="107">
        <v>455.35</v>
      </c>
      <c r="G179">
        <v>25805</v>
      </c>
      <c r="H179" s="107"/>
      <c r="I179" s="107"/>
      <c r="L179" s="148">
        <v>43599</v>
      </c>
      <c r="M179" s="107">
        <v>459.85</v>
      </c>
      <c r="N179" s="107">
        <v>463.9</v>
      </c>
      <c r="O179" s="107">
        <v>396.2</v>
      </c>
      <c r="P179" s="107">
        <v>451</v>
      </c>
      <c r="Q179" s="107">
        <v>459.85</v>
      </c>
      <c r="R179">
        <v>251847</v>
      </c>
    </row>
    <row r="180" spans="1:18" x14ac:dyDescent="0.25">
      <c r="A180" s="148">
        <v>43600</v>
      </c>
      <c r="B180" s="107">
        <v>459.85</v>
      </c>
      <c r="C180" s="107">
        <v>445.2</v>
      </c>
      <c r="D180" s="107">
        <v>442.55</v>
      </c>
      <c r="E180" s="107">
        <v>457.2</v>
      </c>
      <c r="F180" s="107">
        <v>445.2</v>
      </c>
      <c r="G180">
        <v>2598</v>
      </c>
      <c r="H180" s="107"/>
      <c r="I180" s="107"/>
      <c r="L180" s="148">
        <v>43600</v>
      </c>
      <c r="M180" s="107">
        <v>444.05</v>
      </c>
      <c r="N180" s="107">
        <v>465</v>
      </c>
      <c r="O180" s="107">
        <v>442</v>
      </c>
      <c r="P180" s="107">
        <v>465</v>
      </c>
      <c r="Q180" s="107">
        <v>444.05</v>
      </c>
      <c r="R180">
        <v>42035</v>
      </c>
    </row>
    <row r="181" spans="1:18" x14ac:dyDescent="0.25">
      <c r="A181" s="148">
        <v>43601</v>
      </c>
      <c r="B181" s="107">
        <v>463.95</v>
      </c>
      <c r="C181" s="107">
        <v>457.75</v>
      </c>
      <c r="D181" s="107">
        <v>432.65</v>
      </c>
      <c r="E181" s="107">
        <v>440</v>
      </c>
      <c r="F181" s="107">
        <v>457.75</v>
      </c>
      <c r="G181">
        <v>4410</v>
      </c>
      <c r="H181" s="107"/>
      <c r="I181" s="107"/>
      <c r="L181" s="148">
        <v>43601</v>
      </c>
      <c r="M181" s="107">
        <v>460.3</v>
      </c>
      <c r="N181" s="107">
        <v>465</v>
      </c>
      <c r="O181" s="107">
        <v>417.4</v>
      </c>
      <c r="P181" s="107">
        <v>417.4</v>
      </c>
      <c r="Q181" s="107">
        <v>460.3</v>
      </c>
      <c r="R181">
        <v>51412</v>
      </c>
    </row>
    <row r="182" spans="1:18" x14ac:dyDescent="0.25">
      <c r="A182" s="148">
        <v>43602</v>
      </c>
      <c r="B182" s="107">
        <v>477</v>
      </c>
      <c r="C182" s="107">
        <v>464.5</v>
      </c>
      <c r="D182" s="107">
        <v>447</v>
      </c>
      <c r="E182" s="107">
        <v>464.45</v>
      </c>
      <c r="F182" s="107">
        <v>464.5</v>
      </c>
      <c r="G182">
        <v>14715</v>
      </c>
      <c r="H182" s="107"/>
      <c r="I182" s="107"/>
      <c r="L182" s="148">
        <v>43602</v>
      </c>
      <c r="M182" s="107">
        <v>469.6</v>
      </c>
      <c r="N182" s="107">
        <v>478.95</v>
      </c>
      <c r="O182" s="107">
        <v>458</v>
      </c>
      <c r="P182" s="107">
        <v>458.2</v>
      </c>
      <c r="Q182" s="107">
        <v>469.6</v>
      </c>
      <c r="R182">
        <v>62047</v>
      </c>
    </row>
    <row r="183" spans="1:18" x14ac:dyDescent="0.25">
      <c r="A183" s="148">
        <v>43605</v>
      </c>
      <c r="B183" s="107">
        <v>509.95</v>
      </c>
      <c r="C183" s="107">
        <v>505.1</v>
      </c>
      <c r="D183" s="107">
        <v>475</v>
      </c>
      <c r="E183" s="107">
        <v>475</v>
      </c>
      <c r="F183" s="107">
        <v>505.1</v>
      </c>
      <c r="G183">
        <v>8614</v>
      </c>
      <c r="H183" s="107"/>
      <c r="I183" s="107"/>
      <c r="L183" s="148">
        <v>43605</v>
      </c>
      <c r="M183" s="107">
        <v>509.15</v>
      </c>
      <c r="N183" s="107">
        <v>514.35</v>
      </c>
      <c r="O183" s="107">
        <v>475</v>
      </c>
      <c r="P183" s="107">
        <v>475</v>
      </c>
      <c r="Q183" s="107">
        <v>509.15</v>
      </c>
      <c r="R183">
        <v>126742</v>
      </c>
    </row>
    <row r="184" spans="1:18" x14ac:dyDescent="0.25">
      <c r="A184" s="148">
        <v>43606</v>
      </c>
      <c r="B184" s="107">
        <v>525</v>
      </c>
      <c r="C184" s="107">
        <v>502.6</v>
      </c>
      <c r="D184" s="107">
        <v>498.75</v>
      </c>
      <c r="E184" s="107">
        <v>520</v>
      </c>
      <c r="F184" s="107">
        <v>502.6</v>
      </c>
      <c r="G184">
        <v>6043</v>
      </c>
      <c r="H184" s="107"/>
      <c r="I184" s="107"/>
      <c r="L184" s="148">
        <v>43606</v>
      </c>
      <c r="M184" s="107">
        <v>507.8</v>
      </c>
      <c r="N184" s="107">
        <v>526.6</v>
      </c>
      <c r="O184" s="107">
        <v>502.65</v>
      </c>
      <c r="P184" s="107">
        <v>510</v>
      </c>
      <c r="Q184" s="107">
        <v>507.8</v>
      </c>
      <c r="R184">
        <v>41821</v>
      </c>
    </row>
    <row r="185" spans="1:18" x14ac:dyDescent="0.25">
      <c r="A185" s="148">
        <v>43607</v>
      </c>
      <c r="B185" s="107">
        <v>518</v>
      </c>
      <c r="C185" s="107">
        <v>510.15</v>
      </c>
      <c r="D185" s="107">
        <v>505.55</v>
      </c>
      <c r="E185" s="107">
        <v>508</v>
      </c>
      <c r="F185" s="107">
        <v>510.15</v>
      </c>
      <c r="G185">
        <v>5464</v>
      </c>
      <c r="H185" s="107"/>
      <c r="I185" s="107"/>
      <c r="L185" s="148">
        <v>43607</v>
      </c>
      <c r="M185" s="107">
        <v>511.65</v>
      </c>
      <c r="N185" s="107">
        <v>518.95000000000005</v>
      </c>
      <c r="O185" s="107">
        <v>505.25</v>
      </c>
      <c r="P185" s="107">
        <v>508.7</v>
      </c>
      <c r="Q185" s="107">
        <v>511.65</v>
      </c>
      <c r="R185">
        <v>48483</v>
      </c>
    </row>
    <row r="186" spans="1:18" x14ac:dyDescent="0.25">
      <c r="A186" s="148">
        <v>43608</v>
      </c>
      <c r="B186" s="107">
        <v>535</v>
      </c>
      <c r="C186" s="107">
        <v>512.54999999999995</v>
      </c>
      <c r="D186" s="107">
        <v>505.6</v>
      </c>
      <c r="E186" s="107">
        <v>520</v>
      </c>
      <c r="F186" s="107">
        <v>512.54999999999995</v>
      </c>
      <c r="G186">
        <v>5979</v>
      </c>
      <c r="H186" s="107"/>
      <c r="I186" s="107"/>
      <c r="L186" s="148">
        <v>43608</v>
      </c>
      <c r="M186" s="107">
        <v>515.04999999999995</v>
      </c>
      <c r="N186" s="107">
        <v>537.65</v>
      </c>
      <c r="O186" s="107">
        <v>506.8</v>
      </c>
      <c r="P186" s="107">
        <v>524.70000000000005</v>
      </c>
      <c r="Q186" s="107">
        <v>515.04999999999995</v>
      </c>
      <c r="R186">
        <v>58186</v>
      </c>
    </row>
    <row r="187" spans="1:18" x14ac:dyDescent="0.25">
      <c r="A187" s="148">
        <v>43609</v>
      </c>
      <c r="B187" s="107">
        <v>529.95000000000005</v>
      </c>
      <c r="C187" s="107">
        <v>522</v>
      </c>
      <c r="D187" s="107">
        <v>515</v>
      </c>
      <c r="E187" s="107">
        <v>520</v>
      </c>
      <c r="F187" s="107">
        <v>522</v>
      </c>
      <c r="G187">
        <v>8608</v>
      </c>
      <c r="H187" s="107"/>
      <c r="I187" s="107"/>
      <c r="L187" s="148">
        <v>43609</v>
      </c>
      <c r="M187" s="107">
        <v>525.4</v>
      </c>
      <c r="N187" s="107">
        <v>531</v>
      </c>
      <c r="O187" s="107">
        <v>510</v>
      </c>
      <c r="P187" s="107">
        <v>516</v>
      </c>
      <c r="Q187" s="107">
        <v>525.4</v>
      </c>
      <c r="R187">
        <v>56376</v>
      </c>
    </row>
    <row r="188" spans="1:18" x14ac:dyDescent="0.25">
      <c r="A188" s="148">
        <v>43612</v>
      </c>
      <c r="B188" s="107">
        <v>555</v>
      </c>
      <c r="C188" s="107">
        <v>543.20000000000005</v>
      </c>
      <c r="D188" s="107">
        <v>517</v>
      </c>
      <c r="E188" s="107">
        <v>517</v>
      </c>
      <c r="F188" s="107">
        <v>543.20000000000005</v>
      </c>
      <c r="G188">
        <v>13785</v>
      </c>
      <c r="H188" s="107"/>
      <c r="I188" s="107"/>
      <c r="L188" s="148">
        <v>43612</v>
      </c>
      <c r="M188" s="107">
        <v>550.04999999999995</v>
      </c>
      <c r="N188" s="107">
        <v>559</v>
      </c>
      <c r="O188" s="107">
        <v>518</v>
      </c>
      <c r="P188" s="107">
        <v>518</v>
      </c>
      <c r="Q188" s="107">
        <v>550.04999999999995</v>
      </c>
      <c r="R188">
        <v>102572</v>
      </c>
    </row>
    <row r="189" spans="1:18" x14ac:dyDescent="0.25">
      <c r="A189" s="148">
        <v>43613</v>
      </c>
      <c r="B189" s="107">
        <v>556.20000000000005</v>
      </c>
      <c r="C189" s="107">
        <v>548.65</v>
      </c>
      <c r="D189" s="107">
        <v>532.6</v>
      </c>
      <c r="E189" s="107">
        <v>550</v>
      </c>
      <c r="F189" s="107">
        <v>548.65</v>
      </c>
      <c r="G189">
        <v>5690</v>
      </c>
      <c r="H189" s="107"/>
      <c r="I189" s="107"/>
      <c r="L189" s="148">
        <v>43613</v>
      </c>
      <c r="M189" s="107">
        <v>547.5</v>
      </c>
      <c r="N189" s="107">
        <v>559</v>
      </c>
      <c r="O189" s="107">
        <v>531</v>
      </c>
      <c r="P189" s="107">
        <v>549.9</v>
      </c>
      <c r="Q189" s="107">
        <v>547.5</v>
      </c>
      <c r="R189">
        <v>31977</v>
      </c>
    </row>
    <row r="190" spans="1:18" x14ac:dyDescent="0.25">
      <c r="A190" s="148">
        <v>43614</v>
      </c>
      <c r="B190" s="107">
        <v>546</v>
      </c>
      <c r="C190" s="107">
        <v>529.15</v>
      </c>
      <c r="D190" s="107">
        <v>522.35</v>
      </c>
      <c r="E190" s="107">
        <v>545.04999999999995</v>
      </c>
      <c r="F190" s="107">
        <v>529.15</v>
      </c>
      <c r="G190">
        <v>1497</v>
      </c>
      <c r="H190" s="107"/>
      <c r="I190" s="107"/>
      <c r="L190" s="148">
        <v>43614</v>
      </c>
      <c r="M190" s="107">
        <v>529.79999999999995</v>
      </c>
      <c r="N190" s="107">
        <v>548</v>
      </c>
      <c r="O190" s="107">
        <v>522.54999999999995</v>
      </c>
      <c r="P190" s="107">
        <v>548</v>
      </c>
      <c r="Q190" s="107">
        <v>529.79999999999995</v>
      </c>
      <c r="R190">
        <v>26937</v>
      </c>
    </row>
    <row r="191" spans="1:18" x14ac:dyDescent="0.25">
      <c r="A191" s="148">
        <v>43615</v>
      </c>
      <c r="B191" s="107">
        <v>548.5</v>
      </c>
      <c r="C191" s="107">
        <v>539.6</v>
      </c>
      <c r="D191" s="107">
        <v>529.29999999999995</v>
      </c>
      <c r="E191" s="107">
        <v>529.85</v>
      </c>
      <c r="F191" s="107">
        <v>539.6</v>
      </c>
      <c r="G191">
        <v>5015</v>
      </c>
      <c r="H191" s="107"/>
      <c r="I191" s="107"/>
      <c r="L191" s="148">
        <v>43615</v>
      </c>
      <c r="M191" s="107">
        <v>544.15</v>
      </c>
      <c r="N191" s="107">
        <v>549.95000000000005</v>
      </c>
      <c r="O191" s="107">
        <v>526</v>
      </c>
      <c r="P191" s="107">
        <v>526</v>
      </c>
      <c r="Q191" s="107">
        <v>544.15</v>
      </c>
      <c r="R191">
        <v>48366</v>
      </c>
    </row>
    <row r="192" spans="1:18" x14ac:dyDescent="0.25">
      <c r="A192" s="148">
        <v>43616</v>
      </c>
      <c r="B192" s="107">
        <v>550.5</v>
      </c>
      <c r="C192" s="107">
        <v>526.04999999999995</v>
      </c>
      <c r="D192" s="107">
        <v>519.9</v>
      </c>
      <c r="E192" s="107">
        <v>546</v>
      </c>
      <c r="F192" s="107">
        <v>526.04999999999995</v>
      </c>
      <c r="G192">
        <v>4744</v>
      </c>
      <c r="H192" s="107"/>
      <c r="I192" s="107"/>
      <c r="L192" s="148">
        <v>43616</v>
      </c>
      <c r="M192" s="107">
        <v>523.25</v>
      </c>
      <c r="N192" s="107">
        <v>552.95000000000005</v>
      </c>
      <c r="O192" s="107">
        <v>517.79999999999995</v>
      </c>
      <c r="P192" s="107">
        <v>545</v>
      </c>
      <c r="Q192" s="107">
        <v>523.25</v>
      </c>
      <c r="R192">
        <v>67664</v>
      </c>
    </row>
    <row r="193" spans="1:18" x14ac:dyDescent="0.25">
      <c r="A193" s="148">
        <v>43619</v>
      </c>
      <c r="B193" s="107">
        <v>540</v>
      </c>
      <c r="C193" s="107">
        <v>531.6</v>
      </c>
      <c r="D193" s="107">
        <v>523</v>
      </c>
      <c r="E193" s="107">
        <v>525</v>
      </c>
      <c r="F193" s="107">
        <v>531.6</v>
      </c>
      <c r="G193">
        <v>3429</v>
      </c>
      <c r="H193" s="107"/>
      <c r="I193" s="107"/>
      <c r="L193" s="148">
        <v>43619</v>
      </c>
      <c r="M193" s="107">
        <v>533</v>
      </c>
      <c r="N193" s="107">
        <v>542</v>
      </c>
      <c r="O193" s="107">
        <v>521.54999999999995</v>
      </c>
      <c r="P193" s="107">
        <v>527.70000000000005</v>
      </c>
      <c r="Q193" s="107">
        <v>533</v>
      </c>
      <c r="R193">
        <v>27490</v>
      </c>
    </row>
    <row r="194" spans="1:18" x14ac:dyDescent="0.25">
      <c r="A194" s="148">
        <v>43620</v>
      </c>
      <c r="B194" s="107">
        <v>541.9</v>
      </c>
      <c r="C194" s="107">
        <v>536.75</v>
      </c>
      <c r="D194" s="107">
        <v>529</v>
      </c>
      <c r="E194" s="107">
        <v>529</v>
      </c>
      <c r="F194" s="107">
        <v>536.75</v>
      </c>
      <c r="G194">
        <v>6083</v>
      </c>
      <c r="H194" s="107"/>
      <c r="I194" s="107"/>
      <c r="L194" s="148">
        <v>43620</v>
      </c>
      <c r="M194" s="107">
        <v>539.45000000000005</v>
      </c>
      <c r="N194" s="107">
        <v>543</v>
      </c>
      <c r="O194" s="107">
        <v>529.04999999999995</v>
      </c>
      <c r="P194" s="107">
        <v>529.04999999999995</v>
      </c>
      <c r="Q194" s="107">
        <v>539.45000000000005</v>
      </c>
      <c r="R194">
        <v>37908</v>
      </c>
    </row>
    <row r="195" spans="1:18" x14ac:dyDescent="0.25">
      <c r="A195" s="148">
        <v>43622</v>
      </c>
      <c r="B195" s="107">
        <v>547.85</v>
      </c>
      <c r="C195" s="107">
        <v>541</v>
      </c>
      <c r="D195" s="107">
        <v>532.95000000000005</v>
      </c>
      <c r="E195" s="107">
        <v>533</v>
      </c>
      <c r="F195" s="107">
        <v>541</v>
      </c>
      <c r="G195">
        <v>4547</v>
      </c>
      <c r="H195" s="107"/>
      <c r="I195" s="107"/>
      <c r="L195" s="148">
        <v>43622</v>
      </c>
      <c r="M195" s="107">
        <v>544.54999999999995</v>
      </c>
      <c r="N195" s="107">
        <v>549.75</v>
      </c>
      <c r="O195" s="107">
        <v>530.20000000000005</v>
      </c>
      <c r="P195" s="107">
        <v>530.20000000000005</v>
      </c>
      <c r="Q195" s="107">
        <v>544.54999999999995</v>
      </c>
      <c r="R195">
        <v>54818</v>
      </c>
    </row>
    <row r="196" spans="1:18" x14ac:dyDescent="0.25">
      <c r="A196" s="148">
        <v>43623</v>
      </c>
      <c r="B196" s="107">
        <v>552</v>
      </c>
      <c r="C196" s="107">
        <v>549.65</v>
      </c>
      <c r="D196" s="107">
        <v>541</v>
      </c>
      <c r="E196" s="107">
        <v>549.85</v>
      </c>
      <c r="F196" s="107">
        <v>549.65</v>
      </c>
      <c r="G196">
        <v>4911</v>
      </c>
      <c r="H196" s="107"/>
      <c r="I196" s="107"/>
      <c r="L196" s="148">
        <v>43623</v>
      </c>
      <c r="M196" s="107">
        <v>549.6</v>
      </c>
      <c r="N196" s="107">
        <v>558</v>
      </c>
      <c r="O196" s="107">
        <v>540</v>
      </c>
      <c r="P196" s="107">
        <v>547.20000000000005</v>
      </c>
      <c r="Q196" s="107">
        <v>549.6</v>
      </c>
      <c r="R196">
        <v>57096</v>
      </c>
    </row>
    <row r="197" spans="1:18" x14ac:dyDescent="0.25">
      <c r="A197" s="148">
        <v>43626</v>
      </c>
      <c r="B197" s="107">
        <v>553.85</v>
      </c>
      <c r="C197" s="107">
        <v>546.04999999999995</v>
      </c>
      <c r="D197" s="107">
        <v>544</v>
      </c>
      <c r="E197" s="107">
        <v>552</v>
      </c>
      <c r="F197" s="107">
        <v>546.04999999999995</v>
      </c>
      <c r="G197">
        <v>4338</v>
      </c>
      <c r="H197" s="107"/>
      <c r="I197" s="107"/>
      <c r="L197" s="148">
        <v>43626</v>
      </c>
      <c r="M197" s="107">
        <v>550.1</v>
      </c>
      <c r="N197" s="107">
        <v>556.4</v>
      </c>
      <c r="O197" s="107">
        <v>545.54999999999995</v>
      </c>
      <c r="P197" s="107">
        <v>554.9</v>
      </c>
      <c r="Q197" s="107">
        <v>550.1</v>
      </c>
      <c r="R197">
        <v>66096</v>
      </c>
    </row>
    <row r="198" spans="1:18" x14ac:dyDescent="0.25">
      <c r="A198" s="148">
        <v>43627</v>
      </c>
      <c r="B198" s="107">
        <v>591</v>
      </c>
      <c r="C198" s="107">
        <v>575.75</v>
      </c>
      <c r="D198" s="107">
        <v>542</v>
      </c>
      <c r="E198" s="107">
        <v>542</v>
      </c>
      <c r="F198" s="107">
        <v>575.75</v>
      </c>
      <c r="G198">
        <v>20960</v>
      </c>
      <c r="H198" s="107"/>
      <c r="I198" s="107"/>
      <c r="L198" s="148">
        <v>43627</v>
      </c>
      <c r="M198" s="107">
        <v>580.04999999999995</v>
      </c>
      <c r="N198" s="107">
        <v>596.5</v>
      </c>
      <c r="O198" s="107">
        <v>542</v>
      </c>
      <c r="P198" s="107">
        <v>545</v>
      </c>
      <c r="Q198" s="107">
        <v>580.04999999999995</v>
      </c>
      <c r="R198">
        <v>189115</v>
      </c>
    </row>
    <row r="199" spans="1:18" x14ac:dyDescent="0.25">
      <c r="A199" s="148">
        <v>43628</v>
      </c>
      <c r="B199" s="107">
        <v>590.5</v>
      </c>
      <c r="C199" s="107">
        <v>585.15</v>
      </c>
      <c r="D199" s="107">
        <v>580</v>
      </c>
      <c r="E199" s="107">
        <v>580</v>
      </c>
      <c r="F199" s="107">
        <v>585.15</v>
      </c>
      <c r="G199">
        <v>7123</v>
      </c>
      <c r="H199" s="107"/>
      <c r="I199" s="107"/>
      <c r="L199" s="148">
        <v>43628</v>
      </c>
      <c r="M199" s="107">
        <v>585.6</v>
      </c>
      <c r="N199" s="107">
        <v>592.65</v>
      </c>
      <c r="O199" s="107">
        <v>581</v>
      </c>
      <c r="P199" s="107">
        <v>582</v>
      </c>
      <c r="Q199" s="107">
        <v>585.6</v>
      </c>
      <c r="R199">
        <v>122324</v>
      </c>
    </row>
    <row r="200" spans="1:18" x14ac:dyDescent="0.25">
      <c r="A200" s="148">
        <v>43629</v>
      </c>
      <c r="B200" s="107">
        <v>585</v>
      </c>
      <c r="C200" s="107">
        <v>578.25</v>
      </c>
      <c r="D200" s="107">
        <v>578</v>
      </c>
      <c r="E200" s="107">
        <v>580</v>
      </c>
      <c r="F200" s="107">
        <v>578.25</v>
      </c>
      <c r="G200">
        <v>3559</v>
      </c>
      <c r="H200" s="107"/>
      <c r="I200" s="107"/>
      <c r="L200" s="148">
        <v>43629</v>
      </c>
      <c r="M200" s="107">
        <v>580.15</v>
      </c>
      <c r="N200" s="107">
        <v>588.85</v>
      </c>
      <c r="O200" s="107">
        <v>578.5</v>
      </c>
      <c r="P200" s="107">
        <v>585.6</v>
      </c>
      <c r="Q200" s="107">
        <v>580.15</v>
      </c>
      <c r="R200">
        <v>88795</v>
      </c>
    </row>
    <row r="201" spans="1:18" x14ac:dyDescent="0.25">
      <c r="A201" s="148">
        <v>43630</v>
      </c>
      <c r="B201" s="107">
        <v>583</v>
      </c>
      <c r="C201" s="107">
        <v>572.25</v>
      </c>
      <c r="D201" s="107">
        <v>560</v>
      </c>
      <c r="E201" s="107">
        <v>580</v>
      </c>
      <c r="F201" s="107">
        <v>572.25</v>
      </c>
      <c r="G201">
        <v>2767</v>
      </c>
      <c r="H201" s="107"/>
      <c r="I201" s="107"/>
      <c r="L201" s="148">
        <v>43630</v>
      </c>
      <c r="M201" s="107">
        <v>574.85</v>
      </c>
      <c r="N201" s="107">
        <v>585.95000000000005</v>
      </c>
      <c r="O201" s="107">
        <v>560</v>
      </c>
      <c r="P201" s="107">
        <v>581</v>
      </c>
      <c r="Q201" s="107">
        <v>574.85</v>
      </c>
      <c r="R201">
        <v>67681</v>
      </c>
    </row>
    <row r="202" spans="1:18" x14ac:dyDescent="0.25">
      <c r="A202" s="148">
        <v>43633</v>
      </c>
      <c r="B202" s="107">
        <v>580</v>
      </c>
      <c r="C202" s="107">
        <v>541.6</v>
      </c>
      <c r="D202" s="107">
        <v>525.35</v>
      </c>
      <c r="E202" s="107">
        <v>574.75</v>
      </c>
      <c r="F202" s="107">
        <v>541.6</v>
      </c>
      <c r="G202">
        <v>4588</v>
      </c>
      <c r="H202" s="107"/>
      <c r="I202" s="107"/>
      <c r="L202" s="148">
        <v>43633</v>
      </c>
      <c r="M202" s="107">
        <v>540.1</v>
      </c>
      <c r="N202" s="107">
        <v>579</v>
      </c>
      <c r="O202" s="107">
        <v>526.70000000000005</v>
      </c>
      <c r="P202" s="107">
        <v>576</v>
      </c>
      <c r="Q202" s="107">
        <v>540.1</v>
      </c>
      <c r="R202">
        <v>88531</v>
      </c>
    </row>
    <row r="203" spans="1:18" x14ac:dyDescent="0.25">
      <c r="A203" s="148">
        <v>43634</v>
      </c>
      <c r="B203" s="107">
        <v>559.29999999999995</v>
      </c>
      <c r="C203" s="107">
        <v>551.95000000000005</v>
      </c>
      <c r="D203" s="107">
        <v>542.04999999999995</v>
      </c>
      <c r="E203" s="107">
        <v>542.04999999999995</v>
      </c>
      <c r="F203" s="107">
        <v>551.95000000000005</v>
      </c>
      <c r="G203">
        <v>4613</v>
      </c>
      <c r="H203" s="107"/>
      <c r="I203" s="107"/>
      <c r="L203" s="148">
        <v>43634</v>
      </c>
      <c r="M203" s="107">
        <v>555.45000000000005</v>
      </c>
      <c r="N203" s="107">
        <v>560</v>
      </c>
      <c r="O203" s="107">
        <v>538</v>
      </c>
      <c r="P203" s="107">
        <v>538</v>
      </c>
      <c r="Q203" s="107">
        <v>555.45000000000005</v>
      </c>
      <c r="R203">
        <v>56499</v>
      </c>
    </row>
    <row r="204" spans="1:18" x14ac:dyDescent="0.25">
      <c r="A204" s="148">
        <v>43635</v>
      </c>
      <c r="B204" s="107">
        <v>571.20000000000005</v>
      </c>
      <c r="C204" s="107">
        <v>551.70000000000005</v>
      </c>
      <c r="D204" s="107">
        <v>546</v>
      </c>
      <c r="E204" s="107">
        <v>557</v>
      </c>
      <c r="F204" s="107">
        <v>551.70000000000005</v>
      </c>
      <c r="G204">
        <v>2763</v>
      </c>
      <c r="H204" s="107"/>
      <c r="I204" s="107"/>
      <c r="L204" s="148">
        <v>43635</v>
      </c>
      <c r="M204" s="107">
        <v>554.1</v>
      </c>
      <c r="N204" s="107">
        <v>573</v>
      </c>
      <c r="O204" s="107">
        <v>545.04999999999995</v>
      </c>
      <c r="P204" s="107">
        <v>552.79999999999995</v>
      </c>
      <c r="Q204" s="107">
        <v>554.1</v>
      </c>
      <c r="R204">
        <v>64699</v>
      </c>
    </row>
    <row r="205" spans="1:18" x14ac:dyDescent="0.25">
      <c r="A205" s="148">
        <v>43636</v>
      </c>
      <c r="B205" s="107">
        <v>560</v>
      </c>
      <c r="C205" s="107">
        <v>552.5</v>
      </c>
      <c r="D205" s="107">
        <v>543.04999999999995</v>
      </c>
      <c r="E205" s="107">
        <v>554</v>
      </c>
      <c r="F205" s="107">
        <v>552.5</v>
      </c>
      <c r="G205">
        <v>2071</v>
      </c>
      <c r="H205" s="107"/>
      <c r="I205" s="107"/>
      <c r="L205" s="148">
        <v>43636</v>
      </c>
      <c r="M205" s="107">
        <v>552.54999999999995</v>
      </c>
      <c r="N205" s="107">
        <v>561</v>
      </c>
      <c r="O205" s="107">
        <v>541</v>
      </c>
      <c r="P205" s="107">
        <v>553.29999999999995</v>
      </c>
      <c r="Q205" s="107">
        <v>552.54999999999995</v>
      </c>
      <c r="R205">
        <v>46232</v>
      </c>
    </row>
    <row r="206" spans="1:18" x14ac:dyDescent="0.25">
      <c r="A206" s="148">
        <v>43637</v>
      </c>
      <c r="B206" s="107">
        <v>558</v>
      </c>
      <c r="C206" s="107">
        <v>535.25</v>
      </c>
      <c r="D206" s="107">
        <v>531.9</v>
      </c>
      <c r="E206" s="107">
        <v>553</v>
      </c>
      <c r="F206" s="107">
        <v>535.25</v>
      </c>
      <c r="G206">
        <v>3520</v>
      </c>
      <c r="H206" s="107"/>
      <c r="I206" s="107"/>
      <c r="L206" s="148">
        <v>43637</v>
      </c>
      <c r="M206" s="107">
        <v>535</v>
      </c>
      <c r="N206" s="107">
        <v>560.79999999999995</v>
      </c>
      <c r="O206" s="107">
        <v>532.65</v>
      </c>
      <c r="P206" s="107">
        <v>550</v>
      </c>
      <c r="Q206" s="107">
        <v>535</v>
      </c>
      <c r="R206">
        <v>61524</v>
      </c>
    </row>
    <row r="207" spans="1:18" x14ac:dyDescent="0.25">
      <c r="A207" s="148">
        <v>43640</v>
      </c>
      <c r="B207" s="107">
        <v>546.85</v>
      </c>
      <c r="C207" s="107">
        <v>524.29999999999995</v>
      </c>
      <c r="D207" s="107">
        <v>509.5</v>
      </c>
      <c r="E207" s="107">
        <v>539.9</v>
      </c>
      <c r="F207" s="107">
        <v>524.29999999999995</v>
      </c>
      <c r="G207">
        <v>5377</v>
      </c>
      <c r="H207" s="107"/>
      <c r="I207" s="107"/>
      <c r="L207" s="148">
        <v>43640</v>
      </c>
      <c r="M207" s="107">
        <v>523.65</v>
      </c>
      <c r="N207" s="107">
        <v>547.4</v>
      </c>
      <c r="O207" s="107">
        <v>505.05</v>
      </c>
      <c r="P207" s="107">
        <v>536.1</v>
      </c>
      <c r="Q207" s="107">
        <v>523.65</v>
      </c>
      <c r="R207">
        <v>106227</v>
      </c>
    </row>
    <row r="208" spans="1:18" x14ac:dyDescent="0.25">
      <c r="A208" s="148">
        <v>43641</v>
      </c>
      <c r="B208" s="107">
        <v>531</v>
      </c>
      <c r="C208" s="107">
        <v>521.45000000000005</v>
      </c>
      <c r="D208" s="107">
        <v>516.65</v>
      </c>
      <c r="E208" s="107">
        <v>521</v>
      </c>
      <c r="F208" s="107">
        <v>521.45000000000005</v>
      </c>
      <c r="G208">
        <v>1072</v>
      </c>
      <c r="H208" s="107"/>
      <c r="I208" s="107"/>
      <c r="L208" s="148">
        <v>43641</v>
      </c>
      <c r="M208" s="107">
        <v>520.04999999999995</v>
      </c>
      <c r="N208" s="107">
        <v>532</v>
      </c>
      <c r="O208" s="107">
        <v>516.20000000000005</v>
      </c>
      <c r="P208" s="107">
        <v>516.20000000000005</v>
      </c>
      <c r="Q208" s="107">
        <v>520.04999999999995</v>
      </c>
      <c r="R208">
        <v>27216</v>
      </c>
    </row>
    <row r="209" spans="1:18" x14ac:dyDescent="0.25">
      <c r="A209" s="148">
        <v>43642</v>
      </c>
      <c r="B209" s="107">
        <v>537</v>
      </c>
      <c r="C209" s="107">
        <v>520.15</v>
      </c>
      <c r="D209" s="107">
        <v>515.85</v>
      </c>
      <c r="E209" s="107">
        <v>515.9</v>
      </c>
      <c r="F209" s="107">
        <v>520.15</v>
      </c>
      <c r="G209">
        <v>5531</v>
      </c>
      <c r="H209" s="107"/>
      <c r="I209" s="107"/>
      <c r="L209" s="148">
        <v>43642</v>
      </c>
      <c r="M209" s="107">
        <v>519.85</v>
      </c>
      <c r="N209" s="107">
        <v>538.85</v>
      </c>
      <c r="O209" s="107">
        <v>516</v>
      </c>
      <c r="P209" s="107">
        <v>516</v>
      </c>
      <c r="Q209" s="107">
        <v>519.85</v>
      </c>
      <c r="R209">
        <v>29672</v>
      </c>
    </row>
    <row r="210" spans="1:18" x14ac:dyDescent="0.25">
      <c r="A210" s="148">
        <v>43643</v>
      </c>
      <c r="B210" s="107">
        <v>562</v>
      </c>
      <c r="C210" s="107">
        <v>521.95000000000005</v>
      </c>
      <c r="D210" s="107">
        <v>513.25</v>
      </c>
      <c r="E210" s="107">
        <v>525.5</v>
      </c>
      <c r="F210" s="107">
        <v>521.95000000000005</v>
      </c>
      <c r="G210">
        <v>15465</v>
      </c>
      <c r="H210" s="107"/>
      <c r="I210" s="107"/>
      <c r="L210" s="148">
        <v>43643</v>
      </c>
      <c r="M210" s="107">
        <v>524.1</v>
      </c>
      <c r="N210" s="107">
        <v>599</v>
      </c>
      <c r="O210" s="107">
        <v>512.25</v>
      </c>
      <c r="P210" s="107">
        <v>524.9</v>
      </c>
      <c r="Q210" s="107">
        <v>524.1</v>
      </c>
      <c r="R210">
        <v>108591</v>
      </c>
    </row>
    <row r="211" spans="1:18" x14ac:dyDescent="0.25">
      <c r="A211" s="148">
        <v>43644</v>
      </c>
      <c r="B211" s="107">
        <v>528.15</v>
      </c>
      <c r="C211" s="107">
        <v>519.4</v>
      </c>
      <c r="D211" s="107">
        <v>516.5</v>
      </c>
      <c r="E211" s="107">
        <v>525</v>
      </c>
      <c r="F211" s="107">
        <v>519.4</v>
      </c>
      <c r="G211">
        <v>2544</v>
      </c>
      <c r="H211" s="107"/>
      <c r="I211" s="107"/>
      <c r="L211" s="148">
        <v>43644</v>
      </c>
      <c r="M211" s="107">
        <v>519.15</v>
      </c>
      <c r="N211" s="107">
        <v>529.79999999999995</v>
      </c>
      <c r="O211" s="107">
        <v>516.4</v>
      </c>
      <c r="P211" s="107">
        <v>528.65</v>
      </c>
      <c r="Q211" s="107">
        <v>519.15</v>
      </c>
      <c r="R211">
        <v>31568</v>
      </c>
    </row>
    <row r="212" spans="1:18" x14ac:dyDescent="0.25">
      <c r="A212" s="148">
        <v>43647</v>
      </c>
      <c r="B212" s="107">
        <v>538</v>
      </c>
      <c r="C212" s="107">
        <v>516.35</v>
      </c>
      <c r="D212" s="107">
        <v>514.70000000000005</v>
      </c>
      <c r="E212" s="107">
        <v>519.4</v>
      </c>
      <c r="F212" s="107">
        <v>516.35</v>
      </c>
      <c r="G212">
        <v>4641</v>
      </c>
      <c r="H212" s="107"/>
      <c r="I212" s="107"/>
      <c r="L212" s="148">
        <v>43647</v>
      </c>
      <c r="M212" s="107">
        <v>516.75</v>
      </c>
      <c r="N212" s="107">
        <v>539.29999999999995</v>
      </c>
      <c r="O212" s="107">
        <v>512</v>
      </c>
      <c r="P212" s="107">
        <v>512</v>
      </c>
      <c r="Q212" s="107">
        <v>516.75</v>
      </c>
      <c r="R212">
        <v>88640</v>
      </c>
    </row>
    <row r="213" spans="1:18" x14ac:dyDescent="0.25">
      <c r="A213" s="148">
        <v>43648</v>
      </c>
      <c r="B213" s="107">
        <v>523</v>
      </c>
      <c r="C213" s="107">
        <v>515.35</v>
      </c>
      <c r="D213" s="107">
        <v>512.85</v>
      </c>
      <c r="E213" s="107">
        <v>520</v>
      </c>
      <c r="F213" s="107">
        <v>515.35</v>
      </c>
      <c r="G213">
        <v>2055</v>
      </c>
      <c r="H213" s="107"/>
      <c r="I213" s="107"/>
      <c r="L213" s="148">
        <v>43648</v>
      </c>
      <c r="M213" s="107">
        <v>515.79999999999995</v>
      </c>
      <c r="N213" s="107">
        <v>523.45000000000005</v>
      </c>
      <c r="O213" s="107">
        <v>513.20000000000005</v>
      </c>
      <c r="P213" s="107">
        <v>519.95000000000005</v>
      </c>
      <c r="Q213" s="107">
        <v>515.79999999999995</v>
      </c>
      <c r="R213">
        <v>57576</v>
      </c>
    </row>
    <row r="214" spans="1:18" x14ac:dyDescent="0.25">
      <c r="A214" s="148">
        <v>43649</v>
      </c>
      <c r="B214" s="107">
        <v>527.95000000000005</v>
      </c>
      <c r="C214" s="107">
        <v>516.5</v>
      </c>
      <c r="D214" s="107">
        <v>512.65</v>
      </c>
      <c r="E214" s="107">
        <v>519.95000000000005</v>
      </c>
      <c r="F214" s="107">
        <v>516.5</v>
      </c>
      <c r="G214">
        <v>4266</v>
      </c>
      <c r="H214" s="107"/>
      <c r="I214" s="107"/>
      <c r="L214" s="148">
        <v>43649</v>
      </c>
      <c r="M214" s="107">
        <v>516.29999999999995</v>
      </c>
      <c r="N214" s="107">
        <v>527.95000000000005</v>
      </c>
      <c r="O214" s="107">
        <v>510.6</v>
      </c>
      <c r="P214" s="107">
        <v>519.4</v>
      </c>
      <c r="Q214" s="107">
        <v>516.29999999999995</v>
      </c>
      <c r="R214">
        <v>51319</v>
      </c>
    </row>
    <row r="215" spans="1:18" x14ac:dyDescent="0.25">
      <c r="A215" s="148">
        <v>43650</v>
      </c>
      <c r="B215" s="107">
        <v>527.70000000000005</v>
      </c>
      <c r="C215" s="107">
        <v>516.70000000000005</v>
      </c>
      <c r="D215" s="107">
        <v>516.5</v>
      </c>
      <c r="E215" s="107">
        <v>516.79999999999995</v>
      </c>
      <c r="F215" s="107">
        <v>516.70000000000005</v>
      </c>
      <c r="G215">
        <v>4240</v>
      </c>
      <c r="H215" s="107"/>
      <c r="I215" s="107"/>
      <c r="L215" s="148">
        <v>43650</v>
      </c>
      <c r="M215" s="107">
        <v>516.75</v>
      </c>
      <c r="N215" s="107">
        <v>528</v>
      </c>
      <c r="O215" s="107">
        <v>513.6</v>
      </c>
      <c r="P215" s="107">
        <v>518.65</v>
      </c>
      <c r="Q215" s="107">
        <v>516.75</v>
      </c>
      <c r="R215">
        <v>68167</v>
      </c>
    </row>
    <row r="216" spans="1:18" x14ac:dyDescent="0.25">
      <c r="A216" s="148">
        <v>43651</v>
      </c>
      <c r="B216" s="107">
        <v>529</v>
      </c>
      <c r="C216" s="107">
        <v>517.35</v>
      </c>
      <c r="D216" s="107">
        <v>514.5</v>
      </c>
      <c r="E216" s="107">
        <v>518.95000000000005</v>
      </c>
      <c r="F216" s="107">
        <v>517.35</v>
      </c>
      <c r="G216">
        <v>9110</v>
      </c>
      <c r="H216" s="107"/>
      <c r="I216" s="107"/>
      <c r="L216" s="148">
        <v>43651</v>
      </c>
      <c r="M216" s="107">
        <v>515.85</v>
      </c>
      <c r="N216" s="107">
        <v>529.6</v>
      </c>
      <c r="O216" s="107">
        <v>513.15</v>
      </c>
      <c r="P216" s="107">
        <v>518</v>
      </c>
      <c r="Q216" s="107">
        <v>515.85</v>
      </c>
      <c r="R216">
        <v>83862</v>
      </c>
    </row>
    <row r="217" spans="1:18" x14ac:dyDescent="0.25">
      <c r="A217" s="148">
        <v>43654</v>
      </c>
      <c r="B217" s="107">
        <v>516.25</v>
      </c>
      <c r="C217" s="107">
        <v>494.15</v>
      </c>
      <c r="D217" s="107">
        <v>491</v>
      </c>
      <c r="E217" s="107">
        <v>512.35</v>
      </c>
      <c r="F217" s="107">
        <v>494.15</v>
      </c>
      <c r="G217">
        <v>3577</v>
      </c>
      <c r="H217" s="107"/>
      <c r="I217" s="107"/>
      <c r="L217" s="148">
        <v>43654</v>
      </c>
      <c r="M217" s="107">
        <v>493.85</v>
      </c>
      <c r="N217" s="107">
        <v>518.79999999999995</v>
      </c>
      <c r="O217" s="107">
        <v>490.5</v>
      </c>
      <c r="P217" s="107">
        <v>514.5</v>
      </c>
      <c r="Q217" s="107">
        <v>493.85</v>
      </c>
      <c r="R217">
        <v>111340</v>
      </c>
    </row>
    <row r="218" spans="1:18" x14ac:dyDescent="0.25">
      <c r="A218" s="148">
        <v>43655</v>
      </c>
      <c r="B218" s="107">
        <v>499</v>
      </c>
      <c r="C218" s="107">
        <v>497.05</v>
      </c>
      <c r="D218" s="107">
        <v>483.95</v>
      </c>
      <c r="E218" s="107">
        <v>494.5</v>
      </c>
      <c r="F218" s="107">
        <v>497.05</v>
      </c>
      <c r="G218">
        <v>6099</v>
      </c>
      <c r="H218" s="107"/>
      <c r="I218" s="107"/>
      <c r="L218" s="148">
        <v>43655</v>
      </c>
      <c r="M218" s="107">
        <v>496.9</v>
      </c>
      <c r="N218" s="107">
        <v>500</v>
      </c>
      <c r="O218" s="107">
        <v>481.1</v>
      </c>
      <c r="P218" s="107">
        <v>482.25</v>
      </c>
      <c r="Q218" s="107">
        <v>496.9</v>
      </c>
      <c r="R218">
        <v>61252</v>
      </c>
    </row>
    <row r="219" spans="1:18" x14ac:dyDescent="0.25">
      <c r="A219" s="148">
        <v>43656</v>
      </c>
      <c r="B219" s="107">
        <v>496.75</v>
      </c>
      <c r="C219" s="107">
        <v>495.1</v>
      </c>
      <c r="D219" s="107">
        <v>489.05</v>
      </c>
      <c r="E219" s="107">
        <v>493.35</v>
      </c>
      <c r="F219" s="107">
        <v>495.1</v>
      </c>
      <c r="G219">
        <v>5588</v>
      </c>
      <c r="H219" s="107"/>
      <c r="I219" s="107"/>
      <c r="L219" s="148">
        <v>43656</v>
      </c>
      <c r="M219" s="107">
        <v>495.25</v>
      </c>
      <c r="N219" s="107">
        <v>500.45</v>
      </c>
      <c r="O219" s="107">
        <v>487.35</v>
      </c>
      <c r="P219" s="107">
        <v>495</v>
      </c>
      <c r="Q219" s="107">
        <v>495.25</v>
      </c>
      <c r="R219">
        <v>80750</v>
      </c>
    </row>
    <row r="220" spans="1:18" x14ac:dyDescent="0.25">
      <c r="A220" s="148">
        <v>43657</v>
      </c>
      <c r="B220" s="107">
        <v>497.6</v>
      </c>
      <c r="C220" s="107">
        <v>490.8</v>
      </c>
      <c r="D220" s="107">
        <v>488.2</v>
      </c>
      <c r="E220" s="107">
        <v>494</v>
      </c>
      <c r="F220" s="107">
        <v>490.8</v>
      </c>
      <c r="G220">
        <v>1583</v>
      </c>
      <c r="H220" s="107"/>
      <c r="I220" s="107"/>
      <c r="L220" s="148">
        <v>43657</v>
      </c>
      <c r="M220" s="107">
        <v>491.15</v>
      </c>
      <c r="N220" s="107">
        <v>500</v>
      </c>
      <c r="O220" s="107">
        <v>488</v>
      </c>
      <c r="P220" s="107">
        <v>500</v>
      </c>
      <c r="Q220" s="107">
        <v>491.15</v>
      </c>
      <c r="R220">
        <v>46028</v>
      </c>
    </row>
    <row r="221" spans="1:18" x14ac:dyDescent="0.25">
      <c r="A221" s="148">
        <v>43658</v>
      </c>
      <c r="B221" s="107">
        <v>492.15</v>
      </c>
      <c r="C221" s="107">
        <v>488.8</v>
      </c>
      <c r="D221" s="107">
        <v>488.15</v>
      </c>
      <c r="E221" s="107">
        <v>492.15</v>
      </c>
      <c r="F221" s="107">
        <v>488.8</v>
      </c>
      <c r="G221">
        <v>683</v>
      </c>
      <c r="H221" s="107"/>
      <c r="I221" s="107"/>
      <c r="L221" s="148">
        <v>43658</v>
      </c>
      <c r="M221" s="107">
        <v>489.6</v>
      </c>
      <c r="N221" s="107">
        <v>495.5</v>
      </c>
      <c r="O221" s="107">
        <v>487.35</v>
      </c>
      <c r="P221" s="107">
        <v>491</v>
      </c>
      <c r="Q221" s="107">
        <v>489.6</v>
      </c>
      <c r="R221">
        <v>36354</v>
      </c>
    </row>
    <row r="222" spans="1:18" x14ac:dyDescent="0.25">
      <c r="A222" s="148">
        <v>43661</v>
      </c>
      <c r="B222" s="107">
        <v>523.5</v>
      </c>
      <c r="C222" s="107">
        <v>519.54999999999995</v>
      </c>
      <c r="D222" s="107">
        <v>491.1</v>
      </c>
      <c r="E222" s="107">
        <v>491.1</v>
      </c>
      <c r="F222" s="107">
        <v>519.54999999999995</v>
      </c>
      <c r="G222">
        <v>15430</v>
      </c>
      <c r="H222" s="107"/>
      <c r="I222" s="107"/>
      <c r="L222" s="148">
        <v>43661</v>
      </c>
      <c r="M222" s="107">
        <v>519.1</v>
      </c>
      <c r="N222" s="107">
        <v>524</v>
      </c>
      <c r="O222" s="107">
        <v>489.6</v>
      </c>
      <c r="P222" s="107">
        <v>489.6</v>
      </c>
      <c r="Q222" s="107">
        <v>519.1</v>
      </c>
      <c r="R222">
        <v>430074</v>
      </c>
    </row>
    <row r="223" spans="1:18" x14ac:dyDescent="0.25">
      <c r="A223" s="148">
        <v>43662</v>
      </c>
      <c r="B223" s="107">
        <v>534.95000000000005</v>
      </c>
      <c r="C223" s="107">
        <v>531</v>
      </c>
      <c r="D223" s="107">
        <v>523</v>
      </c>
      <c r="E223" s="107">
        <v>523</v>
      </c>
      <c r="F223" s="107">
        <v>531</v>
      </c>
      <c r="G223">
        <v>8324</v>
      </c>
      <c r="H223" s="107"/>
      <c r="I223" s="107"/>
      <c r="L223" s="148">
        <v>43662</v>
      </c>
      <c r="M223" s="107">
        <v>530.79999999999995</v>
      </c>
      <c r="N223" s="107">
        <v>534.70000000000005</v>
      </c>
      <c r="O223" s="107">
        <v>519.85</v>
      </c>
      <c r="P223" s="107">
        <v>521.29999999999995</v>
      </c>
      <c r="Q223" s="107">
        <v>530.79999999999995</v>
      </c>
      <c r="R223">
        <v>569143</v>
      </c>
    </row>
    <row r="224" spans="1:18" x14ac:dyDescent="0.25">
      <c r="A224" s="148">
        <v>43663</v>
      </c>
      <c r="B224" s="107">
        <v>533.35</v>
      </c>
      <c r="C224" s="107">
        <v>526.79999999999995</v>
      </c>
      <c r="D224" s="107">
        <v>522</v>
      </c>
      <c r="E224" s="107">
        <v>525</v>
      </c>
      <c r="F224" s="107">
        <v>526.79999999999995</v>
      </c>
      <c r="G224">
        <v>3854</v>
      </c>
      <c r="H224" s="107"/>
      <c r="I224" s="107"/>
      <c r="L224" s="148">
        <v>43663</v>
      </c>
      <c r="M224" s="107">
        <v>526.29999999999995</v>
      </c>
      <c r="N224" s="107">
        <v>534.9</v>
      </c>
      <c r="O224" s="107">
        <v>521</v>
      </c>
      <c r="P224" s="107">
        <v>532</v>
      </c>
      <c r="Q224" s="107">
        <v>526.29999999999995</v>
      </c>
      <c r="R224">
        <v>543951</v>
      </c>
    </row>
    <row r="225" spans="1:18" x14ac:dyDescent="0.25">
      <c r="A225" s="148">
        <v>43664</v>
      </c>
      <c r="B225" s="107">
        <v>532.70000000000005</v>
      </c>
      <c r="C225" s="107">
        <v>526.54999999999995</v>
      </c>
      <c r="D225" s="107">
        <v>520.70000000000005</v>
      </c>
      <c r="E225" s="107">
        <v>523.35</v>
      </c>
      <c r="F225" s="107">
        <v>526.54999999999995</v>
      </c>
      <c r="G225">
        <v>2679</v>
      </c>
      <c r="H225" s="107"/>
      <c r="I225" s="107"/>
      <c r="L225" s="148">
        <v>43664</v>
      </c>
      <c r="M225" s="107">
        <v>527.45000000000005</v>
      </c>
      <c r="N225" s="107">
        <v>532</v>
      </c>
      <c r="O225" s="107">
        <v>521.20000000000005</v>
      </c>
      <c r="P225" s="107">
        <v>526</v>
      </c>
      <c r="Q225" s="107">
        <v>527.45000000000005</v>
      </c>
      <c r="R225">
        <v>306243</v>
      </c>
    </row>
    <row r="226" spans="1:18" x14ac:dyDescent="0.25">
      <c r="A226" s="148">
        <v>43665</v>
      </c>
      <c r="B226" s="107">
        <v>529.85</v>
      </c>
      <c r="C226" s="107">
        <v>506.1</v>
      </c>
      <c r="D226" s="107">
        <v>502.5</v>
      </c>
      <c r="E226" s="107">
        <v>529</v>
      </c>
      <c r="F226" s="107">
        <v>506.1</v>
      </c>
      <c r="G226">
        <v>4295</v>
      </c>
      <c r="H226" s="107"/>
      <c r="I226" s="107"/>
      <c r="L226" s="148">
        <v>43665</v>
      </c>
      <c r="M226" s="107">
        <v>506.65</v>
      </c>
      <c r="N226" s="107">
        <v>530.35</v>
      </c>
      <c r="O226" s="107">
        <v>503</v>
      </c>
      <c r="P226" s="107">
        <v>527.45000000000005</v>
      </c>
      <c r="Q226" s="107">
        <v>506.65</v>
      </c>
      <c r="R226">
        <v>41910</v>
      </c>
    </row>
    <row r="227" spans="1:18" x14ac:dyDescent="0.25">
      <c r="A227" s="148">
        <v>43668</v>
      </c>
      <c r="B227" s="107">
        <v>511.75</v>
      </c>
      <c r="C227" s="107">
        <v>502.2</v>
      </c>
      <c r="D227" s="107">
        <v>485.55</v>
      </c>
      <c r="E227" s="107">
        <v>502.5</v>
      </c>
      <c r="F227" s="107">
        <v>502.2</v>
      </c>
      <c r="G227">
        <v>878</v>
      </c>
      <c r="H227" s="107"/>
      <c r="I227" s="107"/>
      <c r="L227" s="148">
        <v>43668</v>
      </c>
      <c r="M227" s="107">
        <v>501.65</v>
      </c>
      <c r="N227" s="107">
        <v>511.8</v>
      </c>
      <c r="O227" s="107">
        <v>485</v>
      </c>
      <c r="P227" s="107">
        <v>500.55</v>
      </c>
      <c r="Q227" s="107">
        <v>501.65</v>
      </c>
      <c r="R227">
        <v>32755</v>
      </c>
    </row>
    <row r="228" spans="1:18" x14ac:dyDescent="0.25">
      <c r="A228" s="148">
        <v>43669</v>
      </c>
      <c r="B228" s="107">
        <v>520.5</v>
      </c>
      <c r="C228" s="107">
        <v>514.5</v>
      </c>
      <c r="D228" s="107">
        <v>501.65</v>
      </c>
      <c r="E228" s="107">
        <v>501.65</v>
      </c>
      <c r="F228" s="107">
        <v>514.5</v>
      </c>
      <c r="G228">
        <v>2722</v>
      </c>
      <c r="H228" s="107"/>
      <c r="I228" s="107"/>
      <c r="L228" s="148">
        <v>43669</v>
      </c>
      <c r="M228" s="107">
        <v>515</v>
      </c>
      <c r="N228" s="107">
        <v>522</v>
      </c>
      <c r="O228" s="107">
        <v>495.6</v>
      </c>
      <c r="P228" s="107">
        <v>502.3</v>
      </c>
      <c r="Q228" s="107">
        <v>515</v>
      </c>
      <c r="R228">
        <v>101200</v>
      </c>
    </row>
    <row r="229" spans="1:18" x14ac:dyDescent="0.25">
      <c r="A229" s="148">
        <v>43670</v>
      </c>
      <c r="B229" s="107">
        <v>530</v>
      </c>
      <c r="C229" s="107">
        <v>527</v>
      </c>
      <c r="D229" s="107">
        <v>513.04999999999995</v>
      </c>
      <c r="E229" s="107">
        <v>515.29999999999995</v>
      </c>
      <c r="F229" s="107">
        <v>527</v>
      </c>
      <c r="G229">
        <v>4690</v>
      </c>
      <c r="H229" s="107"/>
      <c r="I229" s="107"/>
      <c r="L229" s="148">
        <v>43670</v>
      </c>
      <c r="M229" s="107">
        <v>527.25</v>
      </c>
      <c r="N229" s="107">
        <v>530</v>
      </c>
      <c r="O229" s="107">
        <v>510</v>
      </c>
      <c r="P229" s="107">
        <v>519</v>
      </c>
      <c r="Q229" s="107">
        <v>527.25</v>
      </c>
      <c r="R229">
        <v>621134</v>
      </c>
    </row>
    <row r="230" spans="1:18" x14ac:dyDescent="0.25">
      <c r="A230" s="148">
        <v>43671</v>
      </c>
      <c r="B230" s="107">
        <v>536</v>
      </c>
      <c r="C230" s="107">
        <v>534.45000000000005</v>
      </c>
      <c r="D230" s="107">
        <v>520.85</v>
      </c>
      <c r="E230" s="107">
        <v>534</v>
      </c>
      <c r="F230" s="107">
        <v>534.45000000000005</v>
      </c>
      <c r="G230">
        <v>2739</v>
      </c>
      <c r="H230" s="107"/>
      <c r="I230" s="107"/>
      <c r="L230" s="148">
        <v>43671</v>
      </c>
      <c r="M230" s="107">
        <v>534.95000000000005</v>
      </c>
      <c r="N230" s="107">
        <v>536</v>
      </c>
      <c r="O230" s="107">
        <v>525.54999999999995</v>
      </c>
      <c r="P230" s="107">
        <v>527.25</v>
      </c>
      <c r="Q230" s="107">
        <v>534.95000000000005</v>
      </c>
      <c r="R230">
        <v>104838</v>
      </c>
    </row>
    <row r="231" spans="1:18" x14ac:dyDescent="0.25">
      <c r="A231" s="148">
        <v>43672</v>
      </c>
      <c r="B231" s="107">
        <v>537.75</v>
      </c>
      <c r="C231" s="107">
        <v>535.75</v>
      </c>
      <c r="D231" s="107">
        <v>528</v>
      </c>
      <c r="E231" s="107">
        <v>528</v>
      </c>
      <c r="F231" s="107">
        <v>535.75</v>
      </c>
      <c r="G231">
        <v>828</v>
      </c>
      <c r="H231" s="107"/>
      <c r="I231" s="107"/>
      <c r="L231" s="148">
        <v>43672</v>
      </c>
      <c r="M231" s="107">
        <v>535.20000000000005</v>
      </c>
      <c r="N231" s="107">
        <v>539</v>
      </c>
      <c r="O231" s="107">
        <v>528.79999999999995</v>
      </c>
      <c r="P231" s="107">
        <v>534.95000000000005</v>
      </c>
      <c r="Q231" s="107">
        <v>535.20000000000005</v>
      </c>
      <c r="R231">
        <v>50263</v>
      </c>
    </row>
    <row r="232" spans="1:18" x14ac:dyDescent="0.25">
      <c r="A232" s="148">
        <v>43675</v>
      </c>
      <c r="B232" s="107">
        <v>545</v>
      </c>
      <c r="C232" s="107">
        <v>539.54999999999995</v>
      </c>
      <c r="D232" s="107">
        <v>539</v>
      </c>
      <c r="E232" s="107">
        <v>539</v>
      </c>
      <c r="F232" s="107">
        <v>539.54999999999995</v>
      </c>
      <c r="G232">
        <v>1370</v>
      </c>
      <c r="H232" s="107"/>
      <c r="I232" s="107"/>
      <c r="L232" s="148">
        <v>43675</v>
      </c>
      <c r="M232" s="107">
        <v>540.45000000000005</v>
      </c>
      <c r="N232" s="107">
        <v>547.75</v>
      </c>
      <c r="O232" s="107">
        <v>537.85</v>
      </c>
      <c r="P232" s="107">
        <v>538</v>
      </c>
      <c r="Q232" s="107">
        <v>540.45000000000005</v>
      </c>
      <c r="R232">
        <v>82940</v>
      </c>
    </row>
    <row r="233" spans="1:18" x14ac:dyDescent="0.25">
      <c r="A233" s="148">
        <v>43676</v>
      </c>
      <c r="B233" s="107">
        <v>543.75</v>
      </c>
      <c r="C233" s="107">
        <v>536.70000000000005</v>
      </c>
      <c r="D233" s="107">
        <v>533.20000000000005</v>
      </c>
      <c r="E233" s="107">
        <v>535</v>
      </c>
      <c r="F233" s="107">
        <v>536.70000000000005</v>
      </c>
      <c r="G233">
        <v>1575</v>
      </c>
      <c r="H233" s="107"/>
      <c r="I233" s="107"/>
      <c r="L233" s="148">
        <v>43676</v>
      </c>
      <c r="M233" s="107">
        <v>539.70000000000005</v>
      </c>
      <c r="N233" s="107">
        <v>546.5</v>
      </c>
      <c r="O233" s="107">
        <v>530</v>
      </c>
      <c r="P233" s="107">
        <v>540.45000000000005</v>
      </c>
      <c r="Q233" s="107">
        <v>539.70000000000005</v>
      </c>
      <c r="R233">
        <v>454932</v>
      </c>
    </row>
    <row r="234" spans="1:18" x14ac:dyDescent="0.25">
      <c r="A234" s="148">
        <v>43677</v>
      </c>
      <c r="B234" s="107">
        <v>532</v>
      </c>
      <c r="C234" s="107">
        <v>522.9</v>
      </c>
      <c r="D234" s="107">
        <v>516.9</v>
      </c>
      <c r="E234" s="107">
        <v>531.79999999999995</v>
      </c>
      <c r="F234" s="107">
        <v>522.9</v>
      </c>
      <c r="G234">
        <v>1010</v>
      </c>
      <c r="H234" s="107"/>
      <c r="I234" s="107"/>
      <c r="L234" s="148">
        <v>43677</v>
      </c>
      <c r="M234" s="107">
        <v>524.75</v>
      </c>
      <c r="N234" s="107">
        <v>537.70000000000005</v>
      </c>
      <c r="O234" s="107">
        <v>515</v>
      </c>
      <c r="P234" s="107">
        <v>530</v>
      </c>
      <c r="Q234" s="107">
        <v>524.75</v>
      </c>
      <c r="R234">
        <v>194783</v>
      </c>
    </row>
    <row r="235" spans="1:18" x14ac:dyDescent="0.25">
      <c r="A235" s="148">
        <v>43678</v>
      </c>
      <c r="B235" s="107">
        <v>530</v>
      </c>
      <c r="C235" s="107">
        <v>506.15</v>
      </c>
      <c r="D235" s="107">
        <v>483</v>
      </c>
      <c r="E235" s="107">
        <v>521.9</v>
      </c>
      <c r="F235" s="107">
        <v>506.15</v>
      </c>
      <c r="G235">
        <v>7317</v>
      </c>
      <c r="H235" s="107"/>
      <c r="I235" s="107"/>
      <c r="L235" s="148">
        <v>43678</v>
      </c>
      <c r="M235" s="107">
        <v>501.05</v>
      </c>
      <c r="N235" s="107">
        <v>531.75</v>
      </c>
      <c r="O235" s="107">
        <v>481.85</v>
      </c>
      <c r="P235" s="107">
        <v>527</v>
      </c>
      <c r="Q235" s="107">
        <v>501.05</v>
      </c>
      <c r="R235">
        <v>259447</v>
      </c>
    </row>
    <row r="236" spans="1:18" x14ac:dyDescent="0.25">
      <c r="A236" s="148">
        <v>43679</v>
      </c>
      <c r="B236" s="107">
        <v>532</v>
      </c>
      <c r="C236" s="107">
        <v>528.1</v>
      </c>
      <c r="D236" s="107">
        <v>494.8</v>
      </c>
      <c r="E236" s="107">
        <v>502.7</v>
      </c>
      <c r="F236" s="107">
        <v>528.1</v>
      </c>
      <c r="G236">
        <v>4974</v>
      </c>
      <c r="H236" s="107"/>
      <c r="I236" s="107"/>
      <c r="L236" s="148">
        <v>43679</v>
      </c>
      <c r="M236" s="107">
        <v>528.45000000000005</v>
      </c>
      <c r="N236" s="107">
        <v>532.9</v>
      </c>
      <c r="O236" s="107">
        <v>495</v>
      </c>
      <c r="P236" s="107">
        <v>503.05</v>
      </c>
      <c r="Q236" s="107">
        <v>528.45000000000005</v>
      </c>
      <c r="R236">
        <v>196654</v>
      </c>
    </row>
    <row r="237" spans="1:18" x14ac:dyDescent="0.25">
      <c r="A237" s="148">
        <v>43682</v>
      </c>
      <c r="B237" s="107">
        <v>516.54999999999995</v>
      </c>
      <c r="C237" s="107">
        <v>499.45</v>
      </c>
      <c r="D237" s="107">
        <v>495</v>
      </c>
      <c r="E237" s="107">
        <v>509.5</v>
      </c>
      <c r="F237" s="107">
        <v>499.45</v>
      </c>
      <c r="G237">
        <v>3381</v>
      </c>
      <c r="H237" s="107"/>
      <c r="I237" s="107"/>
      <c r="L237" s="148">
        <v>43682</v>
      </c>
      <c r="M237" s="107">
        <v>500.1</v>
      </c>
      <c r="N237" s="107">
        <v>521.20000000000005</v>
      </c>
      <c r="O237" s="107">
        <v>493.2</v>
      </c>
      <c r="P237" s="107">
        <v>521.20000000000005</v>
      </c>
      <c r="Q237" s="107">
        <v>500.1</v>
      </c>
      <c r="R237">
        <v>53433</v>
      </c>
    </row>
    <row r="238" spans="1:18" x14ac:dyDescent="0.25">
      <c r="A238" s="148">
        <v>43683</v>
      </c>
      <c r="B238" s="107">
        <v>517.9</v>
      </c>
      <c r="C238" s="107">
        <v>507.1</v>
      </c>
      <c r="D238" s="107">
        <v>498</v>
      </c>
      <c r="E238" s="107">
        <v>517.9</v>
      </c>
      <c r="F238" s="107">
        <v>507.1</v>
      </c>
      <c r="G238">
        <v>1608</v>
      </c>
      <c r="H238" s="107"/>
      <c r="I238" s="107"/>
      <c r="L238" s="148">
        <v>43683</v>
      </c>
      <c r="M238" s="107">
        <v>507.45</v>
      </c>
      <c r="N238" s="107">
        <v>513.65</v>
      </c>
      <c r="O238" s="107">
        <v>497</v>
      </c>
      <c r="P238" s="107">
        <v>497</v>
      </c>
      <c r="Q238" s="107">
        <v>507.45</v>
      </c>
      <c r="R238">
        <v>60154</v>
      </c>
    </row>
    <row r="239" spans="1:18" x14ac:dyDescent="0.25">
      <c r="A239" s="148">
        <v>43684</v>
      </c>
      <c r="B239" s="107">
        <v>513.5</v>
      </c>
      <c r="C239" s="107">
        <v>503.15</v>
      </c>
      <c r="D239" s="107">
        <v>496.3</v>
      </c>
      <c r="E239" s="107">
        <v>505.8</v>
      </c>
      <c r="F239" s="107">
        <v>503.15</v>
      </c>
      <c r="G239">
        <v>1561</v>
      </c>
      <c r="H239" s="107"/>
      <c r="I239" s="107"/>
      <c r="L239" s="148">
        <v>43684</v>
      </c>
      <c r="M239" s="107">
        <v>500.9</v>
      </c>
      <c r="N239" s="107">
        <v>515</v>
      </c>
      <c r="O239" s="107">
        <v>495.6</v>
      </c>
      <c r="P239" s="107">
        <v>502</v>
      </c>
      <c r="Q239" s="107">
        <v>500.9</v>
      </c>
      <c r="R239">
        <v>67463</v>
      </c>
    </row>
    <row r="240" spans="1:18" x14ac:dyDescent="0.25">
      <c r="A240" s="148">
        <v>43685</v>
      </c>
      <c r="B240" s="107">
        <v>512.70000000000005</v>
      </c>
      <c r="C240" s="107">
        <v>498.95</v>
      </c>
      <c r="D240" s="107">
        <v>492</v>
      </c>
      <c r="E240" s="107">
        <v>512.70000000000005</v>
      </c>
      <c r="F240" s="107">
        <v>498.95</v>
      </c>
      <c r="G240">
        <v>1835</v>
      </c>
      <c r="H240" s="107"/>
      <c r="I240" s="107"/>
      <c r="L240" s="148">
        <v>43685</v>
      </c>
      <c r="M240" s="107">
        <v>498.65</v>
      </c>
      <c r="N240" s="107">
        <v>512</v>
      </c>
      <c r="O240" s="107">
        <v>487.9</v>
      </c>
      <c r="P240" s="107">
        <v>501</v>
      </c>
      <c r="Q240" s="107">
        <v>498.65</v>
      </c>
      <c r="R240">
        <v>39068</v>
      </c>
    </row>
    <row r="241" spans="1:18" x14ac:dyDescent="0.25">
      <c r="A241" s="148">
        <v>43686</v>
      </c>
      <c r="B241" s="107">
        <v>525.95000000000005</v>
      </c>
      <c r="C241" s="107">
        <v>521.20000000000005</v>
      </c>
      <c r="D241" s="107">
        <v>501.8</v>
      </c>
      <c r="E241" s="107">
        <v>503.95</v>
      </c>
      <c r="F241" s="107">
        <v>521.20000000000005</v>
      </c>
      <c r="G241">
        <v>4148</v>
      </c>
      <c r="H241" s="107"/>
      <c r="I241" s="107"/>
      <c r="L241" s="148">
        <v>43686</v>
      </c>
      <c r="M241" s="107">
        <v>519.54999999999995</v>
      </c>
      <c r="N241" s="107">
        <v>527.5</v>
      </c>
      <c r="O241" s="107">
        <v>499.05</v>
      </c>
      <c r="P241" s="107">
        <v>503.7</v>
      </c>
      <c r="Q241" s="107">
        <v>519.54999999999995</v>
      </c>
      <c r="R241">
        <v>187692</v>
      </c>
    </row>
    <row r="242" spans="1:18" x14ac:dyDescent="0.25">
      <c r="A242" s="148">
        <v>43690</v>
      </c>
      <c r="B242" s="107">
        <v>524</v>
      </c>
      <c r="C242" s="107">
        <v>510.2</v>
      </c>
      <c r="D242" s="107">
        <v>509</v>
      </c>
      <c r="E242" s="107">
        <v>521</v>
      </c>
      <c r="F242" s="107">
        <v>510.2</v>
      </c>
      <c r="G242">
        <v>640</v>
      </c>
      <c r="H242" s="107"/>
      <c r="I242" s="107"/>
      <c r="L242" s="148">
        <v>43690</v>
      </c>
      <c r="M242" s="107">
        <v>509.8</v>
      </c>
      <c r="N242" s="107">
        <v>524.65</v>
      </c>
      <c r="O242" s="107">
        <v>504.4</v>
      </c>
      <c r="P242" s="107">
        <v>520</v>
      </c>
      <c r="Q242" s="107">
        <v>509.8</v>
      </c>
      <c r="R242">
        <v>31194</v>
      </c>
    </row>
    <row r="243" spans="1:18" x14ac:dyDescent="0.25">
      <c r="A243" s="148">
        <v>43691</v>
      </c>
      <c r="B243" s="107">
        <v>525</v>
      </c>
      <c r="C243" s="107">
        <v>512.25</v>
      </c>
      <c r="D243" s="107">
        <v>505.85</v>
      </c>
      <c r="E243" s="107">
        <v>505.85</v>
      </c>
      <c r="F243" s="107">
        <v>512.25</v>
      </c>
      <c r="G243">
        <v>2045</v>
      </c>
      <c r="H243" s="107"/>
      <c r="I243" s="107"/>
      <c r="L243" s="148">
        <v>43691</v>
      </c>
      <c r="M243" s="107">
        <v>512.04999999999995</v>
      </c>
      <c r="N243" s="107">
        <v>526</v>
      </c>
      <c r="O243" s="107">
        <v>505</v>
      </c>
      <c r="P243" s="107">
        <v>505.25</v>
      </c>
      <c r="Q243" s="107">
        <v>512.04999999999995</v>
      </c>
      <c r="R243">
        <v>135604</v>
      </c>
    </row>
    <row r="244" spans="1:18" x14ac:dyDescent="0.25">
      <c r="A244" s="148">
        <v>43693</v>
      </c>
      <c r="B244" s="107">
        <v>523.20000000000005</v>
      </c>
      <c r="C244" s="107">
        <v>514.5</v>
      </c>
      <c r="D244" s="107">
        <v>505</v>
      </c>
      <c r="E244" s="107">
        <v>506.05</v>
      </c>
      <c r="F244" s="107">
        <v>514.5</v>
      </c>
      <c r="G244">
        <v>2250</v>
      </c>
      <c r="H244" s="107"/>
      <c r="I244" s="107"/>
      <c r="L244" s="148">
        <v>43693</v>
      </c>
      <c r="M244" s="107">
        <v>515.45000000000005</v>
      </c>
      <c r="N244" s="107">
        <v>525</v>
      </c>
      <c r="O244" s="107">
        <v>505.1</v>
      </c>
      <c r="P244" s="107">
        <v>506</v>
      </c>
      <c r="Q244" s="107">
        <v>515.45000000000005</v>
      </c>
      <c r="R244">
        <v>79805</v>
      </c>
    </row>
    <row r="245" spans="1:18" x14ac:dyDescent="0.25">
      <c r="A245" s="148">
        <v>43696</v>
      </c>
      <c r="B245" s="107">
        <v>532</v>
      </c>
      <c r="C245" s="107">
        <v>508.7</v>
      </c>
      <c r="D245" s="107">
        <v>505</v>
      </c>
      <c r="E245" s="107">
        <v>514.5</v>
      </c>
      <c r="F245" s="107">
        <v>508.7</v>
      </c>
      <c r="G245">
        <v>3202</v>
      </c>
      <c r="H245" s="107"/>
      <c r="I245" s="107"/>
      <c r="L245" s="148">
        <v>43696</v>
      </c>
      <c r="M245" s="107">
        <v>508.15</v>
      </c>
      <c r="N245" s="107">
        <v>532</v>
      </c>
      <c r="O245" s="107">
        <v>505.05</v>
      </c>
      <c r="P245" s="107">
        <v>513.1</v>
      </c>
      <c r="Q245" s="107">
        <v>508.15</v>
      </c>
      <c r="R245">
        <v>256143</v>
      </c>
    </row>
    <row r="246" spans="1:18" x14ac:dyDescent="0.25">
      <c r="A246" s="148">
        <v>43697</v>
      </c>
      <c r="B246" s="107">
        <v>514.54999999999995</v>
      </c>
      <c r="C246" s="107">
        <v>509.4</v>
      </c>
      <c r="D246" s="107">
        <v>505.55</v>
      </c>
      <c r="E246" s="107">
        <v>510</v>
      </c>
      <c r="F246" s="107">
        <v>509.4</v>
      </c>
      <c r="G246">
        <v>1159</v>
      </c>
      <c r="H246" s="107"/>
      <c r="I246" s="107"/>
      <c r="L246" s="148">
        <v>43697</v>
      </c>
      <c r="M246" s="107">
        <v>509.5</v>
      </c>
      <c r="N246" s="107">
        <v>515.85</v>
      </c>
      <c r="O246" s="107">
        <v>506.05</v>
      </c>
      <c r="P246" s="107">
        <v>508.3</v>
      </c>
      <c r="Q246" s="107">
        <v>509.5</v>
      </c>
      <c r="R246">
        <v>75359</v>
      </c>
    </row>
    <row r="247" spans="1:18" x14ac:dyDescent="0.25">
      <c r="A247" s="148">
        <v>43698</v>
      </c>
      <c r="B247" s="107">
        <v>515.5</v>
      </c>
      <c r="C247" s="107">
        <v>509.85</v>
      </c>
      <c r="D247" s="107">
        <v>507.25</v>
      </c>
      <c r="E247" s="107">
        <v>507.25</v>
      </c>
      <c r="F247" s="107">
        <v>509.85</v>
      </c>
      <c r="G247">
        <v>792</v>
      </c>
      <c r="H247" s="107"/>
      <c r="I247" s="107"/>
      <c r="L247" s="148">
        <v>43698</v>
      </c>
      <c r="M247" s="107">
        <v>509.6</v>
      </c>
      <c r="N247" s="107">
        <v>515.45000000000005</v>
      </c>
      <c r="O247" s="107">
        <v>505.4</v>
      </c>
      <c r="P247" s="107">
        <v>505.4</v>
      </c>
      <c r="Q247" s="107">
        <v>509.6</v>
      </c>
      <c r="R247">
        <v>29200</v>
      </c>
    </row>
    <row r="248" spans="1:18" x14ac:dyDescent="0.25">
      <c r="A248" s="148">
        <v>43699</v>
      </c>
      <c r="B248" s="107">
        <v>513</v>
      </c>
      <c r="C248" s="107">
        <v>506.5</v>
      </c>
      <c r="D248" s="107">
        <v>500</v>
      </c>
      <c r="E248" s="107">
        <v>510.5</v>
      </c>
      <c r="F248" s="107">
        <v>506.5</v>
      </c>
      <c r="G248">
        <v>543</v>
      </c>
      <c r="H248" s="107"/>
      <c r="I248" s="107"/>
      <c r="L248" s="148">
        <v>43699</v>
      </c>
      <c r="M248" s="107">
        <v>508.15</v>
      </c>
      <c r="N248" s="107">
        <v>516.45000000000005</v>
      </c>
      <c r="O248" s="107">
        <v>500</v>
      </c>
      <c r="P248" s="107">
        <v>507.4</v>
      </c>
      <c r="Q248" s="107">
        <v>508.15</v>
      </c>
      <c r="R248">
        <v>46555</v>
      </c>
    </row>
    <row r="249" spans="1:18" x14ac:dyDescent="0.25">
      <c r="A249" s="148">
        <v>43700</v>
      </c>
      <c r="B249" s="107">
        <v>519.65</v>
      </c>
      <c r="C249" s="107">
        <v>515.54999999999995</v>
      </c>
      <c r="D249" s="107">
        <v>497.2</v>
      </c>
      <c r="E249" s="107">
        <v>502.15</v>
      </c>
      <c r="F249" s="107">
        <v>515.54999999999995</v>
      </c>
      <c r="G249">
        <v>2632</v>
      </c>
      <c r="H249" s="107"/>
      <c r="I249" s="107"/>
      <c r="L249" s="148">
        <v>43700</v>
      </c>
      <c r="M249" s="107">
        <v>516.6</v>
      </c>
      <c r="N249" s="107">
        <v>519</v>
      </c>
      <c r="O249" s="107">
        <v>498</v>
      </c>
      <c r="P249" s="107">
        <v>501.5</v>
      </c>
      <c r="Q249" s="107">
        <v>516.6</v>
      </c>
      <c r="R249">
        <v>26592</v>
      </c>
    </row>
    <row r="250" spans="1:18" x14ac:dyDescent="0.25">
      <c r="A250" s="148">
        <v>43703</v>
      </c>
      <c r="B250" s="107">
        <v>525.04999999999995</v>
      </c>
      <c r="C250" s="107">
        <v>521.79999999999995</v>
      </c>
      <c r="D250" s="107">
        <v>513.85</v>
      </c>
      <c r="E250" s="107">
        <v>518</v>
      </c>
      <c r="F250" s="107">
        <v>521.79999999999995</v>
      </c>
      <c r="G250">
        <v>1735</v>
      </c>
      <c r="H250" s="107"/>
      <c r="I250" s="107"/>
      <c r="L250" s="148">
        <v>43703</v>
      </c>
      <c r="M250" s="107">
        <v>525.04999999999995</v>
      </c>
      <c r="N250" s="107">
        <v>526.95000000000005</v>
      </c>
      <c r="O250" s="107">
        <v>511.35</v>
      </c>
      <c r="P250" s="107">
        <v>517</v>
      </c>
      <c r="Q250" s="107">
        <v>525.04999999999995</v>
      </c>
      <c r="R250">
        <v>67778</v>
      </c>
    </row>
    <row r="251" spans="1:18" x14ac:dyDescent="0.25">
      <c r="A251" s="148">
        <v>43704</v>
      </c>
      <c r="B251" s="107">
        <v>530</v>
      </c>
      <c r="C251" s="107">
        <v>522</v>
      </c>
      <c r="D251" s="107">
        <v>520</v>
      </c>
      <c r="E251" s="107">
        <v>522</v>
      </c>
      <c r="F251" s="107">
        <v>522</v>
      </c>
      <c r="G251">
        <v>1075</v>
      </c>
      <c r="H251" s="107"/>
      <c r="I251" s="107"/>
      <c r="L251" s="148">
        <v>43704</v>
      </c>
      <c r="M251" s="107">
        <v>524.35</v>
      </c>
      <c r="N251" s="107">
        <v>530.04999999999995</v>
      </c>
      <c r="O251" s="107">
        <v>520.15</v>
      </c>
      <c r="P251" s="107">
        <v>527.5</v>
      </c>
      <c r="Q251" s="107">
        <v>524.35</v>
      </c>
      <c r="R251">
        <v>49400</v>
      </c>
    </row>
    <row r="252" spans="1:18" x14ac:dyDescent="0.25">
      <c r="A252" s="148">
        <v>43705</v>
      </c>
      <c r="B252" s="107">
        <v>532</v>
      </c>
      <c r="C252" s="107">
        <v>524.75</v>
      </c>
      <c r="D252" s="107">
        <v>520</v>
      </c>
      <c r="E252" s="107">
        <v>524.35</v>
      </c>
      <c r="F252" s="107">
        <v>524.75</v>
      </c>
      <c r="G252">
        <v>1933</v>
      </c>
      <c r="H252" s="107"/>
      <c r="I252" s="107"/>
      <c r="L252" s="148">
        <v>43705</v>
      </c>
      <c r="M252" s="107">
        <v>524.04999999999995</v>
      </c>
      <c r="N252" s="107">
        <v>533</v>
      </c>
      <c r="O252" s="107">
        <v>519.25</v>
      </c>
      <c r="P252" s="107">
        <v>525</v>
      </c>
      <c r="Q252" s="107">
        <v>524.04999999999995</v>
      </c>
      <c r="R252">
        <v>48167</v>
      </c>
    </row>
    <row r="253" spans="1:18" x14ac:dyDescent="0.25">
      <c r="A253" s="148">
        <v>43706</v>
      </c>
      <c r="B253" s="107">
        <v>525.29999999999995</v>
      </c>
      <c r="C253" s="107">
        <v>524.20000000000005</v>
      </c>
      <c r="D253" s="107">
        <v>519.9</v>
      </c>
      <c r="E253" s="107">
        <v>520</v>
      </c>
      <c r="F253" s="107">
        <v>524.20000000000005</v>
      </c>
      <c r="G253">
        <v>306</v>
      </c>
      <c r="H253" s="107"/>
      <c r="I253" s="107"/>
      <c r="L253" s="148">
        <v>43706</v>
      </c>
      <c r="M253" s="107">
        <v>525.04999999999995</v>
      </c>
      <c r="N253" s="107">
        <v>526.5</v>
      </c>
      <c r="O253" s="107">
        <v>520</v>
      </c>
      <c r="P253" s="107">
        <v>520</v>
      </c>
      <c r="Q253" s="107">
        <v>525.04999999999995</v>
      </c>
      <c r="R253">
        <v>43110</v>
      </c>
    </row>
    <row r="254" spans="1:18" x14ac:dyDescent="0.25">
      <c r="A254" s="148">
        <v>43707</v>
      </c>
      <c r="B254" s="107">
        <v>586.95000000000005</v>
      </c>
      <c r="C254" s="107">
        <v>559.6</v>
      </c>
      <c r="D254" s="107">
        <v>524.79999999999995</v>
      </c>
      <c r="E254" s="107">
        <v>528</v>
      </c>
      <c r="F254" s="107">
        <v>559.6</v>
      </c>
      <c r="G254">
        <v>17956</v>
      </c>
      <c r="H254" s="107"/>
      <c r="I254" s="107"/>
      <c r="L254" s="148">
        <v>43707</v>
      </c>
      <c r="M254" s="107">
        <v>559.95000000000005</v>
      </c>
      <c r="N254" s="107">
        <v>586.70000000000005</v>
      </c>
      <c r="O254" s="107">
        <v>522.6</v>
      </c>
      <c r="P254" s="107">
        <v>524.1</v>
      </c>
      <c r="Q254" s="107">
        <v>559.95000000000005</v>
      </c>
      <c r="R254">
        <v>377049</v>
      </c>
    </row>
    <row r="255" spans="1:18" x14ac:dyDescent="0.25">
      <c r="A255" s="148">
        <v>43711</v>
      </c>
      <c r="B255" s="107">
        <v>582.4</v>
      </c>
      <c r="C255" s="107">
        <v>554.29999999999995</v>
      </c>
      <c r="D255" s="107">
        <v>554</v>
      </c>
      <c r="E255" s="107">
        <v>555</v>
      </c>
      <c r="F255" s="107">
        <v>554.29999999999995</v>
      </c>
      <c r="G255">
        <v>4582</v>
      </c>
      <c r="H255" s="107"/>
      <c r="I255" s="107"/>
      <c r="L255" s="148">
        <v>43711</v>
      </c>
      <c r="M255" s="107">
        <v>555.45000000000005</v>
      </c>
      <c r="N255" s="107">
        <v>584</v>
      </c>
      <c r="O255" s="107">
        <v>554.15</v>
      </c>
      <c r="P255" s="107">
        <v>559.5</v>
      </c>
      <c r="Q255" s="107">
        <v>555.45000000000005</v>
      </c>
      <c r="R255">
        <v>58857</v>
      </c>
    </row>
    <row r="256" spans="1:18" x14ac:dyDescent="0.25">
      <c r="A256" s="148">
        <v>43712</v>
      </c>
      <c r="B256" s="107">
        <v>570.70000000000005</v>
      </c>
      <c r="C256" s="107">
        <v>569</v>
      </c>
      <c r="D256" s="107">
        <v>557.29999999999995</v>
      </c>
      <c r="E256" s="107">
        <v>558.6</v>
      </c>
      <c r="F256" s="107">
        <v>569</v>
      </c>
      <c r="G256">
        <v>2606</v>
      </c>
      <c r="H256" s="107"/>
      <c r="I256" s="107"/>
      <c r="L256" s="148">
        <v>43712</v>
      </c>
      <c r="M256" s="107">
        <v>567.9</v>
      </c>
      <c r="N256" s="107">
        <v>570</v>
      </c>
      <c r="O256" s="107">
        <v>554.9</v>
      </c>
      <c r="P256" s="107">
        <v>554.9</v>
      </c>
      <c r="Q256" s="107">
        <v>567.9</v>
      </c>
      <c r="R256">
        <v>37037</v>
      </c>
    </row>
    <row r="257" spans="1:18" x14ac:dyDescent="0.25">
      <c r="A257" s="148">
        <v>43713</v>
      </c>
      <c r="B257" s="107">
        <v>594.20000000000005</v>
      </c>
      <c r="C257" s="107">
        <v>585.70000000000005</v>
      </c>
      <c r="D257" s="107">
        <v>566</v>
      </c>
      <c r="E257" s="107">
        <v>566</v>
      </c>
      <c r="F257" s="107">
        <v>585.70000000000005</v>
      </c>
      <c r="G257">
        <v>9134</v>
      </c>
      <c r="H257" s="107"/>
      <c r="I257" s="107"/>
      <c r="L257" s="148">
        <v>43713</v>
      </c>
      <c r="M257" s="107">
        <v>584.79999999999995</v>
      </c>
      <c r="N257" s="107">
        <v>595</v>
      </c>
      <c r="O257" s="107">
        <v>563.20000000000005</v>
      </c>
      <c r="P257" s="107">
        <v>565</v>
      </c>
      <c r="Q257" s="107">
        <v>584.79999999999995</v>
      </c>
      <c r="R257">
        <v>89590</v>
      </c>
    </row>
    <row r="258" spans="1:18" x14ac:dyDescent="0.25">
      <c r="A258" s="148">
        <v>43714</v>
      </c>
      <c r="B258" s="107">
        <v>608</v>
      </c>
      <c r="C258" s="107">
        <v>599.45000000000005</v>
      </c>
      <c r="D258" s="107">
        <v>583.20000000000005</v>
      </c>
      <c r="E258" s="107">
        <v>585</v>
      </c>
      <c r="F258" s="107">
        <v>599.45000000000005</v>
      </c>
      <c r="G258">
        <v>8928</v>
      </c>
      <c r="H258" s="107"/>
      <c r="I258" s="107"/>
      <c r="L258" s="148">
        <v>43714</v>
      </c>
      <c r="M258" s="107">
        <v>599.65</v>
      </c>
      <c r="N258" s="107">
        <v>608.9</v>
      </c>
      <c r="O258" s="107">
        <v>582.20000000000005</v>
      </c>
      <c r="P258" s="107">
        <v>590</v>
      </c>
      <c r="Q258" s="107">
        <v>599.65</v>
      </c>
      <c r="R258">
        <v>123508</v>
      </c>
    </row>
    <row r="259" spans="1:18" x14ac:dyDescent="0.25">
      <c r="A259" s="148">
        <v>43717</v>
      </c>
      <c r="B259" s="107">
        <v>627.9</v>
      </c>
      <c r="C259" s="107">
        <v>601.85</v>
      </c>
      <c r="D259" s="107">
        <v>595.15</v>
      </c>
      <c r="E259" s="107">
        <v>605.20000000000005</v>
      </c>
      <c r="F259" s="107">
        <v>601.85</v>
      </c>
      <c r="G259">
        <v>8899</v>
      </c>
      <c r="H259" s="107"/>
      <c r="I259" s="107"/>
      <c r="L259" s="148">
        <v>43717</v>
      </c>
      <c r="M259" s="107">
        <v>607.5</v>
      </c>
      <c r="N259" s="107">
        <v>628.79999999999995</v>
      </c>
      <c r="O259" s="107">
        <v>595.15</v>
      </c>
      <c r="P259" s="107">
        <v>605.65</v>
      </c>
      <c r="Q259" s="107">
        <v>607.5</v>
      </c>
      <c r="R259">
        <v>131392</v>
      </c>
    </row>
    <row r="260" spans="1:18" x14ac:dyDescent="0.25">
      <c r="A260" s="148">
        <v>43719</v>
      </c>
      <c r="B260" s="107">
        <v>618</v>
      </c>
      <c r="C260" s="107">
        <v>607.1</v>
      </c>
      <c r="D260" s="107">
        <v>601.9</v>
      </c>
      <c r="E260" s="107">
        <v>601.9</v>
      </c>
      <c r="F260" s="107">
        <v>607.1</v>
      </c>
      <c r="G260">
        <v>101347</v>
      </c>
      <c r="H260" s="107"/>
      <c r="I260" s="107"/>
      <c r="L260" s="148">
        <v>43719</v>
      </c>
      <c r="M260" s="107">
        <v>609.79999999999995</v>
      </c>
      <c r="N260" s="107">
        <v>616.6</v>
      </c>
      <c r="O260" s="107">
        <v>603</v>
      </c>
      <c r="P260" s="107">
        <v>610</v>
      </c>
      <c r="Q260" s="107">
        <v>609.79999999999995</v>
      </c>
      <c r="R260">
        <v>191239</v>
      </c>
    </row>
    <row r="261" spans="1:18" x14ac:dyDescent="0.25">
      <c r="A261" s="148">
        <v>43720</v>
      </c>
      <c r="B261" s="107">
        <v>612.9</v>
      </c>
      <c r="C261" s="107">
        <v>593.70000000000005</v>
      </c>
      <c r="D261" s="107">
        <v>591.20000000000005</v>
      </c>
      <c r="E261" s="107">
        <v>608.5</v>
      </c>
      <c r="F261" s="107">
        <v>593.70000000000005</v>
      </c>
      <c r="G261">
        <v>3358</v>
      </c>
      <c r="H261" s="107"/>
      <c r="I261" s="107"/>
      <c r="L261" s="148">
        <v>43720</v>
      </c>
      <c r="M261" s="107">
        <v>597.29999999999995</v>
      </c>
      <c r="N261" s="107">
        <v>613.9</v>
      </c>
      <c r="O261" s="107">
        <v>591.1</v>
      </c>
      <c r="P261" s="107">
        <v>613.9</v>
      </c>
      <c r="Q261" s="107">
        <v>597.29999999999995</v>
      </c>
      <c r="R261">
        <v>75607</v>
      </c>
    </row>
    <row r="262" spans="1:18" x14ac:dyDescent="0.25">
      <c r="A262" s="148">
        <v>43721</v>
      </c>
      <c r="B262" s="107">
        <v>608.1</v>
      </c>
      <c r="C262" s="107">
        <v>598.95000000000005</v>
      </c>
      <c r="D262" s="107">
        <v>591.1</v>
      </c>
      <c r="E262" s="107">
        <v>598</v>
      </c>
      <c r="F262" s="107">
        <v>598.95000000000005</v>
      </c>
      <c r="G262">
        <v>3530</v>
      </c>
      <c r="H262" s="107"/>
      <c r="I262" s="107"/>
      <c r="L262" s="148">
        <v>43721</v>
      </c>
      <c r="M262" s="107">
        <v>598.45000000000005</v>
      </c>
      <c r="N262" s="107">
        <v>608.70000000000005</v>
      </c>
      <c r="O262" s="107">
        <v>590.65</v>
      </c>
      <c r="P262" s="107">
        <v>594.5</v>
      </c>
      <c r="Q262" s="107">
        <v>598.45000000000005</v>
      </c>
      <c r="R262">
        <v>92342</v>
      </c>
    </row>
    <row r="263" spans="1:18" x14ac:dyDescent="0.25">
      <c r="A263" s="148">
        <v>43724</v>
      </c>
      <c r="B263" s="107">
        <v>603</v>
      </c>
      <c r="C263" s="107">
        <v>595.4</v>
      </c>
      <c r="D263" s="107">
        <v>588.70000000000005</v>
      </c>
      <c r="E263" s="107">
        <v>591.45000000000005</v>
      </c>
      <c r="F263" s="107">
        <v>595.4</v>
      </c>
      <c r="G263">
        <v>1503</v>
      </c>
      <c r="H263" s="107"/>
      <c r="I263" s="107"/>
      <c r="L263" s="148">
        <v>43724</v>
      </c>
      <c r="M263" s="107">
        <v>597.15</v>
      </c>
      <c r="N263" s="107">
        <v>603</v>
      </c>
      <c r="O263" s="107">
        <v>589.1</v>
      </c>
      <c r="P263" s="107">
        <v>590.1</v>
      </c>
      <c r="Q263" s="107">
        <v>597.15</v>
      </c>
      <c r="R263">
        <v>23943</v>
      </c>
    </row>
    <row r="264" spans="1:18" x14ac:dyDescent="0.25">
      <c r="A264" s="148">
        <v>43725</v>
      </c>
      <c r="B264" s="107">
        <v>610.75</v>
      </c>
      <c r="C264" s="107">
        <v>595.9</v>
      </c>
      <c r="D264" s="107">
        <v>592.95000000000005</v>
      </c>
      <c r="E264" s="107">
        <v>601</v>
      </c>
      <c r="F264" s="107">
        <v>595.9</v>
      </c>
      <c r="G264">
        <v>4331</v>
      </c>
      <c r="H264" s="107"/>
      <c r="I264" s="107"/>
      <c r="L264" s="148">
        <v>43725</v>
      </c>
      <c r="M264" s="107">
        <v>596.15</v>
      </c>
      <c r="N264" s="107">
        <v>609.65</v>
      </c>
      <c r="O264" s="107">
        <v>592.5</v>
      </c>
      <c r="P264" s="107">
        <v>602.95000000000005</v>
      </c>
      <c r="Q264" s="107">
        <v>596.15</v>
      </c>
      <c r="R264">
        <v>50271</v>
      </c>
    </row>
    <row r="265" spans="1:18" x14ac:dyDescent="0.25">
      <c r="A265" s="148">
        <v>43726</v>
      </c>
      <c r="B265" s="107">
        <v>620</v>
      </c>
      <c r="C265" s="107">
        <v>617.6</v>
      </c>
      <c r="D265" s="107">
        <v>587.9</v>
      </c>
      <c r="E265" s="107">
        <v>598</v>
      </c>
      <c r="F265" s="107">
        <v>617.6</v>
      </c>
      <c r="G265">
        <v>8370</v>
      </c>
      <c r="H265" s="107"/>
      <c r="I265" s="107"/>
      <c r="L265" s="148">
        <v>43726</v>
      </c>
      <c r="M265" s="107">
        <v>617.25</v>
      </c>
      <c r="N265" s="107">
        <v>620</v>
      </c>
      <c r="O265" s="107">
        <v>588</v>
      </c>
      <c r="P265" s="107">
        <v>592.5</v>
      </c>
      <c r="Q265" s="107">
        <v>617.25</v>
      </c>
      <c r="R265">
        <v>141738</v>
      </c>
    </row>
    <row r="266" spans="1:18" x14ac:dyDescent="0.25">
      <c r="A266" s="148">
        <v>43727</v>
      </c>
      <c r="B266" s="107">
        <v>620</v>
      </c>
      <c r="C266" s="107">
        <v>599.95000000000005</v>
      </c>
      <c r="D266" s="107">
        <v>578</v>
      </c>
      <c r="E266" s="107">
        <v>616.35</v>
      </c>
      <c r="F266" s="107">
        <v>599.95000000000005</v>
      </c>
      <c r="G266">
        <v>7768</v>
      </c>
      <c r="H266" s="107"/>
      <c r="I266" s="107"/>
      <c r="L266" s="148">
        <v>43727</v>
      </c>
      <c r="M266" s="107">
        <v>599.35</v>
      </c>
      <c r="N266" s="107">
        <v>620</v>
      </c>
      <c r="O266" s="107">
        <v>576.70000000000005</v>
      </c>
      <c r="P266" s="107">
        <v>620</v>
      </c>
      <c r="Q266" s="107">
        <v>599.35</v>
      </c>
      <c r="R266">
        <v>116515</v>
      </c>
    </row>
    <row r="267" spans="1:18" x14ac:dyDescent="0.25">
      <c r="A267" s="148">
        <v>43728</v>
      </c>
      <c r="B267" s="107">
        <v>654.29999999999995</v>
      </c>
      <c r="C267" s="107">
        <v>640.6</v>
      </c>
      <c r="D267" s="107">
        <v>598</v>
      </c>
      <c r="E267" s="107">
        <v>601.20000000000005</v>
      </c>
      <c r="F267" s="107">
        <v>640.6</v>
      </c>
      <c r="G267">
        <v>12290</v>
      </c>
      <c r="H267" s="107"/>
      <c r="I267" s="107"/>
      <c r="L267" s="148">
        <v>43728</v>
      </c>
      <c r="M267" s="107">
        <v>641.20000000000005</v>
      </c>
      <c r="N267" s="107">
        <v>654.95000000000005</v>
      </c>
      <c r="O267" s="107">
        <v>595.25</v>
      </c>
      <c r="P267" s="107">
        <v>606.54999999999995</v>
      </c>
      <c r="Q267" s="107">
        <v>641.20000000000005</v>
      </c>
      <c r="R267">
        <v>171586</v>
      </c>
    </row>
    <row r="268" spans="1:18" x14ac:dyDescent="0.25">
      <c r="A268" s="148">
        <v>43731</v>
      </c>
      <c r="B268" s="107">
        <v>689</v>
      </c>
      <c r="C268" s="107">
        <v>679.65</v>
      </c>
      <c r="D268" s="107">
        <v>653</v>
      </c>
      <c r="E268" s="107">
        <v>653</v>
      </c>
      <c r="F268" s="107">
        <v>679.65</v>
      </c>
      <c r="G268">
        <v>11634</v>
      </c>
      <c r="H268" s="107"/>
      <c r="I268" s="107"/>
      <c r="L268" s="148">
        <v>43731</v>
      </c>
      <c r="M268" s="107">
        <v>680.2</v>
      </c>
      <c r="N268" s="107">
        <v>689.9</v>
      </c>
      <c r="O268" s="107">
        <v>653.95000000000005</v>
      </c>
      <c r="P268" s="107">
        <v>654</v>
      </c>
      <c r="Q268" s="107">
        <v>680.2</v>
      </c>
      <c r="R268">
        <v>234604</v>
      </c>
    </row>
    <row r="269" spans="1:18" x14ac:dyDescent="0.25">
      <c r="A269" s="148">
        <v>43732</v>
      </c>
      <c r="B269" s="107">
        <v>684.5</v>
      </c>
      <c r="C269" s="107">
        <v>661.75</v>
      </c>
      <c r="D269" s="107">
        <v>655</v>
      </c>
      <c r="E269" s="107">
        <v>678</v>
      </c>
      <c r="F269" s="107">
        <v>661.75</v>
      </c>
      <c r="G269">
        <v>5319</v>
      </c>
      <c r="H269" s="107"/>
      <c r="I269" s="107"/>
      <c r="L269" s="148">
        <v>43732</v>
      </c>
      <c r="M269" s="107">
        <v>662.65</v>
      </c>
      <c r="N269" s="107">
        <v>686.35</v>
      </c>
      <c r="O269" s="107">
        <v>654.45000000000005</v>
      </c>
      <c r="P269" s="107">
        <v>680</v>
      </c>
      <c r="Q269" s="107">
        <v>662.65</v>
      </c>
      <c r="R269">
        <v>52311</v>
      </c>
    </row>
    <row r="270" spans="1:18" x14ac:dyDescent="0.25">
      <c r="A270" s="148">
        <v>43733</v>
      </c>
      <c r="B270" s="107">
        <v>682.25</v>
      </c>
      <c r="C270" s="107">
        <v>667.35</v>
      </c>
      <c r="D270" s="107">
        <v>651.9</v>
      </c>
      <c r="E270" s="107">
        <v>660</v>
      </c>
      <c r="F270" s="107">
        <v>667.35</v>
      </c>
      <c r="G270">
        <v>3195</v>
      </c>
      <c r="H270" s="107"/>
      <c r="I270" s="107"/>
      <c r="L270" s="148">
        <v>43733</v>
      </c>
      <c r="M270" s="107">
        <v>670.05</v>
      </c>
      <c r="N270" s="107">
        <v>682.8</v>
      </c>
      <c r="O270" s="107">
        <v>651.1</v>
      </c>
      <c r="P270" s="107">
        <v>662.7</v>
      </c>
      <c r="Q270" s="107">
        <v>670.05</v>
      </c>
      <c r="R270">
        <v>143621</v>
      </c>
    </row>
    <row r="271" spans="1:18" x14ac:dyDescent="0.25">
      <c r="A271" s="148">
        <v>43734</v>
      </c>
      <c r="B271" s="107">
        <v>668</v>
      </c>
      <c r="C271" s="107">
        <v>661.7</v>
      </c>
      <c r="D271" s="107">
        <v>653.1</v>
      </c>
      <c r="E271" s="107">
        <v>668</v>
      </c>
      <c r="F271" s="107">
        <v>661.7</v>
      </c>
      <c r="G271">
        <v>4613</v>
      </c>
      <c r="H271" s="107"/>
      <c r="I271" s="107"/>
      <c r="L271" s="148">
        <v>43734</v>
      </c>
      <c r="M271" s="107">
        <v>661.5</v>
      </c>
      <c r="N271" s="107">
        <v>670.95</v>
      </c>
      <c r="O271" s="107">
        <v>653.20000000000005</v>
      </c>
      <c r="P271" s="107">
        <v>670.95</v>
      </c>
      <c r="Q271" s="107">
        <v>661.5</v>
      </c>
      <c r="R271">
        <v>160169</v>
      </c>
    </row>
    <row r="272" spans="1:18" x14ac:dyDescent="0.25">
      <c r="A272" s="148">
        <v>43735</v>
      </c>
      <c r="B272" s="107">
        <v>663.45</v>
      </c>
      <c r="C272" s="107">
        <v>640.95000000000005</v>
      </c>
      <c r="D272" s="107">
        <v>633.04999999999995</v>
      </c>
      <c r="E272" s="107">
        <v>660</v>
      </c>
      <c r="F272" s="107">
        <v>640.95000000000005</v>
      </c>
      <c r="G272">
        <v>1872</v>
      </c>
      <c r="H272" s="107"/>
      <c r="I272" s="107"/>
      <c r="L272" s="148">
        <v>43735</v>
      </c>
      <c r="M272" s="107">
        <v>639.95000000000005</v>
      </c>
      <c r="N272" s="107">
        <v>664.9</v>
      </c>
      <c r="O272" s="107">
        <v>633</v>
      </c>
      <c r="P272" s="107">
        <v>664.9</v>
      </c>
      <c r="Q272" s="107">
        <v>639.95000000000005</v>
      </c>
      <c r="R272">
        <v>34875</v>
      </c>
    </row>
    <row r="273" spans="1:18" x14ac:dyDescent="0.25">
      <c r="A273" s="148">
        <v>43738</v>
      </c>
      <c r="B273" s="107">
        <v>660.6</v>
      </c>
      <c r="C273" s="107">
        <v>657.55</v>
      </c>
      <c r="D273" s="107">
        <v>640.20000000000005</v>
      </c>
      <c r="E273" s="107">
        <v>645</v>
      </c>
      <c r="F273" s="107">
        <v>657.55</v>
      </c>
      <c r="G273">
        <v>2792</v>
      </c>
      <c r="H273" s="107"/>
      <c r="I273" s="107"/>
      <c r="L273" s="148">
        <v>43738</v>
      </c>
      <c r="M273" s="107">
        <v>657.1</v>
      </c>
      <c r="N273" s="107">
        <v>662</v>
      </c>
      <c r="O273" s="107">
        <v>635.29999999999995</v>
      </c>
      <c r="P273" s="107">
        <v>648</v>
      </c>
      <c r="Q273" s="107">
        <v>657.1</v>
      </c>
      <c r="R273">
        <v>62083</v>
      </c>
    </row>
    <row r="274" spans="1:18" x14ac:dyDescent="0.25">
      <c r="A274" s="148">
        <v>43739</v>
      </c>
      <c r="B274" s="107">
        <v>672</v>
      </c>
      <c r="C274" s="107">
        <v>670.1</v>
      </c>
      <c r="D274" s="107">
        <v>650</v>
      </c>
      <c r="E274" s="107">
        <v>658.95</v>
      </c>
      <c r="F274" s="107">
        <v>670.1</v>
      </c>
      <c r="G274">
        <v>2567</v>
      </c>
      <c r="H274" s="107"/>
      <c r="I274" s="107"/>
      <c r="L274" s="148">
        <v>43739</v>
      </c>
      <c r="M274" s="107">
        <v>670.15</v>
      </c>
      <c r="N274" s="107">
        <v>675</v>
      </c>
      <c r="O274" s="107">
        <v>653</v>
      </c>
      <c r="P274" s="107">
        <v>657.1</v>
      </c>
      <c r="Q274" s="107">
        <v>670.15</v>
      </c>
      <c r="R274">
        <v>133413</v>
      </c>
    </row>
    <row r="275" spans="1:18" x14ac:dyDescent="0.25">
      <c r="A275" s="148">
        <v>43741</v>
      </c>
      <c r="B275" s="107">
        <v>672.7</v>
      </c>
      <c r="C275" s="107">
        <v>667.7</v>
      </c>
      <c r="D275" s="107">
        <v>655.9</v>
      </c>
      <c r="E275" s="107">
        <v>664.9</v>
      </c>
      <c r="F275" s="107">
        <v>667.7</v>
      </c>
      <c r="G275">
        <v>2065</v>
      </c>
      <c r="H275" s="107"/>
      <c r="I275" s="107"/>
      <c r="L275" s="148">
        <v>43741</v>
      </c>
      <c r="M275" s="107">
        <v>669.75</v>
      </c>
      <c r="N275" s="107">
        <v>675</v>
      </c>
      <c r="O275" s="107">
        <v>655</v>
      </c>
      <c r="P275" s="107">
        <v>675</v>
      </c>
      <c r="Q275" s="107">
        <v>669.75</v>
      </c>
      <c r="R275">
        <v>178498</v>
      </c>
    </row>
    <row r="276" spans="1:18" x14ac:dyDescent="0.25">
      <c r="A276" s="148">
        <v>43742</v>
      </c>
      <c r="B276" s="107">
        <v>684.95</v>
      </c>
      <c r="C276" s="107">
        <v>675.35</v>
      </c>
      <c r="D276" s="107">
        <v>667</v>
      </c>
      <c r="E276" s="107">
        <v>667</v>
      </c>
      <c r="F276" s="107">
        <v>675.35</v>
      </c>
      <c r="G276">
        <v>1451</v>
      </c>
      <c r="H276" s="107"/>
      <c r="I276" s="107"/>
      <c r="L276" s="148">
        <v>43742</v>
      </c>
      <c r="M276" s="107">
        <v>675.25</v>
      </c>
      <c r="N276" s="107">
        <v>684.75</v>
      </c>
      <c r="O276" s="107">
        <v>667.4</v>
      </c>
      <c r="P276" s="107">
        <v>674</v>
      </c>
      <c r="Q276" s="107">
        <v>675.25</v>
      </c>
      <c r="R276">
        <v>61203</v>
      </c>
    </row>
    <row r="277" spans="1:18" x14ac:dyDescent="0.25">
      <c r="A277" s="148">
        <v>43745</v>
      </c>
      <c r="B277" s="107">
        <v>680.9</v>
      </c>
      <c r="C277" s="107">
        <v>674.35</v>
      </c>
      <c r="D277" s="107">
        <v>650.75</v>
      </c>
      <c r="E277" s="107">
        <v>671.15</v>
      </c>
      <c r="F277" s="107">
        <v>674.35</v>
      </c>
      <c r="G277">
        <v>1321</v>
      </c>
      <c r="H277" s="107"/>
      <c r="I277" s="107"/>
      <c r="L277" s="148">
        <v>43745</v>
      </c>
      <c r="M277" s="107">
        <v>675.7</v>
      </c>
      <c r="N277" s="107">
        <v>680.05</v>
      </c>
      <c r="O277" s="107">
        <v>651.75</v>
      </c>
      <c r="P277" s="107">
        <v>668.5</v>
      </c>
      <c r="Q277" s="107">
        <v>675.7</v>
      </c>
      <c r="R277">
        <v>34467</v>
      </c>
    </row>
    <row r="278" spans="1:18" x14ac:dyDescent="0.25">
      <c r="A278" s="148">
        <v>43747</v>
      </c>
      <c r="B278" s="107">
        <v>674.1</v>
      </c>
      <c r="C278" s="107">
        <v>667.2</v>
      </c>
      <c r="D278" s="107">
        <v>647.6</v>
      </c>
      <c r="E278" s="107">
        <v>672.75</v>
      </c>
      <c r="F278" s="107">
        <v>667.2</v>
      </c>
      <c r="G278">
        <v>59794</v>
      </c>
      <c r="H278" s="107"/>
      <c r="I278" s="107"/>
      <c r="L278" s="148">
        <v>43747</v>
      </c>
      <c r="M278" s="107">
        <v>670.65</v>
      </c>
      <c r="N278" s="107">
        <v>676.9</v>
      </c>
      <c r="O278" s="107">
        <v>648.04999999999995</v>
      </c>
      <c r="P278" s="107">
        <v>676.9</v>
      </c>
      <c r="Q278" s="107">
        <v>670.65</v>
      </c>
      <c r="R278">
        <v>433705</v>
      </c>
    </row>
    <row r="279" spans="1:18" x14ac:dyDescent="0.25">
      <c r="A279" s="148">
        <v>43748</v>
      </c>
      <c r="B279" s="107">
        <v>662.5</v>
      </c>
      <c r="C279" s="107">
        <v>638.45000000000005</v>
      </c>
      <c r="D279" s="107">
        <v>636</v>
      </c>
      <c r="E279" s="107">
        <v>662.5</v>
      </c>
      <c r="F279" s="107">
        <v>638.45000000000005</v>
      </c>
      <c r="G279">
        <v>2369</v>
      </c>
      <c r="H279" s="107"/>
      <c r="I279" s="107"/>
      <c r="L279" s="148">
        <v>43748</v>
      </c>
      <c r="M279" s="107">
        <v>637.75</v>
      </c>
      <c r="N279" s="107">
        <v>672</v>
      </c>
      <c r="O279" s="107">
        <v>635.25</v>
      </c>
      <c r="P279" s="107">
        <v>672</v>
      </c>
      <c r="Q279" s="107">
        <v>637.75</v>
      </c>
      <c r="R279">
        <v>51908</v>
      </c>
    </row>
    <row r="280" spans="1:18" x14ac:dyDescent="0.25">
      <c r="A280" s="148">
        <v>43749</v>
      </c>
      <c r="B280" s="107">
        <v>645.6</v>
      </c>
      <c r="C280" s="107">
        <v>630</v>
      </c>
      <c r="D280" s="107">
        <v>621.6</v>
      </c>
      <c r="E280" s="107">
        <v>645.04999999999995</v>
      </c>
      <c r="F280" s="107">
        <v>630</v>
      </c>
      <c r="G280">
        <v>501646</v>
      </c>
      <c r="H280" s="107"/>
      <c r="I280" s="107"/>
      <c r="L280" s="148">
        <v>43749</v>
      </c>
      <c r="M280" s="107">
        <v>629.95000000000005</v>
      </c>
      <c r="N280" s="107">
        <v>650.6</v>
      </c>
      <c r="O280" s="107">
        <v>621.54999999999995</v>
      </c>
      <c r="P280" s="107">
        <v>637.75</v>
      </c>
      <c r="Q280" s="107">
        <v>629.95000000000005</v>
      </c>
      <c r="R280">
        <v>770083</v>
      </c>
    </row>
    <row r="281" spans="1:18" x14ac:dyDescent="0.25">
      <c r="A281" s="148">
        <v>43752</v>
      </c>
      <c r="B281" s="107">
        <v>636</v>
      </c>
      <c r="C281" s="107">
        <v>622.35</v>
      </c>
      <c r="D281" s="107">
        <v>610</v>
      </c>
      <c r="E281" s="107">
        <v>629.95000000000005</v>
      </c>
      <c r="F281" s="107">
        <v>622.35</v>
      </c>
      <c r="G281">
        <v>1809</v>
      </c>
      <c r="H281" s="107"/>
      <c r="I281" s="107"/>
      <c r="L281" s="148">
        <v>43752</v>
      </c>
      <c r="M281" s="107">
        <v>621.75</v>
      </c>
      <c r="N281" s="107">
        <v>638</v>
      </c>
      <c r="O281" s="107">
        <v>608.25</v>
      </c>
      <c r="P281" s="107">
        <v>638</v>
      </c>
      <c r="Q281" s="107">
        <v>621.75</v>
      </c>
      <c r="R281">
        <v>55769</v>
      </c>
    </row>
    <row r="282" spans="1:18" x14ac:dyDescent="0.25">
      <c r="A282" s="148">
        <v>43753</v>
      </c>
      <c r="B282" s="107">
        <v>628.5</v>
      </c>
      <c r="C282" s="107">
        <v>617.45000000000005</v>
      </c>
      <c r="D282" s="107">
        <v>616.20000000000005</v>
      </c>
      <c r="E282" s="107">
        <v>617.15</v>
      </c>
      <c r="F282" s="107">
        <v>617.45000000000005</v>
      </c>
      <c r="G282">
        <v>1928</v>
      </c>
      <c r="H282" s="107"/>
      <c r="I282" s="107"/>
      <c r="L282" s="148">
        <v>43753</v>
      </c>
      <c r="M282" s="107">
        <v>618.79999999999995</v>
      </c>
      <c r="N282" s="107">
        <v>630.5</v>
      </c>
      <c r="O282" s="107">
        <v>616.29999999999995</v>
      </c>
      <c r="P282" s="107">
        <v>623</v>
      </c>
      <c r="Q282" s="107">
        <v>618.79999999999995</v>
      </c>
      <c r="R282">
        <v>27747</v>
      </c>
    </row>
    <row r="283" spans="1:18" x14ac:dyDescent="0.25">
      <c r="A283" s="148">
        <v>43754</v>
      </c>
      <c r="B283" s="107">
        <v>628.79999999999995</v>
      </c>
      <c r="C283" s="107">
        <v>614.20000000000005</v>
      </c>
      <c r="D283" s="107">
        <v>611</v>
      </c>
      <c r="E283" s="107">
        <v>625.04999999999995</v>
      </c>
      <c r="F283" s="107">
        <v>614.20000000000005</v>
      </c>
      <c r="G283">
        <v>1895</v>
      </c>
      <c r="H283" s="107"/>
      <c r="I283" s="107"/>
      <c r="L283" s="148">
        <v>43754</v>
      </c>
      <c r="M283" s="107">
        <v>612.85</v>
      </c>
      <c r="N283" s="107">
        <v>628.79999999999995</v>
      </c>
      <c r="O283" s="107">
        <v>610</v>
      </c>
      <c r="P283" s="107">
        <v>617.79999999999995</v>
      </c>
      <c r="Q283" s="107">
        <v>612.85</v>
      </c>
      <c r="R283">
        <v>24196</v>
      </c>
    </row>
    <row r="284" spans="1:18" x14ac:dyDescent="0.25">
      <c r="A284" s="148">
        <v>43755</v>
      </c>
      <c r="B284" s="107">
        <v>637.20000000000005</v>
      </c>
      <c r="C284" s="107">
        <v>629.1</v>
      </c>
      <c r="D284" s="107">
        <v>612.95000000000005</v>
      </c>
      <c r="E284" s="107">
        <v>614.95000000000005</v>
      </c>
      <c r="F284" s="107">
        <v>629.1</v>
      </c>
      <c r="G284">
        <v>2820</v>
      </c>
      <c r="H284" s="107"/>
      <c r="I284" s="107"/>
      <c r="L284" s="148">
        <v>43755</v>
      </c>
      <c r="M284" s="107">
        <v>629.79999999999995</v>
      </c>
      <c r="N284" s="107">
        <v>638</v>
      </c>
      <c r="O284" s="107">
        <v>602.25</v>
      </c>
      <c r="P284" s="107">
        <v>618</v>
      </c>
      <c r="Q284" s="107">
        <v>629.79999999999995</v>
      </c>
      <c r="R284">
        <v>107376</v>
      </c>
    </row>
    <row r="285" spans="1:18" x14ac:dyDescent="0.25">
      <c r="A285" s="148">
        <v>43756</v>
      </c>
      <c r="B285" s="107">
        <v>640</v>
      </c>
      <c r="C285" s="107">
        <v>639.04999999999995</v>
      </c>
      <c r="D285" s="107">
        <v>628.1</v>
      </c>
      <c r="E285" s="107">
        <v>632.5</v>
      </c>
      <c r="F285" s="107">
        <v>639.04999999999995</v>
      </c>
      <c r="G285">
        <v>1952</v>
      </c>
      <c r="H285" s="107"/>
      <c r="I285" s="107"/>
      <c r="L285" s="148">
        <v>43756</v>
      </c>
      <c r="M285" s="107">
        <v>638.29999999999995</v>
      </c>
      <c r="N285" s="107">
        <v>641.5</v>
      </c>
      <c r="O285" s="107">
        <v>626.6</v>
      </c>
      <c r="P285" s="107">
        <v>639.45000000000005</v>
      </c>
      <c r="Q285" s="107">
        <v>638.29999999999995</v>
      </c>
      <c r="R285">
        <v>64382</v>
      </c>
    </row>
    <row r="286" spans="1:18" x14ac:dyDescent="0.25">
      <c r="A286" s="148">
        <v>43760</v>
      </c>
      <c r="B286" s="107">
        <v>654.45000000000005</v>
      </c>
      <c r="C286" s="107">
        <v>631.4</v>
      </c>
      <c r="D286" s="107">
        <v>628</v>
      </c>
      <c r="E286" s="107">
        <v>633</v>
      </c>
      <c r="F286" s="107">
        <v>631.4</v>
      </c>
      <c r="G286">
        <v>91496</v>
      </c>
      <c r="H286" s="107"/>
      <c r="I286" s="107"/>
      <c r="L286" s="148">
        <v>43760</v>
      </c>
      <c r="M286" s="107">
        <v>635</v>
      </c>
      <c r="N286" s="107">
        <v>653.95000000000005</v>
      </c>
      <c r="O286" s="107">
        <v>626.25</v>
      </c>
      <c r="P286" s="107">
        <v>633.25</v>
      </c>
      <c r="Q286" s="107">
        <v>635</v>
      </c>
      <c r="R286">
        <v>726136</v>
      </c>
    </row>
    <row r="287" spans="1:18" x14ac:dyDescent="0.25">
      <c r="A287" s="148">
        <v>43761</v>
      </c>
      <c r="B287" s="107">
        <v>646.75</v>
      </c>
      <c r="C287" s="107">
        <v>633.6</v>
      </c>
      <c r="D287" s="107">
        <v>626.70000000000005</v>
      </c>
      <c r="E287" s="107">
        <v>646.75</v>
      </c>
      <c r="F287" s="107">
        <v>633.6</v>
      </c>
      <c r="G287">
        <v>58970</v>
      </c>
      <c r="H287" s="107"/>
      <c r="I287" s="107"/>
      <c r="L287" s="148">
        <v>43761</v>
      </c>
      <c r="M287" s="107">
        <v>634.54999999999995</v>
      </c>
      <c r="N287" s="107">
        <v>648</v>
      </c>
      <c r="O287" s="107">
        <v>628.1</v>
      </c>
      <c r="P287" s="107">
        <v>645</v>
      </c>
      <c r="Q287" s="107">
        <v>634.54999999999995</v>
      </c>
      <c r="R287">
        <v>40029</v>
      </c>
    </row>
    <row r="288" spans="1:18" x14ac:dyDescent="0.25">
      <c r="A288" s="148">
        <v>43762</v>
      </c>
      <c r="B288" s="107">
        <v>634</v>
      </c>
      <c r="C288" s="107">
        <v>626.85</v>
      </c>
      <c r="D288" s="107">
        <v>622.4</v>
      </c>
      <c r="E288" s="107">
        <v>631.4</v>
      </c>
      <c r="F288" s="107">
        <v>626.85</v>
      </c>
      <c r="G288">
        <v>1634</v>
      </c>
      <c r="H288" s="107"/>
      <c r="I288" s="107"/>
      <c r="L288" s="148">
        <v>43762</v>
      </c>
      <c r="M288" s="107">
        <v>626.4</v>
      </c>
      <c r="N288" s="107">
        <v>635.5</v>
      </c>
      <c r="O288" s="107">
        <v>622.29999999999995</v>
      </c>
      <c r="P288" s="107">
        <v>630.1</v>
      </c>
      <c r="Q288" s="107">
        <v>626.4</v>
      </c>
      <c r="R288">
        <v>43795</v>
      </c>
    </row>
    <row r="289" spans="1:18" x14ac:dyDescent="0.25">
      <c r="A289" s="148">
        <v>43763</v>
      </c>
      <c r="B289" s="107">
        <v>669</v>
      </c>
      <c r="C289" s="107">
        <v>647.35</v>
      </c>
      <c r="D289" s="107">
        <v>625.4</v>
      </c>
      <c r="E289" s="107">
        <v>626.20000000000005</v>
      </c>
      <c r="F289" s="107">
        <v>647.35</v>
      </c>
      <c r="G289">
        <v>55169</v>
      </c>
      <c r="H289" s="107"/>
      <c r="I289" s="107"/>
      <c r="L289" s="148">
        <v>43763</v>
      </c>
      <c r="M289" s="107">
        <v>646.4</v>
      </c>
      <c r="N289" s="107">
        <v>669</v>
      </c>
      <c r="O289" s="107">
        <v>626</v>
      </c>
      <c r="P289" s="107">
        <v>626</v>
      </c>
      <c r="Q289" s="107">
        <v>646.4</v>
      </c>
      <c r="R289">
        <v>140690</v>
      </c>
    </row>
    <row r="290" spans="1:18" x14ac:dyDescent="0.25">
      <c r="A290" s="148">
        <v>43765</v>
      </c>
      <c r="B290" s="107">
        <v>684</v>
      </c>
      <c r="C290" s="107">
        <v>673.55</v>
      </c>
      <c r="D290" s="107">
        <v>648</v>
      </c>
      <c r="E290" s="107">
        <v>651</v>
      </c>
      <c r="F290" s="107">
        <v>673.55</v>
      </c>
      <c r="G290">
        <v>7362</v>
      </c>
      <c r="H290" s="107"/>
      <c r="I290" s="107"/>
      <c r="L290" s="148">
        <v>43765</v>
      </c>
      <c r="M290" s="107">
        <v>670.85</v>
      </c>
      <c r="N290" s="107">
        <v>685</v>
      </c>
      <c r="O290" s="107">
        <v>648</v>
      </c>
      <c r="P290" s="107">
        <v>651.29999999999995</v>
      </c>
      <c r="Q290" s="107">
        <v>670.85</v>
      </c>
      <c r="R290">
        <v>43029</v>
      </c>
    </row>
    <row r="291" spans="1:18" x14ac:dyDescent="0.25">
      <c r="A291" s="148">
        <v>43767</v>
      </c>
      <c r="B291" s="107">
        <v>669</v>
      </c>
      <c r="C291" s="107">
        <v>662.15</v>
      </c>
      <c r="D291" s="107">
        <v>652.9</v>
      </c>
      <c r="E291" s="107">
        <v>668</v>
      </c>
      <c r="F291" s="107">
        <v>662.15</v>
      </c>
      <c r="G291">
        <v>4914</v>
      </c>
      <c r="H291" s="107"/>
      <c r="I291" s="107"/>
      <c r="L291" s="148">
        <v>43767</v>
      </c>
      <c r="M291" s="107">
        <v>663.8</v>
      </c>
      <c r="N291" s="107">
        <v>675</v>
      </c>
      <c r="O291" s="107">
        <v>651.54999999999995</v>
      </c>
      <c r="P291" s="107">
        <v>675</v>
      </c>
      <c r="Q291" s="107">
        <v>663.8</v>
      </c>
      <c r="R291">
        <v>77577</v>
      </c>
    </row>
    <row r="292" spans="1:18" x14ac:dyDescent="0.25">
      <c r="A292" s="148">
        <v>43768</v>
      </c>
      <c r="B292" s="107">
        <v>662.5</v>
      </c>
      <c r="C292" s="107">
        <v>644.6</v>
      </c>
      <c r="D292" s="107">
        <v>644</v>
      </c>
      <c r="E292" s="107">
        <v>660</v>
      </c>
      <c r="F292" s="107">
        <v>644.6</v>
      </c>
      <c r="G292">
        <v>2207</v>
      </c>
      <c r="H292" s="107"/>
      <c r="I292" s="107"/>
      <c r="L292" s="148">
        <v>43768</v>
      </c>
      <c r="M292" s="107">
        <v>644.15</v>
      </c>
      <c r="N292" s="107">
        <v>666</v>
      </c>
      <c r="O292" s="107">
        <v>642.35</v>
      </c>
      <c r="P292" s="107">
        <v>663</v>
      </c>
      <c r="Q292" s="107">
        <v>644.15</v>
      </c>
      <c r="R292">
        <v>45478</v>
      </c>
    </row>
    <row r="293" spans="1:18" x14ac:dyDescent="0.25">
      <c r="A293" s="148">
        <v>43769</v>
      </c>
      <c r="B293" s="107">
        <v>675.8</v>
      </c>
      <c r="C293" s="107">
        <v>637.85</v>
      </c>
      <c r="D293" s="107">
        <v>626</v>
      </c>
      <c r="E293" s="107">
        <v>673</v>
      </c>
      <c r="F293" s="107">
        <v>637.85</v>
      </c>
      <c r="G293">
        <v>5407</v>
      </c>
      <c r="H293" s="107"/>
      <c r="I293" s="107"/>
      <c r="L293" s="148">
        <v>43769</v>
      </c>
      <c r="M293" s="107">
        <v>638.15</v>
      </c>
      <c r="N293" s="107">
        <v>674.8</v>
      </c>
      <c r="O293" s="107">
        <v>635</v>
      </c>
      <c r="P293" s="107">
        <v>674.8</v>
      </c>
      <c r="Q293" s="107">
        <v>638.15</v>
      </c>
      <c r="R293">
        <v>194562</v>
      </c>
    </row>
    <row r="294" spans="1:18" x14ac:dyDescent="0.25">
      <c r="A294" s="148">
        <v>43770</v>
      </c>
      <c r="B294" s="107">
        <v>646</v>
      </c>
      <c r="C294" s="107">
        <v>639.95000000000005</v>
      </c>
      <c r="D294" s="107">
        <v>635.1</v>
      </c>
      <c r="E294" s="107">
        <v>645.95000000000005</v>
      </c>
      <c r="F294" s="107">
        <v>639.95000000000005</v>
      </c>
      <c r="G294">
        <v>2636</v>
      </c>
      <c r="H294" s="107"/>
      <c r="I294" s="107"/>
      <c r="L294" s="148">
        <v>43770</v>
      </c>
      <c r="M294" s="107">
        <v>638.75</v>
      </c>
      <c r="N294" s="107">
        <v>646.9</v>
      </c>
      <c r="O294" s="107">
        <v>635.15</v>
      </c>
      <c r="P294" s="107">
        <v>642.95000000000005</v>
      </c>
      <c r="Q294" s="107">
        <v>638.75</v>
      </c>
      <c r="R294">
        <v>53016</v>
      </c>
    </row>
    <row r="295" spans="1:18" x14ac:dyDescent="0.25">
      <c r="A295" s="148">
        <v>43773</v>
      </c>
      <c r="B295" s="107">
        <v>690</v>
      </c>
      <c r="C295" s="107">
        <v>668.65</v>
      </c>
      <c r="D295" s="107">
        <v>640</v>
      </c>
      <c r="E295" s="107">
        <v>640</v>
      </c>
      <c r="F295" s="107">
        <v>668.65</v>
      </c>
      <c r="G295">
        <v>13934</v>
      </c>
      <c r="H295" s="107"/>
      <c r="I295" s="107"/>
      <c r="L295" s="148">
        <v>43773</v>
      </c>
      <c r="M295" s="107">
        <v>669.2</v>
      </c>
      <c r="N295" s="107">
        <v>678</v>
      </c>
      <c r="O295" s="107">
        <v>635</v>
      </c>
      <c r="P295" s="107">
        <v>648.6</v>
      </c>
      <c r="Q295" s="107">
        <v>669.2</v>
      </c>
      <c r="R295">
        <v>104117</v>
      </c>
    </row>
    <row r="296" spans="1:18" x14ac:dyDescent="0.25">
      <c r="A296" s="148">
        <v>43774</v>
      </c>
      <c r="B296" s="107">
        <v>715</v>
      </c>
      <c r="C296" s="107">
        <v>699.4</v>
      </c>
      <c r="D296" s="107">
        <v>676</v>
      </c>
      <c r="E296" s="107">
        <v>676</v>
      </c>
      <c r="F296" s="107">
        <v>699.4</v>
      </c>
      <c r="G296">
        <v>14489</v>
      </c>
      <c r="H296" s="107"/>
      <c r="I296" s="107"/>
      <c r="L296" s="148">
        <v>43774</v>
      </c>
      <c r="M296" s="107">
        <v>700.55</v>
      </c>
      <c r="N296" s="107">
        <v>714</v>
      </c>
      <c r="O296" s="107">
        <v>676.05</v>
      </c>
      <c r="P296" s="107">
        <v>679.35</v>
      </c>
      <c r="Q296" s="107">
        <v>700.55</v>
      </c>
      <c r="R296">
        <v>297296</v>
      </c>
    </row>
    <row r="297" spans="1:18" x14ac:dyDescent="0.25">
      <c r="A297" s="148">
        <v>43775</v>
      </c>
      <c r="B297" s="107">
        <v>720</v>
      </c>
      <c r="C297" s="107">
        <v>694.35</v>
      </c>
      <c r="D297" s="107">
        <v>679.75</v>
      </c>
      <c r="E297" s="107">
        <v>706</v>
      </c>
      <c r="F297" s="107">
        <v>694.35</v>
      </c>
      <c r="G297">
        <v>5588</v>
      </c>
      <c r="H297" s="107"/>
      <c r="I297" s="107"/>
      <c r="L297" s="148">
        <v>43775</v>
      </c>
      <c r="M297" s="107">
        <v>694.5</v>
      </c>
      <c r="N297" s="107">
        <v>721.7</v>
      </c>
      <c r="O297" s="107">
        <v>685</v>
      </c>
      <c r="P297" s="107">
        <v>706.2</v>
      </c>
      <c r="Q297" s="107">
        <v>694.5</v>
      </c>
      <c r="R297">
        <v>165180</v>
      </c>
    </row>
    <row r="298" spans="1:18" x14ac:dyDescent="0.25">
      <c r="A298" s="148">
        <v>43776</v>
      </c>
      <c r="B298" s="107">
        <v>700</v>
      </c>
      <c r="C298" s="107">
        <v>692.9</v>
      </c>
      <c r="D298" s="107">
        <v>688</v>
      </c>
      <c r="E298" s="107">
        <v>700</v>
      </c>
      <c r="F298" s="107">
        <v>692.9</v>
      </c>
      <c r="G298">
        <v>2097</v>
      </c>
      <c r="H298" s="107"/>
      <c r="I298" s="107"/>
      <c r="L298" s="148">
        <v>43776</v>
      </c>
      <c r="M298" s="107">
        <v>693.8</v>
      </c>
      <c r="N298" s="107">
        <v>700.05</v>
      </c>
      <c r="O298" s="107">
        <v>685.65</v>
      </c>
      <c r="P298" s="107">
        <v>694</v>
      </c>
      <c r="Q298" s="107">
        <v>693.8</v>
      </c>
      <c r="R298">
        <v>46307</v>
      </c>
    </row>
    <row r="299" spans="1:18" x14ac:dyDescent="0.25">
      <c r="A299" s="148">
        <v>43777</v>
      </c>
      <c r="B299" s="107">
        <v>714</v>
      </c>
      <c r="C299" s="107">
        <v>681.9</v>
      </c>
      <c r="D299" s="107">
        <v>671.8</v>
      </c>
      <c r="E299" s="107">
        <v>694.35</v>
      </c>
      <c r="F299" s="107">
        <v>681.9</v>
      </c>
      <c r="G299">
        <v>2309</v>
      </c>
      <c r="H299" s="107"/>
      <c r="I299" s="107"/>
      <c r="L299" s="148">
        <v>43777</v>
      </c>
      <c r="M299" s="107">
        <v>682.05</v>
      </c>
      <c r="N299" s="107">
        <v>709</v>
      </c>
      <c r="O299" s="107">
        <v>671.2</v>
      </c>
      <c r="P299" s="107">
        <v>696.9</v>
      </c>
      <c r="Q299" s="107">
        <v>682.05</v>
      </c>
      <c r="R299">
        <v>48532</v>
      </c>
    </row>
    <row r="300" spans="1:18" x14ac:dyDescent="0.25">
      <c r="A300" s="148">
        <v>43780</v>
      </c>
      <c r="B300" s="107">
        <v>729.4</v>
      </c>
      <c r="C300" s="107">
        <v>709.85</v>
      </c>
      <c r="D300" s="107">
        <v>682</v>
      </c>
      <c r="E300" s="107">
        <v>682</v>
      </c>
      <c r="F300" s="107">
        <v>709.85</v>
      </c>
      <c r="G300">
        <v>8729</v>
      </c>
      <c r="H300" s="107"/>
      <c r="I300" s="107"/>
      <c r="L300" s="148">
        <v>43780</v>
      </c>
      <c r="M300" s="107">
        <v>710.1</v>
      </c>
      <c r="N300" s="107">
        <v>727.9</v>
      </c>
      <c r="O300" s="107">
        <v>677</v>
      </c>
      <c r="P300" s="107">
        <v>677</v>
      </c>
      <c r="Q300" s="107">
        <v>710.1</v>
      </c>
      <c r="R300">
        <v>175739</v>
      </c>
    </row>
    <row r="301" spans="1:18" x14ac:dyDescent="0.25">
      <c r="A301" s="148">
        <v>43782</v>
      </c>
      <c r="B301" s="107">
        <v>744</v>
      </c>
      <c r="C301" s="107">
        <v>734.15</v>
      </c>
      <c r="D301" s="107">
        <v>715</v>
      </c>
      <c r="E301" s="107">
        <v>715.8</v>
      </c>
      <c r="F301" s="107">
        <v>734.15</v>
      </c>
      <c r="G301">
        <v>7862</v>
      </c>
      <c r="H301" s="107"/>
      <c r="I301" s="107"/>
      <c r="L301" s="148">
        <v>43782</v>
      </c>
      <c r="M301" s="107">
        <v>735</v>
      </c>
      <c r="N301" s="107">
        <v>745</v>
      </c>
      <c r="O301" s="107">
        <v>705.05</v>
      </c>
      <c r="P301" s="107">
        <v>710</v>
      </c>
      <c r="Q301" s="107">
        <v>735</v>
      </c>
      <c r="R301">
        <v>165794</v>
      </c>
    </row>
    <row r="302" spans="1:18" x14ac:dyDescent="0.25">
      <c r="A302" s="148">
        <v>43783</v>
      </c>
      <c r="B302" s="107">
        <v>750</v>
      </c>
      <c r="C302" s="107">
        <v>730.75</v>
      </c>
      <c r="D302" s="107">
        <v>710.9</v>
      </c>
      <c r="E302" s="107">
        <v>744</v>
      </c>
      <c r="F302" s="107">
        <v>730.75</v>
      </c>
      <c r="G302">
        <v>5033</v>
      </c>
      <c r="H302" s="107"/>
      <c r="I302" s="107"/>
      <c r="L302" s="148">
        <v>43783</v>
      </c>
      <c r="M302" s="107">
        <v>732.4</v>
      </c>
      <c r="N302" s="107">
        <v>752</v>
      </c>
      <c r="O302" s="107">
        <v>709.25</v>
      </c>
      <c r="P302" s="107">
        <v>739</v>
      </c>
      <c r="Q302" s="107">
        <v>732.4</v>
      </c>
      <c r="R302">
        <v>106485</v>
      </c>
    </row>
    <row r="303" spans="1:18" x14ac:dyDescent="0.25">
      <c r="A303" s="148">
        <v>43784</v>
      </c>
      <c r="B303" s="107">
        <v>786</v>
      </c>
      <c r="C303" s="107">
        <v>773</v>
      </c>
      <c r="D303" s="107">
        <v>730</v>
      </c>
      <c r="E303" s="107">
        <v>759.95</v>
      </c>
      <c r="F303" s="107">
        <v>773</v>
      </c>
      <c r="G303">
        <v>12366</v>
      </c>
      <c r="H303" s="107"/>
      <c r="I303" s="107"/>
      <c r="L303" s="148">
        <v>43784</v>
      </c>
      <c r="M303" s="107">
        <v>773.15</v>
      </c>
      <c r="N303" s="107">
        <v>786.8</v>
      </c>
      <c r="O303" s="107">
        <v>729.05</v>
      </c>
      <c r="P303" s="107">
        <v>740</v>
      </c>
      <c r="Q303" s="107">
        <v>773.15</v>
      </c>
      <c r="R303">
        <v>258666</v>
      </c>
    </row>
    <row r="304" spans="1:18" x14ac:dyDescent="0.25">
      <c r="A304" s="148">
        <v>43787</v>
      </c>
      <c r="B304" s="107">
        <v>799</v>
      </c>
      <c r="C304" s="107">
        <v>793.05</v>
      </c>
      <c r="D304" s="107">
        <v>757</v>
      </c>
      <c r="E304" s="107">
        <v>775</v>
      </c>
      <c r="F304" s="107">
        <v>793.05</v>
      </c>
      <c r="G304">
        <v>14111</v>
      </c>
      <c r="H304" s="107"/>
      <c r="I304" s="107"/>
      <c r="L304" s="148">
        <v>43787</v>
      </c>
      <c r="M304" s="107">
        <v>793</v>
      </c>
      <c r="N304" s="107">
        <v>799</v>
      </c>
      <c r="O304" s="107">
        <v>761.25</v>
      </c>
      <c r="P304" s="107">
        <v>780.75</v>
      </c>
      <c r="Q304" s="107">
        <v>793</v>
      </c>
      <c r="R304">
        <v>152965</v>
      </c>
    </row>
    <row r="305" spans="1:18" x14ac:dyDescent="0.25">
      <c r="A305" s="148">
        <v>43788</v>
      </c>
      <c r="B305" s="107">
        <v>837.9</v>
      </c>
      <c r="C305" s="107">
        <v>806</v>
      </c>
      <c r="D305" s="107">
        <v>794</v>
      </c>
      <c r="E305" s="107">
        <v>794</v>
      </c>
      <c r="F305" s="107">
        <v>806</v>
      </c>
      <c r="G305">
        <v>20151</v>
      </c>
      <c r="H305" s="107"/>
      <c r="I305" s="107"/>
      <c r="L305" s="148">
        <v>43788</v>
      </c>
      <c r="M305" s="107">
        <v>809.25</v>
      </c>
      <c r="N305" s="107">
        <v>837.8</v>
      </c>
      <c r="O305" s="107">
        <v>793.55</v>
      </c>
      <c r="P305" s="107">
        <v>798</v>
      </c>
      <c r="Q305" s="107">
        <v>809.25</v>
      </c>
      <c r="R305">
        <v>358471</v>
      </c>
    </row>
    <row r="306" spans="1:18" x14ac:dyDescent="0.25">
      <c r="A306" s="148">
        <v>43789</v>
      </c>
      <c r="B306" s="107">
        <v>811.3</v>
      </c>
      <c r="C306" s="107">
        <v>785.35</v>
      </c>
      <c r="D306" s="107">
        <v>774</v>
      </c>
      <c r="E306" s="107">
        <v>811.3</v>
      </c>
      <c r="F306" s="107">
        <v>785.35</v>
      </c>
      <c r="G306">
        <v>8506</v>
      </c>
      <c r="H306" s="107"/>
      <c r="I306" s="107"/>
      <c r="L306" s="148">
        <v>43789</v>
      </c>
      <c r="M306" s="107">
        <v>788.35</v>
      </c>
      <c r="N306" s="107">
        <v>815</v>
      </c>
      <c r="O306" s="107">
        <v>772.2</v>
      </c>
      <c r="P306" s="107">
        <v>814</v>
      </c>
      <c r="Q306" s="107">
        <v>788.35</v>
      </c>
      <c r="R306">
        <v>133894</v>
      </c>
    </row>
    <row r="307" spans="1:18" x14ac:dyDescent="0.25">
      <c r="A307" s="148">
        <v>43790</v>
      </c>
      <c r="B307" s="107">
        <v>784.7</v>
      </c>
      <c r="C307" s="107">
        <v>776.9</v>
      </c>
      <c r="D307" s="107">
        <v>769.5</v>
      </c>
      <c r="E307" s="107">
        <v>777</v>
      </c>
      <c r="F307" s="107">
        <v>776.9</v>
      </c>
      <c r="G307">
        <v>1464</v>
      </c>
      <c r="H307" s="107"/>
      <c r="I307" s="107"/>
      <c r="L307" s="148">
        <v>43790</v>
      </c>
      <c r="M307" s="107">
        <v>776.3</v>
      </c>
      <c r="N307" s="107">
        <v>794.9</v>
      </c>
      <c r="O307" s="107">
        <v>766.55</v>
      </c>
      <c r="P307" s="107">
        <v>794.9</v>
      </c>
      <c r="Q307" s="107">
        <v>776.3</v>
      </c>
      <c r="R307">
        <v>60767</v>
      </c>
    </row>
    <row r="308" spans="1:18" x14ac:dyDescent="0.25">
      <c r="A308" s="148">
        <v>43791</v>
      </c>
      <c r="B308" s="107">
        <v>772.5</v>
      </c>
      <c r="C308" s="107">
        <v>750.05</v>
      </c>
      <c r="D308" s="107">
        <v>745.15</v>
      </c>
      <c r="E308" s="107">
        <v>763.6</v>
      </c>
      <c r="F308" s="107">
        <v>750.05</v>
      </c>
      <c r="G308">
        <v>3108</v>
      </c>
      <c r="H308" s="107"/>
      <c r="I308" s="107"/>
      <c r="L308" s="148">
        <v>43791</v>
      </c>
      <c r="M308" s="107">
        <v>750.45</v>
      </c>
      <c r="N308" s="107">
        <v>780.7</v>
      </c>
      <c r="O308" s="107">
        <v>745</v>
      </c>
      <c r="P308" s="107">
        <v>777</v>
      </c>
      <c r="Q308" s="107">
        <v>750.45</v>
      </c>
      <c r="R308">
        <v>123605</v>
      </c>
    </row>
    <row r="309" spans="1:18" x14ac:dyDescent="0.25">
      <c r="A309" s="148">
        <v>43794</v>
      </c>
      <c r="B309" s="107">
        <v>770</v>
      </c>
      <c r="C309" s="107">
        <v>742.6</v>
      </c>
      <c r="D309" s="107">
        <v>733</v>
      </c>
      <c r="E309" s="107">
        <v>753</v>
      </c>
      <c r="F309" s="107">
        <v>742.6</v>
      </c>
      <c r="G309">
        <v>3158</v>
      </c>
      <c r="H309" s="107"/>
      <c r="I309" s="107"/>
      <c r="L309" s="148">
        <v>43794</v>
      </c>
      <c r="M309" s="107">
        <v>741.55</v>
      </c>
      <c r="N309" s="107">
        <v>769.55</v>
      </c>
      <c r="O309" s="107">
        <v>731.1</v>
      </c>
      <c r="P309" s="107">
        <v>758</v>
      </c>
      <c r="Q309" s="107">
        <v>741.55</v>
      </c>
      <c r="R309">
        <v>116055</v>
      </c>
    </row>
    <row r="310" spans="1:18" x14ac:dyDescent="0.25">
      <c r="A310" s="148">
        <v>43795</v>
      </c>
      <c r="B310" s="107">
        <v>762</v>
      </c>
      <c r="C310" s="107">
        <v>749</v>
      </c>
      <c r="D310" s="107">
        <v>728</v>
      </c>
      <c r="E310" s="107">
        <v>745.3</v>
      </c>
      <c r="F310" s="107">
        <v>749</v>
      </c>
      <c r="G310">
        <v>7251</v>
      </c>
      <c r="H310" s="107"/>
      <c r="I310" s="107"/>
      <c r="L310" s="148">
        <v>43795</v>
      </c>
      <c r="M310" s="107">
        <v>749.8</v>
      </c>
      <c r="N310" s="107">
        <v>763.55</v>
      </c>
      <c r="O310" s="107">
        <v>727.3</v>
      </c>
      <c r="P310" s="107">
        <v>745</v>
      </c>
      <c r="Q310" s="107">
        <v>749.8</v>
      </c>
      <c r="R310">
        <v>208127</v>
      </c>
    </row>
    <row r="311" spans="1:18" x14ac:dyDescent="0.25">
      <c r="A311" s="148">
        <v>43796</v>
      </c>
      <c r="B311" s="107">
        <v>787.85</v>
      </c>
      <c r="C311" s="107">
        <v>779.15</v>
      </c>
      <c r="D311" s="107">
        <v>754.35</v>
      </c>
      <c r="E311" s="107">
        <v>755</v>
      </c>
      <c r="F311" s="107">
        <v>779.15</v>
      </c>
      <c r="G311">
        <v>10296</v>
      </c>
      <c r="H311" s="107"/>
      <c r="I311" s="107"/>
      <c r="L311" s="148">
        <v>43796</v>
      </c>
      <c r="M311" s="107">
        <v>779.5</v>
      </c>
      <c r="N311" s="107">
        <v>787.9</v>
      </c>
      <c r="O311" s="107">
        <v>751</v>
      </c>
      <c r="P311" s="107">
        <v>756.5</v>
      </c>
      <c r="Q311" s="107">
        <v>779.5</v>
      </c>
      <c r="R311">
        <v>286730</v>
      </c>
    </row>
    <row r="312" spans="1:18" x14ac:dyDescent="0.25">
      <c r="A312" s="148">
        <v>43797</v>
      </c>
      <c r="B312" s="107">
        <v>824.45</v>
      </c>
      <c r="C312" s="107">
        <v>806.3</v>
      </c>
      <c r="D312" s="107">
        <v>790.85</v>
      </c>
      <c r="E312" s="107">
        <v>791</v>
      </c>
      <c r="F312" s="107">
        <v>806.3</v>
      </c>
      <c r="G312">
        <v>9703</v>
      </c>
      <c r="H312" s="107"/>
      <c r="I312" s="107"/>
      <c r="L312" s="148">
        <v>43797</v>
      </c>
      <c r="M312" s="107">
        <v>805.45</v>
      </c>
      <c r="N312" s="107">
        <v>824.45</v>
      </c>
      <c r="O312" s="107">
        <v>778.7</v>
      </c>
      <c r="P312" s="107">
        <v>780</v>
      </c>
      <c r="Q312" s="107">
        <v>805.45</v>
      </c>
      <c r="R312">
        <v>254011</v>
      </c>
    </row>
    <row r="313" spans="1:18" x14ac:dyDescent="0.25">
      <c r="A313" s="148">
        <v>43798</v>
      </c>
      <c r="B313" s="107">
        <v>848.55</v>
      </c>
      <c r="C313" s="107">
        <v>802.3</v>
      </c>
      <c r="D313" s="107">
        <v>795</v>
      </c>
      <c r="E313" s="107">
        <v>820</v>
      </c>
      <c r="F313" s="107">
        <v>802.3</v>
      </c>
      <c r="G313">
        <v>16756</v>
      </c>
      <c r="H313" s="107"/>
      <c r="I313" s="107"/>
      <c r="L313" s="148">
        <v>43798</v>
      </c>
      <c r="M313" s="107">
        <v>802</v>
      </c>
      <c r="N313" s="107">
        <v>849</v>
      </c>
      <c r="O313" s="107">
        <v>792</v>
      </c>
      <c r="P313" s="107">
        <v>805</v>
      </c>
      <c r="Q313" s="107">
        <v>802</v>
      </c>
      <c r="R313">
        <v>291371</v>
      </c>
    </row>
    <row r="314" spans="1:18" x14ac:dyDescent="0.25">
      <c r="A314" s="148">
        <v>43801</v>
      </c>
      <c r="B314" s="107">
        <v>824</v>
      </c>
      <c r="C314" s="107">
        <v>816.4</v>
      </c>
      <c r="D314" s="107">
        <v>786</v>
      </c>
      <c r="E314" s="107">
        <v>797.6</v>
      </c>
      <c r="F314" s="107">
        <v>816.4</v>
      </c>
      <c r="G314">
        <v>3402</v>
      </c>
      <c r="H314" s="107"/>
      <c r="I314" s="107"/>
      <c r="L314" s="148">
        <v>43801</v>
      </c>
      <c r="M314" s="107">
        <v>816.35</v>
      </c>
      <c r="N314" s="107">
        <v>825</v>
      </c>
      <c r="O314" s="107">
        <v>785.05</v>
      </c>
      <c r="P314" s="107">
        <v>800</v>
      </c>
      <c r="Q314" s="107">
        <v>816.35</v>
      </c>
      <c r="R314">
        <v>101698</v>
      </c>
    </row>
    <row r="315" spans="1:18" x14ac:dyDescent="0.25">
      <c r="A315" s="148">
        <v>43802</v>
      </c>
      <c r="B315" s="107">
        <v>832.5</v>
      </c>
      <c r="C315" s="107">
        <v>808.95</v>
      </c>
      <c r="D315" s="107">
        <v>800</v>
      </c>
      <c r="E315" s="107">
        <v>825</v>
      </c>
      <c r="F315" s="107">
        <v>808.95</v>
      </c>
      <c r="G315">
        <v>5498</v>
      </c>
      <c r="H315" s="107"/>
      <c r="I315" s="107"/>
      <c r="L315" s="148">
        <v>43802</v>
      </c>
      <c r="M315" s="107">
        <v>809.3</v>
      </c>
      <c r="N315" s="107">
        <v>834.4</v>
      </c>
      <c r="O315" s="107">
        <v>799.1</v>
      </c>
      <c r="P315" s="107">
        <v>823</v>
      </c>
      <c r="Q315" s="107">
        <v>809.3</v>
      </c>
      <c r="R315">
        <v>176878</v>
      </c>
    </row>
    <row r="316" spans="1:18" x14ac:dyDescent="0.25">
      <c r="A316" s="148">
        <v>43803</v>
      </c>
      <c r="B316" s="107">
        <v>830</v>
      </c>
      <c r="C316" s="107">
        <v>825</v>
      </c>
      <c r="D316" s="107">
        <v>806.35</v>
      </c>
      <c r="E316" s="107">
        <v>806.35</v>
      </c>
      <c r="F316" s="107">
        <v>825</v>
      </c>
      <c r="G316">
        <v>4617</v>
      </c>
      <c r="H316" s="107"/>
      <c r="I316" s="107"/>
      <c r="L316" s="148">
        <v>43803</v>
      </c>
      <c r="M316" s="107">
        <v>821.6</v>
      </c>
      <c r="N316" s="107">
        <v>829</v>
      </c>
      <c r="O316" s="107">
        <v>800.5</v>
      </c>
      <c r="P316" s="107">
        <v>800.8</v>
      </c>
      <c r="Q316" s="107">
        <v>821.6</v>
      </c>
      <c r="R316">
        <v>68700</v>
      </c>
    </row>
    <row r="317" spans="1:18" x14ac:dyDescent="0.25">
      <c r="A317" s="148">
        <v>43804</v>
      </c>
      <c r="B317" s="107">
        <v>837.6</v>
      </c>
      <c r="C317" s="107">
        <v>804.2</v>
      </c>
      <c r="D317" s="107">
        <v>796.2</v>
      </c>
      <c r="E317" s="107">
        <v>835</v>
      </c>
      <c r="F317" s="107">
        <v>804.2</v>
      </c>
      <c r="G317">
        <v>8735</v>
      </c>
      <c r="H317" s="107"/>
      <c r="I317" s="107"/>
      <c r="L317" s="148">
        <v>43804</v>
      </c>
      <c r="M317" s="107">
        <v>805.2</v>
      </c>
      <c r="N317" s="107">
        <v>837.8</v>
      </c>
      <c r="O317" s="107">
        <v>796.55</v>
      </c>
      <c r="P317" s="107">
        <v>827.5</v>
      </c>
      <c r="Q317" s="107">
        <v>805.2</v>
      </c>
      <c r="R317">
        <v>99418</v>
      </c>
    </row>
    <row r="318" spans="1:18" x14ac:dyDescent="0.25">
      <c r="A318" s="148">
        <v>43805</v>
      </c>
      <c r="B318" s="107">
        <v>829.6</v>
      </c>
      <c r="C318" s="107">
        <v>807</v>
      </c>
      <c r="D318" s="107">
        <v>800</v>
      </c>
      <c r="E318" s="107">
        <v>810</v>
      </c>
      <c r="F318" s="107">
        <v>807</v>
      </c>
      <c r="G318">
        <v>5292</v>
      </c>
      <c r="H318" s="107"/>
      <c r="I318" s="107"/>
      <c r="L318" s="148">
        <v>43805</v>
      </c>
      <c r="M318" s="107">
        <v>804.8</v>
      </c>
      <c r="N318" s="107">
        <v>829.5</v>
      </c>
      <c r="O318" s="107">
        <v>798.65</v>
      </c>
      <c r="P318" s="107">
        <v>811.6</v>
      </c>
      <c r="Q318" s="107">
        <v>804.8</v>
      </c>
      <c r="R318">
        <v>89086</v>
      </c>
    </row>
    <row r="319" spans="1:18" x14ac:dyDescent="0.25">
      <c r="A319" s="148">
        <v>43808</v>
      </c>
      <c r="B319" s="107">
        <v>825</v>
      </c>
      <c r="C319" s="107">
        <v>798.9</v>
      </c>
      <c r="D319" s="107">
        <v>792</v>
      </c>
      <c r="E319" s="107">
        <v>807</v>
      </c>
      <c r="F319" s="107">
        <v>798.9</v>
      </c>
      <c r="G319">
        <v>11117</v>
      </c>
      <c r="H319" s="107"/>
      <c r="I319" s="107"/>
      <c r="L319" s="148">
        <v>43808</v>
      </c>
      <c r="M319" s="107">
        <v>799.15</v>
      </c>
      <c r="N319" s="107">
        <v>826</v>
      </c>
      <c r="O319" s="107">
        <v>790.8</v>
      </c>
      <c r="P319" s="107">
        <v>804.9</v>
      </c>
      <c r="Q319" s="107">
        <v>799.15</v>
      </c>
      <c r="R319">
        <v>141673</v>
      </c>
    </row>
    <row r="320" spans="1:18" x14ac:dyDescent="0.25">
      <c r="A320" s="148">
        <v>43809</v>
      </c>
      <c r="B320" s="107">
        <v>814.95</v>
      </c>
      <c r="C320" s="107">
        <v>791.55</v>
      </c>
      <c r="D320" s="107">
        <v>790</v>
      </c>
      <c r="E320" s="107">
        <v>805</v>
      </c>
      <c r="F320" s="107">
        <v>791.55</v>
      </c>
      <c r="G320">
        <v>4657</v>
      </c>
      <c r="H320" s="107"/>
      <c r="I320" s="107"/>
      <c r="L320" s="148">
        <v>43809</v>
      </c>
      <c r="M320" s="107">
        <v>792.7</v>
      </c>
      <c r="N320" s="107">
        <v>814</v>
      </c>
      <c r="O320" s="107">
        <v>791.05</v>
      </c>
      <c r="P320" s="107">
        <v>798.7</v>
      </c>
      <c r="Q320" s="107">
        <v>792.7</v>
      </c>
      <c r="R320">
        <v>44659</v>
      </c>
    </row>
    <row r="321" spans="1:18" x14ac:dyDescent="0.25">
      <c r="A321" s="148">
        <v>43810</v>
      </c>
      <c r="B321" s="107">
        <v>806</v>
      </c>
      <c r="C321" s="107">
        <v>804.05</v>
      </c>
      <c r="D321" s="107">
        <v>794</v>
      </c>
      <c r="E321" s="107">
        <v>796.9</v>
      </c>
      <c r="F321" s="107">
        <v>804.05</v>
      </c>
      <c r="G321">
        <v>4132</v>
      </c>
      <c r="H321" s="107"/>
      <c r="I321" s="107"/>
      <c r="L321" s="148">
        <v>43810</v>
      </c>
      <c r="M321" s="107">
        <v>802.8</v>
      </c>
      <c r="N321" s="107">
        <v>810</v>
      </c>
      <c r="O321" s="107">
        <v>794</v>
      </c>
      <c r="P321" s="107">
        <v>795</v>
      </c>
      <c r="Q321" s="107">
        <v>802.8</v>
      </c>
      <c r="R321">
        <v>140240</v>
      </c>
    </row>
    <row r="322" spans="1:18" x14ac:dyDescent="0.25">
      <c r="A322" s="148">
        <v>43811</v>
      </c>
      <c r="B322" s="107">
        <v>821.6</v>
      </c>
      <c r="C322" s="107">
        <v>811</v>
      </c>
      <c r="D322" s="107">
        <v>807.4</v>
      </c>
      <c r="E322" s="107">
        <v>815</v>
      </c>
      <c r="F322" s="107">
        <v>811</v>
      </c>
      <c r="G322">
        <v>3872</v>
      </c>
      <c r="H322" s="107"/>
      <c r="I322" s="107"/>
      <c r="L322" s="148">
        <v>43811</v>
      </c>
      <c r="M322" s="107">
        <v>809.95</v>
      </c>
      <c r="N322" s="107">
        <v>822</v>
      </c>
      <c r="O322" s="107">
        <v>805.05</v>
      </c>
      <c r="P322" s="107">
        <v>809.6</v>
      </c>
      <c r="Q322" s="107">
        <v>809.95</v>
      </c>
      <c r="R322">
        <v>77055</v>
      </c>
    </row>
    <row r="323" spans="1:18" x14ac:dyDescent="0.25">
      <c r="A323" s="148">
        <v>43812</v>
      </c>
      <c r="B323" s="107">
        <v>816.2</v>
      </c>
      <c r="C323" s="107">
        <v>809.75</v>
      </c>
      <c r="D323" s="107">
        <v>808</v>
      </c>
      <c r="E323" s="107">
        <v>816.2</v>
      </c>
      <c r="F323" s="107">
        <v>809.75</v>
      </c>
      <c r="G323">
        <v>2402</v>
      </c>
      <c r="H323" s="107"/>
      <c r="I323" s="107"/>
      <c r="L323" s="148">
        <v>43812</v>
      </c>
      <c r="M323" s="107">
        <v>810.1</v>
      </c>
      <c r="N323" s="107">
        <v>814.65</v>
      </c>
      <c r="O323" s="107">
        <v>805.55</v>
      </c>
      <c r="P323" s="107">
        <v>814.65</v>
      </c>
      <c r="Q323" s="107">
        <v>810.1</v>
      </c>
      <c r="R323">
        <v>29365</v>
      </c>
    </row>
    <row r="324" spans="1:18" x14ac:dyDescent="0.25">
      <c r="A324" s="148">
        <v>43815</v>
      </c>
      <c r="B324" s="107">
        <v>819.75</v>
      </c>
      <c r="C324" s="107">
        <v>800</v>
      </c>
      <c r="D324" s="107">
        <v>793.6</v>
      </c>
      <c r="E324" s="107">
        <v>819.75</v>
      </c>
      <c r="F324" s="107">
        <v>800</v>
      </c>
      <c r="G324">
        <v>2912</v>
      </c>
      <c r="H324" s="107"/>
      <c r="I324" s="107"/>
      <c r="L324" s="148">
        <v>43815</v>
      </c>
      <c r="M324" s="107">
        <v>799.9</v>
      </c>
      <c r="N324" s="107">
        <v>812.45</v>
      </c>
      <c r="O324" s="107">
        <v>792.35</v>
      </c>
      <c r="P324" s="107">
        <v>810</v>
      </c>
      <c r="Q324" s="107">
        <v>799.9</v>
      </c>
      <c r="R324">
        <v>57293</v>
      </c>
    </row>
    <row r="325" spans="1:18" x14ac:dyDescent="0.25">
      <c r="A325" s="148">
        <v>43816</v>
      </c>
      <c r="B325" s="107">
        <v>804.7</v>
      </c>
      <c r="C325" s="107">
        <v>794.45</v>
      </c>
      <c r="D325" s="107">
        <v>793.6</v>
      </c>
      <c r="E325" s="107">
        <v>804.7</v>
      </c>
      <c r="F325" s="107">
        <v>794.45</v>
      </c>
      <c r="G325">
        <v>1159</v>
      </c>
      <c r="H325" s="107"/>
      <c r="I325" s="107"/>
      <c r="L325" s="148">
        <v>43816</v>
      </c>
      <c r="M325" s="107">
        <v>796.65</v>
      </c>
      <c r="N325" s="107">
        <v>804.75</v>
      </c>
      <c r="O325" s="107">
        <v>792.7</v>
      </c>
      <c r="P325" s="107">
        <v>803</v>
      </c>
      <c r="Q325" s="107">
        <v>796.65</v>
      </c>
      <c r="R325">
        <v>69116</v>
      </c>
    </row>
    <row r="326" spans="1:18" x14ac:dyDescent="0.25">
      <c r="A326" s="148">
        <v>43817</v>
      </c>
      <c r="B326" s="107">
        <v>797.65</v>
      </c>
      <c r="C326" s="107">
        <v>789.55</v>
      </c>
      <c r="D326" s="107">
        <v>767.9</v>
      </c>
      <c r="E326" s="107">
        <v>795.9</v>
      </c>
      <c r="F326" s="107">
        <v>789.55</v>
      </c>
      <c r="G326">
        <v>4201</v>
      </c>
      <c r="H326" s="107"/>
      <c r="I326" s="107"/>
      <c r="L326" s="148">
        <v>43817</v>
      </c>
      <c r="M326" s="107">
        <v>790.3</v>
      </c>
      <c r="N326" s="107">
        <v>799.75</v>
      </c>
      <c r="O326" s="107">
        <v>767.65</v>
      </c>
      <c r="P326" s="107">
        <v>796</v>
      </c>
      <c r="Q326" s="107">
        <v>790.3</v>
      </c>
      <c r="R326">
        <v>109218</v>
      </c>
    </row>
    <row r="327" spans="1:18" x14ac:dyDescent="0.25">
      <c r="A327" s="148">
        <v>43818</v>
      </c>
      <c r="B327" s="107">
        <v>792.05</v>
      </c>
      <c r="C327" s="107">
        <v>781.1</v>
      </c>
      <c r="D327" s="107">
        <v>780</v>
      </c>
      <c r="E327" s="107">
        <v>785</v>
      </c>
      <c r="F327" s="107">
        <v>781.1</v>
      </c>
      <c r="G327">
        <v>1490</v>
      </c>
      <c r="H327" s="107"/>
      <c r="I327" s="107"/>
      <c r="L327" s="148">
        <v>43818</v>
      </c>
      <c r="M327" s="107">
        <v>784.45</v>
      </c>
      <c r="N327" s="107">
        <v>797.85</v>
      </c>
      <c r="O327" s="107">
        <v>778.85</v>
      </c>
      <c r="P327" s="107">
        <v>784.5</v>
      </c>
      <c r="Q327" s="107">
        <v>784.45</v>
      </c>
      <c r="R327">
        <v>60084</v>
      </c>
    </row>
    <row r="328" spans="1:18" x14ac:dyDescent="0.25">
      <c r="A328" s="148">
        <v>43819</v>
      </c>
      <c r="B328" s="107">
        <v>790</v>
      </c>
      <c r="C328" s="107">
        <v>784.75</v>
      </c>
      <c r="D328" s="107">
        <v>774.9</v>
      </c>
      <c r="E328" s="107">
        <v>788.9</v>
      </c>
      <c r="F328" s="107">
        <v>784.75</v>
      </c>
      <c r="G328">
        <v>2210</v>
      </c>
      <c r="H328" s="107"/>
      <c r="I328" s="107"/>
      <c r="L328" s="148">
        <v>43819</v>
      </c>
      <c r="M328" s="107">
        <v>783.85</v>
      </c>
      <c r="N328" s="107">
        <v>790.1</v>
      </c>
      <c r="O328" s="107">
        <v>775</v>
      </c>
      <c r="P328" s="107">
        <v>786.1</v>
      </c>
      <c r="Q328" s="107">
        <v>783.85</v>
      </c>
      <c r="R328">
        <v>79823</v>
      </c>
    </row>
    <row r="329" spans="1:18" x14ac:dyDescent="0.25">
      <c r="A329" s="148">
        <v>43822</v>
      </c>
      <c r="B329" s="107">
        <v>780.15</v>
      </c>
      <c r="C329" s="107">
        <v>767.1</v>
      </c>
      <c r="D329" s="107">
        <v>764.65</v>
      </c>
      <c r="E329" s="107">
        <v>778.15</v>
      </c>
      <c r="F329" s="107">
        <v>767.1</v>
      </c>
      <c r="G329">
        <v>2811</v>
      </c>
      <c r="H329" s="107"/>
      <c r="I329" s="107"/>
      <c r="L329" s="148">
        <v>43822</v>
      </c>
      <c r="M329" s="107">
        <v>768.3</v>
      </c>
      <c r="N329" s="107">
        <v>783.9</v>
      </c>
      <c r="O329" s="107">
        <v>765.05</v>
      </c>
      <c r="P329" s="107">
        <v>775.55</v>
      </c>
      <c r="Q329" s="107">
        <v>768.3</v>
      </c>
      <c r="R329">
        <v>59231</v>
      </c>
    </row>
    <row r="330" spans="1:18" x14ac:dyDescent="0.25">
      <c r="A330" s="148">
        <v>43823</v>
      </c>
      <c r="B330" s="107">
        <v>774.6</v>
      </c>
      <c r="C330" s="107">
        <v>769.25</v>
      </c>
      <c r="D330" s="107">
        <v>764</v>
      </c>
      <c r="E330" s="107">
        <v>770</v>
      </c>
      <c r="F330" s="107">
        <v>769.25</v>
      </c>
      <c r="G330">
        <v>3864</v>
      </c>
      <c r="H330" s="107"/>
      <c r="I330" s="107"/>
      <c r="L330" s="148">
        <v>43823</v>
      </c>
      <c r="M330" s="107">
        <v>768.5</v>
      </c>
      <c r="N330" s="107">
        <v>773.85</v>
      </c>
      <c r="O330" s="107">
        <v>765.05</v>
      </c>
      <c r="P330" s="107">
        <v>768.5</v>
      </c>
      <c r="Q330" s="107">
        <v>768.5</v>
      </c>
      <c r="R330">
        <v>50586</v>
      </c>
    </row>
    <row r="331" spans="1:18" x14ac:dyDescent="0.25">
      <c r="A331" s="148">
        <v>43825</v>
      </c>
      <c r="B331" s="107">
        <v>772.45</v>
      </c>
      <c r="C331" s="107">
        <v>769.5</v>
      </c>
      <c r="D331" s="107">
        <v>764.9</v>
      </c>
      <c r="E331" s="107">
        <v>770.3</v>
      </c>
      <c r="F331" s="107">
        <v>769.5</v>
      </c>
      <c r="G331">
        <v>3254</v>
      </c>
      <c r="H331" s="107"/>
      <c r="I331" s="107"/>
      <c r="L331" s="148">
        <v>43825</v>
      </c>
      <c r="M331" s="107">
        <v>769.2</v>
      </c>
      <c r="N331" s="107">
        <v>778.8</v>
      </c>
      <c r="O331" s="107">
        <v>765</v>
      </c>
      <c r="P331" s="107">
        <v>768.5</v>
      </c>
      <c r="Q331" s="107">
        <v>769.2</v>
      </c>
      <c r="R331">
        <v>92185</v>
      </c>
    </row>
    <row r="332" spans="1:18" x14ac:dyDescent="0.25">
      <c r="A332" s="148">
        <v>43826</v>
      </c>
      <c r="B332" s="107">
        <v>795.9</v>
      </c>
      <c r="C332" s="107">
        <v>774.3</v>
      </c>
      <c r="D332" s="107">
        <v>772</v>
      </c>
      <c r="E332" s="107">
        <v>779.75</v>
      </c>
      <c r="F332" s="107">
        <v>774.3</v>
      </c>
      <c r="G332">
        <v>3008</v>
      </c>
      <c r="H332" s="107"/>
      <c r="I332" s="107"/>
      <c r="L332" s="148">
        <v>43826</v>
      </c>
      <c r="M332" s="107">
        <v>774.2</v>
      </c>
      <c r="N332" s="107">
        <v>796.35</v>
      </c>
      <c r="O332" s="107">
        <v>770.35</v>
      </c>
      <c r="P332" s="107">
        <v>771</v>
      </c>
      <c r="Q332" s="107">
        <v>774.2</v>
      </c>
      <c r="R332">
        <v>160731</v>
      </c>
    </row>
    <row r="333" spans="1:18" x14ac:dyDescent="0.25">
      <c r="A333" s="148">
        <v>43829</v>
      </c>
      <c r="B333" s="107">
        <v>775.6</v>
      </c>
      <c r="C333" s="107">
        <v>766.75</v>
      </c>
      <c r="D333" s="107">
        <v>765</v>
      </c>
      <c r="E333" s="107">
        <v>775.6</v>
      </c>
      <c r="F333" s="107">
        <v>766.75</v>
      </c>
      <c r="G333">
        <v>2044</v>
      </c>
      <c r="H333" s="107"/>
      <c r="I333" s="107"/>
      <c r="L333" s="148">
        <v>43829</v>
      </c>
      <c r="M333" s="107">
        <v>766.45</v>
      </c>
      <c r="N333" s="107">
        <v>778.4</v>
      </c>
      <c r="O333" s="107">
        <v>764.65</v>
      </c>
      <c r="P333" s="107">
        <v>778</v>
      </c>
      <c r="Q333" s="107">
        <v>766.45</v>
      </c>
      <c r="R333">
        <v>60317</v>
      </c>
    </row>
    <row r="334" spans="1:18" x14ac:dyDescent="0.25">
      <c r="A334" s="148">
        <v>43830</v>
      </c>
      <c r="B334" s="107">
        <v>769.3</v>
      </c>
      <c r="C334" s="107">
        <v>767.15</v>
      </c>
      <c r="D334" s="107">
        <v>755</v>
      </c>
      <c r="E334" s="107">
        <v>764</v>
      </c>
      <c r="F334" s="107">
        <v>767.15</v>
      </c>
      <c r="G334">
        <v>1558</v>
      </c>
      <c r="H334" s="107"/>
      <c r="I334" s="107"/>
      <c r="L334" s="148">
        <v>43830</v>
      </c>
      <c r="M334" s="107">
        <v>767.95</v>
      </c>
      <c r="N334" s="107">
        <v>770</v>
      </c>
      <c r="O334" s="107">
        <v>752</v>
      </c>
      <c r="P334" s="107">
        <v>752</v>
      </c>
      <c r="Q334" s="107">
        <v>767.95</v>
      </c>
      <c r="R334">
        <v>126179</v>
      </c>
    </row>
    <row r="335" spans="1:18" x14ac:dyDescent="0.25">
      <c r="A335" s="148">
        <v>43831</v>
      </c>
      <c r="B335" s="107">
        <v>780.8</v>
      </c>
      <c r="C335" s="107">
        <v>764.75</v>
      </c>
      <c r="D335" s="107">
        <v>757.25</v>
      </c>
      <c r="E335" s="107">
        <v>776.7</v>
      </c>
      <c r="F335" s="107">
        <v>764.75</v>
      </c>
      <c r="G335">
        <v>2989</v>
      </c>
      <c r="H335" s="107"/>
      <c r="I335" s="107"/>
      <c r="L335" s="148">
        <v>43831</v>
      </c>
      <c r="M335" s="107">
        <v>764.4</v>
      </c>
      <c r="N335" s="107">
        <v>781</v>
      </c>
      <c r="O335" s="107">
        <v>756.65</v>
      </c>
      <c r="P335" s="107">
        <v>775.9</v>
      </c>
      <c r="Q335" s="107">
        <v>764.4</v>
      </c>
      <c r="R335">
        <v>55920</v>
      </c>
    </row>
    <row r="336" spans="1:18" x14ac:dyDescent="0.25">
      <c r="A336" s="148">
        <v>43832</v>
      </c>
      <c r="B336" s="107">
        <v>772.55</v>
      </c>
      <c r="C336" s="107">
        <v>752.2</v>
      </c>
      <c r="D336" s="107">
        <v>749</v>
      </c>
      <c r="E336" s="107">
        <v>764.35</v>
      </c>
      <c r="F336" s="107">
        <v>752.2</v>
      </c>
      <c r="G336">
        <v>2004</v>
      </c>
      <c r="H336" s="107"/>
      <c r="I336" s="107"/>
      <c r="L336" s="148">
        <v>43832</v>
      </c>
      <c r="M336" s="107">
        <v>752.25</v>
      </c>
      <c r="N336" s="107">
        <v>773.2</v>
      </c>
      <c r="O336" s="107">
        <v>747.3</v>
      </c>
      <c r="P336" s="107">
        <v>764.4</v>
      </c>
      <c r="Q336" s="107">
        <v>752.25</v>
      </c>
      <c r="R336">
        <v>67181</v>
      </c>
    </row>
    <row r="337" spans="1:18" x14ac:dyDescent="0.25">
      <c r="A337" s="148">
        <v>43833</v>
      </c>
      <c r="B337" s="107">
        <v>764</v>
      </c>
      <c r="C337" s="107">
        <v>761.75</v>
      </c>
      <c r="D337" s="107">
        <v>747.2</v>
      </c>
      <c r="E337" s="107">
        <v>753.1</v>
      </c>
      <c r="F337" s="107">
        <v>761.75</v>
      </c>
      <c r="G337">
        <v>12882</v>
      </c>
      <c r="H337" s="107"/>
      <c r="I337" s="107"/>
      <c r="L337" s="148">
        <v>43833</v>
      </c>
      <c r="M337" s="107">
        <v>761.9</v>
      </c>
      <c r="N337" s="107">
        <v>765.2</v>
      </c>
      <c r="O337" s="107">
        <v>743.15</v>
      </c>
      <c r="P337" s="107">
        <v>752.25</v>
      </c>
      <c r="Q337" s="107">
        <v>761.9</v>
      </c>
      <c r="R337">
        <v>104764</v>
      </c>
    </row>
    <row r="338" spans="1:18" x14ac:dyDescent="0.25">
      <c r="A338" s="148">
        <v>43836</v>
      </c>
      <c r="B338" s="107">
        <v>761.6</v>
      </c>
      <c r="C338" s="107">
        <v>751.85</v>
      </c>
      <c r="D338" s="107">
        <v>735.7</v>
      </c>
      <c r="E338" s="107">
        <v>760</v>
      </c>
      <c r="F338" s="107">
        <v>751.85</v>
      </c>
      <c r="G338">
        <v>2444</v>
      </c>
      <c r="H338" s="107"/>
      <c r="I338" s="107"/>
      <c r="L338" s="148">
        <v>43836</v>
      </c>
      <c r="M338" s="107">
        <v>751.2</v>
      </c>
      <c r="N338" s="107">
        <v>762.7</v>
      </c>
      <c r="O338" s="107">
        <v>737</v>
      </c>
      <c r="P338" s="107">
        <v>747.7</v>
      </c>
      <c r="Q338" s="107">
        <v>751.2</v>
      </c>
      <c r="R338">
        <v>82112</v>
      </c>
    </row>
    <row r="339" spans="1:18" x14ac:dyDescent="0.25">
      <c r="A339" s="148">
        <v>43837</v>
      </c>
      <c r="B339" s="107">
        <v>777.75</v>
      </c>
      <c r="C339" s="107">
        <v>762.1</v>
      </c>
      <c r="D339" s="107">
        <v>750</v>
      </c>
      <c r="E339" s="107">
        <v>760.9</v>
      </c>
      <c r="F339" s="107">
        <v>762.1</v>
      </c>
      <c r="G339">
        <v>4975</v>
      </c>
      <c r="H339" s="107"/>
      <c r="I339" s="107"/>
      <c r="L339" s="148">
        <v>43837</v>
      </c>
      <c r="M339" s="107">
        <v>761.5</v>
      </c>
      <c r="N339" s="107">
        <v>777.95</v>
      </c>
      <c r="O339" s="107">
        <v>749.5</v>
      </c>
      <c r="P339" s="107">
        <v>758.6</v>
      </c>
      <c r="Q339" s="107">
        <v>761.5</v>
      </c>
      <c r="R339">
        <v>147196</v>
      </c>
    </row>
    <row r="340" spans="1:18" x14ac:dyDescent="0.25">
      <c r="A340" s="148">
        <v>43838</v>
      </c>
      <c r="B340" s="107">
        <v>756.85</v>
      </c>
      <c r="C340" s="107">
        <v>745.85</v>
      </c>
      <c r="D340" s="107">
        <v>741.65</v>
      </c>
      <c r="E340" s="107">
        <v>753.4</v>
      </c>
      <c r="F340" s="107">
        <v>745.85</v>
      </c>
      <c r="G340">
        <v>2320</v>
      </c>
      <c r="H340" s="107"/>
      <c r="I340" s="107"/>
      <c r="L340" s="148">
        <v>43838</v>
      </c>
      <c r="M340" s="107">
        <v>745.35</v>
      </c>
      <c r="N340" s="107">
        <v>760</v>
      </c>
      <c r="O340" s="107">
        <v>740.5</v>
      </c>
      <c r="P340" s="107">
        <v>760</v>
      </c>
      <c r="Q340" s="107">
        <v>745.35</v>
      </c>
      <c r="R340">
        <v>109588</v>
      </c>
    </row>
    <row r="341" spans="1:18" x14ac:dyDescent="0.25">
      <c r="A341" s="148">
        <v>43839</v>
      </c>
      <c r="B341" s="107">
        <v>757.5</v>
      </c>
      <c r="C341" s="107">
        <v>745.45</v>
      </c>
      <c r="D341" s="107">
        <v>743</v>
      </c>
      <c r="E341" s="107">
        <v>750</v>
      </c>
      <c r="F341" s="107">
        <v>745.45</v>
      </c>
      <c r="G341">
        <v>1173</v>
      </c>
      <c r="H341" s="107"/>
      <c r="I341" s="107"/>
      <c r="L341" s="148">
        <v>43839</v>
      </c>
      <c r="M341" s="107">
        <v>745.3</v>
      </c>
      <c r="N341" s="107">
        <v>757.95</v>
      </c>
      <c r="O341" s="107">
        <v>742</v>
      </c>
      <c r="P341" s="107">
        <v>755</v>
      </c>
      <c r="Q341" s="107">
        <v>745.3</v>
      </c>
      <c r="R341">
        <v>150780</v>
      </c>
    </row>
    <row r="342" spans="1:18" x14ac:dyDescent="0.25">
      <c r="A342" s="148">
        <v>43840</v>
      </c>
      <c r="B342" s="107">
        <v>777.5</v>
      </c>
      <c r="C342" s="107">
        <v>770.3</v>
      </c>
      <c r="D342" s="107">
        <v>745.5</v>
      </c>
      <c r="E342" s="107">
        <v>750</v>
      </c>
      <c r="F342" s="107">
        <v>770.3</v>
      </c>
      <c r="G342">
        <v>8686</v>
      </c>
      <c r="H342" s="107"/>
      <c r="I342" s="107"/>
      <c r="L342" s="148">
        <v>43840</v>
      </c>
      <c r="M342" s="107">
        <v>771.9</v>
      </c>
      <c r="N342" s="107">
        <v>777.8</v>
      </c>
      <c r="O342" s="107">
        <v>744.5</v>
      </c>
      <c r="P342" s="107">
        <v>746.9</v>
      </c>
      <c r="Q342" s="107">
        <v>771.9</v>
      </c>
      <c r="R342">
        <v>224007</v>
      </c>
    </row>
    <row r="343" spans="1:18" x14ac:dyDescent="0.25">
      <c r="A343" s="148">
        <v>43843</v>
      </c>
      <c r="B343" s="107">
        <v>781.35</v>
      </c>
      <c r="C343" s="107">
        <v>760.05</v>
      </c>
      <c r="D343" s="107">
        <v>753</v>
      </c>
      <c r="E343" s="107">
        <v>781.35</v>
      </c>
      <c r="F343" s="107">
        <v>760.05</v>
      </c>
      <c r="G343">
        <v>3616</v>
      </c>
      <c r="H343" s="107"/>
      <c r="I343" s="107"/>
      <c r="L343" s="148">
        <v>43843</v>
      </c>
      <c r="M343" s="107">
        <v>758.35</v>
      </c>
      <c r="N343" s="107">
        <v>782</v>
      </c>
      <c r="O343" s="107">
        <v>752.35</v>
      </c>
      <c r="P343" s="107">
        <v>780</v>
      </c>
      <c r="Q343" s="107">
        <v>758.35</v>
      </c>
      <c r="R343">
        <v>67729</v>
      </c>
    </row>
    <row r="344" spans="1:18" x14ac:dyDescent="0.25">
      <c r="A344" s="148">
        <v>43844</v>
      </c>
      <c r="B344" s="107">
        <v>776</v>
      </c>
      <c r="C344" s="107">
        <v>759.6</v>
      </c>
      <c r="D344" s="107">
        <v>755</v>
      </c>
      <c r="E344" s="107">
        <v>763</v>
      </c>
      <c r="F344" s="107">
        <v>759.6</v>
      </c>
      <c r="G344">
        <v>3076</v>
      </c>
      <c r="H344" s="107"/>
      <c r="I344" s="107"/>
      <c r="L344" s="148">
        <v>43844</v>
      </c>
      <c r="M344" s="107">
        <v>758.65</v>
      </c>
      <c r="N344" s="107">
        <v>776.35</v>
      </c>
      <c r="O344" s="107">
        <v>752.85</v>
      </c>
      <c r="P344" s="107">
        <v>758.35</v>
      </c>
      <c r="Q344" s="107">
        <v>758.65</v>
      </c>
      <c r="R344">
        <v>95252</v>
      </c>
    </row>
    <row r="345" spans="1:18" x14ac:dyDescent="0.25">
      <c r="A345" s="148">
        <v>43845</v>
      </c>
      <c r="B345" s="107">
        <v>766</v>
      </c>
      <c r="C345" s="107">
        <v>763.1</v>
      </c>
      <c r="D345" s="107">
        <v>755.75</v>
      </c>
      <c r="E345" s="107">
        <v>755.8</v>
      </c>
      <c r="F345" s="107">
        <v>763.1</v>
      </c>
      <c r="G345">
        <v>715</v>
      </c>
      <c r="H345" s="107"/>
      <c r="I345" s="107"/>
      <c r="L345" s="148">
        <v>43845</v>
      </c>
      <c r="M345" s="107">
        <v>764.9</v>
      </c>
      <c r="N345" s="107">
        <v>768.85</v>
      </c>
      <c r="O345" s="107">
        <v>756.75</v>
      </c>
      <c r="P345" s="107">
        <v>763</v>
      </c>
      <c r="Q345" s="107">
        <v>764.9</v>
      </c>
      <c r="R345">
        <v>44489</v>
      </c>
    </row>
    <row r="346" spans="1:18" x14ac:dyDescent="0.25">
      <c r="A346" s="148">
        <v>43846</v>
      </c>
      <c r="B346" s="107">
        <v>795.1</v>
      </c>
      <c r="C346" s="107">
        <v>776.55</v>
      </c>
      <c r="D346" s="107">
        <v>768</v>
      </c>
      <c r="E346" s="107">
        <v>771.5</v>
      </c>
      <c r="F346" s="107">
        <v>776.55</v>
      </c>
      <c r="G346">
        <v>9435</v>
      </c>
      <c r="H346" s="107"/>
      <c r="I346" s="107"/>
      <c r="L346" s="148">
        <v>43846</v>
      </c>
      <c r="M346" s="107">
        <v>779.35</v>
      </c>
      <c r="N346" s="107">
        <v>793.95</v>
      </c>
      <c r="O346" s="107">
        <v>765</v>
      </c>
      <c r="P346" s="107">
        <v>768.55</v>
      </c>
      <c r="Q346" s="107">
        <v>779.35</v>
      </c>
      <c r="R346">
        <v>573285</v>
      </c>
    </row>
    <row r="347" spans="1:18" x14ac:dyDescent="0.25">
      <c r="A347" s="148">
        <v>43847</v>
      </c>
      <c r="B347" s="107">
        <v>776.6</v>
      </c>
      <c r="C347" s="107">
        <v>773.3</v>
      </c>
      <c r="D347" s="107">
        <v>768.4</v>
      </c>
      <c r="E347" s="107">
        <v>770.4</v>
      </c>
      <c r="F347" s="107">
        <v>773.3</v>
      </c>
      <c r="G347">
        <v>1128</v>
      </c>
      <c r="H347" s="107"/>
      <c r="I347" s="107"/>
      <c r="L347" s="148">
        <v>43847</v>
      </c>
      <c r="M347" s="107">
        <v>772.7</v>
      </c>
      <c r="N347" s="107">
        <v>781.5</v>
      </c>
      <c r="O347" s="107">
        <v>767.5</v>
      </c>
      <c r="P347" s="107">
        <v>779.5</v>
      </c>
      <c r="Q347" s="107">
        <v>772.7</v>
      </c>
      <c r="R347">
        <v>143108</v>
      </c>
    </row>
    <row r="348" spans="1:18" x14ac:dyDescent="0.25">
      <c r="A348" s="148">
        <v>43850</v>
      </c>
      <c r="B348" s="107">
        <v>781</v>
      </c>
      <c r="C348" s="107">
        <v>773.35</v>
      </c>
      <c r="D348" s="107">
        <v>771.9</v>
      </c>
      <c r="E348" s="107">
        <v>780</v>
      </c>
      <c r="F348" s="107">
        <v>773.35</v>
      </c>
      <c r="G348">
        <v>4332</v>
      </c>
      <c r="H348" s="107"/>
      <c r="I348" s="107"/>
      <c r="L348" s="148">
        <v>43850</v>
      </c>
      <c r="M348" s="107">
        <v>774.9</v>
      </c>
      <c r="N348" s="107">
        <v>784.7</v>
      </c>
      <c r="O348" s="107">
        <v>772</v>
      </c>
      <c r="P348" s="107">
        <v>784.7</v>
      </c>
      <c r="Q348" s="107">
        <v>774.9</v>
      </c>
      <c r="R348">
        <v>49939</v>
      </c>
    </row>
    <row r="349" spans="1:18" x14ac:dyDescent="0.25">
      <c r="A349" s="148">
        <v>43851</v>
      </c>
      <c r="B349" s="107">
        <v>777.35</v>
      </c>
      <c r="C349" s="107">
        <v>774.65</v>
      </c>
      <c r="D349" s="107">
        <v>756.9</v>
      </c>
      <c r="E349" s="107">
        <v>773</v>
      </c>
      <c r="F349" s="107">
        <v>774.65</v>
      </c>
      <c r="G349">
        <v>2648</v>
      </c>
      <c r="H349" s="107"/>
      <c r="I349" s="107"/>
      <c r="L349" s="148">
        <v>43851</v>
      </c>
      <c r="M349" s="107">
        <v>774</v>
      </c>
      <c r="N349" s="107">
        <v>778.4</v>
      </c>
      <c r="O349" s="107">
        <v>755.1</v>
      </c>
      <c r="P349" s="107">
        <v>770.1</v>
      </c>
      <c r="Q349" s="107">
        <v>774</v>
      </c>
      <c r="R349">
        <v>69352</v>
      </c>
    </row>
    <row r="350" spans="1:18" x14ac:dyDescent="0.25">
      <c r="A350" s="148">
        <v>43852</v>
      </c>
      <c r="B350" s="107">
        <v>801.7</v>
      </c>
      <c r="C350" s="107">
        <v>799.15</v>
      </c>
      <c r="D350" s="107">
        <v>776.3</v>
      </c>
      <c r="E350" s="107">
        <v>780</v>
      </c>
      <c r="F350" s="107">
        <v>799.15</v>
      </c>
      <c r="G350">
        <v>3621</v>
      </c>
      <c r="H350" s="107"/>
      <c r="I350" s="107"/>
      <c r="L350" s="148">
        <v>43852</v>
      </c>
      <c r="M350" s="107">
        <v>797.65</v>
      </c>
      <c r="N350" s="107">
        <v>802.9</v>
      </c>
      <c r="O350" s="107">
        <v>775</v>
      </c>
      <c r="P350" s="107">
        <v>783</v>
      </c>
      <c r="Q350" s="107">
        <v>797.65</v>
      </c>
      <c r="R350">
        <v>121408</v>
      </c>
    </row>
    <row r="351" spans="1:18" x14ac:dyDescent="0.25">
      <c r="A351" s="148">
        <v>43853</v>
      </c>
      <c r="B351" s="107">
        <v>818.95</v>
      </c>
      <c r="C351" s="107">
        <v>811.75</v>
      </c>
      <c r="D351" s="107">
        <v>766.5</v>
      </c>
      <c r="E351" s="107">
        <v>795</v>
      </c>
      <c r="F351" s="107">
        <v>811.75</v>
      </c>
      <c r="G351">
        <v>14745</v>
      </c>
      <c r="H351" s="107"/>
      <c r="I351" s="107"/>
      <c r="L351" s="148">
        <v>43853</v>
      </c>
      <c r="M351" s="107">
        <v>811</v>
      </c>
      <c r="N351" s="107">
        <v>819.85</v>
      </c>
      <c r="O351" s="107">
        <v>765</v>
      </c>
      <c r="P351" s="107">
        <v>783</v>
      </c>
      <c r="Q351" s="107">
        <v>811</v>
      </c>
      <c r="R351">
        <v>384222</v>
      </c>
    </row>
    <row r="352" spans="1:18" x14ac:dyDescent="0.25">
      <c r="A352" s="148">
        <v>43854</v>
      </c>
      <c r="B352" s="107">
        <v>849.5</v>
      </c>
      <c r="C352" s="107">
        <v>838.85</v>
      </c>
      <c r="D352" s="107">
        <v>800</v>
      </c>
      <c r="E352" s="107">
        <v>812.3</v>
      </c>
      <c r="F352" s="107">
        <v>838.85</v>
      </c>
      <c r="G352">
        <v>13935</v>
      </c>
      <c r="H352" s="107"/>
      <c r="I352" s="107"/>
      <c r="L352" s="148">
        <v>43854</v>
      </c>
      <c r="M352" s="107">
        <v>837.25</v>
      </c>
      <c r="N352" s="107">
        <v>849</v>
      </c>
      <c r="O352" s="107">
        <v>800</v>
      </c>
      <c r="P352" s="107">
        <v>811.05</v>
      </c>
      <c r="Q352" s="107">
        <v>837.25</v>
      </c>
      <c r="R352">
        <v>169408</v>
      </c>
    </row>
    <row r="353" spans="1:18" x14ac:dyDescent="0.25">
      <c r="A353" s="148">
        <v>43857</v>
      </c>
      <c r="B353" s="107">
        <v>865</v>
      </c>
      <c r="C353" s="107">
        <v>845.8</v>
      </c>
      <c r="D353" s="107">
        <v>826.05</v>
      </c>
      <c r="E353" s="107">
        <v>830</v>
      </c>
      <c r="F353" s="107">
        <v>845.8</v>
      </c>
      <c r="G353">
        <v>9606</v>
      </c>
      <c r="H353" s="107"/>
      <c r="I353" s="107"/>
      <c r="L353" s="148">
        <v>43857</v>
      </c>
      <c r="M353" s="107">
        <v>848.45</v>
      </c>
      <c r="N353" s="107">
        <v>864.7</v>
      </c>
      <c r="O353" s="107">
        <v>822.3</v>
      </c>
      <c r="P353" s="107">
        <v>835.9</v>
      </c>
      <c r="Q353" s="107">
        <v>848.45</v>
      </c>
      <c r="R353">
        <v>168824</v>
      </c>
    </row>
    <row r="354" spans="1:18" x14ac:dyDescent="0.25">
      <c r="A354" s="148">
        <v>43858</v>
      </c>
      <c r="B354" s="107">
        <v>871.8</v>
      </c>
      <c r="C354" s="107">
        <v>855.95</v>
      </c>
      <c r="D354" s="107">
        <v>849.75</v>
      </c>
      <c r="E354" s="107">
        <v>859.4</v>
      </c>
      <c r="F354" s="107">
        <v>855.95</v>
      </c>
      <c r="G354">
        <v>5012</v>
      </c>
      <c r="H354" s="107"/>
      <c r="I354" s="107"/>
      <c r="L354" s="148">
        <v>43858</v>
      </c>
      <c r="M354" s="107">
        <v>855.1</v>
      </c>
      <c r="N354" s="107">
        <v>871.5</v>
      </c>
      <c r="O354" s="107">
        <v>847.1</v>
      </c>
      <c r="P354" s="107">
        <v>847.1</v>
      </c>
      <c r="Q354" s="107">
        <v>855.1</v>
      </c>
      <c r="R354">
        <v>80773</v>
      </c>
    </row>
    <row r="355" spans="1:18" x14ac:dyDescent="0.25">
      <c r="A355" s="148">
        <v>43859</v>
      </c>
      <c r="B355" s="107">
        <v>881.85</v>
      </c>
      <c r="C355" s="107">
        <v>859.35</v>
      </c>
      <c r="D355" s="107">
        <v>851.15</v>
      </c>
      <c r="E355" s="107">
        <v>858</v>
      </c>
      <c r="F355" s="107">
        <v>859.35</v>
      </c>
      <c r="G355">
        <v>11263</v>
      </c>
      <c r="H355" s="107"/>
      <c r="I355" s="107"/>
      <c r="L355" s="148">
        <v>43859</v>
      </c>
      <c r="M355" s="107">
        <v>857.85</v>
      </c>
      <c r="N355" s="107">
        <v>882.4</v>
      </c>
      <c r="O355" s="107">
        <v>851</v>
      </c>
      <c r="P355" s="107">
        <v>858</v>
      </c>
      <c r="Q355" s="107">
        <v>857.85</v>
      </c>
      <c r="R355">
        <v>182387</v>
      </c>
    </row>
    <row r="356" spans="1:18" x14ac:dyDescent="0.25">
      <c r="A356" s="148">
        <v>43860</v>
      </c>
      <c r="B356" s="107">
        <v>865</v>
      </c>
      <c r="C356" s="107">
        <v>812.1</v>
      </c>
      <c r="D356" s="107">
        <v>809</v>
      </c>
      <c r="E356" s="107">
        <v>865</v>
      </c>
      <c r="F356" s="107">
        <v>812.1</v>
      </c>
      <c r="G356">
        <v>6570</v>
      </c>
      <c r="H356" s="107"/>
      <c r="I356" s="107"/>
      <c r="L356" s="148">
        <v>43860</v>
      </c>
      <c r="M356" s="107">
        <v>813.25</v>
      </c>
      <c r="N356" s="107">
        <v>863.5</v>
      </c>
      <c r="O356" s="107">
        <v>808.35</v>
      </c>
      <c r="P356" s="107">
        <v>859.5</v>
      </c>
      <c r="Q356" s="107">
        <v>813.25</v>
      </c>
      <c r="R356">
        <v>103509</v>
      </c>
    </row>
    <row r="357" spans="1:18" x14ac:dyDescent="0.25">
      <c r="A357" s="148">
        <v>43861</v>
      </c>
      <c r="B357" s="107">
        <v>822.85</v>
      </c>
      <c r="C357" s="107">
        <v>801.85</v>
      </c>
      <c r="D357" s="107">
        <v>793.15</v>
      </c>
      <c r="E357" s="107">
        <v>818</v>
      </c>
      <c r="F357" s="107">
        <v>801.85</v>
      </c>
      <c r="G357">
        <v>4426</v>
      </c>
      <c r="H357" s="107"/>
      <c r="I357" s="107"/>
      <c r="L357" s="148">
        <v>43861</v>
      </c>
      <c r="M357" s="107">
        <v>800.75</v>
      </c>
      <c r="N357" s="107">
        <v>824.55</v>
      </c>
      <c r="O357" s="107">
        <v>791.1</v>
      </c>
      <c r="P357" s="107">
        <v>805.35</v>
      </c>
      <c r="Q357" s="107">
        <v>800.75</v>
      </c>
      <c r="R357">
        <v>96749</v>
      </c>
    </row>
    <row r="358" spans="1:18" x14ac:dyDescent="0.25">
      <c r="A358" s="148">
        <v>43862</v>
      </c>
      <c r="B358" s="107">
        <v>810</v>
      </c>
      <c r="C358" s="107">
        <v>759.8</v>
      </c>
      <c r="D358" s="107">
        <v>753.65</v>
      </c>
      <c r="E358" s="107">
        <v>794.9</v>
      </c>
      <c r="F358" s="107">
        <v>759.8</v>
      </c>
      <c r="G358">
        <v>6751</v>
      </c>
      <c r="H358" s="107"/>
      <c r="I358" s="107"/>
      <c r="L358" s="148">
        <v>43862</v>
      </c>
      <c r="M358" s="107">
        <v>764.8</v>
      </c>
      <c r="N358" s="107">
        <v>808.9</v>
      </c>
      <c r="O358" s="107">
        <v>755.55</v>
      </c>
      <c r="P358" s="107">
        <v>794.5</v>
      </c>
      <c r="Q358" s="107">
        <v>764.8</v>
      </c>
      <c r="R358">
        <v>73872</v>
      </c>
    </row>
    <row r="359" spans="1:18" x14ac:dyDescent="0.25">
      <c r="A359" s="148">
        <v>43864</v>
      </c>
      <c r="B359" s="107">
        <v>791.7</v>
      </c>
      <c r="C359" s="107">
        <v>760.45</v>
      </c>
      <c r="D359" s="107">
        <v>749.9</v>
      </c>
      <c r="E359" s="107">
        <v>756</v>
      </c>
      <c r="F359" s="107">
        <v>760.45</v>
      </c>
      <c r="G359">
        <v>3495</v>
      </c>
      <c r="H359" s="107"/>
      <c r="I359" s="107"/>
      <c r="L359" s="148">
        <v>43864</v>
      </c>
      <c r="M359" s="107">
        <v>760.55</v>
      </c>
      <c r="N359" s="107">
        <v>879.5</v>
      </c>
      <c r="O359" s="107">
        <v>746</v>
      </c>
      <c r="P359" s="107">
        <v>748.55</v>
      </c>
      <c r="Q359" s="107">
        <v>760.55</v>
      </c>
      <c r="R359">
        <v>137632</v>
      </c>
    </row>
    <row r="360" spans="1:18" x14ac:dyDescent="0.25">
      <c r="A360" s="148">
        <v>43865</v>
      </c>
      <c r="B360" s="107">
        <v>776.3</v>
      </c>
      <c r="C360" s="107">
        <v>767.7</v>
      </c>
      <c r="D360" s="107">
        <v>760.25</v>
      </c>
      <c r="E360" s="107">
        <v>770</v>
      </c>
      <c r="F360" s="107">
        <v>767.7</v>
      </c>
      <c r="G360">
        <v>3614</v>
      </c>
      <c r="H360" s="107"/>
      <c r="I360" s="107"/>
      <c r="L360" s="148">
        <v>43865</v>
      </c>
      <c r="M360" s="107">
        <v>767.9</v>
      </c>
      <c r="N360" s="107">
        <v>778.15</v>
      </c>
      <c r="O360" s="107">
        <v>760</v>
      </c>
      <c r="P360" s="107">
        <v>763.55</v>
      </c>
      <c r="Q360" s="107">
        <v>767.9</v>
      </c>
      <c r="R360">
        <v>121631</v>
      </c>
    </row>
    <row r="361" spans="1:18" x14ac:dyDescent="0.25">
      <c r="A361" s="148">
        <v>43866</v>
      </c>
      <c r="B361" s="107">
        <v>828.9</v>
      </c>
      <c r="C361" s="107">
        <v>810.65</v>
      </c>
      <c r="D361" s="107">
        <v>768.25</v>
      </c>
      <c r="E361" s="107">
        <v>770</v>
      </c>
      <c r="F361" s="107">
        <v>810.65</v>
      </c>
      <c r="G361">
        <v>8216</v>
      </c>
      <c r="H361" s="107"/>
      <c r="I361" s="107"/>
      <c r="L361" s="148">
        <v>43866</v>
      </c>
      <c r="M361" s="107">
        <v>811.55</v>
      </c>
      <c r="N361" s="107">
        <v>829</v>
      </c>
      <c r="O361" s="107">
        <v>767.95</v>
      </c>
      <c r="P361" s="107">
        <v>773.8</v>
      </c>
      <c r="Q361" s="107">
        <v>811.55</v>
      </c>
      <c r="R361">
        <v>226955</v>
      </c>
    </row>
    <row r="362" spans="1:18" x14ac:dyDescent="0.25">
      <c r="A362" s="148">
        <v>43867</v>
      </c>
      <c r="B362" s="107">
        <v>844.9</v>
      </c>
      <c r="C362" s="107">
        <v>820.25</v>
      </c>
      <c r="D362" s="107">
        <v>816.4</v>
      </c>
      <c r="E362" s="107">
        <v>818</v>
      </c>
      <c r="F362" s="107">
        <v>820.25</v>
      </c>
      <c r="G362">
        <v>4166</v>
      </c>
      <c r="H362" s="107"/>
      <c r="I362" s="107"/>
      <c r="L362" s="148">
        <v>43867</v>
      </c>
      <c r="M362" s="107">
        <v>820.55</v>
      </c>
      <c r="N362" s="107">
        <v>843.9</v>
      </c>
      <c r="O362" s="107">
        <v>814.7</v>
      </c>
      <c r="P362" s="107">
        <v>818.7</v>
      </c>
      <c r="Q362" s="107">
        <v>820.55</v>
      </c>
      <c r="R362">
        <v>130597</v>
      </c>
    </row>
    <row r="363" spans="1:18" x14ac:dyDescent="0.25">
      <c r="A363" s="148">
        <v>43868</v>
      </c>
      <c r="B363" s="107">
        <v>834.8</v>
      </c>
      <c r="C363" s="107">
        <v>797.6</v>
      </c>
      <c r="D363" s="107">
        <v>789.8</v>
      </c>
      <c r="E363" s="107">
        <v>829</v>
      </c>
      <c r="F363" s="107">
        <v>797.6</v>
      </c>
      <c r="G363">
        <v>5913</v>
      </c>
      <c r="H363" s="107"/>
      <c r="I363" s="107"/>
      <c r="L363" s="148">
        <v>43868</v>
      </c>
      <c r="M363" s="107">
        <v>797.3</v>
      </c>
      <c r="N363" s="107">
        <v>835</v>
      </c>
      <c r="O363" s="107">
        <v>789</v>
      </c>
      <c r="P363" s="107">
        <v>831</v>
      </c>
      <c r="Q363" s="107">
        <v>797.3</v>
      </c>
      <c r="R363">
        <v>136685</v>
      </c>
    </row>
    <row r="364" spans="1:18" x14ac:dyDescent="0.25">
      <c r="A364" s="148">
        <v>43871</v>
      </c>
      <c r="B364" s="107">
        <v>804.4</v>
      </c>
      <c r="C364" s="107">
        <v>782.25</v>
      </c>
      <c r="D364" s="107">
        <v>780</v>
      </c>
      <c r="E364" s="107">
        <v>802</v>
      </c>
      <c r="F364" s="107">
        <v>782.25</v>
      </c>
      <c r="G364">
        <v>1819</v>
      </c>
      <c r="H364" s="107"/>
      <c r="I364" s="107"/>
      <c r="L364" s="148">
        <v>43871</v>
      </c>
      <c r="M364" s="107">
        <v>782.35</v>
      </c>
      <c r="N364" s="107">
        <v>809.2</v>
      </c>
      <c r="O364" s="107">
        <v>780</v>
      </c>
      <c r="P364" s="107">
        <v>803</v>
      </c>
      <c r="Q364" s="107">
        <v>782.35</v>
      </c>
      <c r="R364">
        <v>90638</v>
      </c>
    </row>
    <row r="365" spans="1:18" x14ac:dyDescent="0.25">
      <c r="A365" s="148">
        <v>43872</v>
      </c>
      <c r="B365" s="107">
        <v>826.7</v>
      </c>
      <c r="C365" s="107">
        <v>815.8</v>
      </c>
      <c r="D365" s="107">
        <v>774.9</v>
      </c>
      <c r="E365" s="107">
        <v>796.45</v>
      </c>
      <c r="F365" s="107">
        <v>815.8</v>
      </c>
      <c r="G365">
        <v>14660</v>
      </c>
      <c r="H365" s="107"/>
      <c r="I365" s="107"/>
      <c r="L365" s="148">
        <v>43872</v>
      </c>
      <c r="M365" s="107">
        <v>815.5</v>
      </c>
      <c r="N365" s="107">
        <v>827</v>
      </c>
      <c r="O365" s="107">
        <v>791.9</v>
      </c>
      <c r="P365" s="107">
        <v>792.35</v>
      </c>
      <c r="Q365" s="107">
        <v>815.5</v>
      </c>
      <c r="R365">
        <v>91965</v>
      </c>
    </row>
    <row r="366" spans="1:18" x14ac:dyDescent="0.25">
      <c r="A366" s="148">
        <v>43873</v>
      </c>
      <c r="B366" s="107">
        <v>862</v>
      </c>
      <c r="C366" s="107">
        <v>855.9</v>
      </c>
      <c r="D366" s="107">
        <v>815.8</v>
      </c>
      <c r="E366" s="107">
        <v>815.8</v>
      </c>
      <c r="F366" s="107">
        <v>855.9</v>
      </c>
      <c r="G366">
        <v>16979</v>
      </c>
      <c r="H366" s="107"/>
      <c r="I366" s="107"/>
      <c r="L366" s="148">
        <v>43873</v>
      </c>
      <c r="M366" s="107">
        <v>850.75</v>
      </c>
      <c r="N366" s="107">
        <v>862.1</v>
      </c>
      <c r="O366" s="107">
        <v>820</v>
      </c>
      <c r="P366" s="107">
        <v>822</v>
      </c>
      <c r="Q366" s="107">
        <v>850.75</v>
      </c>
      <c r="R366">
        <v>289865</v>
      </c>
    </row>
    <row r="367" spans="1:18" x14ac:dyDescent="0.25">
      <c r="A367" s="148">
        <v>43874</v>
      </c>
      <c r="B367" s="107">
        <v>856</v>
      </c>
      <c r="C367" s="107">
        <v>846.05</v>
      </c>
      <c r="D367" s="107">
        <v>833.75</v>
      </c>
      <c r="E367" s="107">
        <v>856</v>
      </c>
      <c r="F367" s="107">
        <v>846.05</v>
      </c>
      <c r="G367">
        <v>4418</v>
      </c>
      <c r="H367" s="107"/>
      <c r="I367" s="107"/>
      <c r="L367" s="148">
        <v>43874</v>
      </c>
      <c r="M367" s="107">
        <v>847.8</v>
      </c>
      <c r="N367" s="107">
        <v>859</v>
      </c>
      <c r="O367" s="107">
        <v>832.35</v>
      </c>
      <c r="P367" s="107">
        <v>859</v>
      </c>
      <c r="Q367" s="107">
        <v>847.8</v>
      </c>
      <c r="R367">
        <v>115839</v>
      </c>
    </row>
    <row r="368" spans="1:18" x14ac:dyDescent="0.25">
      <c r="A368" s="148">
        <v>43875</v>
      </c>
      <c r="B368" s="107">
        <v>880</v>
      </c>
      <c r="C368" s="107">
        <v>847.1</v>
      </c>
      <c r="D368" s="107">
        <v>844</v>
      </c>
      <c r="E368" s="107">
        <v>870</v>
      </c>
      <c r="F368" s="107">
        <v>847.1</v>
      </c>
      <c r="G368">
        <v>6229</v>
      </c>
      <c r="H368" s="107"/>
      <c r="I368" s="107"/>
      <c r="L368" s="148">
        <v>43875</v>
      </c>
      <c r="M368" s="107">
        <v>848.1</v>
      </c>
      <c r="N368" s="107">
        <v>878</v>
      </c>
      <c r="O368" s="107">
        <v>841.55</v>
      </c>
      <c r="P368" s="107">
        <v>847.8</v>
      </c>
      <c r="Q368" s="107">
        <v>848.1</v>
      </c>
      <c r="R368">
        <v>111039</v>
      </c>
    </row>
    <row r="369" spans="1:18" x14ac:dyDescent="0.25">
      <c r="A369" s="148">
        <v>43878</v>
      </c>
      <c r="B369" s="107">
        <v>845</v>
      </c>
      <c r="C369" s="107">
        <v>830.75</v>
      </c>
      <c r="D369" s="107">
        <v>818.45</v>
      </c>
      <c r="E369" s="107">
        <v>844.8</v>
      </c>
      <c r="F369" s="107">
        <v>830.75</v>
      </c>
      <c r="G369">
        <v>3123</v>
      </c>
      <c r="H369" s="107"/>
      <c r="I369" s="107"/>
      <c r="L369" s="148">
        <v>43878</v>
      </c>
      <c r="M369" s="107">
        <v>831.65</v>
      </c>
      <c r="N369" s="107">
        <v>848.3</v>
      </c>
      <c r="O369" s="107">
        <v>816.1</v>
      </c>
      <c r="P369" s="107">
        <v>848.25</v>
      </c>
      <c r="Q369" s="107">
        <v>831.65</v>
      </c>
      <c r="R369">
        <v>47808</v>
      </c>
    </row>
    <row r="370" spans="1:18" x14ac:dyDescent="0.25">
      <c r="A370" s="148">
        <v>43879</v>
      </c>
      <c r="B370" s="107">
        <v>902.8</v>
      </c>
      <c r="C370" s="107">
        <v>890.55</v>
      </c>
      <c r="D370" s="107">
        <v>830.5</v>
      </c>
      <c r="E370" s="107">
        <v>834</v>
      </c>
      <c r="F370" s="107">
        <v>890.55</v>
      </c>
      <c r="G370">
        <v>12754</v>
      </c>
      <c r="H370" s="107"/>
      <c r="I370" s="107"/>
      <c r="L370" s="148">
        <v>43879</v>
      </c>
      <c r="M370" s="107">
        <v>887</v>
      </c>
      <c r="N370" s="107">
        <v>901</v>
      </c>
      <c r="O370" s="107">
        <v>829.75</v>
      </c>
      <c r="P370" s="107">
        <v>831.65</v>
      </c>
      <c r="Q370" s="107">
        <v>887</v>
      </c>
      <c r="R370">
        <v>305238</v>
      </c>
    </row>
    <row r="371" spans="1:18" x14ac:dyDescent="0.25">
      <c r="A371" s="148">
        <v>43880</v>
      </c>
      <c r="B371" s="107">
        <v>965.7</v>
      </c>
      <c r="C371" s="107">
        <v>953.8</v>
      </c>
      <c r="D371" s="107">
        <v>913.65</v>
      </c>
      <c r="E371" s="107">
        <v>914</v>
      </c>
      <c r="F371" s="107">
        <v>953.8</v>
      </c>
      <c r="G371">
        <v>41327</v>
      </c>
      <c r="H371" s="107"/>
      <c r="I371" s="107"/>
      <c r="L371" s="148">
        <v>43880</v>
      </c>
      <c r="M371" s="107">
        <v>948.4</v>
      </c>
      <c r="N371" s="107">
        <v>966.7</v>
      </c>
      <c r="O371" s="107">
        <v>911</v>
      </c>
      <c r="P371" s="107">
        <v>911</v>
      </c>
      <c r="Q371" s="107">
        <v>948.4</v>
      </c>
      <c r="R371">
        <v>862149</v>
      </c>
    </row>
    <row r="372" spans="1:18" x14ac:dyDescent="0.25">
      <c r="A372" s="148">
        <v>43881</v>
      </c>
      <c r="B372" s="107">
        <v>1000.8</v>
      </c>
      <c r="C372" s="107">
        <v>992.65</v>
      </c>
      <c r="D372" s="107">
        <v>960</v>
      </c>
      <c r="E372" s="107">
        <v>964</v>
      </c>
      <c r="F372" s="107">
        <v>992.65</v>
      </c>
      <c r="G372">
        <v>16474</v>
      </c>
      <c r="H372" s="107"/>
      <c r="I372" s="107"/>
      <c r="L372" s="148">
        <v>43881</v>
      </c>
      <c r="M372" s="107">
        <v>991.6</v>
      </c>
      <c r="N372" s="107">
        <v>1000</v>
      </c>
      <c r="O372" s="107">
        <v>958.7</v>
      </c>
      <c r="P372" s="107">
        <v>963</v>
      </c>
      <c r="Q372" s="107">
        <v>991.6</v>
      </c>
      <c r="R372">
        <v>253604</v>
      </c>
    </row>
    <row r="373" spans="1:18" x14ac:dyDescent="0.25">
      <c r="A373" s="148">
        <v>43885</v>
      </c>
      <c r="B373" s="107">
        <v>992</v>
      </c>
      <c r="C373" s="107">
        <v>959.2</v>
      </c>
      <c r="D373" s="107">
        <v>948.5</v>
      </c>
      <c r="E373" s="107">
        <v>980</v>
      </c>
      <c r="F373" s="107">
        <v>959.2</v>
      </c>
      <c r="G373">
        <v>12790</v>
      </c>
      <c r="H373" s="107"/>
      <c r="I373" s="107"/>
      <c r="L373" s="148">
        <v>43885</v>
      </c>
      <c r="M373" s="107">
        <v>960.7</v>
      </c>
      <c r="N373" s="107">
        <v>991.6</v>
      </c>
      <c r="O373" s="107">
        <v>948</v>
      </c>
      <c r="P373" s="107">
        <v>983.9</v>
      </c>
      <c r="Q373" s="107">
        <v>960.7</v>
      </c>
      <c r="R373">
        <v>174466</v>
      </c>
    </row>
    <row r="374" spans="1:18" x14ac:dyDescent="0.25">
      <c r="A374" s="148">
        <v>43886</v>
      </c>
      <c r="B374" s="107">
        <v>976.6</v>
      </c>
      <c r="C374" s="107">
        <v>948.5</v>
      </c>
      <c r="D374" s="107">
        <v>937.7</v>
      </c>
      <c r="E374" s="107">
        <v>960</v>
      </c>
      <c r="F374" s="107">
        <v>948.5</v>
      </c>
      <c r="G374">
        <v>7969</v>
      </c>
      <c r="H374" s="107"/>
      <c r="I374" s="107"/>
      <c r="L374" s="148">
        <v>43886</v>
      </c>
      <c r="M374" s="107">
        <v>947.6</v>
      </c>
      <c r="N374" s="107">
        <v>978.8</v>
      </c>
      <c r="O374" s="107">
        <v>936.1</v>
      </c>
      <c r="P374" s="107">
        <v>962.2</v>
      </c>
      <c r="Q374" s="107">
        <v>947.6</v>
      </c>
      <c r="R374">
        <v>82275</v>
      </c>
    </row>
    <row r="375" spans="1:18" x14ac:dyDescent="0.25">
      <c r="A375" s="148">
        <v>43887</v>
      </c>
      <c r="B375" s="107">
        <v>960</v>
      </c>
      <c r="C375" s="107">
        <v>936.25</v>
      </c>
      <c r="D375" s="107">
        <v>933</v>
      </c>
      <c r="E375" s="107">
        <v>943</v>
      </c>
      <c r="F375" s="107">
        <v>936.25</v>
      </c>
      <c r="G375">
        <v>5915</v>
      </c>
      <c r="H375" s="107"/>
      <c r="I375" s="107"/>
      <c r="L375" s="148">
        <v>43887</v>
      </c>
      <c r="M375" s="107">
        <v>935.85</v>
      </c>
      <c r="N375" s="107">
        <v>959.9</v>
      </c>
      <c r="O375" s="107">
        <v>932</v>
      </c>
      <c r="P375" s="107">
        <v>938</v>
      </c>
      <c r="Q375" s="107">
        <v>935.85</v>
      </c>
      <c r="R375">
        <v>97678</v>
      </c>
    </row>
    <row r="376" spans="1:18" x14ac:dyDescent="0.25">
      <c r="A376" s="148">
        <v>43888</v>
      </c>
      <c r="B376" s="107">
        <v>940</v>
      </c>
      <c r="C376" s="107">
        <v>883.7</v>
      </c>
      <c r="D376" s="107">
        <v>874.15</v>
      </c>
      <c r="E376" s="107">
        <v>940</v>
      </c>
      <c r="F376" s="107">
        <v>883.7</v>
      </c>
      <c r="G376">
        <v>9917</v>
      </c>
      <c r="H376" s="107"/>
      <c r="I376" s="107"/>
      <c r="L376" s="148">
        <v>43888</v>
      </c>
      <c r="M376" s="107">
        <v>885.55</v>
      </c>
      <c r="N376" s="107">
        <v>938</v>
      </c>
      <c r="O376" s="107">
        <v>874.8</v>
      </c>
      <c r="P376" s="107">
        <v>935.85</v>
      </c>
      <c r="Q376" s="107">
        <v>885.55</v>
      </c>
      <c r="R376">
        <v>184002</v>
      </c>
    </row>
    <row r="377" spans="1:18" x14ac:dyDescent="0.25">
      <c r="A377" s="148">
        <v>43889</v>
      </c>
      <c r="B377" s="107">
        <v>857.5</v>
      </c>
      <c r="C377" s="107">
        <v>842.3</v>
      </c>
      <c r="D377" s="107">
        <v>830</v>
      </c>
      <c r="E377" s="107">
        <v>857.5</v>
      </c>
      <c r="F377" s="107">
        <v>842.3</v>
      </c>
      <c r="G377">
        <v>14798</v>
      </c>
      <c r="H377" s="107"/>
      <c r="I377" s="107"/>
      <c r="L377" s="148">
        <v>43889</v>
      </c>
      <c r="M377" s="107">
        <v>841.9</v>
      </c>
      <c r="N377" s="107">
        <v>879.9</v>
      </c>
      <c r="O377" s="107">
        <v>832.2</v>
      </c>
      <c r="P377" s="107">
        <v>879.9</v>
      </c>
      <c r="Q377" s="107">
        <v>841.9</v>
      </c>
      <c r="R377">
        <v>154305</v>
      </c>
    </row>
    <row r="378" spans="1:18" x14ac:dyDescent="0.25">
      <c r="A378" s="148">
        <v>43892</v>
      </c>
      <c r="B378" s="107">
        <v>879</v>
      </c>
      <c r="C378" s="107">
        <v>858</v>
      </c>
      <c r="D378" s="107">
        <v>847.75</v>
      </c>
      <c r="E378" s="107">
        <v>869.95</v>
      </c>
      <c r="F378" s="107">
        <v>858</v>
      </c>
      <c r="G378">
        <v>10045</v>
      </c>
      <c r="H378" s="107"/>
      <c r="I378" s="107"/>
      <c r="L378" s="148">
        <v>43892</v>
      </c>
      <c r="M378" s="107">
        <v>859.75</v>
      </c>
      <c r="N378" s="107">
        <v>875.3</v>
      </c>
      <c r="O378" s="107">
        <v>847.85</v>
      </c>
      <c r="P378" s="107">
        <v>874</v>
      </c>
      <c r="Q378" s="107">
        <v>859.75</v>
      </c>
      <c r="R378">
        <v>147583</v>
      </c>
    </row>
    <row r="379" spans="1:18" x14ac:dyDescent="0.25">
      <c r="A379" s="148">
        <v>43893</v>
      </c>
      <c r="B379" s="107">
        <v>880.9</v>
      </c>
      <c r="C379" s="107">
        <v>864.25</v>
      </c>
      <c r="D379" s="107">
        <v>825</v>
      </c>
      <c r="E379" s="107">
        <v>870</v>
      </c>
      <c r="F379" s="107">
        <v>864.25</v>
      </c>
      <c r="G379">
        <v>7030</v>
      </c>
      <c r="H379" s="107"/>
      <c r="I379" s="107"/>
      <c r="L379" s="148">
        <v>43893</v>
      </c>
      <c r="M379" s="107">
        <v>864.25</v>
      </c>
      <c r="N379" s="107">
        <v>883.05</v>
      </c>
      <c r="O379" s="107">
        <v>825.05</v>
      </c>
      <c r="P379" s="107">
        <v>860.05</v>
      </c>
      <c r="Q379" s="107">
        <v>864.25</v>
      </c>
      <c r="R379">
        <v>68090</v>
      </c>
    </row>
    <row r="380" spans="1:18" x14ac:dyDescent="0.25">
      <c r="A380" s="148">
        <v>43894</v>
      </c>
      <c r="B380" s="107">
        <v>887.2</v>
      </c>
      <c r="C380" s="107">
        <v>842.55</v>
      </c>
      <c r="D380" s="107">
        <v>797.4</v>
      </c>
      <c r="E380" s="107">
        <v>860.05</v>
      </c>
      <c r="F380" s="107">
        <v>842.55</v>
      </c>
      <c r="G380">
        <v>11934</v>
      </c>
      <c r="H380" s="107"/>
      <c r="I380" s="107"/>
      <c r="L380" s="148">
        <v>43894</v>
      </c>
      <c r="M380" s="107">
        <v>843.75</v>
      </c>
      <c r="N380" s="107">
        <v>887</v>
      </c>
      <c r="O380" s="107">
        <v>797.2</v>
      </c>
      <c r="P380" s="107">
        <v>853.35</v>
      </c>
      <c r="Q380" s="107">
        <v>843.75</v>
      </c>
      <c r="R380">
        <v>169709</v>
      </c>
    </row>
    <row r="381" spans="1:18" x14ac:dyDescent="0.25">
      <c r="A381" s="148">
        <v>43895</v>
      </c>
      <c r="B381" s="107">
        <v>902.2</v>
      </c>
      <c r="C381" s="107">
        <v>878.2</v>
      </c>
      <c r="D381" s="107">
        <v>844.8</v>
      </c>
      <c r="E381" s="107">
        <v>856.55</v>
      </c>
      <c r="F381" s="107">
        <v>878.2</v>
      </c>
      <c r="G381">
        <v>7270</v>
      </c>
      <c r="H381" s="107"/>
      <c r="I381" s="107"/>
      <c r="L381" s="148">
        <v>43895</v>
      </c>
      <c r="M381" s="107">
        <v>879.1</v>
      </c>
      <c r="N381" s="107">
        <v>903.6</v>
      </c>
      <c r="O381" s="107">
        <v>843</v>
      </c>
      <c r="P381" s="107">
        <v>857</v>
      </c>
      <c r="Q381" s="107">
        <v>879.1</v>
      </c>
      <c r="R381">
        <v>129042</v>
      </c>
    </row>
    <row r="382" spans="1:18" x14ac:dyDescent="0.25">
      <c r="A382" s="148">
        <v>43896</v>
      </c>
      <c r="B382" s="107">
        <v>899.1</v>
      </c>
      <c r="C382" s="107">
        <v>883.55</v>
      </c>
      <c r="D382" s="107">
        <v>820.3</v>
      </c>
      <c r="E382" s="107">
        <v>878.2</v>
      </c>
      <c r="F382" s="107">
        <v>883.55</v>
      </c>
      <c r="G382">
        <v>6402</v>
      </c>
      <c r="H382" s="107"/>
      <c r="I382" s="107"/>
      <c r="L382" s="148">
        <v>43896</v>
      </c>
      <c r="M382" s="107">
        <v>883.4</v>
      </c>
      <c r="N382" s="107">
        <v>898</v>
      </c>
      <c r="O382" s="107">
        <v>813.9</v>
      </c>
      <c r="P382" s="107">
        <v>818.5</v>
      </c>
      <c r="Q382" s="107">
        <v>883.4</v>
      </c>
      <c r="R382">
        <v>111475</v>
      </c>
    </row>
    <row r="383" spans="1:18" x14ac:dyDescent="0.25">
      <c r="A383" s="148">
        <v>43899</v>
      </c>
      <c r="B383" s="107">
        <v>859</v>
      </c>
      <c r="C383" s="107">
        <v>846.4</v>
      </c>
      <c r="D383" s="107">
        <v>831.6</v>
      </c>
      <c r="E383" s="107">
        <v>850</v>
      </c>
      <c r="F383" s="107">
        <v>846.4</v>
      </c>
      <c r="G383">
        <v>7679</v>
      </c>
      <c r="H383" s="107"/>
      <c r="I383" s="107"/>
      <c r="L383" s="148">
        <v>43899</v>
      </c>
      <c r="M383" s="107">
        <v>845.75</v>
      </c>
      <c r="N383" s="107">
        <v>861.4</v>
      </c>
      <c r="O383" s="107">
        <v>831.55</v>
      </c>
      <c r="P383" s="107">
        <v>861.4</v>
      </c>
      <c r="Q383" s="107">
        <v>845.75</v>
      </c>
      <c r="R383">
        <v>161450</v>
      </c>
    </row>
    <row r="384" spans="1:18" x14ac:dyDescent="0.25">
      <c r="A384" s="148">
        <v>43901</v>
      </c>
      <c r="B384" s="107">
        <v>863.65</v>
      </c>
      <c r="C384" s="107">
        <v>833.25</v>
      </c>
      <c r="D384" s="107">
        <v>818.55</v>
      </c>
      <c r="E384" s="107">
        <v>861.15</v>
      </c>
      <c r="F384" s="107">
        <v>833.25</v>
      </c>
      <c r="G384">
        <v>3026</v>
      </c>
      <c r="H384" s="107"/>
      <c r="I384" s="107"/>
      <c r="L384" s="148">
        <v>43901</v>
      </c>
      <c r="M384" s="107">
        <v>832.85</v>
      </c>
      <c r="N384" s="107">
        <v>867.95</v>
      </c>
      <c r="O384" s="107">
        <v>819.45</v>
      </c>
      <c r="P384" s="107">
        <v>848</v>
      </c>
      <c r="Q384" s="107">
        <v>832.85</v>
      </c>
      <c r="R384">
        <v>130942</v>
      </c>
    </row>
    <row r="385" spans="1:18" x14ac:dyDescent="0.25">
      <c r="A385" s="148">
        <v>43902</v>
      </c>
      <c r="B385" s="107">
        <v>810</v>
      </c>
      <c r="C385" s="107">
        <v>782.3</v>
      </c>
      <c r="D385" s="107">
        <v>693.4</v>
      </c>
      <c r="E385" s="107">
        <v>807</v>
      </c>
      <c r="F385" s="107">
        <v>782.3</v>
      </c>
      <c r="G385">
        <v>8480</v>
      </c>
      <c r="H385" s="107"/>
      <c r="I385" s="107"/>
      <c r="L385" s="148">
        <v>43902</v>
      </c>
      <c r="M385" s="107">
        <v>781.25</v>
      </c>
      <c r="N385" s="107">
        <v>813.95</v>
      </c>
      <c r="O385" s="107">
        <v>691.55</v>
      </c>
      <c r="P385" s="107">
        <v>782.25</v>
      </c>
      <c r="Q385" s="107">
        <v>781.25</v>
      </c>
      <c r="R385">
        <v>262867</v>
      </c>
    </row>
    <row r="386" spans="1:18" x14ac:dyDescent="0.25">
      <c r="A386" s="148">
        <v>43903</v>
      </c>
      <c r="B386" s="107">
        <v>838.75</v>
      </c>
      <c r="C386" s="107">
        <v>823.5</v>
      </c>
      <c r="D386" s="107">
        <v>650</v>
      </c>
      <c r="E386" s="107">
        <v>650</v>
      </c>
      <c r="F386" s="107">
        <v>823.5</v>
      </c>
      <c r="G386">
        <v>6683</v>
      </c>
      <c r="H386" s="107"/>
      <c r="I386" s="107"/>
      <c r="L386" s="148">
        <v>43903</v>
      </c>
      <c r="M386" s="107">
        <v>818.3</v>
      </c>
      <c r="N386" s="107">
        <v>838.45</v>
      </c>
      <c r="O386" s="107">
        <v>625</v>
      </c>
      <c r="P386" s="107">
        <v>700</v>
      </c>
      <c r="Q386" s="107">
        <v>818.3</v>
      </c>
      <c r="R386">
        <v>235876</v>
      </c>
    </row>
    <row r="387" spans="1:18" x14ac:dyDescent="0.25">
      <c r="A387" s="148">
        <v>43906</v>
      </c>
      <c r="B387" s="107">
        <v>771.6</v>
      </c>
      <c r="C387" s="107">
        <v>693.25</v>
      </c>
      <c r="D387" s="107">
        <v>687</v>
      </c>
      <c r="E387" s="107">
        <v>771.6</v>
      </c>
      <c r="F387" s="107">
        <v>693.25</v>
      </c>
      <c r="G387">
        <v>4758</v>
      </c>
      <c r="H387" s="107"/>
      <c r="I387" s="107"/>
      <c r="L387" s="148">
        <v>43906</v>
      </c>
      <c r="M387" s="107">
        <v>694.4</v>
      </c>
      <c r="N387" s="107">
        <v>795.95</v>
      </c>
      <c r="O387" s="107">
        <v>685.65</v>
      </c>
      <c r="P387" s="107">
        <v>770</v>
      </c>
      <c r="Q387" s="107">
        <v>694.4</v>
      </c>
      <c r="R387">
        <v>403309</v>
      </c>
    </row>
    <row r="388" spans="1:18" x14ac:dyDescent="0.25">
      <c r="A388" s="148">
        <v>43907</v>
      </c>
      <c r="B388" s="107">
        <v>708</v>
      </c>
      <c r="C388" s="107">
        <v>638.5</v>
      </c>
      <c r="D388" s="107">
        <v>625.20000000000005</v>
      </c>
      <c r="E388" s="107">
        <v>699.95</v>
      </c>
      <c r="F388" s="107">
        <v>638.5</v>
      </c>
      <c r="G388">
        <v>8001</v>
      </c>
      <c r="H388" s="107"/>
      <c r="I388" s="107"/>
      <c r="L388" s="148">
        <v>43907</v>
      </c>
      <c r="M388" s="107">
        <v>638.5</v>
      </c>
      <c r="N388" s="107">
        <v>703.95</v>
      </c>
      <c r="O388" s="107">
        <v>625.29999999999995</v>
      </c>
      <c r="P388" s="107">
        <v>690</v>
      </c>
      <c r="Q388" s="107">
        <v>638.5</v>
      </c>
      <c r="R388">
        <v>117290</v>
      </c>
    </row>
    <row r="389" spans="1:18" x14ac:dyDescent="0.25">
      <c r="A389" s="148">
        <v>43908</v>
      </c>
      <c r="B389" s="107">
        <v>660.15</v>
      </c>
      <c r="C389" s="107">
        <v>548.15</v>
      </c>
      <c r="D389" s="107">
        <v>510.8</v>
      </c>
      <c r="E389" s="107">
        <v>648.04999999999995</v>
      </c>
      <c r="F389" s="107">
        <v>548.15</v>
      </c>
      <c r="G389">
        <v>185709</v>
      </c>
      <c r="H389" s="107"/>
      <c r="I389" s="107"/>
      <c r="L389" s="148">
        <v>43908</v>
      </c>
      <c r="M389" s="107">
        <v>549.29999999999995</v>
      </c>
      <c r="N389" s="107">
        <v>673.9</v>
      </c>
      <c r="O389" s="107">
        <v>510.8</v>
      </c>
      <c r="P389" s="107">
        <v>631.1</v>
      </c>
      <c r="Q389" s="107">
        <v>549.29999999999995</v>
      </c>
      <c r="R389">
        <v>550792</v>
      </c>
    </row>
    <row r="390" spans="1:18" x14ac:dyDescent="0.25">
      <c r="A390" s="148">
        <v>43909</v>
      </c>
      <c r="B390" s="107">
        <v>579.45000000000005</v>
      </c>
      <c r="C390" s="107">
        <v>569.95000000000005</v>
      </c>
      <c r="D390" s="107">
        <v>493.35</v>
      </c>
      <c r="E390" s="107">
        <v>495</v>
      </c>
      <c r="F390" s="107">
        <v>569.95000000000005</v>
      </c>
      <c r="G390">
        <v>7348</v>
      </c>
      <c r="H390" s="107"/>
      <c r="I390" s="107"/>
      <c r="L390" s="148">
        <v>43909</v>
      </c>
      <c r="M390" s="107">
        <v>570.20000000000005</v>
      </c>
      <c r="N390" s="107">
        <v>580</v>
      </c>
      <c r="O390" s="107">
        <v>494.4</v>
      </c>
      <c r="P390" s="107">
        <v>496</v>
      </c>
      <c r="Q390" s="107">
        <v>570.20000000000005</v>
      </c>
      <c r="R390">
        <v>222306</v>
      </c>
    </row>
    <row r="391" spans="1:18" x14ac:dyDescent="0.25">
      <c r="A391" s="148">
        <v>43910</v>
      </c>
      <c r="B391" s="107">
        <v>602</v>
      </c>
      <c r="C391" s="107">
        <v>519.75</v>
      </c>
      <c r="D391" s="107">
        <v>513.20000000000005</v>
      </c>
      <c r="E391" s="107">
        <v>589.95000000000005</v>
      </c>
      <c r="F391" s="107">
        <v>519.75</v>
      </c>
      <c r="G391">
        <v>9439</v>
      </c>
      <c r="H391" s="107"/>
      <c r="I391" s="107"/>
      <c r="L391" s="148">
        <v>43910</v>
      </c>
      <c r="M391" s="107">
        <v>520.25</v>
      </c>
      <c r="N391" s="107">
        <v>600</v>
      </c>
      <c r="O391" s="107">
        <v>513.20000000000005</v>
      </c>
      <c r="P391" s="107">
        <v>570.20000000000005</v>
      </c>
      <c r="Q391" s="107">
        <v>520.25</v>
      </c>
      <c r="R391">
        <v>224238</v>
      </c>
    </row>
    <row r="392" spans="1:18" x14ac:dyDescent="0.25">
      <c r="A392" s="148">
        <v>43913</v>
      </c>
      <c r="B392" s="107">
        <v>467.8</v>
      </c>
      <c r="C392" s="107">
        <v>467.8</v>
      </c>
      <c r="D392" s="107">
        <v>467.8</v>
      </c>
      <c r="E392" s="107">
        <v>467.8</v>
      </c>
      <c r="F392" s="107">
        <v>467.8</v>
      </c>
      <c r="G392">
        <v>918</v>
      </c>
      <c r="H392" s="107"/>
      <c r="I392" s="107"/>
      <c r="L392" s="148">
        <v>43913</v>
      </c>
      <c r="M392" s="107">
        <v>468.25</v>
      </c>
      <c r="N392" s="107">
        <v>479.85</v>
      </c>
      <c r="O392" s="107">
        <v>468.25</v>
      </c>
      <c r="P392" s="107">
        <v>468.25</v>
      </c>
      <c r="Q392" s="107">
        <v>468.25</v>
      </c>
      <c r="R392">
        <v>12763</v>
      </c>
    </row>
    <row r="393" spans="1:18" x14ac:dyDescent="0.25">
      <c r="A393" s="148">
        <v>43914</v>
      </c>
      <c r="B393" s="107">
        <v>435.55</v>
      </c>
      <c r="C393" s="107">
        <v>421.05</v>
      </c>
      <c r="D393" s="107">
        <v>421.05</v>
      </c>
      <c r="E393" s="107">
        <v>423.3</v>
      </c>
      <c r="F393" s="107">
        <v>421.05</v>
      </c>
      <c r="G393">
        <v>1282</v>
      </c>
      <c r="H393" s="107"/>
      <c r="I393" s="107"/>
      <c r="L393" s="148">
        <v>43914</v>
      </c>
      <c r="M393" s="107">
        <v>421.45</v>
      </c>
      <c r="N393" s="107">
        <v>435.9</v>
      </c>
      <c r="O393" s="107">
        <v>421.45</v>
      </c>
      <c r="P393" s="107">
        <v>421.45</v>
      </c>
      <c r="Q393" s="107">
        <v>421.45</v>
      </c>
      <c r="R393">
        <v>32598</v>
      </c>
    </row>
    <row r="394" spans="1:18" x14ac:dyDescent="0.25">
      <c r="A394" s="148">
        <v>43915</v>
      </c>
      <c r="B394" s="107">
        <v>442.5</v>
      </c>
      <c r="C394" s="107">
        <v>411.65</v>
      </c>
      <c r="D394" s="107">
        <v>378.95</v>
      </c>
      <c r="E394" s="107">
        <v>379.05</v>
      </c>
      <c r="F394" s="107">
        <v>411.65</v>
      </c>
      <c r="G394">
        <v>5138</v>
      </c>
      <c r="H394" s="107"/>
      <c r="I394" s="107"/>
      <c r="L394" s="148">
        <v>43915</v>
      </c>
      <c r="M394" s="107">
        <v>412.85</v>
      </c>
      <c r="N394" s="107">
        <v>441</v>
      </c>
      <c r="O394" s="107">
        <v>379.35</v>
      </c>
      <c r="P394" s="107">
        <v>380</v>
      </c>
      <c r="Q394" s="107">
        <v>412.85</v>
      </c>
      <c r="R394">
        <v>269035</v>
      </c>
    </row>
    <row r="395" spans="1:18" x14ac:dyDescent="0.25">
      <c r="A395" s="148">
        <v>43916</v>
      </c>
      <c r="B395" s="107">
        <v>432.2</v>
      </c>
      <c r="C395" s="107">
        <v>391.1</v>
      </c>
      <c r="D395" s="107">
        <v>391.1</v>
      </c>
      <c r="E395" s="107">
        <v>414</v>
      </c>
      <c r="F395" s="107">
        <v>391.1</v>
      </c>
      <c r="G395">
        <v>9632</v>
      </c>
      <c r="H395" s="107"/>
      <c r="I395" s="107"/>
      <c r="L395" s="148">
        <v>43916</v>
      </c>
      <c r="M395" s="107">
        <v>392.4</v>
      </c>
      <c r="N395" s="107">
        <v>433.45</v>
      </c>
      <c r="O395" s="107">
        <v>392.25</v>
      </c>
      <c r="P395" s="107">
        <v>420</v>
      </c>
      <c r="Q395" s="107">
        <v>392.4</v>
      </c>
      <c r="R395">
        <v>398716</v>
      </c>
    </row>
    <row r="396" spans="1:18" x14ac:dyDescent="0.25">
      <c r="A396" s="148">
        <v>43917</v>
      </c>
      <c r="B396" s="107">
        <v>410.65</v>
      </c>
      <c r="C396" s="107">
        <v>374.45</v>
      </c>
      <c r="D396" s="107">
        <v>371.55</v>
      </c>
      <c r="E396" s="107">
        <v>410</v>
      </c>
      <c r="F396" s="107">
        <v>374.45</v>
      </c>
      <c r="G396">
        <v>5582</v>
      </c>
      <c r="H396" s="107"/>
      <c r="I396" s="107"/>
      <c r="L396" s="148">
        <v>43917</v>
      </c>
      <c r="M396" s="107">
        <v>373.7</v>
      </c>
      <c r="N396" s="107">
        <v>412</v>
      </c>
      <c r="O396" s="107">
        <v>372.8</v>
      </c>
      <c r="P396" s="107">
        <v>410</v>
      </c>
      <c r="Q396" s="107">
        <v>373.7</v>
      </c>
      <c r="R396">
        <v>370460</v>
      </c>
    </row>
    <row r="397" spans="1:18" x14ac:dyDescent="0.25">
      <c r="A397" s="148">
        <v>43920</v>
      </c>
      <c r="B397" s="107">
        <v>369</v>
      </c>
      <c r="C397" s="107">
        <v>356.15</v>
      </c>
      <c r="D397" s="107">
        <v>355.75</v>
      </c>
      <c r="E397" s="107">
        <v>362.95</v>
      </c>
      <c r="F397" s="107">
        <v>356.15</v>
      </c>
      <c r="G397">
        <v>1657</v>
      </c>
      <c r="H397" s="107"/>
      <c r="I397" s="107"/>
      <c r="L397" s="148">
        <v>43920</v>
      </c>
      <c r="M397" s="107">
        <v>355.1</v>
      </c>
      <c r="N397" s="107">
        <v>367.5</v>
      </c>
      <c r="O397" s="107">
        <v>355.05</v>
      </c>
      <c r="P397" s="107">
        <v>358.05</v>
      </c>
      <c r="Q397" s="107">
        <v>355.1</v>
      </c>
      <c r="R397">
        <v>152148</v>
      </c>
    </row>
    <row r="398" spans="1:18" x14ac:dyDescent="0.25">
      <c r="A398" s="148">
        <v>43921</v>
      </c>
      <c r="B398" s="107">
        <v>365.55</v>
      </c>
      <c r="C398" s="107">
        <v>338.35</v>
      </c>
      <c r="D398" s="107">
        <v>338.35</v>
      </c>
      <c r="E398" s="107">
        <v>351.6</v>
      </c>
      <c r="F398" s="107">
        <v>338.35</v>
      </c>
      <c r="G398">
        <v>3258</v>
      </c>
      <c r="H398" s="107"/>
      <c r="I398" s="107"/>
      <c r="L398" s="148">
        <v>43921</v>
      </c>
      <c r="M398" s="107">
        <v>337.35</v>
      </c>
      <c r="N398" s="107">
        <v>368.7</v>
      </c>
      <c r="O398" s="107">
        <v>337.35</v>
      </c>
      <c r="P398" s="107">
        <v>364.8</v>
      </c>
      <c r="Q398" s="107">
        <v>337.35</v>
      </c>
      <c r="R398">
        <v>66266</v>
      </c>
    </row>
    <row r="399" spans="1:18" x14ac:dyDescent="0.25">
      <c r="A399" s="148">
        <v>43922</v>
      </c>
      <c r="B399" s="107">
        <v>355.25</v>
      </c>
      <c r="C399" s="107">
        <v>338.7</v>
      </c>
      <c r="D399" s="107">
        <v>321.45</v>
      </c>
      <c r="E399" s="107">
        <v>338.35</v>
      </c>
      <c r="F399" s="107">
        <v>338.7</v>
      </c>
      <c r="G399">
        <v>8816</v>
      </c>
      <c r="H399" s="107"/>
      <c r="I399" s="107"/>
      <c r="L399" s="148">
        <v>43922</v>
      </c>
      <c r="M399" s="107">
        <v>338.15</v>
      </c>
      <c r="N399" s="107">
        <v>354.2</v>
      </c>
      <c r="O399" s="107">
        <v>320.5</v>
      </c>
      <c r="P399" s="107">
        <v>326</v>
      </c>
      <c r="Q399" s="107">
        <v>338.15</v>
      </c>
      <c r="R399">
        <v>244657</v>
      </c>
    </row>
    <row r="400" spans="1:18" x14ac:dyDescent="0.25">
      <c r="A400" s="148">
        <v>43924</v>
      </c>
      <c r="B400" s="107">
        <v>354.45</v>
      </c>
      <c r="C400" s="107">
        <v>321.8</v>
      </c>
      <c r="D400" s="107">
        <v>321.8</v>
      </c>
      <c r="E400" s="107">
        <v>340</v>
      </c>
      <c r="F400" s="107">
        <v>321.8</v>
      </c>
      <c r="G400">
        <v>5453</v>
      </c>
      <c r="H400" s="107"/>
      <c r="I400" s="107"/>
      <c r="L400" s="148">
        <v>43924</v>
      </c>
      <c r="M400" s="107">
        <v>321.25</v>
      </c>
      <c r="N400" s="107">
        <v>353.95</v>
      </c>
      <c r="O400" s="107">
        <v>321.25</v>
      </c>
      <c r="P400" s="107">
        <v>338.15</v>
      </c>
      <c r="Q400" s="107">
        <v>321.25</v>
      </c>
      <c r="R400">
        <v>122775</v>
      </c>
    </row>
    <row r="401" spans="1:18" x14ac:dyDescent="0.25">
      <c r="A401" s="148">
        <v>43928</v>
      </c>
      <c r="B401" s="107">
        <v>337</v>
      </c>
      <c r="C401" s="107">
        <v>314.85000000000002</v>
      </c>
      <c r="D401" s="107">
        <v>305.75</v>
      </c>
      <c r="E401" s="107">
        <v>315.25</v>
      </c>
      <c r="F401" s="107">
        <v>314.85000000000002</v>
      </c>
      <c r="G401">
        <v>36250</v>
      </c>
      <c r="H401" s="107"/>
      <c r="I401" s="107"/>
      <c r="L401" s="148">
        <v>43928</v>
      </c>
      <c r="M401" s="107">
        <v>314.10000000000002</v>
      </c>
      <c r="N401" s="107">
        <v>337.3</v>
      </c>
      <c r="O401" s="107">
        <v>305.2</v>
      </c>
      <c r="P401" s="107">
        <v>337.3</v>
      </c>
      <c r="Q401" s="107">
        <v>314.10000000000002</v>
      </c>
      <c r="R401">
        <v>390545</v>
      </c>
    </row>
    <row r="402" spans="1:18" x14ac:dyDescent="0.25">
      <c r="A402" s="148">
        <v>43929</v>
      </c>
      <c r="B402" s="107">
        <v>330.55</v>
      </c>
      <c r="C402" s="107">
        <v>329.45</v>
      </c>
      <c r="D402" s="107">
        <v>314</v>
      </c>
      <c r="E402" s="107">
        <v>326.95</v>
      </c>
      <c r="F402" s="107">
        <v>329.45</v>
      </c>
      <c r="G402">
        <v>7344</v>
      </c>
      <c r="H402" s="107"/>
      <c r="I402" s="107"/>
      <c r="L402" s="148">
        <v>43929</v>
      </c>
      <c r="M402" s="107">
        <v>329.7</v>
      </c>
      <c r="N402" s="107">
        <v>329.8</v>
      </c>
      <c r="O402" s="107">
        <v>312</v>
      </c>
      <c r="P402" s="107">
        <v>314.2</v>
      </c>
      <c r="Q402" s="107">
        <v>329.7</v>
      </c>
      <c r="R402">
        <v>315964</v>
      </c>
    </row>
    <row r="403" spans="1:18" x14ac:dyDescent="0.25">
      <c r="A403" s="148">
        <v>43930</v>
      </c>
      <c r="B403" s="107">
        <v>345.9</v>
      </c>
      <c r="C403" s="107">
        <v>344.6</v>
      </c>
      <c r="D403" s="107">
        <v>334.6</v>
      </c>
      <c r="E403" s="107">
        <v>339.5</v>
      </c>
      <c r="F403" s="107">
        <v>344.6</v>
      </c>
      <c r="G403">
        <v>27099</v>
      </c>
      <c r="H403" s="107"/>
      <c r="I403" s="107"/>
      <c r="L403" s="148">
        <v>43930</v>
      </c>
      <c r="M403" s="107">
        <v>344.85</v>
      </c>
      <c r="N403" s="107">
        <v>346.15</v>
      </c>
      <c r="O403" s="107">
        <v>330</v>
      </c>
      <c r="P403" s="107">
        <v>341.4</v>
      </c>
      <c r="Q403" s="107">
        <v>344.85</v>
      </c>
      <c r="R403">
        <v>218870</v>
      </c>
    </row>
    <row r="404" spans="1:18" x14ac:dyDescent="0.25">
      <c r="A404" s="148">
        <v>43934</v>
      </c>
      <c r="B404" s="107">
        <v>353.45</v>
      </c>
      <c r="C404" s="107">
        <v>346.85</v>
      </c>
      <c r="D404" s="107">
        <v>327.39999999999998</v>
      </c>
      <c r="E404" s="107">
        <v>353.45</v>
      </c>
      <c r="F404" s="107">
        <v>346.85</v>
      </c>
      <c r="G404">
        <v>5631</v>
      </c>
      <c r="H404" s="107"/>
      <c r="I404" s="107"/>
      <c r="L404" s="148">
        <v>43934</v>
      </c>
      <c r="M404" s="107">
        <v>346.6</v>
      </c>
      <c r="N404" s="107">
        <v>353.6</v>
      </c>
      <c r="O404" s="107">
        <v>327.64999999999998</v>
      </c>
      <c r="P404" s="107">
        <v>350</v>
      </c>
      <c r="Q404" s="107">
        <v>346.6</v>
      </c>
      <c r="R404">
        <v>134086</v>
      </c>
    </row>
    <row r="405" spans="1:18" x14ac:dyDescent="0.25">
      <c r="A405" s="148">
        <v>43936</v>
      </c>
      <c r="B405" s="107">
        <v>363.9</v>
      </c>
      <c r="C405" s="107">
        <v>344.45</v>
      </c>
      <c r="D405" s="107">
        <v>341.45</v>
      </c>
      <c r="E405" s="107">
        <v>355</v>
      </c>
      <c r="F405" s="107">
        <v>344.45</v>
      </c>
      <c r="G405">
        <v>3800</v>
      </c>
      <c r="H405" s="107"/>
      <c r="I405" s="107"/>
      <c r="L405" s="148">
        <v>43936</v>
      </c>
      <c r="M405" s="107">
        <v>344.9</v>
      </c>
      <c r="N405" s="107">
        <v>361.9</v>
      </c>
      <c r="O405" s="107">
        <v>332.15</v>
      </c>
      <c r="P405" s="107">
        <v>359.7</v>
      </c>
      <c r="Q405" s="107">
        <v>344.9</v>
      </c>
      <c r="R405">
        <v>116568</v>
      </c>
    </row>
    <row r="406" spans="1:18" x14ac:dyDescent="0.25">
      <c r="A406" s="148">
        <v>43937</v>
      </c>
      <c r="B406" s="107">
        <v>357.35</v>
      </c>
      <c r="C406" s="107">
        <v>345.8</v>
      </c>
      <c r="D406" s="107">
        <v>335.6</v>
      </c>
      <c r="E406" s="107">
        <v>347.5</v>
      </c>
      <c r="F406" s="107">
        <v>345.8</v>
      </c>
      <c r="G406">
        <v>2306</v>
      </c>
      <c r="H406" s="107"/>
      <c r="I406" s="107"/>
      <c r="L406" s="148">
        <v>43937</v>
      </c>
      <c r="M406" s="107">
        <v>348.15</v>
      </c>
      <c r="N406" s="107">
        <v>355.9</v>
      </c>
      <c r="O406" s="107">
        <v>330.05</v>
      </c>
      <c r="P406" s="107">
        <v>347.25</v>
      </c>
      <c r="Q406" s="107">
        <v>348.15</v>
      </c>
      <c r="R406">
        <v>152999</v>
      </c>
    </row>
    <row r="407" spans="1:18" x14ac:dyDescent="0.25">
      <c r="A407" s="148">
        <v>43938</v>
      </c>
      <c r="B407" s="107">
        <v>363.05</v>
      </c>
      <c r="C407" s="107">
        <v>363.05</v>
      </c>
      <c r="D407" s="107">
        <v>355</v>
      </c>
      <c r="E407" s="107">
        <v>362</v>
      </c>
      <c r="F407" s="107">
        <v>363.05</v>
      </c>
      <c r="G407">
        <v>1888</v>
      </c>
      <c r="H407" s="107"/>
      <c r="I407" s="107"/>
      <c r="L407" s="148">
        <v>43938</v>
      </c>
      <c r="M407" s="107">
        <v>365.55</v>
      </c>
      <c r="N407" s="107">
        <v>365.55</v>
      </c>
      <c r="O407" s="107">
        <v>356.9</v>
      </c>
      <c r="P407" s="107">
        <v>356.9</v>
      </c>
      <c r="Q407" s="107">
        <v>365.55</v>
      </c>
      <c r="R407">
        <v>181656</v>
      </c>
    </row>
    <row r="408" spans="1:18" x14ac:dyDescent="0.25">
      <c r="A408" s="148">
        <v>43941</v>
      </c>
      <c r="B408" s="107">
        <v>381.2</v>
      </c>
      <c r="C408" s="107">
        <v>381.2</v>
      </c>
      <c r="D408" s="107">
        <v>381.2</v>
      </c>
      <c r="E408" s="107">
        <v>381.2</v>
      </c>
      <c r="F408" s="107">
        <v>381.2</v>
      </c>
      <c r="G408">
        <v>633</v>
      </c>
      <c r="H408" s="107"/>
      <c r="I408" s="107"/>
      <c r="L408" s="148">
        <v>43941</v>
      </c>
      <c r="M408" s="107">
        <v>383.8</v>
      </c>
      <c r="N408" s="107">
        <v>383.8</v>
      </c>
      <c r="O408" s="107">
        <v>383.8</v>
      </c>
      <c r="P408" s="107">
        <v>383.8</v>
      </c>
      <c r="Q408" s="107">
        <v>383.8</v>
      </c>
      <c r="R408">
        <v>19765</v>
      </c>
    </row>
    <row r="409" spans="1:18" x14ac:dyDescent="0.25">
      <c r="A409" s="148">
        <v>43942</v>
      </c>
      <c r="B409" s="107">
        <v>400.25</v>
      </c>
      <c r="C409" s="107">
        <v>400.25</v>
      </c>
      <c r="D409" s="107">
        <v>400.25</v>
      </c>
      <c r="E409" s="107">
        <v>400.25</v>
      </c>
      <c r="F409" s="107">
        <v>400.25</v>
      </c>
      <c r="G409">
        <v>246</v>
      </c>
      <c r="H409" s="107"/>
      <c r="I409" s="107"/>
      <c r="L409" s="148">
        <v>43942</v>
      </c>
      <c r="M409" s="107">
        <v>402.95</v>
      </c>
      <c r="N409" s="107">
        <v>402.95</v>
      </c>
      <c r="O409" s="107">
        <v>402.95</v>
      </c>
      <c r="P409" s="107">
        <v>402.95</v>
      </c>
      <c r="Q409" s="107">
        <v>402.95</v>
      </c>
      <c r="R409">
        <v>35256</v>
      </c>
    </row>
    <row r="410" spans="1:18" x14ac:dyDescent="0.25">
      <c r="A410" s="148">
        <v>43943</v>
      </c>
      <c r="B410" s="107">
        <v>420.25</v>
      </c>
      <c r="C410" s="107">
        <v>420.25</v>
      </c>
      <c r="D410" s="107">
        <v>395</v>
      </c>
      <c r="E410" s="107">
        <v>420.25</v>
      </c>
      <c r="F410" s="107">
        <v>420.25</v>
      </c>
      <c r="G410">
        <v>6627</v>
      </c>
      <c r="H410" s="107"/>
      <c r="I410" s="107"/>
      <c r="L410" s="148">
        <v>43943</v>
      </c>
      <c r="M410" s="107">
        <v>423.05</v>
      </c>
      <c r="N410" s="107">
        <v>423.05</v>
      </c>
      <c r="O410" s="107">
        <v>391.1</v>
      </c>
      <c r="P410" s="107">
        <v>423.05</v>
      </c>
      <c r="Q410" s="107">
        <v>423.05</v>
      </c>
      <c r="R410">
        <v>171162</v>
      </c>
    </row>
    <row r="411" spans="1:18" x14ac:dyDescent="0.25">
      <c r="A411" s="148">
        <v>43944</v>
      </c>
      <c r="B411" s="107">
        <v>441.25</v>
      </c>
      <c r="C411" s="107">
        <v>441.25</v>
      </c>
      <c r="D411" s="107">
        <v>441.25</v>
      </c>
      <c r="E411" s="107">
        <v>441.25</v>
      </c>
      <c r="F411" s="107">
        <v>441.25</v>
      </c>
      <c r="G411">
        <v>67</v>
      </c>
      <c r="H411" s="107"/>
      <c r="I411" s="107"/>
      <c r="L411" s="148">
        <v>43944</v>
      </c>
      <c r="M411" s="107">
        <v>444.2</v>
      </c>
      <c r="N411" s="107">
        <v>444.2</v>
      </c>
      <c r="O411" s="107">
        <v>444.2</v>
      </c>
      <c r="P411" s="107">
        <v>444.2</v>
      </c>
      <c r="Q411" s="107">
        <v>444.2</v>
      </c>
      <c r="R411">
        <v>13259</v>
      </c>
    </row>
    <row r="412" spans="1:18" x14ac:dyDescent="0.25">
      <c r="A412" s="148">
        <v>43945</v>
      </c>
      <c r="B412" s="107">
        <v>463.3</v>
      </c>
      <c r="C412" s="107">
        <v>419.2</v>
      </c>
      <c r="D412" s="107">
        <v>419.2</v>
      </c>
      <c r="E412" s="107">
        <v>463.3</v>
      </c>
      <c r="F412" s="107">
        <v>419.2</v>
      </c>
      <c r="G412">
        <v>15867</v>
      </c>
      <c r="H412" s="107"/>
      <c r="I412" s="107"/>
      <c r="L412" s="148">
        <v>43945</v>
      </c>
      <c r="M412" s="107">
        <v>422</v>
      </c>
      <c r="N412" s="107">
        <v>466.4</v>
      </c>
      <c r="O412" s="107">
        <v>422</v>
      </c>
      <c r="P412" s="107">
        <v>466.4</v>
      </c>
      <c r="Q412" s="107">
        <v>422</v>
      </c>
      <c r="R412">
        <v>344864</v>
      </c>
    </row>
    <row r="413" spans="1:18" x14ac:dyDescent="0.25">
      <c r="A413" s="148">
        <v>43948</v>
      </c>
      <c r="B413" s="107">
        <v>440.15</v>
      </c>
      <c r="C413" s="107">
        <v>427.85</v>
      </c>
      <c r="D413" s="107">
        <v>398.25</v>
      </c>
      <c r="E413" s="107">
        <v>419.2</v>
      </c>
      <c r="F413" s="107">
        <v>427.85</v>
      </c>
      <c r="G413">
        <v>7469</v>
      </c>
      <c r="H413" s="107"/>
      <c r="I413" s="107"/>
      <c r="L413" s="148">
        <v>43948</v>
      </c>
      <c r="M413" s="107">
        <v>425.05</v>
      </c>
      <c r="N413" s="107">
        <v>434.7</v>
      </c>
      <c r="O413" s="107">
        <v>400.9</v>
      </c>
      <c r="P413" s="107">
        <v>400.9</v>
      </c>
      <c r="Q413" s="107">
        <v>425.05</v>
      </c>
      <c r="R413">
        <v>222783</v>
      </c>
    </row>
    <row r="414" spans="1:18" x14ac:dyDescent="0.25">
      <c r="A414" s="148">
        <v>43949</v>
      </c>
      <c r="B414" s="107">
        <v>449.2</v>
      </c>
      <c r="C414" s="107">
        <v>449.2</v>
      </c>
      <c r="D414" s="107">
        <v>422.3</v>
      </c>
      <c r="E414" s="107">
        <v>428</v>
      </c>
      <c r="F414" s="107">
        <v>449.2</v>
      </c>
      <c r="G414">
        <v>2905</v>
      </c>
      <c r="H414" s="107"/>
      <c r="I414" s="107"/>
      <c r="L414" s="148">
        <v>43949</v>
      </c>
      <c r="M414" s="107">
        <v>446.3</v>
      </c>
      <c r="N414" s="107">
        <v>446.3</v>
      </c>
      <c r="O414" s="107">
        <v>421.4</v>
      </c>
      <c r="P414" s="107">
        <v>421.4</v>
      </c>
      <c r="Q414" s="107">
        <v>446.3</v>
      </c>
      <c r="R414">
        <v>108455</v>
      </c>
    </row>
    <row r="415" spans="1:18" x14ac:dyDescent="0.25">
      <c r="A415" s="148">
        <v>43950</v>
      </c>
      <c r="B415" s="107">
        <v>471.65</v>
      </c>
      <c r="C415" s="107">
        <v>471.65</v>
      </c>
      <c r="D415" s="107">
        <v>433.3</v>
      </c>
      <c r="E415" s="107">
        <v>468.5</v>
      </c>
      <c r="F415" s="107">
        <v>471.65</v>
      </c>
      <c r="G415">
        <v>4718</v>
      </c>
      <c r="H415" s="107"/>
      <c r="I415" s="107"/>
      <c r="L415" s="148">
        <v>43950</v>
      </c>
      <c r="M415" s="107">
        <v>468.6</v>
      </c>
      <c r="N415" s="107">
        <v>468.6</v>
      </c>
      <c r="O415" s="107">
        <v>455</v>
      </c>
      <c r="P415" s="107">
        <v>466</v>
      </c>
      <c r="Q415" s="107">
        <v>468.6</v>
      </c>
      <c r="R415">
        <v>83486</v>
      </c>
    </row>
    <row r="416" spans="1:18" x14ac:dyDescent="0.25">
      <c r="A416" s="148">
        <v>43951</v>
      </c>
      <c r="B416" s="107">
        <v>495.2</v>
      </c>
      <c r="C416" s="107">
        <v>495.2</v>
      </c>
      <c r="D416" s="107">
        <v>489.9</v>
      </c>
      <c r="E416" s="107">
        <v>495.2</v>
      </c>
      <c r="F416" s="107">
        <v>495.2</v>
      </c>
      <c r="G416">
        <v>6581</v>
      </c>
      <c r="H416" s="107"/>
      <c r="I416" s="107"/>
      <c r="L416" s="148">
        <v>43951</v>
      </c>
      <c r="M416" s="107">
        <v>492</v>
      </c>
      <c r="N416" s="107">
        <v>492</v>
      </c>
      <c r="O416" s="107">
        <v>490</v>
      </c>
      <c r="P416" s="107">
        <v>490</v>
      </c>
      <c r="Q416" s="107">
        <v>492</v>
      </c>
      <c r="R416">
        <v>77903</v>
      </c>
    </row>
    <row r="417" spans="1:18" x14ac:dyDescent="0.25">
      <c r="A417" s="148">
        <v>43955</v>
      </c>
      <c r="B417" s="107">
        <v>510</v>
      </c>
      <c r="C417" s="107">
        <v>470.45</v>
      </c>
      <c r="D417" s="107">
        <v>470.45</v>
      </c>
      <c r="E417" s="107">
        <v>493</v>
      </c>
      <c r="F417" s="107">
        <v>470.45</v>
      </c>
      <c r="G417">
        <v>9900</v>
      </c>
      <c r="H417" s="107"/>
      <c r="I417" s="107"/>
      <c r="L417" s="148">
        <v>43955</v>
      </c>
      <c r="M417" s="107">
        <v>467.4</v>
      </c>
      <c r="N417" s="107">
        <v>512.79999999999995</v>
      </c>
      <c r="O417" s="107">
        <v>467.4</v>
      </c>
      <c r="P417" s="107">
        <v>467.4</v>
      </c>
      <c r="Q417" s="107">
        <v>467.4</v>
      </c>
      <c r="R417">
        <v>185391</v>
      </c>
    </row>
    <row r="418" spans="1:18" x14ac:dyDescent="0.25">
      <c r="A418" s="148">
        <v>43956</v>
      </c>
      <c r="B418" s="107">
        <v>488</v>
      </c>
      <c r="C418" s="107">
        <v>448.9</v>
      </c>
      <c r="D418" s="107">
        <v>446.95</v>
      </c>
      <c r="E418" s="107">
        <v>478.7</v>
      </c>
      <c r="F418" s="107">
        <v>448.9</v>
      </c>
      <c r="G418">
        <v>6216</v>
      </c>
      <c r="H418" s="107"/>
      <c r="I418" s="107"/>
      <c r="L418" s="148">
        <v>43956</v>
      </c>
      <c r="M418" s="107">
        <v>449.8</v>
      </c>
      <c r="N418" s="107">
        <v>488.95</v>
      </c>
      <c r="O418" s="107">
        <v>445.2</v>
      </c>
      <c r="P418" s="107">
        <v>470.1</v>
      </c>
      <c r="Q418" s="107">
        <v>449.8</v>
      </c>
      <c r="R418">
        <v>129271</v>
      </c>
    </row>
    <row r="419" spans="1:18" x14ac:dyDescent="0.25">
      <c r="A419" s="148">
        <v>43957</v>
      </c>
      <c r="B419" s="107">
        <v>463.7</v>
      </c>
      <c r="C419" s="107">
        <v>453.6</v>
      </c>
      <c r="D419" s="107">
        <v>431.1</v>
      </c>
      <c r="E419" s="107">
        <v>451.85</v>
      </c>
      <c r="F419" s="107">
        <v>453.6</v>
      </c>
      <c r="G419">
        <v>2022</v>
      </c>
      <c r="H419" s="107"/>
      <c r="I419" s="107"/>
      <c r="L419" s="148">
        <v>43957</v>
      </c>
      <c r="M419" s="107">
        <v>451.95</v>
      </c>
      <c r="N419" s="107">
        <v>464.95</v>
      </c>
      <c r="O419" s="107">
        <v>432</v>
      </c>
      <c r="P419" s="107">
        <v>452</v>
      </c>
      <c r="Q419" s="107">
        <v>451.95</v>
      </c>
      <c r="R419">
        <v>87380</v>
      </c>
    </row>
    <row r="420" spans="1:18" x14ac:dyDescent="0.25">
      <c r="A420" s="148">
        <v>43958</v>
      </c>
      <c r="B420" s="107">
        <v>463.8</v>
      </c>
      <c r="C420" s="107">
        <v>444.55</v>
      </c>
      <c r="D420" s="107">
        <v>440</v>
      </c>
      <c r="E420" s="107">
        <v>455.15</v>
      </c>
      <c r="F420" s="107">
        <v>444.55</v>
      </c>
      <c r="G420">
        <v>2007</v>
      </c>
      <c r="H420" s="107"/>
      <c r="I420" s="107"/>
      <c r="L420" s="148">
        <v>43958</v>
      </c>
      <c r="M420" s="107">
        <v>447.15</v>
      </c>
      <c r="N420" s="107">
        <v>461.95</v>
      </c>
      <c r="O420" s="107">
        <v>440.05</v>
      </c>
      <c r="P420" s="107">
        <v>449.7</v>
      </c>
      <c r="Q420" s="107">
        <v>447.15</v>
      </c>
      <c r="R420">
        <v>44740</v>
      </c>
    </row>
    <row r="421" spans="1:18" x14ac:dyDescent="0.25">
      <c r="A421" s="148">
        <v>43959</v>
      </c>
      <c r="B421" s="107">
        <v>453</v>
      </c>
      <c r="C421" s="107">
        <v>424.3</v>
      </c>
      <c r="D421" s="107">
        <v>422.35</v>
      </c>
      <c r="E421" s="107">
        <v>453</v>
      </c>
      <c r="F421" s="107">
        <v>424.3</v>
      </c>
      <c r="G421">
        <v>7663</v>
      </c>
      <c r="H421" s="107"/>
      <c r="I421" s="107"/>
      <c r="L421" s="148">
        <v>43959</v>
      </c>
      <c r="M421" s="107">
        <v>424.8</v>
      </c>
      <c r="N421" s="107">
        <v>458.65</v>
      </c>
      <c r="O421" s="107">
        <v>424.8</v>
      </c>
      <c r="P421" s="107">
        <v>448</v>
      </c>
      <c r="Q421" s="107">
        <v>424.8</v>
      </c>
      <c r="R421">
        <v>66720</v>
      </c>
    </row>
    <row r="422" spans="1:18" x14ac:dyDescent="0.25">
      <c r="A422" s="148">
        <v>43962</v>
      </c>
      <c r="B422" s="107">
        <v>427</v>
      </c>
      <c r="C422" s="107">
        <v>403.1</v>
      </c>
      <c r="D422" s="107">
        <v>403.1</v>
      </c>
      <c r="E422" s="107">
        <v>421</v>
      </c>
      <c r="F422" s="107">
        <v>403.1</v>
      </c>
      <c r="G422">
        <v>5399</v>
      </c>
      <c r="H422" s="107"/>
      <c r="I422" s="107"/>
      <c r="L422" s="148">
        <v>43962</v>
      </c>
      <c r="M422" s="107">
        <v>403.6</v>
      </c>
      <c r="N422" s="107">
        <v>434</v>
      </c>
      <c r="O422" s="107">
        <v>403.6</v>
      </c>
      <c r="P422" s="107">
        <v>430</v>
      </c>
      <c r="Q422" s="107">
        <v>403.6</v>
      </c>
      <c r="R422">
        <v>90323</v>
      </c>
    </row>
    <row r="423" spans="1:18" x14ac:dyDescent="0.25">
      <c r="A423" s="148">
        <v>43963</v>
      </c>
      <c r="B423" s="107">
        <v>402.9</v>
      </c>
      <c r="C423" s="107">
        <v>383.45</v>
      </c>
      <c r="D423" s="107">
        <v>382.95</v>
      </c>
      <c r="E423" s="107">
        <v>384.2</v>
      </c>
      <c r="F423" s="107">
        <v>383.45</v>
      </c>
      <c r="G423">
        <v>36428</v>
      </c>
      <c r="H423" s="107"/>
      <c r="I423" s="107"/>
      <c r="L423" s="148">
        <v>43963</v>
      </c>
      <c r="M423" s="107">
        <v>383.45</v>
      </c>
      <c r="N423" s="107">
        <v>400</v>
      </c>
      <c r="O423" s="107">
        <v>383.45</v>
      </c>
      <c r="P423" s="107">
        <v>394.05</v>
      </c>
      <c r="Q423" s="107">
        <v>383.45</v>
      </c>
      <c r="R423">
        <v>48279</v>
      </c>
    </row>
    <row r="424" spans="1:18" x14ac:dyDescent="0.25">
      <c r="A424" s="148">
        <v>43964</v>
      </c>
      <c r="B424" s="107">
        <v>402.6</v>
      </c>
      <c r="C424" s="107">
        <v>402.5</v>
      </c>
      <c r="D424" s="107">
        <v>390.65</v>
      </c>
      <c r="E424" s="107">
        <v>402.6</v>
      </c>
      <c r="F424" s="107">
        <v>402.5</v>
      </c>
      <c r="G424">
        <v>12267</v>
      </c>
      <c r="H424" s="107"/>
      <c r="I424" s="107"/>
      <c r="L424" s="148">
        <v>43964</v>
      </c>
      <c r="M424" s="107">
        <v>402.6</v>
      </c>
      <c r="N424" s="107">
        <v>402.6</v>
      </c>
      <c r="O424" s="107">
        <v>390.6</v>
      </c>
      <c r="P424" s="107">
        <v>402.6</v>
      </c>
      <c r="Q424" s="107">
        <v>402.6</v>
      </c>
      <c r="R424">
        <v>175493</v>
      </c>
    </row>
    <row r="425" spans="1:18" x14ac:dyDescent="0.25">
      <c r="A425" s="148">
        <v>43965</v>
      </c>
      <c r="B425" s="107">
        <v>422.6</v>
      </c>
      <c r="C425" s="107">
        <v>422.6</v>
      </c>
      <c r="D425" s="107">
        <v>398.6</v>
      </c>
      <c r="E425" s="107">
        <v>409</v>
      </c>
      <c r="F425" s="107">
        <v>422.6</v>
      </c>
      <c r="G425">
        <v>6997</v>
      </c>
      <c r="H425" s="107"/>
      <c r="I425" s="107"/>
      <c r="L425" s="148">
        <v>43965</v>
      </c>
      <c r="M425" s="107">
        <v>422.7</v>
      </c>
      <c r="N425" s="107">
        <v>422.7</v>
      </c>
      <c r="O425" s="107">
        <v>396.35</v>
      </c>
      <c r="P425" s="107">
        <v>409.4</v>
      </c>
      <c r="Q425" s="107">
        <v>422.7</v>
      </c>
      <c r="R425">
        <v>132822</v>
      </c>
    </row>
    <row r="426" spans="1:18" x14ac:dyDescent="0.25">
      <c r="A426" s="148">
        <v>43966</v>
      </c>
      <c r="B426" s="107">
        <v>443.7</v>
      </c>
      <c r="C426" s="107">
        <v>441.75</v>
      </c>
      <c r="D426" s="107">
        <v>423</v>
      </c>
      <c r="E426" s="107">
        <v>423</v>
      </c>
      <c r="F426" s="107">
        <v>441.75</v>
      </c>
      <c r="G426">
        <v>17194</v>
      </c>
      <c r="H426" s="107"/>
      <c r="I426" s="107"/>
      <c r="L426" s="148">
        <v>43966</v>
      </c>
      <c r="M426" s="107">
        <v>440</v>
      </c>
      <c r="N426" s="107">
        <v>443.8</v>
      </c>
      <c r="O426" s="107">
        <v>419.9</v>
      </c>
      <c r="P426" s="107">
        <v>431.4</v>
      </c>
      <c r="Q426" s="107">
        <v>440</v>
      </c>
      <c r="R426">
        <v>249672</v>
      </c>
    </row>
    <row r="427" spans="1:18" x14ac:dyDescent="0.25">
      <c r="A427" s="148">
        <v>43969</v>
      </c>
      <c r="B427" s="107">
        <v>462.4</v>
      </c>
      <c r="C427" s="107">
        <v>419.7</v>
      </c>
      <c r="D427" s="107">
        <v>419.7</v>
      </c>
      <c r="E427" s="107">
        <v>462.4</v>
      </c>
      <c r="F427" s="107">
        <v>419.7</v>
      </c>
      <c r="G427">
        <v>4041</v>
      </c>
      <c r="H427" s="107"/>
      <c r="I427" s="107"/>
      <c r="L427" s="148">
        <v>43969</v>
      </c>
      <c r="M427" s="107">
        <v>418</v>
      </c>
      <c r="N427" s="107">
        <v>453</v>
      </c>
      <c r="O427" s="107">
        <v>418</v>
      </c>
      <c r="P427" s="107">
        <v>449.95</v>
      </c>
      <c r="Q427" s="107">
        <v>418</v>
      </c>
      <c r="R427">
        <v>138612</v>
      </c>
    </row>
    <row r="428" spans="1:18" x14ac:dyDescent="0.25">
      <c r="A428" s="148">
        <v>43970</v>
      </c>
      <c r="B428" s="107">
        <v>416</v>
      </c>
      <c r="C428" s="107">
        <v>398.75</v>
      </c>
      <c r="D428" s="107">
        <v>398.75</v>
      </c>
      <c r="E428" s="107">
        <v>416</v>
      </c>
      <c r="F428" s="107">
        <v>398.75</v>
      </c>
      <c r="G428">
        <v>3107</v>
      </c>
      <c r="H428" s="107"/>
      <c r="I428" s="107"/>
      <c r="L428" s="148">
        <v>43970</v>
      </c>
      <c r="M428" s="107">
        <v>397.8</v>
      </c>
      <c r="N428" s="107">
        <v>410</v>
      </c>
      <c r="O428" s="107">
        <v>397.1</v>
      </c>
      <c r="P428" s="107">
        <v>408</v>
      </c>
      <c r="Q428" s="107">
        <v>397.8</v>
      </c>
      <c r="R428">
        <v>177481</v>
      </c>
    </row>
    <row r="429" spans="1:18" x14ac:dyDescent="0.25">
      <c r="A429" s="148">
        <v>43971</v>
      </c>
      <c r="B429" s="107">
        <v>414.7</v>
      </c>
      <c r="C429" s="107">
        <v>408.05</v>
      </c>
      <c r="D429" s="107">
        <v>394.35</v>
      </c>
      <c r="E429" s="107">
        <v>398</v>
      </c>
      <c r="F429" s="107">
        <v>408.05</v>
      </c>
      <c r="G429">
        <v>816</v>
      </c>
      <c r="H429" s="107"/>
      <c r="I429" s="107"/>
      <c r="L429" s="148">
        <v>43971</v>
      </c>
      <c r="M429" s="107">
        <v>407.95</v>
      </c>
      <c r="N429" s="107">
        <v>414</v>
      </c>
      <c r="O429" s="107">
        <v>392.3</v>
      </c>
      <c r="P429" s="107">
        <v>398.05</v>
      </c>
      <c r="Q429" s="107">
        <v>407.95</v>
      </c>
      <c r="R429">
        <v>127360</v>
      </c>
    </row>
    <row r="430" spans="1:18" x14ac:dyDescent="0.25">
      <c r="A430" s="148">
        <v>43972</v>
      </c>
      <c r="B430" s="107">
        <v>424.95</v>
      </c>
      <c r="C430" s="107">
        <v>418.75</v>
      </c>
      <c r="D430" s="107">
        <v>406.8</v>
      </c>
      <c r="E430" s="107">
        <v>416.45</v>
      </c>
      <c r="F430" s="107">
        <v>418.75</v>
      </c>
      <c r="G430">
        <v>1423</v>
      </c>
      <c r="H430" s="107"/>
      <c r="I430" s="107"/>
      <c r="L430" s="148">
        <v>43972</v>
      </c>
      <c r="M430" s="107">
        <v>417.35</v>
      </c>
      <c r="N430" s="107">
        <v>425</v>
      </c>
      <c r="O430" s="107">
        <v>404.95</v>
      </c>
      <c r="P430" s="107">
        <v>408</v>
      </c>
      <c r="Q430" s="107">
        <v>417.35</v>
      </c>
      <c r="R430">
        <v>114955</v>
      </c>
    </row>
    <row r="431" spans="1:18" x14ac:dyDescent="0.25">
      <c r="A431" s="148">
        <v>43973</v>
      </c>
      <c r="B431" s="107">
        <v>427.05</v>
      </c>
      <c r="C431" s="107">
        <v>397.85</v>
      </c>
      <c r="D431" s="107">
        <v>397.85</v>
      </c>
      <c r="E431" s="107">
        <v>422.75</v>
      </c>
      <c r="F431" s="107">
        <v>397.85</v>
      </c>
      <c r="G431">
        <v>3267</v>
      </c>
      <c r="H431" s="107"/>
      <c r="I431" s="107"/>
      <c r="L431" s="148">
        <v>43973</v>
      </c>
      <c r="M431" s="107">
        <v>396.5</v>
      </c>
      <c r="N431" s="107">
        <v>427.65</v>
      </c>
      <c r="O431" s="107">
        <v>396.5</v>
      </c>
      <c r="P431" s="107">
        <v>417</v>
      </c>
      <c r="Q431" s="107">
        <v>396.5</v>
      </c>
      <c r="R431">
        <v>115295</v>
      </c>
    </row>
    <row r="432" spans="1:18" x14ac:dyDescent="0.25">
      <c r="A432" s="148">
        <v>43977</v>
      </c>
      <c r="B432" s="107">
        <v>398</v>
      </c>
      <c r="C432" s="107">
        <v>378</v>
      </c>
      <c r="D432" s="107">
        <v>378</v>
      </c>
      <c r="E432" s="107">
        <v>398</v>
      </c>
      <c r="F432" s="107">
        <v>378</v>
      </c>
      <c r="G432">
        <v>4678</v>
      </c>
      <c r="H432" s="107"/>
      <c r="I432" s="107"/>
      <c r="L432" s="148">
        <v>43977</v>
      </c>
      <c r="M432" s="107">
        <v>376.7</v>
      </c>
      <c r="N432" s="107">
        <v>396</v>
      </c>
      <c r="O432" s="107">
        <v>376.7</v>
      </c>
      <c r="P432" s="107">
        <v>396</v>
      </c>
      <c r="Q432" s="107">
        <v>376.7</v>
      </c>
      <c r="R432">
        <v>88352</v>
      </c>
    </row>
    <row r="433" spans="1:18" x14ac:dyDescent="0.25">
      <c r="A433" s="148">
        <v>43978</v>
      </c>
      <c r="B433" s="107">
        <v>393.75</v>
      </c>
      <c r="C433" s="107">
        <v>370.2</v>
      </c>
      <c r="D433" s="107">
        <v>359.1</v>
      </c>
      <c r="E433" s="107">
        <v>375</v>
      </c>
      <c r="F433" s="107">
        <v>370.2</v>
      </c>
      <c r="G433">
        <v>8155</v>
      </c>
      <c r="H433" s="107"/>
      <c r="I433" s="107"/>
      <c r="L433" s="148">
        <v>43978</v>
      </c>
      <c r="M433" s="107">
        <v>369.6</v>
      </c>
      <c r="N433" s="107">
        <v>394.9</v>
      </c>
      <c r="O433" s="107">
        <v>357.9</v>
      </c>
      <c r="P433" s="107">
        <v>370</v>
      </c>
      <c r="Q433" s="107">
        <v>369.6</v>
      </c>
      <c r="R433">
        <v>332059</v>
      </c>
    </row>
    <row r="434" spans="1:18" x14ac:dyDescent="0.25">
      <c r="A434" s="148">
        <v>43979</v>
      </c>
      <c r="B434" s="107">
        <v>388.7</v>
      </c>
      <c r="C434" s="107">
        <v>387.8</v>
      </c>
      <c r="D434" s="107">
        <v>377.45</v>
      </c>
      <c r="E434" s="107">
        <v>379</v>
      </c>
      <c r="F434" s="107">
        <v>387.8</v>
      </c>
      <c r="G434">
        <v>16571</v>
      </c>
      <c r="H434" s="107"/>
      <c r="I434" s="107"/>
      <c r="L434" s="148">
        <v>43979</v>
      </c>
      <c r="M434" s="107">
        <v>387.35</v>
      </c>
      <c r="N434" s="107">
        <v>388.05</v>
      </c>
      <c r="O434" s="107">
        <v>377.25</v>
      </c>
      <c r="P434" s="107">
        <v>378.05</v>
      </c>
      <c r="Q434" s="107">
        <v>387.35</v>
      </c>
      <c r="R434">
        <v>160181</v>
      </c>
    </row>
    <row r="435" spans="1:18" x14ac:dyDescent="0.25">
      <c r="A435" s="148">
        <v>43980</v>
      </c>
      <c r="B435" s="107">
        <v>401.9</v>
      </c>
      <c r="C435" s="107">
        <v>391.1</v>
      </c>
      <c r="D435" s="107">
        <v>372</v>
      </c>
      <c r="E435" s="107">
        <v>401</v>
      </c>
      <c r="F435" s="107">
        <v>391.1</v>
      </c>
      <c r="G435">
        <v>3349</v>
      </c>
      <c r="H435" s="107"/>
      <c r="I435" s="107"/>
      <c r="L435" s="148">
        <v>43980</v>
      </c>
      <c r="M435" s="107">
        <v>389.15</v>
      </c>
      <c r="N435" s="107">
        <v>401.95</v>
      </c>
      <c r="O435" s="107">
        <v>378.3</v>
      </c>
      <c r="P435" s="107">
        <v>394</v>
      </c>
      <c r="Q435" s="107">
        <v>389.15</v>
      </c>
      <c r="R435">
        <v>437434</v>
      </c>
    </row>
    <row r="436" spans="1:18" x14ac:dyDescent="0.25">
      <c r="A436" s="148">
        <v>43983</v>
      </c>
      <c r="B436" s="107">
        <v>410.65</v>
      </c>
      <c r="C436" s="107">
        <v>410.65</v>
      </c>
      <c r="D436" s="107">
        <v>402.8</v>
      </c>
      <c r="E436" s="107">
        <v>408</v>
      </c>
      <c r="F436" s="107">
        <v>410.65</v>
      </c>
      <c r="G436">
        <v>8017</v>
      </c>
      <c r="H436" s="107"/>
      <c r="I436" s="107"/>
      <c r="L436" s="148">
        <v>43983</v>
      </c>
      <c r="M436" s="107">
        <v>408.6</v>
      </c>
      <c r="N436" s="107">
        <v>408.6</v>
      </c>
      <c r="O436" s="107">
        <v>398.75</v>
      </c>
      <c r="P436" s="107">
        <v>399.95</v>
      </c>
      <c r="Q436" s="107">
        <v>408.6</v>
      </c>
      <c r="R436">
        <v>174843</v>
      </c>
    </row>
    <row r="437" spans="1:18" x14ac:dyDescent="0.25">
      <c r="A437" s="148">
        <v>43984</v>
      </c>
      <c r="B437" s="107">
        <v>431.15</v>
      </c>
      <c r="C437" s="107">
        <v>431.15</v>
      </c>
      <c r="D437" s="107">
        <v>412</v>
      </c>
      <c r="E437" s="107">
        <v>424</v>
      </c>
      <c r="F437" s="107">
        <v>431.15</v>
      </c>
      <c r="G437">
        <v>3938</v>
      </c>
      <c r="H437" s="107"/>
      <c r="I437" s="107"/>
      <c r="L437" s="148">
        <v>43984</v>
      </c>
      <c r="M437" s="107">
        <v>429</v>
      </c>
      <c r="N437" s="107">
        <v>429</v>
      </c>
      <c r="O437" s="107">
        <v>412</v>
      </c>
      <c r="P437" s="107">
        <v>421.95</v>
      </c>
      <c r="Q437" s="107">
        <v>429</v>
      </c>
      <c r="R437">
        <v>69099</v>
      </c>
    </row>
    <row r="438" spans="1:18" x14ac:dyDescent="0.25">
      <c r="A438" s="148">
        <v>43985</v>
      </c>
      <c r="B438" s="107">
        <v>452.7</v>
      </c>
      <c r="C438" s="107">
        <v>452.7</v>
      </c>
      <c r="D438" s="107">
        <v>452.7</v>
      </c>
      <c r="E438" s="107">
        <v>452.7</v>
      </c>
      <c r="F438" s="107">
        <v>452.7</v>
      </c>
      <c r="G438">
        <v>2489</v>
      </c>
      <c r="H438" s="107"/>
      <c r="I438" s="107"/>
      <c r="L438" s="148">
        <v>43985</v>
      </c>
      <c r="M438" s="107">
        <v>450.45</v>
      </c>
      <c r="N438" s="107">
        <v>450.45</v>
      </c>
      <c r="O438" s="107">
        <v>450.45</v>
      </c>
      <c r="P438" s="107">
        <v>450.45</v>
      </c>
      <c r="Q438" s="107">
        <v>450.45</v>
      </c>
      <c r="R438">
        <v>17235</v>
      </c>
    </row>
    <row r="439" spans="1:18" x14ac:dyDescent="0.25">
      <c r="A439" s="148">
        <v>43986</v>
      </c>
      <c r="B439" s="107">
        <v>475.3</v>
      </c>
      <c r="C439" s="107">
        <v>475.3</v>
      </c>
      <c r="D439" s="107">
        <v>465.05</v>
      </c>
      <c r="E439" s="107">
        <v>475.3</v>
      </c>
      <c r="F439" s="107">
        <v>475.3</v>
      </c>
      <c r="G439">
        <v>18644</v>
      </c>
      <c r="H439" s="107"/>
      <c r="I439" s="107"/>
      <c r="L439" s="148">
        <v>43986</v>
      </c>
      <c r="M439" s="107">
        <v>472.95</v>
      </c>
      <c r="N439" s="107">
        <v>472.95</v>
      </c>
      <c r="O439" s="107">
        <v>472.95</v>
      </c>
      <c r="P439" s="107">
        <v>472.95</v>
      </c>
      <c r="Q439" s="107">
        <v>472.95</v>
      </c>
      <c r="R439">
        <v>151868</v>
      </c>
    </row>
    <row r="440" spans="1:18" x14ac:dyDescent="0.25">
      <c r="A440" s="148">
        <v>43987</v>
      </c>
      <c r="B440" s="107">
        <v>499.05</v>
      </c>
      <c r="C440" s="107">
        <v>499.05</v>
      </c>
      <c r="D440" s="107">
        <v>475.5</v>
      </c>
      <c r="E440" s="107">
        <v>499.05</v>
      </c>
      <c r="F440" s="107">
        <v>499.05</v>
      </c>
      <c r="G440">
        <v>8519</v>
      </c>
      <c r="H440" s="107"/>
      <c r="I440" s="107"/>
      <c r="L440" s="148">
        <v>43987</v>
      </c>
      <c r="M440" s="107">
        <v>496.55</v>
      </c>
      <c r="N440" s="107">
        <v>496.55</v>
      </c>
      <c r="O440" s="107">
        <v>486.1</v>
      </c>
      <c r="P440" s="107">
        <v>496.55</v>
      </c>
      <c r="Q440" s="107">
        <v>496.55</v>
      </c>
      <c r="R440">
        <v>42780</v>
      </c>
    </row>
    <row r="441" spans="1:18" x14ac:dyDescent="0.25">
      <c r="A441" s="148">
        <v>43990</v>
      </c>
      <c r="B441" s="107">
        <v>524</v>
      </c>
      <c r="C441" s="107">
        <v>493.45</v>
      </c>
      <c r="D441" s="107">
        <v>477</v>
      </c>
      <c r="E441" s="107">
        <v>524</v>
      </c>
      <c r="F441" s="107">
        <v>493.45</v>
      </c>
      <c r="G441">
        <v>22339</v>
      </c>
      <c r="H441" s="107"/>
      <c r="I441" s="107"/>
      <c r="L441" s="148">
        <v>43990</v>
      </c>
      <c r="M441" s="107">
        <v>494.5</v>
      </c>
      <c r="N441" s="107">
        <v>521.35</v>
      </c>
      <c r="O441" s="107">
        <v>476.15</v>
      </c>
      <c r="P441" s="107">
        <v>521.35</v>
      </c>
      <c r="Q441" s="107">
        <v>494.5</v>
      </c>
      <c r="R441">
        <v>131329</v>
      </c>
    </row>
    <row r="442" spans="1:18" x14ac:dyDescent="0.25">
      <c r="A442" s="148">
        <v>43991</v>
      </c>
      <c r="B442" s="107">
        <v>518.1</v>
      </c>
      <c r="C442" s="107">
        <v>514.79999999999995</v>
      </c>
      <c r="D442" s="107">
        <v>500</v>
      </c>
      <c r="E442" s="107">
        <v>513.9</v>
      </c>
      <c r="F442" s="107">
        <v>514.79999999999995</v>
      </c>
      <c r="G442">
        <v>18197</v>
      </c>
      <c r="H442" s="107"/>
      <c r="I442" s="107"/>
      <c r="L442" s="148">
        <v>43991</v>
      </c>
      <c r="M442" s="107">
        <v>514.15</v>
      </c>
      <c r="N442" s="107">
        <v>519.20000000000005</v>
      </c>
      <c r="O442" s="107">
        <v>501</v>
      </c>
      <c r="P442" s="107">
        <v>501</v>
      </c>
      <c r="Q442" s="107">
        <v>514.15</v>
      </c>
      <c r="R442">
        <v>203439</v>
      </c>
    </row>
    <row r="443" spans="1:18" x14ac:dyDescent="0.25">
      <c r="A443" s="148">
        <v>43992</v>
      </c>
      <c r="B443" s="107">
        <v>538.9</v>
      </c>
      <c r="C443" s="107">
        <v>504.65</v>
      </c>
      <c r="D443" s="107">
        <v>497.1</v>
      </c>
      <c r="E443" s="107">
        <v>527.35</v>
      </c>
      <c r="F443" s="107">
        <v>504.65</v>
      </c>
      <c r="G443">
        <v>4845</v>
      </c>
      <c r="H443" s="107"/>
      <c r="I443" s="107"/>
      <c r="L443" s="148">
        <v>43992</v>
      </c>
      <c r="M443" s="107">
        <v>514.25</v>
      </c>
      <c r="N443" s="107">
        <v>528.4</v>
      </c>
      <c r="O443" s="107">
        <v>506</v>
      </c>
      <c r="P443" s="107">
        <v>528.4</v>
      </c>
      <c r="Q443" s="107">
        <v>514.25</v>
      </c>
      <c r="R443">
        <v>64159</v>
      </c>
    </row>
    <row r="444" spans="1:18" x14ac:dyDescent="0.25">
      <c r="A444" s="148">
        <v>43993</v>
      </c>
      <c r="B444" s="107">
        <v>517</v>
      </c>
      <c r="C444" s="107">
        <v>504.35</v>
      </c>
      <c r="D444" s="107">
        <v>482.05</v>
      </c>
      <c r="E444" s="107">
        <v>505.9</v>
      </c>
      <c r="F444" s="107">
        <v>504.35</v>
      </c>
      <c r="G444">
        <v>15179</v>
      </c>
      <c r="H444" s="107"/>
      <c r="I444" s="107"/>
      <c r="L444" s="148">
        <v>43993</v>
      </c>
      <c r="M444" s="107">
        <v>506.6</v>
      </c>
      <c r="N444" s="107">
        <v>517.95000000000005</v>
      </c>
      <c r="O444" s="107">
        <v>488.55</v>
      </c>
      <c r="P444" s="107">
        <v>514</v>
      </c>
      <c r="Q444" s="107">
        <v>506.6</v>
      </c>
      <c r="R444">
        <v>92026</v>
      </c>
    </row>
    <row r="445" spans="1:18" x14ac:dyDescent="0.25">
      <c r="A445" s="148">
        <v>43994</v>
      </c>
      <c r="B445" s="107">
        <v>524</v>
      </c>
      <c r="C445" s="107">
        <v>521.29999999999995</v>
      </c>
      <c r="D445" s="107">
        <v>479.2</v>
      </c>
      <c r="E445" s="107">
        <v>504.35</v>
      </c>
      <c r="F445" s="107">
        <v>521.29999999999995</v>
      </c>
      <c r="G445">
        <v>9809</v>
      </c>
      <c r="H445" s="107"/>
      <c r="I445" s="107"/>
      <c r="L445" s="148">
        <v>43994</v>
      </c>
      <c r="M445" s="107">
        <v>521.20000000000005</v>
      </c>
      <c r="N445" s="107">
        <v>525</v>
      </c>
      <c r="O445" s="107">
        <v>481.3</v>
      </c>
      <c r="P445" s="107">
        <v>481.3</v>
      </c>
      <c r="Q445" s="107">
        <v>521.20000000000005</v>
      </c>
      <c r="R445">
        <v>104910</v>
      </c>
    </row>
    <row r="446" spans="1:18" x14ac:dyDescent="0.25">
      <c r="A446" s="148">
        <v>43997</v>
      </c>
      <c r="B446" s="107">
        <v>540.65</v>
      </c>
      <c r="C446" s="107">
        <v>506.75</v>
      </c>
      <c r="D446" s="107">
        <v>501</v>
      </c>
      <c r="E446" s="107">
        <v>522.5</v>
      </c>
      <c r="F446" s="107">
        <v>506.75</v>
      </c>
      <c r="G446">
        <v>2536</v>
      </c>
      <c r="H446" s="107"/>
      <c r="I446" s="107"/>
      <c r="L446" s="148">
        <v>43997</v>
      </c>
      <c r="M446" s="107">
        <v>506.25</v>
      </c>
      <c r="N446" s="107">
        <v>535</v>
      </c>
      <c r="O446" s="107">
        <v>503.35</v>
      </c>
      <c r="P446" s="107">
        <v>535</v>
      </c>
      <c r="Q446" s="107">
        <v>506.25</v>
      </c>
      <c r="R446">
        <v>126253</v>
      </c>
    </row>
    <row r="447" spans="1:18" x14ac:dyDescent="0.25">
      <c r="A447" s="148">
        <v>43998</v>
      </c>
      <c r="B447" s="107">
        <v>519.54999999999995</v>
      </c>
      <c r="C447" s="107">
        <v>497.15</v>
      </c>
      <c r="D447" s="107">
        <v>485</v>
      </c>
      <c r="E447" s="107">
        <v>509</v>
      </c>
      <c r="F447" s="107">
        <v>497.15</v>
      </c>
      <c r="G447">
        <v>11338</v>
      </c>
      <c r="H447" s="107"/>
      <c r="I447" s="107"/>
      <c r="L447" s="148">
        <v>43998</v>
      </c>
      <c r="M447" s="107">
        <v>497</v>
      </c>
      <c r="N447" s="107">
        <v>520</v>
      </c>
      <c r="O447" s="107">
        <v>480.95</v>
      </c>
      <c r="P447" s="107">
        <v>520</v>
      </c>
      <c r="Q447" s="107">
        <v>497</v>
      </c>
      <c r="R447">
        <v>284957</v>
      </c>
    </row>
    <row r="448" spans="1:18" x14ac:dyDescent="0.25">
      <c r="A448" s="148">
        <v>43999</v>
      </c>
      <c r="B448" s="107">
        <v>508</v>
      </c>
      <c r="C448" s="107">
        <v>502.45</v>
      </c>
      <c r="D448" s="107">
        <v>480</v>
      </c>
      <c r="E448" s="107">
        <v>507.9</v>
      </c>
      <c r="F448" s="107">
        <v>502.45</v>
      </c>
      <c r="G448">
        <v>3356</v>
      </c>
      <c r="H448" s="107"/>
      <c r="I448" s="107"/>
      <c r="L448" s="148">
        <v>43999</v>
      </c>
      <c r="M448" s="107">
        <v>502.75</v>
      </c>
      <c r="N448" s="107">
        <v>508</v>
      </c>
      <c r="O448" s="107">
        <v>489.95</v>
      </c>
      <c r="P448" s="107">
        <v>505</v>
      </c>
      <c r="Q448" s="107">
        <v>502.75</v>
      </c>
      <c r="R448">
        <v>46674</v>
      </c>
    </row>
    <row r="449" spans="1:18" x14ac:dyDescent="0.25">
      <c r="A449" s="148">
        <v>44000</v>
      </c>
      <c r="B449" s="107">
        <v>519.54999999999995</v>
      </c>
      <c r="C449" s="107">
        <v>502.4</v>
      </c>
      <c r="D449" s="107">
        <v>496.15</v>
      </c>
      <c r="E449" s="107">
        <v>519.54999999999995</v>
      </c>
      <c r="F449" s="107">
        <v>502.4</v>
      </c>
      <c r="G449">
        <v>926</v>
      </c>
      <c r="H449" s="107"/>
      <c r="I449" s="107"/>
      <c r="L449" s="148">
        <v>44000</v>
      </c>
      <c r="M449" s="107">
        <v>503.3</v>
      </c>
      <c r="N449" s="107">
        <v>512</v>
      </c>
      <c r="O449" s="107">
        <v>477.7</v>
      </c>
      <c r="P449" s="107">
        <v>512</v>
      </c>
      <c r="Q449" s="107">
        <v>503.3</v>
      </c>
      <c r="R449">
        <v>44784</v>
      </c>
    </row>
    <row r="450" spans="1:18" x14ac:dyDescent="0.25">
      <c r="A450" s="148">
        <v>44001</v>
      </c>
      <c r="B450" s="107">
        <v>527.5</v>
      </c>
      <c r="C450" s="107">
        <v>527.5</v>
      </c>
      <c r="D450" s="107">
        <v>504.6</v>
      </c>
      <c r="E450" s="107">
        <v>511</v>
      </c>
      <c r="F450" s="107">
        <v>527.5</v>
      </c>
      <c r="G450">
        <v>9983</v>
      </c>
      <c r="H450" s="107"/>
      <c r="I450" s="107"/>
      <c r="L450" s="148">
        <v>44001</v>
      </c>
      <c r="M450" s="107">
        <v>528.45000000000005</v>
      </c>
      <c r="N450" s="107">
        <v>528.45000000000005</v>
      </c>
      <c r="O450" s="107">
        <v>505</v>
      </c>
      <c r="P450" s="107">
        <v>510.95</v>
      </c>
      <c r="Q450" s="107">
        <v>528.45000000000005</v>
      </c>
      <c r="R450">
        <v>245484</v>
      </c>
    </row>
    <row r="451" spans="1:18" x14ac:dyDescent="0.25">
      <c r="A451" s="148">
        <v>44004</v>
      </c>
      <c r="B451" s="107">
        <v>553.85</v>
      </c>
      <c r="C451" s="107">
        <v>553.85</v>
      </c>
      <c r="D451" s="107">
        <v>531.25</v>
      </c>
      <c r="E451" s="107">
        <v>549.45000000000005</v>
      </c>
      <c r="F451" s="107">
        <v>553.85</v>
      </c>
      <c r="G451">
        <v>4030</v>
      </c>
      <c r="H451" s="107"/>
      <c r="I451" s="107"/>
      <c r="L451" s="148">
        <v>44004</v>
      </c>
      <c r="M451" s="107">
        <v>554.85</v>
      </c>
      <c r="N451" s="107">
        <v>554.85</v>
      </c>
      <c r="O451" s="107">
        <v>530</v>
      </c>
      <c r="P451" s="107">
        <v>537.95000000000005</v>
      </c>
      <c r="Q451" s="107">
        <v>554.85</v>
      </c>
      <c r="R451">
        <v>59888</v>
      </c>
    </row>
    <row r="452" spans="1:18" x14ac:dyDescent="0.25">
      <c r="A452" s="148">
        <v>44005</v>
      </c>
      <c r="B452" s="107">
        <v>581.5</v>
      </c>
      <c r="C452" s="107">
        <v>559.9</v>
      </c>
      <c r="D452" s="107">
        <v>535</v>
      </c>
      <c r="E452" s="107">
        <v>581.5</v>
      </c>
      <c r="F452" s="107">
        <v>559.9</v>
      </c>
      <c r="G452">
        <v>11824</v>
      </c>
      <c r="H452" s="107"/>
      <c r="I452" s="107"/>
      <c r="L452" s="148">
        <v>44005</v>
      </c>
      <c r="M452" s="107">
        <v>559.6</v>
      </c>
      <c r="N452" s="107">
        <v>582.54999999999995</v>
      </c>
      <c r="O452" s="107">
        <v>530.25</v>
      </c>
      <c r="P452" s="107">
        <v>578.79999999999995</v>
      </c>
      <c r="Q452" s="107">
        <v>559.6</v>
      </c>
      <c r="R452">
        <v>354328</v>
      </c>
    </row>
    <row r="453" spans="1:18" x14ac:dyDescent="0.25">
      <c r="A453" s="148">
        <v>44006</v>
      </c>
      <c r="B453" s="107">
        <v>574.35</v>
      </c>
      <c r="C453" s="107">
        <v>535.9</v>
      </c>
      <c r="D453" s="107">
        <v>532</v>
      </c>
      <c r="E453" s="107">
        <v>570.54999999999995</v>
      </c>
      <c r="F453" s="107">
        <v>535.9</v>
      </c>
      <c r="G453">
        <v>105816</v>
      </c>
      <c r="H453" s="107"/>
      <c r="I453" s="107"/>
      <c r="L453" s="148">
        <v>44006</v>
      </c>
      <c r="M453" s="107">
        <v>535.9</v>
      </c>
      <c r="N453" s="107">
        <v>574</v>
      </c>
      <c r="O453" s="107">
        <v>532.25</v>
      </c>
      <c r="P453" s="107">
        <v>570.9</v>
      </c>
      <c r="Q453" s="107">
        <v>535.9</v>
      </c>
      <c r="R453">
        <v>72371</v>
      </c>
    </row>
    <row r="454" spans="1:18" x14ac:dyDescent="0.25">
      <c r="A454" s="148">
        <v>44007</v>
      </c>
      <c r="B454" s="107">
        <v>540</v>
      </c>
      <c r="C454" s="107">
        <v>530.79999999999995</v>
      </c>
      <c r="D454" s="107">
        <v>509.15</v>
      </c>
      <c r="E454" s="107">
        <v>515.5</v>
      </c>
      <c r="F454" s="107">
        <v>530.79999999999995</v>
      </c>
      <c r="G454">
        <v>7746</v>
      </c>
      <c r="H454" s="107"/>
      <c r="I454" s="107"/>
      <c r="L454" s="148">
        <v>44007</v>
      </c>
      <c r="M454" s="107">
        <v>530.95000000000005</v>
      </c>
      <c r="N454" s="107">
        <v>540</v>
      </c>
      <c r="O454" s="107">
        <v>511.9</v>
      </c>
      <c r="P454" s="107">
        <v>520</v>
      </c>
      <c r="Q454" s="107">
        <v>530.95000000000005</v>
      </c>
      <c r="R454">
        <v>76380</v>
      </c>
    </row>
    <row r="455" spans="1:18" x14ac:dyDescent="0.25">
      <c r="A455" s="148">
        <v>44008</v>
      </c>
      <c r="B455" s="107">
        <v>545</v>
      </c>
      <c r="C455" s="107">
        <v>518.6</v>
      </c>
      <c r="D455" s="107">
        <v>515</v>
      </c>
      <c r="E455" s="107">
        <v>545</v>
      </c>
      <c r="F455" s="107">
        <v>518.6</v>
      </c>
      <c r="G455">
        <v>3805</v>
      </c>
      <c r="H455" s="107"/>
      <c r="I455" s="107"/>
      <c r="L455" s="148">
        <v>44008</v>
      </c>
      <c r="M455" s="107">
        <v>517.70000000000005</v>
      </c>
      <c r="N455" s="107">
        <v>546.79999999999995</v>
      </c>
      <c r="O455" s="107">
        <v>513.20000000000005</v>
      </c>
      <c r="P455" s="107">
        <v>535</v>
      </c>
      <c r="Q455" s="107">
        <v>517.70000000000005</v>
      </c>
      <c r="R455">
        <v>268705</v>
      </c>
    </row>
    <row r="456" spans="1:18" x14ac:dyDescent="0.25">
      <c r="A456" s="148">
        <v>44011</v>
      </c>
      <c r="B456" s="107">
        <v>530</v>
      </c>
      <c r="C456" s="107">
        <v>519.1</v>
      </c>
      <c r="D456" s="107">
        <v>494</v>
      </c>
      <c r="E456" s="107">
        <v>515</v>
      </c>
      <c r="F456" s="107">
        <v>519.1</v>
      </c>
      <c r="G456">
        <v>4723</v>
      </c>
      <c r="H456" s="107"/>
      <c r="I456" s="107"/>
      <c r="L456" s="148">
        <v>44011</v>
      </c>
      <c r="M456" s="107">
        <v>517.5</v>
      </c>
      <c r="N456" s="107">
        <v>528</v>
      </c>
      <c r="O456" s="107">
        <v>503.75</v>
      </c>
      <c r="P456" s="107">
        <v>510</v>
      </c>
      <c r="Q456" s="107">
        <v>517.5</v>
      </c>
      <c r="R456">
        <v>128285</v>
      </c>
    </row>
    <row r="457" spans="1:18" x14ac:dyDescent="0.25">
      <c r="A457" s="148">
        <v>44012</v>
      </c>
      <c r="B457" s="107">
        <v>537</v>
      </c>
      <c r="C457" s="107">
        <v>520.9</v>
      </c>
      <c r="D457" s="107">
        <v>505</v>
      </c>
      <c r="E457" s="107">
        <v>537</v>
      </c>
      <c r="F457" s="107">
        <v>520.9</v>
      </c>
      <c r="G457">
        <v>4656</v>
      </c>
      <c r="H457" s="107"/>
      <c r="I457" s="107"/>
      <c r="L457" s="148">
        <v>44012</v>
      </c>
      <c r="M457" s="107">
        <v>522.25</v>
      </c>
      <c r="N457" s="107">
        <v>535</v>
      </c>
      <c r="O457" s="107">
        <v>505</v>
      </c>
      <c r="P457" s="107">
        <v>522</v>
      </c>
      <c r="Q457" s="107">
        <v>522.25</v>
      </c>
      <c r="R457">
        <v>287112</v>
      </c>
    </row>
    <row r="458" spans="1:18" x14ac:dyDescent="0.25">
      <c r="A458" s="148">
        <v>44013</v>
      </c>
      <c r="B458" s="107">
        <v>530</v>
      </c>
      <c r="C458" s="107">
        <v>523.79999999999995</v>
      </c>
      <c r="D458" s="107">
        <v>519.04999999999995</v>
      </c>
      <c r="E458" s="107">
        <v>524</v>
      </c>
      <c r="F458" s="107">
        <v>523.79999999999995</v>
      </c>
      <c r="G458">
        <v>915</v>
      </c>
      <c r="H458" s="107"/>
      <c r="I458" s="107"/>
      <c r="L458" s="148">
        <v>44013</v>
      </c>
      <c r="M458" s="107">
        <v>526.79999999999995</v>
      </c>
      <c r="N458" s="107">
        <v>532</v>
      </c>
      <c r="O458" s="107">
        <v>520</v>
      </c>
      <c r="P458" s="107">
        <v>529.5</v>
      </c>
      <c r="Q458" s="107">
        <v>526.79999999999995</v>
      </c>
      <c r="R458">
        <v>32062</v>
      </c>
    </row>
    <row r="459" spans="1:18" x14ac:dyDescent="0.25">
      <c r="A459" s="148">
        <v>44014</v>
      </c>
      <c r="B459" s="107">
        <v>532.65</v>
      </c>
      <c r="C459" s="107">
        <v>528.54999999999995</v>
      </c>
      <c r="D459" s="107">
        <v>524</v>
      </c>
      <c r="E459" s="107">
        <v>528</v>
      </c>
      <c r="F459" s="107">
        <v>528.54999999999995</v>
      </c>
      <c r="G459">
        <v>1179</v>
      </c>
      <c r="H459" s="107"/>
      <c r="I459" s="107"/>
      <c r="L459" s="148">
        <v>44014</v>
      </c>
      <c r="M459" s="107">
        <v>529.5</v>
      </c>
      <c r="N459" s="107">
        <v>533.85</v>
      </c>
      <c r="O459" s="107">
        <v>524</v>
      </c>
      <c r="P459" s="107">
        <v>533.79999999999995</v>
      </c>
      <c r="Q459" s="107">
        <v>529.5</v>
      </c>
      <c r="R459">
        <v>42255</v>
      </c>
    </row>
    <row r="460" spans="1:18" x14ac:dyDescent="0.25">
      <c r="A460" s="148">
        <v>44015</v>
      </c>
      <c r="B460" s="107">
        <v>543.9</v>
      </c>
      <c r="C460" s="107">
        <v>535</v>
      </c>
      <c r="D460" s="107">
        <v>526.15</v>
      </c>
      <c r="E460" s="107">
        <v>535</v>
      </c>
      <c r="F460" s="107">
        <v>535</v>
      </c>
      <c r="G460">
        <v>1844</v>
      </c>
      <c r="H460" s="107"/>
      <c r="I460" s="107"/>
      <c r="L460" s="148">
        <v>44015</v>
      </c>
      <c r="M460" s="107">
        <v>535.04999999999995</v>
      </c>
      <c r="N460" s="107">
        <v>537</v>
      </c>
      <c r="O460" s="107">
        <v>529.5</v>
      </c>
      <c r="P460" s="107">
        <v>534</v>
      </c>
      <c r="Q460" s="107">
        <v>535.04999999999995</v>
      </c>
      <c r="R460">
        <v>36642</v>
      </c>
    </row>
    <row r="461" spans="1:18" x14ac:dyDescent="0.25">
      <c r="A461" s="148">
        <v>44018</v>
      </c>
      <c r="B461" s="107">
        <v>561.75</v>
      </c>
      <c r="C461" s="107">
        <v>561.75</v>
      </c>
      <c r="D461" s="107">
        <v>538.04999999999995</v>
      </c>
      <c r="E461" s="107">
        <v>540</v>
      </c>
      <c r="F461" s="107">
        <v>561.75</v>
      </c>
      <c r="G461">
        <v>2898</v>
      </c>
      <c r="H461" s="107"/>
      <c r="I461" s="107"/>
      <c r="L461" s="148">
        <v>44018</v>
      </c>
      <c r="M461" s="107">
        <v>561.79999999999995</v>
      </c>
      <c r="N461" s="107">
        <v>561.79999999999995</v>
      </c>
      <c r="O461" s="107">
        <v>538.45000000000005</v>
      </c>
      <c r="P461" s="107">
        <v>540</v>
      </c>
      <c r="Q461" s="107">
        <v>561.79999999999995</v>
      </c>
      <c r="R461">
        <v>57534</v>
      </c>
    </row>
    <row r="462" spans="1:18" x14ac:dyDescent="0.25">
      <c r="A462" s="148">
        <v>44019</v>
      </c>
      <c r="B462" s="107">
        <v>589.79999999999995</v>
      </c>
      <c r="C462" s="107">
        <v>589.79999999999995</v>
      </c>
      <c r="D462" s="107">
        <v>589.79999999999995</v>
      </c>
      <c r="E462" s="107">
        <v>589.79999999999995</v>
      </c>
      <c r="F462" s="107">
        <v>589.79999999999995</v>
      </c>
      <c r="G462">
        <v>846</v>
      </c>
      <c r="H462" s="107"/>
      <c r="I462" s="107"/>
      <c r="L462" s="148">
        <v>44019</v>
      </c>
      <c r="M462" s="107">
        <v>589.85</v>
      </c>
      <c r="N462" s="107">
        <v>589.85</v>
      </c>
      <c r="O462" s="107">
        <v>589.85</v>
      </c>
      <c r="P462" s="107">
        <v>589.85</v>
      </c>
      <c r="Q462" s="107">
        <v>589.85</v>
      </c>
      <c r="R462">
        <v>21896</v>
      </c>
    </row>
    <row r="463" spans="1:18" x14ac:dyDescent="0.25">
      <c r="A463" s="148">
        <v>44020</v>
      </c>
      <c r="B463" s="107">
        <v>619.25</v>
      </c>
      <c r="C463" s="107">
        <v>619.25</v>
      </c>
      <c r="D463" s="107">
        <v>619.25</v>
      </c>
      <c r="E463" s="107">
        <v>619.25</v>
      </c>
      <c r="F463" s="107">
        <v>619.25</v>
      </c>
      <c r="G463">
        <v>736</v>
      </c>
      <c r="H463" s="107"/>
      <c r="I463" s="107"/>
      <c r="L463" s="148">
        <v>44020</v>
      </c>
      <c r="M463" s="107">
        <v>619.29999999999995</v>
      </c>
      <c r="N463" s="107">
        <v>619.29999999999995</v>
      </c>
      <c r="O463" s="107">
        <v>619.29999999999995</v>
      </c>
      <c r="P463" s="107">
        <v>619.29999999999995</v>
      </c>
      <c r="Q463" s="107">
        <v>619.29999999999995</v>
      </c>
      <c r="R463">
        <v>77139</v>
      </c>
    </row>
    <row r="464" spans="1:18" x14ac:dyDescent="0.25">
      <c r="A464" s="148">
        <v>44021</v>
      </c>
      <c r="B464" s="107">
        <v>650.20000000000005</v>
      </c>
      <c r="C464" s="107">
        <v>603.65</v>
      </c>
      <c r="D464" s="107">
        <v>599.1</v>
      </c>
      <c r="E464" s="107">
        <v>639.9</v>
      </c>
      <c r="F464" s="107">
        <v>603.65</v>
      </c>
      <c r="G464">
        <v>27228</v>
      </c>
      <c r="H464" s="107"/>
      <c r="I464" s="107"/>
      <c r="L464" s="148">
        <v>44021</v>
      </c>
      <c r="M464" s="107">
        <v>604.15</v>
      </c>
      <c r="N464" s="107">
        <v>650.25</v>
      </c>
      <c r="O464" s="107">
        <v>598</v>
      </c>
      <c r="P464" s="107">
        <v>650.25</v>
      </c>
      <c r="Q464" s="107">
        <v>604.15</v>
      </c>
      <c r="R464">
        <v>460878</v>
      </c>
    </row>
    <row r="465" spans="1:18" x14ac:dyDescent="0.25">
      <c r="A465" s="148">
        <v>44022</v>
      </c>
      <c r="B465" s="107">
        <v>605.70000000000005</v>
      </c>
      <c r="C465" s="107">
        <v>597.25</v>
      </c>
      <c r="D465" s="107">
        <v>586.85</v>
      </c>
      <c r="E465" s="107">
        <v>597</v>
      </c>
      <c r="F465" s="107">
        <v>597.25</v>
      </c>
      <c r="G465">
        <v>1638</v>
      </c>
      <c r="H465" s="107"/>
      <c r="I465" s="107"/>
      <c r="L465" s="148">
        <v>44022</v>
      </c>
      <c r="M465" s="107">
        <v>596.70000000000005</v>
      </c>
      <c r="N465" s="107">
        <v>605.1</v>
      </c>
      <c r="O465" s="107">
        <v>587.95000000000005</v>
      </c>
      <c r="P465" s="107">
        <v>595</v>
      </c>
      <c r="Q465" s="107">
        <v>596.70000000000005</v>
      </c>
      <c r="R465">
        <v>322786</v>
      </c>
    </row>
    <row r="466" spans="1:18" x14ac:dyDescent="0.25">
      <c r="A466" s="148">
        <v>44025</v>
      </c>
      <c r="B466" s="107">
        <v>607.35</v>
      </c>
      <c r="C466" s="107">
        <v>568.65</v>
      </c>
      <c r="D466" s="107">
        <v>567.5</v>
      </c>
      <c r="E466" s="107">
        <v>601.25</v>
      </c>
      <c r="F466" s="107">
        <v>568.65</v>
      </c>
      <c r="G466">
        <v>6706</v>
      </c>
      <c r="H466" s="107"/>
      <c r="I466" s="107"/>
      <c r="L466" s="148">
        <v>44025</v>
      </c>
      <c r="M466" s="107">
        <v>569.35</v>
      </c>
      <c r="N466" s="107">
        <v>605</v>
      </c>
      <c r="O466" s="107">
        <v>567.4</v>
      </c>
      <c r="P466" s="107">
        <v>605</v>
      </c>
      <c r="Q466" s="107">
        <v>569.35</v>
      </c>
      <c r="R466">
        <v>60078</v>
      </c>
    </row>
    <row r="467" spans="1:18" x14ac:dyDescent="0.25">
      <c r="A467" s="148">
        <v>44026</v>
      </c>
      <c r="B467" s="107">
        <v>563.54999999999995</v>
      </c>
      <c r="C467" s="107">
        <v>549.1</v>
      </c>
      <c r="D467" s="107">
        <v>541.9</v>
      </c>
      <c r="E467" s="107">
        <v>563.54999999999995</v>
      </c>
      <c r="F467" s="107">
        <v>549.1</v>
      </c>
      <c r="G467">
        <v>6417</v>
      </c>
      <c r="H467" s="107"/>
      <c r="I467" s="107"/>
      <c r="L467" s="148">
        <v>44026</v>
      </c>
      <c r="M467" s="107">
        <v>548.79999999999995</v>
      </c>
      <c r="N467" s="107">
        <v>573</v>
      </c>
      <c r="O467" s="107">
        <v>540.9</v>
      </c>
      <c r="P467" s="107">
        <v>573</v>
      </c>
      <c r="Q467" s="107">
        <v>548.79999999999995</v>
      </c>
      <c r="R467">
        <v>61701</v>
      </c>
    </row>
    <row r="468" spans="1:18" x14ac:dyDescent="0.25">
      <c r="A468" s="148">
        <v>44027</v>
      </c>
      <c r="B468" s="107">
        <v>565.4</v>
      </c>
      <c r="C468" s="107">
        <v>545.29999999999995</v>
      </c>
      <c r="D468" s="107">
        <v>536.70000000000005</v>
      </c>
      <c r="E468" s="107">
        <v>555.54999999999995</v>
      </c>
      <c r="F468" s="107">
        <v>545.29999999999995</v>
      </c>
      <c r="G468">
        <v>4953</v>
      </c>
      <c r="H468" s="107"/>
      <c r="I468" s="107"/>
      <c r="L468" s="148">
        <v>44027</v>
      </c>
      <c r="M468" s="107">
        <v>550.04999999999995</v>
      </c>
      <c r="N468" s="107">
        <v>565</v>
      </c>
      <c r="O468" s="107">
        <v>540.25</v>
      </c>
      <c r="P468" s="107">
        <v>549</v>
      </c>
      <c r="Q468" s="107">
        <v>550.04999999999995</v>
      </c>
      <c r="R468">
        <v>84227</v>
      </c>
    </row>
    <row r="469" spans="1:18" x14ac:dyDescent="0.25">
      <c r="A469" s="148">
        <v>44028</v>
      </c>
      <c r="B469" s="107">
        <v>550</v>
      </c>
      <c r="C469" s="107">
        <v>532.04999999999995</v>
      </c>
      <c r="D469" s="107">
        <v>518.04999999999995</v>
      </c>
      <c r="E469" s="107">
        <v>550</v>
      </c>
      <c r="F469" s="107">
        <v>532.04999999999995</v>
      </c>
      <c r="G469">
        <v>3762</v>
      </c>
      <c r="H469" s="107"/>
      <c r="I469" s="107"/>
      <c r="L469" s="148">
        <v>44028</v>
      </c>
      <c r="M469" s="107">
        <v>524.9</v>
      </c>
      <c r="N469" s="107">
        <v>558.54999999999995</v>
      </c>
      <c r="O469" s="107">
        <v>522.54999999999995</v>
      </c>
      <c r="P469" s="107">
        <v>558.5</v>
      </c>
      <c r="Q469" s="107">
        <v>524.9</v>
      </c>
      <c r="R469">
        <v>62791</v>
      </c>
    </row>
    <row r="470" spans="1:18" x14ac:dyDescent="0.25">
      <c r="A470" s="148">
        <v>44029</v>
      </c>
      <c r="B470" s="107">
        <v>558.65</v>
      </c>
      <c r="C470" s="107">
        <v>553.6</v>
      </c>
      <c r="D470" s="107">
        <v>521</v>
      </c>
      <c r="E470" s="107">
        <v>540</v>
      </c>
      <c r="F470" s="107">
        <v>553.6</v>
      </c>
      <c r="G470">
        <v>13568</v>
      </c>
      <c r="H470" s="107"/>
      <c r="I470" s="107"/>
      <c r="L470" s="148">
        <v>44029</v>
      </c>
      <c r="M470" s="107">
        <v>550.25</v>
      </c>
      <c r="N470" s="107">
        <v>551.1</v>
      </c>
      <c r="O470" s="107">
        <v>531.35</v>
      </c>
      <c r="P470" s="107">
        <v>544.95000000000005</v>
      </c>
      <c r="Q470" s="107">
        <v>550.25</v>
      </c>
      <c r="R470">
        <v>70609</v>
      </c>
    </row>
    <row r="471" spans="1:18" x14ac:dyDescent="0.25">
      <c r="A471" s="148">
        <v>44032</v>
      </c>
      <c r="B471" s="107">
        <v>575.6</v>
      </c>
      <c r="C471" s="107">
        <v>564.54999999999995</v>
      </c>
      <c r="D471" s="107">
        <v>540</v>
      </c>
      <c r="E471" s="107">
        <v>556.9</v>
      </c>
      <c r="F471" s="107">
        <v>564.54999999999995</v>
      </c>
      <c r="G471">
        <v>15750</v>
      </c>
      <c r="H471" s="107"/>
      <c r="I471" s="107"/>
      <c r="L471" s="148">
        <v>44032</v>
      </c>
      <c r="M471" s="107">
        <v>560.35</v>
      </c>
      <c r="N471" s="107">
        <v>568</v>
      </c>
      <c r="O471" s="107">
        <v>552</v>
      </c>
      <c r="P471" s="107">
        <v>552</v>
      </c>
      <c r="Q471" s="107">
        <v>560.35</v>
      </c>
      <c r="R471">
        <v>123456</v>
      </c>
    </row>
    <row r="472" spans="1:18" x14ac:dyDescent="0.25">
      <c r="A472" s="148">
        <v>44033</v>
      </c>
      <c r="B472" s="107">
        <v>592.75</v>
      </c>
      <c r="C472" s="107">
        <v>590.04999999999995</v>
      </c>
      <c r="D472" s="107">
        <v>555.04999999999995</v>
      </c>
      <c r="E472" s="107">
        <v>561.79999999999995</v>
      </c>
      <c r="F472" s="107">
        <v>590.04999999999995</v>
      </c>
      <c r="G472">
        <v>27357</v>
      </c>
      <c r="H472" s="107"/>
      <c r="I472" s="107"/>
      <c r="L472" s="148">
        <v>44033</v>
      </c>
      <c r="M472" s="107">
        <v>588.35</v>
      </c>
      <c r="N472" s="107">
        <v>588.35</v>
      </c>
      <c r="O472" s="107">
        <v>561.4</v>
      </c>
      <c r="P472" s="107">
        <v>561.4</v>
      </c>
      <c r="Q472" s="107">
        <v>588.35</v>
      </c>
      <c r="R472">
        <v>90440</v>
      </c>
    </row>
    <row r="473" spans="1:18" x14ac:dyDescent="0.25">
      <c r="A473" s="148">
        <v>44034</v>
      </c>
      <c r="B473" s="107">
        <v>596.65</v>
      </c>
      <c r="C473" s="107">
        <v>568.75</v>
      </c>
      <c r="D473" s="107">
        <v>562</v>
      </c>
      <c r="E473" s="107">
        <v>591</v>
      </c>
      <c r="F473" s="107">
        <v>568.75</v>
      </c>
      <c r="G473">
        <v>13332</v>
      </c>
      <c r="H473" s="107"/>
      <c r="I473" s="107"/>
      <c r="L473" s="148">
        <v>44034</v>
      </c>
      <c r="M473" s="107">
        <v>568.29999999999995</v>
      </c>
      <c r="N473" s="107">
        <v>596.70000000000005</v>
      </c>
      <c r="O473" s="107">
        <v>560.04999999999995</v>
      </c>
      <c r="P473" s="107">
        <v>590</v>
      </c>
      <c r="Q473" s="107">
        <v>568.29999999999995</v>
      </c>
      <c r="R473">
        <v>146540</v>
      </c>
    </row>
    <row r="474" spans="1:18" x14ac:dyDescent="0.25">
      <c r="A474" s="148">
        <v>44035</v>
      </c>
      <c r="B474" s="107">
        <v>581.70000000000005</v>
      </c>
      <c r="C474" s="107">
        <v>575</v>
      </c>
      <c r="D474" s="107">
        <v>541.54999999999995</v>
      </c>
      <c r="E474" s="107">
        <v>569.29999999999995</v>
      </c>
      <c r="F474" s="107">
        <v>575</v>
      </c>
      <c r="G474">
        <v>4777</v>
      </c>
      <c r="H474" s="107"/>
      <c r="I474" s="107"/>
      <c r="L474" s="148">
        <v>44035</v>
      </c>
      <c r="M474" s="107">
        <v>574.15</v>
      </c>
      <c r="N474" s="107">
        <v>581</v>
      </c>
      <c r="O474" s="107">
        <v>560</v>
      </c>
      <c r="P474" s="107">
        <v>568.75</v>
      </c>
      <c r="Q474" s="107">
        <v>574.15</v>
      </c>
      <c r="R474">
        <v>54169</v>
      </c>
    </row>
    <row r="475" spans="1:18" x14ac:dyDescent="0.25">
      <c r="A475" s="148">
        <v>44036</v>
      </c>
      <c r="B475" s="107">
        <v>590</v>
      </c>
      <c r="C475" s="107">
        <v>580.75</v>
      </c>
      <c r="D475" s="107">
        <v>564.5</v>
      </c>
      <c r="E475" s="107">
        <v>568.35</v>
      </c>
      <c r="F475" s="107">
        <v>580.75</v>
      </c>
      <c r="G475">
        <v>4850</v>
      </c>
      <c r="H475" s="107"/>
      <c r="I475" s="107"/>
      <c r="L475" s="148">
        <v>44036</v>
      </c>
      <c r="M475" s="107">
        <v>580.65</v>
      </c>
      <c r="N475" s="107">
        <v>590</v>
      </c>
      <c r="O475" s="107">
        <v>565</v>
      </c>
      <c r="P475" s="107">
        <v>565</v>
      </c>
      <c r="Q475" s="107">
        <v>580.65</v>
      </c>
      <c r="R475">
        <v>28855</v>
      </c>
    </row>
    <row r="476" spans="1:18" x14ac:dyDescent="0.25">
      <c r="A476" s="148">
        <v>44039</v>
      </c>
      <c r="B476" s="107">
        <v>585</v>
      </c>
      <c r="C476" s="107">
        <v>558.20000000000005</v>
      </c>
      <c r="D476" s="107">
        <v>555.1</v>
      </c>
      <c r="E476" s="107">
        <v>570.25</v>
      </c>
      <c r="F476" s="107">
        <v>558.20000000000005</v>
      </c>
      <c r="G476">
        <v>3620</v>
      </c>
      <c r="H476" s="107"/>
      <c r="I476" s="107"/>
      <c r="L476" s="148">
        <v>44039</v>
      </c>
      <c r="M476" s="107">
        <v>558.20000000000005</v>
      </c>
      <c r="N476" s="107">
        <v>588.95000000000005</v>
      </c>
      <c r="O476" s="107">
        <v>555.35</v>
      </c>
      <c r="P476" s="107">
        <v>588.95000000000005</v>
      </c>
      <c r="Q476" s="107">
        <v>558.20000000000005</v>
      </c>
      <c r="R476">
        <v>37925</v>
      </c>
    </row>
    <row r="477" spans="1:18" x14ac:dyDescent="0.25">
      <c r="A477" s="148">
        <v>44040</v>
      </c>
      <c r="B477" s="107">
        <v>580</v>
      </c>
      <c r="C477" s="107">
        <v>560.85</v>
      </c>
      <c r="D477" s="107">
        <v>560</v>
      </c>
      <c r="E477" s="107">
        <v>567</v>
      </c>
      <c r="F477" s="107">
        <v>560.85</v>
      </c>
      <c r="G477">
        <v>2091</v>
      </c>
      <c r="H477" s="107"/>
      <c r="I477" s="107"/>
      <c r="L477" s="148">
        <v>44040</v>
      </c>
      <c r="M477" s="107">
        <v>561.35</v>
      </c>
      <c r="N477" s="107">
        <v>580</v>
      </c>
      <c r="O477" s="107">
        <v>560.1</v>
      </c>
      <c r="P477" s="107">
        <v>561</v>
      </c>
      <c r="Q477" s="107">
        <v>561.35</v>
      </c>
      <c r="R477">
        <v>31363</v>
      </c>
    </row>
    <row r="478" spans="1:18" x14ac:dyDescent="0.25">
      <c r="A478" s="148">
        <v>44041</v>
      </c>
      <c r="B478" s="107">
        <v>564.9</v>
      </c>
      <c r="C478" s="107">
        <v>543.29999999999995</v>
      </c>
      <c r="D478" s="107">
        <v>540</v>
      </c>
      <c r="E478" s="107">
        <v>560.85</v>
      </c>
      <c r="F478" s="107">
        <v>543.29999999999995</v>
      </c>
      <c r="G478">
        <v>1824</v>
      </c>
      <c r="H478" s="107"/>
      <c r="I478" s="107"/>
      <c r="L478" s="148">
        <v>44041</v>
      </c>
      <c r="M478" s="107">
        <v>543.20000000000005</v>
      </c>
      <c r="N478" s="107">
        <v>569.79999999999995</v>
      </c>
      <c r="O478" s="107">
        <v>539.95000000000005</v>
      </c>
      <c r="P478" s="107">
        <v>551</v>
      </c>
      <c r="Q478" s="107">
        <v>543.20000000000005</v>
      </c>
      <c r="R478">
        <v>64918</v>
      </c>
    </row>
    <row r="479" spans="1:18" x14ac:dyDescent="0.25">
      <c r="A479" s="148">
        <v>44042</v>
      </c>
      <c r="B479" s="107">
        <v>563.4</v>
      </c>
      <c r="C479" s="107">
        <v>523.85</v>
      </c>
      <c r="D479" s="107">
        <v>521.54999999999995</v>
      </c>
      <c r="E479" s="107">
        <v>554.9</v>
      </c>
      <c r="F479" s="107">
        <v>523.85</v>
      </c>
      <c r="G479">
        <v>5044</v>
      </c>
      <c r="H479" s="107"/>
      <c r="I479" s="107"/>
      <c r="L479" s="148">
        <v>44042</v>
      </c>
      <c r="M479" s="107">
        <v>523.79999999999995</v>
      </c>
      <c r="N479" s="107">
        <v>563.9</v>
      </c>
      <c r="O479" s="107">
        <v>520</v>
      </c>
      <c r="P479" s="107">
        <v>563.9</v>
      </c>
      <c r="Q479" s="107">
        <v>523.79999999999995</v>
      </c>
      <c r="R479">
        <v>78132</v>
      </c>
    </row>
    <row r="480" spans="1:18" x14ac:dyDescent="0.25">
      <c r="A480" s="148">
        <v>44043</v>
      </c>
      <c r="B480" s="107">
        <v>525</v>
      </c>
      <c r="C480" s="107">
        <v>515</v>
      </c>
      <c r="D480" s="107">
        <v>500.4</v>
      </c>
      <c r="E480" s="107">
        <v>521.54999999999995</v>
      </c>
      <c r="F480" s="107">
        <v>515</v>
      </c>
      <c r="G480">
        <v>6256</v>
      </c>
      <c r="H480" s="107"/>
      <c r="I480" s="107"/>
      <c r="L480" s="148">
        <v>44043</v>
      </c>
      <c r="M480" s="107">
        <v>514</v>
      </c>
      <c r="N480" s="107">
        <v>525</v>
      </c>
      <c r="O480" s="107">
        <v>500.1</v>
      </c>
      <c r="P480" s="107">
        <v>523</v>
      </c>
      <c r="Q480" s="107">
        <v>514</v>
      </c>
      <c r="R480">
        <v>81483</v>
      </c>
    </row>
    <row r="481" spans="1:18" x14ac:dyDescent="0.25">
      <c r="A481" s="148">
        <v>44046</v>
      </c>
      <c r="B481" s="107">
        <v>540.75</v>
      </c>
      <c r="C481" s="107">
        <v>531.35</v>
      </c>
      <c r="D481" s="107">
        <v>500</v>
      </c>
      <c r="E481" s="107">
        <v>529.79999999999995</v>
      </c>
      <c r="F481" s="107">
        <v>531.35</v>
      </c>
      <c r="G481">
        <v>9931</v>
      </c>
      <c r="H481" s="107"/>
      <c r="I481" s="107"/>
      <c r="L481" s="148">
        <v>44046</v>
      </c>
      <c r="M481" s="107">
        <v>533.4</v>
      </c>
      <c r="N481" s="107">
        <v>539.70000000000005</v>
      </c>
      <c r="O481" s="107">
        <v>498.05</v>
      </c>
      <c r="P481" s="107">
        <v>522</v>
      </c>
      <c r="Q481" s="107">
        <v>533.4</v>
      </c>
      <c r="R481">
        <v>185986</v>
      </c>
    </row>
    <row r="482" spans="1:18" x14ac:dyDescent="0.25">
      <c r="A482" s="148">
        <v>44047</v>
      </c>
      <c r="B482" s="107">
        <v>557.9</v>
      </c>
      <c r="C482" s="107">
        <v>548.4</v>
      </c>
      <c r="D482" s="107">
        <v>536.1</v>
      </c>
      <c r="E482" s="107">
        <v>545</v>
      </c>
      <c r="F482" s="107">
        <v>548.4</v>
      </c>
      <c r="G482">
        <v>13266</v>
      </c>
      <c r="H482" s="107"/>
      <c r="I482" s="107"/>
      <c r="L482" s="148">
        <v>44047</v>
      </c>
      <c r="M482" s="107">
        <v>547.20000000000005</v>
      </c>
      <c r="N482" s="107">
        <v>560.04999999999995</v>
      </c>
      <c r="O482" s="107">
        <v>536</v>
      </c>
      <c r="P482" s="107">
        <v>536</v>
      </c>
      <c r="Q482" s="107">
        <v>547.20000000000005</v>
      </c>
      <c r="R482">
        <v>95308</v>
      </c>
    </row>
    <row r="483" spans="1:18" x14ac:dyDescent="0.25">
      <c r="A483" s="148">
        <v>44048</v>
      </c>
      <c r="B483" s="107">
        <v>575.79999999999995</v>
      </c>
      <c r="C483" s="107">
        <v>570.5</v>
      </c>
      <c r="D483" s="107">
        <v>543.29999999999995</v>
      </c>
      <c r="E483" s="107">
        <v>551.54999999999995</v>
      </c>
      <c r="F483" s="107">
        <v>570.5</v>
      </c>
      <c r="G483">
        <v>21189</v>
      </c>
      <c r="H483" s="107"/>
      <c r="I483" s="107"/>
      <c r="L483" s="148">
        <v>44048</v>
      </c>
      <c r="M483" s="107">
        <v>572.29999999999995</v>
      </c>
      <c r="N483" s="107">
        <v>574.54999999999995</v>
      </c>
      <c r="O483" s="107">
        <v>544.1</v>
      </c>
      <c r="P483" s="107">
        <v>553</v>
      </c>
      <c r="Q483" s="107">
        <v>572.29999999999995</v>
      </c>
      <c r="R483">
        <v>175046</v>
      </c>
    </row>
    <row r="484" spans="1:18" x14ac:dyDescent="0.25">
      <c r="A484" s="148">
        <v>44049</v>
      </c>
      <c r="B484" s="107">
        <v>599</v>
      </c>
      <c r="C484" s="107">
        <v>588.15</v>
      </c>
      <c r="D484" s="107">
        <v>556.04999999999995</v>
      </c>
      <c r="E484" s="107">
        <v>556.04999999999995</v>
      </c>
      <c r="F484" s="107">
        <v>588.15</v>
      </c>
      <c r="G484">
        <v>15175</v>
      </c>
      <c r="H484" s="107"/>
      <c r="I484" s="107"/>
      <c r="L484" s="148">
        <v>44049</v>
      </c>
      <c r="M484" s="107">
        <v>585.65</v>
      </c>
      <c r="N484" s="107">
        <v>600.9</v>
      </c>
      <c r="O484" s="107">
        <v>565</v>
      </c>
      <c r="P484" s="107">
        <v>572</v>
      </c>
      <c r="Q484" s="107">
        <v>585.65</v>
      </c>
      <c r="R484">
        <v>317799</v>
      </c>
    </row>
    <row r="485" spans="1:18" x14ac:dyDescent="0.25">
      <c r="A485" s="148">
        <v>44050</v>
      </c>
      <c r="B485" s="107">
        <v>591.95000000000005</v>
      </c>
      <c r="C485" s="107">
        <v>570.85</v>
      </c>
      <c r="D485" s="107">
        <v>560.79999999999995</v>
      </c>
      <c r="E485" s="107">
        <v>590</v>
      </c>
      <c r="F485" s="107">
        <v>570.85</v>
      </c>
      <c r="G485">
        <v>9546</v>
      </c>
      <c r="H485" s="107"/>
      <c r="I485" s="107"/>
      <c r="L485" s="148">
        <v>44050</v>
      </c>
      <c r="M485" s="107">
        <v>570.29999999999995</v>
      </c>
      <c r="N485" s="107">
        <v>593.79999999999995</v>
      </c>
      <c r="O485" s="107">
        <v>559.04999999999995</v>
      </c>
      <c r="P485" s="107">
        <v>590</v>
      </c>
      <c r="Q485" s="107">
        <v>570.29999999999995</v>
      </c>
      <c r="R485">
        <v>129340</v>
      </c>
    </row>
    <row r="486" spans="1:18" x14ac:dyDescent="0.25">
      <c r="A486" s="148">
        <v>44053</v>
      </c>
      <c r="B486" s="107">
        <v>587</v>
      </c>
      <c r="C486" s="107">
        <v>576</v>
      </c>
      <c r="D486" s="107">
        <v>570</v>
      </c>
      <c r="E486" s="107">
        <v>580</v>
      </c>
      <c r="F486" s="107">
        <v>576</v>
      </c>
      <c r="G486">
        <v>11634</v>
      </c>
      <c r="H486" s="107"/>
      <c r="I486" s="107"/>
      <c r="L486" s="148">
        <v>44053</v>
      </c>
      <c r="M486" s="107">
        <v>575.4</v>
      </c>
      <c r="N486" s="107">
        <v>588.15</v>
      </c>
      <c r="O486" s="107">
        <v>571</v>
      </c>
      <c r="P486" s="107">
        <v>579</v>
      </c>
      <c r="Q486" s="107">
        <v>575.4</v>
      </c>
      <c r="R486">
        <v>71776</v>
      </c>
    </row>
    <row r="487" spans="1:18" x14ac:dyDescent="0.25">
      <c r="A487" s="148">
        <v>44054</v>
      </c>
      <c r="B487" s="107">
        <v>600</v>
      </c>
      <c r="C487" s="107">
        <v>580.35</v>
      </c>
      <c r="D487" s="107">
        <v>575.4</v>
      </c>
      <c r="E487" s="107">
        <v>580</v>
      </c>
      <c r="F487" s="107">
        <v>580.35</v>
      </c>
      <c r="G487">
        <v>7240</v>
      </c>
      <c r="H487" s="107"/>
      <c r="I487" s="107"/>
      <c r="L487" s="148">
        <v>44054</v>
      </c>
      <c r="M487" s="107">
        <v>580.79999999999995</v>
      </c>
      <c r="N487" s="107">
        <v>601.20000000000005</v>
      </c>
      <c r="O487" s="107">
        <v>576</v>
      </c>
      <c r="P487" s="107">
        <v>584</v>
      </c>
      <c r="Q487" s="107">
        <v>580.79999999999995</v>
      </c>
      <c r="R487">
        <v>64567</v>
      </c>
    </row>
    <row r="488" spans="1:18" x14ac:dyDescent="0.25">
      <c r="A488" s="148">
        <v>44055</v>
      </c>
      <c r="B488" s="107">
        <v>590</v>
      </c>
      <c r="C488" s="107">
        <v>588.35</v>
      </c>
      <c r="D488" s="107">
        <v>561.1</v>
      </c>
      <c r="E488" s="107">
        <v>566</v>
      </c>
      <c r="F488" s="107">
        <v>588.35</v>
      </c>
      <c r="G488">
        <v>5406</v>
      </c>
      <c r="H488" s="107"/>
      <c r="I488" s="107"/>
      <c r="L488" s="148">
        <v>44055</v>
      </c>
      <c r="M488" s="107">
        <v>586.25</v>
      </c>
      <c r="N488" s="107">
        <v>590</v>
      </c>
      <c r="O488" s="107">
        <v>572.20000000000005</v>
      </c>
      <c r="P488" s="107">
        <v>583.65</v>
      </c>
      <c r="Q488" s="107">
        <v>586.25</v>
      </c>
      <c r="R488">
        <v>40138</v>
      </c>
    </row>
    <row r="489" spans="1:18" x14ac:dyDescent="0.25">
      <c r="A489" s="148">
        <v>44056</v>
      </c>
      <c r="B489" s="107">
        <v>613.70000000000005</v>
      </c>
      <c r="C489" s="107">
        <v>605.9</v>
      </c>
      <c r="D489" s="107">
        <v>578.75</v>
      </c>
      <c r="E489" s="107">
        <v>591.79999999999995</v>
      </c>
      <c r="F489" s="107">
        <v>605.9</v>
      </c>
      <c r="G489">
        <v>17919</v>
      </c>
      <c r="H489" s="107"/>
      <c r="I489" s="107"/>
      <c r="L489" s="148">
        <v>44056</v>
      </c>
      <c r="M489" s="107">
        <v>605.25</v>
      </c>
      <c r="N489" s="107">
        <v>614.35</v>
      </c>
      <c r="O489" s="107">
        <v>586.35</v>
      </c>
      <c r="P489" s="107">
        <v>586.35</v>
      </c>
      <c r="Q489" s="107">
        <v>605.25</v>
      </c>
      <c r="R489">
        <v>102532</v>
      </c>
    </row>
    <row r="490" spans="1:18" x14ac:dyDescent="0.25">
      <c r="A490" s="148">
        <v>44057</v>
      </c>
      <c r="B490" s="107">
        <v>611.95000000000005</v>
      </c>
      <c r="C490" s="107">
        <v>589.4</v>
      </c>
      <c r="D490" s="107">
        <v>576.29999999999995</v>
      </c>
      <c r="E490" s="107">
        <v>590.04999999999995</v>
      </c>
      <c r="F490" s="107">
        <v>589.4</v>
      </c>
      <c r="G490">
        <v>16852</v>
      </c>
      <c r="H490" s="107"/>
      <c r="I490" s="107"/>
      <c r="L490" s="148">
        <v>44057</v>
      </c>
      <c r="M490" s="107">
        <v>591.6</v>
      </c>
      <c r="N490" s="107">
        <v>612.45000000000005</v>
      </c>
      <c r="O490" s="107">
        <v>575.54999999999995</v>
      </c>
      <c r="P490" s="107">
        <v>605.5</v>
      </c>
      <c r="Q490" s="107">
        <v>591.6</v>
      </c>
      <c r="R490">
        <v>131525</v>
      </c>
    </row>
    <row r="491" spans="1:18" x14ac:dyDescent="0.25">
      <c r="A491" s="148">
        <v>44060</v>
      </c>
      <c r="B491" s="107">
        <v>597.5</v>
      </c>
      <c r="C491" s="107">
        <v>590.5</v>
      </c>
      <c r="D491" s="107">
        <v>577.4</v>
      </c>
      <c r="E491" s="107">
        <v>597.5</v>
      </c>
      <c r="F491" s="107">
        <v>590.5</v>
      </c>
      <c r="G491">
        <v>2782</v>
      </c>
      <c r="H491" s="107"/>
      <c r="I491" s="107"/>
      <c r="L491" s="148">
        <v>44060</v>
      </c>
      <c r="M491" s="107">
        <v>588.29999999999995</v>
      </c>
      <c r="N491" s="107">
        <v>604</v>
      </c>
      <c r="O491" s="107">
        <v>575.5</v>
      </c>
      <c r="P491" s="107">
        <v>604</v>
      </c>
      <c r="Q491" s="107">
        <v>588.29999999999995</v>
      </c>
      <c r="R491">
        <v>64232</v>
      </c>
    </row>
    <row r="492" spans="1:18" x14ac:dyDescent="0.25">
      <c r="A492" s="148">
        <v>44061</v>
      </c>
      <c r="B492" s="107">
        <v>606.9</v>
      </c>
      <c r="C492" s="107">
        <v>605.45000000000005</v>
      </c>
      <c r="D492" s="107">
        <v>575</v>
      </c>
      <c r="E492" s="107">
        <v>575.04999999999995</v>
      </c>
      <c r="F492" s="107">
        <v>605.45000000000005</v>
      </c>
      <c r="G492">
        <v>7663</v>
      </c>
      <c r="H492" s="107"/>
      <c r="I492" s="107"/>
      <c r="L492" s="148">
        <v>44061</v>
      </c>
      <c r="M492" s="107">
        <v>605.70000000000005</v>
      </c>
      <c r="N492" s="107">
        <v>607.25</v>
      </c>
      <c r="O492" s="107">
        <v>583.25</v>
      </c>
      <c r="P492" s="107">
        <v>591.85</v>
      </c>
      <c r="Q492" s="107">
        <v>605.70000000000005</v>
      </c>
      <c r="R492">
        <v>99350</v>
      </c>
    </row>
    <row r="493" spans="1:18" x14ac:dyDescent="0.25">
      <c r="A493" s="148">
        <v>44062</v>
      </c>
      <c r="B493" s="107">
        <v>617.65</v>
      </c>
      <c r="C493" s="107">
        <v>615.54999999999995</v>
      </c>
      <c r="D493" s="107">
        <v>609.45000000000005</v>
      </c>
      <c r="E493" s="107">
        <v>612.35</v>
      </c>
      <c r="F493" s="107">
        <v>615.54999999999995</v>
      </c>
      <c r="G493">
        <v>4999</v>
      </c>
      <c r="H493" s="107"/>
      <c r="I493" s="107"/>
      <c r="L493" s="148">
        <v>44062</v>
      </c>
      <c r="M493" s="107">
        <v>616</v>
      </c>
      <c r="N493" s="107">
        <v>617.5</v>
      </c>
      <c r="O493" s="107">
        <v>607.70000000000005</v>
      </c>
      <c r="P493" s="107">
        <v>615</v>
      </c>
      <c r="Q493" s="107">
        <v>616</v>
      </c>
      <c r="R493">
        <v>68144</v>
      </c>
    </row>
    <row r="494" spans="1:18" x14ac:dyDescent="0.25">
      <c r="A494" s="148">
        <v>44063</v>
      </c>
      <c r="B494" s="107">
        <v>617.95000000000005</v>
      </c>
      <c r="C494" s="107">
        <v>608.4</v>
      </c>
      <c r="D494" s="107">
        <v>606</v>
      </c>
      <c r="E494" s="107">
        <v>612.79999999999995</v>
      </c>
      <c r="F494" s="107">
        <v>608.4</v>
      </c>
      <c r="G494">
        <v>4376</v>
      </c>
      <c r="H494" s="107"/>
      <c r="I494" s="107"/>
      <c r="L494" s="148">
        <v>44063</v>
      </c>
      <c r="M494" s="107">
        <v>611.54999999999995</v>
      </c>
      <c r="N494" s="107">
        <v>617.65</v>
      </c>
      <c r="O494" s="107">
        <v>605.04999999999995</v>
      </c>
      <c r="P494" s="107">
        <v>610.1</v>
      </c>
      <c r="Q494" s="107">
        <v>611.54999999999995</v>
      </c>
      <c r="R494">
        <v>41864</v>
      </c>
    </row>
    <row r="495" spans="1:18" x14ac:dyDescent="0.25">
      <c r="A495" s="148">
        <v>44064</v>
      </c>
      <c r="B495" s="107">
        <v>618</v>
      </c>
      <c r="C495" s="107">
        <v>588.6</v>
      </c>
      <c r="D495" s="107">
        <v>585.04999999999995</v>
      </c>
      <c r="E495" s="107">
        <v>611.29999999999995</v>
      </c>
      <c r="F495" s="107">
        <v>588.6</v>
      </c>
      <c r="G495">
        <v>5297</v>
      </c>
      <c r="H495" s="107"/>
      <c r="I495" s="107"/>
      <c r="L495" s="148">
        <v>44064</v>
      </c>
      <c r="M495" s="107">
        <v>588.95000000000005</v>
      </c>
      <c r="N495" s="107">
        <v>617.54999999999995</v>
      </c>
      <c r="O495" s="107">
        <v>585</v>
      </c>
      <c r="P495" s="107">
        <v>611.5</v>
      </c>
      <c r="Q495" s="107">
        <v>588.95000000000005</v>
      </c>
      <c r="R495">
        <v>71693</v>
      </c>
    </row>
    <row r="496" spans="1:18" x14ac:dyDescent="0.25">
      <c r="A496" s="148">
        <v>44067</v>
      </c>
      <c r="B496" s="107">
        <v>614</v>
      </c>
      <c r="C496" s="107">
        <v>590.79999999999995</v>
      </c>
      <c r="D496" s="107">
        <v>582</v>
      </c>
      <c r="E496" s="107">
        <v>606.85</v>
      </c>
      <c r="F496" s="107">
        <v>590.79999999999995</v>
      </c>
      <c r="G496">
        <v>4554</v>
      </c>
      <c r="H496" s="107"/>
      <c r="I496" s="107"/>
      <c r="L496" s="148">
        <v>44067</v>
      </c>
      <c r="M496" s="107">
        <v>590</v>
      </c>
      <c r="N496" s="107">
        <v>599</v>
      </c>
      <c r="O496" s="107">
        <v>580</v>
      </c>
      <c r="P496" s="107">
        <v>585</v>
      </c>
      <c r="Q496" s="107">
        <v>590</v>
      </c>
      <c r="R496">
        <v>323173</v>
      </c>
    </row>
    <row r="497" spans="1:18" x14ac:dyDescent="0.25">
      <c r="A497" s="148">
        <v>44068</v>
      </c>
      <c r="B497" s="107">
        <v>658.5</v>
      </c>
      <c r="C497" s="107">
        <v>610</v>
      </c>
      <c r="D497" s="107">
        <v>594.9</v>
      </c>
      <c r="E497" s="107">
        <v>599</v>
      </c>
      <c r="F497" s="107">
        <v>610</v>
      </c>
      <c r="G497">
        <v>44993</v>
      </c>
      <c r="H497" s="107"/>
      <c r="I497" s="107"/>
      <c r="L497" s="148">
        <v>44068</v>
      </c>
      <c r="M497" s="107">
        <v>601.6</v>
      </c>
      <c r="N497" s="107">
        <v>659.9</v>
      </c>
      <c r="O497" s="107">
        <v>592.20000000000005</v>
      </c>
      <c r="P497" s="107">
        <v>600</v>
      </c>
      <c r="Q497" s="107">
        <v>601.6</v>
      </c>
      <c r="R497">
        <v>673727</v>
      </c>
    </row>
    <row r="498" spans="1:18" x14ac:dyDescent="0.25">
      <c r="A498" s="148">
        <v>44069</v>
      </c>
      <c r="B498" s="107">
        <v>631</v>
      </c>
      <c r="C498" s="107">
        <v>628.79999999999995</v>
      </c>
      <c r="D498" s="107">
        <v>612.6</v>
      </c>
      <c r="E498" s="107">
        <v>627.79999999999995</v>
      </c>
      <c r="F498" s="107">
        <v>628.79999999999995</v>
      </c>
      <c r="G498">
        <v>17541</v>
      </c>
      <c r="H498" s="107"/>
      <c r="I498" s="107"/>
      <c r="L498" s="148">
        <v>44069</v>
      </c>
      <c r="M498" s="107">
        <v>627.79999999999995</v>
      </c>
      <c r="N498" s="107">
        <v>631.95000000000005</v>
      </c>
      <c r="O498" s="107">
        <v>610.20000000000005</v>
      </c>
      <c r="P498" s="107">
        <v>618</v>
      </c>
      <c r="Q498" s="107">
        <v>627.79999999999995</v>
      </c>
      <c r="R498">
        <v>160460</v>
      </c>
    </row>
    <row r="499" spans="1:18" x14ac:dyDescent="0.25">
      <c r="A499" s="148">
        <v>44070</v>
      </c>
      <c r="B499" s="107">
        <v>706.9</v>
      </c>
      <c r="C499" s="107">
        <v>657.1</v>
      </c>
      <c r="D499" s="107">
        <v>629.25</v>
      </c>
      <c r="E499" s="107">
        <v>631</v>
      </c>
      <c r="F499" s="107">
        <v>657.1</v>
      </c>
      <c r="G499">
        <v>47063</v>
      </c>
      <c r="H499" s="107"/>
      <c r="I499" s="107"/>
      <c r="L499" s="148">
        <v>44070</v>
      </c>
      <c r="M499" s="107">
        <v>656.9</v>
      </c>
      <c r="N499" s="107">
        <v>705.5</v>
      </c>
      <c r="O499" s="107">
        <v>630.15</v>
      </c>
      <c r="P499" s="107">
        <v>630.9</v>
      </c>
      <c r="Q499" s="107">
        <v>656.9</v>
      </c>
      <c r="R499">
        <v>378783</v>
      </c>
    </row>
    <row r="500" spans="1:18" x14ac:dyDescent="0.25">
      <c r="A500" s="148">
        <v>44071</v>
      </c>
      <c r="B500" s="107">
        <v>700</v>
      </c>
      <c r="C500" s="107">
        <v>696.65</v>
      </c>
      <c r="D500" s="107">
        <v>659</v>
      </c>
      <c r="E500" s="107">
        <v>659</v>
      </c>
      <c r="F500" s="107">
        <v>696.65</v>
      </c>
      <c r="G500">
        <v>30181</v>
      </c>
      <c r="H500" s="107"/>
      <c r="I500" s="107"/>
      <c r="L500" s="148">
        <v>44071</v>
      </c>
      <c r="M500" s="107">
        <v>696.9</v>
      </c>
      <c r="N500" s="107">
        <v>700</v>
      </c>
      <c r="O500" s="107">
        <v>660</v>
      </c>
      <c r="P500" s="107">
        <v>660</v>
      </c>
      <c r="Q500" s="107">
        <v>696.9</v>
      </c>
      <c r="R500">
        <v>253612</v>
      </c>
    </row>
    <row r="501" spans="1:18" x14ac:dyDescent="0.25">
      <c r="A501" s="148">
        <v>44074</v>
      </c>
      <c r="B501" s="107">
        <v>739.9</v>
      </c>
      <c r="C501" s="107">
        <v>719.95</v>
      </c>
      <c r="D501" s="107">
        <v>671.5</v>
      </c>
      <c r="E501" s="107">
        <v>707.9</v>
      </c>
      <c r="F501" s="107">
        <v>719.95</v>
      </c>
      <c r="G501">
        <v>20476</v>
      </c>
      <c r="H501" s="107"/>
      <c r="I501" s="107"/>
      <c r="L501" s="148">
        <v>44074</v>
      </c>
      <c r="M501" s="107">
        <v>717.75</v>
      </c>
      <c r="N501" s="107">
        <v>740</v>
      </c>
      <c r="O501" s="107">
        <v>670</v>
      </c>
      <c r="P501" s="107">
        <v>702.95</v>
      </c>
      <c r="Q501" s="107">
        <v>717.75</v>
      </c>
      <c r="R501">
        <v>306745</v>
      </c>
    </row>
    <row r="502" spans="1:18" x14ac:dyDescent="0.25">
      <c r="A502" s="148">
        <v>44075</v>
      </c>
      <c r="B502" s="107">
        <v>726.7</v>
      </c>
      <c r="C502" s="107">
        <v>699.2</v>
      </c>
      <c r="D502" s="107">
        <v>680</v>
      </c>
      <c r="E502" s="107">
        <v>725</v>
      </c>
      <c r="F502" s="107">
        <v>699.2</v>
      </c>
      <c r="G502">
        <v>27114</v>
      </c>
      <c r="H502" s="107"/>
      <c r="I502" s="107"/>
      <c r="L502" s="148">
        <v>44075</v>
      </c>
      <c r="M502" s="107">
        <v>698.8</v>
      </c>
      <c r="N502" s="107">
        <v>729.7</v>
      </c>
      <c r="O502" s="107">
        <v>681.05</v>
      </c>
      <c r="P502" s="107">
        <v>729.7</v>
      </c>
      <c r="Q502" s="107">
        <v>698.8</v>
      </c>
      <c r="R502">
        <v>116790</v>
      </c>
    </row>
    <row r="503" spans="1:18" x14ac:dyDescent="0.25">
      <c r="A503" s="148">
        <v>44076</v>
      </c>
      <c r="B503" s="107">
        <v>709.1</v>
      </c>
      <c r="C503" s="107">
        <v>691.35</v>
      </c>
      <c r="D503" s="107">
        <v>680.15</v>
      </c>
      <c r="E503" s="107">
        <v>699.2</v>
      </c>
      <c r="F503" s="107">
        <v>691.35</v>
      </c>
      <c r="G503">
        <v>4855</v>
      </c>
      <c r="H503" s="107"/>
      <c r="I503" s="107"/>
      <c r="L503" s="148">
        <v>44076</v>
      </c>
      <c r="M503" s="107">
        <v>691.9</v>
      </c>
      <c r="N503" s="107">
        <v>709</v>
      </c>
      <c r="O503" s="107">
        <v>680</v>
      </c>
      <c r="P503" s="107">
        <v>695</v>
      </c>
      <c r="Q503" s="107">
        <v>691.9</v>
      </c>
      <c r="R503">
        <v>63192</v>
      </c>
    </row>
    <row r="504" spans="1:18" x14ac:dyDescent="0.25">
      <c r="A504" s="148">
        <v>44077</v>
      </c>
      <c r="B504" s="107">
        <v>699</v>
      </c>
      <c r="C504" s="107">
        <v>689.35</v>
      </c>
      <c r="D504" s="107">
        <v>677</v>
      </c>
      <c r="E504" s="107">
        <v>699</v>
      </c>
      <c r="F504" s="107">
        <v>689.35</v>
      </c>
      <c r="G504">
        <v>1864</v>
      </c>
      <c r="H504" s="107"/>
      <c r="I504" s="107"/>
      <c r="L504" s="148">
        <v>44077</v>
      </c>
      <c r="M504" s="107">
        <v>684.75</v>
      </c>
      <c r="N504" s="107">
        <v>699.95</v>
      </c>
      <c r="O504" s="107">
        <v>675</v>
      </c>
      <c r="P504" s="107">
        <v>698.9</v>
      </c>
      <c r="Q504" s="107">
        <v>684.75</v>
      </c>
      <c r="R504">
        <v>43415</v>
      </c>
    </row>
    <row r="505" spans="1:18" x14ac:dyDescent="0.25">
      <c r="A505" s="148">
        <v>44078</v>
      </c>
      <c r="B505" s="107">
        <v>749</v>
      </c>
      <c r="C505" s="107">
        <v>708.3</v>
      </c>
      <c r="D505" s="107">
        <v>685.85</v>
      </c>
      <c r="E505" s="107">
        <v>694.4</v>
      </c>
      <c r="F505" s="107">
        <v>708.3</v>
      </c>
      <c r="G505">
        <v>29514</v>
      </c>
      <c r="H505" s="107"/>
      <c r="I505" s="107"/>
      <c r="L505" s="148">
        <v>44078</v>
      </c>
      <c r="M505" s="107">
        <v>704.65</v>
      </c>
      <c r="N505" s="107">
        <v>749</v>
      </c>
      <c r="O505" s="107">
        <v>685</v>
      </c>
      <c r="P505" s="107">
        <v>685.85</v>
      </c>
      <c r="Q505" s="107">
        <v>704.65</v>
      </c>
      <c r="R505">
        <v>304175</v>
      </c>
    </row>
    <row r="506" spans="1:18" x14ac:dyDescent="0.25">
      <c r="A506" s="148">
        <v>44081</v>
      </c>
      <c r="B506" s="107">
        <v>719.95</v>
      </c>
      <c r="C506" s="107">
        <v>690.75</v>
      </c>
      <c r="D506" s="107">
        <v>685</v>
      </c>
      <c r="E506" s="107">
        <v>696.1</v>
      </c>
      <c r="F506" s="107">
        <v>690.75</v>
      </c>
      <c r="G506">
        <v>11701</v>
      </c>
      <c r="H506" s="107"/>
      <c r="I506" s="107"/>
      <c r="L506" s="148">
        <v>44081</v>
      </c>
      <c r="M506" s="107">
        <v>689.9</v>
      </c>
      <c r="N506" s="107">
        <v>721.45</v>
      </c>
      <c r="O506" s="107">
        <v>685</v>
      </c>
      <c r="P506" s="107">
        <v>706</v>
      </c>
      <c r="Q506" s="107">
        <v>689.9</v>
      </c>
      <c r="R506">
        <v>83822</v>
      </c>
    </row>
    <row r="507" spans="1:18" x14ac:dyDescent="0.25">
      <c r="A507" s="148">
        <v>44082</v>
      </c>
      <c r="B507" s="107">
        <v>700.3</v>
      </c>
      <c r="C507" s="107">
        <v>665.9</v>
      </c>
      <c r="D507" s="107">
        <v>660.25</v>
      </c>
      <c r="E507" s="107">
        <v>694.95</v>
      </c>
      <c r="F507" s="107">
        <v>665.9</v>
      </c>
      <c r="G507">
        <v>10955</v>
      </c>
      <c r="H507" s="107"/>
      <c r="I507" s="107"/>
      <c r="L507" s="148">
        <v>44082</v>
      </c>
      <c r="M507" s="107">
        <v>666</v>
      </c>
      <c r="N507" s="107">
        <v>703.4</v>
      </c>
      <c r="O507" s="107">
        <v>658.55</v>
      </c>
      <c r="P507" s="107">
        <v>689.6</v>
      </c>
      <c r="Q507" s="107">
        <v>666</v>
      </c>
      <c r="R507">
        <v>97886</v>
      </c>
    </row>
    <row r="508" spans="1:18" x14ac:dyDescent="0.25">
      <c r="A508" s="148">
        <v>44083</v>
      </c>
      <c r="B508" s="107">
        <v>658.6</v>
      </c>
      <c r="C508" s="107">
        <v>651.79999999999995</v>
      </c>
      <c r="D508" s="107">
        <v>646.29999999999995</v>
      </c>
      <c r="E508" s="107">
        <v>657</v>
      </c>
      <c r="F508" s="107">
        <v>651.79999999999995</v>
      </c>
      <c r="G508">
        <v>4783</v>
      </c>
      <c r="H508" s="107"/>
      <c r="I508" s="107"/>
      <c r="L508" s="148">
        <v>44083</v>
      </c>
      <c r="M508" s="107">
        <v>652.54999999999995</v>
      </c>
      <c r="N508" s="107">
        <v>660</v>
      </c>
      <c r="O508" s="107">
        <v>646.20000000000005</v>
      </c>
      <c r="P508" s="107">
        <v>660</v>
      </c>
      <c r="Q508" s="107">
        <v>652.54999999999995</v>
      </c>
      <c r="R508">
        <v>90797</v>
      </c>
    </row>
    <row r="509" spans="1:18" x14ac:dyDescent="0.25">
      <c r="A509" s="148">
        <v>44084</v>
      </c>
      <c r="B509" s="107">
        <v>725.7</v>
      </c>
      <c r="C509" s="107">
        <v>713.5</v>
      </c>
      <c r="D509" s="107">
        <v>664.15</v>
      </c>
      <c r="E509" s="107">
        <v>664.15</v>
      </c>
      <c r="F509" s="107">
        <v>713.5</v>
      </c>
      <c r="G509">
        <v>10601</v>
      </c>
      <c r="H509" s="107"/>
      <c r="I509" s="107"/>
      <c r="L509" s="148">
        <v>44084</v>
      </c>
      <c r="M509" s="107">
        <v>713.55</v>
      </c>
      <c r="N509" s="107">
        <v>725</v>
      </c>
      <c r="O509" s="107">
        <v>657.95</v>
      </c>
      <c r="P509" s="107">
        <v>658</v>
      </c>
      <c r="Q509" s="107">
        <v>713.55</v>
      </c>
      <c r="R509">
        <v>173897</v>
      </c>
    </row>
    <row r="510" spans="1:18" x14ac:dyDescent="0.25">
      <c r="A510" s="148">
        <v>44085</v>
      </c>
      <c r="B510" s="107">
        <v>728</v>
      </c>
      <c r="C510" s="107">
        <v>707</v>
      </c>
      <c r="D510" s="107">
        <v>704.05</v>
      </c>
      <c r="E510" s="107">
        <v>720</v>
      </c>
      <c r="F510" s="107">
        <v>707</v>
      </c>
      <c r="G510">
        <v>9397</v>
      </c>
      <c r="H510" s="107"/>
      <c r="I510" s="107"/>
      <c r="L510" s="148">
        <v>44085</v>
      </c>
      <c r="M510" s="107">
        <v>707.65</v>
      </c>
      <c r="N510" s="107">
        <v>729.85</v>
      </c>
      <c r="O510" s="107">
        <v>703.2</v>
      </c>
      <c r="P510" s="107">
        <v>722.95</v>
      </c>
      <c r="Q510" s="107">
        <v>707.65</v>
      </c>
      <c r="R510">
        <v>133990</v>
      </c>
    </row>
    <row r="511" spans="1:18" x14ac:dyDescent="0.25">
      <c r="A511" s="148">
        <v>44088</v>
      </c>
      <c r="B511" s="107">
        <v>723</v>
      </c>
      <c r="C511" s="107">
        <v>719.1</v>
      </c>
      <c r="D511" s="107">
        <v>710.5</v>
      </c>
      <c r="E511" s="107">
        <v>720</v>
      </c>
      <c r="F511" s="107">
        <v>719.1</v>
      </c>
      <c r="G511">
        <v>2561</v>
      </c>
      <c r="H511" s="107"/>
      <c r="I511" s="107"/>
      <c r="L511" s="148">
        <v>44088</v>
      </c>
      <c r="M511" s="107">
        <v>719.35</v>
      </c>
      <c r="N511" s="107">
        <v>723.5</v>
      </c>
      <c r="O511" s="107">
        <v>708.95</v>
      </c>
      <c r="P511" s="107">
        <v>721.7</v>
      </c>
      <c r="Q511" s="107">
        <v>719.35</v>
      </c>
      <c r="R511">
        <v>114647</v>
      </c>
    </row>
    <row r="512" spans="1:18" x14ac:dyDescent="0.25">
      <c r="A512" s="148">
        <v>44089</v>
      </c>
      <c r="B512" s="107">
        <v>748.3</v>
      </c>
      <c r="C512" s="107">
        <v>719.55</v>
      </c>
      <c r="D512" s="107">
        <v>714</v>
      </c>
      <c r="E512" s="107">
        <v>730</v>
      </c>
      <c r="F512" s="107">
        <v>719.55</v>
      </c>
      <c r="G512">
        <v>10180</v>
      </c>
      <c r="H512" s="107"/>
      <c r="I512" s="107"/>
      <c r="L512" s="148">
        <v>44089</v>
      </c>
      <c r="M512" s="107">
        <v>720.85</v>
      </c>
      <c r="N512" s="107">
        <v>748.75</v>
      </c>
      <c r="O512" s="107">
        <v>711.4</v>
      </c>
      <c r="P512" s="107">
        <v>735</v>
      </c>
      <c r="Q512" s="107">
        <v>720.85</v>
      </c>
      <c r="R512">
        <v>260784</v>
      </c>
    </row>
    <row r="513" spans="1:18" x14ac:dyDescent="0.25">
      <c r="A513" s="148">
        <v>44090</v>
      </c>
      <c r="B513" s="107">
        <v>743.95</v>
      </c>
      <c r="C513" s="107">
        <v>727.1</v>
      </c>
      <c r="D513" s="107">
        <v>716.3</v>
      </c>
      <c r="E513" s="107">
        <v>733.8</v>
      </c>
      <c r="F513" s="107">
        <v>727.1</v>
      </c>
      <c r="G513">
        <v>3698</v>
      </c>
      <c r="H513" s="107"/>
      <c r="I513" s="107"/>
      <c r="L513" s="148">
        <v>44090</v>
      </c>
      <c r="M513" s="107">
        <v>727</v>
      </c>
      <c r="N513" s="107">
        <v>745.3</v>
      </c>
      <c r="O513" s="107">
        <v>715.25</v>
      </c>
      <c r="P513" s="107">
        <v>738</v>
      </c>
      <c r="Q513" s="107">
        <v>727</v>
      </c>
      <c r="R513">
        <v>89532</v>
      </c>
    </row>
    <row r="514" spans="1:18" x14ac:dyDescent="0.25">
      <c r="A514" s="148">
        <v>44091</v>
      </c>
      <c r="B514" s="107">
        <v>742.8</v>
      </c>
      <c r="C514" s="107">
        <v>725.1</v>
      </c>
      <c r="D514" s="107">
        <v>710</v>
      </c>
      <c r="E514" s="107">
        <v>710</v>
      </c>
      <c r="F514" s="107">
        <v>725.1</v>
      </c>
      <c r="G514">
        <v>10930</v>
      </c>
      <c r="H514" s="107"/>
      <c r="I514" s="107"/>
      <c r="L514" s="148">
        <v>44091</v>
      </c>
      <c r="M514" s="107">
        <v>722.9</v>
      </c>
      <c r="N514" s="107">
        <v>743.5</v>
      </c>
      <c r="O514" s="107">
        <v>716.2</v>
      </c>
      <c r="P514" s="107">
        <v>716.25</v>
      </c>
      <c r="Q514" s="107">
        <v>722.9</v>
      </c>
      <c r="R514">
        <v>151697</v>
      </c>
    </row>
    <row r="515" spans="1:18" x14ac:dyDescent="0.25">
      <c r="A515" s="148">
        <v>44092</v>
      </c>
      <c r="B515" s="107">
        <v>735</v>
      </c>
      <c r="C515" s="107">
        <v>725.4</v>
      </c>
      <c r="D515" s="107">
        <v>717.35</v>
      </c>
      <c r="E515" s="107">
        <v>732.8</v>
      </c>
      <c r="F515" s="107">
        <v>725.4</v>
      </c>
      <c r="G515">
        <v>3222</v>
      </c>
      <c r="H515" s="107"/>
      <c r="I515" s="107"/>
      <c r="L515" s="148">
        <v>44092</v>
      </c>
      <c r="M515" s="107">
        <v>725.4</v>
      </c>
      <c r="N515" s="107">
        <v>735.55</v>
      </c>
      <c r="O515" s="107">
        <v>717.2</v>
      </c>
      <c r="P515" s="107">
        <v>725.05</v>
      </c>
      <c r="Q515" s="107">
        <v>725.4</v>
      </c>
      <c r="R515">
        <v>56269</v>
      </c>
    </row>
    <row r="516" spans="1:18" x14ac:dyDescent="0.25">
      <c r="A516" s="148">
        <v>44095</v>
      </c>
      <c r="B516" s="107">
        <v>725</v>
      </c>
      <c r="C516" s="107">
        <v>695.05</v>
      </c>
      <c r="D516" s="107">
        <v>685.3</v>
      </c>
      <c r="E516" s="107">
        <v>725</v>
      </c>
      <c r="F516" s="107">
        <v>695.05</v>
      </c>
      <c r="G516">
        <v>12951</v>
      </c>
      <c r="H516" s="107"/>
      <c r="I516" s="107"/>
      <c r="L516" s="148">
        <v>44095</v>
      </c>
      <c r="M516" s="107">
        <v>694.95</v>
      </c>
      <c r="N516" s="107">
        <v>724.9</v>
      </c>
      <c r="O516" s="107">
        <v>685.05</v>
      </c>
      <c r="P516" s="107">
        <v>712</v>
      </c>
      <c r="Q516" s="107">
        <v>694.95</v>
      </c>
      <c r="R516">
        <v>80076</v>
      </c>
    </row>
    <row r="517" spans="1:18" x14ac:dyDescent="0.25">
      <c r="A517" s="148">
        <v>44096</v>
      </c>
      <c r="B517" s="107">
        <v>699.15</v>
      </c>
      <c r="C517" s="107">
        <v>686.4</v>
      </c>
      <c r="D517" s="107">
        <v>660</v>
      </c>
      <c r="E517" s="107">
        <v>680</v>
      </c>
      <c r="F517" s="107">
        <v>686.4</v>
      </c>
      <c r="G517">
        <v>9797</v>
      </c>
      <c r="H517" s="107"/>
      <c r="I517" s="107"/>
      <c r="L517" s="148">
        <v>44096</v>
      </c>
      <c r="M517" s="107">
        <v>686.45</v>
      </c>
      <c r="N517" s="107">
        <v>702</v>
      </c>
      <c r="O517" s="107">
        <v>666.65</v>
      </c>
      <c r="P517" s="107">
        <v>702</v>
      </c>
      <c r="Q517" s="107">
        <v>686.45</v>
      </c>
      <c r="R517">
        <v>59042</v>
      </c>
    </row>
    <row r="518" spans="1:18" x14ac:dyDescent="0.25">
      <c r="A518" s="148">
        <v>44097</v>
      </c>
      <c r="B518" s="107">
        <v>711</v>
      </c>
      <c r="C518" s="107">
        <v>699.65</v>
      </c>
      <c r="D518" s="107">
        <v>686.7</v>
      </c>
      <c r="E518" s="107">
        <v>709.7</v>
      </c>
      <c r="F518" s="107">
        <v>699.65</v>
      </c>
      <c r="G518">
        <v>2869</v>
      </c>
      <c r="H518" s="107"/>
      <c r="I518" s="107"/>
      <c r="L518" s="148">
        <v>44097</v>
      </c>
      <c r="M518" s="107">
        <v>700.35</v>
      </c>
      <c r="N518" s="107">
        <v>715</v>
      </c>
      <c r="O518" s="107">
        <v>686.25</v>
      </c>
      <c r="P518" s="107">
        <v>700</v>
      </c>
      <c r="Q518" s="107">
        <v>700.35</v>
      </c>
      <c r="R518">
        <v>66523</v>
      </c>
    </row>
    <row r="519" spans="1:18" x14ac:dyDescent="0.25">
      <c r="A519" s="148">
        <v>44098</v>
      </c>
      <c r="B519" s="107">
        <v>698.95</v>
      </c>
      <c r="C519" s="107">
        <v>686.2</v>
      </c>
      <c r="D519" s="107">
        <v>684.85</v>
      </c>
      <c r="E519" s="107">
        <v>698.95</v>
      </c>
      <c r="F519" s="107">
        <v>686.2</v>
      </c>
      <c r="G519">
        <v>2191</v>
      </c>
      <c r="H519" s="107"/>
      <c r="I519" s="107"/>
      <c r="L519" s="148">
        <v>44098</v>
      </c>
      <c r="M519" s="107">
        <v>685.85</v>
      </c>
      <c r="N519" s="107">
        <v>696.95</v>
      </c>
      <c r="O519" s="107">
        <v>684</v>
      </c>
      <c r="P519" s="107">
        <v>696.95</v>
      </c>
      <c r="Q519" s="107">
        <v>685.85</v>
      </c>
      <c r="R519">
        <v>39454</v>
      </c>
    </row>
    <row r="520" spans="1:18" x14ac:dyDescent="0.25">
      <c r="A520" s="148">
        <v>44099</v>
      </c>
      <c r="B520" s="107">
        <v>711.65</v>
      </c>
      <c r="C520" s="107">
        <v>697.9</v>
      </c>
      <c r="D520" s="107">
        <v>675.2</v>
      </c>
      <c r="E520" s="107">
        <v>710</v>
      </c>
      <c r="F520" s="107">
        <v>697.9</v>
      </c>
      <c r="G520">
        <v>5472</v>
      </c>
      <c r="H520" s="107"/>
      <c r="I520" s="107"/>
      <c r="L520" s="148">
        <v>44099</v>
      </c>
      <c r="M520" s="107">
        <v>697.8</v>
      </c>
      <c r="N520" s="107">
        <v>720.6</v>
      </c>
      <c r="O520" s="107">
        <v>685.2</v>
      </c>
      <c r="P520" s="107">
        <v>695</v>
      </c>
      <c r="Q520" s="107">
        <v>697.8</v>
      </c>
      <c r="R520">
        <v>107800</v>
      </c>
    </row>
    <row r="521" spans="1:18" x14ac:dyDescent="0.25">
      <c r="A521" s="148">
        <v>44102</v>
      </c>
      <c r="B521" s="107">
        <v>706.1</v>
      </c>
      <c r="C521" s="107">
        <v>700.6</v>
      </c>
      <c r="D521" s="107">
        <v>688.45</v>
      </c>
      <c r="E521" s="107">
        <v>699.35</v>
      </c>
      <c r="F521" s="107">
        <v>700.6</v>
      </c>
      <c r="G521">
        <v>8714</v>
      </c>
      <c r="H521" s="107"/>
      <c r="I521" s="107"/>
      <c r="L521" s="148">
        <v>44102</v>
      </c>
      <c r="M521" s="107">
        <v>701.7</v>
      </c>
      <c r="N521" s="107">
        <v>706.9</v>
      </c>
      <c r="O521" s="107">
        <v>689</v>
      </c>
      <c r="P521" s="107">
        <v>700</v>
      </c>
      <c r="Q521" s="107">
        <v>701.7</v>
      </c>
      <c r="R521">
        <v>72958</v>
      </c>
    </row>
    <row r="522" spans="1:18" x14ac:dyDescent="0.25">
      <c r="A522" s="148">
        <v>44103</v>
      </c>
      <c r="B522" s="107">
        <v>726</v>
      </c>
      <c r="C522" s="107">
        <v>720.1</v>
      </c>
      <c r="D522" s="107">
        <v>699</v>
      </c>
      <c r="E522" s="107">
        <v>699</v>
      </c>
      <c r="F522" s="107">
        <v>720.1</v>
      </c>
      <c r="G522">
        <v>3312</v>
      </c>
      <c r="H522" s="107"/>
      <c r="I522" s="107"/>
      <c r="L522" s="148">
        <v>44103</v>
      </c>
      <c r="M522" s="107">
        <v>722.15</v>
      </c>
      <c r="N522" s="107">
        <v>726.3</v>
      </c>
      <c r="O522" s="107">
        <v>683.1</v>
      </c>
      <c r="P522" s="107">
        <v>683.1</v>
      </c>
      <c r="Q522" s="107">
        <v>722.15</v>
      </c>
      <c r="R522">
        <v>185953</v>
      </c>
    </row>
    <row r="523" spans="1:18" x14ac:dyDescent="0.25">
      <c r="A523" s="148">
        <v>44104</v>
      </c>
      <c r="B523" s="107">
        <v>759.25</v>
      </c>
      <c r="C523" s="107">
        <v>743.8</v>
      </c>
      <c r="D523" s="107">
        <v>709.05</v>
      </c>
      <c r="E523" s="107">
        <v>722.55</v>
      </c>
      <c r="F523" s="107">
        <v>743.8</v>
      </c>
      <c r="G523">
        <v>6330</v>
      </c>
      <c r="H523" s="107"/>
      <c r="I523" s="107"/>
      <c r="L523" s="148">
        <v>44104</v>
      </c>
      <c r="M523" s="107">
        <v>742.85</v>
      </c>
      <c r="N523" s="107">
        <v>760</v>
      </c>
      <c r="O523" s="107">
        <v>708</v>
      </c>
      <c r="P523" s="107">
        <v>720</v>
      </c>
      <c r="Q523" s="107">
        <v>742.85</v>
      </c>
      <c r="R523">
        <v>209929</v>
      </c>
    </row>
    <row r="524" spans="1:18" x14ac:dyDescent="0.25">
      <c r="A524" s="148">
        <v>44105</v>
      </c>
      <c r="B524" s="107">
        <v>764.05</v>
      </c>
      <c r="C524" s="107">
        <v>738.7</v>
      </c>
      <c r="D524" s="107">
        <v>733.85</v>
      </c>
      <c r="E524" s="107">
        <v>736.1</v>
      </c>
      <c r="F524" s="107">
        <v>738.7</v>
      </c>
      <c r="G524">
        <v>7684</v>
      </c>
      <c r="H524" s="107"/>
      <c r="I524" s="107"/>
      <c r="L524" s="148">
        <v>44105</v>
      </c>
      <c r="M524" s="107">
        <v>739.1</v>
      </c>
      <c r="N524" s="107">
        <v>763.55</v>
      </c>
      <c r="O524" s="107">
        <v>734.05</v>
      </c>
      <c r="P524" s="107">
        <v>748.35</v>
      </c>
      <c r="Q524" s="107">
        <v>739.1</v>
      </c>
      <c r="R524">
        <v>93001</v>
      </c>
    </row>
    <row r="525" spans="1:18" x14ac:dyDescent="0.25">
      <c r="A525" s="148">
        <v>44109</v>
      </c>
      <c r="B525" s="107">
        <v>756.5</v>
      </c>
      <c r="C525" s="107">
        <v>747.25</v>
      </c>
      <c r="D525" s="107">
        <v>738.85</v>
      </c>
      <c r="E525" s="107">
        <v>750</v>
      </c>
      <c r="F525" s="107">
        <v>747.25</v>
      </c>
      <c r="G525">
        <v>2520</v>
      </c>
      <c r="H525" s="107"/>
      <c r="I525" s="107"/>
      <c r="L525" s="148">
        <v>44109</v>
      </c>
      <c r="M525" s="107">
        <v>747.85</v>
      </c>
      <c r="N525" s="107">
        <v>755</v>
      </c>
      <c r="O525" s="107">
        <v>739</v>
      </c>
      <c r="P525" s="107">
        <v>741</v>
      </c>
      <c r="Q525" s="107">
        <v>747.85</v>
      </c>
      <c r="R525">
        <v>92009</v>
      </c>
    </row>
    <row r="526" spans="1:18" x14ac:dyDescent="0.25">
      <c r="A526" s="148">
        <v>44110</v>
      </c>
      <c r="B526" s="107">
        <v>754.25</v>
      </c>
      <c r="C526" s="107">
        <v>748.5</v>
      </c>
      <c r="D526" s="107">
        <v>733</v>
      </c>
      <c r="E526" s="107">
        <v>733</v>
      </c>
      <c r="F526" s="107">
        <v>748.5</v>
      </c>
      <c r="G526">
        <v>1771</v>
      </c>
      <c r="H526" s="107"/>
      <c r="I526" s="107"/>
      <c r="L526" s="148">
        <v>44110</v>
      </c>
      <c r="M526" s="107">
        <v>748.4</v>
      </c>
      <c r="N526" s="107">
        <v>755</v>
      </c>
      <c r="O526" s="107">
        <v>730.15</v>
      </c>
      <c r="P526" s="107">
        <v>745.5</v>
      </c>
      <c r="Q526" s="107">
        <v>748.4</v>
      </c>
      <c r="R526">
        <v>63811</v>
      </c>
    </row>
    <row r="527" spans="1:18" x14ac:dyDescent="0.25">
      <c r="A527" s="148">
        <v>44111</v>
      </c>
      <c r="B527" s="107">
        <v>748.5</v>
      </c>
      <c r="C527" s="107">
        <v>737.15</v>
      </c>
      <c r="D527" s="107">
        <v>735.2</v>
      </c>
      <c r="E527" s="107">
        <v>742.15</v>
      </c>
      <c r="F527" s="107">
        <v>737.15</v>
      </c>
      <c r="G527">
        <v>2733</v>
      </c>
      <c r="H527" s="107"/>
      <c r="I527" s="107"/>
      <c r="L527" s="148">
        <v>44111</v>
      </c>
      <c r="M527" s="107">
        <v>737.1</v>
      </c>
      <c r="N527" s="107">
        <v>749.65</v>
      </c>
      <c r="O527" s="107">
        <v>736.15</v>
      </c>
      <c r="P527" s="107">
        <v>749</v>
      </c>
      <c r="Q527" s="107">
        <v>737.1</v>
      </c>
      <c r="R527">
        <v>22671</v>
      </c>
    </row>
    <row r="528" spans="1:18" x14ac:dyDescent="0.25">
      <c r="A528" s="148">
        <v>44112</v>
      </c>
      <c r="B528" s="107">
        <v>754.2</v>
      </c>
      <c r="C528" s="107">
        <v>723.4</v>
      </c>
      <c r="D528" s="107">
        <v>715.55</v>
      </c>
      <c r="E528" s="107">
        <v>736.4</v>
      </c>
      <c r="F528" s="107">
        <v>723.4</v>
      </c>
      <c r="G528">
        <v>6887</v>
      </c>
      <c r="H528" s="107"/>
      <c r="I528" s="107"/>
      <c r="L528" s="148">
        <v>44112</v>
      </c>
      <c r="M528" s="107">
        <v>723.05</v>
      </c>
      <c r="N528" s="107">
        <v>754.55</v>
      </c>
      <c r="O528" s="107">
        <v>716.2</v>
      </c>
      <c r="P528" s="107">
        <v>740</v>
      </c>
      <c r="Q528" s="107">
        <v>723.05</v>
      </c>
      <c r="R528">
        <v>70626</v>
      </c>
    </row>
    <row r="529" spans="1:18" x14ac:dyDescent="0.25">
      <c r="A529" s="148">
        <v>44113</v>
      </c>
      <c r="B529" s="107">
        <v>737.1</v>
      </c>
      <c r="C529" s="107">
        <v>728.85</v>
      </c>
      <c r="D529" s="107">
        <v>723.95</v>
      </c>
      <c r="E529" s="107">
        <v>724.55</v>
      </c>
      <c r="F529" s="107">
        <v>728.85</v>
      </c>
      <c r="G529">
        <v>2946</v>
      </c>
      <c r="H529" s="107"/>
      <c r="I529" s="107"/>
      <c r="L529" s="148">
        <v>44113</v>
      </c>
      <c r="M529" s="107">
        <v>727.9</v>
      </c>
      <c r="N529" s="107">
        <v>737</v>
      </c>
      <c r="O529" s="107">
        <v>722.25</v>
      </c>
      <c r="P529" s="107">
        <v>736.95</v>
      </c>
      <c r="Q529" s="107">
        <v>727.9</v>
      </c>
      <c r="R529">
        <v>72875</v>
      </c>
    </row>
    <row r="530" spans="1:18" x14ac:dyDescent="0.25">
      <c r="A530" s="148">
        <v>44116</v>
      </c>
      <c r="B530" s="107">
        <v>743</v>
      </c>
      <c r="C530" s="107">
        <v>706.25</v>
      </c>
      <c r="D530" s="107">
        <v>703</v>
      </c>
      <c r="E530" s="107">
        <v>727</v>
      </c>
      <c r="F530" s="107">
        <v>706.25</v>
      </c>
      <c r="G530">
        <v>6692</v>
      </c>
      <c r="H530" s="107"/>
      <c r="I530" s="107"/>
      <c r="L530" s="148">
        <v>44116</v>
      </c>
      <c r="M530" s="107">
        <v>706.2</v>
      </c>
      <c r="N530" s="107">
        <v>743.35</v>
      </c>
      <c r="O530" s="107">
        <v>702.2</v>
      </c>
      <c r="P530" s="107">
        <v>734.75</v>
      </c>
      <c r="Q530" s="107">
        <v>706.2</v>
      </c>
      <c r="R530">
        <v>104791</v>
      </c>
    </row>
    <row r="531" spans="1:18" x14ac:dyDescent="0.25">
      <c r="A531" s="148">
        <v>44117</v>
      </c>
      <c r="B531" s="107">
        <v>707</v>
      </c>
      <c r="C531" s="107">
        <v>677.75</v>
      </c>
      <c r="D531" s="107">
        <v>672.3</v>
      </c>
      <c r="E531" s="107">
        <v>703</v>
      </c>
      <c r="F531" s="107">
        <v>677.75</v>
      </c>
      <c r="G531">
        <v>7891</v>
      </c>
      <c r="H531" s="107"/>
      <c r="I531" s="107"/>
      <c r="L531" s="148">
        <v>44117</v>
      </c>
      <c r="M531" s="107">
        <v>680.25</v>
      </c>
      <c r="N531" s="107">
        <v>710</v>
      </c>
      <c r="O531" s="107">
        <v>671.95</v>
      </c>
      <c r="P531" s="107">
        <v>709.8</v>
      </c>
      <c r="Q531" s="107">
        <v>680.25</v>
      </c>
      <c r="R531">
        <v>126514</v>
      </c>
    </row>
    <row r="532" spans="1:18" x14ac:dyDescent="0.25">
      <c r="A532" s="148">
        <v>44118</v>
      </c>
      <c r="B532" s="107">
        <v>687.5</v>
      </c>
      <c r="C532" s="107">
        <v>682.3</v>
      </c>
      <c r="D532" s="107">
        <v>671</v>
      </c>
      <c r="E532" s="107">
        <v>684</v>
      </c>
      <c r="F532" s="107">
        <v>682.3</v>
      </c>
      <c r="G532">
        <v>3960</v>
      </c>
      <c r="H532" s="107"/>
      <c r="I532" s="107"/>
      <c r="L532" s="148">
        <v>44118</v>
      </c>
      <c r="M532" s="107">
        <v>681.85</v>
      </c>
      <c r="N532" s="107">
        <v>690.4</v>
      </c>
      <c r="O532" s="107">
        <v>670.25</v>
      </c>
      <c r="P532" s="107">
        <v>684.8</v>
      </c>
      <c r="Q532" s="107">
        <v>681.85</v>
      </c>
      <c r="R532">
        <v>56261</v>
      </c>
    </row>
    <row r="533" spans="1:18" x14ac:dyDescent="0.25">
      <c r="A533" s="148">
        <v>44119</v>
      </c>
      <c r="B533" s="107">
        <v>689.15</v>
      </c>
      <c r="C533" s="107">
        <v>678.35</v>
      </c>
      <c r="D533" s="107">
        <v>672.6</v>
      </c>
      <c r="E533" s="107">
        <v>689.15</v>
      </c>
      <c r="F533" s="107">
        <v>678.35</v>
      </c>
      <c r="G533">
        <v>7743</v>
      </c>
      <c r="H533" s="107"/>
      <c r="I533" s="107"/>
      <c r="L533" s="148">
        <v>44119</v>
      </c>
      <c r="M533" s="107">
        <v>677.7</v>
      </c>
      <c r="N533" s="107">
        <v>694</v>
      </c>
      <c r="O533" s="107">
        <v>672.65</v>
      </c>
      <c r="P533" s="107">
        <v>694</v>
      </c>
      <c r="Q533" s="107">
        <v>677.7</v>
      </c>
      <c r="R533">
        <v>74969</v>
      </c>
    </row>
    <row r="534" spans="1:18" x14ac:dyDescent="0.25">
      <c r="A534" s="148">
        <v>44120</v>
      </c>
      <c r="B534" s="107">
        <v>686</v>
      </c>
      <c r="C534" s="107">
        <v>667.1</v>
      </c>
      <c r="D534" s="107">
        <v>658</v>
      </c>
      <c r="E534" s="107">
        <v>679</v>
      </c>
      <c r="F534" s="107">
        <v>667.1</v>
      </c>
      <c r="G534">
        <v>5134</v>
      </c>
      <c r="H534" s="107"/>
      <c r="I534" s="107"/>
      <c r="L534" s="148">
        <v>44120</v>
      </c>
      <c r="M534" s="107">
        <v>667.45</v>
      </c>
      <c r="N534" s="107">
        <v>686.8</v>
      </c>
      <c r="O534" s="107">
        <v>657.7</v>
      </c>
      <c r="P534" s="107">
        <v>678</v>
      </c>
      <c r="Q534" s="107">
        <v>667.45</v>
      </c>
      <c r="R534">
        <v>67586</v>
      </c>
    </row>
    <row r="535" spans="1:18" x14ac:dyDescent="0.25">
      <c r="A535" s="148">
        <v>44123</v>
      </c>
      <c r="B535" s="107">
        <v>671.2</v>
      </c>
      <c r="C535" s="107">
        <v>659.75</v>
      </c>
      <c r="D535" s="107">
        <v>653.95000000000005</v>
      </c>
      <c r="E535" s="107">
        <v>668</v>
      </c>
      <c r="F535" s="107">
        <v>659.75</v>
      </c>
      <c r="G535">
        <v>3390</v>
      </c>
      <c r="H535" s="107"/>
      <c r="I535" s="107"/>
      <c r="L535" s="148">
        <v>44123</v>
      </c>
      <c r="M535" s="107">
        <v>659.4</v>
      </c>
      <c r="N535" s="107">
        <v>674.75</v>
      </c>
      <c r="O535" s="107">
        <v>653</v>
      </c>
      <c r="P535" s="107">
        <v>670</v>
      </c>
      <c r="Q535" s="107">
        <v>659.4</v>
      </c>
      <c r="R535">
        <v>109101</v>
      </c>
    </row>
    <row r="536" spans="1:18" x14ac:dyDescent="0.25">
      <c r="A536" s="148">
        <v>44124</v>
      </c>
      <c r="B536" s="107">
        <v>657</v>
      </c>
      <c r="C536" s="107">
        <v>644.95000000000005</v>
      </c>
      <c r="D536" s="107">
        <v>642.4</v>
      </c>
      <c r="E536" s="107">
        <v>657</v>
      </c>
      <c r="F536" s="107">
        <v>644.95000000000005</v>
      </c>
      <c r="G536">
        <v>5966</v>
      </c>
      <c r="H536" s="107"/>
      <c r="I536" s="107"/>
      <c r="L536" s="148">
        <v>44124</v>
      </c>
      <c r="M536" s="107">
        <v>644.75</v>
      </c>
      <c r="N536" s="107">
        <v>660.95</v>
      </c>
      <c r="O536" s="107">
        <v>642.45000000000005</v>
      </c>
      <c r="P536" s="107">
        <v>660.95</v>
      </c>
      <c r="Q536" s="107">
        <v>644.75</v>
      </c>
      <c r="R536">
        <v>109116</v>
      </c>
    </row>
    <row r="537" spans="1:18" x14ac:dyDescent="0.25">
      <c r="A537" s="148">
        <v>44125</v>
      </c>
      <c r="B537" s="107">
        <v>652.29999999999995</v>
      </c>
      <c r="C537" s="107">
        <v>634.6</v>
      </c>
      <c r="D537" s="107">
        <v>632</v>
      </c>
      <c r="E537" s="107">
        <v>636</v>
      </c>
      <c r="F537" s="107">
        <v>634.6</v>
      </c>
      <c r="G537">
        <v>7248</v>
      </c>
      <c r="H537" s="107"/>
      <c r="I537" s="107"/>
      <c r="L537" s="148">
        <v>44125</v>
      </c>
      <c r="M537" s="107">
        <v>635</v>
      </c>
      <c r="N537" s="107">
        <v>652.70000000000005</v>
      </c>
      <c r="O537" s="107">
        <v>632.15</v>
      </c>
      <c r="P537" s="107">
        <v>647.79999999999995</v>
      </c>
      <c r="Q537" s="107">
        <v>635</v>
      </c>
      <c r="R537">
        <v>139533</v>
      </c>
    </row>
    <row r="538" spans="1:18" x14ac:dyDescent="0.25">
      <c r="A538" s="148">
        <v>44126</v>
      </c>
      <c r="B538" s="107">
        <v>649.5</v>
      </c>
      <c r="C538" s="107">
        <v>629.20000000000005</v>
      </c>
      <c r="D538" s="107">
        <v>624.29999999999995</v>
      </c>
      <c r="E538" s="107">
        <v>649.5</v>
      </c>
      <c r="F538" s="107">
        <v>629.20000000000005</v>
      </c>
      <c r="G538">
        <v>2136</v>
      </c>
      <c r="H538" s="107"/>
      <c r="I538" s="107"/>
      <c r="L538" s="148">
        <v>44126</v>
      </c>
      <c r="M538" s="107">
        <v>629.20000000000005</v>
      </c>
      <c r="N538" s="107">
        <v>643.15</v>
      </c>
      <c r="O538" s="107">
        <v>622.85</v>
      </c>
      <c r="P538" s="107">
        <v>636</v>
      </c>
      <c r="Q538" s="107">
        <v>629.20000000000005</v>
      </c>
      <c r="R538">
        <v>113271</v>
      </c>
    </row>
    <row r="539" spans="1:18" x14ac:dyDescent="0.25">
      <c r="A539" s="148">
        <v>44127</v>
      </c>
      <c r="B539" s="107">
        <v>652.54999999999995</v>
      </c>
      <c r="C539" s="107">
        <v>643.29999999999995</v>
      </c>
      <c r="D539" s="107">
        <v>630.45000000000005</v>
      </c>
      <c r="E539" s="107">
        <v>633.45000000000005</v>
      </c>
      <c r="F539" s="107">
        <v>643.29999999999995</v>
      </c>
      <c r="G539">
        <v>4618</v>
      </c>
      <c r="H539" s="107"/>
      <c r="I539" s="107"/>
      <c r="L539" s="148">
        <v>44127</v>
      </c>
      <c r="M539" s="107">
        <v>643.54999999999995</v>
      </c>
      <c r="N539" s="107">
        <v>646</v>
      </c>
      <c r="O539" s="107">
        <v>630.1</v>
      </c>
      <c r="P539" s="107">
        <v>639.20000000000005</v>
      </c>
      <c r="Q539" s="107">
        <v>643.54999999999995</v>
      </c>
      <c r="R539">
        <v>77414</v>
      </c>
    </row>
    <row r="540" spans="1:18" x14ac:dyDescent="0.25">
      <c r="A540" s="148">
        <v>44130</v>
      </c>
      <c r="B540" s="107">
        <v>655</v>
      </c>
      <c r="C540" s="107">
        <v>632.70000000000005</v>
      </c>
      <c r="D540" s="107">
        <v>630.04999999999995</v>
      </c>
      <c r="E540" s="107">
        <v>644.95000000000005</v>
      </c>
      <c r="F540" s="107">
        <v>632.70000000000005</v>
      </c>
      <c r="G540">
        <v>1648</v>
      </c>
      <c r="H540" s="107"/>
      <c r="I540" s="107"/>
      <c r="L540" s="148">
        <v>44130</v>
      </c>
      <c r="M540" s="107">
        <v>633.65</v>
      </c>
      <c r="N540" s="107">
        <v>663.9</v>
      </c>
      <c r="O540" s="107">
        <v>630</v>
      </c>
      <c r="P540" s="107">
        <v>663.9</v>
      </c>
      <c r="Q540" s="107">
        <v>633.65</v>
      </c>
      <c r="R540">
        <v>43161</v>
      </c>
    </row>
    <row r="541" spans="1:18" x14ac:dyDescent="0.25">
      <c r="A541" s="148">
        <v>44131</v>
      </c>
      <c r="B541" s="107">
        <v>651.5</v>
      </c>
      <c r="C541" s="107">
        <v>645.9</v>
      </c>
      <c r="D541" s="107">
        <v>626.5</v>
      </c>
      <c r="E541" s="107">
        <v>632</v>
      </c>
      <c r="F541" s="107">
        <v>645.9</v>
      </c>
      <c r="G541">
        <v>1692</v>
      </c>
      <c r="H541" s="107"/>
      <c r="I541" s="107"/>
      <c r="L541" s="148">
        <v>44131</v>
      </c>
      <c r="M541" s="107">
        <v>646.70000000000005</v>
      </c>
      <c r="N541" s="107">
        <v>652</v>
      </c>
      <c r="O541" s="107">
        <v>627.1</v>
      </c>
      <c r="P541" s="107">
        <v>633.65</v>
      </c>
      <c r="Q541" s="107">
        <v>646.70000000000005</v>
      </c>
      <c r="R541">
        <v>98757</v>
      </c>
    </row>
    <row r="542" spans="1:18" x14ac:dyDescent="0.25">
      <c r="A542" s="148">
        <v>44132</v>
      </c>
      <c r="B542" s="107">
        <v>645.75</v>
      </c>
      <c r="C542" s="107">
        <v>635.54999999999995</v>
      </c>
      <c r="D542" s="107">
        <v>630.9</v>
      </c>
      <c r="E542" s="107">
        <v>641.4</v>
      </c>
      <c r="F542" s="107">
        <v>635.54999999999995</v>
      </c>
      <c r="G542">
        <v>788</v>
      </c>
      <c r="H542" s="107"/>
      <c r="I542" s="107"/>
      <c r="L542" s="148">
        <v>44132</v>
      </c>
      <c r="M542" s="107">
        <v>633.6</v>
      </c>
      <c r="N542" s="107">
        <v>646.9</v>
      </c>
      <c r="O542" s="107">
        <v>630.85</v>
      </c>
      <c r="P542" s="107">
        <v>646</v>
      </c>
      <c r="Q542" s="107">
        <v>633.6</v>
      </c>
      <c r="R542">
        <v>63904</v>
      </c>
    </row>
    <row r="543" spans="1:18" x14ac:dyDescent="0.25">
      <c r="A543" s="148">
        <v>44133</v>
      </c>
      <c r="B543" s="107">
        <v>653.54999999999995</v>
      </c>
      <c r="C543" s="107">
        <v>643.5</v>
      </c>
      <c r="D543" s="107">
        <v>605.04999999999995</v>
      </c>
      <c r="E543" s="107">
        <v>619.04999999999995</v>
      </c>
      <c r="F543" s="107">
        <v>643.5</v>
      </c>
      <c r="G543">
        <v>6047</v>
      </c>
      <c r="H543" s="107"/>
      <c r="I543" s="107"/>
      <c r="L543" s="148">
        <v>44133</v>
      </c>
      <c r="M543" s="107">
        <v>643.75</v>
      </c>
      <c r="N543" s="107">
        <v>653</v>
      </c>
      <c r="O543" s="107">
        <v>611.95000000000005</v>
      </c>
      <c r="P543" s="107">
        <v>620.15</v>
      </c>
      <c r="Q543" s="107">
        <v>643.75</v>
      </c>
      <c r="R543">
        <v>98740</v>
      </c>
    </row>
    <row r="544" spans="1:18" x14ac:dyDescent="0.25">
      <c r="A544" s="148">
        <v>44134</v>
      </c>
      <c r="B544" s="107">
        <v>654.6</v>
      </c>
      <c r="C544" s="107">
        <v>648.20000000000005</v>
      </c>
      <c r="D544" s="107">
        <v>642.65</v>
      </c>
      <c r="E544" s="107">
        <v>646.75</v>
      </c>
      <c r="F544" s="107">
        <v>648.20000000000005</v>
      </c>
      <c r="G544">
        <v>1517</v>
      </c>
      <c r="H544" s="107"/>
      <c r="I544" s="107"/>
      <c r="L544" s="148">
        <v>44134</v>
      </c>
      <c r="M544" s="107">
        <v>647.95000000000005</v>
      </c>
      <c r="N544" s="107">
        <v>655</v>
      </c>
      <c r="O544" s="107">
        <v>635</v>
      </c>
      <c r="P544" s="107">
        <v>640.04999999999995</v>
      </c>
      <c r="Q544" s="107">
        <v>647.95000000000005</v>
      </c>
      <c r="R544">
        <v>57901</v>
      </c>
    </row>
    <row r="545" spans="1:18" x14ac:dyDescent="0.25">
      <c r="A545" s="148">
        <v>44137</v>
      </c>
      <c r="B545" s="107">
        <v>660</v>
      </c>
      <c r="C545" s="107">
        <v>632.04999999999995</v>
      </c>
      <c r="D545" s="107">
        <v>620.4</v>
      </c>
      <c r="E545" s="107">
        <v>660</v>
      </c>
      <c r="F545" s="107">
        <v>632.04999999999995</v>
      </c>
      <c r="G545">
        <v>5851</v>
      </c>
      <c r="H545" s="107"/>
      <c r="I545" s="107"/>
      <c r="L545" s="148">
        <v>44137</v>
      </c>
      <c r="M545" s="107">
        <v>632.85</v>
      </c>
      <c r="N545" s="107">
        <v>650</v>
      </c>
      <c r="O545" s="107">
        <v>621</v>
      </c>
      <c r="P545" s="107">
        <v>650</v>
      </c>
      <c r="Q545" s="107">
        <v>632.85</v>
      </c>
      <c r="R545">
        <v>138055</v>
      </c>
    </row>
    <row r="546" spans="1:18" x14ac:dyDescent="0.25">
      <c r="A546" s="148">
        <v>44138</v>
      </c>
      <c r="B546" s="107">
        <v>649.5</v>
      </c>
      <c r="C546" s="107">
        <v>637.79999999999995</v>
      </c>
      <c r="D546" s="107">
        <v>620.15</v>
      </c>
      <c r="E546" s="107">
        <v>620.15</v>
      </c>
      <c r="F546" s="107">
        <v>637.79999999999995</v>
      </c>
      <c r="G546">
        <v>1197</v>
      </c>
      <c r="H546" s="107"/>
      <c r="I546" s="107"/>
      <c r="L546" s="148">
        <v>44138</v>
      </c>
      <c r="M546" s="107">
        <v>637.25</v>
      </c>
      <c r="N546" s="107">
        <v>650</v>
      </c>
      <c r="O546" s="107">
        <v>631.04999999999995</v>
      </c>
      <c r="P546" s="107">
        <v>638</v>
      </c>
      <c r="Q546" s="107">
        <v>637.25</v>
      </c>
      <c r="R546">
        <v>55148</v>
      </c>
    </row>
    <row r="547" spans="1:18" x14ac:dyDescent="0.25">
      <c r="A547" s="148">
        <v>44139</v>
      </c>
      <c r="B547" s="107">
        <v>658.95</v>
      </c>
      <c r="C547" s="107">
        <v>624.70000000000005</v>
      </c>
      <c r="D547" s="107">
        <v>616.54999999999995</v>
      </c>
      <c r="E547" s="107">
        <v>658.95</v>
      </c>
      <c r="F547" s="107">
        <v>624.70000000000005</v>
      </c>
      <c r="G547">
        <v>3458</v>
      </c>
      <c r="H547" s="107"/>
      <c r="I547" s="107"/>
      <c r="L547" s="148">
        <v>44139</v>
      </c>
      <c r="M547" s="107">
        <v>624.29999999999995</v>
      </c>
      <c r="N547" s="107">
        <v>639.9</v>
      </c>
      <c r="O547" s="107">
        <v>616.29999999999995</v>
      </c>
      <c r="P547" s="107">
        <v>639.9</v>
      </c>
      <c r="Q547" s="107">
        <v>624.29999999999995</v>
      </c>
      <c r="R547">
        <v>93639</v>
      </c>
    </row>
    <row r="548" spans="1:18" x14ac:dyDescent="0.25">
      <c r="A548" s="148">
        <v>44140</v>
      </c>
      <c r="B548" s="107">
        <v>654</v>
      </c>
      <c r="C548" s="107">
        <v>649</v>
      </c>
      <c r="D548" s="107">
        <v>629.65</v>
      </c>
      <c r="E548" s="107">
        <v>632.5</v>
      </c>
      <c r="F548" s="107">
        <v>649</v>
      </c>
      <c r="G548">
        <v>7135</v>
      </c>
      <c r="H548" s="107"/>
      <c r="I548" s="107"/>
      <c r="L548" s="148">
        <v>44140</v>
      </c>
      <c r="M548" s="107">
        <v>649.45000000000005</v>
      </c>
      <c r="N548" s="107">
        <v>655</v>
      </c>
      <c r="O548" s="107">
        <v>628.5</v>
      </c>
      <c r="P548" s="107">
        <v>628.5</v>
      </c>
      <c r="Q548" s="107">
        <v>649.45000000000005</v>
      </c>
      <c r="R548">
        <v>141811</v>
      </c>
    </row>
    <row r="549" spans="1:18" x14ac:dyDescent="0.25">
      <c r="A549" s="148">
        <v>44141</v>
      </c>
      <c r="B549" s="107">
        <v>694.45</v>
      </c>
      <c r="C549" s="107">
        <v>677.4</v>
      </c>
      <c r="D549" s="107">
        <v>655</v>
      </c>
      <c r="E549" s="107">
        <v>655</v>
      </c>
      <c r="F549" s="107">
        <v>677.4</v>
      </c>
      <c r="G549">
        <v>6821</v>
      </c>
      <c r="H549" s="107"/>
      <c r="I549" s="107"/>
      <c r="L549" s="148">
        <v>44141</v>
      </c>
      <c r="M549" s="107">
        <v>678.6</v>
      </c>
      <c r="N549" s="107">
        <v>694.7</v>
      </c>
      <c r="O549" s="107">
        <v>652</v>
      </c>
      <c r="P549" s="107">
        <v>652</v>
      </c>
      <c r="Q549" s="107">
        <v>678.6</v>
      </c>
      <c r="R549">
        <v>190964</v>
      </c>
    </row>
    <row r="550" spans="1:18" x14ac:dyDescent="0.25">
      <c r="A550" s="148">
        <v>44144</v>
      </c>
      <c r="B550" s="107">
        <v>733.2</v>
      </c>
      <c r="C550" s="107">
        <v>724.8</v>
      </c>
      <c r="D550" s="107">
        <v>665.45</v>
      </c>
      <c r="E550" s="107">
        <v>678</v>
      </c>
      <c r="F550" s="107">
        <v>724.8</v>
      </c>
      <c r="G550">
        <v>11580</v>
      </c>
      <c r="H550" s="107"/>
      <c r="I550" s="107"/>
      <c r="L550" s="148">
        <v>44144</v>
      </c>
      <c r="M550" s="107">
        <v>722.85</v>
      </c>
      <c r="N550" s="107">
        <v>735</v>
      </c>
      <c r="O550" s="107">
        <v>665.05</v>
      </c>
      <c r="P550" s="107">
        <v>670.2</v>
      </c>
      <c r="Q550" s="107">
        <v>722.85</v>
      </c>
      <c r="R550">
        <v>242136</v>
      </c>
    </row>
    <row r="551" spans="1:18" x14ac:dyDescent="0.25">
      <c r="A551" s="148">
        <v>44145</v>
      </c>
      <c r="B551" s="107">
        <v>738.25</v>
      </c>
      <c r="C551" s="107">
        <v>703.1</v>
      </c>
      <c r="D551" s="107">
        <v>691.25</v>
      </c>
      <c r="E551" s="107">
        <v>729.7</v>
      </c>
      <c r="F551" s="107">
        <v>703.1</v>
      </c>
      <c r="G551">
        <v>18125</v>
      </c>
      <c r="H551" s="107"/>
      <c r="I551" s="107"/>
      <c r="L551" s="148">
        <v>44145</v>
      </c>
      <c r="M551" s="107">
        <v>699.4</v>
      </c>
      <c r="N551" s="107">
        <v>738.25</v>
      </c>
      <c r="O551" s="107">
        <v>685</v>
      </c>
      <c r="P551" s="107">
        <v>730</v>
      </c>
      <c r="Q551" s="107">
        <v>699.4</v>
      </c>
      <c r="R551">
        <v>133074</v>
      </c>
    </row>
    <row r="552" spans="1:18" x14ac:dyDescent="0.25">
      <c r="A552" s="148">
        <v>44146</v>
      </c>
      <c r="B552" s="107">
        <v>715</v>
      </c>
      <c r="C552" s="107">
        <v>684.75</v>
      </c>
      <c r="D552" s="107">
        <v>670.6</v>
      </c>
      <c r="E552" s="107">
        <v>709</v>
      </c>
      <c r="F552" s="107">
        <v>684.75</v>
      </c>
      <c r="G552">
        <v>15276</v>
      </c>
      <c r="H552" s="107"/>
      <c r="I552" s="107"/>
      <c r="L552" s="148">
        <v>44146</v>
      </c>
      <c r="M552" s="107">
        <v>685.1</v>
      </c>
      <c r="N552" s="107">
        <v>715.95</v>
      </c>
      <c r="O552" s="107">
        <v>671</v>
      </c>
      <c r="P552" s="107">
        <v>701</v>
      </c>
      <c r="Q552" s="107">
        <v>685.1</v>
      </c>
      <c r="R552">
        <v>100378</v>
      </c>
    </row>
    <row r="553" spans="1:18" x14ac:dyDescent="0.25">
      <c r="A553" s="148">
        <v>44147</v>
      </c>
      <c r="B553" s="107">
        <v>702.6</v>
      </c>
      <c r="C553" s="107">
        <v>678.6</v>
      </c>
      <c r="D553" s="107">
        <v>673.05</v>
      </c>
      <c r="E553" s="107">
        <v>679.05</v>
      </c>
      <c r="F553" s="107">
        <v>678.6</v>
      </c>
      <c r="G553">
        <v>1113</v>
      </c>
      <c r="H553" s="107"/>
      <c r="I553" s="107"/>
      <c r="L553" s="148">
        <v>44147</v>
      </c>
      <c r="M553" s="107">
        <v>678.25</v>
      </c>
      <c r="N553" s="107">
        <v>703.25</v>
      </c>
      <c r="O553" s="107">
        <v>673</v>
      </c>
      <c r="P553" s="107">
        <v>686</v>
      </c>
      <c r="Q553" s="107">
        <v>678.25</v>
      </c>
      <c r="R553">
        <v>53905</v>
      </c>
    </row>
    <row r="554" spans="1:18" x14ac:dyDescent="0.25">
      <c r="A554" s="148">
        <v>44148</v>
      </c>
      <c r="B554" s="107">
        <v>687.7</v>
      </c>
      <c r="C554" s="107">
        <v>671.6</v>
      </c>
      <c r="D554" s="107">
        <v>670</v>
      </c>
      <c r="E554" s="107">
        <v>687.7</v>
      </c>
      <c r="F554" s="107">
        <v>671.6</v>
      </c>
      <c r="G554">
        <v>3840</v>
      </c>
      <c r="H554" s="107"/>
      <c r="I554" s="107"/>
      <c r="L554" s="148">
        <v>44148</v>
      </c>
      <c r="M554" s="107">
        <v>671.5</v>
      </c>
      <c r="N554" s="107">
        <v>687</v>
      </c>
      <c r="O554" s="107">
        <v>668.8</v>
      </c>
      <c r="P554" s="107">
        <v>682</v>
      </c>
      <c r="Q554" s="107">
        <v>671.5</v>
      </c>
      <c r="R554">
        <v>69476</v>
      </c>
    </row>
    <row r="555" spans="1:18" x14ac:dyDescent="0.25">
      <c r="A555" s="148">
        <v>44149</v>
      </c>
      <c r="B555" s="107">
        <v>698.95</v>
      </c>
      <c r="C555" s="107">
        <v>695.6</v>
      </c>
      <c r="D555" s="107">
        <v>680</v>
      </c>
      <c r="E555" s="107">
        <v>685</v>
      </c>
      <c r="F555" s="107">
        <v>695.6</v>
      </c>
      <c r="G555">
        <v>5578</v>
      </c>
      <c r="H555" s="107"/>
      <c r="I555" s="107"/>
      <c r="L555" s="148">
        <v>44149</v>
      </c>
      <c r="M555" s="107">
        <v>693.4</v>
      </c>
      <c r="N555" s="107">
        <v>700</v>
      </c>
      <c r="O555" s="107">
        <v>672.7</v>
      </c>
      <c r="P555" s="107">
        <v>688</v>
      </c>
      <c r="Q555" s="107">
        <v>693.4</v>
      </c>
      <c r="R555">
        <v>22870</v>
      </c>
    </row>
    <row r="556" spans="1:18" x14ac:dyDescent="0.25">
      <c r="A556" s="148">
        <v>44152</v>
      </c>
      <c r="B556" s="107">
        <v>724.45</v>
      </c>
      <c r="C556" s="107">
        <v>719.25</v>
      </c>
      <c r="D556" s="107">
        <v>694.9</v>
      </c>
      <c r="E556" s="107">
        <v>698.4</v>
      </c>
      <c r="F556" s="107">
        <v>719.25</v>
      </c>
      <c r="G556">
        <v>23375</v>
      </c>
      <c r="H556" s="107"/>
      <c r="I556" s="107"/>
      <c r="L556" s="148">
        <v>44152</v>
      </c>
      <c r="M556" s="107">
        <v>719.75</v>
      </c>
      <c r="N556" s="107">
        <v>725</v>
      </c>
      <c r="O556" s="107">
        <v>695.35</v>
      </c>
      <c r="P556" s="107">
        <v>699</v>
      </c>
      <c r="Q556" s="107">
        <v>719.75</v>
      </c>
      <c r="R556">
        <v>162808</v>
      </c>
    </row>
    <row r="557" spans="1:18" x14ac:dyDescent="0.25">
      <c r="A557" s="148">
        <v>44153</v>
      </c>
      <c r="B557" s="107">
        <v>783</v>
      </c>
      <c r="C557" s="107">
        <v>731.6</v>
      </c>
      <c r="D557" s="107">
        <v>720</v>
      </c>
      <c r="E557" s="107">
        <v>721.6</v>
      </c>
      <c r="F557" s="107">
        <v>731.6</v>
      </c>
      <c r="G557">
        <v>21425</v>
      </c>
      <c r="H557" s="107"/>
      <c r="I557" s="107"/>
      <c r="L557" s="148">
        <v>44153</v>
      </c>
      <c r="M557" s="107">
        <v>729.9</v>
      </c>
      <c r="N557" s="107">
        <v>784.8</v>
      </c>
      <c r="O557" s="107">
        <v>710</v>
      </c>
      <c r="P557" s="107">
        <v>725</v>
      </c>
      <c r="Q557" s="107">
        <v>729.9</v>
      </c>
      <c r="R557">
        <v>266363</v>
      </c>
    </row>
    <row r="558" spans="1:18" x14ac:dyDescent="0.25">
      <c r="A558" s="148">
        <v>44154</v>
      </c>
      <c r="B558" s="107">
        <v>748.5</v>
      </c>
      <c r="C558" s="107">
        <v>715.9</v>
      </c>
      <c r="D558" s="107">
        <v>706.95</v>
      </c>
      <c r="E558" s="107">
        <v>726.95</v>
      </c>
      <c r="F558" s="107">
        <v>715.9</v>
      </c>
      <c r="G558">
        <v>8816</v>
      </c>
      <c r="H558" s="107"/>
      <c r="I558" s="107"/>
      <c r="L558" s="148">
        <v>44154</v>
      </c>
      <c r="M558" s="107">
        <v>715.95</v>
      </c>
      <c r="N558" s="107">
        <v>748.45</v>
      </c>
      <c r="O558" s="107">
        <v>710</v>
      </c>
      <c r="P558" s="107">
        <v>718</v>
      </c>
      <c r="Q558" s="107">
        <v>715.95</v>
      </c>
      <c r="R558">
        <v>76067</v>
      </c>
    </row>
    <row r="559" spans="1:18" x14ac:dyDescent="0.25">
      <c r="A559" s="148">
        <v>44155</v>
      </c>
      <c r="B559" s="107">
        <v>745.75</v>
      </c>
      <c r="C559" s="107">
        <v>737.05</v>
      </c>
      <c r="D559" s="107">
        <v>727.3</v>
      </c>
      <c r="E559" s="107">
        <v>733</v>
      </c>
      <c r="F559" s="107">
        <v>737.05</v>
      </c>
      <c r="G559">
        <v>2264</v>
      </c>
      <c r="H559" s="107"/>
      <c r="I559" s="107"/>
      <c r="L559" s="148">
        <v>44155</v>
      </c>
      <c r="M559" s="107">
        <v>736.6</v>
      </c>
      <c r="N559" s="107">
        <v>746.8</v>
      </c>
      <c r="O559" s="107">
        <v>720.75</v>
      </c>
      <c r="P559" s="107">
        <v>720.95</v>
      </c>
      <c r="Q559" s="107">
        <v>736.6</v>
      </c>
      <c r="R559">
        <v>140694</v>
      </c>
    </row>
    <row r="560" spans="1:18" x14ac:dyDescent="0.25">
      <c r="A560" s="148">
        <v>44158</v>
      </c>
      <c r="B560" s="107">
        <v>755.4</v>
      </c>
      <c r="C560" s="107">
        <v>742.65</v>
      </c>
      <c r="D560" s="107">
        <v>725.05</v>
      </c>
      <c r="E560" s="107">
        <v>725.05</v>
      </c>
      <c r="F560" s="107">
        <v>742.65</v>
      </c>
      <c r="G560">
        <v>9113</v>
      </c>
      <c r="H560" s="107"/>
      <c r="I560" s="107"/>
      <c r="L560" s="148">
        <v>44158</v>
      </c>
      <c r="M560" s="107">
        <v>742.65</v>
      </c>
      <c r="N560" s="107">
        <v>757</v>
      </c>
      <c r="O560" s="107">
        <v>737.05</v>
      </c>
      <c r="P560" s="107">
        <v>737.05</v>
      </c>
      <c r="Q560" s="107">
        <v>742.65</v>
      </c>
      <c r="R560">
        <v>139096</v>
      </c>
    </row>
    <row r="561" spans="1:18" x14ac:dyDescent="0.25">
      <c r="A561" s="148">
        <v>44159</v>
      </c>
      <c r="B561" s="107">
        <v>749.7</v>
      </c>
      <c r="C561" s="107">
        <v>721.3</v>
      </c>
      <c r="D561" s="107">
        <v>713.65</v>
      </c>
      <c r="E561" s="107">
        <v>744.1</v>
      </c>
      <c r="F561" s="107">
        <v>721.3</v>
      </c>
      <c r="G561">
        <v>8402</v>
      </c>
      <c r="H561" s="107"/>
      <c r="I561" s="107"/>
      <c r="L561" s="148">
        <v>44159</v>
      </c>
      <c r="M561" s="107">
        <v>721.35</v>
      </c>
      <c r="N561" s="107">
        <v>749.45</v>
      </c>
      <c r="O561" s="107">
        <v>715.5</v>
      </c>
      <c r="P561" s="107">
        <v>749.4</v>
      </c>
      <c r="Q561" s="107">
        <v>721.35</v>
      </c>
      <c r="R561">
        <v>129118</v>
      </c>
    </row>
    <row r="562" spans="1:18" x14ac:dyDescent="0.25">
      <c r="A562" s="148">
        <v>44160</v>
      </c>
      <c r="B562" s="107">
        <v>739</v>
      </c>
      <c r="C562" s="107">
        <v>721.1</v>
      </c>
      <c r="D562" s="107">
        <v>718.65</v>
      </c>
      <c r="E562" s="107">
        <v>724</v>
      </c>
      <c r="F562" s="107">
        <v>721.1</v>
      </c>
      <c r="G562">
        <v>2942</v>
      </c>
      <c r="H562" s="107"/>
      <c r="I562" s="107"/>
      <c r="L562" s="148">
        <v>44160</v>
      </c>
      <c r="M562" s="107">
        <v>722.35</v>
      </c>
      <c r="N562" s="107">
        <v>739.5</v>
      </c>
      <c r="O562" s="107">
        <v>716</v>
      </c>
      <c r="P562" s="107">
        <v>729.9</v>
      </c>
      <c r="Q562" s="107">
        <v>722.35</v>
      </c>
      <c r="R562">
        <v>55210</v>
      </c>
    </row>
    <row r="563" spans="1:18" x14ac:dyDescent="0.25">
      <c r="A563" s="148">
        <v>44161</v>
      </c>
      <c r="B563" s="107">
        <v>740</v>
      </c>
      <c r="C563" s="107">
        <v>722.9</v>
      </c>
      <c r="D563" s="107">
        <v>720.6</v>
      </c>
      <c r="E563" s="107">
        <v>726.75</v>
      </c>
      <c r="F563" s="107">
        <v>722.9</v>
      </c>
      <c r="G563">
        <v>2340</v>
      </c>
      <c r="H563" s="107"/>
      <c r="I563" s="107"/>
      <c r="L563" s="148">
        <v>44161</v>
      </c>
      <c r="M563" s="107">
        <v>722.85</v>
      </c>
      <c r="N563" s="107">
        <v>740.95</v>
      </c>
      <c r="O563" s="107">
        <v>716.55</v>
      </c>
      <c r="P563" s="107">
        <v>716.55</v>
      </c>
      <c r="Q563" s="107">
        <v>722.85</v>
      </c>
      <c r="R563">
        <v>74183</v>
      </c>
    </row>
    <row r="564" spans="1:18" x14ac:dyDescent="0.25">
      <c r="A564" s="148">
        <v>44162</v>
      </c>
      <c r="B564" s="107">
        <v>802</v>
      </c>
      <c r="C564" s="107">
        <v>789.75</v>
      </c>
      <c r="D564" s="107">
        <v>724.75</v>
      </c>
      <c r="E564" s="107">
        <v>725.15</v>
      </c>
      <c r="F564" s="107">
        <v>789.75</v>
      </c>
      <c r="G564">
        <v>34633</v>
      </c>
      <c r="H564" s="107"/>
      <c r="I564" s="107"/>
      <c r="L564" s="148">
        <v>44162</v>
      </c>
      <c r="M564" s="107">
        <v>791.1</v>
      </c>
      <c r="N564" s="107">
        <v>801.25</v>
      </c>
      <c r="O564" s="107">
        <v>725.15</v>
      </c>
      <c r="P564" s="107">
        <v>726.5</v>
      </c>
      <c r="Q564" s="107">
        <v>791.1</v>
      </c>
      <c r="R564">
        <v>761820</v>
      </c>
    </row>
    <row r="565" spans="1:18" x14ac:dyDescent="0.25">
      <c r="A565" s="148">
        <v>44166</v>
      </c>
      <c r="B565" s="107">
        <v>839</v>
      </c>
      <c r="C565" s="107">
        <v>811</v>
      </c>
      <c r="D565" s="107">
        <v>791.05</v>
      </c>
      <c r="E565" s="107">
        <v>791.05</v>
      </c>
      <c r="F565" s="107">
        <v>811</v>
      </c>
      <c r="G565">
        <v>13106</v>
      </c>
      <c r="H565" s="107"/>
      <c r="I565" s="107"/>
      <c r="L565" s="148">
        <v>44166</v>
      </c>
      <c r="M565" s="107">
        <v>809.25</v>
      </c>
      <c r="N565" s="107">
        <v>839.95</v>
      </c>
      <c r="O565" s="107">
        <v>795.25</v>
      </c>
      <c r="P565" s="107">
        <v>798.95</v>
      </c>
      <c r="Q565" s="107">
        <v>809.25</v>
      </c>
      <c r="R565">
        <v>268853</v>
      </c>
    </row>
    <row r="566" spans="1:18" x14ac:dyDescent="0.25">
      <c r="A566" s="148">
        <v>44167</v>
      </c>
      <c r="B566" s="107">
        <v>826.6</v>
      </c>
      <c r="C566" s="107">
        <v>814.8</v>
      </c>
      <c r="D566" s="107">
        <v>792.25</v>
      </c>
      <c r="E566" s="107">
        <v>815</v>
      </c>
      <c r="F566" s="107">
        <v>814.8</v>
      </c>
      <c r="G566">
        <v>11908</v>
      </c>
      <c r="H566" s="107"/>
      <c r="I566" s="107"/>
      <c r="L566" s="148">
        <v>44167</v>
      </c>
      <c r="M566" s="107">
        <v>814.3</v>
      </c>
      <c r="N566" s="107">
        <v>827</v>
      </c>
      <c r="O566" s="107">
        <v>792.1</v>
      </c>
      <c r="P566" s="107">
        <v>813</v>
      </c>
      <c r="Q566" s="107">
        <v>814.3</v>
      </c>
      <c r="R566">
        <v>100314</v>
      </c>
    </row>
    <row r="567" spans="1:18" x14ac:dyDescent="0.25">
      <c r="A567" s="148">
        <v>44168</v>
      </c>
      <c r="B567" s="107">
        <v>827.6</v>
      </c>
      <c r="C567" s="107">
        <v>792.2</v>
      </c>
      <c r="D567" s="107">
        <v>788</v>
      </c>
      <c r="E567" s="107">
        <v>790.05</v>
      </c>
      <c r="F567" s="107">
        <v>792.2</v>
      </c>
      <c r="G567">
        <v>6990</v>
      </c>
      <c r="H567" s="107"/>
      <c r="I567" s="107"/>
      <c r="L567" s="148">
        <v>44168</v>
      </c>
      <c r="M567" s="107">
        <v>792.35</v>
      </c>
      <c r="N567" s="107">
        <v>828.4</v>
      </c>
      <c r="O567" s="107">
        <v>787</v>
      </c>
      <c r="P567" s="107">
        <v>816</v>
      </c>
      <c r="Q567" s="107">
        <v>792.35</v>
      </c>
      <c r="R567">
        <v>98570</v>
      </c>
    </row>
    <row r="568" spans="1:18" x14ac:dyDescent="0.25">
      <c r="A568" s="148">
        <v>44169</v>
      </c>
      <c r="B568" s="107">
        <v>819.25</v>
      </c>
      <c r="C568" s="107">
        <v>795.1</v>
      </c>
      <c r="D568" s="107">
        <v>793.2</v>
      </c>
      <c r="E568" s="107">
        <v>808.7</v>
      </c>
      <c r="F568" s="107">
        <v>795.1</v>
      </c>
      <c r="G568">
        <v>2908</v>
      </c>
      <c r="H568" s="107"/>
      <c r="I568" s="107"/>
      <c r="L568" s="148">
        <v>44169</v>
      </c>
      <c r="M568" s="107">
        <v>794.8</v>
      </c>
      <c r="N568" s="107">
        <v>820</v>
      </c>
      <c r="O568" s="107">
        <v>793.05</v>
      </c>
      <c r="P568" s="107">
        <v>802</v>
      </c>
      <c r="Q568" s="107">
        <v>794.8</v>
      </c>
      <c r="R568">
        <v>171181</v>
      </c>
    </row>
    <row r="569" spans="1:18" x14ac:dyDescent="0.25">
      <c r="A569" s="148">
        <v>44172</v>
      </c>
      <c r="B569" s="107">
        <v>816.8</v>
      </c>
      <c r="C569" s="107">
        <v>793.7</v>
      </c>
      <c r="D569" s="107">
        <v>789.2</v>
      </c>
      <c r="E569" s="107">
        <v>795</v>
      </c>
      <c r="F569" s="107">
        <v>793.7</v>
      </c>
      <c r="G569">
        <v>7582</v>
      </c>
      <c r="H569" s="107"/>
      <c r="I569" s="107"/>
      <c r="L569" s="148">
        <v>44172</v>
      </c>
      <c r="M569" s="107">
        <v>792.65</v>
      </c>
      <c r="N569" s="107">
        <v>816.5</v>
      </c>
      <c r="O569" s="107">
        <v>789</v>
      </c>
      <c r="P569" s="107">
        <v>805.9</v>
      </c>
      <c r="Q569" s="107">
        <v>792.65</v>
      </c>
      <c r="R569">
        <v>75736</v>
      </c>
    </row>
    <row r="570" spans="1:18" x14ac:dyDescent="0.25">
      <c r="A570" s="148">
        <v>44173</v>
      </c>
      <c r="B570" s="107">
        <v>817.8</v>
      </c>
      <c r="C570" s="107">
        <v>776.55</v>
      </c>
      <c r="D570" s="107">
        <v>769.25</v>
      </c>
      <c r="E570" s="107">
        <v>817.8</v>
      </c>
      <c r="F570" s="107">
        <v>776.55</v>
      </c>
      <c r="G570">
        <v>8645</v>
      </c>
      <c r="H570" s="107"/>
      <c r="I570" s="107"/>
      <c r="L570" s="148">
        <v>44173</v>
      </c>
      <c r="M570" s="107">
        <v>775.35</v>
      </c>
      <c r="N570" s="107">
        <v>802.2</v>
      </c>
      <c r="O570" s="107">
        <v>768</v>
      </c>
      <c r="P570" s="107">
        <v>801.85</v>
      </c>
      <c r="Q570" s="107">
        <v>775.35</v>
      </c>
      <c r="R570">
        <v>67304</v>
      </c>
    </row>
    <row r="571" spans="1:18" x14ac:dyDescent="0.25">
      <c r="A571" s="148">
        <v>44174</v>
      </c>
      <c r="B571" s="107">
        <v>792</v>
      </c>
      <c r="C571" s="107">
        <v>767.7</v>
      </c>
      <c r="D571" s="107">
        <v>765.45</v>
      </c>
      <c r="E571" s="107">
        <v>790</v>
      </c>
      <c r="F571" s="107">
        <v>767.7</v>
      </c>
      <c r="G571">
        <v>8397</v>
      </c>
      <c r="H571" s="107"/>
      <c r="I571" s="107"/>
      <c r="L571" s="148">
        <v>44174</v>
      </c>
      <c r="M571" s="107">
        <v>767.5</v>
      </c>
      <c r="N571" s="107">
        <v>791.9</v>
      </c>
      <c r="O571" s="107">
        <v>765</v>
      </c>
      <c r="P571" s="107">
        <v>779.25</v>
      </c>
      <c r="Q571" s="107">
        <v>767.5</v>
      </c>
      <c r="R571">
        <v>64478</v>
      </c>
    </row>
    <row r="572" spans="1:18" x14ac:dyDescent="0.25">
      <c r="A572" s="148">
        <v>44175</v>
      </c>
      <c r="B572" s="107">
        <v>773.95</v>
      </c>
      <c r="C572" s="107">
        <v>755.2</v>
      </c>
      <c r="D572" s="107">
        <v>741.2</v>
      </c>
      <c r="E572" s="107">
        <v>773.95</v>
      </c>
      <c r="F572" s="107">
        <v>755.2</v>
      </c>
      <c r="G572">
        <v>9177</v>
      </c>
      <c r="H572" s="107"/>
      <c r="I572" s="107"/>
      <c r="L572" s="148">
        <v>44175</v>
      </c>
      <c r="M572" s="107">
        <v>755.45</v>
      </c>
      <c r="N572" s="107">
        <v>771.35</v>
      </c>
      <c r="O572" s="107">
        <v>741.7</v>
      </c>
      <c r="P572" s="107">
        <v>767.5</v>
      </c>
      <c r="Q572" s="107">
        <v>755.45</v>
      </c>
      <c r="R572">
        <v>94682</v>
      </c>
    </row>
    <row r="573" spans="1:18" x14ac:dyDescent="0.25">
      <c r="A573" s="148">
        <v>44176</v>
      </c>
      <c r="B573" s="107">
        <v>789.85</v>
      </c>
      <c r="C573" s="107">
        <v>786</v>
      </c>
      <c r="D573" s="107">
        <v>756</v>
      </c>
      <c r="E573" s="107">
        <v>756</v>
      </c>
      <c r="F573" s="107">
        <v>786</v>
      </c>
      <c r="G573">
        <v>4129</v>
      </c>
      <c r="H573" s="107"/>
      <c r="I573" s="107"/>
      <c r="L573" s="148">
        <v>44176</v>
      </c>
      <c r="M573" s="107">
        <v>784.6</v>
      </c>
      <c r="N573" s="107">
        <v>789.9</v>
      </c>
      <c r="O573" s="107">
        <v>755.5</v>
      </c>
      <c r="P573" s="107">
        <v>759</v>
      </c>
      <c r="Q573" s="107">
        <v>784.6</v>
      </c>
      <c r="R573">
        <v>84549</v>
      </c>
    </row>
    <row r="574" spans="1:18" x14ac:dyDescent="0.25">
      <c r="A574" s="148">
        <v>44179</v>
      </c>
      <c r="B574" s="107">
        <v>814.95</v>
      </c>
      <c r="C574" s="107">
        <v>794.2</v>
      </c>
      <c r="D574" s="107">
        <v>785.5</v>
      </c>
      <c r="E574" s="107">
        <v>785.5</v>
      </c>
      <c r="F574" s="107">
        <v>794.2</v>
      </c>
      <c r="G574">
        <v>12001</v>
      </c>
      <c r="H574" s="107"/>
      <c r="I574" s="107"/>
      <c r="L574" s="148">
        <v>44179</v>
      </c>
      <c r="M574" s="107">
        <v>794.2</v>
      </c>
      <c r="N574" s="107">
        <v>820</v>
      </c>
      <c r="O574" s="107">
        <v>789</v>
      </c>
      <c r="P574" s="107">
        <v>794.5</v>
      </c>
      <c r="Q574" s="107">
        <v>794.2</v>
      </c>
      <c r="R574">
        <v>82185</v>
      </c>
    </row>
    <row r="575" spans="1:18" x14ac:dyDescent="0.25">
      <c r="A575" s="148">
        <v>44180</v>
      </c>
      <c r="B575" s="107">
        <v>800</v>
      </c>
      <c r="C575" s="107">
        <v>779.5</v>
      </c>
      <c r="D575" s="107">
        <v>766.8</v>
      </c>
      <c r="E575" s="107">
        <v>800</v>
      </c>
      <c r="F575" s="107">
        <v>779.5</v>
      </c>
      <c r="G575">
        <v>7944</v>
      </c>
      <c r="H575" s="107"/>
      <c r="I575" s="107"/>
      <c r="L575" s="148">
        <v>44180</v>
      </c>
      <c r="M575" s="107">
        <v>780.5</v>
      </c>
      <c r="N575" s="107">
        <v>797</v>
      </c>
      <c r="O575" s="107">
        <v>767</v>
      </c>
      <c r="P575" s="107">
        <v>797</v>
      </c>
      <c r="Q575" s="107">
        <v>780.5</v>
      </c>
      <c r="R575">
        <v>57577</v>
      </c>
    </row>
    <row r="576" spans="1:18" x14ac:dyDescent="0.25">
      <c r="A576" s="148">
        <v>44181</v>
      </c>
      <c r="B576" s="107">
        <v>790</v>
      </c>
      <c r="C576" s="107">
        <v>781.8</v>
      </c>
      <c r="D576" s="107">
        <v>768.2</v>
      </c>
      <c r="E576" s="107">
        <v>790</v>
      </c>
      <c r="F576" s="107">
        <v>781.8</v>
      </c>
      <c r="G576">
        <v>5612</v>
      </c>
      <c r="H576" s="107"/>
      <c r="I576" s="107"/>
      <c r="L576" s="148">
        <v>44181</v>
      </c>
      <c r="M576" s="107">
        <v>782.7</v>
      </c>
      <c r="N576" s="107">
        <v>792.55</v>
      </c>
      <c r="O576" s="107">
        <v>775.35</v>
      </c>
      <c r="P576" s="107">
        <v>780.6</v>
      </c>
      <c r="Q576" s="107">
        <v>782.7</v>
      </c>
      <c r="R576">
        <v>34286</v>
      </c>
    </row>
    <row r="577" spans="1:18" x14ac:dyDescent="0.25">
      <c r="A577" s="148">
        <v>44182</v>
      </c>
      <c r="B577" s="107">
        <v>815</v>
      </c>
      <c r="C577" s="107">
        <v>808.2</v>
      </c>
      <c r="D577" s="107">
        <v>783.55</v>
      </c>
      <c r="E577" s="107">
        <v>794.9</v>
      </c>
      <c r="F577" s="107">
        <v>808.2</v>
      </c>
      <c r="G577">
        <v>6925</v>
      </c>
      <c r="H577" s="107"/>
      <c r="I577" s="107"/>
      <c r="L577" s="148">
        <v>44182</v>
      </c>
      <c r="M577" s="107">
        <v>808.35</v>
      </c>
      <c r="N577" s="107">
        <v>818</v>
      </c>
      <c r="O577" s="107">
        <v>780.65</v>
      </c>
      <c r="P577" s="107">
        <v>788.85</v>
      </c>
      <c r="Q577" s="107">
        <v>808.35</v>
      </c>
      <c r="R577">
        <v>107833</v>
      </c>
    </row>
    <row r="578" spans="1:18" x14ac:dyDescent="0.25">
      <c r="A578" s="148">
        <v>44183</v>
      </c>
      <c r="B578" s="107">
        <v>822</v>
      </c>
      <c r="C578" s="107">
        <v>815.7</v>
      </c>
      <c r="D578" s="107">
        <v>804.7</v>
      </c>
      <c r="E578" s="107">
        <v>818</v>
      </c>
      <c r="F578" s="107">
        <v>815.7</v>
      </c>
      <c r="G578">
        <v>3981</v>
      </c>
      <c r="H578" s="107"/>
      <c r="I578" s="107"/>
      <c r="L578" s="148">
        <v>44183</v>
      </c>
      <c r="M578" s="107">
        <v>814.85</v>
      </c>
      <c r="N578" s="107">
        <v>823</v>
      </c>
      <c r="O578" s="107">
        <v>801.7</v>
      </c>
      <c r="P578" s="107">
        <v>815</v>
      </c>
      <c r="Q578" s="107">
        <v>814.85</v>
      </c>
      <c r="R578">
        <v>89580</v>
      </c>
    </row>
    <row r="579" spans="1:18" x14ac:dyDescent="0.25">
      <c r="A579" s="148">
        <v>44186</v>
      </c>
      <c r="B579" s="107">
        <v>821.85</v>
      </c>
      <c r="C579" s="107">
        <v>783.1</v>
      </c>
      <c r="D579" s="107">
        <v>691.8</v>
      </c>
      <c r="E579" s="107">
        <v>805</v>
      </c>
      <c r="F579" s="107">
        <v>783.1</v>
      </c>
      <c r="G579">
        <v>20866</v>
      </c>
      <c r="H579" s="107"/>
      <c r="I579" s="107"/>
      <c r="L579" s="148">
        <v>44186</v>
      </c>
      <c r="M579" s="107">
        <v>788.75</v>
      </c>
      <c r="N579" s="107">
        <v>821.85</v>
      </c>
      <c r="O579" s="107">
        <v>692.6</v>
      </c>
      <c r="P579" s="107">
        <v>813.75</v>
      </c>
      <c r="Q579" s="107">
        <v>788.75</v>
      </c>
      <c r="R579">
        <v>126839</v>
      </c>
    </row>
    <row r="580" spans="1:18" x14ac:dyDescent="0.25">
      <c r="A580" s="148">
        <v>44187</v>
      </c>
      <c r="B580" s="107">
        <v>809.95</v>
      </c>
      <c r="C580" s="107">
        <v>793.9</v>
      </c>
      <c r="D580" s="107">
        <v>717.4</v>
      </c>
      <c r="E580" s="107">
        <v>785</v>
      </c>
      <c r="F580" s="107">
        <v>793.9</v>
      </c>
      <c r="G580">
        <v>4551</v>
      </c>
      <c r="H580" s="107"/>
      <c r="I580" s="107"/>
      <c r="L580" s="148">
        <v>44187</v>
      </c>
      <c r="M580" s="107">
        <v>793</v>
      </c>
      <c r="N580" s="107">
        <v>809</v>
      </c>
      <c r="O580" s="107">
        <v>705.1</v>
      </c>
      <c r="P580" s="107">
        <v>780</v>
      </c>
      <c r="Q580" s="107">
        <v>793</v>
      </c>
      <c r="R580">
        <v>112624</v>
      </c>
    </row>
    <row r="581" spans="1:18" x14ac:dyDescent="0.25">
      <c r="A581" s="148">
        <v>44188</v>
      </c>
      <c r="B581" s="107">
        <v>809.8</v>
      </c>
      <c r="C581" s="107">
        <v>798.1</v>
      </c>
      <c r="D581" s="107">
        <v>786.95</v>
      </c>
      <c r="E581" s="107">
        <v>795.05</v>
      </c>
      <c r="F581" s="107">
        <v>798.1</v>
      </c>
      <c r="G581">
        <v>4839</v>
      </c>
      <c r="H581" s="107"/>
      <c r="I581" s="107"/>
      <c r="L581" s="148">
        <v>44188</v>
      </c>
      <c r="M581" s="107">
        <v>796.2</v>
      </c>
      <c r="N581" s="107">
        <v>810</v>
      </c>
      <c r="O581" s="107">
        <v>784.75</v>
      </c>
      <c r="P581" s="107">
        <v>794.8</v>
      </c>
      <c r="Q581" s="107">
        <v>796.2</v>
      </c>
      <c r="R581">
        <v>66221</v>
      </c>
    </row>
    <row r="582" spans="1:18" x14ac:dyDescent="0.25">
      <c r="A582" s="148">
        <v>44189</v>
      </c>
      <c r="B582" s="107">
        <v>809</v>
      </c>
      <c r="C582" s="107">
        <v>777.4</v>
      </c>
      <c r="D582" s="107">
        <v>770.5</v>
      </c>
      <c r="E582" s="107">
        <v>790</v>
      </c>
      <c r="F582" s="107">
        <v>777.4</v>
      </c>
      <c r="G582">
        <v>8969</v>
      </c>
      <c r="H582" s="107"/>
      <c r="I582" s="107"/>
      <c r="L582" s="148">
        <v>44189</v>
      </c>
      <c r="M582" s="107">
        <v>777.85</v>
      </c>
      <c r="N582" s="107">
        <v>809.45</v>
      </c>
      <c r="O582" s="107">
        <v>770.1</v>
      </c>
      <c r="P582" s="107">
        <v>800.2</v>
      </c>
      <c r="Q582" s="107">
        <v>777.85</v>
      </c>
      <c r="R582">
        <v>184441</v>
      </c>
    </row>
    <row r="583" spans="1:18" x14ac:dyDescent="0.25">
      <c r="A583" s="148">
        <v>44193</v>
      </c>
      <c r="B583" s="107">
        <v>800</v>
      </c>
      <c r="C583" s="107">
        <v>787.2</v>
      </c>
      <c r="D583" s="107">
        <v>780.85</v>
      </c>
      <c r="E583" s="107">
        <v>783</v>
      </c>
      <c r="F583" s="107">
        <v>787.2</v>
      </c>
      <c r="G583">
        <v>2783</v>
      </c>
      <c r="H583" s="107"/>
      <c r="I583" s="107"/>
      <c r="L583" s="148">
        <v>44193</v>
      </c>
      <c r="M583" s="107">
        <v>783.65</v>
      </c>
      <c r="N583" s="107">
        <v>825</v>
      </c>
      <c r="O583" s="107">
        <v>778</v>
      </c>
      <c r="P583" s="107">
        <v>785.7</v>
      </c>
      <c r="Q583" s="107">
        <v>783.65</v>
      </c>
      <c r="R583">
        <v>98013</v>
      </c>
    </row>
    <row r="584" spans="1:18" x14ac:dyDescent="0.25">
      <c r="A584" s="148">
        <v>44194</v>
      </c>
      <c r="B584" s="107">
        <v>795</v>
      </c>
      <c r="C584" s="107">
        <v>782.4</v>
      </c>
      <c r="D584" s="107">
        <v>764</v>
      </c>
      <c r="E584" s="107">
        <v>795</v>
      </c>
      <c r="F584" s="107">
        <v>782.4</v>
      </c>
      <c r="G584">
        <v>8009</v>
      </c>
      <c r="H584" s="107"/>
      <c r="I584" s="107"/>
      <c r="L584" s="148">
        <v>44194</v>
      </c>
      <c r="M584" s="107">
        <v>782.05</v>
      </c>
      <c r="N584" s="107">
        <v>791.7</v>
      </c>
      <c r="O584" s="107">
        <v>763.65</v>
      </c>
      <c r="P584" s="107">
        <v>787.6</v>
      </c>
      <c r="Q584" s="107">
        <v>782.05</v>
      </c>
      <c r="R584">
        <v>61074</v>
      </c>
    </row>
    <row r="585" spans="1:18" x14ac:dyDescent="0.25">
      <c r="A585" s="148">
        <v>44195</v>
      </c>
      <c r="B585" s="107">
        <v>781.15</v>
      </c>
      <c r="C585" s="107">
        <v>768</v>
      </c>
      <c r="D585" s="107">
        <v>766</v>
      </c>
      <c r="E585" s="107">
        <v>777.6</v>
      </c>
      <c r="F585" s="107">
        <v>768</v>
      </c>
      <c r="G585">
        <v>4281</v>
      </c>
      <c r="H585" s="107"/>
      <c r="I585" s="107"/>
      <c r="L585" s="148">
        <v>44195</v>
      </c>
      <c r="M585" s="107">
        <v>767.75</v>
      </c>
      <c r="N585" s="107">
        <v>783</v>
      </c>
      <c r="O585" s="107">
        <v>765</v>
      </c>
      <c r="P585" s="107">
        <v>782.05</v>
      </c>
      <c r="Q585" s="107">
        <v>767.75</v>
      </c>
      <c r="R585">
        <v>62819</v>
      </c>
    </row>
    <row r="586" spans="1:18" x14ac:dyDescent="0.25">
      <c r="A586" s="148">
        <v>44196</v>
      </c>
      <c r="B586" s="107">
        <v>776</v>
      </c>
      <c r="C586" s="107">
        <v>756.65</v>
      </c>
      <c r="D586" s="107">
        <v>748.8</v>
      </c>
      <c r="E586" s="107">
        <v>755</v>
      </c>
      <c r="F586" s="107">
        <v>756.65</v>
      </c>
      <c r="G586">
        <v>9768</v>
      </c>
      <c r="H586" s="107"/>
      <c r="I586" s="107"/>
      <c r="L586" s="148">
        <v>44196</v>
      </c>
      <c r="M586" s="107">
        <v>755.85</v>
      </c>
      <c r="N586" s="107">
        <v>776.4</v>
      </c>
      <c r="O586" s="107">
        <v>748.05</v>
      </c>
      <c r="P586" s="107">
        <v>767.5</v>
      </c>
      <c r="Q586" s="107">
        <v>755.85</v>
      </c>
      <c r="R586">
        <v>178372</v>
      </c>
    </row>
    <row r="587" spans="1:18" x14ac:dyDescent="0.25">
      <c r="A587" s="148">
        <v>44197</v>
      </c>
      <c r="B587" s="107">
        <v>774.45</v>
      </c>
      <c r="C587" s="107">
        <v>768.85</v>
      </c>
      <c r="D587" s="107">
        <v>760.3</v>
      </c>
      <c r="E587" s="107">
        <v>762.75</v>
      </c>
      <c r="F587" s="107">
        <v>768.85</v>
      </c>
      <c r="G587">
        <v>5001</v>
      </c>
      <c r="H587" s="107"/>
      <c r="I587" s="107"/>
      <c r="L587" s="148">
        <v>44197</v>
      </c>
      <c r="M587" s="107">
        <v>768.95</v>
      </c>
      <c r="N587" s="107">
        <v>774.5</v>
      </c>
      <c r="O587" s="107">
        <v>758.65</v>
      </c>
      <c r="P587" s="107">
        <v>762.7</v>
      </c>
      <c r="Q587" s="107">
        <v>768.95</v>
      </c>
      <c r="R587">
        <v>27230</v>
      </c>
    </row>
    <row r="588" spans="1:18" x14ac:dyDescent="0.25">
      <c r="A588" s="148">
        <v>44200</v>
      </c>
      <c r="B588" s="107">
        <v>774.85</v>
      </c>
      <c r="C588" s="107">
        <v>750.6</v>
      </c>
      <c r="D588" s="107">
        <v>749</v>
      </c>
      <c r="E588" s="107">
        <v>774.7</v>
      </c>
      <c r="F588" s="107">
        <v>750.6</v>
      </c>
      <c r="G588">
        <v>5946</v>
      </c>
      <c r="H588" s="107"/>
      <c r="I588" s="107"/>
      <c r="L588" s="148">
        <v>44200</v>
      </c>
      <c r="M588" s="107">
        <v>749.95</v>
      </c>
      <c r="N588" s="107">
        <v>776.7</v>
      </c>
      <c r="O588" s="107">
        <v>748.75</v>
      </c>
      <c r="P588" s="107">
        <v>776.7</v>
      </c>
      <c r="Q588" s="107">
        <v>749.95</v>
      </c>
      <c r="R588">
        <v>300240</v>
      </c>
    </row>
    <row r="589" spans="1:18" x14ac:dyDescent="0.25">
      <c r="A589" s="148">
        <v>44201</v>
      </c>
      <c r="B589" s="107">
        <v>772.05</v>
      </c>
      <c r="C589" s="107">
        <v>768.2</v>
      </c>
      <c r="D589" s="107">
        <v>718.9</v>
      </c>
      <c r="E589" s="107">
        <v>740.05</v>
      </c>
      <c r="F589" s="107">
        <v>768.2</v>
      </c>
      <c r="G589">
        <v>21093</v>
      </c>
      <c r="H589" s="107"/>
      <c r="I589" s="107"/>
      <c r="L589" s="148">
        <v>44201</v>
      </c>
      <c r="M589" s="107">
        <v>768.85</v>
      </c>
      <c r="N589" s="107">
        <v>772</v>
      </c>
      <c r="O589" s="107">
        <v>725</v>
      </c>
      <c r="P589" s="107">
        <v>750</v>
      </c>
      <c r="Q589" s="107">
        <v>768.85</v>
      </c>
      <c r="R589">
        <v>83576</v>
      </c>
    </row>
    <row r="590" spans="1:18" x14ac:dyDescent="0.25">
      <c r="A590" s="148">
        <v>44202</v>
      </c>
      <c r="B590" s="107">
        <v>799</v>
      </c>
      <c r="C590" s="107">
        <v>763.7</v>
      </c>
      <c r="D590" s="107">
        <v>760</v>
      </c>
      <c r="E590" s="107">
        <v>799</v>
      </c>
      <c r="F590" s="107">
        <v>763.7</v>
      </c>
      <c r="G590">
        <v>4601</v>
      </c>
      <c r="H590" s="107"/>
      <c r="I590" s="107"/>
      <c r="L590" s="148">
        <v>44202</v>
      </c>
      <c r="M590" s="107">
        <v>764.7</v>
      </c>
      <c r="N590" s="107">
        <v>774.1</v>
      </c>
      <c r="O590" s="107">
        <v>757.55</v>
      </c>
      <c r="P590" s="107">
        <v>767</v>
      </c>
      <c r="Q590" s="107">
        <v>764.7</v>
      </c>
      <c r="R590">
        <v>57619</v>
      </c>
    </row>
    <row r="591" spans="1:18" x14ac:dyDescent="0.25">
      <c r="A591" s="148">
        <v>44203</v>
      </c>
      <c r="B591" s="107">
        <v>781.1</v>
      </c>
      <c r="C591" s="107">
        <v>779.05</v>
      </c>
      <c r="D591" s="107">
        <v>763.75</v>
      </c>
      <c r="E591" s="107">
        <v>769.9</v>
      </c>
      <c r="F591" s="107">
        <v>779.05</v>
      </c>
      <c r="G591">
        <v>4553</v>
      </c>
      <c r="H591" s="107"/>
      <c r="I591" s="107"/>
      <c r="L591" s="148">
        <v>44203</v>
      </c>
      <c r="M591" s="107">
        <v>779.15</v>
      </c>
      <c r="N591" s="107">
        <v>782.6</v>
      </c>
      <c r="O591" s="107">
        <v>762.2</v>
      </c>
      <c r="P591" s="107">
        <v>771.9</v>
      </c>
      <c r="Q591" s="107">
        <v>779.15</v>
      </c>
      <c r="R591">
        <v>85944</v>
      </c>
    </row>
    <row r="592" spans="1:18" x14ac:dyDescent="0.25">
      <c r="A592" s="148">
        <v>44204</v>
      </c>
      <c r="B592" s="107">
        <v>802</v>
      </c>
      <c r="C592" s="107">
        <v>799.7</v>
      </c>
      <c r="D592" s="107">
        <v>778.75</v>
      </c>
      <c r="E592" s="107">
        <v>778.75</v>
      </c>
      <c r="F592" s="107">
        <v>799.7</v>
      </c>
      <c r="G592">
        <v>5643</v>
      </c>
      <c r="H592" s="107"/>
      <c r="I592" s="107"/>
      <c r="L592" s="148">
        <v>44204</v>
      </c>
      <c r="M592" s="107">
        <v>799.9</v>
      </c>
      <c r="N592" s="107">
        <v>802</v>
      </c>
      <c r="O592" s="107">
        <v>780.1</v>
      </c>
      <c r="P592" s="107">
        <v>785.05</v>
      </c>
      <c r="Q592" s="107">
        <v>799.9</v>
      </c>
      <c r="R592">
        <v>191115</v>
      </c>
    </row>
    <row r="593" spans="1:18" x14ac:dyDescent="0.25">
      <c r="A593" s="148">
        <v>44207</v>
      </c>
      <c r="B593" s="107">
        <v>810</v>
      </c>
      <c r="C593" s="107">
        <v>794.95</v>
      </c>
      <c r="D593" s="107">
        <v>790.5</v>
      </c>
      <c r="E593" s="107">
        <v>810</v>
      </c>
      <c r="F593" s="107">
        <v>794.95</v>
      </c>
      <c r="G593">
        <v>4243</v>
      </c>
      <c r="H593" s="107"/>
      <c r="I593" s="107"/>
      <c r="L593" s="148">
        <v>44207</v>
      </c>
      <c r="M593" s="107">
        <v>795.15</v>
      </c>
      <c r="N593" s="107">
        <v>814</v>
      </c>
      <c r="O593" s="107">
        <v>790</v>
      </c>
      <c r="P593" s="107">
        <v>807.7</v>
      </c>
      <c r="Q593" s="107">
        <v>795.15</v>
      </c>
      <c r="R593">
        <v>113057</v>
      </c>
    </row>
    <row r="594" spans="1:18" x14ac:dyDescent="0.25">
      <c r="A594" s="148">
        <v>44208</v>
      </c>
      <c r="B594" s="107">
        <v>793.7</v>
      </c>
      <c r="C594" s="107">
        <v>777.6</v>
      </c>
      <c r="D594" s="107">
        <v>770</v>
      </c>
      <c r="E594" s="107">
        <v>793.7</v>
      </c>
      <c r="F594" s="107">
        <v>777.6</v>
      </c>
      <c r="G594">
        <v>4093</v>
      </c>
      <c r="H594" s="107"/>
      <c r="I594" s="107"/>
      <c r="L594" s="148">
        <v>44208</v>
      </c>
      <c r="M594" s="107">
        <v>778.7</v>
      </c>
      <c r="N594" s="107">
        <v>799.15</v>
      </c>
      <c r="O594" s="107">
        <v>768.35</v>
      </c>
      <c r="P594" s="107">
        <v>799.15</v>
      </c>
      <c r="Q594" s="107">
        <v>778.7</v>
      </c>
      <c r="R594">
        <v>153561</v>
      </c>
    </row>
    <row r="595" spans="1:18" x14ac:dyDescent="0.25">
      <c r="A595" s="148">
        <v>44209</v>
      </c>
      <c r="B595" s="107">
        <v>794</v>
      </c>
      <c r="C595" s="107">
        <v>775.85</v>
      </c>
      <c r="D595" s="107">
        <v>766.75</v>
      </c>
      <c r="E595" s="107">
        <v>785</v>
      </c>
      <c r="F595" s="107">
        <v>775.85</v>
      </c>
      <c r="G595">
        <v>3829</v>
      </c>
      <c r="H595" s="107"/>
      <c r="I595" s="107"/>
      <c r="L595" s="148">
        <v>44209</v>
      </c>
      <c r="M595" s="107">
        <v>773</v>
      </c>
      <c r="N595" s="107">
        <v>794.9</v>
      </c>
      <c r="O595" s="107">
        <v>766.45</v>
      </c>
      <c r="P595" s="107">
        <v>776</v>
      </c>
      <c r="Q595" s="107">
        <v>773</v>
      </c>
      <c r="R595">
        <v>100386</v>
      </c>
    </row>
    <row r="596" spans="1:18" x14ac:dyDescent="0.25">
      <c r="A596" s="148">
        <v>44210</v>
      </c>
      <c r="B596" s="107">
        <v>790</v>
      </c>
      <c r="C596" s="107">
        <v>766.05</v>
      </c>
      <c r="D596" s="107">
        <v>756.5</v>
      </c>
      <c r="E596" s="107">
        <v>774.25</v>
      </c>
      <c r="F596" s="107">
        <v>766.05</v>
      </c>
      <c r="G596">
        <v>7837</v>
      </c>
      <c r="H596" s="107"/>
      <c r="I596" s="107"/>
      <c r="L596" s="148">
        <v>44210</v>
      </c>
      <c r="M596" s="107">
        <v>765.4</v>
      </c>
      <c r="N596" s="107">
        <v>789</v>
      </c>
      <c r="O596" s="107">
        <v>756.4</v>
      </c>
      <c r="P596" s="107">
        <v>775</v>
      </c>
      <c r="Q596" s="107">
        <v>765.4</v>
      </c>
      <c r="R596">
        <v>118416</v>
      </c>
    </row>
    <row r="597" spans="1:18" x14ac:dyDescent="0.25">
      <c r="A597" s="148">
        <v>44211</v>
      </c>
      <c r="B597" s="107">
        <v>774.9</v>
      </c>
      <c r="C597" s="107">
        <v>753.9</v>
      </c>
      <c r="D597" s="107">
        <v>748.85</v>
      </c>
      <c r="E597" s="107">
        <v>772.65</v>
      </c>
      <c r="F597" s="107">
        <v>753.9</v>
      </c>
      <c r="G597">
        <v>5522</v>
      </c>
      <c r="H597" s="107"/>
      <c r="I597" s="107"/>
      <c r="L597" s="148">
        <v>44211</v>
      </c>
      <c r="M597" s="107">
        <v>752.95</v>
      </c>
      <c r="N597" s="107">
        <v>774.2</v>
      </c>
      <c r="O597" s="107">
        <v>748.6</v>
      </c>
      <c r="P597" s="107">
        <v>769.15</v>
      </c>
      <c r="Q597" s="107">
        <v>752.95</v>
      </c>
      <c r="R597">
        <v>106471</v>
      </c>
    </row>
    <row r="598" spans="1:18" x14ac:dyDescent="0.25">
      <c r="A598" s="148">
        <v>44214</v>
      </c>
      <c r="B598" s="107">
        <v>768.2</v>
      </c>
      <c r="C598" s="107">
        <v>749.4</v>
      </c>
      <c r="D598" s="107">
        <v>738</v>
      </c>
      <c r="E598" s="107">
        <v>754</v>
      </c>
      <c r="F598" s="107">
        <v>749.4</v>
      </c>
      <c r="G598">
        <v>9879</v>
      </c>
      <c r="H598" s="107"/>
      <c r="I598" s="107"/>
      <c r="L598" s="148">
        <v>44214</v>
      </c>
      <c r="M598" s="107">
        <v>748.8</v>
      </c>
      <c r="N598" s="107">
        <v>768.25</v>
      </c>
      <c r="O598" s="107">
        <v>733.55</v>
      </c>
      <c r="P598" s="107">
        <v>752.95</v>
      </c>
      <c r="Q598" s="107">
        <v>748.8</v>
      </c>
      <c r="R598">
        <v>93911</v>
      </c>
    </row>
    <row r="599" spans="1:18" x14ac:dyDescent="0.25">
      <c r="A599" s="148">
        <v>44215</v>
      </c>
      <c r="B599" s="107">
        <v>767</v>
      </c>
      <c r="C599" s="107">
        <v>750.6</v>
      </c>
      <c r="D599" s="107">
        <v>740.65</v>
      </c>
      <c r="E599" s="107">
        <v>740.65</v>
      </c>
      <c r="F599" s="107">
        <v>750.6</v>
      </c>
      <c r="G599">
        <v>6060</v>
      </c>
      <c r="H599" s="107"/>
      <c r="I599" s="107"/>
      <c r="L599" s="148">
        <v>44215</v>
      </c>
      <c r="M599" s="107">
        <v>750</v>
      </c>
      <c r="N599" s="107">
        <v>768.95</v>
      </c>
      <c r="O599" s="107">
        <v>749.45</v>
      </c>
      <c r="P599" s="107">
        <v>754.7</v>
      </c>
      <c r="Q599" s="107">
        <v>750</v>
      </c>
      <c r="R599">
        <v>86478</v>
      </c>
    </row>
    <row r="600" spans="1:18" x14ac:dyDescent="0.25">
      <c r="A600" s="148">
        <v>44216</v>
      </c>
      <c r="B600" s="107">
        <v>761</v>
      </c>
      <c r="C600" s="107">
        <v>740.6</v>
      </c>
      <c r="D600" s="107">
        <v>735.05</v>
      </c>
      <c r="E600" s="107">
        <v>755.6</v>
      </c>
      <c r="F600" s="107">
        <v>740.6</v>
      </c>
      <c r="G600">
        <v>7690</v>
      </c>
      <c r="H600" s="107"/>
      <c r="I600" s="107"/>
      <c r="L600" s="148">
        <v>44216</v>
      </c>
      <c r="M600" s="107">
        <v>740.3</v>
      </c>
      <c r="N600" s="107">
        <v>764</v>
      </c>
      <c r="O600" s="107">
        <v>734.7</v>
      </c>
      <c r="P600" s="107">
        <v>753.75</v>
      </c>
      <c r="Q600" s="107">
        <v>740.3</v>
      </c>
      <c r="R600">
        <v>219174</v>
      </c>
    </row>
    <row r="601" spans="1:18" x14ac:dyDescent="0.25">
      <c r="A601" s="148">
        <v>44217</v>
      </c>
      <c r="B601" s="107">
        <v>761</v>
      </c>
      <c r="C601" s="107">
        <v>747.3</v>
      </c>
      <c r="D601" s="107">
        <v>742.05</v>
      </c>
      <c r="E601" s="107">
        <v>755</v>
      </c>
      <c r="F601" s="107">
        <v>747.3</v>
      </c>
      <c r="G601">
        <v>9951</v>
      </c>
      <c r="H601" s="107"/>
      <c r="I601" s="107"/>
      <c r="L601" s="148">
        <v>44217</v>
      </c>
      <c r="M601" s="107">
        <v>745.85</v>
      </c>
      <c r="N601" s="107">
        <v>761</v>
      </c>
      <c r="O601" s="107">
        <v>742.55</v>
      </c>
      <c r="P601" s="107">
        <v>747</v>
      </c>
      <c r="Q601" s="107">
        <v>745.85</v>
      </c>
      <c r="R601">
        <v>224400</v>
      </c>
    </row>
    <row r="602" spans="1:18" x14ac:dyDescent="0.25">
      <c r="A602" s="148">
        <v>44218</v>
      </c>
      <c r="B602" s="107">
        <v>751.3</v>
      </c>
      <c r="C602" s="107">
        <v>727.5</v>
      </c>
      <c r="D602" s="107">
        <v>725.25</v>
      </c>
      <c r="E602" s="107">
        <v>751.3</v>
      </c>
      <c r="F602" s="107">
        <v>727.5</v>
      </c>
      <c r="G602">
        <v>6952</v>
      </c>
      <c r="H602" s="107"/>
      <c r="I602" s="107"/>
      <c r="L602" s="148">
        <v>44218</v>
      </c>
      <c r="M602" s="107">
        <v>727.6</v>
      </c>
      <c r="N602" s="107">
        <v>752.7</v>
      </c>
      <c r="O602" s="107">
        <v>725</v>
      </c>
      <c r="P602" s="107">
        <v>752.7</v>
      </c>
      <c r="Q602" s="107">
        <v>727.6</v>
      </c>
      <c r="R602">
        <v>235664</v>
      </c>
    </row>
    <row r="603" spans="1:18" x14ac:dyDescent="0.25">
      <c r="A603" s="148">
        <v>44221</v>
      </c>
      <c r="B603" s="107">
        <v>746</v>
      </c>
      <c r="C603" s="107">
        <v>725.25</v>
      </c>
      <c r="D603" s="107">
        <v>721.25</v>
      </c>
      <c r="E603" s="107">
        <v>736.75</v>
      </c>
      <c r="F603" s="107">
        <v>725.25</v>
      </c>
      <c r="G603">
        <v>1343</v>
      </c>
      <c r="H603" s="107"/>
      <c r="I603" s="107"/>
      <c r="L603" s="148">
        <v>44221</v>
      </c>
      <c r="M603" s="107">
        <v>724.95</v>
      </c>
      <c r="N603" s="107">
        <v>741.55</v>
      </c>
      <c r="O603" s="107">
        <v>721.65</v>
      </c>
      <c r="P603" s="107">
        <v>733</v>
      </c>
      <c r="Q603" s="107">
        <v>724.95</v>
      </c>
      <c r="R603">
        <v>76860</v>
      </c>
    </row>
    <row r="604" spans="1:18" x14ac:dyDescent="0.25">
      <c r="A604" s="148">
        <v>44223</v>
      </c>
      <c r="B604" s="107">
        <v>729</v>
      </c>
      <c r="C604" s="107">
        <v>722.2</v>
      </c>
      <c r="D604" s="107">
        <v>710.05</v>
      </c>
      <c r="E604" s="107">
        <v>726.5</v>
      </c>
      <c r="F604" s="107">
        <v>722.2</v>
      </c>
      <c r="G604">
        <v>2273</v>
      </c>
      <c r="H604" s="107"/>
      <c r="I604" s="107"/>
      <c r="L604" s="148">
        <v>44223</v>
      </c>
      <c r="M604" s="107">
        <v>721.75</v>
      </c>
      <c r="N604" s="107">
        <v>728.9</v>
      </c>
      <c r="O604" s="107">
        <v>719.6</v>
      </c>
      <c r="P604" s="107">
        <v>720.2</v>
      </c>
      <c r="Q604" s="107">
        <v>721.75</v>
      </c>
      <c r="R604">
        <v>92052</v>
      </c>
    </row>
    <row r="605" spans="1:18" x14ac:dyDescent="0.25">
      <c r="A605" s="148">
        <v>44224</v>
      </c>
      <c r="B605" s="107">
        <v>720</v>
      </c>
      <c r="C605" s="107">
        <v>710.95</v>
      </c>
      <c r="D605" s="107">
        <v>694.95</v>
      </c>
      <c r="E605" s="107">
        <v>707</v>
      </c>
      <c r="F605" s="107">
        <v>710.95</v>
      </c>
      <c r="G605">
        <v>4296</v>
      </c>
      <c r="H605" s="107"/>
      <c r="I605" s="107"/>
      <c r="L605" s="148">
        <v>44224</v>
      </c>
      <c r="M605" s="107">
        <v>709.6</v>
      </c>
      <c r="N605" s="107">
        <v>720</v>
      </c>
      <c r="O605" s="107">
        <v>704</v>
      </c>
      <c r="P605" s="107">
        <v>719</v>
      </c>
      <c r="Q605" s="107">
        <v>709.6</v>
      </c>
      <c r="R605">
        <v>65400</v>
      </c>
    </row>
    <row r="606" spans="1:18" x14ac:dyDescent="0.25">
      <c r="A606" s="148">
        <v>44225</v>
      </c>
      <c r="B606" s="107">
        <v>739</v>
      </c>
      <c r="C606" s="107">
        <v>693.7</v>
      </c>
      <c r="D606" s="107">
        <v>690.5</v>
      </c>
      <c r="E606" s="107">
        <v>739</v>
      </c>
      <c r="F606" s="107">
        <v>693.7</v>
      </c>
      <c r="G606">
        <v>9012</v>
      </c>
      <c r="H606" s="107"/>
      <c r="I606" s="107"/>
      <c r="L606" s="148">
        <v>44225</v>
      </c>
      <c r="M606" s="107">
        <v>694</v>
      </c>
      <c r="N606" s="107">
        <v>717</v>
      </c>
      <c r="O606" s="107">
        <v>691</v>
      </c>
      <c r="P606" s="107">
        <v>715</v>
      </c>
      <c r="Q606" s="107">
        <v>694</v>
      </c>
      <c r="R606">
        <v>66315</v>
      </c>
    </row>
    <row r="607" spans="1:18" x14ac:dyDescent="0.25">
      <c r="A607" s="148">
        <v>44228</v>
      </c>
      <c r="B607" s="107">
        <v>755</v>
      </c>
      <c r="C607" s="107">
        <v>743.4</v>
      </c>
      <c r="D607" s="107">
        <v>662</v>
      </c>
      <c r="E607" s="107">
        <v>662</v>
      </c>
      <c r="F607" s="107">
        <v>743.4</v>
      </c>
      <c r="G607">
        <v>12052</v>
      </c>
      <c r="H607" s="107"/>
      <c r="I607" s="107"/>
      <c r="L607" s="148">
        <v>44228</v>
      </c>
      <c r="M607" s="107">
        <v>743.65</v>
      </c>
      <c r="N607" s="107">
        <v>755</v>
      </c>
      <c r="O607" s="107">
        <v>665.65</v>
      </c>
      <c r="P607" s="107">
        <v>670</v>
      </c>
      <c r="Q607" s="107">
        <v>743.65</v>
      </c>
      <c r="R607">
        <v>197376</v>
      </c>
    </row>
    <row r="608" spans="1:18" x14ac:dyDescent="0.25">
      <c r="A608" s="148">
        <v>44229</v>
      </c>
      <c r="B608" s="107">
        <v>750</v>
      </c>
      <c r="C608" s="107">
        <v>741.6</v>
      </c>
      <c r="D608" s="107">
        <v>722.95</v>
      </c>
      <c r="E608" s="107">
        <v>750</v>
      </c>
      <c r="F608" s="107">
        <v>741.6</v>
      </c>
      <c r="G608">
        <v>4301</v>
      </c>
      <c r="H608" s="107"/>
      <c r="I608" s="107"/>
      <c r="L608" s="148">
        <v>44229</v>
      </c>
      <c r="M608" s="107">
        <v>740.5</v>
      </c>
      <c r="N608" s="107">
        <v>753</v>
      </c>
      <c r="O608" s="107">
        <v>722.45</v>
      </c>
      <c r="P608" s="107">
        <v>753</v>
      </c>
      <c r="Q608" s="107">
        <v>740.5</v>
      </c>
      <c r="R608">
        <v>252341</v>
      </c>
    </row>
    <row r="609" spans="1:18" x14ac:dyDescent="0.25">
      <c r="A609" s="148">
        <v>44230</v>
      </c>
      <c r="B609" s="107">
        <v>741.8</v>
      </c>
      <c r="C609" s="107">
        <v>727.75</v>
      </c>
      <c r="D609" s="107">
        <v>715.25</v>
      </c>
      <c r="E609" s="107">
        <v>731</v>
      </c>
      <c r="F609" s="107">
        <v>727.75</v>
      </c>
      <c r="G609">
        <v>6236</v>
      </c>
      <c r="H609" s="107"/>
      <c r="I609" s="107"/>
      <c r="L609" s="148">
        <v>44230</v>
      </c>
      <c r="M609" s="107">
        <v>725.75</v>
      </c>
      <c r="N609" s="107">
        <v>744</v>
      </c>
      <c r="O609" s="107">
        <v>723</v>
      </c>
      <c r="P609" s="107">
        <v>741.5</v>
      </c>
      <c r="Q609" s="107">
        <v>725.75</v>
      </c>
      <c r="R609">
        <v>108644</v>
      </c>
    </row>
    <row r="610" spans="1:18" x14ac:dyDescent="0.25">
      <c r="A610" s="148">
        <v>44231</v>
      </c>
      <c r="B610" s="107">
        <v>737.35</v>
      </c>
      <c r="C610" s="107">
        <v>732.95</v>
      </c>
      <c r="D610" s="107">
        <v>720</v>
      </c>
      <c r="E610" s="107">
        <v>727</v>
      </c>
      <c r="F610" s="107">
        <v>732.95</v>
      </c>
      <c r="G610">
        <v>5400</v>
      </c>
      <c r="H610" s="107"/>
      <c r="I610" s="107"/>
      <c r="L610" s="148">
        <v>44231</v>
      </c>
      <c r="M610" s="107">
        <v>732.9</v>
      </c>
      <c r="N610" s="107">
        <v>738.2</v>
      </c>
      <c r="O610" s="107">
        <v>718.15</v>
      </c>
      <c r="P610" s="107">
        <v>727.8</v>
      </c>
      <c r="Q610" s="107">
        <v>732.9</v>
      </c>
      <c r="R610">
        <v>64231</v>
      </c>
    </row>
    <row r="611" spans="1:18" x14ac:dyDescent="0.25">
      <c r="A611" s="148">
        <v>44232</v>
      </c>
      <c r="B611" s="107">
        <v>740</v>
      </c>
      <c r="C611" s="107">
        <v>720.7</v>
      </c>
      <c r="D611" s="107">
        <v>711.6</v>
      </c>
      <c r="E611" s="107">
        <v>736.9</v>
      </c>
      <c r="F611" s="107">
        <v>720.7</v>
      </c>
      <c r="G611">
        <v>8145</v>
      </c>
      <c r="H611" s="107"/>
      <c r="I611" s="107"/>
      <c r="L611" s="148">
        <v>44232</v>
      </c>
      <c r="M611" s="107">
        <v>719.25</v>
      </c>
      <c r="N611" s="107">
        <v>741.2</v>
      </c>
      <c r="O611" s="107">
        <v>710</v>
      </c>
      <c r="P611" s="107">
        <v>736.4</v>
      </c>
      <c r="Q611" s="107">
        <v>719.25</v>
      </c>
      <c r="R611">
        <v>55500</v>
      </c>
    </row>
    <row r="612" spans="1:18" x14ac:dyDescent="0.25">
      <c r="A612" s="148">
        <v>44235</v>
      </c>
      <c r="B612" s="107">
        <v>746.45</v>
      </c>
      <c r="C612" s="107">
        <v>738.75</v>
      </c>
      <c r="D612" s="107">
        <v>731</v>
      </c>
      <c r="E612" s="107">
        <v>735</v>
      </c>
      <c r="F612" s="107">
        <v>738.75</v>
      </c>
      <c r="G612">
        <v>9304</v>
      </c>
      <c r="H612" s="107"/>
      <c r="I612" s="107"/>
      <c r="L612" s="148">
        <v>44235</v>
      </c>
      <c r="M612" s="107">
        <v>737.8</v>
      </c>
      <c r="N612" s="107">
        <v>751</v>
      </c>
      <c r="O612" s="107">
        <v>725</v>
      </c>
      <c r="P612" s="107">
        <v>736.2</v>
      </c>
      <c r="Q612" s="107">
        <v>737.8</v>
      </c>
      <c r="R612">
        <v>88050</v>
      </c>
    </row>
    <row r="613" spans="1:18" x14ac:dyDescent="0.25">
      <c r="A613" s="148">
        <v>44236</v>
      </c>
      <c r="B613" s="107">
        <v>752</v>
      </c>
      <c r="C613" s="107">
        <v>729.9</v>
      </c>
      <c r="D613" s="107">
        <v>725</v>
      </c>
      <c r="E613" s="107">
        <v>752</v>
      </c>
      <c r="F613" s="107">
        <v>729.9</v>
      </c>
      <c r="G613">
        <v>91039</v>
      </c>
      <c r="H613" s="107"/>
      <c r="I613" s="107"/>
      <c r="L613" s="148">
        <v>44236</v>
      </c>
      <c r="M613" s="107">
        <v>729.8</v>
      </c>
      <c r="N613" s="107">
        <v>743.6</v>
      </c>
      <c r="O613" s="107">
        <v>726</v>
      </c>
      <c r="P613" s="107">
        <v>743.6</v>
      </c>
      <c r="Q613" s="107">
        <v>729.8</v>
      </c>
      <c r="R613">
        <v>155016</v>
      </c>
    </row>
    <row r="614" spans="1:18" x14ac:dyDescent="0.25">
      <c r="A614" s="148">
        <v>44237</v>
      </c>
      <c r="B614" s="107">
        <v>745</v>
      </c>
      <c r="C614" s="107">
        <v>712.75</v>
      </c>
      <c r="D614" s="107">
        <v>703.1</v>
      </c>
      <c r="E614" s="107">
        <v>745</v>
      </c>
      <c r="F614" s="107">
        <v>712.75</v>
      </c>
      <c r="G614">
        <v>5950</v>
      </c>
      <c r="H614" s="107"/>
      <c r="I614" s="107"/>
      <c r="L614" s="148">
        <v>44237</v>
      </c>
      <c r="M614" s="107">
        <v>712.05</v>
      </c>
      <c r="N614" s="107">
        <v>736.5</v>
      </c>
      <c r="O614" s="107">
        <v>708</v>
      </c>
      <c r="P614" s="107">
        <v>733.6</v>
      </c>
      <c r="Q614" s="107">
        <v>712.05</v>
      </c>
      <c r="R614">
        <v>66697</v>
      </c>
    </row>
    <row r="615" spans="1:18" x14ac:dyDescent="0.25">
      <c r="A615" s="148">
        <v>44238</v>
      </c>
      <c r="B615" s="107">
        <v>732.45</v>
      </c>
      <c r="C615" s="107">
        <v>710.6</v>
      </c>
      <c r="D615" s="107">
        <v>691</v>
      </c>
      <c r="E615" s="107">
        <v>732.45</v>
      </c>
      <c r="F615" s="107">
        <v>710.6</v>
      </c>
      <c r="G615">
        <v>6645</v>
      </c>
      <c r="H615" s="107"/>
      <c r="I615" s="107"/>
      <c r="L615" s="148">
        <v>44238</v>
      </c>
      <c r="M615" s="107">
        <v>710.15</v>
      </c>
      <c r="N615" s="107">
        <v>713.35</v>
      </c>
      <c r="O615" s="107">
        <v>701.4</v>
      </c>
      <c r="P615" s="107">
        <v>712</v>
      </c>
      <c r="Q615" s="107">
        <v>710.15</v>
      </c>
      <c r="R615">
        <v>52778</v>
      </c>
    </row>
    <row r="616" spans="1:18" x14ac:dyDescent="0.25">
      <c r="A616" s="148">
        <v>44239</v>
      </c>
      <c r="B616" s="107">
        <v>725</v>
      </c>
      <c r="C616" s="107">
        <v>721.8</v>
      </c>
      <c r="D616" s="107">
        <v>701.25</v>
      </c>
      <c r="E616" s="107">
        <v>712</v>
      </c>
      <c r="F616" s="107">
        <v>721.8</v>
      </c>
      <c r="G616">
        <v>8160</v>
      </c>
      <c r="H616" s="107"/>
      <c r="I616" s="107"/>
      <c r="L616" s="148">
        <v>44239</v>
      </c>
      <c r="M616" s="107">
        <v>721.5</v>
      </c>
      <c r="N616" s="107">
        <v>725.3</v>
      </c>
      <c r="O616" s="107">
        <v>701.65</v>
      </c>
      <c r="P616" s="107">
        <v>710.15</v>
      </c>
      <c r="Q616" s="107">
        <v>721.5</v>
      </c>
      <c r="R616">
        <v>103384</v>
      </c>
    </row>
    <row r="617" spans="1:18" x14ac:dyDescent="0.25">
      <c r="A617" s="148">
        <v>44242</v>
      </c>
      <c r="B617" s="107">
        <v>729.65</v>
      </c>
      <c r="C617" s="107">
        <v>703.45</v>
      </c>
      <c r="D617" s="107">
        <v>701.4</v>
      </c>
      <c r="E617" s="107">
        <v>729.65</v>
      </c>
      <c r="F617" s="107">
        <v>703.45</v>
      </c>
      <c r="G617">
        <v>8161</v>
      </c>
      <c r="H617" s="107"/>
      <c r="I617" s="107"/>
      <c r="L617" s="148">
        <v>44242</v>
      </c>
      <c r="M617" s="107">
        <v>703.5</v>
      </c>
      <c r="N617" s="107">
        <v>728.7</v>
      </c>
      <c r="O617" s="107">
        <v>702</v>
      </c>
      <c r="P617" s="107">
        <v>720</v>
      </c>
      <c r="Q617" s="107">
        <v>703.5</v>
      </c>
      <c r="R617">
        <v>70491</v>
      </c>
    </row>
    <row r="618" spans="1:18" x14ac:dyDescent="0.25">
      <c r="A618" s="148">
        <v>44243</v>
      </c>
      <c r="B618" s="107">
        <v>721.95</v>
      </c>
      <c r="C618" s="107">
        <v>710.4</v>
      </c>
      <c r="D618" s="107">
        <v>704.9</v>
      </c>
      <c r="E618" s="107">
        <v>721.95</v>
      </c>
      <c r="F618" s="107">
        <v>710.4</v>
      </c>
      <c r="G618">
        <v>2592</v>
      </c>
      <c r="H618" s="107"/>
      <c r="I618" s="107"/>
      <c r="L618" s="148">
        <v>44243</v>
      </c>
      <c r="M618" s="107">
        <v>709.65</v>
      </c>
      <c r="N618" s="107">
        <v>713.25</v>
      </c>
      <c r="O618" s="107">
        <v>704.05</v>
      </c>
      <c r="P618" s="107">
        <v>706</v>
      </c>
      <c r="Q618" s="107">
        <v>709.65</v>
      </c>
      <c r="R618">
        <v>136669</v>
      </c>
    </row>
    <row r="619" spans="1:18" x14ac:dyDescent="0.25">
      <c r="A619" s="148">
        <v>44244</v>
      </c>
      <c r="B619" s="107">
        <v>717.25</v>
      </c>
      <c r="C619" s="107">
        <v>708.8</v>
      </c>
      <c r="D619" s="107">
        <v>701.35</v>
      </c>
      <c r="E619" s="107">
        <v>701.35</v>
      </c>
      <c r="F619" s="107">
        <v>708.8</v>
      </c>
      <c r="G619">
        <v>5055</v>
      </c>
      <c r="H619" s="107"/>
      <c r="I619" s="107"/>
      <c r="L619" s="148">
        <v>44244</v>
      </c>
      <c r="M619" s="107">
        <v>709.45</v>
      </c>
      <c r="N619" s="107">
        <v>716.35</v>
      </c>
      <c r="O619" s="107">
        <v>705.95</v>
      </c>
      <c r="P619" s="107">
        <v>709.9</v>
      </c>
      <c r="Q619" s="107">
        <v>709.45</v>
      </c>
      <c r="R619">
        <v>70931</v>
      </c>
    </row>
    <row r="620" spans="1:18" x14ac:dyDescent="0.25">
      <c r="A620" s="148">
        <v>44245</v>
      </c>
      <c r="B620" s="107">
        <v>715.45</v>
      </c>
      <c r="C620" s="107">
        <v>704.65</v>
      </c>
      <c r="D620" s="107">
        <v>703.05</v>
      </c>
      <c r="E620" s="107">
        <v>703.2</v>
      </c>
      <c r="F620" s="107">
        <v>704.65</v>
      </c>
      <c r="G620">
        <v>2619</v>
      </c>
      <c r="H620" s="107"/>
      <c r="I620" s="107"/>
      <c r="L620" s="148">
        <v>44245</v>
      </c>
      <c r="M620" s="107">
        <v>704.55</v>
      </c>
      <c r="N620" s="107">
        <v>717</v>
      </c>
      <c r="O620" s="107">
        <v>701</v>
      </c>
      <c r="P620" s="107">
        <v>701</v>
      </c>
      <c r="Q620" s="107">
        <v>704.55</v>
      </c>
      <c r="R620">
        <v>71779</v>
      </c>
    </row>
    <row r="621" spans="1:18" x14ac:dyDescent="0.25">
      <c r="A621" s="148">
        <v>44246</v>
      </c>
      <c r="B621" s="107">
        <v>705</v>
      </c>
      <c r="C621" s="107">
        <v>688</v>
      </c>
      <c r="D621" s="107">
        <v>675.4</v>
      </c>
      <c r="E621" s="107">
        <v>704</v>
      </c>
      <c r="F621" s="107">
        <v>688</v>
      </c>
      <c r="G621">
        <v>9725</v>
      </c>
      <c r="H621" s="107"/>
      <c r="I621" s="107"/>
      <c r="L621" s="148">
        <v>44246</v>
      </c>
      <c r="M621" s="107">
        <v>687.9</v>
      </c>
      <c r="N621" s="107">
        <v>708</v>
      </c>
      <c r="O621" s="107">
        <v>675</v>
      </c>
      <c r="P621" s="107">
        <v>708</v>
      </c>
      <c r="Q621" s="107">
        <v>687.9</v>
      </c>
      <c r="R621">
        <v>91913</v>
      </c>
    </row>
    <row r="622" spans="1:18" x14ac:dyDescent="0.25">
      <c r="A622" s="148">
        <v>44249</v>
      </c>
      <c r="B622" s="107">
        <v>702.7</v>
      </c>
      <c r="C622" s="107">
        <v>680.7</v>
      </c>
      <c r="D622" s="107">
        <v>675.35</v>
      </c>
      <c r="E622" s="107">
        <v>702.7</v>
      </c>
      <c r="F622" s="107">
        <v>680.7</v>
      </c>
      <c r="G622">
        <v>6561</v>
      </c>
      <c r="H622" s="107"/>
      <c r="I622" s="107"/>
      <c r="L622" s="148">
        <v>44249</v>
      </c>
      <c r="M622" s="107">
        <v>681.5</v>
      </c>
      <c r="N622" s="107">
        <v>691.25</v>
      </c>
      <c r="O622" s="107">
        <v>676</v>
      </c>
      <c r="P622" s="107">
        <v>680.1</v>
      </c>
      <c r="Q622" s="107">
        <v>681.5</v>
      </c>
      <c r="R622">
        <v>79094</v>
      </c>
    </row>
    <row r="623" spans="1:18" x14ac:dyDescent="0.25">
      <c r="A623" s="148">
        <v>44250</v>
      </c>
      <c r="B623" s="107">
        <v>690.05</v>
      </c>
      <c r="C623" s="107">
        <v>688.65</v>
      </c>
      <c r="D623" s="107">
        <v>661.05</v>
      </c>
      <c r="E623" s="107">
        <v>675</v>
      </c>
      <c r="F623" s="107">
        <v>688.65</v>
      </c>
      <c r="G623">
        <v>3954</v>
      </c>
      <c r="H623" s="107"/>
      <c r="I623" s="107"/>
      <c r="L623" s="148">
        <v>44250</v>
      </c>
      <c r="M623" s="107">
        <v>689.65</v>
      </c>
      <c r="N623" s="107">
        <v>693.65</v>
      </c>
      <c r="O623" s="107">
        <v>657.05</v>
      </c>
      <c r="P623" s="107">
        <v>685.1</v>
      </c>
      <c r="Q623" s="107">
        <v>689.65</v>
      </c>
      <c r="R623">
        <v>194849</v>
      </c>
    </row>
    <row r="624" spans="1:18" x14ac:dyDescent="0.25">
      <c r="A624" s="148">
        <v>44251</v>
      </c>
      <c r="B624" s="107">
        <v>704.7</v>
      </c>
      <c r="C624" s="107">
        <v>688.65</v>
      </c>
      <c r="D624" s="107">
        <v>640</v>
      </c>
      <c r="E624" s="107">
        <v>692.6</v>
      </c>
      <c r="F624" s="107">
        <v>688.65</v>
      </c>
      <c r="G624">
        <v>92921</v>
      </c>
      <c r="H624" s="107"/>
      <c r="I624" s="107"/>
      <c r="L624" s="148">
        <v>44251</v>
      </c>
      <c r="M624" s="107">
        <v>690</v>
      </c>
      <c r="N624" s="107">
        <v>704.45</v>
      </c>
      <c r="O624" s="107">
        <v>670.5</v>
      </c>
      <c r="P624" s="107">
        <v>695.85</v>
      </c>
      <c r="Q624" s="107">
        <v>690</v>
      </c>
      <c r="R624">
        <v>58689</v>
      </c>
    </row>
    <row r="625" spans="1:18" x14ac:dyDescent="0.25">
      <c r="A625" s="148">
        <v>44252</v>
      </c>
      <c r="B625" s="107">
        <v>726.1</v>
      </c>
      <c r="C625" s="107">
        <v>692.7</v>
      </c>
      <c r="D625" s="107">
        <v>691.35</v>
      </c>
      <c r="E625" s="107">
        <v>699.65</v>
      </c>
      <c r="F625" s="107">
        <v>692.7</v>
      </c>
      <c r="G625">
        <v>4586</v>
      </c>
      <c r="H625" s="107"/>
      <c r="I625" s="107"/>
      <c r="L625" s="148">
        <v>44252</v>
      </c>
      <c r="M625" s="107">
        <v>694.25</v>
      </c>
      <c r="N625" s="107">
        <v>703</v>
      </c>
      <c r="O625" s="107">
        <v>691</v>
      </c>
      <c r="P625" s="107">
        <v>696.2</v>
      </c>
      <c r="Q625" s="107">
        <v>694.25</v>
      </c>
      <c r="R625">
        <v>52147</v>
      </c>
    </row>
    <row r="626" spans="1:18" x14ac:dyDescent="0.25">
      <c r="A626" s="148">
        <v>44253</v>
      </c>
      <c r="B626" s="107">
        <v>700.7</v>
      </c>
      <c r="C626" s="107">
        <v>682.2</v>
      </c>
      <c r="D626" s="107">
        <v>673.95</v>
      </c>
      <c r="E626" s="107">
        <v>682.7</v>
      </c>
      <c r="F626" s="107">
        <v>682.2</v>
      </c>
      <c r="G626">
        <v>40749</v>
      </c>
      <c r="H626" s="107"/>
      <c r="I626" s="107"/>
      <c r="L626" s="148">
        <v>44253</v>
      </c>
      <c r="M626" s="107">
        <v>681.2</v>
      </c>
      <c r="N626" s="107">
        <v>701</v>
      </c>
      <c r="O626" s="107">
        <v>674.05</v>
      </c>
      <c r="P626" s="107">
        <v>685</v>
      </c>
      <c r="Q626" s="107">
        <v>681.2</v>
      </c>
      <c r="R626">
        <v>82553</v>
      </c>
    </row>
    <row r="627" spans="1:18" x14ac:dyDescent="0.25">
      <c r="A627" s="148">
        <v>44256</v>
      </c>
      <c r="B627" s="107">
        <v>720</v>
      </c>
      <c r="C627" s="107">
        <v>707.85</v>
      </c>
      <c r="D627" s="107">
        <v>684</v>
      </c>
      <c r="E627" s="107">
        <v>720</v>
      </c>
      <c r="F627" s="107">
        <v>707.85</v>
      </c>
      <c r="G627">
        <v>8687</v>
      </c>
      <c r="H627" s="107"/>
      <c r="I627" s="107"/>
      <c r="L627" s="148">
        <v>44256</v>
      </c>
      <c r="M627" s="107">
        <v>708.75</v>
      </c>
      <c r="N627" s="107">
        <v>710.65</v>
      </c>
      <c r="O627" s="107">
        <v>684.75</v>
      </c>
      <c r="P627" s="107">
        <v>696</v>
      </c>
      <c r="Q627" s="107">
        <v>708.75</v>
      </c>
      <c r="R627">
        <v>96269</v>
      </c>
    </row>
    <row r="628" spans="1:18" x14ac:dyDescent="0.25">
      <c r="A628" s="148">
        <v>44257</v>
      </c>
      <c r="B628" s="107">
        <v>739.7</v>
      </c>
      <c r="C628" s="107">
        <v>717.35</v>
      </c>
      <c r="D628" s="107">
        <v>713.8</v>
      </c>
      <c r="E628" s="107">
        <v>715.1</v>
      </c>
      <c r="F628" s="107">
        <v>717.35</v>
      </c>
      <c r="G628">
        <v>4181</v>
      </c>
      <c r="H628" s="107"/>
      <c r="I628" s="107"/>
      <c r="L628" s="148">
        <v>44257</v>
      </c>
      <c r="M628" s="107">
        <v>718.85</v>
      </c>
      <c r="N628" s="107">
        <v>740</v>
      </c>
      <c r="O628" s="107">
        <v>709</v>
      </c>
      <c r="P628" s="107">
        <v>712</v>
      </c>
      <c r="Q628" s="107">
        <v>718.85</v>
      </c>
      <c r="R628">
        <v>213148</v>
      </c>
    </row>
    <row r="629" spans="1:18" x14ac:dyDescent="0.25">
      <c r="A629" s="148">
        <v>44258</v>
      </c>
      <c r="B629" s="107">
        <v>732.55</v>
      </c>
      <c r="C629" s="107">
        <v>720.35</v>
      </c>
      <c r="D629" s="107">
        <v>718.85</v>
      </c>
      <c r="E629" s="107">
        <v>728.75</v>
      </c>
      <c r="F629" s="107">
        <v>720.35</v>
      </c>
      <c r="G629">
        <v>2384</v>
      </c>
      <c r="H629" s="107"/>
      <c r="I629" s="107"/>
      <c r="L629" s="148">
        <v>44258</v>
      </c>
      <c r="M629" s="107">
        <v>721.85</v>
      </c>
      <c r="N629" s="107">
        <v>739.1</v>
      </c>
      <c r="O629" s="107">
        <v>718</v>
      </c>
      <c r="P629" s="107">
        <v>718</v>
      </c>
      <c r="Q629" s="107">
        <v>721.85</v>
      </c>
      <c r="R629">
        <v>54627</v>
      </c>
    </row>
    <row r="630" spans="1:18" x14ac:dyDescent="0.25">
      <c r="A630" s="148">
        <v>44259</v>
      </c>
      <c r="B630" s="107">
        <v>735.45</v>
      </c>
      <c r="C630" s="107">
        <v>724.25</v>
      </c>
      <c r="D630" s="107">
        <v>715</v>
      </c>
      <c r="E630" s="107">
        <v>715</v>
      </c>
      <c r="F630" s="107">
        <v>724.25</v>
      </c>
      <c r="G630">
        <v>5237</v>
      </c>
      <c r="H630" s="107"/>
      <c r="I630" s="107"/>
      <c r="L630" s="148">
        <v>44259</v>
      </c>
      <c r="M630" s="107">
        <v>725.25</v>
      </c>
      <c r="N630" s="107">
        <v>738</v>
      </c>
      <c r="O630" s="107">
        <v>715.85</v>
      </c>
      <c r="P630" s="107">
        <v>719</v>
      </c>
      <c r="Q630" s="107">
        <v>725.25</v>
      </c>
      <c r="R630">
        <v>87374</v>
      </c>
    </row>
    <row r="631" spans="1:18" x14ac:dyDescent="0.25">
      <c r="A631" s="148">
        <v>44260</v>
      </c>
      <c r="B631" s="107">
        <v>731.45</v>
      </c>
      <c r="C631" s="107">
        <v>704.25</v>
      </c>
      <c r="D631" s="107">
        <v>695.85</v>
      </c>
      <c r="E631" s="107">
        <v>729.15</v>
      </c>
      <c r="F631" s="107">
        <v>704.25</v>
      </c>
      <c r="G631">
        <v>3386</v>
      </c>
      <c r="H631" s="107"/>
      <c r="I631" s="107"/>
      <c r="L631" s="148">
        <v>44260</v>
      </c>
      <c r="M631" s="107">
        <v>703.5</v>
      </c>
      <c r="N631" s="107">
        <v>732.9</v>
      </c>
      <c r="O631" s="107">
        <v>696.1</v>
      </c>
      <c r="P631" s="107">
        <v>725.25</v>
      </c>
      <c r="Q631" s="107">
        <v>703.5</v>
      </c>
      <c r="R631">
        <v>76901</v>
      </c>
    </row>
    <row r="632" spans="1:18" x14ac:dyDescent="0.25">
      <c r="A632" s="148">
        <v>44263</v>
      </c>
      <c r="B632" s="107">
        <v>729</v>
      </c>
      <c r="C632" s="107">
        <v>699.5</v>
      </c>
      <c r="D632" s="107">
        <v>696.65</v>
      </c>
      <c r="E632" s="107">
        <v>729</v>
      </c>
      <c r="F632" s="107">
        <v>699.5</v>
      </c>
      <c r="G632">
        <v>5617</v>
      </c>
      <c r="H632" s="107"/>
      <c r="I632" s="107"/>
      <c r="L632" s="148">
        <v>44263</v>
      </c>
      <c r="M632" s="107">
        <v>700.55</v>
      </c>
      <c r="N632" s="107">
        <v>710.9</v>
      </c>
      <c r="O632" s="107">
        <v>698.35</v>
      </c>
      <c r="P632" s="107">
        <v>706</v>
      </c>
      <c r="Q632" s="107">
        <v>700.55</v>
      </c>
      <c r="R632">
        <v>38848</v>
      </c>
    </row>
    <row r="633" spans="1:18" x14ac:dyDescent="0.25">
      <c r="A633" s="148">
        <v>44264</v>
      </c>
      <c r="B633" s="107">
        <v>719.7</v>
      </c>
      <c r="C633" s="107">
        <v>699.8</v>
      </c>
      <c r="D633" s="107">
        <v>696.6</v>
      </c>
      <c r="E633" s="107">
        <v>707.65</v>
      </c>
      <c r="F633" s="107">
        <v>699.8</v>
      </c>
      <c r="G633">
        <v>3766</v>
      </c>
      <c r="H633" s="107"/>
      <c r="I633" s="107"/>
      <c r="L633" s="148">
        <v>44264</v>
      </c>
      <c r="M633" s="107">
        <v>700.1</v>
      </c>
      <c r="N633" s="107">
        <v>718.95</v>
      </c>
      <c r="O633" s="107">
        <v>697</v>
      </c>
      <c r="P633" s="107">
        <v>704.1</v>
      </c>
      <c r="Q633" s="107">
        <v>700.1</v>
      </c>
      <c r="R633">
        <v>90228</v>
      </c>
    </row>
    <row r="634" spans="1:18" x14ac:dyDescent="0.25">
      <c r="A634" s="148">
        <v>44265</v>
      </c>
      <c r="B634" s="107">
        <v>717.25</v>
      </c>
      <c r="C634" s="107">
        <v>700.4</v>
      </c>
      <c r="D634" s="107">
        <v>697</v>
      </c>
      <c r="E634" s="107">
        <v>711.4</v>
      </c>
      <c r="F634" s="107">
        <v>700.4</v>
      </c>
      <c r="G634">
        <v>2577</v>
      </c>
      <c r="H634" s="107"/>
      <c r="I634" s="107"/>
      <c r="L634" s="148">
        <v>44265</v>
      </c>
      <c r="M634" s="107">
        <v>699.45</v>
      </c>
      <c r="N634" s="107">
        <v>717.45</v>
      </c>
      <c r="O634" s="107">
        <v>696.95</v>
      </c>
      <c r="P634" s="107">
        <v>701.35</v>
      </c>
      <c r="Q634" s="107">
        <v>699.45</v>
      </c>
      <c r="R634">
        <v>119171</v>
      </c>
    </row>
    <row r="635" spans="1:18" x14ac:dyDescent="0.25">
      <c r="A635" s="148">
        <v>44267</v>
      </c>
      <c r="B635" s="107">
        <v>714</v>
      </c>
      <c r="C635" s="107">
        <v>711.05</v>
      </c>
      <c r="D635" s="107">
        <v>696</v>
      </c>
      <c r="E635" s="107">
        <v>696</v>
      </c>
      <c r="F635" s="107">
        <v>711.05</v>
      </c>
      <c r="G635">
        <v>11301</v>
      </c>
      <c r="H635" s="107"/>
      <c r="I635" s="107"/>
      <c r="L635" s="148">
        <v>44267</v>
      </c>
      <c r="M635" s="107">
        <v>711</v>
      </c>
      <c r="N635" s="107">
        <v>715</v>
      </c>
      <c r="O635" s="107">
        <v>695.5</v>
      </c>
      <c r="P635" s="107">
        <v>695.5</v>
      </c>
      <c r="Q635" s="107">
        <v>711</v>
      </c>
      <c r="R635">
        <v>113941</v>
      </c>
    </row>
    <row r="636" spans="1:18" x14ac:dyDescent="0.25">
      <c r="A636" s="148">
        <v>44270</v>
      </c>
      <c r="B636" s="107">
        <v>716.8</v>
      </c>
      <c r="C636" s="107">
        <v>709.35</v>
      </c>
      <c r="D636" s="107">
        <v>695.65</v>
      </c>
      <c r="E636" s="107">
        <v>709.7</v>
      </c>
      <c r="F636" s="107">
        <v>709.35</v>
      </c>
      <c r="G636">
        <v>5385</v>
      </c>
      <c r="H636" s="107"/>
      <c r="I636" s="107"/>
      <c r="L636" s="148">
        <v>44270</v>
      </c>
      <c r="M636" s="107">
        <v>709.95</v>
      </c>
      <c r="N636" s="107">
        <v>717.3</v>
      </c>
      <c r="O636" s="107">
        <v>696.35</v>
      </c>
      <c r="P636" s="107">
        <v>715</v>
      </c>
      <c r="Q636" s="107">
        <v>709.95</v>
      </c>
      <c r="R636">
        <v>100377</v>
      </c>
    </row>
    <row r="637" spans="1:18" x14ac:dyDescent="0.25">
      <c r="A637" s="148">
        <v>44271</v>
      </c>
      <c r="B637" s="107">
        <v>725</v>
      </c>
      <c r="C637" s="107">
        <v>715.95</v>
      </c>
      <c r="D637" s="107">
        <v>708.8</v>
      </c>
      <c r="E637" s="107">
        <v>725</v>
      </c>
      <c r="F637" s="107">
        <v>715.95</v>
      </c>
      <c r="G637">
        <v>1576</v>
      </c>
      <c r="H637" s="107"/>
      <c r="I637" s="107"/>
      <c r="L637" s="148">
        <v>44271</v>
      </c>
      <c r="M637" s="107">
        <v>716.6</v>
      </c>
      <c r="N637" s="107">
        <v>718.5</v>
      </c>
      <c r="O637" s="107">
        <v>708.25</v>
      </c>
      <c r="P637" s="107">
        <v>713</v>
      </c>
      <c r="Q637" s="107">
        <v>716.6</v>
      </c>
      <c r="R637">
        <v>238817</v>
      </c>
    </row>
    <row r="638" spans="1:18" x14ac:dyDescent="0.25">
      <c r="A638" s="148">
        <v>44272</v>
      </c>
      <c r="B638" s="107">
        <v>720</v>
      </c>
      <c r="C638" s="107">
        <v>695.05</v>
      </c>
      <c r="D638" s="107">
        <v>692</v>
      </c>
      <c r="E638" s="107">
        <v>720</v>
      </c>
      <c r="F638" s="107">
        <v>695.05</v>
      </c>
      <c r="G638">
        <v>1766</v>
      </c>
      <c r="H638" s="107"/>
      <c r="I638" s="107"/>
      <c r="L638" s="148">
        <v>44272</v>
      </c>
      <c r="M638" s="107">
        <v>695.3</v>
      </c>
      <c r="N638" s="107">
        <v>720.25</v>
      </c>
      <c r="O638" s="107">
        <v>690</v>
      </c>
      <c r="P638" s="107">
        <v>717.9</v>
      </c>
      <c r="Q638" s="107">
        <v>695.3</v>
      </c>
      <c r="R638">
        <v>117094</v>
      </c>
    </row>
    <row r="639" spans="1:18" x14ac:dyDescent="0.25">
      <c r="A639" s="148">
        <v>44273</v>
      </c>
      <c r="B639" s="107">
        <v>719</v>
      </c>
      <c r="C639" s="107">
        <v>679.75</v>
      </c>
      <c r="D639" s="107">
        <v>668.45</v>
      </c>
      <c r="E639" s="107">
        <v>699.7</v>
      </c>
      <c r="F639" s="107">
        <v>679.75</v>
      </c>
      <c r="G639">
        <v>4383</v>
      </c>
      <c r="H639" s="107"/>
      <c r="I639" s="107"/>
      <c r="L639" s="148">
        <v>44273</v>
      </c>
      <c r="M639" s="107">
        <v>680.35</v>
      </c>
      <c r="N639" s="107">
        <v>704.5</v>
      </c>
      <c r="O639" s="107">
        <v>668</v>
      </c>
      <c r="P639" s="107">
        <v>697.45</v>
      </c>
      <c r="Q639" s="107">
        <v>680.35</v>
      </c>
      <c r="R639">
        <v>299727</v>
      </c>
    </row>
    <row r="640" spans="1:18" x14ac:dyDescent="0.25">
      <c r="A640" s="148">
        <v>44274</v>
      </c>
      <c r="B640" s="107">
        <v>694.2</v>
      </c>
      <c r="C640" s="107">
        <v>684.3</v>
      </c>
      <c r="D640" s="107">
        <v>660.6</v>
      </c>
      <c r="E640" s="107">
        <v>670</v>
      </c>
      <c r="F640" s="107">
        <v>684.3</v>
      </c>
      <c r="G640">
        <v>4637</v>
      </c>
      <c r="H640" s="107"/>
      <c r="I640" s="107"/>
      <c r="L640" s="148">
        <v>44274</v>
      </c>
      <c r="M640" s="107">
        <v>688.15</v>
      </c>
      <c r="N640" s="107">
        <v>696.2</v>
      </c>
      <c r="O640" s="107">
        <v>660</v>
      </c>
      <c r="P640" s="107">
        <v>665</v>
      </c>
      <c r="Q640" s="107">
        <v>688.15</v>
      </c>
      <c r="R640">
        <v>1819551</v>
      </c>
    </row>
    <row r="641" spans="1:18" x14ac:dyDescent="0.25">
      <c r="A641" s="148">
        <v>44277</v>
      </c>
      <c r="B641" s="107">
        <v>709</v>
      </c>
      <c r="C641" s="107">
        <v>689.7</v>
      </c>
      <c r="D641" s="107">
        <v>687.8</v>
      </c>
      <c r="E641" s="107">
        <v>708.95</v>
      </c>
      <c r="F641" s="107">
        <v>689.7</v>
      </c>
      <c r="G641">
        <v>6984</v>
      </c>
      <c r="H641" s="107"/>
      <c r="I641" s="107"/>
      <c r="L641" s="148">
        <v>44277</v>
      </c>
      <c r="M641" s="107">
        <v>690.45</v>
      </c>
      <c r="N641" s="107">
        <v>719</v>
      </c>
      <c r="O641" s="107">
        <v>682.35</v>
      </c>
      <c r="P641" s="107">
        <v>719</v>
      </c>
      <c r="Q641" s="107">
        <v>690.45</v>
      </c>
      <c r="R641">
        <v>79513</v>
      </c>
    </row>
    <row r="642" spans="1:18" x14ac:dyDescent="0.25">
      <c r="A642" s="148">
        <v>44278</v>
      </c>
      <c r="B642" s="107">
        <v>700.35</v>
      </c>
      <c r="C642" s="107">
        <v>689.4</v>
      </c>
      <c r="D642" s="107">
        <v>688</v>
      </c>
      <c r="E642" s="107">
        <v>700.35</v>
      </c>
      <c r="F642" s="107">
        <v>689.4</v>
      </c>
      <c r="G642">
        <v>1074</v>
      </c>
      <c r="H642" s="107"/>
      <c r="I642" s="107"/>
      <c r="L642" s="148">
        <v>44278</v>
      </c>
      <c r="M642" s="107">
        <v>690.05</v>
      </c>
      <c r="N642" s="107">
        <v>699.75</v>
      </c>
      <c r="O642" s="107">
        <v>682.35</v>
      </c>
      <c r="P642" s="107">
        <v>682.35</v>
      </c>
      <c r="Q642" s="107">
        <v>690.05</v>
      </c>
      <c r="R642">
        <v>50888</v>
      </c>
    </row>
    <row r="643" spans="1:18" x14ac:dyDescent="0.25">
      <c r="A643" s="148">
        <v>44279</v>
      </c>
      <c r="B643" s="107">
        <v>695</v>
      </c>
      <c r="C643" s="107">
        <v>682.55</v>
      </c>
      <c r="D643" s="107">
        <v>678</v>
      </c>
      <c r="E643" s="107">
        <v>689.95</v>
      </c>
      <c r="F643" s="107">
        <v>682.55</v>
      </c>
      <c r="G643">
        <v>2134</v>
      </c>
      <c r="H643" s="107"/>
      <c r="I643" s="107"/>
      <c r="L643" s="148">
        <v>44279</v>
      </c>
      <c r="M643" s="107">
        <v>682.75</v>
      </c>
      <c r="N643" s="107">
        <v>695</v>
      </c>
      <c r="O643" s="107">
        <v>675.1</v>
      </c>
      <c r="P643" s="107">
        <v>682.5</v>
      </c>
      <c r="Q643" s="107">
        <v>682.75</v>
      </c>
      <c r="R643">
        <v>51306</v>
      </c>
    </row>
    <row r="644" spans="1:18" x14ac:dyDescent="0.25">
      <c r="A644" s="148">
        <v>44280</v>
      </c>
      <c r="B644" s="107">
        <v>690.8</v>
      </c>
      <c r="C644" s="107">
        <v>664.9</v>
      </c>
      <c r="D644" s="107">
        <v>659.7</v>
      </c>
      <c r="E644" s="107">
        <v>683.25</v>
      </c>
      <c r="F644" s="107">
        <v>664.9</v>
      </c>
      <c r="G644">
        <v>2194</v>
      </c>
      <c r="H644" s="107"/>
      <c r="I644" s="107"/>
      <c r="L644" s="148">
        <v>44280</v>
      </c>
      <c r="M644" s="107">
        <v>664.55</v>
      </c>
      <c r="N644" s="107">
        <v>692</v>
      </c>
      <c r="O644" s="107">
        <v>658.85</v>
      </c>
      <c r="P644" s="107">
        <v>682</v>
      </c>
      <c r="Q644" s="107">
        <v>664.55</v>
      </c>
      <c r="R644">
        <v>84363</v>
      </c>
    </row>
    <row r="645" spans="1:18" x14ac:dyDescent="0.25">
      <c r="A645" s="148">
        <v>44281</v>
      </c>
      <c r="B645" s="107">
        <v>678.7</v>
      </c>
      <c r="C645" s="107">
        <v>668.35</v>
      </c>
      <c r="D645" s="107">
        <v>660.1</v>
      </c>
      <c r="E645" s="107">
        <v>660.1</v>
      </c>
      <c r="F645" s="107">
        <v>668.35</v>
      </c>
      <c r="G645">
        <v>3700</v>
      </c>
      <c r="H645" s="107"/>
      <c r="I645" s="107"/>
      <c r="L645" s="148">
        <v>44281</v>
      </c>
      <c r="M645" s="107">
        <v>669</v>
      </c>
      <c r="N645" s="107">
        <v>678</v>
      </c>
      <c r="O645" s="107">
        <v>665.65</v>
      </c>
      <c r="P645" s="107">
        <v>667.1</v>
      </c>
      <c r="Q645" s="107">
        <v>669</v>
      </c>
      <c r="R645">
        <v>57087</v>
      </c>
    </row>
    <row r="646" spans="1:18" x14ac:dyDescent="0.25">
      <c r="A646" s="148">
        <v>44285</v>
      </c>
      <c r="B646" s="107">
        <v>684.5</v>
      </c>
      <c r="C646" s="107">
        <v>679.7</v>
      </c>
      <c r="D646" s="107">
        <v>641</v>
      </c>
      <c r="E646" s="107">
        <v>673.8</v>
      </c>
      <c r="F646" s="107">
        <v>679.7</v>
      </c>
      <c r="G646">
        <v>43324</v>
      </c>
      <c r="H646" s="107"/>
      <c r="I646" s="107"/>
      <c r="L646" s="148">
        <v>44285</v>
      </c>
      <c r="M646" s="107">
        <v>679.6</v>
      </c>
      <c r="N646" s="107">
        <v>687</v>
      </c>
      <c r="O646" s="107">
        <v>640.04999999999995</v>
      </c>
      <c r="P646" s="107">
        <v>680</v>
      </c>
      <c r="Q646" s="107">
        <v>679.6</v>
      </c>
      <c r="R646">
        <v>192231</v>
      </c>
    </row>
    <row r="647" spans="1:18" x14ac:dyDescent="0.25">
      <c r="A647" s="148">
        <v>44286</v>
      </c>
      <c r="B647" s="107">
        <v>687.85</v>
      </c>
      <c r="C647" s="107">
        <v>670.45</v>
      </c>
      <c r="D647" s="107">
        <v>665</v>
      </c>
      <c r="E647" s="107">
        <v>671.15</v>
      </c>
      <c r="F647" s="107">
        <v>670.45</v>
      </c>
      <c r="G647">
        <v>5825</v>
      </c>
      <c r="H647" s="107"/>
      <c r="I647" s="107"/>
      <c r="L647" s="148">
        <v>44286</v>
      </c>
      <c r="M647" s="107">
        <v>670.75</v>
      </c>
      <c r="N647" s="107">
        <v>688</v>
      </c>
      <c r="O647" s="107">
        <v>665</v>
      </c>
      <c r="P647" s="107">
        <v>675.15</v>
      </c>
      <c r="Q647" s="107">
        <v>670.75</v>
      </c>
      <c r="R647">
        <v>86283</v>
      </c>
    </row>
    <row r="648" spans="1:18" x14ac:dyDescent="0.25">
      <c r="A648" s="148">
        <v>44287</v>
      </c>
      <c r="B648" s="107">
        <v>675</v>
      </c>
      <c r="C648" s="107">
        <v>667.95</v>
      </c>
      <c r="D648" s="107">
        <v>660.45</v>
      </c>
      <c r="E648" s="107">
        <v>675</v>
      </c>
      <c r="F648" s="107">
        <v>667.95</v>
      </c>
      <c r="G648">
        <v>1739</v>
      </c>
      <c r="H648" s="107"/>
      <c r="I648" s="107"/>
      <c r="L648" s="148">
        <v>44287</v>
      </c>
      <c r="M648" s="107">
        <v>666.9</v>
      </c>
      <c r="N648" s="107">
        <v>678.55</v>
      </c>
      <c r="O648" s="107">
        <v>660</v>
      </c>
      <c r="P648" s="107">
        <v>668</v>
      </c>
      <c r="Q648" s="107">
        <v>666.9</v>
      </c>
      <c r="R648">
        <v>46538</v>
      </c>
    </row>
    <row r="649" spans="1:18" x14ac:dyDescent="0.25">
      <c r="A649" s="148">
        <v>44291</v>
      </c>
      <c r="B649" s="107">
        <v>674</v>
      </c>
      <c r="C649" s="107">
        <v>631.75</v>
      </c>
      <c r="D649" s="107">
        <v>627.4</v>
      </c>
      <c r="E649" s="107">
        <v>668</v>
      </c>
      <c r="F649" s="107">
        <v>631.75</v>
      </c>
      <c r="G649">
        <v>11116</v>
      </c>
      <c r="H649" s="107"/>
      <c r="I649" s="107"/>
      <c r="L649" s="148">
        <v>44291</v>
      </c>
      <c r="M649" s="107">
        <v>630.65</v>
      </c>
      <c r="N649" s="107">
        <v>699</v>
      </c>
      <c r="O649" s="107">
        <v>626</v>
      </c>
      <c r="P649" s="107">
        <v>668</v>
      </c>
      <c r="Q649" s="107">
        <v>630.65</v>
      </c>
      <c r="R649">
        <v>93601</v>
      </c>
    </row>
    <row r="650" spans="1:18" x14ac:dyDescent="0.25">
      <c r="A650" s="148">
        <v>44292</v>
      </c>
      <c r="B650" s="107">
        <v>647.65</v>
      </c>
      <c r="C650" s="107">
        <v>617</v>
      </c>
      <c r="D650" s="107">
        <v>613.70000000000005</v>
      </c>
      <c r="E650" s="107">
        <v>639.29999999999995</v>
      </c>
      <c r="F650" s="107">
        <v>617</v>
      </c>
      <c r="G650">
        <v>10243</v>
      </c>
      <c r="H650" s="107"/>
      <c r="I650" s="107"/>
      <c r="L650" s="148">
        <v>44292</v>
      </c>
      <c r="M650" s="107">
        <v>616.9</v>
      </c>
      <c r="N650" s="107">
        <v>648.95000000000005</v>
      </c>
      <c r="O650" s="107">
        <v>614.04999999999995</v>
      </c>
      <c r="P650" s="107">
        <v>634</v>
      </c>
      <c r="Q650" s="107">
        <v>616.9</v>
      </c>
      <c r="R650">
        <v>98973</v>
      </c>
    </row>
    <row r="651" spans="1:18" x14ac:dyDescent="0.25">
      <c r="A651" s="148">
        <v>44293</v>
      </c>
      <c r="B651" s="107">
        <v>633.1</v>
      </c>
      <c r="C651" s="107">
        <v>620.75</v>
      </c>
      <c r="D651" s="107">
        <v>615</v>
      </c>
      <c r="E651" s="107">
        <v>615</v>
      </c>
      <c r="F651" s="107">
        <v>620.75</v>
      </c>
      <c r="G651">
        <v>29292</v>
      </c>
      <c r="H651" s="107"/>
      <c r="I651" s="107"/>
      <c r="L651" s="148">
        <v>44293</v>
      </c>
      <c r="M651" s="107">
        <v>619.95000000000005</v>
      </c>
      <c r="N651" s="107">
        <v>634.75</v>
      </c>
      <c r="O651" s="107">
        <v>617.04999999999995</v>
      </c>
      <c r="P651" s="107">
        <v>620.04999999999995</v>
      </c>
      <c r="Q651" s="107">
        <v>619.95000000000005</v>
      </c>
      <c r="R651">
        <v>125723</v>
      </c>
    </row>
    <row r="652" spans="1:18" x14ac:dyDescent="0.25">
      <c r="A652" s="148">
        <v>44294</v>
      </c>
      <c r="B652" s="107">
        <v>639</v>
      </c>
      <c r="C652" s="107">
        <v>615.15</v>
      </c>
      <c r="D652" s="107">
        <v>606.95000000000005</v>
      </c>
      <c r="E652" s="107">
        <v>639</v>
      </c>
      <c r="F652" s="107">
        <v>615.15</v>
      </c>
      <c r="G652">
        <v>9333</v>
      </c>
      <c r="H652" s="107"/>
      <c r="I652" s="107"/>
      <c r="L652" s="148">
        <v>44294</v>
      </c>
      <c r="M652" s="107">
        <v>614.70000000000005</v>
      </c>
      <c r="N652" s="107">
        <v>629.5</v>
      </c>
      <c r="O652" s="107">
        <v>612.04999999999995</v>
      </c>
      <c r="P652" s="107">
        <v>629.5</v>
      </c>
      <c r="Q652" s="107">
        <v>614.70000000000005</v>
      </c>
      <c r="R652">
        <v>95384</v>
      </c>
    </row>
    <row r="653" spans="1:18" x14ac:dyDescent="0.25">
      <c r="A653" s="148">
        <v>44295</v>
      </c>
      <c r="B653" s="107">
        <v>624</v>
      </c>
      <c r="C653" s="107">
        <v>614.65</v>
      </c>
      <c r="D653" s="107">
        <v>613.5</v>
      </c>
      <c r="E653" s="107">
        <v>624</v>
      </c>
      <c r="F653" s="107">
        <v>614.65</v>
      </c>
      <c r="G653">
        <v>9125</v>
      </c>
      <c r="H653" s="107"/>
      <c r="I653" s="107"/>
      <c r="L653" s="148">
        <v>44295</v>
      </c>
      <c r="M653" s="107">
        <v>614.5</v>
      </c>
      <c r="N653" s="107">
        <v>622</v>
      </c>
      <c r="O653" s="107">
        <v>613</v>
      </c>
      <c r="P653" s="107">
        <v>622</v>
      </c>
      <c r="Q653" s="107">
        <v>614.5</v>
      </c>
      <c r="R653">
        <v>46641</v>
      </c>
    </row>
    <row r="654" spans="1:18" x14ac:dyDescent="0.25">
      <c r="A654" s="148">
        <v>44298</v>
      </c>
      <c r="B654" s="107">
        <v>612.79999999999995</v>
      </c>
      <c r="C654" s="107">
        <v>562.20000000000005</v>
      </c>
      <c r="D654" s="107">
        <v>558</v>
      </c>
      <c r="E654" s="107">
        <v>612</v>
      </c>
      <c r="F654" s="107">
        <v>562.20000000000005</v>
      </c>
      <c r="G654">
        <v>26921</v>
      </c>
      <c r="H654" s="107"/>
      <c r="I654" s="107"/>
      <c r="L654" s="148">
        <v>44298</v>
      </c>
      <c r="M654" s="107">
        <v>562.04999999999995</v>
      </c>
      <c r="N654" s="107">
        <v>615</v>
      </c>
      <c r="O654" s="107">
        <v>554.45000000000005</v>
      </c>
      <c r="P654" s="107">
        <v>615</v>
      </c>
      <c r="Q654" s="107">
        <v>562.04999999999995</v>
      </c>
      <c r="R654">
        <v>219086</v>
      </c>
    </row>
    <row r="655" spans="1:18" x14ac:dyDescent="0.25">
      <c r="A655" s="148">
        <v>44299</v>
      </c>
      <c r="B655" s="107">
        <v>596</v>
      </c>
      <c r="C655" s="107">
        <v>580.85</v>
      </c>
      <c r="D655" s="107">
        <v>552</v>
      </c>
      <c r="E655" s="107">
        <v>552</v>
      </c>
      <c r="F655" s="107">
        <v>580.85</v>
      </c>
      <c r="G655">
        <v>21153</v>
      </c>
      <c r="H655" s="107"/>
      <c r="I655" s="107"/>
      <c r="L655" s="148">
        <v>44299</v>
      </c>
      <c r="M655" s="107">
        <v>584.35</v>
      </c>
      <c r="N655" s="107">
        <v>597.45000000000005</v>
      </c>
      <c r="O655" s="107">
        <v>554.6</v>
      </c>
      <c r="P655" s="107">
        <v>562.04999999999995</v>
      </c>
      <c r="Q655" s="107">
        <v>584.35</v>
      </c>
      <c r="R655">
        <v>182929</v>
      </c>
    </row>
    <row r="656" spans="1:18" x14ac:dyDescent="0.25">
      <c r="A656" s="148">
        <v>44301</v>
      </c>
      <c r="B656" s="107">
        <v>591.25</v>
      </c>
      <c r="C656" s="107">
        <v>566.65</v>
      </c>
      <c r="D656" s="107">
        <v>560</v>
      </c>
      <c r="E656" s="107">
        <v>590.29999999999995</v>
      </c>
      <c r="F656" s="107">
        <v>566.65</v>
      </c>
      <c r="G656">
        <v>3170</v>
      </c>
      <c r="H656" s="107"/>
      <c r="I656" s="107"/>
      <c r="L656" s="148">
        <v>44301</v>
      </c>
      <c r="M656" s="107">
        <v>565.70000000000005</v>
      </c>
      <c r="N656" s="107">
        <v>594.45000000000005</v>
      </c>
      <c r="O656" s="107">
        <v>559.65</v>
      </c>
      <c r="P656" s="107">
        <v>594.45000000000005</v>
      </c>
      <c r="Q656" s="107">
        <v>565.70000000000005</v>
      </c>
      <c r="R656">
        <v>650422</v>
      </c>
    </row>
    <row r="657" spans="1:18" x14ac:dyDescent="0.25">
      <c r="A657" s="148">
        <v>44302</v>
      </c>
      <c r="B657" s="107">
        <v>585.45000000000005</v>
      </c>
      <c r="C657" s="107">
        <v>570.6</v>
      </c>
      <c r="D657" s="107">
        <v>567.6</v>
      </c>
      <c r="E657" s="107">
        <v>569</v>
      </c>
      <c r="F657" s="107">
        <v>570.6</v>
      </c>
      <c r="G657">
        <v>15545</v>
      </c>
      <c r="H657" s="107"/>
      <c r="I657" s="107"/>
      <c r="L657" s="148">
        <v>44302</v>
      </c>
      <c r="M657" s="107">
        <v>569.35</v>
      </c>
      <c r="N657" s="107">
        <v>583.15</v>
      </c>
      <c r="O657" s="107">
        <v>566.1</v>
      </c>
      <c r="P657" s="107">
        <v>566.1</v>
      </c>
      <c r="Q657" s="107">
        <v>569.35</v>
      </c>
      <c r="R657">
        <v>355151</v>
      </c>
    </row>
    <row r="658" spans="1:18" x14ac:dyDescent="0.25">
      <c r="A658" s="148">
        <v>44305</v>
      </c>
      <c r="B658" s="107">
        <v>574.15</v>
      </c>
      <c r="C658" s="107">
        <v>567.29999999999995</v>
      </c>
      <c r="D658" s="107">
        <v>541</v>
      </c>
      <c r="E658" s="107">
        <v>541</v>
      </c>
      <c r="F658" s="107">
        <v>567.29999999999995</v>
      </c>
      <c r="G658">
        <v>12250</v>
      </c>
      <c r="H658" s="107"/>
      <c r="I658" s="107"/>
      <c r="L658" s="148">
        <v>44305</v>
      </c>
      <c r="M658" s="107">
        <v>567.70000000000005</v>
      </c>
      <c r="N658" s="107">
        <v>575</v>
      </c>
      <c r="O658" s="107">
        <v>542.1</v>
      </c>
      <c r="P658" s="107">
        <v>542.1</v>
      </c>
      <c r="Q658" s="107">
        <v>567.70000000000005</v>
      </c>
      <c r="R658">
        <v>265064</v>
      </c>
    </row>
    <row r="659" spans="1:18" x14ac:dyDescent="0.25">
      <c r="A659" s="148">
        <v>44306</v>
      </c>
      <c r="B659" s="107">
        <v>589.29999999999995</v>
      </c>
      <c r="C659" s="107">
        <v>563.15</v>
      </c>
      <c r="D659" s="107">
        <v>561.04999999999995</v>
      </c>
      <c r="E659" s="107">
        <v>589.29999999999995</v>
      </c>
      <c r="F659" s="107">
        <v>563.15</v>
      </c>
      <c r="G659">
        <v>2524</v>
      </c>
      <c r="H659" s="107"/>
      <c r="I659" s="107"/>
      <c r="L659" s="148">
        <v>44306</v>
      </c>
      <c r="M659" s="107">
        <v>562.85</v>
      </c>
      <c r="N659" s="107">
        <v>577</v>
      </c>
      <c r="O659" s="107">
        <v>560.70000000000005</v>
      </c>
      <c r="P659" s="107">
        <v>570</v>
      </c>
      <c r="Q659" s="107">
        <v>562.85</v>
      </c>
      <c r="R659">
        <v>49794</v>
      </c>
    </row>
    <row r="660" spans="1:18" x14ac:dyDescent="0.25">
      <c r="A660" s="148">
        <v>44308</v>
      </c>
      <c r="B660" s="107">
        <v>563.85</v>
      </c>
      <c r="C660" s="107">
        <v>560.70000000000005</v>
      </c>
      <c r="D660" s="107">
        <v>554.35</v>
      </c>
      <c r="E660" s="107">
        <v>560</v>
      </c>
      <c r="F660" s="107">
        <v>560.70000000000005</v>
      </c>
      <c r="G660">
        <v>4065</v>
      </c>
      <c r="H660" s="107"/>
      <c r="I660" s="107"/>
      <c r="L660" s="148">
        <v>44308</v>
      </c>
      <c r="M660" s="107">
        <v>560.6</v>
      </c>
      <c r="N660" s="107">
        <v>564.35</v>
      </c>
      <c r="O660" s="107">
        <v>555</v>
      </c>
      <c r="P660" s="107">
        <v>557.15</v>
      </c>
      <c r="Q660" s="107">
        <v>560.6</v>
      </c>
      <c r="R660">
        <v>151570</v>
      </c>
    </row>
    <row r="661" spans="1:18" x14ac:dyDescent="0.25">
      <c r="A661" s="148">
        <v>44309</v>
      </c>
      <c r="B661" s="107">
        <v>589.04999999999995</v>
      </c>
      <c r="C661" s="107">
        <v>584.65</v>
      </c>
      <c r="D661" s="107">
        <v>544</v>
      </c>
      <c r="E661" s="107">
        <v>578.95000000000005</v>
      </c>
      <c r="F661" s="107">
        <v>584.65</v>
      </c>
      <c r="G661">
        <v>9277</v>
      </c>
      <c r="H661" s="107"/>
      <c r="I661" s="107"/>
      <c r="L661" s="148">
        <v>44309</v>
      </c>
      <c r="M661" s="107">
        <v>584.85</v>
      </c>
      <c r="N661" s="107">
        <v>589</v>
      </c>
      <c r="O661" s="107">
        <v>556.04999999999995</v>
      </c>
      <c r="P661" s="107">
        <v>563</v>
      </c>
      <c r="Q661" s="107">
        <v>584.85</v>
      </c>
      <c r="R661">
        <v>196568</v>
      </c>
    </row>
    <row r="662" spans="1:18" x14ac:dyDescent="0.25">
      <c r="A662" s="148">
        <v>44312</v>
      </c>
      <c r="B662" s="107">
        <v>595.5</v>
      </c>
      <c r="C662" s="107">
        <v>585.25</v>
      </c>
      <c r="D662" s="107">
        <v>583.70000000000005</v>
      </c>
      <c r="E662" s="107">
        <v>591</v>
      </c>
      <c r="F662" s="107">
        <v>585.25</v>
      </c>
      <c r="G662">
        <v>742</v>
      </c>
      <c r="H662" s="107"/>
      <c r="I662" s="107"/>
      <c r="L662" s="148">
        <v>44312</v>
      </c>
      <c r="M662" s="107">
        <v>584.45000000000005</v>
      </c>
      <c r="N662" s="107">
        <v>596</v>
      </c>
      <c r="O662" s="107">
        <v>583.5</v>
      </c>
      <c r="P662" s="107">
        <v>586</v>
      </c>
      <c r="Q662" s="107">
        <v>584.45000000000005</v>
      </c>
      <c r="R662">
        <v>429608</v>
      </c>
    </row>
    <row r="663" spans="1:18" x14ac:dyDescent="0.25">
      <c r="A663" s="148">
        <v>44313</v>
      </c>
      <c r="B663" s="107">
        <v>596</v>
      </c>
      <c r="C663" s="107">
        <v>585.45000000000005</v>
      </c>
      <c r="D663" s="107">
        <v>582.6</v>
      </c>
      <c r="E663" s="107">
        <v>591.95000000000005</v>
      </c>
      <c r="F663" s="107">
        <v>585.45000000000005</v>
      </c>
      <c r="G663">
        <v>7150</v>
      </c>
      <c r="H663" s="107"/>
      <c r="I663" s="107"/>
      <c r="L663" s="148">
        <v>44313</v>
      </c>
      <c r="M663" s="107">
        <v>584.85</v>
      </c>
      <c r="N663" s="107">
        <v>599.70000000000005</v>
      </c>
      <c r="O663" s="107">
        <v>581.9</v>
      </c>
      <c r="P663" s="107">
        <v>585</v>
      </c>
      <c r="Q663" s="107">
        <v>584.85</v>
      </c>
      <c r="R663">
        <v>169462</v>
      </c>
    </row>
    <row r="664" spans="1:18" x14ac:dyDescent="0.25">
      <c r="A664" s="148">
        <v>44314</v>
      </c>
      <c r="B664" s="107">
        <v>617</v>
      </c>
      <c r="C664" s="107">
        <v>606.25</v>
      </c>
      <c r="D664" s="107">
        <v>590</v>
      </c>
      <c r="E664" s="107">
        <v>594</v>
      </c>
      <c r="F664" s="107">
        <v>606.25</v>
      </c>
      <c r="G664">
        <v>24108</v>
      </c>
      <c r="H664" s="107"/>
      <c r="I664" s="107"/>
      <c r="L664" s="148">
        <v>44314</v>
      </c>
      <c r="M664" s="107">
        <v>606.4</v>
      </c>
      <c r="N664" s="107">
        <v>616.95000000000005</v>
      </c>
      <c r="O664" s="107">
        <v>587</v>
      </c>
      <c r="P664" s="107">
        <v>587</v>
      </c>
      <c r="Q664" s="107">
        <v>606.4</v>
      </c>
      <c r="R664">
        <v>444960</v>
      </c>
    </row>
    <row r="665" spans="1:18" x14ac:dyDescent="0.25">
      <c r="A665" s="148">
        <v>44315</v>
      </c>
      <c r="B665" s="107">
        <v>616</v>
      </c>
      <c r="C665" s="107">
        <v>606.25</v>
      </c>
      <c r="D665" s="107">
        <v>598.54999999999995</v>
      </c>
      <c r="E665" s="107">
        <v>612.79999999999995</v>
      </c>
      <c r="F665" s="107">
        <v>606.25</v>
      </c>
      <c r="G665">
        <v>4729</v>
      </c>
      <c r="H665" s="107"/>
      <c r="I665" s="107"/>
      <c r="L665" s="148">
        <v>44315</v>
      </c>
      <c r="M665" s="107">
        <v>605.85</v>
      </c>
      <c r="N665" s="107">
        <v>617</v>
      </c>
      <c r="O665" s="107">
        <v>597.95000000000005</v>
      </c>
      <c r="P665" s="107">
        <v>610.9</v>
      </c>
      <c r="Q665" s="107">
        <v>605.85</v>
      </c>
      <c r="R665">
        <v>61550</v>
      </c>
    </row>
    <row r="666" spans="1:18" x14ac:dyDescent="0.25">
      <c r="A666" s="148">
        <v>44316</v>
      </c>
      <c r="B666" s="107">
        <v>606.54999999999995</v>
      </c>
      <c r="C666" s="107">
        <v>594.5</v>
      </c>
      <c r="D666" s="107">
        <v>589.9</v>
      </c>
      <c r="E666" s="107">
        <v>603</v>
      </c>
      <c r="F666" s="107">
        <v>594.5</v>
      </c>
      <c r="G666">
        <v>3895</v>
      </c>
      <c r="H666" s="107"/>
      <c r="I666" s="107"/>
      <c r="L666" s="148">
        <v>44316</v>
      </c>
      <c r="M666" s="107">
        <v>595.4</v>
      </c>
      <c r="N666" s="107">
        <v>607.54999999999995</v>
      </c>
      <c r="O666" s="107">
        <v>592.6</v>
      </c>
      <c r="P666" s="107">
        <v>600.29999999999995</v>
      </c>
      <c r="Q666" s="107">
        <v>595.4</v>
      </c>
      <c r="R666">
        <v>35415</v>
      </c>
    </row>
    <row r="667" spans="1:18" x14ac:dyDescent="0.25">
      <c r="A667" s="148">
        <v>44319</v>
      </c>
      <c r="B667" s="107">
        <v>615.95000000000005</v>
      </c>
      <c r="C667" s="107">
        <v>611.65</v>
      </c>
      <c r="D667" s="107">
        <v>595</v>
      </c>
      <c r="E667" s="107">
        <v>595</v>
      </c>
      <c r="F667" s="107">
        <v>611.65</v>
      </c>
      <c r="G667">
        <v>3638</v>
      </c>
      <c r="H667" s="107"/>
      <c r="I667" s="107"/>
      <c r="L667" s="148">
        <v>44319</v>
      </c>
      <c r="M667" s="107">
        <v>611.15</v>
      </c>
      <c r="N667" s="107">
        <v>616.15</v>
      </c>
      <c r="O667" s="107">
        <v>590</v>
      </c>
      <c r="P667" s="107">
        <v>591.04999999999995</v>
      </c>
      <c r="Q667" s="107">
        <v>611.15</v>
      </c>
      <c r="R667">
        <v>137325</v>
      </c>
    </row>
    <row r="668" spans="1:18" x14ac:dyDescent="0.25">
      <c r="A668" s="148">
        <v>44320</v>
      </c>
      <c r="B668" s="107">
        <v>624.70000000000005</v>
      </c>
      <c r="C668" s="107">
        <v>605.5</v>
      </c>
      <c r="D668" s="107">
        <v>602.15</v>
      </c>
      <c r="E668" s="107">
        <v>616</v>
      </c>
      <c r="F668" s="107">
        <v>605.5</v>
      </c>
      <c r="G668">
        <v>6549</v>
      </c>
      <c r="H668" s="107"/>
      <c r="I668" s="107"/>
      <c r="L668" s="148">
        <v>44320</v>
      </c>
      <c r="M668" s="107">
        <v>605.95000000000005</v>
      </c>
      <c r="N668" s="107">
        <v>624.65</v>
      </c>
      <c r="O668" s="107">
        <v>602.6</v>
      </c>
      <c r="P668" s="107">
        <v>615</v>
      </c>
      <c r="Q668" s="107">
        <v>605.95000000000005</v>
      </c>
      <c r="R668">
        <v>75121</v>
      </c>
    </row>
    <row r="669" spans="1:18" x14ac:dyDescent="0.25">
      <c r="A669" s="148">
        <v>44321</v>
      </c>
      <c r="B669" s="107">
        <v>618.75</v>
      </c>
      <c r="C669" s="107">
        <v>600.70000000000005</v>
      </c>
      <c r="D669" s="107">
        <v>587</v>
      </c>
      <c r="E669" s="107">
        <v>613.6</v>
      </c>
      <c r="F669" s="107">
        <v>600.70000000000005</v>
      </c>
      <c r="G669">
        <v>3694</v>
      </c>
      <c r="H669" s="107"/>
      <c r="I669" s="107"/>
      <c r="L669" s="148">
        <v>44321</v>
      </c>
      <c r="M669" s="107">
        <v>600.70000000000005</v>
      </c>
      <c r="N669" s="107">
        <v>620</v>
      </c>
      <c r="O669" s="107">
        <v>586.5</v>
      </c>
      <c r="P669" s="107">
        <v>606.04999999999995</v>
      </c>
      <c r="Q669" s="107">
        <v>600.70000000000005</v>
      </c>
      <c r="R669">
        <v>69400</v>
      </c>
    </row>
    <row r="670" spans="1:18" x14ac:dyDescent="0.25">
      <c r="A670" s="148">
        <v>44322</v>
      </c>
      <c r="B670" s="107">
        <v>622</v>
      </c>
      <c r="C670" s="107">
        <v>608.5</v>
      </c>
      <c r="D670" s="107">
        <v>601</v>
      </c>
      <c r="E670" s="107">
        <v>601</v>
      </c>
      <c r="F670" s="107">
        <v>608.5</v>
      </c>
      <c r="G670">
        <v>7420</v>
      </c>
      <c r="H670" s="107"/>
      <c r="I670" s="107"/>
      <c r="L670" s="148">
        <v>44322</v>
      </c>
      <c r="M670" s="107">
        <v>608.45000000000005</v>
      </c>
      <c r="N670" s="107">
        <v>623</v>
      </c>
      <c r="O670" s="107">
        <v>603.15</v>
      </c>
      <c r="P670" s="107">
        <v>606.70000000000005</v>
      </c>
      <c r="Q670" s="107">
        <v>608.45000000000005</v>
      </c>
      <c r="R670">
        <v>103582</v>
      </c>
    </row>
    <row r="671" spans="1:18" x14ac:dyDescent="0.25">
      <c r="A671" s="148">
        <v>44323</v>
      </c>
      <c r="B671" s="107">
        <v>650</v>
      </c>
      <c r="C671" s="107">
        <v>613.6</v>
      </c>
      <c r="D671" s="107">
        <v>605</v>
      </c>
      <c r="E671" s="107">
        <v>628.1</v>
      </c>
      <c r="F671" s="107">
        <v>613.6</v>
      </c>
      <c r="G671">
        <v>14636</v>
      </c>
      <c r="H671" s="107"/>
      <c r="I671" s="107"/>
      <c r="L671" s="148">
        <v>44323</v>
      </c>
      <c r="M671" s="107">
        <v>612.1</v>
      </c>
      <c r="N671" s="107">
        <v>645</v>
      </c>
      <c r="O671" s="107">
        <v>602.15</v>
      </c>
      <c r="P671" s="107">
        <v>640</v>
      </c>
      <c r="Q671" s="107">
        <v>612.1</v>
      </c>
      <c r="R671">
        <v>363491</v>
      </c>
    </row>
    <row r="672" spans="1:18" x14ac:dyDescent="0.25">
      <c r="A672" s="148">
        <v>44326</v>
      </c>
      <c r="B672" s="107">
        <v>631.9</v>
      </c>
      <c r="C672" s="107">
        <v>605.20000000000005</v>
      </c>
      <c r="D672" s="107">
        <v>592.35</v>
      </c>
      <c r="E672" s="107">
        <v>631.9</v>
      </c>
      <c r="F672" s="107">
        <v>605.20000000000005</v>
      </c>
      <c r="G672">
        <v>24646</v>
      </c>
      <c r="H672" s="107"/>
      <c r="I672" s="107"/>
      <c r="L672" s="148">
        <v>44326</v>
      </c>
      <c r="M672" s="107">
        <v>608.9</v>
      </c>
      <c r="N672" s="107">
        <v>627.54999999999995</v>
      </c>
      <c r="O672" s="107">
        <v>605</v>
      </c>
      <c r="P672" s="107">
        <v>627.54999999999995</v>
      </c>
      <c r="Q672" s="107">
        <v>608.9</v>
      </c>
      <c r="R672">
        <v>108230</v>
      </c>
    </row>
    <row r="673" spans="1:18" x14ac:dyDescent="0.25">
      <c r="A673" s="148">
        <v>44327</v>
      </c>
      <c r="B673" s="107">
        <v>618.70000000000005</v>
      </c>
      <c r="C673" s="107">
        <v>595.20000000000005</v>
      </c>
      <c r="D673" s="107">
        <v>593.85</v>
      </c>
      <c r="E673" s="107">
        <v>607</v>
      </c>
      <c r="F673" s="107">
        <v>595.20000000000005</v>
      </c>
      <c r="G673">
        <v>11525</v>
      </c>
      <c r="H673" s="107"/>
      <c r="I673" s="107"/>
      <c r="L673" s="148">
        <v>44327</v>
      </c>
      <c r="M673" s="107">
        <v>594.9</v>
      </c>
      <c r="N673" s="107">
        <v>619.79999999999995</v>
      </c>
      <c r="O673" s="107">
        <v>593.70000000000005</v>
      </c>
      <c r="P673" s="107">
        <v>611.95000000000005</v>
      </c>
      <c r="Q673" s="107">
        <v>594.9</v>
      </c>
      <c r="R673">
        <v>232584</v>
      </c>
    </row>
    <row r="674" spans="1:18" x14ac:dyDescent="0.25">
      <c r="A674" s="148">
        <v>44328</v>
      </c>
      <c r="B674" s="107">
        <v>613</v>
      </c>
      <c r="C674" s="107">
        <v>590.54999999999995</v>
      </c>
      <c r="D674" s="107">
        <v>584.5</v>
      </c>
      <c r="E674" s="107">
        <v>599.9</v>
      </c>
      <c r="F674" s="107">
        <v>590.54999999999995</v>
      </c>
      <c r="G674">
        <v>12248</v>
      </c>
      <c r="H674" s="107"/>
      <c r="I674" s="107"/>
      <c r="L674" s="148">
        <v>44328</v>
      </c>
      <c r="M674" s="107">
        <v>589.70000000000005</v>
      </c>
      <c r="N674" s="107">
        <v>605.20000000000005</v>
      </c>
      <c r="O674" s="107">
        <v>588.1</v>
      </c>
      <c r="P674" s="107">
        <v>599.70000000000005</v>
      </c>
      <c r="Q674" s="107">
        <v>589.70000000000005</v>
      </c>
      <c r="R674">
        <v>99205</v>
      </c>
    </row>
    <row r="675" spans="1:18" x14ac:dyDescent="0.25">
      <c r="A675" s="148">
        <v>44330</v>
      </c>
      <c r="B675" s="107">
        <v>590</v>
      </c>
      <c r="C675" s="107">
        <v>584.65</v>
      </c>
      <c r="D675" s="107">
        <v>577.6</v>
      </c>
      <c r="E675" s="107">
        <v>590</v>
      </c>
      <c r="F675" s="107">
        <v>584.65</v>
      </c>
      <c r="G675">
        <v>6811</v>
      </c>
      <c r="H675" s="107"/>
      <c r="I675" s="107"/>
      <c r="L675" s="148">
        <v>44330</v>
      </c>
      <c r="M675" s="107">
        <v>584.1</v>
      </c>
      <c r="N675" s="107">
        <v>589</v>
      </c>
      <c r="O675" s="107">
        <v>577</v>
      </c>
      <c r="P675" s="107">
        <v>589</v>
      </c>
      <c r="Q675" s="107">
        <v>584.1</v>
      </c>
      <c r="R675">
        <v>198645</v>
      </c>
    </row>
    <row r="676" spans="1:18" x14ac:dyDescent="0.25">
      <c r="A676" s="148">
        <v>44333</v>
      </c>
      <c r="B676" s="107">
        <v>600</v>
      </c>
      <c r="C676" s="107">
        <v>592.70000000000005</v>
      </c>
      <c r="D676" s="107">
        <v>586.6</v>
      </c>
      <c r="E676" s="107">
        <v>600</v>
      </c>
      <c r="F676" s="107">
        <v>592.70000000000005</v>
      </c>
      <c r="G676">
        <v>8490</v>
      </c>
      <c r="H676" s="107"/>
      <c r="I676" s="107"/>
      <c r="L676" s="148">
        <v>44333</v>
      </c>
      <c r="M676" s="107">
        <v>592.15</v>
      </c>
      <c r="N676" s="107">
        <v>600</v>
      </c>
      <c r="O676" s="107">
        <v>586.5</v>
      </c>
      <c r="P676" s="107">
        <v>600</v>
      </c>
      <c r="Q676" s="107">
        <v>592.15</v>
      </c>
      <c r="R676">
        <v>146001</v>
      </c>
    </row>
    <row r="677" spans="1:18" x14ac:dyDescent="0.25">
      <c r="A677" s="148">
        <v>44334</v>
      </c>
      <c r="B677" s="107">
        <v>610</v>
      </c>
      <c r="C677" s="107">
        <v>607.9</v>
      </c>
      <c r="D677" s="107">
        <v>587</v>
      </c>
      <c r="E677" s="107">
        <v>587</v>
      </c>
      <c r="F677" s="107">
        <v>607.9</v>
      </c>
      <c r="G677">
        <v>8360</v>
      </c>
      <c r="H677" s="107"/>
      <c r="I677" s="107"/>
      <c r="L677" s="148">
        <v>44334</v>
      </c>
      <c r="M677" s="107">
        <v>608.65</v>
      </c>
      <c r="N677" s="107">
        <v>610</v>
      </c>
      <c r="O677" s="107">
        <v>592.04999999999995</v>
      </c>
      <c r="P677" s="107">
        <v>592.04999999999995</v>
      </c>
      <c r="Q677" s="107">
        <v>608.65</v>
      </c>
      <c r="R677">
        <v>75471</v>
      </c>
    </row>
    <row r="678" spans="1:18" x14ac:dyDescent="0.25">
      <c r="A678" s="148">
        <v>44335</v>
      </c>
      <c r="B678" s="107">
        <v>622.29999999999995</v>
      </c>
      <c r="C678" s="107">
        <v>608.5</v>
      </c>
      <c r="D678" s="107">
        <v>607</v>
      </c>
      <c r="E678" s="107">
        <v>609.5</v>
      </c>
      <c r="F678" s="107">
        <v>608.5</v>
      </c>
      <c r="G678">
        <v>3601</v>
      </c>
      <c r="H678" s="107"/>
      <c r="I678" s="107"/>
      <c r="L678" s="148">
        <v>44335</v>
      </c>
      <c r="M678" s="107">
        <v>609</v>
      </c>
      <c r="N678" s="107">
        <v>624</v>
      </c>
      <c r="O678" s="107">
        <v>605.04999999999995</v>
      </c>
      <c r="P678" s="107">
        <v>609.9</v>
      </c>
      <c r="Q678" s="107">
        <v>609</v>
      </c>
      <c r="R678">
        <v>71585</v>
      </c>
    </row>
    <row r="679" spans="1:18" x14ac:dyDescent="0.25">
      <c r="A679" s="148">
        <v>44336</v>
      </c>
      <c r="B679" s="107">
        <v>621.1</v>
      </c>
      <c r="C679" s="107">
        <v>611.29999999999995</v>
      </c>
      <c r="D679" s="107">
        <v>608</v>
      </c>
      <c r="E679" s="107">
        <v>621.1</v>
      </c>
      <c r="F679" s="107">
        <v>611.29999999999995</v>
      </c>
      <c r="G679">
        <v>2710</v>
      </c>
      <c r="H679" s="107"/>
      <c r="I679" s="107"/>
      <c r="L679" s="148">
        <v>44336</v>
      </c>
      <c r="M679" s="107">
        <v>610.45000000000005</v>
      </c>
      <c r="N679" s="107">
        <v>618.95000000000005</v>
      </c>
      <c r="O679" s="107">
        <v>608</v>
      </c>
      <c r="P679" s="107">
        <v>618.95000000000005</v>
      </c>
      <c r="Q679" s="107">
        <v>610.45000000000005</v>
      </c>
      <c r="R679">
        <v>40449</v>
      </c>
    </row>
    <row r="680" spans="1:18" x14ac:dyDescent="0.25">
      <c r="A680" s="148">
        <v>44337</v>
      </c>
      <c r="B680" s="107">
        <v>619</v>
      </c>
      <c r="C680" s="107">
        <v>607.45000000000005</v>
      </c>
      <c r="D680" s="107">
        <v>605</v>
      </c>
      <c r="E680" s="107">
        <v>614.45000000000005</v>
      </c>
      <c r="F680" s="107">
        <v>607.45000000000005</v>
      </c>
      <c r="G680">
        <v>7703</v>
      </c>
      <c r="H680" s="107"/>
      <c r="I680" s="107"/>
      <c r="L680" s="148">
        <v>44337</v>
      </c>
      <c r="M680" s="107">
        <v>607.6</v>
      </c>
      <c r="N680" s="107">
        <v>619.45000000000005</v>
      </c>
      <c r="O680" s="107">
        <v>604</v>
      </c>
      <c r="P680" s="107">
        <v>615</v>
      </c>
      <c r="Q680" s="107">
        <v>607.6</v>
      </c>
      <c r="R680">
        <v>45695</v>
      </c>
    </row>
    <row r="681" spans="1:18" x14ac:dyDescent="0.25">
      <c r="A681" s="148">
        <v>44340</v>
      </c>
      <c r="B681" s="107">
        <v>619</v>
      </c>
      <c r="C681" s="107">
        <v>616.29999999999995</v>
      </c>
      <c r="D681" s="107">
        <v>607.70000000000005</v>
      </c>
      <c r="E681" s="107">
        <v>609.95000000000005</v>
      </c>
      <c r="F681" s="107">
        <v>616.29999999999995</v>
      </c>
      <c r="G681">
        <v>2221</v>
      </c>
      <c r="H681" s="107"/>
      <c r="I681" s="107"/>
      <c r="L681" s="148">
        <v>44340</v>
      </c>
      <c r="M681" s="107">
        <v>618.45000000000005</v>
      </c>
      <c r="N681" s="107">
        <v>619.75</v>
      </c>
      <c r="O681" s="107">
        <v>606.20000000000005</v>
      </c>
      <c r="P681" s="107">
        <v>609.85</v>
      </c>
      <c r="Q681" s="107">
        <v>618.45000000000005</v>
      </c>
      <c r="R681">
        <v>200218</v>
      </c>
    </row>
    <row r="682" spans="1:18" x14ac:dyDescent="0.25">
      <c r="A682" s="148">
        <v>44341</v>
      </c>
      <c r="B682" s="107">
        <v>629.35</v>
      </c>
      <c r="C682" s="107">
        <v>623.75</v>
      </c>
      <c r="D682" s="107">
        <v>620.65</v>
      </c>
      <c r="E682" s="107">
        <v>625.6</v>
      </c>
      <c r="F682" s="107">
        <v>623.75</v>
      </c>
      <c r="G682">
        <v>2976</v>
      </c>
      <c r="H682" s="107"/>
      <c r="I682" s="107"/>
      <c r="L682" s="148">
        <v>44341</v>
      </c>
      <c r="M682" s="107">
        <v>624.35</v>
      </c>
      <c r="N682" s="107">
        <v>629.29999999999995</v>
      </c>
      <c r="O682" s="107">
        <v>619.95000000000005</v>
      </c>
      <c r="P682" s="107">
        <v>620</v>
      </c>
      <c r="Q682" s="107">
        <v>624.35</v>
      </c>
      <c r="R682">
        <v>71869</v>
      </c>
    </row>
    <row r="683" spans="1:18" x14ac:dyDescent="0.25">
      <c r="A683" s="148">
        <v>44342</v>
      </c>
      <c r="B683" s="107">
        <v>641</v>
      </c>
      <c r="C683" s="107">
        <v>629.20000000000005</v>
      </c>
      <c r="D683" s="107">
        <v>625</v>
      </c>
      <c r="E683" s="107">
        <v>630.95000000000005</v>
      </c>
      <c r="F683" s="107">
        <v>629.20000000000005</v>
      </c>
      <c r="G683">
        <v>4480</v>
      </c>
      <c r="H683" s="107"/>
      <c r="I683" s="107"/>
      <c r="L683" s="148">
        <v>44342</v>
      </c>
      <c r="M683" s="107">
        <v>628.25</v>
      </c>
      <c r="N683" s="107">
        <v>638</v>
      </c>
      <c r="O683" s="107">
        <v>620</v>
      </c>
      <c r="P683" s="107">
        <v>627</v>
      </c>
      <c r="Q683" s="107">
        <v>628.25</v>
      </c>
      <c r="R683">
        <v>94506</v>
      </c>
    </row>
    <row r="684" spans="1:18" x14ac:dyDescent="0.25">
      <c r="A684" s="148">
        <v>44343</v>
      </c>
      <c r="B684" s="107">
        <v>670</v>
      </c>
      <c r="C684" s="107">
        <v>658.4</v>
      </c>
      <c r="D684" s="107">
        <v>628</v>
      </c>
      <c r="E684" s="107">
        <v>636.75</v>
      </c>
      <c r="F684" s="107">
        <v>658.4</v>
      </c>
      <c r="G684">
        <v>17315</v>
      </c>
      <c r="H684" s="107"/>
      <c r="I684" s="107"/>
      <c r="L684" s="148">
        <v>44343</v>
      </c>
      <c r="M684" s="107">
        <v>655.04999999999995</v>
      </c>
      <c r="N684" s="107">
        <v>674</v>
      </c>
      <c r="O684" s="107">
        <v>628.35</v>
      </c>
      <c r="P684" s="107">
        <v>629.95000000000005</v>
      </c>
      <c r="Q684" s="107">
        <v>655.04999999999995</v>
      </c>
      <c r="R684">
        <v>154980</v>
      </c>
    </row>
    <row r="685" spans="1:18" x14ac:dyDescent="0.25">
      <c r="A685" s="148">
        <v>44344</v>
      </c>
      <c r="B685" s="107">
        <v>672.8</v>
      </c>
      <c r="C685" s="107">
        <v>647.1</v>
      </c>
      <c r="D685" s="107">
        <v>643.1</v>
      </c>
      <c r="E685" s="107">
        <v>654.95000000000005</v>
      </c>
      <c r="F685" s="107">
        <v>647.1</v>
      </c>
      <c r="G685">
        <v>10563</v>
      </c>
      <c r="H685" s="107"/>
      <c r="I685" s="107"/>
      <c r="L685" s="148">
        <v>44344</v>
      </c>
      <c r="M685" s="107">
        <v>647.29999999999995</v>
      </c>
      <c r="N685" s="107">
        <v>673.55</v>
      </c>
      <c r="O685" s="107">
        <v>640.5</v>
      </c>
      <c r="P685" s="107">
        <v>650.35</v>
      </c>
      <c r="Q685" s="107">
        <v>647.29999999999995</v>
      </c>
      <c r="R685">
        <v>77392</v>
      </c>
    </row>
    <row r="686" spans="1:18" x14ac:dyDescent="0.25">
      <c r="A686" s="148">
        <v>44347</v>
      </c>
      <c r="B686" s="107">
        <v>650</v>
      </c>
      <c r="C686" s="107">
        <v>627.45000000000005</v>
      </c>
      <c r="D686" s="107">
        <v>622.04999999999995</v>
      </c>
      <c r="E686" s="107">
        <v>648</v>
      </c>
      <c r="F686" s="107">
        <v>627.45000000000005</v>
      </c>
      <c r="G686">
        <v>3515</v>
      </c>
      <c r="H686" s="107"/>
      <c r="I686" s="107"/>
      <c r="L686" s="148">
        <v>44347</v>
      </c>
      <c r="M686" s="107">
        <v>626.29999999999995</v>
      </c>
      <c r="N686" s="107">
        <v>653</v>
      </c>
      <c r="O686" s="107">
        <v>622</v>
      </c>
      <c r="P686" s="107">
        <v>653</v>
      </c>
      <c r="Q686" s="107">
        <v>626.29999999999995</v>
      </c>
      <c r="R686">
        <v>65832</v>
      </c>
    </row>
    <row r="687" spans="1:18" x14ac:dyDescent="0.25">
      <c r="A687" s="148">
        <v>44348</v>
      </c>
      <c r="B687" s="107">
        <v>640.9</v>
      </c>
      <c r="C687" s="107">
        <v>631.79999999999995</v>
      </c>
      <c r="D687" s="107">
        <v>628</v>
      </c>
      <c r="E687" s="107">
        <v>629.20000000000005</v>
      </c>
      <c r="F687" s="107">
        <v>631.79999999999995</v>
      </c>
      <c r="G687">
        <v>6762</v>
      </c>
      <c r="H687" s="107"/>
      <c r="I687" s="107"/>
      <c r="L687" s="148">
        <v>44348</v>
      </c>
      <c r="M687" s="107">
        <v>631.20000000000005</v>
      </c>
      <c r="N687" s="107">
        <v>644.4</v>
      </c>
      <c r="O687" s="107">
        <v>625</v>
      </c>
      <c r="P687" s="107">
        <v>627.54999999999995</v>
      </c>
      <c r="Q687" s="107">
        <v>631.20000000000005</v>
      </c>
      <c r="R687">
        <v>43023</v>
      </c>
    </row>
    <row r="688" spans="1:18" x14ac:dyDescent="0.25">
      <c r="A688" s="148">
        <v>44349</v>
      </c>
      <c r="B688" s="107">
        <v>642.85</v>
      </c>
      <c r="C688" s="107">
        <v>636.9</v>
      </c>
      <c r="D688" s="107">
        <v>632</v>
      </c>
      <c r="E688" s="107">
        <v>632.4</v>
      </c>
      <c r="F688" s="107">
        <v>636.9</v>
      </c>
      <c r="G688">
        <v>3857</v>
      </c>
      <c r="H688" s="107"/>
      <c r="I688" s="107"/>
      <c r="L688" s="148">
        <v>44349</v>
      </c>
      <c r="M688" s="107">
        <v>637.9</v>
      </c>
      <c r="N688" s="107">
        <v>642.5</v>
      </c>
      <c r="O688" s="107">
        <v>630</v>
      </c>
      <c r="P688" s="107">
        <v>630</v>
      </c>
      <c r="Q688" s="107">
        <v>637.9</v>
      </c>
      <c r="R688">
        <v>29578</v>
      </c>
    </row>
    <row r="689" spans="1:18" x14ac:dyDescent="0.25">
      <c r="A689" s="148">
        <v>44350</v>
      </c>
      <c r="B689" s="107">
        <v>700</v>
      </c>
      <c r="C689" s="107">
        <v>690.25</v>
      </c>
      <c r="D689" s="107">
        <v>642.54999999999995</v>
      </c>
      <c r="E689" s="107">
        <v>650</v>
      </c>
      <c r="F689" s="107">
        <v>690.25</v>
      </c>
      <c r="G689">
        <v>37703</v>
      </c>
      <c r="H689" s="107"/>
      <c r="I689" s="107"/>
      <c r="L689" s="148">
        <v>44350</v>
      </c>
      <c r="M689" s="107">
        <v>690</v>
      </c>
      <c r="N689" s="107">
        <v>700</v>
      </c>
      <c r="O689" s="107">
        <v>641.1</v>
      </c>
      <c r="P689" s="107">
        <v>641.1</v>
      </c>
      <c r="Q689" s="107">
        <v>690</v>
      </c>
      <c r="R689">
        <v>751956</v>
      </c>
    </row>
    <row r="690" spans="1:18" x14ac:dyDescent="0.25">
      <c r="A690" s="148">
        <v>44351</v>
      </c>
      <c r="B690" s="107">
        <v>751.15</v>
      </c>
      <c r="C690" s="107">
        <v>738.05</v>
      </c>
      <c r="D690" s="107">
        <v>687.65</v>
      </c>
      <c r="E690" s="107">
        <v>690</v>
      </c>
      <c r="F690" s="107">
        <v>738.05</v>
      </c>
      <c r="G690">
        <v>74096</v>
      </c>
      <c r="H690" s="107"/>
      <c r="I690" s="107"/>
      <c r="L690" s="148">
        <v>44351</v>
      </c>
      <c r="M690" s="107">
        <v>737.45</v>
      </c>
      <c r="N690" s="107">
        <v>751</v>
      </c>
      <c r="O690" s="107">
        <v>689.05</v>
      </c>
      <c r="P690" s="107">
        <v>692.8</v>
      </c>
      <c r="Q690" s="107">
        <v>737.45</v>
      </c>
      <c r="R690">
        <v>713042</v>
      </c>
    </row>
    <row r="691" spans="1:18" x14ac:dyDescent="0.25">
      <c r="A691" s="148">
        <v>44354</v>
      </c>
      <c r="B691" s="107">
        <v>769.8</v>
      </c>
      <c r="C691" s="107">
        <v>739.45</v>
      </c>
      <c r="D691" s="107">
        <v>732.7</v>
      </c>
      <c r="E691" s="107">
        <v>750</v>
      </c>
      <c r="F691" s="107">
        <v>739.45</v>
      </c>
      <c r="G691">
        <v>31437</v>
      </c>
      <c r="H691" s="107"/>
      <c r="I691" s="107"/>
      <c r="L691" s="148">
        <v>44354</v>
      </c>
      <c r="M691" s="107">
        <v>739.35</v>
      </c>
      <c r="N691" s="107">
        <v>769.8</v>
      </c>
      <c r="O691" s="107">
        <v>735</v>
      </c>
      <c r="P691" s="107">
        <v>748.7</v>
      </c>
      <c r="Q691" s="107">
        <v>739.35</v>
      </c>
      <c r="R691">
        <v>243217</v>
      </c>
    </row>
    <row r="692" spans="1:18" x14ac:dyDescent="0.25">
      <c r="A692" s="148">
        <v>44355</v>
      </c>
      <c r="B692" s="107">
        <v>745.3</v>
      </c>
      <c r="C692" s="107">
        <v>708.6</v>
      </c>
      <c r="D692" s="107">
        <v>702.6</v>
      </c>
      <c r="E692" s="107">
        <v>745.3</v>
      </c>
      <c r="F692" s="107">
        <v>708.6</v>
      </c>
      <c r="G692">
        <v>16326</v>
      </c>
      <c r="H692" s="107"/>
      <c r="I692" s="107"/>
      <c r="L692" s="148">
        <v>44355</v>
      </c>
      <c r="M692" s="107">
        <v>709.9</v>
      </c>
      <c r="N692" s="107">
        <v>740.3</v>
      </c>
      <c r="O692" s="107">
        <v>702.9</v>
      </c>
      <c r="P692" s="107">
        <v>739.35</v>
      </c>
      <c r="Q692" s="107">
        <v>709.9</v>
      </c>
      <c r="R692">
        <v>126298</v>
      </c>
    </row>
    <row r="693" spans="1:18" x14ac:dyDescent="0.25">
      <c r="A693" s="148">
        <v>44356</v>
      </c>
      <c r="B693" s="107">
        <v>724.4</v>
      </c>
      <c r="C693" s="107">
        <v>681.55</v>
      </c>
      <c r="D693" s="107">
        <v>679.35</v>
      </c>
      <c r="E693" s="107">
        <v>706.6</v>
      </c>
      <c r="F693" s="107">
        <v>681.55</v>
      </c>
      <c r="G693">
        <v>5734</v>
      </c>
      <c r="H693" s="107"/>
      <c r="I693" s="107"/>
      <c r="L693" s="148">
        <v>44356</v>
      </c>
      <c r="M693" s="107">
        <v>681.5</v>
      </c>
      <c r="N693" s="107">
        <v>723.8</v>
      </c>
      <c r="O693" s="107">
        <v>678.6</v>
      </c>
      <c r="P693" s="107">
        <v>710.05</v>
      </c>
      <c r="Q693" s="107">
        <v>681.5</v>
      </c>
      <c r="R693">
        <v>345474</v>
      </c>
    </row>
    <row r="694" spans="1:18" x14ac:dyDescent="0.25">
      <c r="A694" s="148">
        <v>44357</v>
      </c>
      <c r="B694" s="107">
        <v>735</v>
      </c>
      <c r="C694" s="107">
        <v>722.95</v>
      </c>
      <c r="D694" s="107">
        <v>685.8</v>
      </c>
      <c r="E694" s="107">
        <v>685.8</v>
      </c>
      <c r="F694" s="107">
        <v>722.95</v>
      </c>
      <c r="G694">
        <v>23559</v>
      </c>
      <c r="H694" s="107"/>
      <c r="I694" s="107"/>
      <c r="L694" s="148">
        <v>44357</v>
      </c>
      <c r="M694" s="107">
        <v>718.35</v>
      </c>
      <c r="N694" s="107">
        <v>735</v>
      </c>
      <c r="O694" s="107">
        <v>685</v>
      </c>
      <c r="P694" s="107">
        <v>698.45</v>
      </c>
      <c r="Q694" s="107">
        <v>718.35</v>
      </c>
      <c r="R694">
        <v>769520</v>
      </c>
    </row>
    <row r="695" spans="1:18" x14ac:dyDescent="0.25">
      <c r="A695" s="148">
        <v>44358</v>
      </c>
      <c r="B695" s="107">
        <v>747.45</v>
      </c>
      <c r="C695" s="107">
        <v>722.25</v>
      </c>
      <c r="D695" s="107">
        <v>713</v>
      </c>
      <c r="E695" s="107">
        <v>747</v>
      </c>
      <c r="F695" s="107">
        <v>722.25</v>
      </c>
      <c r="G695">
        <v>24169</v>
      </c>
      <c r="H695" s="107"/>
      <c r="I695" s="107"/>
      <c r="L695" s="148">
        <v>44358</v>
      </c>
      <c r="M695" s="107">
        <v>722.6</v>
      </c>
      <c r="N695" s="107">
        <v>747.9</v>
      </c>
      <c r="O695" s="107">
        <v>712.35</v>
      </c>
      <c r="P695" s="107">
        <v>735</v>
      </c>
      <c r="Q695" s="107">
        <v>722.6</v>
      </c>
      <c r="R695">
        <v>327888</v>
      </c>
    </row>
    <row r="696" spans="1:18" x14ac:dyDescent="0.25">
      <c r="A696" s="148">
        <v>44361</v>
      </c>
      <c r="B696" s="107">
        <v>723.4</v>
      </c>
      <c r="C696" s="107">
        <v>716.6</v>
      </c>
      <c r="D696" s="107">
        <v>699.6</v>
      </c>
      <c r="E696" s="107">
        <v>723</v>
      </c>
      <c r="F696" s="107">
        <v>716.6</v>
      </c>
      <c r="G696">
        <v>3264</v>
      </c>
      <c r="H696" s="107"/>
      <c r="I696" s="107"/>
      <c r="L696" s="148">
        <v>44361</v>
      </c>
      <c r="M696" s="107">
        <v>716.85</v>
      </c>
      <c r="N696" s="107">
        <v>728</v>
      </c>
      <c r="O696" s="107">
        <v>698.6</v>
      </c>
      <c r="P696" s="107">
        <v>728</v>
      </c>
      <c r="Q696" s="107">
        <v>716.85</v>
      </c>
      <c r="R696">
        <v>70273</v>
      </c>
    </row>
    <row r="697" spans="1:18" x14ac:dyDescent="0.25">
      <c r="A697" s="148">
        <v>44362</v>
      </c>
      <c r="B697" s="107">
        <v>807.55</v>
      </c>
      <c r="C697" s="107">
        <v>775.55</v>
      </c>
      <c r="D697" s="107">
        <v>725.45</v>
      </c>
      <c r="E697" s="107">
        <v>725.45</v>
      </c>
      <c r="F697" s="107">
        <v>775.55</v>
      </c>
      <c r="G697">
        <v>41427</v>
      </c>
      <c r="H697" s="107"/>
      <c r="I697" s="107"/>
      <c r="L697" s="148">
        <v>44362</v>
      </c>
      <c r="M697" s="107">
        <v>764.1</v>
      </c>
      <c r="N697" s="107">
        <v>808.4</v>
      </c>
      <c r="O697" s="107">
        <v>723.2</v>
      </c>
      <c r="P697" s="107">
        <v>725</v>
      </c>
      <c r="Q697" s="107">
        <v>764.1</v>
      </c>
      <c r="R697">
        <v>1382895</v>
      </c>
    </row>
    <row r="698" spans="1:18" x14ac:dyDescent="0.25">
      <c r="A698" s="148">
        <v>44363</v>
      </c>
      <c r="B698" s="107">
        <v>780</v>
      </c>
      <c r="C698" s="107">
        <v>755.6</v>
      </c>
      <c r="D698" s="107">
        <v>750</v>
      </c>
      <c r="E698" s="107">
        <v>780</v>
      </c>
      <c r="F698" s="107">
        <v>755.6</v>
      </c>
      <c r="G698">
        <v>21620</v>
      </c>
      <c r="H698" s="107"/>
      <c r="I698" s="107"/>
      <c r="L698" s="148">
        <v>44363</v>
      </c>
      <c r="M698" s="107">
        <v>755.8</v>
      </c>
      <c r="N698" s="107">
        <v>780.75</v>
      </c>
      <c r="O698" s="107">
        <v>750</v>
      </c>
      <c r="P698" s="107">
        <v>780</v>
      </c>
      <c r="Q698" s="107">
        <v>755.8</v>
      </c>
      <c r="R698">
        <v>428301</v>
      </c>
    </row>
    <row r="699" spans="1:18" x14ac:dyDescent="0.25">
      <c r="A699" s="148">
        <v>44364</v>
      </c>
      <c r="B699" s="107">
        <v>771.25</v>
      </c>
      <c r="C699" s="107">
        <v>753.7</v>
      </c>
      <c r="D699" s="107">
        <v>740.7</v>
      </c>
      <c r="E699" s="107">
        <v>744</v>
      </c>
      <c r="F699" s="107">
        <v>753.7</v>
      </c>
      <c r="G699">
        <v>3860</v>
      </c>
      <c r="H699" s="107"/>
      <c r="I699" s="107"/>
      <c r="L699" s="148">
        <v>44364</v>
      </c>
      <c r="M699" s="107">
        <v>759.25</v>
      </c>
      <c r="N699" s="107">
        <v>772.45</v>
      </c>
      <c r="O699" s="107">
        <v>739.8</v>
      </c>
      <c r="P699" s="107">
        <v>752</v>
      </c>
      <c r="Q699" s="107">
        <v>759.25</v>
      </c>
      <c r="R699">
        <v>307949</v>
      </c>
    </row>
    <row r="700" spans="1:18" x14ac:dyDescent="0.25">
      <c r="A700" s="148">
        <v>44365</v>
      </c>
      <c r="B700" s="107">
        <v>776.6</v>
      </c>
      <c r="C700" s="107">
        <v>743.55</v>
      </c>
      <c r="D700" s="107">
        <v>728</v>
      </c>
      <c r="E700" s="107">
        <v>768.65</v>
      </c>
      <c r="F700" s="107">
        <v>743.55</v>
      </c>
      <c r="G700">
        <v>6083</v>
      </c>
      <c r="H700" s="107"/>
      <c r="I700" s="107"/>
      <c r="L700" s="148">
        <v>44365</v>
      </c>
      <c r="M700" s="107">
        <v>744.55</v>
      </c>
      <c r="N700" s="107">
        <v>779.25</v>
      </c>
      <c r="O700" s="107">
        <v>727</v>
      </c>
      <c r="P700" s="107">
        <v>763.05</v>
      </c>
      <c r="Q700" s="107">
        <v>744.55</v>
      </c>
      <c r="R700">
        <v>356744</v>
      </c>
    </row>
    <row r="701" spans="1:18" x14ac:dyDescent="0.25">
      <c r="A701" s="148">
        <v>44368</v>
      </c>
      <c r="B701" s="107">
        <v>742.1</v>
      </c>
      <c r="C701" s="107">
        <v>733.4</v>
      </c>
      <c r="D701" s="107">
        <v>727.55</v>
      </c>
      <c r="E701" s="107">
        <v>730.65</v>
      </c>
      <c r="F701" s="107">
        <v>733.4</v>
      </c>
      <c r="G701">
        <v>2129</v>
      </c>
      <c r="H701" s="107"/>
      <c r="I701" s="107"/>
      <c r="L701" s="148">
        <v>44368</v>
      </c>
      <c r="M701" s="107">
        <v>733.6</v>
      </c>
      <c r="N701" s="107">
        <v>743.05</v>
      </c>
      <c r="O701" s="107">
        <v>724.1</v>
      </c>
      <c r="P701" s="107">
        <v>727</v>
      </c>
      <c r="Q701" s="107">
        <v>733.6</v>
      </c>
      <c r="R701">
        <v>69562</v>
      </c>
    </row>
    <row r="702" spans="1:18" x14ac:dyDescent="0.25">
      <c r="A702" s="148">
        <v>44369</v>
      </c>
      <c r="B702" s="107">
        <v>754.7</v>
      </c>
      <c r="C702" s="107">
        <v>730.25</v>
      </c>
      <c r="D702" s="107">
        <v>728</v>
      </c>
      <c r="E702" s="107">
        <v>750</v>
      </c>
      <c r="F702" s="107">
        <v>730.25</v>
      </c>
      <c r="G702">
        <v>3893</v>
      </c>
      <c r="H702" s="107"/>
      <c r="I702" s="107"/>
      <c r="L702" s="148">
        <v>44369</v>
      </c>
      <c r="M702" s="107">
        <v>730.3</v>
      </c>
      <c r="N702" s="107">
        <v>759</v>
      </c>
      <c r="O702" s="107">
        <v>727</v>
      </c>
      <c r="P702" s="107">
        <v>739.95</v>
      </c>
      <c r="Q702" s="107">
        <v>730.3</v>
      </c>
      <c r="R702">
        <v>228567</v>
      </c>
    </row>
    <row r="703" spans="1:18" x14ac:dyDescent="0.25">
      <c r="A703" s="148">
        <v>44370</v>
      </c>
      <c r="B703" s="107">
        <v>737</v>
      </c>
      <c r="C703" s="107">
        <v>733.6</v>
      </c>
      <c r="D703" s="107">
        <v>725.25</v>
      </c>
      <c r="E703" s="107">
        <v>736.45</v>
      </c>
      <c r="F703" s="107">
        <v>733.6</v>
      </c>
      <c r="G703">
        <v>1137</v>
      </c>
      <c r="H703" s="107"/>
      <c r="I703" s="107"/>
      <c r="L703" s="148">
        <v>44370</v>
      </c>
      <c r="M703" s="107">
        <v>730.9</v>
      </c>
      <c r="N703" s="107">
        <v>738.4</v>
      </c>
      <c r="O703" s="107">
        <v>725.25</v>
      </c>
      <c r="P703" s="107">
        <v>736.8</v>
      </c>
      <c r="Q703" s="107">
        <v>730.9</v>
      </c>
      <c r="R703">
        <v>37966</v>
      </c>
    </row>
    <row r="704" spans="1:18" x14ac:dyDescent="0.25">
      <c r="A704" s="148">
        <v>44371</v>
      </c>
      <c r="B704" s="107">
        <v>757.65</v>
      </c>
      <c r="C704" s="107">
        <v>748.8</v>
      </c>
      <c r="D704" s="107">
        <v>729.9</v>
      </c>
      <c r="E704" s="107">
        <v>737</v>
      </c>
      <c r="F704" s="107">
        <v>748.8</v>
      </c>
      <c r="G704">
        <v>5284</v>
      </c>
      <c r="H704" s="107"/>
      <c r="I704" s="107"/>
      <c r="L704" s="148">
        <v>44371</v>
      </c>
      <c r="M704" s="107">
        <v>749.5</v>
      </c>
      <c r="N704" s="107">
        <v>758.05</v>
      </c>
      <c r="O704" s="107">
        <v>727.75</v>
      </c>
      <c r="P704" s="107">
        <v>737.8</v>
      </c>
      <c r="Q704" s="107">
        <v>749.5</v>
      </c>
      <c r="R704">
        <v>541882</v>
      </c>
    </row>
    <row r="705" spans="1:18" x14ac:dyDescent="0.25">
      <c r="A705" s="148">
        <v>44372</v>
      </c>
      <c r="B705" s="107">
        <v>768</v>
      </c>
      <c r="C705" s="107">
        <v>764.65</v>
      </c>
      <c r="D705" s="107">
        <v>748.3</v>
      </c>
      <c r="E705" s="107">
        <v>748.5</v>
      </c>
      <c r="F705" s="107">
        <v>764.65</v>
      </c>
      <c r="G705">
        <v>4564</v>
      </c>
      <c r="H705" s="107"/>
      <c r="I705" s="107"/>
      <c r="L705" s="148">
        <v>44372</v>
      </c>
      <c r="M705" s="107">
        <v>765.15</v>
      </c>
      <c r="N705" s="107">
        <v>769</v>
      </c>
      <c r="O705" s="107">
        <v>748.15</v>
      </c>
      <c r="P705" s="107">
        <v>753.25</v>
      </c>
      <c r="Q705" s="107">
        <v>765.15</v>
      </c>
      <c r="R705">
        <v>179311</v>
      </c>
    </row>
    <row r="706" spans="1:18" x14ac:dyDescent="0.25">
      <c r="A706" s="148">
        <v>44375</v>
      </c>
      <c r="B706" s="107">
        <v>769.95</v>
      </c>
      <c r="C706" s="107">
        <v>751.05</v>
      </c>
      <c r="D706" s="107">
        <v>743.95</v>
      </c>
      <c r="E706" s="107">
        <v>764.7</v>
      </c>
      <c r="F706" s="107">
        <v>751.05</v>
      </c>
      <c r="G706">
        <v>2392</v>
      </c>
      <c r="H706" s="107"/>
      <c r="I706" s="107"/>
      <c r="L706" s="148">
        <v>44375</v>
      </c>
      <c r="M706" s="107">
        <v>752.85</v>
      </c>
      <c r="N706" s="107">
        <v>768.85</v>
      </c>
      <c r="O706" s="107">
        <v>745.85</v>
      </c>
      <c r="P706" s="107">
        <v>766.05</v>
      </c>
      <c r="Q706" s="107">
        <v>752.85</v>
      </c>
      <c r="R706">
        <v>106738</v>
      </c>
    </row>
    <row r="707" spans="1:18" x14ac:dyDescent="0.25">
      <c r="A707" s="148">
        <v>44376</v>
      </c>
      <c r="B707" s="107">
        <v>758.15</v>
      </c>
      <c r="C707" s="107">
        <v>756.25</v>
      </c>
      <c r="D707" s="107">
        <v>732</v>
      </c>
      <c r="E707" s="107">
        <v>732</v>
      </c>
      <c r="F707" s="107">
        <v>756.25</v>
      </c>
      <c r="G707">
        <v>1845</v>
      </c>
      <c r="H707" s="107"/>
      <c r="I707" s="107"/>
      <c r="L707" s="148">
        <v>44376</v>
      </c>
      <c r="M707" s="107">
        <v>756.6</v>
      </c>
      <c r="N707" s="107">
        <v>760.1</v>
      </c>
      <c r="O707" s="107">
        <v>748.45</v>
      </c>
      <c r="P707" s="107">
        <v>756.65</v>
      </c>
      <c r="Q707" s="107">
        <v>756.6</v>
      </c>
      <c r="R707">
        <v>447739</v>
      </c>
    </row>
    <row r="708" spans="1:18" x14ac:dyDescent="0.25">
      <c r="A708" s="148">
        <v>44377</v>
      </c>
      <c r="B708" s="107">
        <v>761.25</v>
      </c>
      <c r="C708" s="107">
        <v>749.75</v>
      </c>
      <c r="D708" s="107">
        <v>749</v>
      </c>
      <c r="E708" s="107">
        <v>761.25</v>
      </c>
      <c r="F708" s="107">
        <v>749.75</v>
      </c>
      <c r="G708">
        <v>3689</v>
      </c>
      <c r="H708" s="107"/>
      <c r="I708" s="107"/>
      <c r="L708" s="148">
        <v>44377</v>
      </c>
      <c r="M708" s="107">
        <v>750</v>
      </c>
      <c r="N708" s="107">
        <v>768.8</v>
      </c>
      <c r="O708" s="107">
        <v>748.15</v>
      </c>
      <c r="P708" s="107">
        <v>759.4</v>
      </c>
      <c r="Q708" s="107">
        <v>750</v>
      </c>
      <c r="R708">
        <v>327030</v>
      </c>
    </row>
    <row r="709" spans="1:18" x14ac:dyDescent="0.25">
      <c r="A709" s="148">
        <v>44378</v>
      </c>
      <c r="B709" s="107">
        <v>732.25</v>
      </c>
      <c r="C709" s="107">
        <v>721.5</v>
      </c>
      <c r="D709" s="107">
        <v>710</v>
      </c>
      <c r="E709" s="107">
        <v>731</v>
      </c>
      <c r="F709" s="107">
        <v>721.5</v>
      </c>
      <c r="G709">
        <v>6780</v>
      </c>
      <c r="H709" s="107"/>
      <c r="I709" s="107"/>
      <c r="L709" s="148">
        <v>44378</v>
      </c>
      <c r="M709" s="107">
        <v>721.55</v>
      </c>
      <c r="N709" s="107">
        <v>733.6</v>
      </c>
      <c r="O709" s="107">
        <v>709.5</v>
      </c>
      <c r="P709" s="107">
        <v>710</v>
      </c>
      <c r="Q709" s="107">
        <v>721.55</v>
      </c>
      <c r="R709">
        <v>193200</v>
      </c>
    </row>
    <row r="710" spans="1:18" x14ac:dyDescent="0.25">
      <c r="A710" s="148">
        <v>44379</v>
      </c>
      <c r="B710" s="107">
        <v>731.1</v>
      </c>
      <c r="C710" s="107">
        <v>721.15</v>
      </c>
      <c r="D710" s="107">
        <v>718</v>
      </c>
      <c r="E710" s="107">
        <v>724.15</v>
      </c>
      <c r="F710" s="107">
        <v>721.15</v>
      </c>
      <c r="G710">
        <v>1617</v>
      </c>
      <c r="H710" s="107"/>
      <c r="I710" s="107"/>
      <c r="L710" s="148">
        <v>44379</v>
      </c>
      <c r="M710" s="107">
        <v>720.45</v>
      </c>
      <c r="N710" s="107">
        <v>732.15</v>
      </c>
      <c r="O710" s="107">
        <v>717.65</v>
      </c>
      <c r="P710" s="107">
        <v>726</v>
      </c>
      <c r="Q710" s="107">
        <v>720.45</v>
      </c>
      <c r="R710">
        <v>77424</v>
      </c>
    </row>
    <row r="711" spans="1:18" x14ac:dyDescent="0.25">
      <c r="A711" s="148">
        <v>44382</v>
      </c>
      <c r="B711" s="107">
        <v>733</v>
      </c>
      <c r="C711" s="107">
        <v>721.5</v>
      </c>
      <c r="D711" s="107">
        <v>717.55</v>
      </c>
      <c r="E711" s="107">
        <v>725</v>
      </c>
      <c r="F711" s="107">
        <v>721.5</v>
      </c>
      <c r="G711">
        <v>4924</v>
      </c>
      <c r="H711" s="107"/>
      <c r="I711" s="107"/>
      <c r="L711" s="148">
        <v>44382</v>
      </c>
      <c r="M711" s="107">
        <v>721.95</v>
      </c>
      <c r="N711" s="107">
        <v>733.4</v>
      </c>
      <c r="O711" s="107">
        <v>716.35</v>
      </c>
      <c r="P711" s="107">
        <v>723</v>
      </c>
      <c r="Q711" s="107">
        <v>721.95</v>
      </c>
      <c r="R711">
        <v>201848</v>
      </c>
    </row>
    <row r="712" spans="1:18" x14ac:dyDescent="0.25">
      <c r="A712" s="148">
        <v>44383</v>
      </c>
      <c r="B712" s="107">
        <v>731.1</v>
      </c>
      <c r="C712" s="107">
        <v>720.4</v>
      </c>
      <c r="D712" s="107">
        <v>719.55</v>
      </c>
      <c r="E712" s="107">
        <v>727.7</v>
      </c>
      <c r="F712" s="107">
        <v>720.4</v>
      </c>
      <c r="G712">
        <v>1831</v>
      </c>
      <c r="H712" s="107"/>
      <c r="I712" s="107"/>
      <c r="L712" s="148">
        <v>44383</v>
      </c>
      <c r="M712" s="107">
        <v>721.25</v>
      </c>
      <c r="N712" s="107">
        <v>731.25</v>
      </c>
      <c r="O712" s="107">
        <v>718.1</v>
      </c>
      <c r="P712" s="107">
        <v>726</v>
      </c>
      <c r="Q712" s="107">
        <v>721.25</v>
      </c>
      <c r="R712">
        <v>108899</v>
      </c>
    </row>
    <row r="713" spans="1:18" x14ac:dyDescent="0.25">
      <c r="A713" s="148">
        <v>44384</v>
      </c>
      <c r="B713" s="107">
        <v>724.55</v>
      </c>
      <c r="C713" s="107">
        <v>720.75</v>
      </c>
      <c r="D713" s="107">
        <v>714.1</v>
      </c>
      <c r="E713" s="107">
        <v>721.35</v>
      </c>
      <c r="F713" s="107">
        <v>720.75</v>
      </c>
      <c r="G713">
        <v>1414</v>
      </c>
      <c r="H713" s="107"/>
      <c r="I713" s="107"/>
      <c r="L713" s="148">
        <v>44384</v>
      </c>
      <c r="M713" s="107">
        <v>721.3</v>
      </c>
      <c r="N713" s="107">
        <v>725.95</v>
      </c>
      <c r="O713" s="107">
        <v>714.75</v>
      </c>
      <c r="P713" s="107">
        <v>725.95</v>
      </c>
      <c r="Q713" s="107">
        <v>721.3</v>
      </c>
      <c r="R713">
        <v>93282</v>
      </c>
    </row>
    <row r="714" spans="1:18" x14ac:dyDescent="0.25">
      <c r="A714" s="148">
        <v>44385</v>
      </c>
      <c r="B714" s="107">
        <v>727.95</v>
      </c>
      <c r="C714" s="107">
        <v>702.7</v>
      </c>
      <c r="D714" s="107">
        <v>699.7</v>
      </c>
      <c r="E714" s="107">
        <v>720.4</v>
      </c>
      <c r="F714" s="107">
        <v>702.7</v>
      </c>
      <c r="G714">
        <v>5051</v>
      </c>
      <c r="H714" s="107"/>
      <c r="I714" s="107"/>
      <c r="L714" s="148">
        <v>44385</v>
      </c>
      <c r="M714" s="107">
        <v>703.45</v>
      </c>
      <c r="N714" s="107">
        <v>729</v>
      </c>
      <c r="O714" s="107">
        <v>699</v>
      </c>
      <c r="P714" s="107">
        <v>720.1</v>
      </c>
      <c r="Q714" s="107">
        <v>703.45</v>
      </c>
      <c r="R714">
        <v>289422</v>
      </c>
    </row>
    <row r="715" spans="1:18" x14ac:dyDescent="0.25">
      <c r="A715" s="148">
        <v>44386</v>
      </c>
      <c r="B715" s="107">
        <v>738.95</v>
      </c>
      <c r="C715" s="107">
        <v>732.6</v>
      </c>
      <c r="D715" s="107">
        <v>697.45</v>
      </c>
      <c r="E715" s="107">
        <v>706.5</v>
      </c>
      <c r="F715" s="107">
        <v>732.6</v>
      </c>
      <c r="G715">
        <v>6485</v>
      </c>
      <c r="H715" s="107"/>
      <c r="I715" s="107"/>
      <c r="L715" s="148">
        <v>44386</v>
      </c>
      <c r="M715" s="107">
        <v>730.3</v>
      </c>
      <c r="N715" s="107">
        <v>739</v>
      </c>
      <c r="O715" s="107">
        <v>696.6</v>
      </c>
      <c r="P715" s="107">
        <v>706.8</v>
      </c>
      <c r="Q715" s="107">
        <v>730.3</v>
      </c>
      <c r="R715">
        <v>289694</v>
      </c>
    </row>
    <row r="716" spans="1:18" x14ac:dyDescent="0.25">
      <c r="A716" s="148">
        <v>44389</v>
      </c>
      <c r="B716" s="107">
        <v>743.9</v>
      </c>
      <c r="C716" s="107">
        <v>716.75</v>
      </c>
      <c r="D716" s="107">
        <v>711.95</v>
      </c>
      <c r="E716" s="107">
        <v>736.5</v>
      </c>
      <c r="F716" s="107">
        <v>716.75</v>
      </c>
      <c r="G716">
        <v>5983</v>
      </c>
      <c r="H716" s="107"/>
      <c r="I716" s="107"/>
      <c r="L716" s="148">
        <v>44389</v>
      </c>
      <c r="M716" s="107">
        <v>715.9</v>
      </c>
      <c r="N716" s="107">
        <v>745</v>
      </c>
      <c r="O716" s="107">
        <v>711</v>
      </c>
      <c r="P716" s="107">
        <v>735.4</v>
      </c>
      <c r="Q716" s="107">
        <v>715.9</v>
      </c>
      <c r="R716">
        <v>113111</v>
      </c>
    </row>
    <row r="717" spans="1:18" x14ac:dyDescent="0.25">
      <c r="A717" s="148">
        <v>44390</v>
      </c>
      <c r="B717" s="107">
        <v>722.5</v>
      </c>
      <c r="C717" s="107">
        <v>720.85</v>
      </c>
      <c r="D717" s="107">
        <v>701.1</v>
      </c>
      <c r="E717" s="107">
        <v>717.75</v>
      </c>
      <c r="F717" s="107">
        <v>720.85</v>
      </c>
      <c r="G717">
        <v>7876</v>
      </c>
      <c r="H717" s="107"/>
      <c r="I717" s="107"/>
      <c r="L717" s="148">
        <v>44390</v>
      </c>
      <c r="M717" s="107">
        <v>720.65</v>
      </c>
      <c r="N717" s="107">
        <v>722.95</v>
      </c>
      <c r="O717" s="107">
        <v>701.1</v>
      </c>
      <c r="P717" s="107">
        <v>717</v>
      </c>
      <c r="Q717" s="107">
        <v>720.65</v>
      </c>
      <c r="R717">
        <v>191701</v>
      </c>
    </row>
    <row r="718" spans="1:18" x14ac:dyDescent="0.25">
      <c r="A718" s="148">
        <v>44391</v>
      </c>
      <c r="B718" s="107">
        <v>730</v>
      </c>
      <c r="C718" s="107">
        <v>721.65</v>
      </c>
      <c r="D718" s="107">
        <v>710.05</v>
      </c>
      <c r="E718" s="107">
        <v>730</v>
      </c>
      <c r="F718" s="107">
        <v>721.65</v>
      </c>
      <c r="G718">
        <v>8794</v>
      </c>
      <c r="H718" s="107"/>
      <c r="I718" s="107"/>
      <c r="L718" s="148">
        <v>44391</v>
      </c>
      <c r="M718" s="107">
        <v>723.15</v>
      </c>
      <c r="N718" s="107">
        <v>729.9</v>
      </c>
      <c r="O718" s="107">
        <v>710</v>
      </c>
      <c r="P718" s="107">
        <v>724.6</v>
      </c>
      <c r="Q718" s="107">
        <v>723.15</v>
      </c>
      <c r="R718">
        <v>317377</v>
      </c>
    </row>
    <row r="719" spans="1:18" x14ac:dyDescent="0.25">
      <c r="A719" s="148">
        <v>44392</v>
      </c>
      <c r="B719" s="107">
        <v>745.95</v>
      </c>
      <c r="C719" s="107">
        <v>740.9</v>
      </c>
      <c r="D719" s="107">
        <v>721</v>
      </c>
      <c r="E719" s="107">
        <v>722.75</v>
      </c>
      <c r="F719" s="107">
        <v>740.9</v>
      </c>
      <c r="G719">
        <v>4603</v>
      </c>
      <c r="H719" s="107"/>
      <c r="I719" s="107"/>
      <c r="L719" s="148">
        <v>44392</v>
      </c>
      <c r="M719" s="107">
        <v>741.35</v>
      </c>
      <c r="N719" s="107">
        <v>747</v>
      </c>
      <c r="O719" s="107">
        <v>720.65</v>
      </c>
      <c r="P719" s="107">
        <v>723.15</v>
      </c>
      <c r="Q719" s="107">
        <v>741.35</v>
      </c>
      <c r="R719">
        <v>319485</v>
      </c>
    </row>
    <row r="720" spans="1:18" x14ac:dyDescent="0.25">
      <c r="A720" s="148">
        <v>44393</v>
      </c>
      <c r="B720" s="107">
        <v>757.7</v>
      </c>
      <c r="C720" s="107">
        <v>746.2</v>
      </c>
      <c r="D720" s="107">
        <v>734</v>
      </c>
      <c r="E720" s="107">
        <v>741</v>
      </c>
      <c r="F720" s="107">
        <v>746.2</v>
      </c>
      <c r="G720">
        <v>6414</v>
      </c>
      <c r="H720" s="107"/>
      <c r="I720" s="107"/>
      <c r="L720" s="148">
        <v>44393</v>
      </c>
      <c r="M720" s="107">
        <v>743.1</v>
      </c>
      <c r="N720" s="107">
        <v>757.05</v>
      </c>
      <c r="O720" s="107">
        <v>734</v>
      </c>
      <c r="P720" s="107">
        <v>746</v>
      </c>
      <c r="Q720" s="107">
        <v>743.1</v>
      </c>
      <c r="R720">
        <v>357601</v>
      </c>
    </row>
    <row r="721" spans="1:18" x14ac:dyDescent="0.25">
      <c r="A721" s="148">
        <v>44396</v>
      </c>
      <c r="B721" s="107">
        <v>739.9</v>
      </c>
      <c r="C721" s="107">
        <v>718.4</v>
      </c>
      <c r="D721" s="107">
        <v>714.25</v>
      </c>
      <c r="E721" s="107">
        <v>722</v>
      </c>
      <c r="F721" s="107">
        <v>718.4</v>
      </c>
      <c r="G721">
        <v>7898</v>
      </c>
      <c r="H721" s="107"/>
      <c r="I721" s="107"/>
      <c r="L721" s="148">
        <v>44396</v>
      </c>
      <c r="M721" s="107">
        <v>717.8</v>
      </c>
      <c r="N721" s="107">
        <v>740.8</v>
      </c>
      <c r="O721" s="107">
        <v>715</v>
      </c>
      <c r="P721" s="107">
        <v>740.8</v>
      </c>
      <c r="Q721" s="107">
        <v>717.8</v>
      </c>
      <c r="R721">
        <v>52417</v>
      </c>
    </row>
    <row r="722" spans="1:18" x14ac:dyDescent="0.25">
      <c r="A722" s="148">
        <v>44397</v>
      </c>
      <c r="B722" s="107">
        <v>722.6</v>
      </c>
      <c r="C722" s="107">
        <v>703.5</v>
      </c>
      <c r="D722" s="107">
        <v>701.4</v>
      </c>
      <c r="E722" s="107">
        <v>718</v>
      </c>
      <c r="F722" s="107">
        <v>703.5</v>
      </c>
      <c r="G722">
        <v>8992</v>
      </c>
      <c r="H722" s="107"/>
      <c r="I722" s="107"/>
      <c r="L722" s="148">
        <v>44397</v>
      </c>
      <c r="M722" s="107">
        <v>703.8</v>
      </c>
      <c r="N722" s="107">
        <v>722.05</v>
      </c>
      <c r="O722" s="107">
        <v>701.65</v>
      </c>
      <c r="P722" s="107">
        <v>717.25</v>
      </c>
      <c r="Q722" s="107">
        <v>703.8</v>
      </c>
      <c r="R722">
        <v>63740</v>
      </c>
    </row>
    <row r="723" spans="1:18" x14ac:dyDescent="0.25">
      <c r="A723" s="148">
        <v>44399</v>
      </c>
      <c r="B723" s="107">
        <v>712.1</v>
      </c>
      <c r="C723" s="107">
        <v>700.5</v>
      </c>
      <c r="D723" s="107">
        <v>698</v>
      </c>
      <c r="E723" s="107">
        <v>712.1</v>
      </c>
      <c r="F723" s="107">
        <v>700.5</v>
      </c>
      <c r="G723">
        <v>2497</v>
      </c>
      <c r="H723" s="107"/>
      <c r="I723" s="107"/>
      <c r="L723" s="148">
        <v>44399</v>
      </c>
      <c r="M723" s="107">
        <v>700</v>
      </c>
      <c r="N723" s="107">
        <v>712.55</v>
      </c>
      <c r="O723" s="107">
        <v>698</v>
      </c>
      <c r="P723" s="107">
        <v>710.75</v>
      </c>
      <c r="Q723" s="107">
        <v>700</v>
      </c>
      <c r="R723">
        <v>59576</v>
      </c>
    </row>
    <row r="724" spans="1:18" x14ac:dyDescent="0.25">
      <c r="A724" s="148">
        <v>44400</v>
      </c>
      <c r="B724" s="107">
        <v>708.15</v>
      </c>
      <c r="C724" s="107">
        <v>703.6</v>
      </c>
      <c r="D724" s="107">
        <v>700.7</v>
      </c>
      <c r="E724" s="107">
        <v>705.8</v>
      </c>
      <c r="F724" s="107">
        <v>703.6</v>
      </c>
      <c r="G724">
        <v>3102</v>
      </c>
      <c r="H724" s="107"/>
      <c r="I724" s="107"/>
      <c r="L724" s="148">
        <v>44400</v>
      </c>
      <c r="M724" s="107">
        <v>703.35</v>
      </c>
      <c r="N724" s="107">
        <v>709.4</v>
      </c>
      <c r="O724" s="107">
        <v>700.45</v>
      </c>
      <c r="P724" s="107">
        <v>706.7</v>
      </c>
      <c r="Q724" s="107">
        <v>703.35</v>
      </c>
      <c r="R724">
        <v>27795</v>
      </c>
    </row>
    <row r="725" spans="1:18" x14ac:dyDescent="0.25">
      <c r="A725" s="148">
        <v>44403</v>
      </c>
      <c r="B725" s="107">
        <v>703.75</v>
      </c>
      <c r="C725" s="107">
        <v>656.2</v>
      </c>
      <c r="D725" s="107">
        <v>650.15</v>
      </c>
      <c r="E725" s="107">
        <v>703.5</v>
      </c>
      <c r="F725" s="107">
        <v>656.2</v>
      </c>
      <c r="G725">
        <v>20421</v>
      </c>
      <c r="H725" s="107"/>
      <c r="I725" s="107"/>
      <c r="L725" s="148">
        <v>44403</v>
      </c>
      <c r="M725" s="107">
        <v>660.75</v>
      </c>
      <c r="N725" s="107">
        <v>706.9</v>
      </c>
      <c r="O725" s="107">
        <v>650.04999999999995</v>
      </c>
      <c r="P725" s="107">
        <v>703.35</v>
      </c>
      <c r="Q725" s="107">
        <v>660.75</v>
      </c>
      <c r="R725">
        <v>341855</v>
      </c>
    </row>
    <row r="726" spans="1:18" x14ac:dyDescent="0.25">
      <c r="A726" s="148">
        <v>44404</v>
      </c>
      <c r="B726" s="107">
        <v>661.75</v>
      </c>
      <c r="C726" s="107">
        <v>643.04999999999995</v>
      </c>
      <c r="D726" s="107">
        <v>640.25</v>
      </c>
      <c r="E726" s="107">
        <v>656</v>
      </c>
      <c r="F726" s="107">
        <v>643.04999999999995</v>
      </c>
      <c r="G726">
        <v>4769</v>
      </c>
      <c r="H726" s="107"/>
      <c r="I726" s="107"/>
      <c r="L726" s="148">
        <v>44404</v>
      </c>
      <c r="M726" s="107">
        <v>644.29999999999995</v>
      </c>
      <c r="N726" s="107">
        <v>661</v>
      </c>
      <c r="O726" s="107">
        <v>639.5</v>
      </c>
      <c r="P726" s="107">
        <v>650</v>
      </c>
      <c r="Q726" s="107">
        <v>644.29999999999995</v>
      </c>
      <c r="R726">
        <v>85790</v>
      </c>
    </row>
    <row r="727" spans="1:18" x14ac:dyDescent="0.25">
      <c r="A727" s="148">
        <v>44405</v>
      </c>
      <c r="B727" s="107">
        <v>651.4</v>
      </c>
      <c r="C727" s="107">
        <v>640.85</v>
      </c>
      <c r="D727" s="107">
        <v>633.04999999999995</v>
      </c>
      <c r="E727" s="107">
        <v>650</v>
      </c>
      <c r="F727" s="107">
        <v>640.85</v>
      </c>
      <c r="G727">
        <v>4321</v>
      </c>
      <c r="H727" s="107"/>
      <c r="I727" s="107"/>
      <c r="L727" s="148">
        <v>44405</v>
      </c>
      <c r="M727" s="107">
        <v>640.85</v>
      </c>
      <c r="N727" s="107">
        <v>651.45000000000005</v>
      </c>
      <c r="O727" s="107">
        <v>632.15</v>
      </c>
      <c r="P727" s="107">
        <v>650</v>
      </c>
      <c r="Q727" s="107">
        <v>640.85</v>
      </c>
      <c r="R727">
        <v>69672</v>
      </c>
    </row>
    <row r="728" spans="1:18" x14ac:dyDescent="0.25">
      <c r="A728" s="148">
        <v>44406</v>
      </c>
      <c r="B728" s="107">
        <v>673.65</v>
      </c>
      <c r="C728" s="107">
        <v>666.85</v>
      </c>
      <c r="D728" s="107">
        <v>642.25</v>
      </c>
      <c r="E728" s="107">
        <v>671.3</v>
      </c>
      <c r="F728" s="107">
        <v>666.85</v>
      </c>
      <c r="G728">
        <v>2267</v>
      </c>
      <c r="H728" s="107"/>
      <c r="I728" s="107"/>
      <c r="L728" s="148">
        <v>44406</v>
      </c>
      <c r="M728" s="107">
        <v>667.25</v>
      </c>
      <c r="N728" s="107">
        <v>674.7</v>
      </c>
      <c r="O728" s="107">
        <v>642</v>
      </c>
      <c r="P728" s="107">
        <v>645</v>
      </c>
      <c r="Q728" s="107">
        <v>667.25</v>
      </c>
      <c r="R728">
        <v>87181</v>
      </c>
    </row>
    <row r="729" spans="1:18" x14ac:dyDescent="0.25">
      <c r="A729" s="148">
        <v>44407</v>
      </c>
      <c r="B729" s="107">
        <v>681.3</v>
      </c>
      <c r="C729" s="107">
        <v>663.3</v>
      </c>
      <c r="D729" s="107">
        <v>660.05</v>
      </c>
      <c r="E729" s="107">
        <v>664.9</v>
      </c>
      <c r="F729" s="107">
        <v>663.3</v>
      </c>
      <c r="G729">
        <v>1649</v>
      </c>
      <c r="H729" s="107"/>
      <c r="I729" s="107"/>
      <c r="L729" s="148">
        <v>44407</v>
      </c>
      <c r="M729" s="107">
        <v>664.9</v>
      </c>
      <c r="N729" s="107">
        <v>681.7</v>
      </c>
      <c r="O729" s="107">
        <v>659.95</v>
      </c>
      <c r="P729" s="107">
        <v>666</v>
      </c>
      <c r="Q729" s="107">
        <v>664.9</v>
      </c>
      <c r="R729">
        <v>72119</v>
      </c>
    </row>
    <row r="730" spans="1:18" x14ac:dyDescent="0.25">
      <c r="A730" s="148">
        <v>44410</v>
      </c>
      <c r="B730" s="107">
        <v>689.5</v>
      </c>
      <c r="C730" s="107">
        <v>656.05</v>
      </c>
      <c r="D730" s="107">
        <v>651.95000000000005</v>
      </c>
      <c r="E730" s="107">
        <v>689.5</v>
      </c>
      <c r="F730" s="107">
        <v>656.05</v>
      </c>
      <c r="G730">
        <v>2064</v>
      </c>
      <c r="H730" s="107"/>
      <c r="I730" s="107"/>
      <c r="L730" s="148">
        <v>44410</v>
      </c>
      <c r="M730" s="107">
        <v>655.55</v>
      </c>
      <c r="N730" s="107">
        <v>668.1</v>
      </c>
      <c r="O730" s="107">
        <v>651.65</v>
      </c>
      <c r="P730" s="107">
        <v>663.1</v>
      </c>
      <c r="Q730" s="107">
        <v>655.55</v>
      </c>
      <c r="R730">
        <v>46707</v>
      </c>
    </row>
    <row r="731" spans="1:18" x14ac:dyDescent="0.25">
      <c r="A731" s="148">
        <v>44411</v>
      </c>
      <c r="B731" s="107">
        <v>677.05</v>
      </c>
      <c r="C731" s="107">
        <v>659.15</v>
      </c>
      <c r="D731" s="107">
        <v>655</v>
      </c>
      <c r="E731" s="107">
        <v>661</v>
      </c>
      <c r="F731" s="107">
        <v>659.15</v>
      </c>
      <c r="G731">
        <v>5415</v>
      </c>
      <c r="H731" s="107"/>
      <c r="I731" s="107"/>
      <c r="L731" s="148">
        <v>44411</v>
      </c>
      <c r="M731" s="107">
        <v>659.4</v>
      </c>
      <c r="N731" s="107">
        <v>677.5</v>
      </c>
      <c r="O731" s="107">
        <v>655</v>
      </c>
      <c r="P731" s="107">
        <v>664</v>
      </c>
      <c r="Q731" s="107">
        <v>659.4</v>
      </c>
      <c r="R731">
        <v>51522</v>
      </c>
    </row>
    <row r="732" spans="1:18" x14ac:dyDescent="0.25">
      <c r="A732" s="148">
        <v>44412</v>
      </c>
      <c r="B732" s="107">
        <v>669.65</v>
      </c>
      <c r="C732" s="107">
        <v>660.1</v>
      </c>
      <c r="D732" s="107">
        <v>650.04999999999995</v>
      </c>
      <c r="E732" s="107">
        <v>650.04999999999995</v>
      </c>
      <c r="F732" s="107">
        <v>660.1</v>
      </c>
      <c r="G732">
        <v>6301</v>
      </c>
      <c r="H732" s="107"/>
      <c r="I732" s="107"/>
      <c r="L732" s="148">
        <v>44412</v>
      </c>
      <c r="M732" s="107">
        <v>661.05</v>
      </c>
      <c r="N732" s="107">
        <v>670.75</v>
      </c>
      <c r="O732" s="107">
        <v>659.9</v>
      </c>
      <c r="P732" s="107">
        <v>659.9</v>
      </c>
      <c r="Q732" s="107">
        <v>661.05</v>
      </c>
      <c r="R732">
        <v>48739</v>
      </c>
    </row>
    <row r="733" spans="1:18" x14ac:dyDescent="0.25">
      <c r="A733" s="148">
        <v>44413</v>
      </c>
      <c r="B733" s="107">
        <v>662.05</v>
      </c>
      <c r="C733" s="107">
        <v>659.1</v>
      </c>
      <c r="D733" s="107">
        <v>645.15</v>
      </c>
      <c r="E733" s="107">
        <v>662.05</v>
      </c>
      <c r="F733" s="107">
        <v>659.1</v>
      </c>
      <c r="G733">
        <v>1417</v>
      </c>
      <c r="H733" s="107"/>
      <c r="I733" s="107"/>
      <c r="L733" s="148">
        <v>44413</v>
      </c>
      <c r="M733" s="107">
        <v>656.8</v>
      </c>
      <c r="N733" s="107">
        <v>666</v>
      </c>
      <c r="O733" s="107">
        <v>645</v>
      </c>
      <c r="P733" s="107">
        <v>666</v>
      </c>
      <c r="Q733" s="107">
        <v>656.8</v>
      </c>
      <c r="R733">
        <v>22672</v>
      </c>
    </row>
    <row r="734" spans="1:18" x14ac:dyDescent="0.25">
      <c r="A734" s="148">
        <v>44414</v>
      </c>
      <c r="B734" s="107">
        <v>665</v>
      </c>
      <c r="C734" s="107">
        <v>646.5</v>
      </c>
      <c r="D734" s="107">
        <v>645</v>
      </c>
      <c r="E734" s="107">
        <v>651.95000000000005</v>
      </c>
      <c r="F734" s="107">
        <v>646.5</v>
      </c>
      <c r="G734">
        <v>5720</v>
      </c>
      <c r="H734" s="107"/>
      <c r="I734" s="107"/>
      <c r="L734" s="148">
        <v>44414</v>
      </c>
      <c r="M734" s="107">
        <v>646.65</v>
      </c>
      <c r="N734" s="107">
        <v>665</v>
      </c>
      <c r="O734" s="107">
        <v>645</v>
      </c>
      <c r="P734" s="107">
        <v>656.8</v>
      </c>
      <c r="Q734" s="107">
        <v>646.65</v>
      </c>
      <c r="R734">
        <v>53825</v>
      </c>
    </row>
    <row r="735" spans="1:18" x14ac:dyDescent="0.25">
      <c r="A735" s="148">
        <v>44417</v>
      </c>
      <c r="B735" s="107">
        <v>660</v>
      </c>
      <c r="C735" s="107">
        <v>636.95000000000005</v>
      </c>
      <c r="D735" s="107">
        <v>633</v>
      </c>
      <c r="E735" s="107">
        <v>660</v>
      </c>
      <c r="F735" s="107">
        <v>636.95000000000005</v>
      </c>
      <c r="G735">
        <v>4201</v>
      </c>
      <c r="H735" s="107"/>
      <c r="I735" s="107"/>
      <c r="L735" s="148">
        <v>44417</v>
      </c>
      <c r="M735" s="107">
        <v>635.25</v>
      </c>
      <c r="N735" s="107">
        <v>657</v>
      </c>
      <c r="O735" s="107">
        <v>630</v>
      </c>
      <c r="P735" s="107">
        <v>647</v>
      </c>
      <c r="Q735" s="107">
        <v>635.25</v>
      </c>
      <c r="R735">
        <v>70983</v>
      </c>
    </row>
    <row r="736" spans="1:18" x14ac:dyDescent="0.25">
      <c r="A736" s="148">
        <v>44418</v>
      </c>
      <c r="B736" s="107">
        <v>644.65</v>
      </c>
      <c r="C736" s="107">
        <v>619.25</v>
      </c>
      <c r="D736" s="107">
        <v>610.20000000000005</v>
      </c>
      <c r="E736" s="107">
        <v>641.25</v>
      </c>
      <c r="F736" s="107">
        <v>619.25</v>
      </c>
      <c r="G736">
        <v>3805</v>
      </c>
      <c r="H736" s="107"/>
      <c r="I736" s="107"/>
      <c r="L736" s="148">
        <v>44418</v>
      </c>
      <c r="M736" s="107">
        <v>617.35</v>
      </c>
      <c r="N736" s="107">
        <v>645.15</v>
      </c>
      <c r="O736" s="107">
        <v>609.15</v>
      </c>
      <c r="P736" s="107">
        <v>638.4</v>
      </c>
      <c r="Q736" s="107">
        <v>617.35</v>
      </c>
      <c r="R736">
        <v>40728</v>
      </c>
    </row>
    <row r="737" spans="1:18" x14ac:dyDescent="0.25">
      <c r="A737" s="148">
        <v>44419</v>
      </c>
      <c r="B737" s="107">
        <v>618.65</v>
      </c>
      <c r="C737" s="107">
        <v>605.54999999999995</v>
      </c>
      <c r="D737" s="107">
        <v>598.5</v>
      </c>
      <c r="E737" s="107">
        <v>617.54999999999995</v>
      </c>
      <c r="F737" s="107">
        <v>605.54999999999995</v>
      </c>
      <c r="G737">
        <v>145090</v>
      </c>
      <c r="H737" s="107"/>
      <c r="I737" s="107"/>
      <c r="L737" s="148">
        <v>44419</v>
      </c>
      <c r="M737" s="107">
        <v>604.6</v>
      </c>
      <c r="N737" s="107">
        <v>618.85</v>
      </c>
      <c r="O737" s="107">
        <v>596</v>
      </c>
      <c r="P737" s="107">
        <v>618.85</v>
      </c>
      <c r="Q737" s="107">
        <v>604.6</v>
      </c>
      <c r="R737">
        <v>116974</v>
      </c>
    </row>
    <row r="738" spans="1:18" x14ac:dyDescent="0.25">
      <c r="A738" s="148">
        <v>44420</v>
      </c>
      <c r="B738" s="107">
        <v>623.5</v>
      </c>
      <c r="C738" s="107">
        <v>612.1</v>
      </c>
      <c r="D738" s="107">
        <v>606.5</v>
      </c>
      <c r="E738" s="107">
        <v>606.5</v>
      </c>
      <c r="F738" s="107">
        <v>612.1</v>
      </c>
      <c r="G738">
        <v>4617</v>
      </c>
      <c r="H738" s="107"/>
      <c r="I738" s="107"/>
      <c r="L738" s="148">
        <v>44420</v>
      </c>
      <c r="M738" s="107">
        <v>610.85</v>
      </c>
      <c r="N738" s="107">
        <v>637</v>
      </c>
      <c r="O738" s="107">
        <v>606.6</v>
      </c>
      <c r="P738" s="107">
        <v>620</v>
      </c>
      <c r="Q738" s="107">
        <v>610.85</v>
      </c>
      <c r="R738">
        <v>542882</v>
      </c>
    </row>
    <row r="739" spans="1:18" x14ac:dyDescent="0.25">
      <c r="A739" s="148">
        <v>44421</v>
      </c>
      <c r="B739" s="107">
        <v>650</v>
      </c>
      <c r="C739" s="107">
        <v>636</v>
      </c>
      <c r="D739" s="107">
        <v>611.25</v>
      </c>
      <c r="E739" s="107">
        <v>612.1</v>
      </c>
      <c r="F739" s="107">
        <v>636</v>
      </c>
      <c r="G739">
        <v>340784</v>
      </c>
      <c r="H739" s="107"/>
      <c r="I739" s="107"/>
      <c r="L739" s="148">
        <v>44421</v>
      </c>
      <c r="M739" s="107">
        <v>638.20000000000005</v>
      </c>
      <c r="N739" s="107">
        <v>652.15</v>
      </c>
      <c r="O739" s="107">
        <v>613</v>
      </c>
      <c r="P739" s="107">
        <v>617.6</v>
      </c>
      <c r="Q739" s="107">
        <v>638.20000000000005</v>
      </c>
      <c r="R739">
        <v>278901</v>
      </c>
    </row>
    <row r="740" spans="1:18" x14ac:dyDescent="0.25">
      <c r="A740" s="148">
        <v>44424</v>
      </c>
      <c r="B740" s="107">
        <v>636</v>
      </c>
      <c r="C740" s="107">
        <v>620.20000000000005</v>
      </c>
      <c r="D740" s="107">
        <v>616.95000000000005</v>
      </c>
      <c r="E740" s="107">
        <v>636</v>
      </c>
      <c r="F740" s="107">
        <v>620.20000000000005</v>
      </c>
      <c r="G740">
        <v>2412</v>
      </c>
      <c r="H740" s="107"/>
      <c r="I740" s="107"/>
      <c r="L740" s="148">
        <v>44424</v>
      </c>
      <c r="M740" s="107">
        <v>618.70000000000005</v>
      </c>
      <c r="N740" s="107">
        <v>640</v>
      </c>
      <c r="O740" s="107">
        <v>616.6</v>
      </c>
      <c r="P740" s="107">
        <v>640</v>
      </c>
      <c r="Q740" s="107">
        <v>618.70000000000005</v>
      </c>
      <c r="R740">
        <v>179534</v>
      </c>
    </row>
    <row r="741" spans="1:18" x14ac:dyDescent="0.25">
      <c r="A741" s="148">
        <v>44425</v>
      </c>
      <c r="B741" s="107">
        <v>631.79999999999995</v>
      </c>
      <c r="C741" s="107">
        <v>611.1</v>
      </c>
      <c r="D741" s="107">
        <v>600.95000000000005</v>
      </c>
      <c r="E741" s="107">
        <v>621</v>
      </c>
      <c r="F741" s="107">
        <v>611.1</v>
      </c>
      <c r="G741">
        <v>296919</v>
      </c>
      <c r="H741" s="107"/>
      <c r="I741" s="107"/>
      <c r="L741" s="148">
        <v>44425</v>
      </c>
      <c r="M741" s="107">
        <v>612.1</v>
      </c>
      <c r="N741" s="107">
        <v>632.70000000000005</v>
      </c>
      <c r="O741" s="107">
        <v>600</v>
      </c>
      <c r="P741" s="107">
        <v>624.9</v>
      </c>
      <c r="Q741" s="107">
        <v>612.1</v>
      </c>
      <c r="R741">
        <v>133233</v>
      </c>
    </row>
    <row r="742" spans="1:18" x14ac:dyDescent="0.25">
      <c r="A742" s="148">
        <v>44426</v>
      </c>
      <c r="B742" s="107">
        <v>654.1</v>
      </c>
      <c r="C742" s="107">
        <v>640.75</v>
      </c>
      <c r="D742" s="107">
        <v>611.04999999999995</v>
      </c>
      <c r="E742" s="107">
        <v>614</v>
      </c>
      <c r="F742" s="107">
        <v>640.75</v>
      </c>
      <c r="G742">
        <v>6646</v>
      </c>
      <c r="H742" s="107"/>
      <c r="I742" s="107"/>
      <c r="L742" s="148">
        <v>44426</v>
      </c>
      <c r="M742" s="107">
        <v>636.65</v>
      </c>
      <c r="N742" s="107">
        <v>655</v>
      </c>
      <c r="O742" s="107">
        <v>610</v>
      </c>
      <c r="P742" s="107">
        <v>612.1</v>
      </c>
      <c r="Q742" s="107">
        <v>636.65</v>
      </c>
      <c r="R742">
        <v>129618</v>
      </c>
    </row>
    <row r="743" spans="1:18" x14ac:dyDescent="0.25">
      <c r="A743" s="148">
        <v>44428</v>
      </c>
      <c r="B743" s="107">
        <v>648</v>
      </c>
      <c r="C743" s="107">
        <v>638.35</v>
      </c>
      <c r="D743" s="107">
        <v>622.5</v>
      </c>
      <c r="E743" s="107">
        <v>631.79999999999995</v>
      </c>
      <c r="F743" s="107">
        <v>638.35</v>
      </c>
      <c r="G743">
        <v>193176</v>
      </c>
      <c r="H743" s="107"/>
      <c r="I743" s="107"/>
      <c r="L743" s="148">
        <v>44428</v>
      </c>
      <c r="M743" s="107">
        <v>638.95000000000005</v>
      </c>
      <c r="N743" s="107">
        <v>648</v>
      </c>
      <c r="O743" s="107">
        <v>622.1</v>
      </c>
      <c r="P743" s="107">
        <v>625</v>
      </c>
      <c r="Q743" s="107">
        <v>638.95000000000005</v>
      </c>
      <c r="R743">
        <v>132552</v>
      </c>
    </row>
    <row r="744" spans="1:18" x14ac:dyDescent="0.25">
      <c r="A744" s="148">
        <v>44431</v>
      </c>
      <c r="B744" s="107">
        <v>642</v>
      </c>
      <c r="C744" s="107">
        <v>635.65</v>
      </c>
      <c r="D744" s="107">
        <v>626.29999999999995</v>
      </c>
      <c r="E744" s="107">
        <v>641.75</v>
      </c>
      <c r="F744" s="107">
        <v>635.65</v>
      </c>
      <c r="G744">
        <v>1061</v>
      </c>
      <c r="H744" s="107"/>
      <c r="I744" s="107"/>
      <c r="L744" s="148">
        <v>44431</v>
      </c>
      <c r="M744" s="107">
        <v>636.25</v>
      </c>
      <c r="N744" s="107">
        <v>648.79999999999995</v>
      </c>
      <c r="O744" s="107">
        <v>625</v>
      </c>
      <c r="P744" s="107">
        <v>648.79999999999995</v>
      </c>
      <c r="Q744" s="107">
        <v>636.25</v>
      </c>
      <c r="R744">
        <v>117718</v>
      </c>
    </row>
    <row r="745" spans="1:18" x14ac:dyDescent="0.25">
      <c r="A745" s="148">
        <v>44432</v>
      </c>
      <c r="B745" s="107">
        <v>630</v>
      </c>
      <c r="C745" s="107">
        <v>618.79999999999995</v>
      </c>
      <c r="D745" s="107">
        <v>610.54999999999995</v>
      </c>
      <c r="E745" s="107">
        <v>610.54999999999995</v>
      </c>
      <c r="F745" s="107">
        <v>618.79999999999995</v>
      </c>
      <c r="G745">
        <v>1995</v>
      </c>
      <c r="H745" s="107"/>
      <c r="I745" s="107"/>
      <c r="L745" s="148">
        <v>44432</v>
      </c>
      <c r="M745" s="107">
        <v>620.4</v>
      </c>
      <c r="N745" s="107">
        <v>630</v>
      </c>
      <c r="O745" s="107">
        <v>615</v>
      </c>
      <c r="P745" s="107">
        <v>627.04999999999995</v>
      </c>
      <c r="Q745" s="107">
        <v>620.4</v>
      </c>
      <c r="R745">
        <v>284348</v>
      </c>
    </row>
    <row r="746" spans="1:18" x14ac:dyDescent="0.25">
      <c r="A746" s="148">
        <v>44433</v>
      </c>
      <c r="B746" s="107">
        <v>624.25</v>
      </c>
      <c r="C746" s="107">
        <v>601.95000000000005</v>
      </c>
      <c r="D746" s="107">
        <v>598.04999999999995</v>
      </c>
      <c r="E746" s="107">
        <v>623</v>
      </c>
      <c r="F746" s="107">
        <v>601.95000000000005</v>
      </c>
      <c r="G746">
        <v>5708</v>
      </c>
      <c r="H746" s="107"/>
      <c r="I746" s="107"/>
      <c r="L746" s="148">
        <v>44433</v>
      </c>
      <c r="M746" s="107">
        <v>601.25</v>
      </c>
      <c r="N746" s="107">
        <v>625</v>
      </c>
      <c r="O746" s="107">
        <v>598.25</v>
      </c>
      <c r="P746" s="107">
        <v>620.79999999999995</v>
      </c>
      <c r="Q746" s="107">
        <v>601.25</v>
      </c>
      <c r="R746">
        <v>95624</v>
      </c>
    </row>
    <row r="747" spans="1:18" x14ac:dyDescent="0.25">
      <c r="A747" s="148">
        <v>44434</v>
      </c>
      <c r="B747" s="107">
        <v>666</v>
      </c>
      <c r="C747" s="107">
        <v>658.85</v>
      </c>
      <c r="D747" s="107">
        <v>597</v>
      </c>
      <c r="E747" s="107">
        <v>605</v>
      </c>
      <c r="F747" s="107">
        <v>658.85</v>
      </c>
      <c r="G747">
        <v>34046</v>
      </c>
      <c r="H747" s="107"/>
      <c r="I747" s="107"/>
      <c r="L747" s="148">
        <v>44434</v>
      </c>
      <c r="M747" s="107">
        <v>658.3</v>
      </c>
      <c r="N747" s="107">
        <v>666.45</v>
      </c>
      <c r="O747" s="107">
        <v>592.95000000000005</v>
      </c>
      <c r="P747" s="107">
        <v>605.29999999999995</v>
      </c>
      <c r="Q747" s="107">
        <v>658.3</v>
      </c>
      <c r="R747">
        <v>705580</v>
      </c>
    </row>
    <row r="748" spans="1:18" x14ac:dyDescent="0.25">
      <c r="A748" s="148">
        <v>44435</v>
      </c>
      <c r="B748" s="107">
        <v>671.35</v>
      </c>
      <c r="C748" s="107">
        <v>662.45</v>
      </c>
      <c r="D748" s="107">
        <v>646.85</v>
      </c>
      <c r="E748" s="107">
        <v>654</v>
      </c>
      <c r="F748" s="107">
        <v>662.45</v>
      </c>
      <c r="G748">
        <v>146172</v>
      </c>
      <c r="H748" s="107"/>
      <c r="I748" s="107"/>
      <c r="L748" s="148">
        <v>44435</v>
      </c>
      <c r="M748" s="107">
        <v>663.15</v>
      </c>
      <c r="N748" s="107">
        <v>671.5</v>
      </c>
      <c r="O748" s="107">
        <v>641.20000000000005</v>
      </c>
      <c r="P748" s="107">
        <v>658</v>
      </c>
      <c r="Q748" s="107">
        <v>663.15</v>
      </c>
      <c r="R748">
        <v>381595</v>
      </c>
    </row>
    <row r="749" spans="1:18" x14ac:dyDescent="0.25">
      <c r="A749" s="148">
        <v>44438</v>
      </c>
      <c r="B749" s="107">
        <v>675.05</v>
      </c>
      <c r="C749" s="107">
        <v>673.9</v>
      </c>
      <c r="D749" s="107">
        <v>660.65</v>
      </c>
      <c r="E749" s="107">
        <v>665.35</v>
      </c>
      <c r="F749" s="107">
        <v>673.9</v>
      </c>
      <c r="G749">
        <v>4196</v>
      </c>
      <c r="H749" s="107"/>
      <c r="I749" s="107"/>
      <c r="L749" s="148">
        <v>44438</v>
      </c>
      <c r="M749" s="107">
        <v>669.8</v>
      </c>
      <c r="N749" s="107">
        <v>675</v>
      </c>
      <c r="O749" s="107">
        <v>661.05</v>
      </c>
      <c r="P749" s="107">
        <v>668</v>
      </c>
      <c r="Q749" s="107">
        <v>669.8</v>
      </c>
      <c r="R749">
        <v>88315</v>
      </c>
    </row>
    <row r="750" spans="1:18" x14ac:dyDescent="0.25">
      <c r="A750" s="148">
        <v>44439</v>
      </c>
      <c r="B750" s="107">
        <v>707</v>
      </c>
      <c r="C750" s="107">
        <v>701.9</v>
      </c>
      <c r="D750" s="107">
        <v>669</v>
      </c>
      <c r="E750" s="107">
        <v>669</v>
      </c>
      <c r="F750" s="107">
        <v>701.9</v>
      </c>
      <c r="G750">
        <v>19971</v>
      </c>
      <c r="H750" s="107"/>
      <c r="I750" s="107"/>
      <c r="L750" s="148">
        <v>44439</v>
      </c>
      <c r="M750" s="107">
        <v>702.15</v>
      </c>
      <c r="N750" s="107">
        <v>710</v>
      </c>
      <c r="O750" s="107">
        <v>669.55</v>
      </c>
      <c r="P750" s="107">
        <v>675</v>
      </c>
      <c r="Q750" s="107">
        <v>702.15</v>
      </c>
      <c r="R750">
        <v>224822</v>
      </c>
    </row>
    <row r="751" spans="1:18" x14ac:dyDescent="0.25">
      <c r="A751" s="148">
        <v>44440</v>
      </c>
      <c r="B751" s="107">
        <v>709</v>
      </c>
      <c r="C751" s="107">
        <v>685.95</v>
      </c>
      <c r="D751" s="107">
        <v>685.55</v>
      </c>
      <c r="E751" s="107">
        <v>706.9</v>
      </c>
      <c r="F751" s="107">
        <v>685.95</v>
      </c>
      <c r="G751">
        <v>5761</v>
      </c>
      <c r="H751" s="107"/>
      <c r="I751" s="107"/>
      <c r="L751" s="148">
        <v>44440</v>
      </c>
      <c r="M751" s="107">
        <v>686.75</v>
      </c>
      <c r="N751" s="107">
        <v>709.9</v>
      </c>
      <c r="O751" s="107">
        <v>686.05</v>
      </c>
      <c r="P751" s="107">
        <v>707</v>
      </c>
      <c r="Q751" s="107">
        <v>686.75</v>
      </c>
      <c r="R751">
        <v>79467</v>
      </c>
    </row>
    <row r="752" spans="1:18" x14ac:dyDescent="0.25">
      <c r="A752" s="148">
        <v>44441</v>
      </c>
      <c r="B752" s="107">
        <v>694.25</v>
      </c>
      <c r="C752" s="107">
        <v>691.55</v>
      </c>
      <c r="D752" s="107">
        <v>685.8</v>
      </c>
      <c r="E752" s="107">
        <v>690</v>
      </c>
      <c r="F752" s="107">
        <v>691.55</v>
      </c>
      <c r="G752">
        <v>72174</v>
      </c>
      <c r="H752" s="107"/>
      <c r="I752" s="107"/>
      <c r="L752" s="148">
        <v>44441</v>
      </c>
      <c r="M752" s="107">
        <v>691.55</v>
      </c>
      <c r="N752" s="107">
        <v>696.25</v>
      </c>
      <c r="O752" s="107">
        <v>685.2</v>
      </c>
      <c r="P752" s="107">
        <v>690</v>
      </c>
      <c r="Q752" s="107">
        <v>691.55</v>
      </c>
      <c r="R752">
        <v>39072</v>
      </c>
    </row>
    <row r="753" spans="1:18" x14ac:dyDescent="0.25">
      <c r="A753" s="148">
        <v>44442</v>
      </c>
      <c r="B753" s="107">
        <v>689.8</v>
      </c>
      <c r="C753" s="107">
        <v>679.55</v>
      </c>
      <c r="D753" s="107">
        <v>672.6</v>
      </c>
      <c r="E753" s="107">
        <v>687.35</v>
      </c>
      <c r="F753" s="107">
        <v>679.55</v>
      </c>
      <c r="G753">
        <v>6851</v>
      </c>
      <c r="H753" s="107"/>
      <c r="I753" s="107"/>
      <c r="L753" s="148">
        <v>44442</v>
      </c>
      <c r="M753" s="107">
        <v>680.2</v>
      </c>
      <c r="N753" s="107">
        <v>690</v>
      </c>
      <c r="O753" s="107">
        <v>676.05</v>
      </c>
      <c r="P753" s="107">
        <v>687</v>
      </c>
      <c r="Q753" s="107">
        <v>680.2</v>
      </c>
      <c r="R753">
        <v>46143</v>
      </c>
    </row>
    <row r="754" spans="1:18" x14ac:dyDescent="0.25">
      <c r="A754" s="148">
        <v>44445</v>
      </c>
      <c r="B754" s="107">
        <v>695.3</v>
      </c>
      <c r="C754" s="107">
        <v>677.9</v>
      </c>
      <c r="D754" s="107">
        <v>676.95</v>
      </c>
      <c r="E754" s="107">
        <v>695.3</v>
      </c>
      <c r="F754" s="107">
        <v>677.9</v>
      </c>
      <c r="G754">
        <v>10297</v>
      </c>
      <c r="H754" s="107"/>
      <c r="I754" s="107"/>
      <c r="L754" s="148">
        <v>44445</v>
      </c>
      <c r="M754" s="107">
        <v>678.85</v>
      </c>
      <c r="N754" s="107">
        <v>697.5</v>
      </c>
      <c r="O754" s="107">
        <v>678</v>
      </c>
      <c r="P754" s="107">
        <v>690.5</v>
      </c>
      <c r="Q754" s="107">
        <v>678.85</v>
      </c>
      <c r="R754">
        <v>108415</v>
      </c>
    </row>
    <row r="755" spans="1:18" x14ac:dyDescent="0.25">
      <c r="A755" s="148">
        <v>44446</v>
      </c>
      <c r="B755" s="107">
        <v>689.5</v>
      </c>
      <c r="C755" s="107">
        <v>680</v>
      </c>
      <c r="D755" s="107">
        <v>675.05</v>
      </c>
      <c r="E755" s="107">
        <v>678</v>
      </c>
      <c r="F755" s="107">
        <v>680</v>
      </c>
      <c r="G755">
        <v>34028</v>
      </c>
      <c r="H755" s="107"/>
      <c r="I755" s="107"/>
      <c r="L755" s="148">
        <v>44446</v>
      </c>
      <c r="M755" s="107">
        <v>679.75</v>
      </c>
      <c r="N755" s="107">
        <v>691</v>
      </c>
      <c r="O755" s="107">
        <v>675</v>
      </c>
      <c r="P755" s="107">
        <v>678.85</v>
      </c>
      <c r="Q755" s="107">
        <v>679.75</v>
      </c>
      <c r="R755">
        <v>49437</v>
      </c>
    </row>
    <row r="756" spans="1:18" x14ac:dyDescent="0.25">
      <c r="A756" s="148">
        <v>44447</v>
      </c>
      <c r="B756" s="107">
        <v>705</v>
      </c>
      <c r="C756" s="107">
        <v>697.25</v>
      </c>
      <c r="D756" s="107">
        <v>679.95</v>
      </c>
      <c r="E756" s="107">
        <v>679.95</v>
      </c>
      <c r="F756" s="107">
        <v>697.25</v>
      </c>
      <c r="G756">
        <v>15670</v>
      </c>
      <c r="H756" s="107"/>
      <c r="I756" s="107"/>
      <c r="L756" s="148">
        <v>44447</v>
      </c>
      <c r="M756" s="107">
        <v>698</v>
      </c>
      <c r="N756" s="107">
        <v>705</v>
      </c>
      <c r="O756" s="107">
        <v>677</v>
      </c>
      <c r="P756" s="107">
        <v>684.8</v>
      </c>
      <c r="Q756" s="107">
        <v>698</v>
      </c>
      <c r="R756">
        <v>222778</v>
      </c>
    </row>
    <row r="757" spans="1:18" x14ac:dyDescent="0.25">
      <c r="A757" s="148">
        <v>44448</v>
      </c>
      <c r="B757" s="107">
        <v>704.6</v>
      </c>
      <c r="C757" s="107">
        <v>690.4</v>
      </c>
      <c r="D757" s="107">
        <v>686.55</v>
      </c>
      <c r="E757" s="107">
        <v>704.6</v>
      </c>
      <c r="F757" s="107">
        <v>690.4</v>
      </c>
      <c r="G757">
        <v>5471</v>
      </c>
      <c r="H757" s="107"/>
      <c r="I757" s="107"/>
      <c r="L757" s="148">
        <v>44448</v>
      </c>
      <c r="M757" s="107">
        <v>689.95</v>
      </c>
      <c r="N757" s="107">
        <v>700</v>
      </c>
      <c r="O757" s="107">
        <v>685.4</v>
      </c>
      <c r="P757" s="107">
        <v>697</v>
      </c>
      <c r="Q757" s="107">
        <v>689.95</v>
      </c>
      <c r="R757">
        <v>229580</v>
      </c>
    </row>
    <row r="758" spans="1:18" x14ac:dyDescent="0.25">
      <c r="A758" s="148">
        <v>44452</v>
      </c>
      <c r="B758" s="107">
        <v>699</v>
      </c>
      <c r="C758" s="107">
        <v>677.1</v>
      </c>
      <c r="D758" s="107">
        <v>672.65</v>
      </c>
      <c r="E758" s="107">
        <v>699</v>
      </c>
      <c r="F758" s="107">
        <v>677.1</v>
      </c>
      <c r="G758">
        <v>5437</v>
      </c>
      <c r="H758" s="107"/>
      <c r="I758" s="107"/>
      <c r="L758" s="148">
        <v>44452</v>
      </c>
      <c r="M758" s="107">
        <v>675.85</v>
      </c>
      <c r="N758" s="107">
        <v>699.8</v>
      </c>
      <c r="O758" s="107">
        <v>672</v>
      </c>
      <c r="P758" s="107">
        <v>699.8</v>
      </c>
      <c r="Q758" s="107">
        <v>675.85</v>
      </c>
      <c r="R758">
        <v>55401</v>
      </c>
    </row>
    <row r="759" spans="1:18" x14ac:dyDescent="0.25">
      <c r="A759" s="148">
        <v>44453</v>
      </c>
      <c r="B759" s="107">
        <v>688</v>
      </c>
      <c r="C759" s="107">
        <v>671.85</v>
      </c>
      <c r="D759" s="107">
        <v>668.35</v>
      </c>
      <c r="E759" s="107">
        <v>679.95</v>
      </c>
      <c r="F759" s="107">
        <v>671.85</v>
      </c>
      <c r="G759">
        <v>7122</v>
      </c>
      <c r="H759" s="107"/>
      <c r="I759" s="107"/>
      <c r="L759" s="148">
        <v>44453</v>
      </c>
      <c r="M759" s="107">
        <v>672.25</v>
      </c>
      <c r="N759" s="107">
        <v>688.45</v>
      </c>
      <c r="O759" s="107">
        <v>669</v>
      </c>
      <c r="P759" s="107">
        <v>684.9</v>
      </c>
      <c r="Q759" s="107">
        <v>672.25</v>
      </c>
      <c r="R759">
        <v>68702</v>
      </c>
    </row>
    <row r="760" spans="1:18" x14ac:dyDescent="0.25">
      <c r="A760" s="148">
        <v>44454</v>
      </c>
      <c r="B760" s="107">
        <v>683.6</v>
      </c>
      <c r="C760" s="107">
        <v>670.95</v>
      </c>
      <c r="D760" s="107">
        <v>669.8</v>
      </c>
      <c r="E760" s="107">
        <v>683.6</v>
      </c>
      <c r="F760" s="107">
        <v>670.95</v>
      </c>
      <c r="G760">
        <v>15166</v>
      </c>
      <c r="H760" s="107"/>
      <c r="I760" s="107"/>
      <c r="L760" s="148">
        <v>44454</v>
      </c>
      <c r="M760" s="107">
        <v>670.8</v>
      </c>
      <c r="N760" s="107">
        <v>675.65</v>
      </c>
      <c r="O760" s="107">
        <v>669</v>
      </c>
      <c r="P760" s="107">
        <v>675.65</v>
      </c>
      <c r="Q760" s="107">
        <v>670.8</v>
      </c>
      <c r="R760">
        <v>122188</v>
      </c>
    </row>
    <row r="761" spans="1:18" x14ac:dyDescent="0.25">
      <c r="A761" s="148">
        <v>44455</v>
      </c>
      <c r="B761" s="107">
        <v>674.1</v>
      </c>
      <c r="C761" s="107">
        <v>656.65</v>
      </c>
      <c r="D761" s="107">
        <v>654.9</v>
      </c>
      <c r="E761" s="107">
        <v>672.85</v>
      </c>
      <c r="F761" s="107">
        <v>656.65</v>
      </c>
      <c r="G761">
        <v>9129</v>
      </c>
      <c r="H761" s="107"/>
      <c r="I761" s="107"/>
      <c r="L761" s="148">
        <v>44455</v>
      </c>
      <c r="M761" s="107">
        <v>656.8</v>
      </c>
      <c r="N761" s="107">
        <v>674.2</v>
      </c>
      <c r="O761" s="107">
        <v>654.5</v>
      </c>
      <c r="P761" s="107">
        <v>674.2</v>
      </c>
      <c r="Q761" s="107">
        <v>656.8</v>
      </c>
      <c r="R761">
        <v>128247</v>
      </c>
    </row>
    <row r="762" spans="1:18" x14ac:dyDescent="0.25">
      <c r="A762" s="148">
        <v>44456</v>
      </c>
      <c r="B762" s="107">
        <v>663</v>
      </c>
      <c r="C762" s="107">
        <v>635.65</v>
      </c>
      <c r="D762" s="107">
        <v>632.4</v>
      </c>
      <c r="E762" s="107">
        <v>657</v>
      </c>
      <c r="F762" s="107">
        <v>635.65</v>
      </c>
      <c r="G762">
        <v>5553</v>
      </c>
      <c r="H762" s="107"/>
      <c r="I762" s="107"/>
      <c r="L762" s="148">
        <v>44456</v>
      </c>
      <c r="M762" s="107">
        <v>636.29999999999995</v>
      </c>
      <c r="N762" s="107">
        <v>665.25</v>
      </c>
      <c r="O762" s="107">
        <v>632.35</v>
      </c>
      <c r="P762" s="107">
        <v>665</v>
      </c>
      <c r="Q762" s="107">
        <v>636.29999999999995</v>
      </c>
      <c r="R762">
        <v>153653</v>
      </c>
    </row>
    <row r="763" spans="1:18" x14ac:dyDescent="0.25">
      <c r="A763" s="148">
        <v>44459</v>
      </c>
      <c r="B763" s="107">
        <v>657.15</v>
      </c>
      <c r="C763" s="107">
        <v>638.95000000000005</v>
      </c>
      <c r="D763" s="107">
        <v>629.79999999999995</v>
      </c>
      <c r="E763" s="107">
        <v>635</v>
      </c>
      <c r="F763" s="107">
        <v>638.95000000000005</v>
      </c>
      <c r="G763">
        <v>4034</v>
      </c>
      <c r="H763" s="107"/>
      <c r="I763" s="107"/>
      <c r="L763" s="148">
        <v>44459</v>
      </c>
      <c r="M763" s="107">
        <v>638.6</v>
      </c>
      <c r="N763" s="107">
        <v>658</v>
      </c>
      <c r="O763" s="107">
        <v>627</v>
      </c>
      <c r="P763" s="107">
        <v>635.95000000000005</v>
      </c>
      <c r="Q763" s="107">
        <v>638.6</v>
      </c>
      <c r="R763">
        <v>101995</v>
      </c>
    </row>
    <row r="764" spans="1:18" x14ac:dyDescent="0.25">
      <c r="A764" s="148">
        <v>44460</v>
      </c>
      <c r="B764" s="107">
        <v>643.9</v>
      </c>
      <c r="C764" s="107">
        <v>630.6</v>
      </c>
      <c r="D764" s="107">
        <v>629</v>
      </c>
      <c r="E764" s="107">
        <v>643.9</v>
      </c>
      <c r="F764" s="107">
        <v>630.6</v>
      </c>
      <c r="G764">
        <v>5462</v>
      </c>
      <c r="H764" s="107"/>
      <c r="I764" s="107"/>
      <c r="L764" s="148">
        <v>44460</v>
      </c>
      <c r="M764" s="107">
        <v>630.79999999999995</v>
      </c>
      <c r="N764" s="107">
        <v>644.95000000000005</v>
      </c>
      <c r="O764" s="107">
        <v>628.1</v>
      </c>
      <c r="P764" s="107">
        <v>641.79999999999995</v>
      </c>
      <c r="Q764" s="107">
        <v>630.79999999999995</v>
      </c>
      <c r="R764">
        <v>71053</v>
      </c>
    </row>
    <row r="765" spans="1:18" x14ac:dyDescent="0.25">
      <c r="A765" s="148">
        <v>44461</v>
      </c>
      <c r="B765" s="107">
        <v>649.45000000000005</v>
      </c>
      <c r="C765" s="107">
        <v>647.70000000000005</v>
      </c>
      <c r="D765" s="107">
        <v>633</v>
      </c>
      <c r="E765" s="107">
        <v>633</v>
      </c>
      <c r="F765" s="107">
        <v>647.70000000000005</v>
      </c>
      <c r="G765">
        <v>2725</v>
      </c>
      <c r="H765" s="107"/>
      <c r="I765" s="107"/>
      <c r="L765" s="148">
        <v>44461</v>
      </c>
      <c r="M765" s="107">
        <v>648.4</v>
      </c>
      <c r="N765" s="107">
        <v>650.25</v>
      </c>
      <c r="O765" s="107">
        <v>631.35</v>
      </c>
      <c r="P765" s="107">
        <v>642.79999999999995</v>
      </c>
      <c r="Q765" s="107">
        <v>648.4</v>
      </c>
      <c r="R765">
        <v>100641</v>
      </c>
    </row>
    <row r="766" spans="1:18" x14ac:dyDescent="0.25">
      <c r="A766" s="148">
        <v>44462</v>
      </c>
      <c r="B766" s="107">
        <v>672.15</v>
      </c>
      <c r="C766" s="107">
        <v>656.65</v>
      </c>
      <c r="D766" s="107">
        <v>649.85</v>
      </c>
      <c r="E766" s="107">
        <v>672.15</v>
      </c>
      <c r="F766" s="107">
        <v>656.65</v>
      </c>
      <c r="G766">
        <v>2241</v>
      </c>
      <c r="H766" s="107"/>
      <c r="I766" s="107"/>
      <c r="L766" s="148">
        <v>44462</v>
      </c>
      <c r="M766" s="107">
        <v>656.95</v>
      </c>
      <c r="N766" s="107">
        <v>665</v>
      </c>
      <c r="O766" s="107">
        <v>650.54999999999995</v>
      </c>
      <c r="P766" s="107">
        <v>650.54999999999995</v>
      </c>
      <c r="Q766" s="107">
        <v>656.95</v>
      </c>
      <c r="R766">
        <v>156149</v>
      </c>
    </row>
    <row r="767" spans="1:18" x14ac:dyDescent="0.25">
      <c r="A767" s="148">
        <v>44463</v>
      </c>
      <c r="B767" s="107">
        <v>663.15</v>
      </c>
      <c r="C767" s="107">
        <v>654.4</v>
      </c>
      <c r="D767" s="107">
        <v>645.9</v>
      </c>
      <c r="E767" s="107">
        <v>655</v>
      </c>
      <c r="F767" s="107">
        <v>654.4</v>
      </c>
      <c r="G767">
        <v>22637</v>
      </c>
      <c r="H767" s="107"/>
      <c r="I767" s="107"/>
      <c r="L767" s="148">
        <v>44463</v>
      </c>
      <c r="M767" s="107">
        <v>652.5</v>
      </c>
      <c r="N767" s="107">
        <v>663.8</v>
      </c>
      <c r="O767" s="107">
        <v>645</v>
      </c>
      <c r="P767" s="107">
        <v>662.9</v>
      </c>
      <c r="Q767" s="107">
        <v>652.5</v>
      </c>
      <c r="R767">
        <v>99395</v>
      </c>
    </row>
    <row r="768" spans="1:18" x14ac:dyDescent="0.25">
      <c r="A768" s="148">
        <v>44466</v>
      </c>
      <c r="B768" s="107">
        <v>659.9</v>
      </c>
      <c r="C768" s="107">
        <v>653.29999999999995</v>
      </c>
      <c r="D768" s="107">
        <v>646.29999999999995</v>
      </c>
      <c r="E768" s="107">
        <v>656</v>
      </c>
      <c r="F768" s="107">
        <v>653.29999999999995</v>
      </c>
      <c r="G768">
        <v>4280</v>
      </c>
      <c r="H768" s="107"/>
      <c r="I768" s="107"/>
      <c r="L768" s="148">
        <v>44466</v>
      </c>
      <c r="M768" s="107">
        <v>653.65</v>
      </c>
      <c r="N768" s="107">
        <v>660.5</v>
      </c>
      <c r="O768" s="107">
        <v>645.85</v>
      </c>
      <c r="P768" s="107">
        <v>652.5</v>
      </c>
      <c r="Q768" s="107">
        <v>653.65</v>
      </c>
      <c r="R768">
        <v>226004</v>
      </c>
    </row>
    <row r="769" spans="1:18" x14ac:dyDescent="0.25">
      <c r="A769" s="148">
        <v>44467</v>
      </c>
      <c r="B769" s="107">
        <v>661.3</v>
      </c>
      <c r="C769" s="107">
        <v>639.4</v>
      </c>
      <c r="D769" s="107">
        <v>627.54999999999995</v>
      </c>
      <c r="E769" s="107">
        <v>656.5</v>
      </c>
      <c r="F769" s="107">
        <v>639.4</v>
      </c>
      <c r="G769">
        <v>2622</v>
      </c>
      <c r="H769" s="107"/>
      <c r="I769" s="107"/>
      <c r="L769" s="148">
        <v>44467</v>
      </c>
      <c r="M769" s="107">
        <v>639.85</v>
      </c>
      <c r="N769" s="107">
        <v>662.5</v>
      </c>
      <c r="O769" s="107">
        <v>621</v>
      </c>
      <c r="P769" s="107">
        <v>653.65</v>
      </c>
      <c r="Q769" s="107">
        <v>639.85</v>
      </c>
      <c r="R769">
        <v>128711</v>
      </c>
    </row>
    <row r="770" spans="1:18" x14ac:dyDescent="0.25">
      <c r="A770" s="148">
        <v>44468</v>
      </c>
      <c r="B770" s="107">
        <v>640.9</v>
      </c>
      <c r="C770" s="107">
        <v>624.29999999999995</v>
      </c>
      <c r="D770" s="107">
        <v>621.5</v>
      </c>
      <c r="E770" s="107">
        <v>634.4</v>
      </c>
      <c r="F770" s="107">
        <v>624.29999999999995</v>
      </c>
      <c r="G770">
        <v>5334</v>
      </c>
      <c r="H770" s="107"/>
      <c r="I770" s="107"/>
      <c r="L770" s="148">
        <v>44468</v>
      </c>
      <c r="M770" s="107">
        <v>623.20000000000005</v>
      </c>
      <c r="N770" s="107">
        <v>641.85</v>
      </c>
      <c r="O770" s="107">
        <v>621</v>
      </c>
      <c r="P770" s="107">
        <v>638</v>
      </c>
      <c r="Q770" s="107">
        <v>623.20000000000005</v>
      </c>
      <c r="R770">
        <v>193592</v>
      </c>
    </row>
    <row r="771" spans="1:18" x14ac:dyDescent="0.25">
      <c r="A771" s="148">
        <v>44469</v>
      </c>
      <c r="B771" s="107">
        <v>639.5</v>
      </c>
      <c r="C771" s="107">
        <v>635.9</v>
      </c>
      <c r="D771" s="107">
        <v>625.04999999999995</v>
      </c>
      <c r="E771" s="107">
        <v>626</v>
      </c>
      <c r="F771" s="107">
        <v>635.9</v>
      </c>
      <c r="G771">
        <v>4760</v>
      </c>
      <c r="H771" s="107"/>
      <c r="I771" s="107"/>
      <c r="L771" s="148">
        <v>44469</v>
      </c>
      <c r="M771" s="107">
        <v>636.45000000000005</v>
      </c>
      <c r="N771" s="107">
        <v>639</v>
      </c>
      <c r="O771" s="107">
        <v>623.20000000000005</v>
      </c>
      <c r="P771" s="107">
        <v>623.20000000000005</v>
      </c>
      <c r="Q771" s="107">
        <v>636.45000000000005</v>
      </c>
      <c r="R771">
        <v>316854</v>
      </c>
    </row>
    <row r="772" spans="1:18" x14ac:dyDescent="0.25">
      <c r="A772" s="148">
        <v>44470</v>
      </c>
      <c r="B772" s="107">
        <v>644.04999999999995</v>
      </c>
      <c r="C772" s="107">
        <v>636.4</v>
      </c>
      <c r="D772" s="107">
        <v>630.65</v>
      </c>
      <c r="E772" s="107">
        <v>642.5</v>
      </c>
      <c r="F772" s="107">
        <v>636.4</v>
      </c>
      <c r="G772">
        <v>1586</v>
      </c>
      <c r="H772" s="107"/>
      <c r="I772" s="107"/>
      <c r="L772" s="148">
        <v>44470</v>
      </c>
      <c r="M772" s="107">
        <v>637.65</v>
      </c>
      <c r="N772" s="107">
        <v>644.9</v>
      </c>
      <c r="O772" s="107">
        <v>629.70000000000005</v>
      </c>
      <c r="P772" s="107">
        <v>635</v>
      </c>
      <c r="Q772" s="107">
        <v>637.65</v>
      </c>
      <c r="R772">
        <v>37821</v>
      </c>
    </row>
    <row r="773" spans="1:18" x14ac:dyDescent="0.25">
      <c r="A773" s="148">
        <v>44473</v>
      </c>
      <c r="B773" s="107">
        <v>647.9</v>
      </c>
      <c r="C773" s="107">
        <v>645.54999999999995</v>
      </c>
      <c r="D773" s="107">
        <v>638.65</v>
      </c>
      <c r="E773" s="107">
        <v>639.04999999999995</v>
      </c>
      <c r="F773" s="107">
        <v>645.54999999999995</v>
      </c>
      <c r="G773">
        <v>3224</v>
      </c>
      <c r="H773" s="107"/>
      <c r="I773" s="107"/>
      <c r="L773" s="148">
        <v>44473</v>
      </c>
      <c r="M773" s="107">
        <v>646.04999999999995</v>
      </c>
      <c r="N773" s="107">
        <v>648.65</v>
      </c>
      <c r="O773" s="107">
        <v>636.70000000000005</v>
      </c>
      <c r="P773" s="107">
        <v>640.85</v>
      </c>
      <c r="Q773" s="107">
        <v>646.04999999999995</v>
      </c>
      <c r="R773">
        <v>39645</v>
      </c>
    </row>
    <row r="774" spans="1:18" x14ac:dyDescent="0.25">
      <c r="A774" s="148">
        <v>44474</v>
      </c>
      <c r="B774" s="107">
        <v>674.7</v>
      </c>
      <c r="C774" s="107">
        <v>663.8</v>
      </c>
      <c r="D774" s="107">
        <v>647.25</v>
      </c>
      <c r="E774" s="107">
        <v>647.29999999999995</v>
      </c>
      <c r="F774" s="107">
        <v>663.8</v>
      </c>
      <c r="G774">
        <v>6005</v>
      </c>
      <c r="H774" s="107"/>
      <c r="I774" s="107"/>
      <c r="L774" s="148">
        <v>44474</v>
      </c>
      <c r="M774" s="107">
        <v>665.9</v>
      </c>
      <c r="N774" s="107">
        <v>675</v>
      </c>
      <c r="O774" s="107">
        <v>647.54999999999995</v>
      </c>
      <c r="P774" s="107">
        <v>651</v>
      </c>
      <c r="Q774" s="107">
        <v>665.9</v>
      </c>
      <c r="R774">
        <v>127016</v>
      </c>
    </row>
    <row r="775" spans="1:18" x14ac:dyDescent="0.25">
      <c r="A775" s="148">
        <v>44475</v>
      </c>
      <c r="B775" s="107">
        <v>675</v>
      </c>
      <c r="C775" s="107">
        <v>663.7</v>
      </c>
      <c r="D775" s="107">
        <v>655.04999999999995</v>
      </c>
      <c r="E775" s="107">
        <v>675</v>
      </c>
      <c r="F775" s="107">
        <v>663.7</v>
      </c>
      <c r="G775">
        <v>2620</v>
      </c>
      <c r="H775" s="107"/>
      <c r="I775" s="107"/>
      <c r="L775" s="148">
        <v>44475</v>
      </c>
      <c r="M775" s="107">
        <v>664.65</v>
      </c>
      <c r="N775" s="107">
        <v>678</v>
      </c>
      <c r="O775" s="107">
        <v>655</v>
      </c>
      <c r="P775" s="107">
        <v>678</v>
      </c>
      <c r="Q775" s="107">
        <v>664.65</v>
      </c>
      <c r="R775">
        <v>73181</v>
      </c>
    </row>
    <row r="776" spans="1:18" x14ac:dyDescent="0.25">
      <c r="A776" s="148">
        <v>44476</v>
      </c>
      <c r="B776" s="107">
        <v>676</v>
      </c>
      <c r="C776" s="107">
        <v>673.2</v>
      </c>
      <c r="D776" s="107">
        <v>654.65</v>
      </c>
      <c r="E776" s="107">
        <v>662.9</v>
      </c>
      <c r="F776" s="107">
        <v>673.2</v>
      </c>
      <c r="G776">
        <v>4115</v>
      </c>
      <c r="H776" s="107"/>
      <c r="I776" s="107"/>
      <c r="L776" s="148">
        <v>44476</v>
      </c>
      <c r="M776" s="107">
        <v>673.4</v>
      </c>
      <c r="N776" s="107">
        <v>675.5</v>
      </c>
      <c r="O776" s="107">
        <v>652.4</v>
      </c>
      <c r="P776" s="107">
        <v>664.65</v>
      </c>
      <c r="Q776" s="107">
        <v>673.4</v>
      </c>
      <c r="R776">
        <v>87464</v>
      </c>
    </row>
    <row r="777" spans="1:18" x14ac:dyDescent="0.25">
      <c r="A777" s="148">
        <v>44477</v>
      </c>
      <c r="B777" s="107">
        <v>674.6</v>
      </c>
      <c r="C777" s="107">
        <v>670.55</v>
      </c>
      <c r="D777" s="107">
        <v>659.1</v>
      </c>
      <c r="E777" s="107">
        <v>674.6</v>
      </c>
      <c r="F777" s="107">
        <v>670.55</v>
      </c>
      <c r="G777">
        <v>2852</v>
      </c>
      <c r="H777" s="107"/>
      <c r="I777" s="107"/>
      <c r="L777" s="148">
        <v>44477</v>
      </c>
      <c r="M777" s="107">
        <v>670.4</v>
      </c>
      <c r="N777" s="107">
        <v>677.35</v>
      </c>
      <c r="O777" s="107">
        <v>659.45</v>
      </c>
      <c r="P777" s="107">
        <v>677.35</v>
      </c>
      <c r="Q777" s="107">
        <v>670.4</v>
      </c>
      <c r="R777">
        <v>56504</v>
      </c>
    </row>
    <row r="778" spans="1:18" x14ac:dyDescent="0.25">
      <c r="A778" s="148">
        <v>44480</v>
      </c>
      <c r="B778" s="107">
        <v>674</v>
      </c>
      <c r="C778" s="107">
        <v>670.15</v>
      </c>
      <c r="D778" s="107">
        <v>658.85</v>
      </c>
      <c r="E778" s="107">
        <v>669.05</v>
      </c>
      <c r="F778" s="107">
        <v>670.15</v>
      </c>
      <c r="G778">
        <v>4585</v>
      </c>
      <c r="H778" s="107"/>
      <c r="I778" s="107"/>
      <c r="L778" s="148">
        <v>44480</v>
      </c>
      <c r="M778" s="107">
        <v>669.95</v>
      </c>
      <c r="N778" s="107">
        <v>675</v>
      </c>
      <c r="O778" s="107">
        <v>659.05</v>
      </c>
      <c r="P778" s="107">
        <v>671</v>
      </c>
      <c r="Q778" s="107">
        <v>669.95</v>
      </c>
      <c r="R778">
        <v>47171</v>
      </c>
    </row>
    <row r="779" spans="1:18" x14ac:dyDescent="0.25">
      <c r="A779" s="148">
        <v>44481</v>
      </c>
      <c r="B779" s="107">
        <v>682.6</v>
      </c>
      <c r="C779" s="107">
        <v>674.7</v>
      </c>
      <c r="D779" s="107">
        <v>668</v>
      </c>
      <c r="E779" s="107">
        <v>669.1</v>
      </c>
      <c r="F779" s="107">
        <v>674.7</v>
      </c>
      <c r="G779">
        <v>8117</v>
      </c>
      <c r="H779" s="107"/>
      <c r="I779" s="107"/>
      <c r="L779" s="148">
        <v>44481</v>
      </c>
      <c r="M779" s="107">
        <v>674.8</v>
      </c>
      <c r="N779" s="107">
        <v>682.95</v>
      </c>
      <c r="O779" s="107">
        <v>664.1</v>
      </c>
      <c r="P779" s="107">
        <v>664.1</v>
      </c>
      <c r="Q779" s="107">
        <v>674.8</v>
      </c>
      <c r="R779">
        <v>133419</v>
      </c>
    </row>
    <row r="780" spans="1:18" x14ac:dyDescent="0.25">
      <c r="A780" s="148">
        <v>44482</v>
      </c>
      <c r="B780" s="107">
        <v>685</v>
      </c>
      <c r="C780" s="107">
        <v>678.7</v>
      </c>
      <c r="D780" s="107">
        <v>673</v>
      </c>
      <c r="E780" s="107">
        <v>680</v>
      </c>
      <c r="F780" s="107">
        <v>678.7</v>
      </c>
      <c r="G780">
        <v>2672</v>
      </c>
      <c r="H780" s="107"/>
      <c r="I780" s="107"/>
      <c r="L780" s="148">
        <v>44482</v>
      </c>
      <c r="M780" s="107">
        <v>679.65</v>
      </c>
      <c r="N780" s="107">
        <v>685</v>
      </c>
      <c r="O780" s="107">
        <v>672.9</v>
      </c>
      <c r="P780" s="107">
        <v>678.15</v>
      </c>
      <c r="Q780" s="107">
        <v>679.65</v>
      </c>
      <c r="R780">
        <v>380163</v>
      </c>
    </row>
    <row r="781" spans="1:18" x14ac:dyDescent="0.25">
      <c r="A781" s="148">
        <v>44483</v>
      </c>
      <c r="B781" s="107">
        <v>685</v>
      </c>
      <c r="C781" s="107">
        <v>672.6</v>
      </c>
      <c r="D781" s="107">
        <v>669</v>
      </c>
      <c r="E781" s="107">
        <v>685</v>
      </c>
      <c r="F781" s="107">
        <v>672.6</v>
      </c>
      <c r="G781">
        <v>2583</v>
      </c>
      <c r="H781" s="107"/>
      <c r="I781" s="107"/>
      <c r="L781" s="148">
        <v>44483</v>
      </c>
      <c r="M781" s="107">
        <v>673.4</v>
      </c>
      <c r="N781" s="107">
        <v>685</v>
      </c>
      <c r="O781" s="107">
        <v>668</v>
      </c>
      <c r="P781" s="107">
        <v>684</v>
      </c>
      <c r="Q781" s="107">
        <v>673.4</v>
      </c>
      <c r="R781">
        <v>195531</v>
      </c>
    </row>
    <row r="782" spans="1:18" x14ac:dyDescent="0.25">
      <c r="A782" s="148">
        <v>44487</v>
      </c>
      <c r="B782" s="107">
        <v>683</v>
      </c>
      <c r="C782" s="107">
        <v>676.9</v>
      </c>
      <c r="D782" s="107">
        <v>673.75</v>
      </c>
      <c r="E782" s="107">
        <v>683</v>
      </c>
      <c r="F782" s="107">
        <v>676.9</v>
      </c>
      <c r="G782">
        <v>2890</v>
      </c>
      <c r="H782" s="107"/>
      <c r="I782" s="107"/>
      <c r="L782" s="148">
        <v>44487</v>
      </c>
      <c r="M782" s="107">
        <v>678</v>
      </c>
      <c r="N782" s="107">
        <v>681.1</v>
      </c>
      <c r="O782" s="107">
        <v>673.55</v>
      </c>
      <c r="P782" s="107">
        <v>677</v>
      </c>
      <c r="Q782" s="107">
        <v>678</v>
      </c>
      <c r="R782">
        <v>330539</v>
      </c>
    </row>
    <row r="783" spans="1:18" x14ac:dyDescent="0.25">
      <c r="A783" s="148">
        <v>44488</v>
      </c>
      <c r="B783" s="107">
        <v>688.9</v>
      </c>
      <c r="C783" s="107">
        <v>663.5</v>
      </c>
      <c r="D783" s="107">
        <v>653.65</v>
      </c>
      <c r="E783" s="107">
        <v>682.35</v>
      </c>
      <c r="F783" s="107">
        <v>663.5</v>
      </c>
      <c r="G783">
        <v>3826</v>
      </c>
      <c r="H783" s="107"/>
      <c r="I783" s="107"/>
      <c r="L783" s="148">
        <v>44488</v>
      </c>
      <c r="M783" s="107">
        <v>669.25</v>
      </c>
      <c r="N783" s="107">
        <v>689.2</v>
      </c>
      <c r="O783" s="107">
        <v>653</v>
      </c>
      <c r="P783" s="107">
        <v>683.9</v>
      </c>
      <c r="Q783" s="107">
        <v>669.25</v>
      </c>
      <c r="R783">
        <v>105904</v>
      </c>
    </row>
    <row r="784" spans="1:18" x14ac:dyDescent="0.25">
      <c r="A784" s="148">
        <v>44489</v>
      </c>
      <c r="B784" s="107">
        <v>665.4</v>
      </c>
      <c r="C784" s="107">
        <v>655.1</v>
      </c>
      <c r="D784" s="107">
        <v>636.25</v>
      </c>
      <c r="E784" s="107">
        <v>665.4</v>
      </c>
      <c r="F784" s="107">
        <v>655.1</v>
      </c>
      <c r="G784">
        <v>2318</v>
      </c>
      <c r="H784" s="107"/>
      <c r="I784" s="107"/>
      <c r="L784" s="148">
        <v>44489</v>
      </c>
      <c r="M784" s="107">
        <v>655.8</v>
      </c>
      <c r="N784" s="107">
        <v>669</v>
      </c>
      <c r="O784" s="107">
        <v>635.6</v>
      </c>
      <c r="P784" s="107">
        <v>669</v>
      </c>
      <c r="Q784" s="107">
        <v>655.8</v>
      </c>
      <c r="R784">
        <v>50163</v>
      </c>
    </row>
    <row r="785" spans="1:18" x14ac:dyDescent="0.25">
      <c r="A785" s="148">
        <v>44490</v>
      </c>
      <c r="B785" s="107">
        <v>649.5</v>
      </c>
      <c r="C785" s="107">
        <v>645.35</v>
      </c>
      <c r="D785" s="107">
        <v>640.04999999999995</v>
      </c>
      <c r="E785" s="107">
        <v>648.79999999999995</v>
      </c>
      <c r="F785" s="107">
        <v>645.35</v>
      </c>
      <c r="G785">
        <v>1169</v>
      </c>
      <c r="H785" s="107"/>
      <c r="I785" s="107"/>
      <c r="L785" s="148">
        <v>44490</v>
      </c>
      <c r="M785" s="107">
        <v>649.04999999999995</v>
      </c>
      <c r="N785" s="107">
        <v>655.75</v>
      </c>
      <c r="O785" s="107">
        <v>638.75</v>
      </c>
      <c r="P785" s="107">
        <v>645.25</v>
      </c>
      <c r="Q785" s="107">
        <v>649.04999999999995</v>
      </c>
      <c r="R785">
        <v>26600</v>
      </c>
    </row>
    <row r="786" spans="1:18" x14ac:dyDescent="0.25">
      <c r="A786" s="148">
        <v>44491</v>
      </c>
      <c r="B786" s="107">
        <v>649.5</v>
      </c>
      <c r="C786" s="107">
        <v>646.45000000000005</v>
      </c>
      <c r="D786" s="107">
        <v>635.25</v>
      </c>
      <c r="E786" s="107">
        <v>645.95000000000005</v>
      </c>
      <c r="F786" s="107">
        <v>646.45000000000005</v>
      </c>
      <c r="G786">
        <v>2807</v>
      </c>
      <c r="H786" s="107"/>
      <c r="I786" s="107"/>
      <c r="L786" s="148">
        <v>44491</v>
      </c>
      <c r="M786" s="107">
        <v>645.75</v>
      </c>
      <c r="N786" s="107">
        <v>648.95000000000005</v>
      </c>
      <c r="O786" s="107">
        <v>635.29999999999995</v>
      </c>
      <c r="P786" s="107">
        <v>640.1</v>
      </c>
      <c r="Q786" s="107">
        <v>645.75</v>
      </c>
      <c r="R786">
        <v>49655</v>
      </c>
    </row>
    <row r="787" spans="1:18" x14ac:dyDescent="0.25">
      <c r="A787" s="148">
        <v>44494</v>
      </c>
      <c r="B787" s="107">
        <v>650.4</v>
      </c>
      <c r="C787" s="107">
        <v>629.1</v>
      </c>
      <c r="D787" s="107">
        <v>625.65</v>
      </c>
      <c r="E787" s="107">
        <v>641.04999999999995</v>
      </c>
      <c r="F787" s="107">
        <v>629.1</v>
      </c>
      <c r="G787">
        <v>3476</v>
      </c>
      <c r="H787" s="107"/>
      <c r="I787" s="107"/>
      <c r="L787" s="148">
        <v>44494</v>
      </c>
      <c r="M787" s="107">
        <v>629.25</v>
      </c>
      <c r="N787" s="107">
        <v>657</v>
      </c>
      <c r="O787" s="107">
        <v>625.20000000000005</v>
      </c>
      <c r="P787" s="107">
        <v>657</v>
      </c>
      <c r="Q787" s="107">
        <v>629.25</v>
      </c>
      <c r="R787">
        <v>67508</v>
      </c>
    </row>
    <row r="788" spans="1:18" x14ac:dyDescent="0.25">
      <c r="A788" s="148">
        <v>44495</v>
      </c>
      <c r="B788" s="107">
        <v>638</v>
      </c>
      <c r="C788" s="107">
        <v>631.85</v>
      </c>
      <c r="D788" s="107">
        <v>626.75</v>
      </c>
      <c r="E788" s="107">
        <v>633.25</v>
      </c>
      <c r="F788" s="107">
        <v>631.85</v>
      </c>
      <c r="G788">
        <v>1361</v>
      </c>
      <c r="H788" s="107"/>
      <c r="I788" s="107"/>
      <c r="L788" s="148">
        <v>44495</v>
      </c>
      <c r="M788" s="107">
        <v>633.20000000000005</v>
      </c>
      <c r="N788" s="107">
        <v>639.1</v>
      </c>
      <c r="O788" s="107">
        <v>626.1</v>
      </c>
      <c r="P788" s="107">
        <v>632.35</v>
      </c>
      <c r="Q788" s="107">
        <v>633.20000000000005</v>
      </c>
      <c r="R788">
        <v>104976</v>
      </c>
    </row>
    <row r="789" spans="1:18" x14ac:dyDescent="0.25">
      <c r="A789" s="148">
        <v>44496</v>
      </c>
      <c r="B789" s="107">
        <v>640.1</v>
      </c>
      <c r="C789" s="107">
        <v>626.35</v>
      </c>
      <c r="D789" s="107">
        <v>623.4</v>
      </c>
      <c r="E789" s="107">
        <v>640.1</v>
      </c>
      <c r="F789" s="107">
        <v>626.35</v>
      </c>
      <c r="G789">
        <v>9330</v>
      </c>
      <c r="H789" s="107"/>
      <c r="I789" s="107"/>
      <c r="L789" s="148">
        <v>44496</v>
      </c>
      <c r="M789" s="107">
        <v>628.45000000000005</v>
      </c>
      <c r="N789" s="107">
        <v>639.5</v>
      </c>
      <c r="O789" s="107">
        <v>623.1</v>
      </c>
      <c r="P789" s="107">
        <v>636.4</v>
      </c>
      <c r="Q789" s="107">
        <v>628.45000000000005</v>
      </c>
      <c r="R789">
        <v>77027</v>
      </c>
    </row>
    <row r="790" spans="1:18" x14ac:dyDescent="0.25">
      <c r="A790" s="148">
        <v>44497</v>
      </c>
      <c r="B790" s="107">
        <v>631.25</v>
      </c>
      <c r="C790" s="107">
        <v>619.4</v>
      </c>
      <c r="D790" s="107">
        <v>612.45000000000005</v>
      </c>
      <c r="E790" s="107">
        <v>631.25</v>
      </c>
      <c r="F790" s="107">
        <v>619.4</v>
      </c>
      <c r="G790">
        <v>1476</v>
      </c>
      <c r="H790" s="107"/>
      <c r="I790" s="107"/>
      <c r="L790" s="148">
        <v>44497</v>
      </c>
      <c r="M790" s="107">
        <v>618.15</v>
      </c>
      <c r="N790" s="107">
        <v>633.35</v>
      </c>
      <c r="O790" s="107">
        <v>612.45000000000005</v>
      </c>
      <c r="P790" s="107">
        <v>633.35</v>
      </c>
      <c r="Q790" s="107">
        <v>618.15</v>
      </c>
      <c r="R790">
        <v>61406</v>
      </c>
    </row>
    <row r="791" spans="1:18" x14ac:dyDescent="0.25">
      <c r="A791" s="148">
        <v>44498</v>
      </c>
      <c r="B791" s="107">
        <v>637.29999999999995</v>
      </c>
      <c r="C791" s="107">
        <v>628.45000000000005</v>
      </c>
      <c r="D791" s="107">
        <v>612.54999999999995</v>
      </c>
      <c r="E791" s="107">
        <v>612.54999999999995</v>
      </c>
      <c r="F791" s="107">
        <v>628.45000000000005</v>
      </c>
      <c r="G791">
        <v>8745</v>
      </c>
      <c r="H791" s="107"/>
      <c r="I791" s="107"/>
      <c r="L791" s="148">
        <v>44498</v>
      </c>
      <c r="M791" s="107">
        <v>628.35</v>
      </c>
      <c r="N791" s="107">
        <v>638</v>
      </c>
      <c r="O791" s="107">
        <v>615.35</v>
      </c>
      <c r="P791" s="107">
        <v>615.35</v>
      </c>
      <c r="Q791" s="107">
        <v>628.35</v>
      </c>
      <c r="R791">
        <v>67523</v>
      </c>
    </row>
    <row r="792" spans="1:18" x14ac:dyDescent="0.25">
      <c r="A792" s="148">
        <v>44501</v>
      </c>
      <c r="B792" s="107">
        <v>632.29999999999995</v>
      </c>
      <c r="C792" s="107">
        <v>622.4</v>
      </c>
      <c r="D792" s="107">
        <v>618.5</v>
      </c>
      <c r="E792" s="107">
        <v>632.29999999999995</v>
      </c>
      <c r="F792" s="107">
        <v>622.4</v>
      </c>
      <c r="G792">
        <v>2923</v>
      </c>
      <c r="H792" s="107"/>
      <c r="I792" s="107"/>
      <c r="L792" s="148">
        <v>44501</v>
      </c>
      <c r="M792" s="107">
        <v>622.29999999999995</v>
      </c>
      <c r="N792" s="107">
        <v>633.4</v>
      </c>
      <c r="O792" s="107">
        <v>618.4</v>
      </c>
      <c r="P792" s="107">
        <v>628.35</v>
      </c>
      <c r="Q792" s="107">
        <v>622.29999999999995</v>
      </c>
      <c r="R792">
        <v>29511</v>
      </c>
    </row>
    <row r="793" spans="1:18" x14ac:dyDescent="0.25">
      <c r="A793" s="148">
        <v>44502</v>
      </c>
      <c r="B793" s="107">
        <v>631.4</v>
      </c>
      <c r="C793" s="107">
        <v>622.75</v>
      </c>
      <c r="D793" s="107">
        <v>615.04999999999995</v>
      </c>
      <c r="E793" s="107">
        <v>631.4</v>
      </c>
      <c r="F793" s="107">
        <v>622.75</v>
      </c>
      <c r="G793">
        <v>3461</v>
      </c>
      <c r="H793" s="107"/>
      <c r="I793" s="107"/>
      <c r="L793" s="148">
        <v>44502</v>
      </c>
      <c r="M793" s="107">
        <v>622.45000000000005</v>
      </c>
      <c r="N793" s="107">
        <v>628.70000000000005</v>
      </c>
      <c r="O793" s="107">
        <v>615.1</v>
      </c>
      <c r="P793" s="107">
        <v>625.45000000000005</v>
      </c>
      <c r="Q793" s="107">
        <v>622.45000000000005</v>
      </c>
      <c r="R793">
        <v>38352</v>
      </c>
    </row>
    <row r="794" spans="1:18" x14ac:dyDescent="0.25">
      <c r="A794" s="148">
        <v>44503</v>
      </c>
      <c r="B794" s="107">
        <v>635</v>
      </c>
      <c r="C794" s="107">
        <v>620.45000000000005</v>
      </c>
      <c r="D794" s="107">
        <v>610.9</v>
      </c>
      <c r="E794" s="107">
        <v>612.65</v>
      </c>
      <c r="F794" s="107">
        <v>620.45000000000005</v>
      </c>
      <c r="G794">
        <v>5337</v>
      </c>
      <c r="H794" s="107"/>
      <c r="I794" s="107"/>
      <c r="L794" s="148">
        <v>44503</v>
      </c>
      <c r="M794" s="107">
        <v>619.9</v>
      </c>
      <c r="N794" s="107">
        <v>625</v>
      </c>
      <c r="O794" s="107">
        <v>615</v>
      </c>
      <c r="P794" s="107">
        <v>621</v>
      </c>
      <c r="Q794" s="107">
        <v>619.9</v>
      </c>
      <c r="R794">
        <v>46898</v>
      </c>
    </row>
    <row r="795" spans="1:18" x14ac:dyDescent="0.25">
      <c r="A795" s="148">
        <v>44504</v>
      </c>
      <c r="B795" s="107">
        <v>677.4</v>
      </c>
      <c r="C795" s="107">
        <v>638.29999999999995</v>
      </c>
      <c r="D795" s="107">
        <v>624.1</v>
      </c>
      <c r="E795" s="107">
        <v>630.5</v>
      </c>
      <c r="F795" s="107">
        <v>638.29999999999995</v>
      </c>
      <c r="G795">
        <v>4271</v>
      </c>
      <c r="H795" s="107"/>
      <c r="I795" s="107"/>
      <c r="L795" s="148">
        <v>44504</v>
      </c>
      <c r="M795" s="107">
        <v>638.79999999999995</v>
      </c>
      <c r="N795" s="107">
        <v>677.7</v>
      </c>
      <c r="O795" s="107">
        <v>624.85</v>
      </c>
      <c r="P795" s="107">
        <v>625</v>
      </c>
      <c r="Q795" s="107">
        <v>638.79999999999995</v>
      </c>
      <c r="R795">
        <v>28601</v>
      </c>
    </row>
    <row r="796" spans="1:18" x14ac:dyDescent="0.25">
      <c r="A796" s="148">
        <v>44508</v>
      </c>
      <c r="B796" s="107">
        <v>635.25</v>
      </c>
      <c r="C796" s="107">
        <v>629.1</v>
      </c>
      <c r="D796" s="107">
        <v>622</v>
      </c>
      <c r="E796" s="107">
        <v>635</v>
      </c>
      <c r="F796" s="107">
        <v>629.1</v>
      </c>
      <c r="G796">
        <v>3783</v>
      </c>
      <c r="H796" s="107"/>
      <c r="I796" s="107"/>
      <c r="L796" s="148">
        <v>44508</v>
      </c>
      <c r="M796" s="107">
        <v>628.70000000000005</v>
      </c>
      <c r="N796" s="107">
        <v>636.79999999999995</v>
      </c>
      <c r="O796" s="107">
        <v>620</v>
      </c>
      <c r="P796" s="107">
        <v>636.79999999999995</v>
      </c>
      <c r="Q796" s="107">
        <v>628.70000000000005</v>
      </c>
      <c r="R796">
        <v>58914</v>
      </c>
    </row>
    <row r="797" spans="1:18" x14ac:dyDescent="0.25">
      <c r="A797" s="148">
        <v>44509</v>
      </c>
      <c r="B797" s="107">
        <v>632.29999999999995</v>
      </c>
      <c r="C797" s="107">
        <v>620.04999999999995</v>
      </c>
      <c r="D797" s="107">
        <v>615</v>
      </c>
      <c r="E797" s="107">
        <v>632.29999999999995</v>
      </c>
      <c r="F797" s="107">
        <v>620.04999999999995</v>
      </c>
      <c r="G797">
        <v>15066</v>
      </c>
      <c r="H797" s="107"/>
      <c r="I797" s="107"/>
      <c r="L797" s="148">
        <v>44509</v>
      </c>
      <c r="M797" s="107">
        <v>619.65</v>
      </c>
      <c r="N797" s="107">
        <v>633.75</v>
      </c>
      <c r="O797" s="107">
        <v>612.9</v>
      </c>
      <c r="P797" s="107">
        <v>628.9</v>
      </c>
      <c r="Q797" s="107">
        <v>619.65</v>
      </c>
      <c r="R797">
        <v>96018</v>
      </c>
    </row>
    <row r="798" spans="1:18" x14ac:dyDescent="0.25">
      <c r="A798" s="148">
        <v>44510</v>
      </c>
      <c r="B798" s="107">
        <v>618.65</v>
      </c>
      <c r="C798" s="107">
        <v>597.79999999999995</v>
      </c>
      <c r="D798" s="107">
        <v>596.04999999999995</v>
      </c>
      <c r="E798" s="107">
        <v>604</v>
      </c>
      <c r="F798" s="107">
        <v>597.79999999999995</v>
      </c>
      <c r="G798">
        <v>18019</v>
      </c>
      <c r="H798" s="107"/>
      <c r="I798" s="107"/>
      <c r="L798" s="148">
        <v>44510</v>
      </c>
      <c r="M798" s="107">
        <v>597.20000000000005</v>
      </c>
      <c r="N798" s="107">
        <v>608</v>
      </c>
      <c r="O798" s="107">
        <v>596</v>
      </c>
      <c r="P798" s="107">
        <v>608</v>
      </c>
      <c r="Q798" s="107">
        <v>597.20000000000005</v>
      </c>
      <c r="R798">
        <v>734062</v>
      </c>
    </row>
    <row r="799" spans="1:18" x14ac:dyDescent="0.25">
      <c r="A799" s="148">
        <v>44511</v>
      </c>
      <c r="B799" s="107">
        <v>606</v>
      </c>
      <c r="C799" s="107">
        <v>601.95000000000005</v>
      </c>
      <c r="D799" s="107">
        <v>596.6</v>
      </c>
      <c r="E799" s="107">
        <v>597.79999999999995</v>
      </c>
      <c r="F799" s="107">
        <v>601.95000000000005</v>
      </c>
      <c r="G799">
        <v>6169</v>
      </c>
      <c r="H799" s="107"/>
      <c r="I799" s="107"/>
      <c r="L799" s="148">
        <v>44511</v>
      </c>
      <c r="M799" s="107">
        <v>602.5</v>
      </c>
      <c r="N799" s="107">
        <v>606.15</v>
      </c>
      <c r="O799" s="107">
        <v>597.20000000000005</v>
      </c>
      <c r="P799" s="107">
        <v>600</v>
      </c>
      <c r="Q799" s="107">
        <v>602.5</v>
      </c>
      <c r="R799">
        <v>144149</v>
      </c>
    </row>
    <row r="800" spans="1:18" x14ac:dyDescent="0.25">
      <c r="A800" s="148">
        <v>44512</v>
      </c>
      <c r="B800" s="107">
        <v>612.9</v>
      </c>
      <c r="C800" s="107">
        <v>604.75</v>
      </c>
      <c r="D800" s="107">
        <v>602</v>
      </c>
      <c r="E800" s="107">
        <v>612.9</v>
      </c>
      <c r="F800" s="107">
        <v>604.75</v>
      </c>
      <c r="G800">
        <v>3231</v>
      </c>
      <c r="H800" s="107"/>
      <c r="I800" s="107"/>
      <c r="L800" s="148">
        <v>44512</v>
      </c>
      <c r="M800" s="107">
        <v>604.70000000000005</v>
      </c>
      <c r="N800" s="107">
        <v>608.75</v>
      </c>
      <c r="O800" s="107">
        <v>601.1</v>
      </c>
      <c r="P800" s="107">
        <v>606.9</v>
      </c>
      <c r="Q800" s="107">
        <v>604.70000000000005</v>
      </c>
      <c r="R800">
        <v>95454</v>
      </c>
    </row>
    <row r="801" spans="1:18" x14ac:dyDescent="0.25">
      <c r="A801" s="148">
        <v>44515</v>
      </c>
      <c r="B801" s="107">
        <v>612.54999999999995</v>
      </c>
      <c r="C801" s="107">
        <v>605.29999999999995</v>
      </c>
      <c r="D801" s="107">
        <v>602.29999999999995</v>
      </c>
      <c r="E801" s="107">
        <v>604.75</v>
      </c>
      <c r="F801" s="107">
        <v>605.29999999999995</v>
      </c>
      <c r="G801">
        <v>5241</v>
      </c>
      <c r="H801" s="107"/>
      <c r="I801" s="107"/>
      <c r="L801" s="148">
        <v>44515</v>
      </c>
      <c r="M801" s="107">
        <v>605.5</v>
      </c>
      <c r="N801" s="107">
        <v>613.95000000000005</v>
      </c>
      <c r="O801" s="107">
        <v>602</v>
      </c>
      <c r="P801" s="107">
        <v>609.9</v>
      </c>
      <c r="Q801" s="107">
        <v>605.5</v>
      </c>
      <c r="R801">
        <v>62391</v>
      </c>
    </row>
    <row r="802" spans="1:18" x14ac:dyDescent="0.25">
      <c r="A802" s="148">
        <v>44516</v>
      </c>
      <c r="B802" s="107">
        <v>614</v>
      </c>
      <c r="C802" s="107">
        <v>603.85</v>
      </c>
      <c r="D802" s="107">
        <v>593.04999999999995</v>
      </c>
      <c r="E802" s="107">
        <v>614</v>
      </c>
      <c r="F802" s="107">
        <v>603.85</v>
      </c>
      <c r="G802">
        <v>2824</v>
      </c>
      <c r="H802" s="107"/>
      <c r="I802" s="107"/>
      <c r="L802" s="148">
        <v>44516</v>
      </c>
      <c r="M802" s="107">
        <v>603.95000000000005</v>
      </c>
      <c r="N802" s="107">
        <v>610</v>
      </c>
      <c r="O802" s="107">
        <v>592.85</v>
      </c>
      <c r="P802" s="107">
        <v>610</v>
      </c>
      <c r="Q802" s="107">
        <v>603.95000000000005</v>
      </c>
      <c r="R802">
        <v>69175</v>
      </c>
    </row>
    <row r="803" spans="1:18" x14ac:dyDescent="0.25">
      <c r="A803" s="148">
        <v>44517</v>
      </c>
      <c r="B803" s="107">
        <v>606.6</v>
      </c>
      <c r="C803" s="107">
        <v>596.95000000000005</v>
      </c>
      <c r="D803" s="107">
        <v>594.70000000000005</v>
      </c>
      <c r="E803" s="107">
        <v>606.6</v>
      </c>
      <c r="F803" s="107">
        <v>596.95000000000005</v>
      </c>
      <c r="G803">
        <v>2299</v>
      </c>
      <c r="H803" s="107"/>
      <c r="I803" s="107"/>
      <c r="L803" s="148">
        <v>44517</v>
      </c>
      <c r="M803" s="107">
        <v>596.79999999999995</v>
      </c>
      <c r="N803" s="107">
        <v>607.45000000000005</v>
      </c>
      <c r="O803" s="107">
        <v>595</v>
      </c>
      <c r="P803" s="107">
        <v>602</v>
      </c>
      <c r="Q803" s="107">
        <v>596.79999999999995</v>
      </c>
      <c r="R803">
        <v>138722</v>
      </c>
    </row>
    <row r="804" spans="1:18" x14ac:dyDescent="0.25">
      <c r="A804" s="148">
        <v>44518</v>
      </c>
      <c r="B804" s="107">
        <v>597.79999999999995</v>
      </c>
      <c r="C804" s="107">
        <v>585.54999999999995</v>
      </c>
      <c r="D804" s="107">
        <v>578.70000000000005</v>
      </c>
      <c r="E804" s="107">
        <v>596.95000000000005</v>
      </c>
      <c r="F804" s="107">
        <v>585.54999999999995</v>
      </c>
      <c r="G804">
        <v>6819</v>
      </c>
      <c r="H804" s="107"/>
      <c r="I804" s="107"/>
      <c r="L804" s="148">
        <v>44518</v>
      </c>
      <c r="M804" s="107">
        <v>585.25</v>
      </c>
      <c r="N804" s="107">
        <v>599.79999999999995</v>
      </c>
      <c r="O804" s="107">
        <v>579</v>
      </c>
      <c r="P804" s="107">
        <v>599.79999999999995</v>
      </c>
      <c r="Q804" s="107">
        <v>585.25</v>
      </c>
      <c r="R804">
        <v>129595</v>
      </c>
    </row>
    <row r="805" spans="1:18" x14ac:dyDescent="0.25">
      <c r="A805" s="148">
        <v>44522</v>
      </c>
      <c r="B805" s="107">
        <v>589</v>
      </c>
      <c r="C805" s="107">
        <v>567.04999999999995</v>
      </c>
      <c r="D805" s="107">
        <v>561.20000000000005</v>
      </c>
      <c r="E805" s="107">
        <v>589</v>
      </c>
      <c r="F805" s="107">
        <v>567.04999999999995</v>
      </c>
      <c r="G805">
        <v>7626</v>
      </c>
      <c r="H805" s="107"/>
      <c r="I805" s="107"/>
      <c r="L805" s="148">
        <v>44522</v>
      </c>
      <c r="M805" s="107">
        <v>567.1</v>
      </c>
      <c r="N805" s="107">
        <v>588.20000000000005</v>
      </c>
      <c r="O805" s="107">
        <v>561.04999999999995</v>
      </c>
      <c r="P805" s="107">
        <v>588.20000000000005</v>
      </c>
      <c r="Q805" s="107">
        <v>567.1</v>
      </c>
      <c r="R805">
        <v>60094</v>
      </c>
    </row>
    <row r="806" spans="1:18" x14ac:dyDescent="0.25">
      <c r="A806" s="148">
        <v>44523</v>
      </c>
      <c r="B806" s="107">
        <v>581</v>
      </c>
      <c r="C806" s="107">
        <v>554.85</v>
      </c>
      <c r="D806" s="107">
        <v>549.95000000000005</v>
      </c>
      <c r="E806" s="107">
        <v>581</v>
      </c>
      <c r="F806" s="107">
        <v>554.85</v>
      </c>
      <c r="G806">
        <v>3802</v>
      </c>
      <c r="H806" s="107"/>
      <c r="I806" s="107"/>
      <c r="L806" s="148">
        <v>44523</v>
      </c>
      <c r="M806" s="107">
        <v>554.79999999999995</v>
      </c>
      <c r="N806" s="107">
        <v>569.95000000000005</v>
      </c>
      <c r="O806" s="107">
        <v>549</v>
      </c>
      <c r="P806" s="107">
        <v>569.95000000000005</v>
      </c>
      <c r="Q806" s="107">
        <v>554.79999999999995</v>
      </c>
      <c r="R806">
        <v>87743</v>
      </c>
    </row>
    <row r="807" spans="1:18" x14ac:dyDescent="0.25">
      <c r="A807" s="148">
        <v>44524</v>
      </c>
      <c r="B807" s="107">
        <v>572.79999999999995</v>
      </c>
      <c r="C807" s="107">
        <v>562</v>
      </c>
      <c r="D807" s="107">
        <v>552.20000000000005</v>
      </c>
      <c r="E807" s="107">
        <v>562.4</v>
      </c>
      <c r="F807" s="107">
        <v>562</v>
      </c>
      <c r="G807">
        <v>18751</v>
      </c>
      <c r="H807" s="107"/>
      <c r="I807" s="107"/>
      <c r="L807" s="148">
        <v>44524</v>
      </c>
      <c r="M807" s="107">
        <v>561.95000000000005</v>
      </c>
      <c r="N807" s="107">
        <v>579</v>
      </c>
      <c r="O807" s="107">
        <v>551.54999999999995</v>
      </c>
      <c r="P807" s="107">
        <v>565.45000000000005</v>
      </c>
      <c r="Q807" s="107">
        <v>561.95000000000005</v>
      </c>
      <c r="R807">
        <v>458565</v>
      </c>
    </row>
    <row r="808" spans="1:18" x14ac:dyDescent="0.25">
      <c r="A808" s="148">
        <v>44525</v>
      </c>
      <c r="B808" s="107">
        <v>567.15</v>
      </c>
      <c r="C808" s="107">
        <v>558.54999999999995</v>
      </c>
      <c r="D808" s="107">
        <v>555.25</v>
      </c>
      <c r="E808" s="107">
        <v>567.15</v>
      </c>
      <c r="F808" s="107">
        <v>558.54999999999995</v>
      </c>
      <c r="G808">
        <v>3061</v>
      </c>
      <c r="H808" s="107"/>
      <c r="I808" s="107"/>
      <c r="L808" s="148">
        <v>44525</v>
      </c>
      <c r="M808" s="107">
        <v>558.35</v>
      </c>
      <c r="N808" s="107">
        <v>567.70000000000005</v>
      </c>
      <c r="O808" s="107">
        <v>555</v>
      </c>
      <c r="P808" s="107">
        <v>564.79999999999995</v>
      </c>
      <c r="Q808" s="107">
        <v>558.35</v>
      </c>
      <c r="R808">
        <v>238182</v>
      </c>
    </row>
    <row r="809" spans="1:18" x14ac:dyDescent="0.25">
      <c r="A809" s="148">
        <v>44526</v>
      </c>
      <c r="B809" s="107">
        <v>558</v>
      </c>
      <c r="C809" s="107">
        <v>546.6</v>
      </c>
      <c r="D809" s="107">
        <v>541.29999999999995</v>
      </c>
      <c r="E809" s="107">
        <v>555.20000000000005</v>
      </c>
      <c r="F809" s="107">
        <v>546.6</v>
      </c>
      <c r="G809">
        <v>5961</v>
      </c>
      <c r="H809" s="107"/>
      <c r="I809" s="107"/>
      <c r="L809" s="148">
        <v>44526</v>
      </c>
      <c r="M809" s="107">
        <v>548.1</v>
      </c>
      <c r="N809" s="107">
        <v>560.4</v>
      </c>
      <c r="O809" s="107">
        <v>546</v>
      </c>
      <c r="P809" s="107">
        <v>560.4</v>
      </c>
      <c r="Q809" s="107">
        <v>548.1</v>
      </c>
      <c r="R809">
        <v>48754</v>
      </c>
    </row>
    <row r="810" spans="1:18" x14ac:dyDescent="0.25">
      <c r="A810" s="148">
        <v>44529</v>
      </c>
      <c r="B810" s="107">
        <v>542.79999999999995</v>
      </c>
      <c r="C810" s="107">
        <v>537.95000000000005</v>
      </c>
      <c r="D810" s="107">
        <v>523.5</v>
      </c>
      <c r="E810" s="107">
        <v>542.65</v>
      </c>
      <c r="F810" s="107">
        <v>537.95000000000005</v>
      </c>
      <c r="G810">
        <v>2778</v>
      </c>
      <c r="H810" s="107"/>
      <c r="I810" s="107"/>
      <c r="L810" s="148">
        <v>44529</v>
      </c>
      <c r="M810" s="107">
        <v>537</v>
      </c>
      <c r="N810" s="107">
        <v>546.95000000000005</v>
      </c>
      <c r="O810" s="107">
        <v>522.20000000000005</v>
      </c>
      <c r="P810" s="107">
        <v>540.20000000000005</v>
      </c>
      <c r="Q810" s="107">
        <v>537</v>
      </c>
      <c r="R810">
        <v>62457</v>
      </c>
    </row>
    <row r="811" spans="1:18" x14ac:dyDescent="0.25">
      <c r="A811" s="148">
        <v>44530</v>
      </c>
      <c r="B811" s="107">
        <v>550.15</v>
      </c>
      <c r="C811" s="107">
        <v>505.75</v>
      </c>
      <c r="D811" s="107">
        <v>501.95</v>
      </c>
      <c r="E811" s="107">
        <v>537.70000000000005</v>
      </c>
      <c r="F811" s="107">
        <v>505.75</v>
      </c>
      <c r="G811">
        <v>22331</v>
      </c>
      <c r="H811" s="107"/>
      <c r="I811" s="107"/>
      <c r="L811" s="148">
        <v>44530</v>
      </c>
      <c r="M811" s="107">
        <v>503.35</v>
      </c>
      <c r="N811" s="107">
        <v>550.1</v>
      </c>
      <c r="O811" s="107">
        <v>501</v>
      </c>
      <c r="P811" s="107">
        <v>530.20000000000005</v>
      </c>
      <c r="Q811" s="107">
        <v>503.35</v>
      </c>
      <c r="R811">
        <v>466139</v>
      </c>
    </row>
    <row r="812" spans="1:18" x14ac:dyDescent="0.25">
      <c r="A812" s="148">
        <v>44531</v>
      </c>
      <c r="B812" s="107">
        <v>520</v>
      </c>
      <c r="C812" s="107">
        <v>512.04999999999995</v>
      </c>
      <c r="D812" s="107">
        <v>495.3</v>
      </c>
      <c r="E812" s="107">
        <v>518</v>
      </c>
      <c r="F812" s="107">
        <v>512.04999999999995</v>
      </c>
      <c r="G812">
        <v>9855</v>
      </c>
      <c r="H812" s="107"/>
      <c r="I812" s="107"/>
      <c r="L812" s="148">
        <v>44531</v>
      </c>
      <c r="M812" s="107">
        <v>511.7</v>
      </c>
      <c r="N812" s="107">
        <v>519.35</v>
      </c>
      <c r="O812" s="107">
        <v>494.7</v>
      </c>
      <c r="P812" s="107">
        <v>517.70000000000005</v>
      </c>
      <c r="Q812" s="107">
        <v>511.7</v>
      </c>
      <c r="R812">
        <v>316629</v>
      </c>
    </row>
    <row r="813" spans="1:18" x14ac:dyDescent="0.25">
      <c r="A813" s="148">
        <v>44532</v>
      </c>
      <c r="B813" s="107">
        <v>527.04999999999995</v>
      </c>
      <c r="C813" s="107">
        <v>519.15</v>
      </c>
      <c r="D813" s="107">
        <v>509</v>
      </c>
      <c r="E813" s="107">
        <v>511</v>
      </c>
      <c r="F813" s="107">
        <v>519.15</v>
      </c>
      <c r="G813">
        <v>6901</v>
      </c>
      <c r="H813" s="107"/>
      <c r="I813" s="107"/>
      <c r="L813" s="148">
        <v>44532</v>
      </c>
      <c r="M813" s="107">
        <v>519.35</v>
      </c>
      <c r="N813" s="107">
        <v>527.04999999999995</v>
      </c>
      <c r="O813" s="107">
        <v>508.05</v>
      </c>
      <c r="P813" s="107">
        <v>511.7</v>
      </c>
      <c r="Q813" s="107">
        <v>519.35</v>
      </c>
      <c r="R813">
        <v>109417</v>
      </c>
    </row>
    <row r="814" spans="1:18" x14ac:dyDescent="0.25">
      <c r="A814" s="148">
        <v>44533</v>
      </c>
      <c r="B814" s="107">
        <v>525.85</v>
      </c>
      <c r="C814" s="107">
        <v>518.1</v>
      </c>
      <c r="D814" s="107">
        <v>514.5</v>
      </c>
      <c r="E814" s="107">
        <v>519</v>
      </c>
      <c r="F814" s="107">
        <v>518.1</v>
      </c>
      <c r="G814">
        <v>4088</v>
      </c>
      <c r="H814" s="107"/>
      <c r="I814" s="107"/>
      <c r="L814" s="148">
        <v>44533</v>
      </c>
      <c r="M814" s="107">
        <v>518.95000000000005</v>
      </c>
      <c r="N814" s="107">
        <v>526.29999999999995</v>
      </c>
      <c r="O814" s="107">
        <v>514.25</v>
      </c>
      <c r="P814" s="107">
        <v>520</v>
      </c>
      <c r="Q814" s="107">
        <v>518.95000000000005</v>
      </c>
      <c r="R814">
        <v>253289</v>
      </c>
    </row>
    <row r="815" spans="1:18" x14ac:dyDescent="0.25">
      <c r="A815" s="148">
        <v>44536</v>
      </c>
      <c r="B815" s="107">
        <v>517.95000000000005</v>
      </c>
      <c r="C815" s="107">
        <v>514.45000000000005</v>
      </c>
      <c r="D815" s="107">
        <v>511.55</v>
      </c>
      <c r="E815" s="107">
        <v>516.04999999999995</v>
      </c>
      <c r="F815" s="107">
        <v>514.45000000000005</v>
      </c>
      <c r="G815">
        <v>2276</v>
      </c>
      <c r="H815" s="107"/>
      <c r="I815" s="107"/>
      <c r="L815" s="148">
        <v>44536</v>
      </c>
      <c r="M815" s="107">
        <v>514.20000000000005</v>
      </c>
      <c r="N815" s="107">
        <v>520</v>
      </c>
      <c r="O815" s="107">
        <v>511</v>
      </c>
      <c r="P815" s="107">
        <v>519</v>
      </c>
      <c r="Q815" s="107">
        <v>514.20000000000005</v>
      </c>
      <c r="R815">
        <v>42275</v>
      </c>
    </row>
    <row r="816" spans="1:18" x14ac:dyDescent="0.25">
      <c r="A816" s="148">
        <v>44537</v>
      </c>
      <c r="B816" s="107">
        <v>529</v>
      </c>
      <c r="C816" s="107">
        <v>518.75</v>
      </c>
      <c r="D816" s="107">
        <v>510.25</v>
      </c>
      <c r="E816" s="107">
        <v>510.25</v>
      </c>
      <c r="F816" s="107">
        <v>518.75</v>
      </c>
      <c r="G816">
        <v>4252</v>
      </c>
      <c r="H816" s="107"/>
      <c r="I816" s="107"/>
      <c r="L816" s="148">
        <v>44537</v>
      </c>
      <c r="M816" s="107">
        <v>519.20000000000005</v>
      </c>
      <c r="N816" s="107">
        <v>532</v>
      </c>
      <c r="O816" s="107">
        <v>511.95</v>
      </c>
      <c r="P816" s="107">
        <v>514.20000000000005</v>
      </c>
      <c r="Q816" s="107">
        <v>519.20000000000005</v>
      </c>
      <c r="R816">
        <v>381417</v>
      </c>
    </row>
    <row r="817" spans="1:18" x14ac:dyDescent="0.25">
      <c r="A817" s="148">
        <v>44538</v>
      </c>
      <c r="B817" s="107">
        <v>540</v>
      </c>
      <c r="C817" s="107">
        <v>522.04999999999995</v>
      </c>
      <c r="D817" s="107">
        <v>516.25</v>
      </c>
      <c r="E817" s="107">
        <v>540</v>
      </c>
      <c r="F817" s="107">
        <v>522.04999999999995</v>
      </c>
      <c r="G817">
        <v>2711</v>
      </c>
      <c r="H817" s="107"/>
      <c r="I817" s="107"/>
      <c r="L817" s="148">
        <v>44538</v>
      </c>
      <c r="M817" s="107">
        <v>521.70000000000005</v>
      </c>
      <c r="N817" s="107">
        <v>528.95000000000005</v>
      </c>
      <c r="O817" s="107">
        <v>516.20000000000005</v>
      </c>
      <c r="P817" s="107">
        <v>521.79999999999995</v>
      </c>
      <c r="Q817" s="107">
        <v>521.70000000000005</v>
      </c>
      <c r="R817">
        <v>483683</v>
      </c>
    </row>
    <row r="818" spans="1:18" x14ac:dyDescent="0.25">
      <c r="A818" s="148">
        <v>44539</v>
      </c>
      <c r="B818" s="107">
        <v>545.35</v>
      </c>
      <c r="C818" s="107">
        <v>532.25</v>
      </c>
      <c r="D818" s="107">
        <v>525.25</v>
      </c>
      <c r="E818" s="107">
        <v>531.5</v>
      </c>
      <c r="F818" s="107">
        <v>532.25</v>
      </c>
      <c r="G818">
        <v>7144</v>
      </c>
      <c r="H818" s="107"/>
      <c r="I818" s="107"/>
      <c r="L818" s="148">
        <v>44539</v>
      </c>
      <c r="M818" s="107">
        <v>531.95000000000005</v>
      </c>
      <c r="N818" s="107">
        <v>539.79999999999995</v>
      </c>
      <c r="O818" s="107">
        <v>524</v>
      </c>
      <c r="P818" s="107">
        <v>524</v>
      </c>
      <c r="Q818" s="107">
        <v>531.95000000000005</v>
      </c>
      <c r="R818">
        <v>196019</v>
      </c>
    </row>
    <row r="819" spans="1:18" x14ac:dyDescent="0.25">
      <c r="A819" s="148">
        <v>44540</v>
      </c>
      <c r="B819" s="107">
        <v>616</v>
      </c>
      <c r="C819" s="107">
        <v>607.35</v>
      </c>
      <c r="D819" s="107">
        <v>534.70000000000005</v>
      </c>
      <c r="E819" s="107">
        <v>534.70000000000005</v>
      </c>
      <c r="F819" s="107">
        <v>607.35</v>
      </c>
      <c r="G819">
        <v>102143</v>
      </c>
      <c r="H819" s="107"/>
      <c r="I819" s="107"/>
      <c r="L819" s="148">
        <v>44540</v>
      </c>
      <c r="M819" s="107">
        <v>608.04999999999995</v>
      </c>
      <c r="N819" s="107">
        <v>616</v>
      </c>
      <c r="O819" s="107">
        <v>535</v>
      </c>
      <c r="P819" s="107">
        <v>536.95000000000005</v>
      </c>
      <c r="Q819" s="107">
        <v>608.04999999999995</v>
      </c>
      <c r="R819">
        <v>3131714</v>
      </c>
    </row>
    <row r="820" spans="1:18" x14ac:dyDescent="0.25">
      <c r="A820" s="148">
        <v>44543</v>
      </c>
      <c r="B820" s="107">
        <v>728.8</v>
      </c>
      <c r="C820" s="107">
        <v>728.25</v>
      </c>
      <c r="D820" s="107">
        <v>591.45000000000005</v>
      </c>
      <c r="E820" s="107">
        <v>611</v>
      </c>
      <c r="F820" s="107">
        <v>728.25</v>
      </c>
      <c r="G820">
        <v>116407</v>
      </c>
      <c r="H820" s="107"/>
      <c r="I820" s="107"/>
      <c r="L820" s="148">
        <v>44543</v>
      </c>
      <c r="M820" s="107">
        <v>728.45</v>
      </c>
      <c r="N820" s="107">
        <v>729.65</v>
      </c>
      <c r="O820" s="107">
        <v>592</v>
      </c>
      <c r="P820" s="107">
        <v>606.9</v>
      </c>
      <c r="Q820" s="107">
        <v>728.45</v>
      </c>
      <c r="R820">
        <v>2759900</v>
      </c>
    </row>
    <row r="821" spans="1:18" x14ac:dyDescent="0.25">
      <c r="A821" s="148">
        <v>44544</v>
      </c>
      <c r="B821" s="107">
        <v>721.95</v>
      </c>
      <c r="C821" s="107">
        <v>661.1</v>
      </c>
      <c r="D821" s="107">
        <v>651.6</v>
      </c>
      <c r="E821" s="107">
        <v>721.95</v>
      </c>
      <c r="F821" s="107">
        <v>661.1</v>
      </c>
      <c r="G821">
        <v>57491</v>
      </c>
      <c r="H821" s="107"/>
      <c r="I821" s="107"/>
      <c r="L821" s="148">
        <v>44544</v>
      </c>
      <c r="M821" s="107">
        <v>660.95</v>
      </c>
      <c r="N821" s="107">
        <v>717</v>
      </c>
      <c r="O821" s="107">
        <v>651.1</v>
      </c>
      <c r="P821" s="107">
        <v>717</v>
      </c>
      <c r="Q821" s="107">
        <v>660.95</v>
      </c>
      <c r="R821">
        <v>1426998</v>
      </c>
    </row>
    <row r="822" spans="1:18" x14ac:dyDescent="0.25">
      <c r="A822" s="148">
        <v>44545</v>
      </c>
      <c r="B822" s="107">
        <v>670</v>
      </c>
      <c r="C822" s="107">
        <v>649.9</v>
      </c>
      <c r="D822" s="107">
        <v>635.6</v>
      </c>
      <c r="E822" s="107">
        <v>652.04999999999995</v>
      </c>
      <c r="F822" s="107">
        <v>649.9</v>
      </c>
      <c r="G822">
        <v>30391</v>
      </c>
      <c r="H822" s="107"/>
      <c r="I822" s="107"/>
      <c r="L822" s="148">
        <v>44545</v>
      </c>
      <c r="M822" s="107">
        <v>650.65</v>
      </c>
      <c r="N822" s="107">
        <v>670</v>
      </c>
      <c r="O822" s="107">
        <v>630</v>
      </c>
      <c r="P822" s="107">
        <v>656.7</v>
      </c>
      <c r="Q822" s="107">
        <v>650.65</v>
      </c>
      <c r="R822">
        <v>638593</v>
      </c>
    </row>
    <row r="823" spans="1:18" x14ac:dyDescent="0.25">
      <c r="A823" s="148">
        <v>44546</v>
      </c>
      <c r="B823" s="107">
        <v>660.9</v>
      </c>
      <c r="C823" s="107">
        <v>643.5</v>
      </c>
      <c r="D823" s="107">
        <v>635.25</v>
      </c>
      <c r="E823" s="107">
        <v>656</v>
      </c>
      <c r="F823" s="107">
        <v>643.5</v>
      </c>
      <c r="G823">
        <v>5441</v>
      </c>
      <c r="H823" s="107"/>
      <c r="I823" s="107"/>
      <c r="L823" s="148">
        <v>44546</v>
      </c>
      <c r="M823" s="107">
        <v>645</v>
      </c>
      <c r="N823" s="107">
        <v>664.7</v>
      </c>
      <c r="O823" s="107">
        <v>630</v>
      </c>
      <c r="P823" s="107">
        <v>656</v>
      </c>
      <c r="Q823" s="107">
        <v>645</v>
      </c>
      <c r="R823">
        <v>182646</v>
      </c>
    </row>
    <row r="824" spans="1:18" x14ac:dyDescent="0.25">
      <c r="A824" s="148">
        <v>44547</v>
      </c>
      <c r="B824" s="107">
        <v>657.35</v>
      </c>
      <c r="C824" s="107">
        <v>644.29999999999995</v>
      </c>
      <c r="D824" s="107">
        <v>617.04999999999995</v>
      </c>
      <c r="E824" s="107">
        <v>651</v>
      </c>
      <c r="F824" s="107">
        <v>644.29999999999995</v>
      </c>
      <c r="G824">
        <v>3941</v>
      </c>
      <c r="H824" s="107"/>
      <c r="I824" s="107"/>
      <c r="L824" s="148">
        <v>44547</v>
      </c>
      <c r="M824" s="107">
        <v>641.9</v>
      </c>
      <c r="N824" s="107">
        <v>658.15</v>
      </c>
      <c r="O824" s="107">
        <v>615</v>
      </c>
      <c r="P824" s="107">
        <v>652</v>
      </c>
      <c r="Q824" s="107">
        <v>641.9</v>
      </c>
      <c r="R824">
        <v>130417</v>
      </c>
    </row>
    <row r="825" spans="1:18" x14ac:dyDescent="0.25">
      <c r="A825" s="148">
        <v>44550</v>
      </c>
      <c r="B825" s="107">
        <v>630</v>
      </c>
      <c r="C825" s="107">
        <v>615.95000000000005</v>
      </c>
      <c r="D825" s="107">
        <v>610.20000000000005</v>
      </c>
      <c r="E825" s="107">
        <v>620</v>
      </c>
      <c r="F825" s="107">
        <v>615.95000000000005</v>
      </c>
      <c r="G825">
        <v>5370</v>
      </c>
      <c r="H825" s="107"/>
      <c r="I825" s="107"/>
      <c r="L825" s="148">
        <v>44550</v>
      </c>
      <c r="M825" s="107">
        <v>614.4</v>
      </c>
      <c r="N825" s="107">
        <v>630.35</v>
      </c>
      <c r="O825" s="107">
        <v>608.5</v>
      </c>
      <c r="P825" s="107">
        <v>625.5</v>
      </c>
      <c r="Q825" s="107">
        <v>614.4</v>
      </c>
      <c r="R825">
        <v>82593</v>
      </c>
    </row>
    <row r="826" spans="1:18" x14ac:dyDescent="0.25">
      <c r="A826" s="148">
        <v>44551</v>
      </c>
      <c r="B826" s="107">
        <v>650.65</v>
      </c>
      <c r="C826" s="107">
        <v>623.04999999999995</v>
      </c>
      <c r="D826" s="107">
        <v>602.04999999999995</v>
      </c>
      <c r="E826" s="107">
        <v>602.04999999999995</v>
      </c>
      <c r="F826" s="107">
        <v>623.04999999999995</v>
      </c>
      <c r="G826">
        <v>3525</v>
      </c>
      <c r="H826" s="107"/>
      <c r="I826" s="107"/>
      <c r="L826" s="148">
        <v>44551</v>
      </c>
      <c r="M826" s="107">
        <v>623.75</v>
      </c>
      <c r="N826" s="107">
        <v>651.54999999999995</v>
      </c>
      <c r="O826" s="107">
        <v>614.54999999999995</v>
      </c>
      <c r="P826" s="107">
        <v>628</v>
      </c>
      <c r="Q826" s="107">
        <v>623.75</v>
      </c>
      <c r="R826">
        <v>135015</v>
      </c>
    </row>
    <row r="827" spans="1:18" x14ac:dyDescent="0.25">
      <c r="A827" s="148">
        <v>44552</v>
      </c>
      <c r="B827" s="107">
        <v>660.05</v>
      </c>
      <c r="C827" s="107">
        <v>640.65</v>
      </c>
      <c r="D827" s="107">
        <v>621.95000000000005</v>
      </c>
      <c r="E827" s="107">
        <v>623.75</v>
      </c>
      <c r="F827" s="107">
        <v>640.65</v>
      </c>
      <c r="G827">
        <v>3667</v>
      </c>
      <c r="H827" s="107"/>
      <c r="I827" s="107"/>
      <c r="L827" s="148">
        <v>44552</v>
      </c>
      <c r="M827" s="107">
        <v>639.70000000000005</v>
      </c>
      <c r="N827" s="107">
        <v>660</v>
      </c>
      <c r="O827" s="107">
        <v>620.35</v>
      </c>
      <c r="P827" s="107">
        <v>620.35</v>
      </c>
      <c r="Q827" s="107">
        <v>639.70000000000005</v>
      </c>
      <c r="R827">
        <v>95605</v>
      </c>
    </row>
    <row r="828" spans="1:18" x14ac:dyDescent="0.25">
      <c r="A828" s="148">
        <v>44553</v>
      </c>
      <c r="B828" s="107">
        <v>646.95000000000005</v>
      </c>
      <c r="C828" s="107">
        <v>628.15</v>
      </c>
      <c r="D828" s="107">
        <v>624</v>
      </c>
      <c r="E828" s="107">
        <v>645.29999999999995</v>
      </c>
      <c r="F828" s="107">
        <v>628.15</v>
      </c>
      <c r="G828">
        <v>5978</v>
      </c>
      <c r="H828" s="107"/>
      <c r="I828" s="107"/>
      <c r="L828" s="148">
        <v>44553</v>
      </c>
      <c r="M828" s="107">
        <v>627.04999999999995</v>
      </c>
      <c r="N828" s="107">
        <v>649</v>
      </c>
      <c r="O828" s="107">
        <v>621.15</v>
      </c>
      <c r="P828" s="107">
        <v>640</v>
      </c>
      <c r="Q828" s="107">
        <v>627.04999999999995</v>
      </c>
      <c r="R828">
        <v>96951</v>
      </c>
    </row>
    <row r="829" spans="1:18" x14ac:dyDescent="0.25">
      <c r="A829" s="148">
        <v>44554</v>
      </c>
      <c r="B829" s="107">
        <v>633.25</v>
      </c>
      <c r="C829" s="107">
        <v>615.29999999999995</v>
      </c>
      <c r="D829" s="107">
        <v>607.20000000000005</v>
      </c>
      <c r="E829" s="107">
        <v>614.54999999999995</v>
      </c>
      <c r="F829" s="107">
        <v>615.29999999999995</v>
      </c>
      <c r="G829">
        <v>4114</v>
      </c>
      <c r="H829" s="107"/>
      <c r="I829" s="107"/>
      <c r="L829" s="148">
        <v>44554</v>
      </c>
      <c r="M829" s="107">
        <v>614.54999999999995</v>
      </c>
      <c r="N829" s="107">
        <v>635.9</v>
      </c>
      <c r="O829" s="107">
        <v>605.85</v>
      </c>
      <c r="P829" s="107">
        <v>627.04999999999995</v>
      </c>
      <c r="Q829" s="107">
        <v>614.54999999999995</v>
      </c>
      <c r="R829">
        <v>68515</v>
      </c>
    </row>
    <row r="830" spans="1:18" x14ac:dyDescent="0.25">
      <c r="A830" s="148">
        <v>44557</v>
      </c>
      <c r="B830" s="107">
        <v>611.65</v>
      </c>
      <c r="C830" s="107">
        <v>606.70000000000005</v>
      </c>
      <c r="D830" s="107">
        <v>598.54999999999995</v>
      </c>
      <c r="E830" s="107">
        <v>600.04999999999995</v>
      </c>
      <c r="F830" s="107">
        <v>606.70000000000005</v>
      </c>
      <c r="G830">
        <v>5630</v>
      </c>
      <c r="H830" s="107"/>
      <c r="I830" s="107"/>
      <c r="L830" s="148">
        <v>44557</v>
      </c>
      <c r="M830" s="107">
        <v>606.25</v>
      </c>
      <c r="N830" s="107">
        <v>612.25</v>
      </c>
      <c r="O830" s="107">
        <v>597</v>
      </c>
      <c r="P830" s="107">
        <v>602.29999999999995</v>
      </c>
      <c r="Q830" s="107">
        <v>606.25</v>
      </c>
      <c r="R830">
        <v>122921</v>
      </c>
    </row>
    <row r="831" spans="1:18" x14ac:dyDescent="0.25">
      <c r="A831" s="148">
        <v>44558</v>
      </c>
      <c r="B831" s="107">
        <v>615</v>
      </c>
      <c r="C831" s="107">
        <v>603</v>
      </c>
      <c r="D831" s="107">
        <v>599.25</v>
      </c>
      <c r="E831" s="107">
        <v>615</v>
      </c>
      <c r="F831" s="107">
        <v>603</v>
      </c>
      <c r="G831">
        <v>5829</v>
      </c>
      <c r="H831" s="107"/>
      <c r="I831" s="107"/>
      <c r="L831" s="148">
        <v>44558</v>
      </c>
      <c r="M831" s="107">
        <v>602.25</v>
      </c>
      <c r="N831" s="107">
        <v>613.4</v>
      </c>
      <c r="O831" s="107">
        <v>599</v>
      </c>
      <c r="P831" s="107">
        <v>612.9</v>
      </c>
      <c r="Q831" s="107">
        <v>602.25</v>
      </c>
      <c r="R831">
        <v>61650</v>
      </c>
    </row>
    <row r="832" spans="1:18" x14ac:dyDescent="0.25">
      <c r="A832" s="148">
        <v>44559</v>
      </c>
      <c r="B832" s="107">
        <v>614.79999999999995</v>
      </c>
      <c r="C832" s="107">
        <v>605.70000000000005</v>
      </c>
      <c r="D832" s="107">
        <v>601.5</v>
      </c>
      <c r="E832" s="107">
        <v>602.29999999999995</v>
      </c>
      <c r="F832" s="107">
        <v>605.70000000000005</v>
      </c>
      <c r="G832">
        <v>2844</v>
      </c>
      <c r="H832" s="107"/>
      <c r="I832" s="107"/>
      <c r="L832" s="148">
        <v>44559</v>
      </c>
      <c r="M832" s="107">
        <v>605.45000000000005</v>
      </c>
      <c r="N832" s="107">
        <v>615</v>
      </c>
      <c r="O832" s="107">
        <v>600.70000000000005</v>
      </c>
      <c r="P832" s="107">
        <v>604.79999999999995</v>
      </c>
      <c r="Q832" s="107">
        <v>605.45000000000005</v>
      </c>
      <c r="R832">
        <v>43741</v>
      </c>
    </row>
    <row r="833" spans="1:18" x14ac:dyDescent="0.25">
      <c r="A833" s="148">
        <v>44560</v>
      </c>
      <c r="B833" s="107">
        <v>616.29999999999995</v>
      </c>
      <c r="C833" s="107">
        <v>597.6</v>
      </c>
      <c r="D833" s="107">
        <v>590.65</v>
      </c>
      <c r="E833" s="107">
        <v>603.35</v>
      </c>
      <c r="F833" s="107">
        <v>597.6</v>
      </c>
      <c r="G833">
        <v>4231</v>
      </c>
      <c r="H833" s="107"/>
      <c r="I833" s="107"/>
      <c r="L833" s="148">
        <v>44560</v>
      </c>
      <c r="M833" s="107">
        <v>597.29999999999995</v>
      </c>
      <c r="N833" s="107">
        <v>618</v>
      </c>
      <c r="O833" s="107">
        <v>595</v>
      </c>
      <c r="P833" s="107">
        <v>607.4</v>
      </c>
      <c r="Q833" s="107">
        <v>597.29999999999995</v>
      </c>
      <c r="R833">
        <v>40572</v>
      </c>
    </row>
    <row r="834" spans="1:18" x14ac:dyDescent="0.25">
      <c r="A834" s="148">
        <v>44561</v>
      </c>
      <c r="B834" s="107">
        <v>604.5</v>
      </c>
      <c r="C834" s="107">
        <v>598.20000000000005</v>
      </c>
      <c r="D834" s="107">
        <v>595.20000000000005</v>
      </c>
      <c r="E834" s="107">
        <v>601.04999999999995</v>
      </c>
      <c r="F834" s="107">
        <v>598.20000000000005</v>
      </c>
      <c r="G834">
        <v>4948</v>
      </c>
      <c r="H834" s="107"/>
      <c r="I834" s="107"/>
      <c r="L834" s="148">
        <v>44561</v>
      </c>
      <c r="M834" s="107">
        <v>597.85</v>
      </c>
      <c r="N834" s="107">
        <v>605</v>
      </c>
      <c r="O834" s="107">
        <v>595</v>
      </c>
      <c r="P834" s="107">
        <v>598.15</v>
      </c>
      <c r="Q834" s="107">
        <v>597.85</v>
      </c>
      <c r="R834">
        <v>44172</v>
      </c>
    </row>
    <row r="835" spans="1:18" x14ac:dyDescent="0.25">
      <c r="A835" s="148">
        <v>44564</v>
      </c>
      <c r="B835" s="107">
        <v>609.9</v>
      </c>
      <c r="C835" s="107">
        <v>599.04999999999995</v>
      </c>
      <c r="D835" s="107">
        <v>597</v>
      </c>
      <c r="E835" s="107">
        <v>609.9</v>
      </c>
      <c r="F835" s="107">
        <v>599.04999999999995</v>
      </c>
      <c r="G835">
        <v>4443</v>
      </c>
      <c r="H835" s="107"/>
      <c r="I835" s="107"/>
      <c r="L835" s="148">
        <v>44564</v>
      </c>
      <c r="M835" s="107">
        <v>598.85</v>
      </c>
      <c r="N835" s="107">
        <v>606.4</v>
      </c>
      <c r="O835" s="107">
        <v>597</v>
      </c>
      <c r="P835" s="107">
        <v>605</v>
      </c>
      <c r="Q835" s="107">
        <v>598.85</v>
      </c>
      <c r="R835">
        <v>31586</v>
      </c>
    </row>
    <row r="836" spans="1:18" x14ac:dyDescent="0.25">
      <c r="A836" s="148">
        <v>44565</v>
      </c>
      <c r="B836" s="107">
        <v>605.9</v>
      </c>
      <c r="C836" s="107">
        <v>596.75</v>
      </c>
      <c r="D836" s="107">
        <v>595</v>
      </c>
      <c r="E836" s="107">
        <v>603.54999999999995</v>
      </c>
      <c r="F836" s="107">
        <v>596.75</v>
      </c>
      <c r="G836">
        <v>3343</v>
      </c>
      <c r="H836" s="107"/>
      <c r="I836" s="107"/>
      <c r="L836" s="148">
        <v>44565</v>
      </c>
      <c r="M836" s="107">
        <v>596.29999999999995</v>
      </c>
      <c r="N836" s="107">
        <v>609.85</v>
      </c>
      <c r="O836" s="107">
        <v>594.6</v>
      </c>
      <c r="P836" s="107">
        <v>609.85</v>
      </c>
      <c r="Q836" s="107">
        <v>596.29999999999995</v>
      </c>
      <c r="R836">
        <v>48500</v>
      </c>
    </row>
    <row r="837" spans="1:18" x14ac:dyDescent="0.25">
      <c r="A837" s="148">
        <v>44566</v>
      </c>
      <c r="B837" s="107">
        <v>597.4</v>
      </c>
      <c r="C837" s="107">
        <v>586.65</v>
      </c>
      <c r="D837" s="107">
        <v>582.1</v>
      </c>
      <c r="E837" s="107">
        <v>594</v>
      </c>
      <c r="F837" s="107">
        <v>586.65</v>
      </c>
      <c r="G837">
        <v>12130</v>
      </c>
      <c r="H837" s="107"/>
      <c r="I837" s="107"/>
      <c r="L837" s="148">
        <v>44566</v>
      </c>
      <c r="M837" s="107">
        <v>586.20000000000005</v>
      </c>
      <c r="N837" s="107">
        <v>599.95000000000005</v>
      </c>
      <c r="O837" s="107">
        <v>582.54999999999995</v>
      </c>
      <c r="P837" s="107">
        <v>599.95000000000005</v>
      </c>
      <c r="Q837" s="107">
        <v>586.20000000000005</v>
      </c>
      <c r="R837">
        <v>127488</v>
      </c>
    </row>
    <row r="838" spans="1:18" x14ac:dyDescent="0.25">
      <c r="A838" s="148">
        <v>44567</v>
      </c>
      <c r="B838" s="107">
        <v>585.29999999999995</v>
      </c>
      <c r="C838" s="107">
        <v>575.45000000000005</v>
      </c>
      <c r="D838" s="107">
        <v>573.1</v>
      </c>
      <c r="E838" s="107">
        <v>580.20000000000005</v>
      </c>
      <c r="F838" s="107">
        <v>575.45000000000005</v>
      </c>
      <c r="G838">
        <v>6623</v>
      </c>
      <c r="H838" s="107"/>
      <c r="I838" s="107"/>
      <c r="L838" s="148">
        <v>44567</v>
      </c>
      <c r="M838" s="107">
        <v>575.15</v>
      </c>
      <c r="N838" s="107">
        <v>587.20000000000005</v>
      </c>
      <c r="O838" s="107">
        <v>572</v>
      </c>
      <c r="P838" s="107">
        <v>586.4</v>
      </c>
      <c r="Q838" s="107">
        <v>575.15</v>
      </c>
      <c r="R838">
        <v>71820</v>
      </c>
    </row>
    <row r="839" spans="1:18" x14ac:dyDescent="0.25">
      <c r="A839" s="148">
        <v>44568</v>
      </c>
      <c r="B839" s="107">
        <v>580</v>
      </c>
      <c r="C839" s="107">
        <v>569.95000000000005</v>
      </c>
      <c r="D839" s="107">
        <v>567.6</v>
      </c>
      <c r="E839" s="107">
        <v>580</v>
      </c>
      <c r="F839" s="107">
        <v>569.95000000000005</v>
      </c>
      <c r="G839">
        <v>12398</v>
      </c>
      <c r="H839" s="107"/>
      <c r="I839" s="107"/>
      <c r="L839" s="148">
        <v>44568</v>
      </c>
      <c r="M839" s="107">
        <v>570.04999999999995</v>
      </c>
      <c r="N839" s="107">
        <v>578.75</v>
      </c>
      <c r="O839" s="107">
        <v>569</v>
      </c>
      <c r="P839" s="107">
        <v>572.29999999999995</v>
      </c>
      <c r="Q839" s="107">
        <v>570.04999999999995</v>
      </c>
      <c r="R839">
        <v>68443</v>
      </c>
    </row>
    <row r="840" spans="1:18" x14ac:dyDescent="0.25">
      <c r="A840" s="148">
        <v>44571</v>
      </c>
      <c r="B840" s="107">
        <v>581.9</v>
      </c>
      <c r="C840" s="107">
        <v>566.35</v>
      </c>
      <c r="D840" s="107">
        <v>564.1</v>
      </c>
      <c r="E840" s="107">
        <v>570.04999999999995</v>
      </c>
      <c r="F840" s="107">
        <v>566.35</v>
      </c>
      <c r="G840">
        <v>3896</v>
      </c>
      <c r="H840" s="107"/>
      <c r="I840" s="107"/>
      <c r="L840" s="148">
        <v>44571</v>
      </c>
      <c r="M840" s="107">
        <v>566.15</v>
      </c>
      <c r="N840" s="107">
        <v>584.29999999999995</v>
      </c>
      <c r="O840" s="107">
        <v>563</v>
      </c>
      <c r="P840" s="107">
        <v>578.4</v>
      </c>
      <c r="Q840" s="107">
        <v>566.15</v>
      </c>
      <c r="R840">
        <v>85523</v>
      </c>
    </row>
    <row r="841" spans="1:18" x14ac:dyDescent="0.25">
      <c r="A841" s="148">
        <v>44572</v>
      </c>
      <c r="B841" s="107">
        <v>571.1</v>
      </c>
      <c r="C841" s="107">
        <v>566.15</v>
      </c>
      <c r="D841" s="107">
        <v>564.20000000000005</v>
      </c>
      <c r="E841" s="107">
        <v>569</v>
      </c>
      <c r="F841" s="107">
        <v>566.15</v>
      </c>
      <c r="G841">
        <v>9219</v>
      </c>
      <c r="H841" s="107"/>
      <c r="I841" s="107"/>
      <c r="L841" s="148">
        <v>44572</v>
      </c>
      <c r="M841" s="107">
        <v>567.15</v>
      </c>
      <c r="N841" s="107">
        <v>571</v>
      </c>
      <c r="O841" s="107">
        <v>564</v>
      </c>
      <c r="P841" s="107">
        <v>567</v>
      </c>
      <c r="Q841" s="107">
        <v>567.15</v>
      </c>
      <c r="R841">
        <v>266574</v>
      </c>
    </row>
    <row r="842" spans="1:18" x14ac:dyDescent="0.25">
      <c r="A842" s="148">
        <v>44573</v>
      </c>
      <c r="B842" s="107">
        <v>572.85</v>
      </c>
      <c r="C842" s="107">
        <v>565.65</v>
      </c>
      <c r="D842" s="107">
        <v>563.04999999999995</v>
      </c>
      <c r="E842" s="107">
        <v>569.5</v>
      </c>
      <c r="F842" s="107">
        <v>565.65</v>
      </c>
      <c r="G842">
        <v>3252</v>
      </c>
      <c r="H842" s="107"/>
      <c r="I842" s="107"/>
      <c r="L842" s="148">
        <v>44573</v>
      </c>
      <c r="M842" s="107">
        <v>565.15</v>
      </c>
      <c r="N842" s="107">
        <v>573.4</v>
      </c>
      <c r="O842" s="107">
        <v>562.79999999999995</v>
      </c>
      <c r="P842" s="107">
        <v>573.4</v>
      </c>
      <c r="Q842" s="107">
        <v>565.15</v>
      </c>
      <c r="R842">
        <v>61228</v>
      </c>
    </row>
    <row r="843" spans="1:18" x14ac:dyDescent="0.25">
      <c r="A843" s="148">
        <v>44574</v>
      </c>
      <c r="B843" s="107">
        <v>572.35</v>
      </c>
      <c r="C843" s="107">
        <v>569.54999999999995</v>
      </c>
      <c r="D843" s="107">
        <v>560</v>
      </c>
      <c r="E843" s="107">
        <v>562</v>
      </c>
      <c r="F843" s="107">
        <v>569.54999999999995</v>
      </c>
      <c r="G843">
        <v>6342</v>
      </c>
      <c r="H843" s="107"/>
      <c r="I843" s="107"/>
      <c r="L843" s="148">
        <v>44574</v>
      </c>
      <c r="M843" s="107">
        <v>569.1</v>
      </c>
      <c r="N843" s="107">
        <v>571.65</v>
      </c>
      <c r="O843" s="107">
        <v>560.25</v>
      </c>
      <c r="P843" s="107">
        <v>565.15</v>
      </c>
      <c r="Q843" s="107">
        <v>569.1</v>
      </c>
      <c r="R843">
        <v>144275</v>
      </c>
    </row>
    <row r="844" spans="1:18" x14ac:dyDescent="0.25">
      <c r="A844" s="148">
        <v>44575</v>
      </c>
      <c r="B844" s="107">
        <v>595.1</v>
      </c>
      <c r="C844" s="107">
        <v>591.9</v>
      </c>
      <c r="D844" s="107">
        <v>563</v>
      </c>
      <c r="E844" s="107">
        <v>570.6</v>
      </c>
      <c r="F844" s="107">
        <v>591.9</v>
      </c>
      <c r="G844">
        <v>15191</v>
      </c>
      <c r="H844" s="107"/>
      <c r="I844" s="107"/>
      <c r="L844" s="148">
        <v>44575</v>
      </c>
      <c r="M844" s="107">
        <v>592.5</v>
      </c>
      <c r="N844" s="107">
        <v>596</v>
      </c>
      <c r="O844" s="107">
        <v>562.45000000000005</v>
      </c>
      <c r="P844" s="107">
        <v>570</v>
      </c>
      <c r="Q844" s="107">
        <v>592.5</v>
      </c>
      <c r="R844">
        <v>412104</v>
      </c>
    </row>
    <row r="845" spans="1:18" x14ac:dyDescent="0.25">
      <c r="A845" s="148">
        <v>44578</v>
      </c>
      <c r="B845" s="107">
        <v>612</v>
      </c>
      <c r="C845" s="107">
        <v>605.04999999999995</v>
      </c>
      <c r="D845" s="107">
        <v>596.20000000000005</v>
      </c>
      <c r="E845" s="107">
        <v>598.4</v>
      </c>
      <c r="F845" s="107">
        <v>605.04999999999995</v>
      </c>
      <c r="G845">
        <v>6373</v>
      </c>
      <c r="H845" s="107"/>
      <c r="I845" s="107"/>
      <c r="L845" s="148">
        <v>44578</v>
      </c>
      <c r="M845" s="107">
        <v>605.6</v>
      </c>
      <c r="N845" s="107">
        <v>612.6</v>
      </c>
      <c r="O845" s="107">
        <v>592.45000000000005</v>
      </c>
      <c r="P845" s="107">
        <v>592.5</v>
      </c>
      <c r="Q845" s="107">
        <v>605.6</v>
      </c>
      <c r="R845">
        <v>240309</v>
      </c>
    </row>
    <row r="846" spans="1:18" x14ac:dyDescent="0.25">
      <c r="A846" s="148">
        <v>44579</v>
      </c>
      <c r="B846" s="107">
        <v>612.6</v>
      </c>
      <c r="C846" s="107">
        <v>598.65</v>
      </c>
      <c r="D846" s="107">
        <v>591.25</v>
      </c>
      <c r="E846" s="107">
        <v>612.6</v>
      </c>
      <c r="F846" s="107">
        <v>598.65</v>
      </c>
      <c r="G846">
        <v>5433</v>
      </c>
      <c r="H846" s="107"/>
      <c r="I846" s="107"/>
      <c r="L846" s="148">
        <v>44579</v>
      </c>
      <c r="M846" s="107">
        <v>597.75</v>
      </c>
      <c r="N846" s="107">
        <v>615</v>
      </c>
      <c r="O846" s="107">
        <v>591.15</v>
      </c>
      <c r="P846" s="107">
        <v>615</v>
      </c>
      <c r="Q846" s="107">
        <v>597.75</v>
      </c>
      <c r="R846">
        <v>114967</v>
      </c>
    </row>
    <row r="847" spans="1:18" x14ac:dyDescent="0.25">
      <c r="A847" s="148">
        <v>44580</v>
      </c>
      <c r="B847" s="107">
        <v>596.79999999999995</v>
      </c>
      <c r="C847" s="107">
        <v>588.45000000000005</v>
      </c>
      <c r="D847" s="107">
        <v>579.9</v>
      </c>
      <c r="E847" s="107">
        <v>591.79999999999995</v>
      </c>
      <c r="F847" s="107">
        <v>588.45000000000005</v>
      </c>
      <c r="G847">
        <v>8200</v>
      </c>
      <c r="H847" s="107"/>
      <c r="I847" s="107"/>
      <c r="L847" s="148">
        <v>44580</v>
      </c>
      <c r="M847" s="107">
        <v>585.95000000000005</v>
      </c>
      <c r="N847" s="107">
        <v>595.25</v>
      </c>
      <c r="O847" s="107">
        <v>579.65</v>
      </c>
      <c r="P847" s="107">
        <v>595.25</v>
      </c>
      <c r="Q847" s="107">
        <v>585.95000000000005</v>
      </c>
      <c r="R847">
        <v>52781</v>
      </c>
    </row>
    <row r="848" spans="1:18" x14ac:dyDescent="0.25">
      <c r="A848" s="148">
        <v>44581</v>
      </c>
      <c r="B848" s="107">
        <v>585.04999999999995</v>
      </c>
      <c r="C848" s="107">
        <v>581.20000000000005</v>
      </c>
      <c r="D848" s="107">
        <v>576</v>
      </c>
      <c r="E848" s="107">
        <v>576</v>
      </c>
      <c r="F848" s="107">
        <v>581.20000000000005</v>
      </c>
      <c r="G848">
        <v>5721</v>
      </c>
      <c r="H848" s="107"/>
      <c r="I848" s="107"/>
      <c r="L848" s="148">
        <v>44581</v>
      </c>
      <c r="M848" s="107">
        <v>581.9</v>
      </c>
      <c r="N848" s="107">
        <v>585.54999999999995</v>
      </c>
      <c r="O848" s="107">
        <v>578.5</v>
      </c>
      <c r="P848" s="107">
        <v>581.35</v>
      </c>
      <c r="Q848" s="107">
        <v>581.9</v>
      </c>
      <c r="R848">
        <v>129091</v>
      </c>
    </row>
    <row r="849" spans="1:18" x14ac:dyDescent="0.25">
      <c r="A849" s="148">
        <v>44582</v>
      </c>
      <c r="B849" s="107">
        <v>632.5</v>
      </c>
      <c r="C849" s="107">
        <v>617.70000000000005</v>
      </c>
      <c r="D849" s="107">
        <v>579.70000000000005</v>
      </c>
      <c r="E849" s="107">
        <v>579.70000000000005</v>
      </c>
      <c r="F849" s="107">
        <v>617.70000000000005</v>
      </c>
      <c r="G849">
        <v>44823</v>
      </c>
      <c r="H849" s="107"/>
      <c r="I849" s="107"/>
      <c r="L849" s="148">
        <v>44582</v>
      </c>
      <c r="M849" s="107">
        <v>617.35</v>
      </c>
      <c r="N849" s="107">
        <v>632.54999999999995</v>
      </c>
      <c r="O849" s="107">
        <v>579</v>
      </c>
      <c r="P849" s="107">
        <v>582</v>
      </c>
      <c r="Q849" s="107">
        <v>617.35</v>
      </c>
      <c r="R849">
        <v>1370135</v>
      </c>
    </row>
    <row r="850" spans="1:18" x14ac:dyDescent="0.25">
      <c r="A850" s="148">
        <v>44585</v>
      </c>
      <c r="B850" s="107">
        <v>616</v>
      </c>
      <c r="C850" s="107">
        <v>602.70000000000005</v>
      </c>
      <c r="D850" s="107">
        <v>581</v>
      </c>
      <c r="E850" s="107">
        <v>616</v>
      </c>
      <c r="F850" s="107">
        <v>602.70000000000005</v>
      </c>
      <c r="G850">
        <v>22443</v>
      </c>
      <c r="H850" s="107"/>
      <c r="I850" s="107"/>
      <c r="L850" s="148">
        <v>44585</v>
      </c>
      <c r="M850" s="107">
        <v>603.20000000000005</v>
      </c>
      <c r="N850" s="107">
        <v>614.70000000000005</v>
      </c>
      <c r="O850" s="107">
        <v>581</v>
      </c>
      <c r="P850" s="107">
        <v>614.70000000000005</v>
      </c>
      <c r="Q850" s="107">
        <v>603.20000000000005</v>
      </c>
      <c r="R850">
        <v>159710</v>
      </c>
    </row>
    <row r="851" spans="1:18" x14ac:dyDescent="0.25">
      <c r="A851" s="148">
        <v>44586</v>
      </c>
      <c r="B851" s="107">
        <v>651.4</v>
      </c>
      <c r="C851" s="107">
        <v>619.25</v>
      </c>
      <c r="D851" s="107">
        <v>584.75</v>
      </c>
      <c r="E851" s="107">
        <v>599.70000000000005</v>
      </c>
      <c r="F851" s="107">
        <v>619.25</v>
      </c>
      <c r="G851">
        <v>17789</v>
      </c>
      <c r="H851" s="107"/>
      <c r="I851" s="107"/>
      <c r="L851" s="148">
        <v>44586</v>
      </c>
      <c r="M851" s="107">
        <v>619.15</v>
      </c>
      <c r="N851" s="107">
        <v>651.79999999999995</v>
      </c>
      <c r="O851" s="107">
        <v>584.04999999999995</v>
      </c>
      <c r="P851" s="107">
        <v>603.04999999999995</v>
      </c>
      <c r="Q851" s="107">
        <v>619.15</v>
      </c>
      <c r="R851">
        <v>246805</v>
      </c>
    </row>
    <row r="852" spans="1:18" x14ac:dyDescent="0.25">
      <c r="A852" s="148">
        <v>44588</v>
      </c>
      <c r="B852" s="107">
        <v>616.15</v>
      </c>
      <c r="C852" s="107">
        <v>598.25</v>
      </c>
      <c r="D852" s="107">
        <v>573.5</v>
      </c>
      <c r="E852" s="107">
        <v>616.15</v>
      </c>
      <c r="F852" s="107">
        <v>598.25</v>
      </c>
      <c r="G852">
        <v>11044</v>
      </c>
      <c r="H852" s="107"/>
      <c r="I852" s="107"/>
      <c r="L852" s="148">
        <v>44588</v>
      </c>
      <c r="M852" s="107">
        <v>601.20000000000005</v>
      </c>
      <c r="N852" s="107">
        <v>621</v>
      </c>
      <c r="O852" s="107">
        <v>594.20000000000005</v>
      </c>
      <c r="P852" s="107">
        <v>615</v>
      </c>
      <c r="Q852" s="107">
        <v>601.20000000000005</v>
      </c>
      <c r="R852">
        <v>64769</v>
      </c>
    </row>
    <row r="853" spans="1:18" x14ac:dyDescent="0.25">
      <c r="A853" s="148">
        <v>44589</v>
      </c>
      <c r="B853" s="107">
        <v>614</v>
      </c>
      <c r="C853" s="107">
        <v>598.75</v>
      </c>
      <c r="D853" s="107">
        <v>591.45000000000005</v>
      </c>
      <c r="E853" s="107">
        <v>614</v>
      </c>
      <c r="F853" s="107">
        <v>598.75</v>
      </c>
      <c r="G853">
        <v>7266</v>
      </c>
      <c r="H853" s="107"/>
      <c r="I853" s="107"/>
      <c r="L853" s="148">
        <v>44589</v>
      </c>
      <c r="M853" s="107">
        <v>596.20000000000005</v>
      </c>
      <c r="N853" s="107">
        <v>611.4</v>
      </c>
      <c r="O853" s="107">
        <v>590.4</v>
      </c>
      <c r="P853" s="107">
        <v>604.70000000000005</v>
      </c>
      <c r="Q853" s="107">
        <v>596.20000000000005</v>
      </c>
      <c r="R853">
        <v>80077</v>
      </c>
    </row>
    <row r="854" spans="1:18" x14ac:dyDescent="0.25">
      <c r="A854" s="148">
        <v>44592</v>
      </c>
      <c r="B854" s="107">
        <v>632.9</v>
      </c>
      <c r="C854" s="107">
        <v>628.15</v>
      </c>
      <c r="D854" s="107">
        <v>598.85</v>
      </c>
      <c r="E854" s="107">
        <v>599.9</v>
      </c>
      <c r="F854" s="107">
        <v>628.15</v>
      </c>
      <c r="G854">
        <v>9623</v>
      </c>
      <c r="H854" s="107"/>
      <c r="I854" s="107"/>
      <c r="L854" s="148">
        <v>44592</v>
      </c>
      <c r="M854" s="107">
        <v>627.95000000000005</v>
      </c>
      <c r="N854" s="107">
        <v>634.1</v>
      </c>
      <c r="O854" s="107">
        <v>597.45000000000005</v>
      </c>
      <c r="P854" s="107">
        <v>600</v>
      </c>
      <c r="Q854" s="107">
        <v>627.95000000000005</v>
      </c>
      <c r="R854">
        <v>171899</v>
      </c>
    </row>
    <row r="855" spans="1:18" x14ac:dyDescent="0.25">
      <c r="A855" s="148">
        <v>44593</v>
      </c>
      <c r="B855" s="107">
        <v>630.35</v>
      </c>
      <c r="C855" s="107">
        <v>620.5</v>
      </c>
      <c r="D855" s="107">
        <v>603.9</v>
      </c>
      <c r="E855" s="107">
        <v>624.54999999999995</v>
      </c>
      <c r="F855" s="107">
        <v>620.5</v>
      </c>
      <c r="G855">
        <v>19129</v>
      </c>
      <c r="H855" s="107"/>
      <c r="I855" s="107"/>
      <c r="L855" s="148">
        <v>44593</v>
      </c>
      <c r="M855" s="107">
        <v>621.04999999999995</v>
      </c>
      <c r="N855" s="107">
        <v>630</v>
      </c>
      <c r="O855" s="107">
        <v>604.4</v>
      </c>
      <c r="P855" s="107">
        <v>627.95000000000005</v>
      </c>
      <c r="Q855" s="107">
        <v>621.04999999999995</v>
      </c>
      <c r="R855">
        <v>165576</v>
      </c>
    </row>
    <row r="856" spans="1:18" x14ac:dyDescent="0.25">
      <c r="A856" s="148">
        <v>44594</v>
      </c>
      <c r="B856" s="107">
        <v>658.4</v>
      </c>
      <c r="C856" s="107">
        <v>652.95000000000005</v>
      </c>
      <c r="D856" s="107">
        <v>617.45000000000005</v>
      </c>
      <c r="E856" s="107">
        <v>621.4</v>
      </c>
      <c r="F856" s="107">
        <v>652.95000000000005</v>
      </c>
      <c r="G856">
        <v>9873</v>
      </c>
      <c r="H856" s="107"/>
      <c r="I856" s="107"/>
      <c r="L856" s="148">
        <v>44594</v>
      </c>
      <c r="M856" s="107">
        <v>654.20000000000005</v>
      </c>
      <c r="N856" s="107">
        <v>658.9</v>
      </c>
      <c r="O856" s="107">
        <v>617</v>
      </c>
      <c r="P856" s="107">
        <v>622</v>
      </c>
      <c r="Q856" s="107">
        <v>654.20000000000005</v>
      </c>
      <c r="R856">
        <v>207680</v>
      </c>
    </row>
    <row r="857" spans="1:18" x14ac:dyDescent="0.25">
      <c r="A857" s="148">
        <v>44595</v>
      </c>
      <c r="B857" s="107">
        <v>674</v>
      </c>
      <c r="C857" s="107">
        <v>661.7</v>
      </c>
      <c r="D857" s="107">
        <v>645.65</v>
      </c>
      <c r="E857" s="107">
        <v>655</v>
      </c>
      <c r="F857" s="107">
        <v>661.7</v>
      </c>
      <c r="G857">
        <v>15979</v>
      </c>
      <c r="H857" s="107"/>
      <c r="I857" s="107"/>
      <c r="L857" s="148">
        <v>44595</v>
      </c>
      <c r="M857" s="107">
        <v>658.05</v>
      </c>
      <c r="N857" s="107">
        <v>675</v>
      </c>
      <c r="O857" s="107">
        <v>646</v>
      </c>
      <c r="P857" s="107">
        <v>660</v>
      </c>
      <c r="Q857" s="107">
        <v>658.05</v>
      </c>
      <c r="R857">
        <v>173076</v>
      </c>
    </row>
    <row r="858" spans="1:18" x14ac:dyDescent="0.25">
      <c r="A858" s="148">
        <v>44596</v>
      </c>
      <c r="B858" s="107">
        <v>660.55</v>
      </c>
      <c r="C858" s="107">
        <v>655.65</v>
      </c>
      <c r="D858" s="107">
        <v>642.6</v>
      </c>
      <c r="E858" s="107">
        <v>658.85</v>
      </c>
      <c r="F858" s="107">
        <v>655.65</v>
      </c>
      <c r="G858">
        <v>11425</v>
      </c>
      <c r="H858" s="107"/>
      <c r="I858" s="107"/>
      <c r="L858" s="148">
        <v>44596</v>
      </c>
      <c r="M858" s="107">
        <v>655.75</v>
      </c>
      <c r="N858" s="107">
        <v>661.1</v>
      </c>
      <c r="O858" s="107">
        <v>643.20000000000005</v>
      </c>
      <c r="P858" s="107">
        <v>661</v>
      </c>
      <c r="Q858" s="107">
        <v>655.75</v>
      </c>
      <c r="R858">
        <v>99144</v>
      </c>
    </row>
    <row r="859" spans="1:18" x14ac:dyDescent="0.25">
      <c r="A859" s="148">
        <v>44599</v>
      </c>
      <c r="B859" s="107">
        <v>786.75</v>
      </c>
      <c r="C859" s="107">
        <v>731.65</v>
      </c>
      <c r="D859" s="107">
        <v>675</v>
      </c>
      <c r="E859" s="107">
        <v>675</v>
      </c>
      <c r="F859" s="107">
        <v>731.65</v>
      </c>
      <c r="G859">
        <v>68025</v>
      </c>
      <c r="H859" s="107"/>
      <c r="I859" s="107"/>
      <c r="L859" s="148">
        <v>44599</v>
      </c>
      <c r="M859" s="107">
        <v>728.95</v>
      </c>
      <c r="N859" s="107">
        <v>786.9</v>
      </c>
      <c r="O859" s="107">
        <v>680</v>
      </c>
      <c r="P859" s="107">
        <v>680</v>
      </c>
      <c r="Q859" s="107">
        <v>728.95</v>
      </c>
      <c r="R859">
        <v>1869218</v>
      </c>
    </row>
    <row r="860" spans="1:18" x14ac:dyDescent="0.25">
      <c r="A860" s="148">
        <v>44600</v>
      </c>
      <c r="B860" s="107">
        <v>740</v>
      </c>
      <c r="C860" s="107">
        <v>726.75</v>
      </c>
      <c r="D860" s="107">
        <v>709.2</v>
      </c>
      <c r="E860" s="107">
        <v>727.75</v>
      </c>
      <c r="F860" s="107">
        <v>726.75</v>
      </c>
      <c r="G860">
        <v>31119</v>
      </c>
      <c r="H860" s="107"/>
      <c r="I860" s="107"/>
      <c r="L860" s="148">
        <v>44600</v>
      </c>
      <c r="M860" s="107">
        <v>728.75</v>
      </c>
      <c r="N860" s="107">
        <v>740.95</v>
      </c>
      <c r="O860" s="107">
        <v>709</v>
      </c>
      <c r="P860" s="107">
        <v>727</v>
      </c>
      <c r="Q860" s="107">
        <v>728.75</v>
      </c>
      <c r="R860">
        <v>461977</v>
      </c>
    </row>
    <row r="861" spans="1:18" x14ac:dyDescent="0.25">
      <c r="A861" s="148">
        <v>44601</v>
      </c>
      <c r="B861" s="107">
        <v>765</v>
      </c>
      <c r="C861" s="107">
        <v>754.85</v>
      </c>
      <c r="D861" s="107">
        <v>732</v>
      </c>
      <c r="E861" s="107">
        <v>732</v>
      </c>
      <c r="F861" s="107">
        <v>754.85</v>
      </c>
      <c r="G861">
        <v>15472</v>
      </c>
      <c r="H861" s="107"/>
      <c r="I861" s="107"/>
      <c r="L861" s="148">
        <v>44601</v>
      </c>
      <c r="M861" s="107">
        <v>757.65</v>
      </c>
      <c r="N861" s="107">
        <v>765</v>
      </c>
      <c r="O861" s="107">
        <v>730.05</v>
      </c>
      <c r="P861" s="107">
        <v>735</v>
      </c>
      <c r="Q861" s="107">
        <v>757.65</v>
      </c>
      <c r="R861">
        <v>584316</v>
      </c>
    </row>
    <row r="862" spans="1:18" x14ac:dyDescent="0.25">
      <c r="A862" s="148">
        <v>44602</v>
      </c>
      <c r="B862" s="107">
        <v>763.3</v>
      </c>
      <c r="C862" s="107">
        <v>759.15</v>
      </c>
      <c r="D862" s="107">
        <v>738.55</v>
      </c>
      <c r="E862" s="107">
        <v>750</v>
      </c>
      <c r="F862" s="107">
        <v>759.15</v>
      </c>
      <c r="G862">
        <v>28801</v>
      </c>
      <c r="H862" s="107"/>
      <c r="I862" s="107"/>
      <c r="L862" s="148">
        <v>44602</v>
      </c>
      <c r="M862" s="107">
        <v>759.75</v>
      </c>
      <c r="N862" s="107">
        <v>764.45</v>
      </c>
      <c r="O862" s="107">
        <v>736</v>
      </c>
      <c r="P862" s="107">
        <v>754</v>
      </c>
      <c r="Q862" s="107">
        <v>759.75</v>
      </c>
      <c r="R862">
        <v>206895</v>
      </c>
    </row>
    <row r="863" spans="1:18" x14ac:dyDescent="0.25">
      <c r="A863" s="148">
        <v>44603</v>
      </c>
      <c r="B863" s="107">
        <v>771.75</v>
      </c>
      <c r="C863" s="107">
        <v>766.7</v>
      </c>
      <c r="D863" s="107">
        <v>723.85</v>
      </c>
      <c r="E863" s="107">
        <v>750</v>
      </c>
      <c r="F863" s="107">
        <v>766.7</v>
      </c>
      <c r="G863">
        <v>12166</v>
      </c>
      <c r="H863" s="107"/>
      <c r="I863" s="107"/>
      <c r="L863" s="148">
        <v>44603</v>
      </c>
      <c r="M863" s="107">
        <v>762.2</v>
      </c>
      <c r="N863" s="107">
        <v>770.75</v>
      </c>
      <c r="O863" s="107">
        <v>724.1</v>
      </c>
      <c r="P863" s="107">
        <v>747</v>
      </c>
      <c r="Q863" s="107">
        <v>762.2</v>
      </c>
      <c r="R863">
        <v>230343</v>
      </c>
    </row>
    <row r="864" spans="1:18" x14ac:dyDescent="0.25">
      <c r="A864" s="148">
        <v>44606</v>
      </c>
      <c r="B864" s="107">
        <v>755.25</v>
      </c>
      <c r="C864" s="107">
        <v>694.15</v>
      </c>
      <c r="D864" s="107">
        <v>680</v>
      </c>
      <c r="E864" s="107">
        <v>744.7</v>
      </c>
      <c r="F864" s="107">
        <v>694.15</v>
      </c>
      <c r="G864">
        <v>20947</v>
      </c>
      <c r="H864" s="107"/>
      <c r="I864" s="107"/>
      <c r="L864" s="148">
        <v>44606</v>
      </c>
      <c r="M864" s="107">
        <v>694.75</v>
      </c>
      <c r="N864" s="107">
        <v>755.05</v>
      </c>
      <c r="O864" s="107">
        <v>678.85</v>
      </c>
      <c r="P864" s="107">
        <v>736.05</v>
      </c>
      <c r="Q864" s="107">
        <v>694.75</v>
      </c>
      <c r="R864">
        <v>219051</v>
      </c>
    </row>
    <row r="865" spans="1:18" x14ac:dyDescent="0.25">
      <c r="A865" s="148">
        <v>44607</v>
      </c>
      <c r="B865" s="107">
        <v>717.45</v>
      </c>
      <c r="C865" s="107">
        <v>704.5</v>
      </c>
      <c r="D865" s="107">
        <v>688.35</v>
      </c>
      <c r="E865" s="107">
        <v>705</v>
      </c>
      <c r="F865" s="107">
        <v>704.5</v>
      </c>
      <c r="G865">
        <v>12684</v>
      </c>
      <c r="H865" s="107"/>
      <c r="I865" s="107"/>
      <c r="L865" s="148">
        <v>44607</v>
      </c>
      <c r="M865" s="107">
        <v>705.1</v>
      </c>
      <c r="N865" s="107">
        <v>716.95</v>
      </c>
      <c r="O865" s="107">
        <v>686.95</v>
      </c>
      <c r="P865" s="107">
        <v>703.9</v>
      </c>
      <c r="Q865" s="107">
        <v>705.1</v>
      </c>
      <c r="R865">
        <v>196757</v>
      </c>
    </row>
    <row r="866" spans="1:18" x14ac:dyDescent="0.25">
      <c r="A866" s="148">
        <v>44608</v>
      </c>
      <c r="B866" s="107">
        <v>749.3</v>
      </c>
      <c r="C866" s="107">
        <v>727.65</v>
      </c>
      <c r="D866" s="107">
        <v>711.95</v>
      </c>
      <c r="E866" s="107">
        <v>726</v>
      </c>
      <c r="F866" s="107">
        <v>727.65</v>
      </c>
      <c r="G866">
        <v>14565</v>
      </c>
      <c r="H866" s="107"/>
      <c r="I866" s="107"/>
      <c r="L866" s="148">
        <v>44608</v>
      </c>
      <c r="M866" s="107">
        <v>727.35</v>
      </c>
      <c r="N866" s="107">
        <v>750</v>
      </c>
      <c r="O866" s="107">
        <v>710</v>
      </c>
      <c r="P866" s="107">
        <v>710</v>
      </c>
      <c r="Q866" s="107">
        <v>727.35</v>
      </c>
      <c r="R866">
        <v>279163</v>
      </c>
    </row>
    <row r="867" spans="1:18" x14ac:dyDescent="0.25">
      <c r="A867" s="148">
        <v>44609</v>
      </c>
      <c r="B867" s="107">
        <v>749.95</v>
      </c>
      <c r="C867" s="107">
        <v>731.55</v>
      </c>
      <c r="D867" s="107">
        <v>724.4</v>
      </c>
      <c r="E867" s="107">
        <v>739</v>
      </c>
      <c r="F867" s="107">
        <v>731.55</v>
      </c>
      <c r="G867">
        <v>11926</v>
      </c>
      <c r="H867" s="107"/>
      <c r="I867" s="107"/>
      <c r="L867" s="148">
        <v>44609</v>
      </c>
      <c r="M867" s="107">
        <v>732.3</v>
      </c>
      <c r="N867" s="107">
        <v>749.85</v>
      </c>
      <c r="O867" s="107">
        <v>725</v>
      </c>
      <c r="P867" s="107">
        <v>740.05</v>
      </c>
      <c r="Q867" s="107">
        <v>732.3</v>
      </c>
      <c r="R867">
        <v>254906</v>
      </c>
    </row>
    <row r="868" spans="1:18" x14ac:dyDescent="0.25">
      <c r="A868" s="148">
        <v>44610</v>
      </c>
      <c r="B868" s="107">
        <v>738.25</v>
      </c>
      <c r="C868" s="107">
        <v>708.8</v>
      </c>
      <c r="D868" s="107">
        <v>703.05</v>
      </c>
      <c r="E868" s="107">
        <v>738.1</v>
      </c>
      <c r="F868" s="107">
        <v>708.8</v>
      </c>
      <c r="G868">
        <v>2897</v>
      </c>
      <c r="H868" s="107"/>
      <c r="I868" s="107"/>
      <c r="L868" s="148">
        <v>44610</v>
      </c>
      <c r="M868" s="107">
        <v>709.25</v>
      </c>
      <c r="N868" s="107">
        <v>744</v>
      </c>
      <c r="O868" s="107">
        <v>702</v>
      </c>
      <c r="P868" s="107">
        <v>744</v>
      </c>
      <c r="Q868" s="107">
        <v>709.25</v>
      </c>
      <c r="R868">
        <v>59675</v>
      </c>
    </row>
    <row r="869" spans="1:18" x14ac:dyDescent="0.25">
      <c r="A869" s="148">
        <v>44613</v>
      </c>
      <c r="B869" s="107">
        <v>707.3</v>
      </c>
      <c r="C869" s="107">
        <v>695.6</v>
      </c>
      <c r="D869" s="107">
        <v>690.2</v>
      </c>
      <c r="E869" s="107">
        <v>700</v>
      </c>
      <c r="F869" s="107">
        <v>695.6</v>
      </c>
      <c r="G869">
        <v>6633</v>
      </c>
      <c r="H869" s="107"/>
      <c r="I869" s="107"/>
      <c r="L869" s="148">
        <v>44613</v>
      </c>
      <c r="M869" s="107">
        <v>695.5</v>
      </c>
      <c r="N869" s="107">
        <v>708.5</v>
      </c>
      <c r="O869" s="107">
        <v>680.05</v>
      </c>
      <c r="P869" s="107">
        <v>697.15</v>
      </c>
      <c r="Q869" s="107">
        <v>695.5</v>
      </c>
      <c r="R869">
        <v>47937</v>
      </c>
    </row>
    <row r="870" spans="1:18" x14ac:dyDescent="0.25">
      <c r="A870" s="148">
        <v>44614</v>
      </c>
      <c r="B870" s="107">
        <v>719.8</v>
      </c>
      <c r="C870" s="107">
        <v>701.75</v>
      </c>
      <c r="D870" s="107">
        <v>661.55</v>
      </c>
      <c r="E870" s="107">
        <v>673</v>
      </c>
      <c r="F870" s="107">
        <v>701.75</v>
      </c>
      <c r="G870">
        <v>17607</v>
      </c>
      <c r="H870" s="107"/>
      <c r="I870" s="107"/>
      <c r="L870" s="148">
        <v>44614</v>
      </c>
      <c r="M870" s="107">
        <v>703.3</v>
      </c>
      <c r="N870" s="107">
        <v>719.8</v>
      </c>
      <c r="O870" s="107">
        <v>652.5</v>
      </c>
      <c r="P870" s="107">
        <v>652.5</v>
      </c>
      <c r="Q870" s="107">
        <v>703.3</v>
      </c>
      <c r="R870">
        <v>149892</v>
      </c>
    </row>
    <row r="871" spans="1:18" x14ac:dyDescent="0.25">
      <c r="A871" s="148">
        <v>44615</v>
      </c>
      <c r="B871" s="107">
        <v>718</v>
      </c>
      <c r="C871" s="107">
        <v>700.3</v>
      </c>
      <c r="D871" s="107">
        <v>695.95</v>
      </c>
      <c r="E871" s="107">
        <v>708.35</v>
      </c>
      <c r="F871" s="107">
        <v>700.3</v>
      </c>
      <c r="G871">
        <v>7670</v>
      </c>
      <c r="H871" s="107"/>
      <c r="I871" s="107"/>
      <c r="L871" s="148">
        <v>44615</v>
      </c>
      <c r="M871" s="107">
        <v>700.45</v>
      </c>
      <c r="N871" s="107">
        <v>719.9</v>
      </c>
      <c r="O871" s="107">
        <v>694.6</v>
      </c>
      <c r="P871" s="107">
        <v>718</v>
      </c>
      <c r="Q871" s="107">
        <v>700.45</v>
      </c>
      <c r="R871">
        <v>48494</v>
      </c>
    </row>
    <row r="872" spans="1:18" x14ac:dyDescent="0.25">
      <c r="A872" s="148">
        <v>44616</v>
      </c>
      <c r="B872" s="107">
        <v>701</v>
      </c>
      <c r="C872" s="107">
        <v>669.25</v>
      </c>
      <c r="D872" s="107">
        <v>662</v>
      </c>
      <c r="E872" s="107">
        <v>701</v>
      </c>
      <c r="F872" s="107">
        <v>669.25</v>
      </c>
      <c r="G872">
        <v>6639</v>
      </c>
      <c r="H872" s="107"/>
      <c r="I872" s="107"/>
      <c r="L872" s="148">
        <v>44616</v>
      </c>
      <c r="M872" s="107">
        <v>669.75</v>
      </c>
      <c r="N872" s="107">
        <v>692.05</v>
      </c>
      <c r="O872" s="107">
        <v>662</v>
      </c>
      <c r="P872" s="107">
        <v>681</v>
      </c>
      <c r="Q872" s="107">
        <v>669.75</v>
      </c>
      <c r="R872">
        <v>89120</v>
      </c>
    </row>
    <row r="873" spans="1:18" x14ac:dyDescent="0.25">
      <c r="A873" s="148">
        <v>44617</v>
      </c>
      <c r="B873" s="107">
        <v>720.7</v>
      </c>
      <c r="C873" s="107">
        <v>710.2</v>
      </c>
      <c r="D873" s="107">
        <v>672.75</v>
      </c>
      <c r="E873" s="107">
        <v>672.75</v>
      </c>
      <c r="F873" s="107">
        <v>710.2</v>
      </c>
      <c r="G873">
        <v>5166</v>
      </c>
      <c r="H873" s="107"/>
      <c r="I873" s="107"/>
      <c r="L873" s="148">
        <v>44617</v>
      </c>
      <c r="M873" s="107">
        <v>712.15</v>
      </c>
      <c r="N873" s="107">
        <v>721</v>
      </c>
      <c r="O873" s="107">
        <v>675.1</v>
      </c>
      <c r="P873" s="107">
        <v>678</v>
      </c>
      <c r="Q873" s="107">
        <v>712.15</v>
      </c>
      <c r="R873">
        <v>113536</v>
      </c>
    </row>
    <row r="874" spans="1:18" x14ac:dyDescent="0.25">
      <c r="A874" s="148">
        <v>44620</v>
      </c>
      <c r="B874" s="107">
        <v>757.6</v>
      </c>
      <c r="C874" s="107">
        <v>749.6</v>
      </c>
      <c r="D874" s="107">
        <v>699.55</v>
      </c>
      <c r="E874" s="107">
        <v>701.2</v>
      </c>
      <c r="F874" s="107">
        <v>749.6</v>
      </c>
      <c r="G874">
        <v>13178</v>
      </c>
      <c r="H874" s="107"/>
      <c r="I874" s="107"/>
      <c r="L874" s="148">
        <v>44620</v>
      </c>
      <c r="M874" s="107">
        <v>749.95</v>
      </c>
      <c r="N874" s="107">
        <v>757</v>
      </c>
      <c r="O874" s="107">
        <v>697.25</v>
      </c>
      <c r="P874" s="107">
        <v>712.15</v>
      </c>
      <c r="Q874" s="107">
        <v>749.95</v>
      </c>
      <c r="R874">
        <v>212542</v>
      </c>
    </row>
    <row r="875" spans="1:18" x14ac:dyDescent="0.25">
      <c r="A875" s="148">
        <v>44622</v>
      </c>
      <c r="B875" s="107">
        <v>743</v>
      </c>
      <c r="C875" s="107">
        <v>703.1</v>
      </c>
      <c r="D875" s="107">
        <v>694.35</v>
      </c>
      <c r="E875" s="107">
        <v>735.55</v>
      </c>
      <c r="F875" s="107">
        <v>703.1</v>
      </c>
      <c r="G875">
        <v>9189</v>
      </c>
      <c r="H875" s="107"/>
      <c r="I875" s="107"/>
      <c r="L875" s="148">
        <v>44622</v>
      </c>
      <c r="M875" s="107">
        <v>702.45</v>
      </c>
      <c r="N875" s="107">
        <v>742.85</v>
      </c>
      <c r="O875" s="107">
        <v>694.55</v>
      </c>
      <c r="P875" s="107">
        <v>740</v>
      </c>
      <c r="Q875" s="107">
        <v>702.45</v>
      </c>
      <c r="R875">
        <v>142379</v>
      </c>
    </row>
    <row r="876" spans="1:18" x14ac:dyDescent="0.25">
      <c r="A876" s="148">
        <v>44623</v>
      </c>
      <c r="B876" s="107">
        <v>730.3</v>
      </c>
      <c r="C876" s="107">
        <v>706</v>
      </c>
      <c r="D876" s="107">
        <v>693.7</v>
      </c>
      <c r="E876" s="107">
        <v>720</v>
      </c>
      <c r="F876" s="107">
        <v>706</v>
      </c>
      <c r="G876">
        <v>7682</v>
      </c>
      <c r="H876" s="107"/>
      <c r="I876" s="107"/>
      <c r="L876" s="148">
        <v>44623</v>
      </c>
      <c r="M876" s="107">
        <v>703.25</v>
      </c>
      <c r="N876" s="107">
        <v>735</v>
      </c>
      <c r="O876" s="107">
        <v>693.9</v>
      </c>
      <c r="P876" s="107">
        <v>706</v>
      </c>
      <c r="Q876" s="107">
        <v>703.25</v>
      </c>
      <c r="R876">
        <v>75331</v>
      </c>
    </row>
    <row r="877" spans="1:18" x14ac:dyDescent="0.25">
      <c r="A877" s="148">
        <v>44624</v>
      </c>
      <c r="B877" s="107">
        <v>697</v>
      </c>
      <c r="C877" s="107">
        <v>682.95</v>
      </c>
      <c r="D877" s="107">
        <v>672.65</v>
      </c>
      <c r="E877" s="107">
        <v>694.1</v>
      </c>
      <c r="F877" s="107">
        <v>682.95</v>
      </c>
      <c r="G877">
        <v>7118</v>
      </c>
      <c r="H877" s="107"/>
      <c r="I877" s="107"/>
      <c r="L877" s="148">
        <v>44624</v>
      </c>
      <c r="M877" s="107">
        <v>681.6</v>
      </c>
      <c r="N877" s="107">
        <v>700.9</v>
      </c>
      <c r="O877" s="107">
        <v>673</v>
      </c>
      <c r="P877" s="107">
        <v>700.9</v>
      </c>
      <c r="Q877" s="107">
        <v>681.6</v>
      </c>
      <c r="R877">
        <v>64549</v>
      </c>
    </row>
    <row r="878" spans="1:18" x14ac:dyDescent="0.25">
      <c r="A878" s="148">
        <v>44627</v>
      </c>
      <c r="B878" s="107">
        <v>675.55</v>
      </c>
      <c r="C878" s="107">
        <v>652.6</v>
      </c>
      <c r="D878" s="107">
        <v>645.75</v>
      </c>
      <c r="E878" s="107">
        <v>661</v>
      </c>
      <c r="F878" s="107">
        <v>652.6</v>
      </c>
      <c r="G878">
        <v>8026</v>
      </c>
      <c r="H878" s="107"/>
      <c r="I878" s="107"/>
      <c r="L878" s="148">
        <v>44627</v>
      </c>
      <c r="M878" s="107">
        <v>655.85</v>
      </c>
      <c r="N878" s="107">
        <v>674.6</v>
      </c>
      <c r="O878" s="107">
        <v>645</v>
      </c>
      <c r="P878" s="107">
        <v>672</v>
      </c>
      <c r="Q878" s="107">
        <v>655.85</v>
      </c>
      <c r="R878">
        <v>42815</v>
      </c>
    </row>
    <row r="879" spans="1:18" x14ac:dyDescent="0.25">
      <c r="A879" s="148">
        <v>44628</v>
      </c>
      <c r="B879" s="107">
        <v>699</v>
      </c>
      <c r="C879" s="107">
        <v>658.45</v>
      </c>
      <c r="D879" s="107">
        <v>651.1</v>
      </c>
      <c r="E879" s="107">
        <v>651.1</v>
      </c>
      <c r="F879" s="107">
        <v>658.45</v>
      </c>
      <c r="G879">
        <v>4712</v>
      </c>
      <c r="H879" s="107"/>
      <c r="I879" s="107"/>
      <c r="L879" s="148">
        <v>44628</v>
      </c>
      <c r="M879" s="107">
        <v>657.8</v>
      </c>
      <c r="N879" s="107">
        <v>670.3</v>
      </c>
      <c r="O879" s="107">
        <v>652.9</v>
      </c>
      <c r="P879" s="107">
        <v>665.7</v>
      </c>
      <c r="Q879" s="107">
        <v>657.8</v>
      </c>
      <c r="R879">
        <v>22960</v>
      </c>
    </row>
    <row r="880" spans="1:18" x14ac:dyDescent="0.25">
      <c r="A880" s="148">
        <v>44629</v>
      </c>
      <c r="B880" s="107">
        <v>698.4</v>
      </c>
      <c r="C880" s="107">
        <v>686.75</v>
      </c>
      <c r="D880" s="107">
        <v>659.25</v>
      </c>
      <c r="E880" s="107">
        <v>668.4</v>
      </c>
      <c r="F880" s="107">
        <v>686.75</v>
      </c>
      <c r="G880">
        <v>9867</v>
      </c>
      <c r="H880" s="107"/>
      <c r="I880" s="107"/>
      <c r="L880" s="148">
        <v>44629</v>
      </c>
      <c r="M880" s="107">
        <v>689.05</v>
      </c>
      <c r="N880" s="107">
        <v>700</v>
      </c>
      <c r="O880" s="107">
        <v>659.6</v>
      </c>
      <c r="P880" s="107">
        <v>663.5</v>
      </c>
      <c r="Q880" s="107">
        <v>689.05</v>
      </c>
      <c r="R880">
        <v>112132</v>
      </c>
    </row>
    <row r="881" spans="1:18" x14ac:dyDescent="0.25">
      <c r="A881" s="148">
        <v>44630</v>
      </c>
      <c r="B881" s="107">
        <v>724.8</v>
      </c>
      <c r="C881" s="107">
        <v>690.35</v>
      </c>
      <c r="D881" s="107">
        <v>686.9</v>
      </c>
      <c r="E881" s="107">
        <v>724.8</v>
      </c>
      <c r="F881" s="107">
        <v>690.35</v>
      </c>
      <c r="G881">
        <v>3326</v>
      </c>
      <c r="H881" s="107"/>
      <c r="I881" s="107"/>
      <c r="L881" s="148">
        <v>44630</v>
      </c>
      <c r="M881" s="107">
        <v>690.3</v>
      </c>
      <c r="N881" s="107">
        <v>707</v>
      </c>
      <c r="O881" s="107">
        <v>686.35</v>
      </c>
      <c r="P881" s="107">
        <v>703</v>
      </c>
      <c r="Q881" s="107">
        <v>690.3</v>
      </c>
      <c r="R881">
        <v>76323</v>
      </c>
    </row>
    <row r="882" spans="1:18" x14ac:dyDescent="0.25">
      <c r="A882" s="148">
        <v>44631</v>
      </c>
      <c r="B882" s="107">
        <v>706.55</v>
      </c>
      <c r="C882" s="107">
        <v>701.8</v>
      </c>
      <c r="D882" s="107">
        <v>684.65</v>
      </c>
      <c r="E882" s="107">
        <v>689.05</v>
      </c>
      <c r="F882" s="107">
        <v>701.8</v>
      </c>
      <c r="G882">
        <v>4695</v>
      </c>
      <c r="H882" s="107"/>
      <c r="I882" s="107"/>
      <c r="L882" s="148">
        <v>44631</v>
      </c>
      <c r="M882" s="107">
        <v>701.95</v>
      </c>
      <c r="N882" s="107">
        <v>712.45</v>
      </c>
      <c r="O882" s="107">
        <v>685.05</v>
      </c>
      <c r="P882" s="107">
        <v>693.8</v>
      </c>
      <c r="Q882" s="107">
        <v>701.95</v>
      </c>
      <c r="R882">
        <v>59476</v>
      </c>
    </row>
    <row r="883" spans="1:18" x14ac:dyDescent="0.25">
      <c r="A883" s="148">
        <v>44634</v>
      </c>
      <c r="B883" s="107">
        <v>832</v>
      </c>
      <c r="C883" s="107">
        <v>801.75</v>
      </c>
      <c r="D883" s="107">
        <v>687.65</v>
      </c>
      <c r="E883" s="107">
        <v>702.15</v>
      </c>
      <c r="F883" s="107">
        <v>801.75</v>
      </c>
      <c r="G883">
        <v>48828</v>
      </c>
      <c r="H883" s="107"/>
      <c r="I883" s="107"/>
      <c r="L883" s="148">
        <v>44634</v>
      </c>
      <c r="M883" s="107">
        <v>804.3</v>
      </c>
      <c r="N883" s="107">
        <v>831.15</v>
      </c>
      <c r="O883" s="107">
        <v>687.95</v>
      </c>
      <c r="P883" s="107">
        <v>701.95</v>
      </c>
      <c r="Q883" s="107">
        <v>804.3</v>
      </c>
      <c r="R883">
        <v>1059026</v>
      </c>
    </row>
    <row r="884" spans="1:18" x14ac:dyDescent="0.25">
      <c r="A884" s="148">
        <v>44635</v>
      </c>
      <c r="B884" s="107">
        <v>821.85</v>
      </c>
      <c r="C884" s="107">
        <v>758.15</v>
      </c>
      <c r="D884" s="107">
        <v>737</v>
      </c>
      <c r="E884" s="107">
        <v>798.7</v>
      </c>
      <c r="F884" s="107">
        <v>758.15</v>
      </c>
      <c r="G884">
        <v>37500</v>
      </c>
      <c r="H884" s="107"/>
      <c r="I884" s="107"/>
      <c r="L884" s="148">
        <v>44635</v>
      </c>
      <c r="M884" s="107">
        <v>758.55</v>
      </c>
      <c r="N884" s="107">
        <v>823.85</v>
      </c>
      <c r="O884" s="107">
        <v>736.6</v>
      </c>
      <c r="P884" s="107">
        <v>801.7</v>
      </c>
      <c r="Q884" s="107">
        <v>758.55</v>
      </c>
      <c r="R884">
        <v>981711</v>
      </c>
    </row>
    <row r="885" spans="1:18" x14ac:dyDescent="0.25">
      <c r="A885" s="148">
        <v>44636</v>
      </c>
      <c r="B885" s="107">
        <v>800</v>
      </c>
      <c r="C885" s="107">
        <v>765.35</v>
      </c>
      <c r="D885" s="107">
        <v>755.7</v>
      </c>
      <c r="E885" s="107">
        <v>800</v>
      </c>
      <c r="F885" s="107">
        <v>765.35</v>
      </c>
      <c r="G885">
        <v>10835</v>
      </c>
      <c r="H885" s="107"/>
      <c r="I885" s="107"/>
      <c r="L885" s="148">
        <v>44636</v>
      </c>
      <c r="M885" s="107">
        <v>766.65</v>
      </c>
      <c r="N885" s="107">
        <v>781.8</v>
      </c>
      <c r="O885" s="107">
        <v>755</v>
      </c>
      <c r="P885" s="107">
        <v>775</v>
      </c>
      <c r="Q885" s="107">
        <v>766.65</v>
      </c>
      <c r="R885">
        <v>199779</v>
      </c>
    </row>
    <row r="886" spans="1:18" x14ac:dyDescent="0.25">
      <c r="A886" s="148">
        <v>44637</v>
      </c>
      <c r="B886" s="107">
        <v>811.15</v>
      </c>
      <c r="C886" s="107">
        <v>760.8</v>
      </c>
      <c r="D886" s="107">
        <v>750.2</v>
      </c>
      <c r="E886" s="107">
        <v>765</v>
      </c>
      <c r="F886" s="107">
        <v>760.8</v>
      </c>
      <c r="G886">
        <v>18780</v>
      </c>
      <c r="H886" s="107"/>
      <c r="I886" s="107"/>
      <c r="L886" s="148">
        <v>44637</v>
      </c>
      <c r="M886" s="107">
        <v>760.9</v>
      </c>
      <c r="N886" s="107">
        <v>811</v>
      </c>
      <c r="O886" s="107">
        <v>751</v>
      </c>
      <c r="P886" s="107">
        <v>770</v>
      </c>
      <c r="Q886" s="107">
        <v>760.9</v>
      </c>
      <c r="R886">
        <v>418160</v>
      </c>
    </row>
    <row r="887" spans="1:18" x14ac:dyDescent="0.25">
      <c r="A887" s="148">
        <v>44641</v>
      </c>
      <c r="B887" s="107">
        <v>804</v>
      </c>
      <c r="C887" s="107">
        <v>798.75</v>
      </c>
      <c r="D887" s="107">
        <v>757.35</v>
      </c>
      <c r="E887" s="107">
        <v>760.8</v>
      </c>
      <c r="F887" s="107">
        <v>798.75</v>
      </c>
      <c r="G887">
        <v>22455</v>
      </c>
      <c r="H887" s="107"/>
      <c r="I887" s="107"/>
      <c r="L887" s="148">
        <v>44641</v>
      </c>
      <c r="M887" s="107">
        <v>799.2</v>
      </c>
      <c r="N887" s="107">
        <v>805</v>
      </c>
      <c r="O887" s="107">
        <v>756.5</v>
      </c>
      <c r="P887" s="107">
        <v>767.5</v>
      </c>
      <c r="Q887" s="107">
        <v>799.2</v>
      </c>
      <c r="R887">
        <v>474724</v>
      </c>
    </row>
    <row r="888" spans="1:18" x14ac:dyDescent="0.25">
      <c r="A888" s="148">
        <v>44642</v>
      </c>
      <c r="B888" s="107">
        <v>831.7</v>
      </c>
      <c r="C888" s="107">
        <v>803.3</v>
      </c>
      <c r="D888" s="107">
        <v>784.95</v>
      </c>
      <c r="E888" s="107">
        <v>800.05</v>
      </c>
      <c r="F888" s="107">
        <v>803.3</v>
      </c>
      <c r="G888">
        <v>22946</v>
      </c>
      <c r="H888" s="107"/>
      <c r="I888" s="107"/>
      <c r="L888" s="148">
        <v>44642</v>
      </c>
      <c r="M888" s="107">
        <v>802.85</v>
      </c>
      <c r="N888" s="107">
        <v>835</v>
      </c>
      <c r="O888" s="107">
        <v>784.4</v>
      </c>
      <c r="P888" s="107">
        <v>802</v>
      </c>
      <c r="Q888" s="107">
        <v>802.85</v>
      </c>
      <c r="R888">
        <v>486079</v>
      </c>
    </row>
    <row r="889" spans="1:18" x14ac:dyDescent="0.25">
      <c r="A889" s="148">
        <v>44643</v>
      </c>
      <c r="B889" s="107">
        <v>822.45</v>
      </c>
      <c r="C889" s="107">
        <v>802.4</v>
      </c>
      <c r="D889" s="107">
        <v>775.65</v>
      </c>
      <c r="E889" s="107">
        <v>805.75</v>
      </c>
      <c r="F889" s="107">
        <v>802.4</v>
      </c>
      <c r="G889">
        <v>16909</v>
      </c>
      <c r="H889" s="107"/>
      <c r="I889" s="107"/>
      <c r="L889" s="148">
        <v>44643</v>
      </c>
      <c r="M889" s="107">
        <v>801.95</v>
      </c>
      <c r="N889" s="107">
        <v>828</v>
      </c>
      <c r="O889" s="107">
        <v>776.5</v>
      </c>
      <c r="P889" s="107">
        <v>809.9</v>
      </c>
      <c r="Q889" s="107">
        <v>801.95</v>
      </c>
      <c r="R889">
        <v>266160</v>
      </c>
    </row>
    <row r="890" spans="1:18" x14ac:dyDescent="0.25">
      <c r="A890" s="148">
        <v>44644</v>
      </c>
      <c r="B890" s="107">
        <v>829.35</v>
      </c>
      <c r="C890" s="107">
        <v>807.2</v>
      </c>
      <c r="D890" s="107">
        <v>801.2</v>
      </c>
      <c r="E890" s="107">
        <v>802.2</v>
      </c>
      <c r="F890" s="107">
        <v>807.2</v>
      </c>
      <c r="G890">
        <v>27557</v>
      </c>
      <c r="H890" s="107"/>
      <c r="I890" s="107"/>
      <c r="L890" s="148">
        <v>44644</v>
      </c>
      <c r="M890" s="107">
        <v>808.5</v>
      </c>
      <c r="N890" s="107">
        <v>830</v>
      </c>
      <c r="O890" s="107">
        <v>802</v>
      </c>
      <c r="P890" s="107">
        <v>807.9</v>
      </c>
      <c r="Q890" s="107">
        <v>808.5</v>
      </c>
      <c r="R890">
        <v>232363</v>
      </c>
    </row>
    <row r="891" spans="1:18" x14ac:dyDescent="0.25">
      <c r="A891" s="148">
        <v>44645</v>
      </c>
      <c r="B891" s="107">
        <v>878.25</v>
      </c>
      <c r="C891" s="107">
        <v>836.6</v>
      </c>
      <c r="D891" s="107">
        <v>814</v>
      </c>
      <c r="E891" s="107">
        <v>815</v>
      </c>
      <c r="F891" s="107">
        <v>836.6</v>
      </c>
      <c r="G891">
        <v>32266</v>
      </c>
      <c r="H891" s="107"/>
      <c r="I891" s="107"/>
      <c r="L891" s="148">
        <v>44645</v>
      </c>
      <c r="M891" s="107">
        <v>839.85</v>
      </c>
      <c r="N891" s="107">
        <v>877.7</v>
      </c>
      <c r="O891" s="107">
        <v>811</v>
      </c>
      <c r="P891" s="107">
        <v>811</v>
      </c>
      <c r="Q891" s="107">
        <v>839.85</v>
      </c>
      <c r="R891">
        <v>969767</v>
      </c>
    </row>
    <row r="892" spans="1:18" x14ac:dyDescent="0.25">
      <c r="A892" s="148">
        <v>44648</v>
      </c>
      <c r="B892" s="107">
        <v>858.45</v>
      </c>
      <c r="C892" s="107">
        <v>845.25</v>
      </c>
      <c r="D892" s="107">
        <v>818.25</v>
      </c>
      <c r="E892" s="107">
        <v>846.55</v>
      </c>
      <c r="F892" s="107">
        <v>845.25</v>
      </c>
      <c r="G892">
        <v>13365</v>
      </c>
      <c r="H892" s="107"/>
      <c r="I892" s="107"/>
      <c r="L892" s="148">
        <v>44648</v>
      </c>
      <c r="M892" s="107">
        <v>847.1</v>
      </c>
      <c r="N892" s="107">
        <v>859.45</v>
      </c>
      <c r="O892" s="107">
        <v>819.15</v>
      </c>
      <c r="P892" s="107">
        <v>846.7</v>
      </c>
      <c r="Q892" s="107">
        <v>847.1</v>
      </c>
      <c r="R892">
        <v>328324</v>
      </c>
    </row>
    <row r="893" spans="1:18" x14ac:dyDescent="0.25">
      <c r="A893" s="148">
        <v>44649</v>
      </c>
      <c r="B893" s="107">
        <v>853</v>
      </c>
      <c r="C893" s="107">
        <v>841.75</v>
      </c>
      <c r="D893" s="107">
        <v>827.75</v>
      </c>
      <c r="E893" s="107">
        <v>852</v>
      </c>
      <c r="F893" s="107">
        <v>841.75</v>
      </c>
      <c r="G893">
        <v>8524</v>
      </c>
      <c r="H893" s="107"/>
      <c r="I893" s="107"/>
      <c r="L893" s="148">
        <v>44649</v>
      </c>
      <c r="M893" s="107">
        <v>844.45</v>
      </c>
      <c r="N893" s="107">
        <v>853.75</v>
      </c>
      <c r="O893" s="107">
        <v>827.25</v>
      </c>
      <c r="P893" s="107">
        <v>843.05</v>
      </c>
      <c r="Q893" s="107">
        <v>844.45</v>
      </c>
      <c r="R893">
        <v>146576</v>
      </c>
    </row>
    <row r="894" spans="1:18" x14ac:dyDescent="0.25">
      <c r="A894" s="148">
        <v>44650</v>
      </c>
      <c r="B894" s="107">
        <v>873.6</v>
      </c>
      <c r="C894" s="107">
        <v>858.15</v>
      </c>
      <c r="D894" s="107">
        <v>830.25</v>
      </c>
      <c r="E894" s="107">
        <v>844.4</v>
      </c>
      <c r="F894" s="107">
        <v>858.15</v>
      </c>
      <c r="G894">
        <v>19115</v>
      </c>
      <c r="H894" s="107"/>
      <c r="I894" s="107"/>
      <c r="L894" s="148">
        <v>44650</v>
      </c>
      <c r="M894" s="107">
        <v>856.7</v>
      </c>
      <c r="N894" s="107">
        <v>874</v>
      </c>
      <c r="O894" s="107">
        <v>830</v>
      </c>
      <c r="P894" s="107">
        <v>841.8</v>
      </c>
      <c r="Q894" s="107">
        <v>856.7</v>
      </c>
      <c r="R894">
        <v>317102</v>
      </c>
    </row>
    <row r="895" spans="1:18" x14ac:dyDescent="0.25">
      <c r="A895" s="148">
        <v>44651</v>
      </c>
      <c r="B895" s="107">
        <v>871.9</v>
      </c>
      <c r="C895" s="107">
        <v>849.05</v>
      </c>
      <c r="D895" s="107">
        <v>841</v>
      </c>
      <c r="E895" s="107">
        <v>856</v>
      </c>
      <c r="F895" s="107">
        <v>849.05</v>
      </c>
      <c r="G895">
        <v>13019</v>
      </c>
      <c r="H895" s="107"/>
      <c r="I895" s="107"/>
      <c r="L895" s="148">
        <v>44651</v>
      </c>
      <c r="M895" s="107">
        <v>849.7</v>
      </c>
      <c r="N895" s="107">
        <v>873.65</v>
      </c>
      <c r="O895" s="107">
        <v>840.85</v>
      </c>
      <c r="P895" s="107">
        <v>856</v>
      </c>
      <c r="Q895" s="107">
        <v>849.7</v>
      </c>
      <c r="R895">
        <v>229602</v>
      </c>
    </row>
    <row r="896" spans="1:18" x14ac:dyDescent="0.25">
      <c r="A896" s="148">
        <v>44652</v>
      </c>
      <c r="B896" s="107">
        <v>891.65</v>
      </c>
      <c r="C896" s="107">
        <v>873.6</v>
      </c>
      <c r="D896" s="107">
        <v>847</v>
      </c>
      <c r="E896" s="107">
        <v>868</v>
      </c>
      <c r="F896" s="107">
        <v>873.6</v>
      </c>
      <c r="G896">
        <v>11076</v>
      </c>
      <c r="H896" s="107"/>
      <c r="I896" s="107"/>
      <c r="L896" s="148">
        <v>44652</v>
      </c>
      <c r="M896" s="107">
        <v>877.65</v>
      </c>
      <c r="N896" s="107">
        <v>892</v>
      </c>
      <c r="O896" s="107">
        <v>845.95</v>
      </c>
      <c r="P896" s="107">
        <v>847.8</v>
      </c>
      <c r="Q896" s="107">
        <v>877.65</v>
      </c>
      <c r="R896">
        <v>308408</v>
      </c>
    </row>
    <row r="897" spans="1:18" x14ac:dyDescent="0.25">
      <c r="A897" s="148">
        <v>44655</v>
      </c>
      <c r="B897" s="107">
        <v>894.85</v>
      </c>
      <c r="C897" s="107">
        <v>890.1</v>
      </c>
      <c r="D897" s="107">
        <v>876.8</v>
      </c>
      <c r="E897" s="107">
        <v>894</v>
      </c>
      <c r="F897" s="107">
        <v>890.1</v>
      </c>
      <c r="G897">
        <v>10515</v>
      </c>
      <c r="H897" s="107"/>
      <c r="I897" s="107"/>
      <c r="L897" s="148">
        <v>44655</v>
      </c>
      <c r="M897" s="107">
        <v>889.6</v>
      </c>
      <c r="N897" s="107">
        <v>894.9</v>
      </c>
      <c r="O897" s="107">
        <v>880.05</v>
      </c>
      <c r="P897" s="107">
        <v>882.9</v>
      </c>
      <c r="Q897" s="107">
        <v>889.6</v>
      </c>
      <c r="R897">
        <v>152024</v>
      </c>
    </row>
    <row r="898" spans="1:18" x14ac:dyDescent="0.25">
      <c r="A898" s="148">
        <v>44656</v>
      </c>
      <c r="B898" s="107">
        <v>925</v>
      </c>
      <c r="C898" s="107">
        <v>911.35</v>
      </c>
      <c r="D898" s="107">
        <v>881</v>
      </c>
      <c r="E898" s="107">
        <v>881</v>
      </c>
      <c r="F898" s="107">
        <v>911.35</v>
      </c>
      <c r="G898">
        <v>21699</v>
      </c>
      <c r="H898" s="107"/>
      <c r="I898" s="107"/>
      <c r="L898" s="148">
        <v>44656</v>
      </c>
      <c r="M898" s="107">
        <v>911</v>
      </c>
      <c r="N898" s="107">
        <v>926.2</v>
      </c>
      <c r="O898" s="107">
        <v>881.35</v>
      </c>
      <c r="P898" s="107">
        <v>881.35</v>
      </c>
      <c r="Q898" s="107">
        <v>911</v>
      </c>
      <c r="R898">
        <v>373791</v>
      </c>
    </row>
    <row r="899" spans="1:18" x14ac:dyDescent="0.25">
      <c r="A899" s="148">
        <v>44657</v>
      </c>
      <c r="B899" s="107">
        <v>933</v>
      </c>
      <c r="C899" s="107">
        <v>896.25</v>
      </c>
      <c r="D899" s="107">
        <v>890.35</v>
      </c>
      <c r="E899" s="107">
        <v>908</v>
      </c>
      <c r="F899" s="107">
        <v>896.25</v>
      </c>
      <c r="G899">
        <v>19049</v>
      </c>
      <c r="H899" s="107"/>
      <c r="I899" s="107"/>
      <c r="L899" s="148">
        <v>44657</v>
      </c>
      <c r="M899" s="107">
        <v>897</v>
      </c>
      <c r="N899" s="107">
        <v>933</v>
      </c>
      <c r="O899" s="107">
        <v>890.55</v>
      </c>
      <c r="P899" s="107">
        <v>914</v>
      </c>
      <c r="Q899" s="107">
        <v>897</v>
      </c>
      <c r="R899">
        <v>272589</v>
      </c>
    </row>
    <row r="900" spans="1:18" x14ac:dyDescent="0.25">
      <c r="A900" s="148">
        <v>44658</v>
      </c>
      <c r="B900" s="107">
        <v>911.4</v>
      </c>
      <c r="C900" s="107">
        <v>884.1</v>
      </c>
      <c r="D900" s="107">
        <v>876.05</v>
      </c>
      <c r="E900" s="107">
        <v>911.4</v>
      </c>
      <c r="F900" s="107">
        <v>884.1</v>
      </c>
      <c r="G900">
        <v>13463</v>
      </c>
      <c r="H900" s="107"/>
      <c r="I900" s="107"/>
      <c r="L900" s="148">
        <v>44658</v>
      </c>
      <c r="M900" s="107">
        <v>881.15</v>
      </c>
      <c r="N900" s="107">
        <v>911</v>
      </c>
      <c r="O900" s="107">
        <v>876.35</v>
      </c>
      <c r="P900" s="107">
        <v>900.75</v>
      </c>
      <c r="Q900" s="107">
        <v>881.15</v>
      </c>
      <c r="R900">
        <v>235615</v>
      </c>
    </row>
    <row r="901" spans="1:18" x14ac:dyDescent="0.25">
      <c r="A901" s="148">
        <v>44659</v>
      </c>
      <c r="B901" s="107">
        <v>929.95</v>
      </c>
      <c r="C901" s="107">
        <v>923.35</v>
      </c>
      <c r="D901" s="107">
        <v>889.65</v>
      </c>
      <c r="E901" s="107">
        <v>890.9</v>
      </c>
      <c r="F901" s="107">
        <v>923.35</v>
      </c>
      <c r="G901">
        <v>16886</v>
      </c>
      <c r="H901" s="107"/>
      <c r="I901" s="107"/>
      <c r="L901" s="148">
        <v>44659</v>
      </c>
      <c r="M901" s="107">
        <v>923.05</v>
      </c>
      <c r="N901" s="107">
        <v>930</v>
      </c>
      <c r="O901" s="107">
        <v>885</v>
      </c>
      <c r="P901" s="107">
        <v>885</v>
      </c>
      <c r="Q901" s="107">
        <v>923.05</v>
      </c>
      <c r="R901">
        <v>158831</v>
      </c>
    </row>
    <row r="902" spans="1:18" x14ac:dyDescent="0.25">
      <c r="A902" s="148">
        <v>44662</v>
      </c>
      <c r="B902" s="107">
        <v>949.9</v>
      </c>
      <c r="C902" s="107">
        <v>925.65</v>
      </c>
      <c r="D902" s="107">
        <v>920</v>
      </c>
      <c r="E902" s="107">
        <v>923</v>
      </c>
      <c r="F902" s="107">
        <v>925.65</v>
      </c>
      <c r="G902">
        <v>18076</v>
      </c>
      <c r="H902" s="107"/>
      <c r="I902" s="107"/>
      <c r="L902" s="148">
        <v>44662</v>
      </c>
      <c r="M902" s="107">
        <v>927.1</v>
      </c>
      <c r="N902" s="107">
        <v>951.95</v>
      </c>
      <c r="O902" s="107">
        <v>920.05</v>
      </c>
      <c r="P902" s="107">
        <v>929.4</v>
      </c>
      <c r="Q902" s="107">
        <v>927.1</v>
      </c>
      <c r="R902">
        <v>142071</v>
      </c>
    </row>
    <row r="903" spans="1:18" x14ac:dyDescent="0.25">
      <c r="A903" s="148">
        <v>44663</v>
      </c>
      <c r="B903" s="107">
        <v>950</v>
      </c>
      <c r="C903" s="107">
        <v>945</v>
      </c>
      <c r="D903" s="107">
        <v>904.9</v>
      </c>
      <c r="E903" s="107">
        <v>921</v>
      </c>
      <c r="F903" s="107">
        <v>945</v>
      </c>
      <c r="G903">
        <v>13596</v>
      </c>
      <c r="H903" s="107"/>
      <c r="I903" s="107"/>
      <c r="L903" s="148">
        <v>44663</v>
      </c>
      <c r="M903" s="107">
        <v>944.4</v>
      </c>
      <c r="N903" s="107">
        <v>950</v>
      </c>
      <c r="O903" s="107">
        <v>905</v>
      </c>
      <c r="P903" s="107">
        <v>925.9</v>
      </c>
      <c r="Q903" s="107">
        <v>944.4</v>
      </c>
      <c r="R903">
        <v>123427</v>
      </c>
    </row>
    <row r="904" spans="1:18" x14ac:dyDescent="0.25">
      <c r="A904" s="148">
        <v>44664</v>
      </c>
      <c r="B904" s="107">
        <v>1051.25</v>
      </c>
      <c r="C904" s="107">
        <v>1035.8</v>
      </c>
      <c r="D904" s="107">
        <v>940.2</v>
      </c>
      <c r="E904" s="107">
        <v>948.75</v>
      </c>
      <c r="F904" s="107">
        <v>1035.8</v>
      </c>
      <c r="G904">
        <v>58435</v>
      </c>
      <c r="H904" s="107"/>
      <c r="I904" s="107"/>
      <c r="L904" s="148">
        <v>44664</v>
      </c>
      <c r="M904" s="107">
        <v>1036.1500000000001</v>
      </c>
      <c r="N904" s="107">
        <v>1051</v>
      </c>
      <c r="O904" s="107">
        <v>941.45</v>
      </c>
      <c r="P904" s="107">
        <v>952</v>
      </c>
      <c r="Q904" s="107">
        <v>1036.1500000000001</v>
      </c>
      <c r="R904">
        <v>1163603</v>
      </c>
    </row>
    <row r="905" spans="1:18" x14ac:dyDescent="0.25">
      <c r="A905" s="148">
        <v>44669</v>
      </c>
      <c r="B905" s="107">
        <v>1063</v>
      </c>
      <c r="C905" s="107">
        <v>1038.45</v>
      </c>
      <c r="D905" s="107">
        <v>1011.8</v>
      </c>
      <c r="E905" s="107">
        <v>1028.8499999999999</v>
      </c>
      <c r="F905" s="107">
        <v>1038.45</v>
      </c>
      <c r="G905">
        <v>37067</v>
      </c>
      <c r="H905" s="107"/>
      <c r="I905" s="107"/>
      <c r="L905" s="148">
        <v>44669</v>
      </c>
      <c r="M905" s="107">
        <v>1034.7</v>
      </c>
      <c r="N905" s="107">
        <v>1065.7</v>
      </c>
      <c r="O905" s="107">
        <v>1011</v>
      </c>
      <c r="P905" s="107">
        <v>1028.5</v>
      </c>
      <c r="Q905" s="107">
        <v>1034.7</v>
      </c>
      <c r="R905">
        <v>629890</v>
      </c>
    </row>
    <row r="906" spans="1:18" x14ac:dyDescent="0.25">
      <c r="A906" s="148">
        <v>44670</v>
      </c>
      <c r="B906" s="107">
        <v>1044</v>
      </c>
      <c r="C906" s="107">
        <v>1001.15</v>
      </c>
      <c r="D906" s="107">
        <v>972.55</v>
      </c>
      <c r="E906" s="107">
        <v>1031.4000000000001</v>
      </c>
      <c r="F906" s="107">
        <v>1001.15</v>
      </c>
      <c r="G906">
        <v>20486</v>
      </c>
      <c r="H906" s="107"/>
      <c r="I906" s="107"/>
      <c r="L906" s="148">
        <v>44670</v>
      </c>
      <c r="M906" s="107">
        <v>999</v>
      </c>
      <c r="N906" s="107">
        <v>1044.75</v>
      </c>
      <c r="O906" s="107">
        <v>975</v>
      </c>
      <c r="P906" s="107">
        <v>1034.8499999999999</v>
      </c>
      <c r="Q906" s="107">
        <v>999</v>
      </c>
      <c r="R906">
        <v>196256</v>
      </c>
    </row>
    <row r="907" spans="1:18" x14ac:dyDescent="0.25">
      <c r="A907" s="148">
        <v>44671</v>
      </c>
      <c r="B907" s="107">
        <v>1040</v>
      </c>
      <c r="C907" s="107">
        <v>1016.2</v>
      </c>
      <c r="D907" s="107">
        <v>1000.5</v>
      </c>
      <c r="E907" s="107">
        <v>1029.2</v>
      </c>
      <c r="F907" s="107">
        <v>1016.2</v>
      </c>
      <c r="G907">
        <v>11361</v>
      </c>
      <c r="H907" s="107"/>
      <c r="I907" s="107"/>
      <c r="L907" s="148">
        <v>44671</v>
      </c>
      <c r="M907" s="107">
        <v>1010.85</v>
      </c>
      <c r="N907" s="107">
        <v>1040.25</v>
      </c>
      <c r="O907" s="107">
        <v>1000</v>
      </c>
      <c r="P907" s="107">
        <v>1020</v>
      </c>
      <c r="Q907" s="107">
        <v>1010.85</v>
      </c>
      <c r="R907">
        <v>213594</v>
      </c>
    </row>
    <row r="908" spans="1:18" x14ac:dyDescent="0.25">
      <c r="A908" s="148">
        <v>44672</v>
      </c>
      <c r="B908" s="107">
        <v>1029</v>
      </c>
      <c r="C908" s="107">
        <v>1016.35</v>
      </c>
      <c r="D908" s="107">
        <v>1003.3</v>
      </c>
      <c r="E908" s="107">
        <v>1026.9000000000001</v>
      </c>
      <c r="F908" s="107">
        <v>1016.35</v>
      </c>
      <c r="G908">
        <v>6696</v>
      </c>
      <c r="H908" s="107"/>
      <c r="I908" s="107"/>
      <c r="L908" s="148">
        <v>44672</v>
      </c>
      <c r="M908" s="107">
        <v>1018.65</v>
      </c>
      <c r="N908" s="107">
        <v>1031.25</v>
      </c>
      <c r="O908" s="107">
        <v>1002.45</v>
      </c>
      <c r="P908" s="107">
        <v>1031.25</v>
      </c>
      <c r="Q908" s="107">
        <v>1018.65</v>
      </c>
      <c r="R908">
        <v>78961</v>
      </c>
    </row>
    <row r="909" spans="1:18" x14ac:dyDescent="0.25">
      <c r="A909" s="148">
        <v>44673</v>
      </c>
      <c r="B909" s="107">
        <v>1028.95</v>
      </c>
      <c r="C909" s="107">
        <v>983.3</v>
      </c>
      <c r="D909" s="107">
        <v>962.1</v>
      </c>
      <c r="E909" s="107">
        <v>1009.5</v>
      </c>
      <c r="F909" s="107">
        <v>983.3</v>
      </c>
      <c r="G909">
        <v>21007</v>
      </c>
      <c r="H909" s="107"/>
      <c r="I909" s="107"/>
      <c r="L909" s="148">
        <v>44673</v>
      </c>
      <c r="M909" s="107">
        <v>983</v>
      </c>
      <c r="N909" s="107">
        <v>1027.95</v>
      </c>
      <c r="O909" s="107">
        <v>966</v>
      </c>
      <c r="P909" s="107">
        <v>1015.7</v>
      </c>
      <c r="Q909" s="107">
        <v>983</v>
      </c>
      <c r="R909">
        <v>104538</v>
      </c>
    </row>
    <row r="910" spans="1:18" x14ac:dyDescent="0.25">
      <c r="A910" s="148">
        <v>44676</v>
      </c>
      <c r="B910" s="107">
        <v>1003</v>
      </c>
      <c r="C910" s="107">
        <v>970.75</v>
      </c>
      <c r="D910" s="107">
        <v>951</v>
      </c>
      <c r="E910" s="107">
        <v>957</v>
      </c>
      <c r="F910" s="107">
        <v>970.75</v>
      </c>
      <c r="G910">
        <v>13241</v>
      </c>
      <c r="H910" s="107"/>
      <c r="I910" s="107"/>
      <c r="L910" s="148">
        <v>44676</v>
      </c>
      <c r="M910" s="107">
        <v>971.05</v>
      </c>
      <c r="N910" s="107">
        <v>1005</v>
      </c>
      <c r="O910" s="107">
        <v>943.7</v>
      </c>
      <c r="P910" s="107">
        <v>966.35</v>
      </c>
      <c r="Q910" s="107">
        <v>971.05</v>
      </c>
      <c r="R910">
        <v>120860</v>
      </c>
    </row>
    <row r="911" spans="1:18" x14ac:dyDescent="0.25">
      <c r="A911" s="148">
        <v>44677</v>
      </c>
      <c r="B911" s="107">
        <v>1004.2</v>
      </c>
      <c r="C911" s="107">
        <v>993.6</v>
      </c>
      <c r="D911" s="107">
        <v>980.6</v>
      </c>
      <c r="E911" s="107">
        <v>990</v>
      </c>
      <c r="F911" s="107">
        <v>993.6</v>
      </c>
      <c r="G911">
        <v>5168</v>
      </c>
      <c r="H911" s="107"/>
      <c r="I911" s="107"/>
      <c r="L911" s="148">
        <v>44677</v>
      </c>
      <c r="M911" s="107">
        <v>993.6</v>
      </c>
      <c r="N911" s="107">
        <v>1003.95</v>
      </c>
      <c r="O911" s="107">
        <v>979.25</v>
      </c>
      <c r="P911" s="107">
        <v>983.25</v>
      </c>
      <c r="Q911" s="107">
        <v>993.6</v>
      </c>
      <c r="R911">
        <v>112042</v>
      </c>
    </row>
    <row r="912" spans="1:18" x14ac:dyDescent="0.25">
      <c r="A912" s="148">
        <v>44678</v>
      </c>
      <c r="B912" s="107">
        <v>992.9</v>
      </c>
      <c r="C912" s="107">
        <v>965.7</v>
      </c>
      <c r="D912" s="107">
        <v>960.6</v>
      </c>
      <c r="E912" s="107">
        <v>987.6</v>
      </c>
      <c r="F912" s="107">
        <v>965.7</v>
      </c>
      <c r="G912">
        <v>3733</v>
      </c>
      <c r="H912" s="107"/>
      <c r="I912" s="107"/>
      <c r="L912" s="148">
        <v>44678</v>
      </c>
      <c r="M912" s="107">
        <v>967.85</v>
      </c>
      <c r="N912" s="107">
        <v>994.9</v>
      </c>
      <c r="O912" s="107">
        <v>959.8</v>
      </c>
      <c r="P912" s="107">
        <v>990</v>
      </c>
      <c r="Q912" s="107">
        <v>967.85</v>
      </c>
      <c r="R912">
        <v>60021</v>
      </c>
    </row>
    <row r="913" spans="1:18" x14ac:dyDescent="0.25">
      <c r="A913" s="148">
        <v>44679</v>
      </c>
      <c r="B913" s="107">
        <v>1090</v>
      </c>
      <c r="C913" s="107">
        <v>1045.6500000000001</v>
      </c>
      <c r="D913" s="107">
        <v>973.35</v>
      </c>
      <c r="E913" s="107">
        <v>973.35</v>
      </c>
      <c r="F913" s="107">
        <v>1045.6500000000001</v>
      </c>
      <c r="G913">
        <v>31444</v>
      </c>
      <c r="H913" s="107"/>
      <c r="I913" s="107"/>
      <c r="L913" s="148">
        <v>44679</v>
      </c>
      <c r="M913" s="107">
        <v>1044.3499999999999</v>
      </c>
      <c r="N913" s="107">
        <v>1091.1500000000001</v>
      </c>
      <c r="O913" s="107">
        <v>961.35</v>
      </c>
      <c r="P913" s="107">
        <v>961.35</v>
      </c>
      <c r="Q913" s="107">
        <v>1044.3499999999999</v>
      </c>
      <c r="R913">
        <v>798053</v>
      </c>
    </row>
    <row r="914" spans="1:18" x14ac:dyDescent="0.25">
      <c r="A914" s="148">
        <v>44680</v>
      </c>
      <c r="B914" s="107">
        <v>1046.3499999999999</v>
      </c>
      <c r="C914" s="107">
        <v>1032.5999999999999</v>
      </c>
      <c r="D914" s="107">
        <v>1002.05</v>
      </c>
      <c r="E914" s="107">
        <v>1045.6500000000001</v>
      </c>
      <c r="F914" s="107">
        <v>1032.5999999999999</v>
      </c>
      <c r="G914">
        <v>15521</v>
      </c>
      <c r="H914" s="107"/>
      <c r="I914" s="107"/>
      <c r="L914" s="148">
        <v>44680</v>
      </c>
      <c r="M914" s="107">
        <v>1036.2</v>
      </c>
      <c r="N914" s="107">
        <v>1048</v>
      </c>
      <c r="O914" s="107">
        <v>1002.05</v>
      </c>
      <c r="P914" s="107">
        <v>1045</v>
      </c>
      <c r="Q914" s="107">
        <v>1036.2</v>
      </c>
      <c r="R914">
        <v>308756</v>
      </c>
    </row>
    <row r="915" spans="1:18" x14ac:dyDescent="0.25">
      <c r="A915" s="148">
        <v>44683</v>
      </c>
      <c r="B915" s="107">
        <v>1056.4000000000001</v>
      </c>
      <c r="C915" s="107">
        <v>1034.0999999999999</v>
      </c>
      <c r="D915" s="107">
        <v>1022.85</v>
      </c>
      <c r="E915" s="107">
        <v>1032.5999999999999</v>
      </c>
      <c r="F915" s="107">
        <v>1034.0999999999999</v>
      </c>
      <c r="G915">
        <v>9596</v>
      </c>
      <c r="H915" s="107"/>
      <c r="I915" s="107"/>
      <c r="L915" s="148">
        <v>44683</v>
      </c>
      <c r="M915" s="107">
        <v>1035.4000000000001</v>
      </c>
      <c r="N915" s="107">
        <v>1057.05</v>
      </c>
      <c r="O915" s="107">
        <v>1022</v>
      </c>
      <c r="P915" s="107">
        <v>1035</v>
      </c>
      <c r="Q915" s="107">
        <v>1035.4000000000001</v>
      </c>
      <c r="R915">
        <v>127219</v>
      </c>
    </row>
    <row r="916" spans="1:18" x14ac:dyDescent="0.25">
      <c r="A916" s="148">
        <v>44685</v>
      </c>
      <c r="B916" s="107">
        <v>1051</v>
      </c>
      <c r="C916" s="107">
        <v>969.2</v>
      </c>
      <c r="D916" s="107">
        <v>937.25</v>
      </c>
      <c r="E916" s="107">
        <v>1051</v>
      </c>
      <c r="F916" s="107">
        <v>969.2</v>
      </c>
      <c r="G916">
        <v>15928</v>
      </c>
      <c r="H916" s="107"/>
      <c r="I916" s="107"/>
      <c r="L916" s="148">
        <v>44685</v>
      </c>
      <c r="M916" s="107">
        <v>967.7</v>
      </c>
      <c r="N916" s="107">
        <v>1055.4000000000001</v>
      </c>
      <c r="O916" s="107">
        <v>936</v>
      </c>
      <c r="P916" s="107">
        <v>1040.5999999999999</v>
      </c>
      <c r="Q916" s="107">
        <v>967.7</v>
      </c>
      <c r="R916">
        <v>181181</v>
      </c>
    </row>
    <row r="917" spans="1:18" x14ac:dyDescent="0.25">
      <c r="A917" s="148">
        <v>44686</v>
      </c>
      <c r="B917" s="107">
        <v>1024.3499999999999</v>
      </c>
      <c r="C917" s="107">
        <v>984.25</v>
      </c>
      <c r="D917" s="107">
        <v>966.95</v>
      </c>
      <c r="E917" s="107">
        <v>991</v>
      </c>
      <c r="F917" s="107">
        <v>984.25</v>
      </c>
      <c r="G917">
        <v>20517</v>
      </c>
      <c r="H917" s="107"/>
      <c r="I917" s="107"/>
      <c r="L917" s="148">
        <v>44686</v>
      </c>
      <c r="M917" s="107">
        <v>995.45</v>
      </c>
      <c r="N917" s="107">
        <v>1024.95</v>
      </c>
      <c r="O917" s="107">
        <v>967</v>
      </c>
      <c r="P917" s="107">
        <v>984.25</v>
      </c>
      <c r="Q917" s="107">
        <v>995.45</v>
      </c>
      <c r="R917">
        <v>258017</v>
      </c>
    </row>
    <row r="918" spans="1:18" x14ac:dyDescent="0.25">
      <c r="A918" s="148">
        <v>44687</v>
      </c>
      <c r="B918" s="107">
        <v>1000.5</v>
      </c>
      <c r="C918" s="107">
        <v>983.8</v>
      </c>
      <c r="D918" s="107">
        <v>961.65</v>
      </c>
      <c r="E918" s="107">
        <v>984.4</v>
      </c>
      <c r="F918" s="107">
        <v>983.8</v>
      </c>
      <c r="G918">
        <v>3783</v>
      </c>
      <c r="H918" s="107"/>
      <c r="I918" s="107"/>
      <c r="L918" s="148">
        <v>44687</v>
      </c>
      <c r="M918" s="107">
        <v>982.2</v>
      </c>
      <c r="N918" s="107">
        <v>997</v>
      </c>
      <c r="O918" s="107">
        <v>960.55</v>
      </c>
      <c r="P918" s="107">
        <v>980</v>
      </c>
      <c r="Q918" s="107">
        <v>982.2</v>
      </c>
      <c r="R918">
        <v>63051</v>
      </c>
    </row>
    <row r="919" spans="1:18" x14ac:dyDescent="0.25">
      <c r="A919" s="148">
        <v>44690</v>
      </c>
      <c r="B919" s="107">
        <v>988.35</v>
      </c>
      <c r="C919" s="107">
        <v>944.4</v>
      </c>
      <c r="D919" s="107">
        <v>908.85</v>
      </c>
      <c r="E919" s="107">
        <v>951.8</v>
      </c>
      <c r="F919" s="107">
        <v>944.4</v>
      </c>
      <c r="G919">
        <v>20819</v>
      </c>
      <c r="H919" s="107"/>
      <c r="I919" s="107"/>
      <c r="L919" s="148">
        <v>44690</v>
      </c>
      <c r="M919" s="107">
        <v>949.1</v>
      </c>
      <c r="N919" s="107">
        <v>988</v>
      </c>
      <c r="O919" s="107">
        <v>908.1</v>
      </c>
      <c r="P919" s="107">
        <v>962.25</v>
      </c>
      <c r="Q919" s="107">
        <v>949.1</v>
      </c>
      <c r="R919">
        <v>151220</v>
      </c>
    </row>
    <row r="920" spans="1:18" x14ac:dyDescent="0.25">
      <c r="A920" s="148">
        <v>44691</v>
      </c>
      <c r="B920" s="107">
        <v>971.15</v>
      </c>
      <c r="C920" s="107">
        <v>924.65</v>
      </c>
      <c r="D920" s="107">
        <v>906.05</v>
      </c>
      <c r="E920" s="107">
        <v>960.65</v>
      </c>
      <c r="F920" s="107">
        <v>924.65</v>
      </c>
      <c r="G920">
        <v>7217</v>
      </c>
      <c r="H920" s="107"/>
      <c r="I920" s="107"/>
      <c r="L920" s="148">
        <v>44691</v>
      </c>
      <c r="M920" s="107">
        <v>923.55</v>
      </c>
      <c r="N920" s="107">
        <v>971</v>
      </c>
      <c r="O920" s="107">
        <v>905.55</v>
      </c>
      <c r="P920" s="107">
        <v>947.15</v>
      </c>
      <c r="Q920" s="107">
        <v>923.55</v>
      </c>
      <c r="R920">
        <v>111836</v>
      </c>
    </row>
    <row r="921" spans="1:18" x14ac:dyDescent="0.25">
      <c r="A921" s="148">
        <v>44692</v>
      </c>
      <c r="B921" s="107">
        <v>955</v>
      </c>
      <c r="C921" s="107">
        <v>900.15</v>
      </c>
      <c r="D921" s="107">
        <v>884.5</v>
      </c>
      <c r="E921" s="107">
        <v>942.7</v>
      </c>
      <c r="F921" s="107">
        <v>900.15</v>
      </c>
      <c r="G921">
        <v>10499</v>
      </c>
      <c r="H921" s="107"/>
      <c r="I921" s="107"/>
      <c r="L921" s="148">
        <v>44692</v>
      </c>
      <c r="M921" s="107">
        <v>897</v>
      </c>
      <c r="N921" s="107">
        <v>955.45</v>
      </c>
      <c r="O921" s="107">
        <v>882.35</v>
      </c>
      <c r="P921" s="107">
        <v>930</v>
      </c>
      <c r="Q921" s="107">
        <v>897</v>
      </c>
      <c r="R921">
        <v>145414</v>
      </c>
    </row>
    <row r="922" spans="1:18" x14ac:dyDescent="0.25">
      <c r="A922" s="148">
        <v>44693</v>
      </c>
      <c r="B922" s="107">
        <v>907.3</v>
      </c>
      <c r="C922" s="107">
        <v>872.25</v>
      </c>
      <c r="D922" s="107">
        <v>850.55</v>
      </c>
      <c r="E922" s="107">
        <v>877</v>
      </c>
      <c r="F922" s="107">
        <v>872.25</v>
      </c>
      <c r="G922">
        <v>25432</v>
      </c>
      <c r="H922" s="107"/>
      <c r="I922" s="107"/>
      <c r="L922" s="148">
        <v>44693</v>
      </c>
      <c r="M922" s="107">
        <v>879.7</v>
      </c>
      <c r="N922" s="107">
        <v>915</v>
      </c>
      <c r="O922" s="107">
        <v>847</v>
      </c>
      <c r="P922" s="107">
        <v>884</v>
      </c>
      <c r="Q922" s="107">
        <v>879.7</v>
      </c>
      <c r="R922">
        <v>107439</v>
      </c>
    </row>
    <row r="923" spans="1:18" x14ac:dyDescent="0.25">
      <c r="A923" s="148">
        <v>44694</v>
      </c>
      <c r="B923" s="107">
        <v>972.3</v>
      </c>
      <c r="C923" s="107">
        <v>929.2</v>
      </c>
      <c r="D923" s="107">
        <v>895.7</v>
      </c>
      <c r="E923" s="107">
        <v>900</v>
      </c>
      <c r="F923" s="107">
        <v>929.2</v>
      </c>
      <c r="G923">
        <v>35478</v>
      </c>
      <c r="H923" s="107"/>
      <c r="I923" s="107"/>
      <c r="L923" s="148">
        <v>44694</v>
      </c>
      <c r="M923" s="107">
        <v>927.9</v>
      </c>
      <c r="N923" s="107">
        <v>973.15</v>
      </c>
      <c r="O923" s="107">
        <v>896</v>
      </c>
      <c r="P923" s="107">
        <v>927</v>
      </c>
      <c r="Q923" s="107">
        <v>927.9</v>
      </c>
      <c r="R923">
        <v>765012</v>
      </c>
    </row>
    <row r="924" spans="1:18" x14ac:dyDescent="0.25">
      <c r="A924" s="148">
        <v>44697</v>
      </c>
      <c r="B924" s="107">
        <v>997.9</v>
      </c>
      <c r="C924" s="107">
        <v>970.95</v>
      </c>
      <c r="D924" s="107">
        <v>914.75</v>
      </c>
      <c r="E924" s="107">
        <v>936</v>
      </c>
      <c r="F924" s="107">
        <v>970.95</v>
      </c>
      <c r="G924">
        <v>18803</v>
      </c>
      <c r="H924" s="107"/>
      <c r="I924" s="107"/>
      <c r="L924" s="148">
        <v>44697</v>
      </c>
      <c r="M924" s="107">
        <v>974.8</v>
      </c>
      <c r="N924" s="107">
        <v>997.85</v>
      </c>
      <c r="O924" s="107">
        <v>917.05</v>
      </c>
      <c r="P924" s="107">
        <v>930</v>
      </c>
      <c r="Q924" s="107">
        <v>974.8</v>
      </c>
      <c r="R924">
        <v>217570</v>
      </c>
    </row>
    <row r="925" spans="1:18" x14ac:dyDescent="0.25">
      <c r="A925" s="148">
        <v>44698</v>
      </c>
      <c r="B925" s="107">
        <v>1000</v>
      </c>
      <c r="C925" s="107">
        <v>992.65</v>
      </c>
      <c r="D925" s="107">
        <v>948.45</v>
      </c>
      <c r="E925" s="107">
        <v>961.05</v>
      </c>
      <c r="F925" s="107">
        <v>992.65</v>
      </c>
      <c r="G925">
        <v>11851</v>
      </c>
      <c r="H925" s="107"/>
      <c r="I925" s="107"/>
      <c r="L925" s="148">
        <v>44698</v>
      </c>
      <c r="M925" s="107">
        <v>991.65</v>
      </c>
      <c r="N925" s="107">
        <v>997.8</v>
      </c>
      <c r="O925" s="107">
        <v>950.3</v>
      </c>
      <c r="P925" s="107">
        <v>950.3</v>
      </c>
      <c r="Q925" s="107">
        <v>991.65</v>
      </c>
      <c r="R925">
        <v>131204</v>
      </c>
    </row>
    <row r="926" spans="1:18" x14ac:dyDescent="0.25">
      <c r="A926" s="148">
        <v>44699</v>
      </c>
      <c r="B926" s="107">
        <v>1038.3</v>
      </c>
      <c r="C926" s="107">
        <v>1017.1</v>
      </c>
      <c r="D926" s="107">
        <v>990</v>
      </c>
      <c r="E926" s="107">
        <v>993.95</v>
      </c>
      <c r="F926" s="107">
        <v>1017.1</v>
      </c>
      <c r="G926">
        <v>25897</v>
      </c>
      <c r="H926" s="107"/>
      <c r="I926" s="107"/>
      <c r="L926" s="148">
        <v>44699</v>
      </c>
      <c r="M926" s="107">
        <v>1014.4</v>
      </c>
      <c r="N926" s="107">
        <v>1038.8</v>
      </c>
      <c r="O926" s="107">
        <v>989.7</v>
      </c>
      <c r="P926" s="107">
        <v>996.7</v>
      </c>
      <c r="Q926" s="107">
        <v>1014.4</v>
      </c>
      <c r="R926">
        <v>174291</v>
      </c>
    </row>
    <row r="927" spans="1:18" x14ac:dyDescent="0.25">
      <c r="A927" s="148">
        <v>44700</v>
      </c>
      <c r="B927" s="107">
        <v>987.15</v>
      </c>
      <c r="C927" s="107">
        <v>962.7</v>
      </c>
      <c r="D927" s="107">
        <v>855</v>
      </c>
      <c r="E927" s="107">
        <v>855</v>
      </c>
      <c r="F927" s="107">
        <v>962.7</v>
      </c>
      <c r="G927">
        <v>18905</v>
      </c>
      <c r="H927" s="107"/>
      <c r="I927" s="107"/>
      <c r="L927" s="148">
        <v>44700</v>
      </c>
      <c r="M927" s="107">
        <v>961.8</v>
      </c>
      <c r="N927" s="107">
        <v>987.75</v>
      </c>
      <c r="O927" s="107">
        <v>955</v>
      </c>
      <c r="P927" s="107">
        <v>970.25</v>
      </c>
      <c r="Q927" s="107">
        <v>961.8</v>
      </c>
      <c r="R927">
        <v>102603</v>
      </c>
    </row>
    <row r="928" spans="1:18" x14ac:dyDescent="0.25">
      <c r="A928" s="148">
        <v>44701</v>
      </c>
      <c r="B928" s="107">
        <v>1019</v>
      </c>
      <c r="C928" s="107">
        <v>999.45</v>
      </c>
      <c r="D928" s="107">
        <v>965</v>
      </c>
      <c r="E928" s="107">
        <v>965</v>
      </c>
      <c r="F928" s="107">
        <v>999.45</v>
      </c>
      <c r="G928">
        <v>10784</v>
      </c>
      <c r="H928" s="107"/>
      <c r="I928" s="107"/>
      <c r="L928" s="148">
        <v>44701</v>
      </c>
      <c r="M928" s="107">
        <v>999.95</v>
      </c>
      <c r="N928" s="107">
        <v>1020</v>
      </c>
      <c r="O928" s="107">
        <v>971.85</v>
      </c>
      <c r="P928" s="107">
        <v>974</v>
      </c>
      <c r="Q928" s="107">
        <v>999.95</v>
      </c>
      <c r="R928">
        <v>209494</v>
      </c>
    </row>
    <row r="929" spans="1:18" x14ac:dyDescent="0.25">
      <c r="A929" s="148">
        <v>44704</v>
      </c>
      <c r="B929" s="107">
        <v>1016.35</v>
      </c>
      <c r="C929" s="107">
        <v>980.8</v>
      </c>
      <c r="D929" s="107">
        <v>966.15</v>
      </c>
      <c r="E929" s="107">
        <v>1009.6</v>
      </c>
      <c r="F929" s="107">
        <v>980.8</v>
      </c>
      <c r="G929">
        <v>8130</v>
      </c>
      <c r="H929" s="107"/>
      <c r="I929" s="107"/>
      <c r="L929" s="148">
        <v>44704</v>
      </c>
      <c r="M929" s="107">
        <v>979.65</v>
      </c>
      <c r="N929" s="107">
        <v>1016.7</v>
      </c>
      <c r="O929" s="107">
        <v>966.55</v>
      </c>
      <c r="P929" s="107">
        <v>992</v>
      </c>
      <c r="Q929" s="107">
        <v>979.65</v>
      </c>
      <c r="R929">
        <v>120517</v>
      </c>
    </row>
    <row r="930" spans="1:18" x14ac:dyDescent="0.25">
      <c r="A930" s="148">
        <v>44705</v>
      </c>
      <c r="B930" s="107">
        <v>1012.9</v>
      </c>
      <c r="C930" s="107">
        <v>938.9</v>
      </c>
      <c r="D930" s="107">
        <v>919.25</v>
      </c>
      <c r="E930" s="107">
        <v>982.35</v>
      </c>
      <c r="F930" s="107">
        <v>938.9</v>
      </c>
      <c r="G930">
        <v>12291</v>
      </c>
      <c r="H930" s="107"/>
      <c r="I930" s="107"/>
      <c r="L930" s="148">
        <v>44705</v>
      </c>
      <c r="M930" s="107">
        <v>938.35</v>
      </c>
      <c r="N930" s="107">
        <v>1014</v>
      </c>
      <c r="O930" s="107">
        <v>918.4</v>
      </c>
      <c r="P930" s="107">
        <v>979.95</v>
      </c>
      <c r="Q930" s="107">
        <v>938.35</v>
      </c>
      <c r="R930">
        <v>255060</v>
      </c>
    </row>
    <row r="931" spans="1:18" x14ac:dyDescent="0.25">
      <c r="A931" s="148">
        <v>44706</v>
      </c>
      <c r="B931" s="107">
        <v>963.65</v>
      </c>
      <c r="C931" s="107">
        <v>938.75</v>
      </c>
      <c r="D931" s="107">
        <v>915.25</v>
      </c>
      <c r="E931" s="107">
        <v>947.3</v>
      </c>
      <c r="F931" s="107">
        <v>938.75</v>
      </c>
      <c r="G931">
        <v>10143</v>
      </c>
      <c r="H931" s="107"/>
      <c r="I931" s="107"/>
      <c r="L931" s="148">
        <v>44706</v>
      </c>
      <c r="M931" s="107">
        <v>940.65</v>
      </c>
      <c r="N931" s="107">
        <v>964.95</v>
      </c>
      <c r="O931" s="107">
        <v>914.65</v>
      </c>
      <c r="P931" s="107">
        <v>947.9</v>
      </c>
      <c r="Q931" s="107">
        <v>940.65</v>
      </c>
      <c r="R931">
        <v>179977</v>
      </c>
    </row>
    <row r="932" spans="1:18" x14ac:dyDescent="0.25">
      <c r="A932" s="148">
        <v>44707</v>
      </c>
      <c r="B932" s="107">
        <v>984.8</v>
      </c>
      <c r="C932" s="107">
        <v>978.4</v>
      </c>
      <c r="D932" s="107">
        <v>896.9</v>
      </c>
      <c r="E932" s="107">
        <v>939.6</v>
      </c>
      <c r="F932" s="107">
        <v>978.4</v>
      </c>
      <c r="G932">
        <v>17428</v>
      </c>
      <c r="H932" s="107"/>
      <c r="I932" s="107"/>
      <c r="L932" s="148">
        <v>44707</v>
      </c>
      <c r="M932" s="107">
        <v>979.5</v>
      </c>
      <c r="N932" s="107">
        <v>986</v>
      </c>
      <c r="O932" s="107">
        <v>895.4</v>
      </c>
      <c r="P932" s="107">
        <v>943.6</v>
      </c>
      <c r="Q932" s="107">
        <v>979.5</v>
      </c>
      <c r="R932">
        <v>382262</v>
      </c>
    </row>
    <row r="933" spans="1:18" x14ac:dyDescent="0.25">
      <c r="A933" s="148">
        <v>44708</v>
      </c>
      <c r="B933" s="107">
        <v>990.75</v>
      </c>
      <c r="C933" s="107">
        <v>980.2</v>
      </c>
      <c r="D933" s="107">
        <v>964.7</v>
      </c>
      <c r="E933" s="107">
        <v>987.7</v>
      </c>
      <c r="F933" s="107">
        <v>980.2</v>
      </c>
      <c r="G933">
        <v>7632</v>
      </c>
      <c r="H933" s="107"/>
      <c r="I933" s="107"/>
      <c r="L933" s="148">
        <v>44708</v>
      </c>
      <c r="M933" s="107">
        <v>980.95</v>
      </c>
      <c r="N933" s="107">
        <v>990</v>
      </c>
      <c r="O933" s="107">
        <v>964.25</v>
      </c>
      <c r="P933" s="107">
        <v>984.4</v>
      </c>
      <c r="Q933" s="107">
        <v>980.95</v>
      </c>
      <c r="R933">
        <v>84507</v>
      </c>
    </row>
    <row r="934" spans="1:18" x14ac:dyDescent="0.25">
      <c r="A934" s="148">
        <v>44711</v>
      </c>
      <c r="B934" s="107">
        <v>1073.6500000000001</v>
      </c>
      <c r="C934" s="107">
        <v>1018.9</v>
      </c>
      <c r="D934" s="107">
        <v>996.35</v>
      </c>
      <c r="E934" s="107">
        <v>998.85</v>
      </c>
      <c r="F934" s="107">
        <v>1018.9</v>
      </c>
      <c r="G934">
        <v>20828</v>
      </c>
      <c r="H934" s="107"/>
      <c r="I934" s="107"/>
      <c r="L934" s="148">
        <v>44711</v>
      </c>
      <c r="M934" s="107">
        <v>1019.8</v>
      </c>
      <c r="N934" s="107">
        <v>1072.9000000000001</v>
      </c>
      <c r="O934" s="107">
        <v>991</v>
      </c>
      <c r="P934" s="107">
        <v>994.9</v>
      </c>
      <c r="Q934" s="107">
        <v>1019.8</v>
      </c>
      <c r="R934">
        <v>551799</v>
      </c>
    </row>
    <row r="935" spans="1:18" x14ac:dyDescent="0.25">
      <c r="A935" s="148">
        <v>44712</v>
      </c>
      <c r="B935" s="107">
        <v>1128.3</v>
      </c>
      <c r="C935" s="107">
        <v>1072.0999999999999</v>
      </c>
      <c r="D935" s="107">
        <v>1005</v>
      </c>
      <c r="E935" s="107">
        <v>1025</v>
      </c>
      <c r="F935" s="107">
        <v>1072.0999999999999</v>
      </c>
      <c r="G935">
        <v>21485</v>
      </c>
      <c r="H935" s="107"/>
      <c r="I935" s="107"/>
      <c r="L935" s="148">
        <v>44712</v>
      </c>
      <c r="M935" s="107">
        <v>1071.5</v>
      </c>
      <c r="N935" s="107">
        <v>1129.3</v>
      </c>
      <c r="O935" s="107">
        <v>1004.4</v>
      </c>
      <c r="P935" s="107">
        <v>1030.2</v>
      </c>
      <c r="Q935" s="107">
        <v>1071.5</v>
      </c>
      <c r="R935">
        <v>793599</v>
      </c>
    </row>
    <row r="936" spans="1:18" x14ac:dyDescent="0.25">
      <c r="A936" s="148">
        <v>44713</v>
      </c>
      <c r="B936" s="107">
        <v>1108.5999999999999</v>
      </c>
      <c r="C936" s="107">
        <v>1074.05</v>
      </c>
      <c r="D936" s="107">
        <v>1063.5999999999999</v>
      </c>
      <c r="E936" s="107">
        <v>1072</v>
      </c>
      <c r="F936" s="107">
        <v>1074.05</v>
      </c>
      <c r="G936">
        <v>12656</v>
      </c>
      <c r="H936" s="107"/>
      <c r="I936" s="107"/>
      <c r="L936" s="148">
        <v>44713</v>
      </c>
      <c r="M936" s="107">
        <v>1072.2</v>
      </c>
      <c r="N936" s="107">
        <v>1109.2</v>
      </c>
      <c r="O936" s="107">
        <v>1061.2</v>
      </c>
      <c r="P936" s="107">
        <v>1081.8</v>
      </c>
      <c r="Q936" s="107">
        <v>1072.2</v>
      </c>
      <c r="R936">
        <v>183795</v>
      </c>
    </row>
    <row r="937" spans="1:18" x14ac:dyDescent="0.25">
      <c r="A937" s="148">
        <v>44714</v>
      </c>
      <c r="B937" s="107">
        <v>1154.3499999999999</v>
      </c>
      <c r="C937" s="107">
        <v>1068.6500000000001</v>
      </c>
      <c r="D937" s="107">
        <v>1060.4000000000001</v>
      </c>
      <c r="E937" s="107">
        <v>1074.05</v>
      </c>
      <c r="F937" s="107">
        <v>1068.6500000000001</v>
      </c>
      <c r="G937">
        <v>39832</v>
      </c>
      <c r="H937" s="107"/>
      <c r="I937" s="107"/>
      <c r="L937" s="148">
        <v>44714</v>
      </c>
      <c r="M937" s="107">
        <v>1068.3</v>
      </c>
      <c r="N937" s="107">
        <v>1154</v>
      </c>
      <c r="O937" s="107">
        <v>1050</v>
      </c>
      <c r="P937" s="107">
        <v>1074.95</v>
      </c>
      <c r="Q937" s="107">
        <v>1068.3</v>
      </c>
      <c r="R937">
        <v>681530</v>
      </c>
    </row>
    <row r="938" spans="1:18" x14ac:dyDescent="0.25">
      <c r="A938" s="148">
        <v>44715</v>
      </c>
      <c r="B938" s="107">
        <v>1112.8499999999999</v>
      </c>
      <c r="C938" s="107">
        <v>1081.05</v>
      </c>
      <c r="D938" s="107">
        <v>1047.25</v>
      </c>
      <c r="E938" s="107">
        <v>1086</v>
      </c>
      <c r="F938" s="107">
        <v>1081.05</v>
      </c>
      <c r="G938">
        <v>29047</v>
      </c>
      <c r="H938" s="107"/>
      <c r="I938" s="107"/>
      <c r="L938" s="148">
        <v>44715</v>
      </c>
      <c r="M938" s="107">
        <v>1081.05</v>
      </c>
      <c r="N938" s="107">
        <v>1114</v>
      </c>
      <c r="O938" s="107">
        <v>1047</v>
      </c>
      <c r="P938" s="107">
        <v>1078</v>
      </c>
      <c r="Q938" s="107">
        <v>1081.05</v>
      </c>
      <c r="R938">
        <v>426944</v>
      </c>
    </row>
    <row r="939" spans="1:18" x14ac:dyDescent="0.25">
      <c r="A939" s="148">
        <v>44718</v>
      </c>
      <c r="B939" s="107">
        <v>1091.45</v>
      </c>
      <c r="C939" s="107">
        <v>1076</v>
      </c>
      <c r="D939" s="107">
        <v>1043.25</v>
      </c>
      <c r="E939" s="107">
        <v>1061.7</v>
      </c>
      <c r="F939" s="107">
        <v>1076</v>
      </c>
      <c r="G939">
        <v>10568</v>
      </c>
      <c r="H939" s="107"/>
      <c r="I939" s="107"/>
      <c r="L939" s="148">
        <v>44718</v>
      </c>
      <c r="M939" s="107">
        <v>1074.45</v>
      </c>
      <c r="N939" s="107">
        <v>1089.9000000000001</v>
      </c>
      <c r="O939" s="107">
        <v>1043.5999999999999</v>
      </c>
      <c r="P939" s="107">
        <v>1081</v>
      </c>
      <c r="Q939" s="107">
        <v>1074.45</v>
      </c>
      <c r="R939">
        <v>172789</v>
      </c>
    </row>
    <row r="940" spans="1:18" x14ac:dyDescent="0.25">
      <c r="A940" s="148">
        <v>44719</v>
      </c>
      <c r="B940" s="107">
        <v>1100</v>
      </c>
      <c r="C940" s="107">
        <v>1084.3</v>
      </c>
      <c r="D940" s="107">
        <v>1047.0999999999999</v>
      </c>
      <c r="E940" s="107">
        <v>1067.5999999999999</v>
      </c>
      <c r="F940" s="107">
        <v>1084.3</v>
      </c>
      <c r="G940">
        <v>15341</v>
      </c>
      <c r="H940" s="107"/>
      <c r="I940" s="107"/>
      <c r="L940" s="148">
        <v>44719</v>
      </c>
      <c r="M940" s="107">
        <v>1081</v>
      </c>
      <c r="N940" s="107">
        <v>1101.4000000000001</v>
      </c>
      <c r="O940" s="107">
        <v>1048</v>
      </c>
      <c r="P940" s="107">
        <v>1080</v>
      </c>
      <c r="Q940" s="107">
        <v>1081</v>
      </c>
      <c r="R940">
        <v>176330</v>
      </c>
    </row>
    <row r="941" spans="1:18" x14ac:dyDescent="0.25">
      <c r="A941" s="148">
        <v>44720</v>
      </c>
      <c r="B941" s="107">
        <v>1133</v>
      </c>
      <c r="C941" s="107">
        <v>1084.95</v>
      </c>
      <c r="D941" s="107">
        <v>1075.1500000000001</v>
      </c>
      <c r="E941" s="107">
        <v>1089.5</v>
      </c>
      <c r="F941" s="107">
        <v>1084.95</v>
      </c>
      <c r="G941">
        <v>17397</v>
      </c>
      <c r="H941" s="107"/>
      <c r="I941" s="107"/>
      <c r="L941" s="148">
        <v>44720</v>
      </c>
      <c r="M941" s="107">
        <v>1085.2</v>
      </c>
      <c r="N941" s="107">
        <v>1133.8</v>
      </c>
      <c r="O941" s="107">
        <v>1074</v>
      </c>
      <c r="P941" s="107">
        <v>1086.05</v>
      </c>
      <c r="Q941" s="107">
        <v>1085.2</v>
      </c>
      <c r="R941">
        <v>276148</v>
      </c>
    </row>
    <row r="942" spans="1:18" x14ac:dyDescent="0.25">
      <c r="A942" s="148">
        <v>44721</v>
      </c>
      <c r="B942" s="107">
        <v>1099.4000000000001</v>
      </c>
      <c r="C942" s="107">
        <v>1087.2</v>
      </c>
      <c r="D942" s="107">
        <v>1061.05</v>
      </c>
      <c r="E942" s="107">
        <v>1085</v>
      </c>
      <c r="F942" s="107">
        <v>1087.2</v>
      </c>
      <c r="G942">
        <v>6743</v>
      </c>
      <c r="H942" s="107"/>
      <c r="I942" s="107"/>
      <c r="L942" s="148">
        <v>44721</v>
      </c>
      <c r="M942" s="107">
        <v>1087</v>
      </c>
      <c r="N942" s="107">
        <v>1099</v>
      </c>
      <c r="O942" s="107">
        <v>1060.25</v>
      </c>
      <c r="P942" s="107">
        <v>1070</v>
      </c>
      <c r="Q942" s="107">
        <v>1087</v>
      </c>
      <c r="R942">
        <v>184005</v>
      </c>
    </row>
    <row r="943" spans="1:18" x14ac:dyDescent="0.25">
      <c r="A943" s="148">
        <v>44722</v>
      </c>
      <c r="B943" s="107">
        <v>1093.9000000000001</v>
      </c>
      <c r="C943" s="107">
        <v>1072.95</v>
      </c>
      <c r="D943" s="107">
        <v>1060</v>
      </c>
      <c r="E943" s="107">
        <v>1089.8499999999999</v>
      </c>
      <c r="F943" s="107">
        <v>1072.95</v>
      </c>
      <c r="G943">
        <v>9552</v>
      </c>
      <c r="H943" s="107"/>
      <c r="I943" s="107"/>
      <c r="L943" s="148">
        <v>44722</v>
      </c>
      <c r="M943" s="107">
        <v>1072.3499999999999</v>
      </c>
      <c r="N943" s="107">
        <v>1093.45</v>
      </c>
      <c r="O943" s="107">
        <v>1062.2</v>
      </c>
      <c r="P943" s="107">
        <v>1070.0999999999999</v>
      </c>
      <c r="Q943" s="107">
        <v>1072.3499999999999</v>
      </c>
      <c r="R943">
        <v>87963</v>
      </c>
    </row>
    <row r="944" spans="1:18" x14ac:dyDescent="0.25">
      <c r="A944" s="148">
        <v>44725</v>
      </c>
      <c r="B944" s="107">
        <v>1061</v>
      </c>
      <c r="C944" s="107">
        <v>1024.05</v>
      </c>
      <c r="D944" s="107">
        <v>1010.6</v>
      </c>
      <c r="E944" s="107">
        <v>1045.05</v>
      </c>
      <c r="F944" s="107">
        <v>1024.05</v>
      </c>
      <c r="G944">
        <v>16748</v>
      </c>
      <c r="H944" s="107"/>
      <c r="I944" s="107"/>
      <c r="L944" s="148">
        <v>44725</v>
      </c>
      <c r="M944" s="107">
        <v>1026.4000000000001</v>
      </c>
      <c r="N944" s="107">
        <v>1061.55</v>
      </c>
      <c r="O944" s="107">
        <v>1009.05</v>
      </c>
      <c r="P944" s="107">
        <v>1051.95</v>
      </c>
      <c r="Q944" s="107">
        <v>1026.4000000000001</v>
      </c>
      <c r="R944">
        <v>117945</v>
      </c>
    </row>
    <row r="945" spans="1:18" x14ac:dyDescent="0.25">
      <c r="A945" s="148">
        <v>44726</v>
      </c>
      <c r="B945" s="107">
        <v>1073</v>
      </c>
      <c r="C945" s="107">
        <v>1056.75</v>
      </c>
      <c r="D945" s="107">
        <v>996</v>
      </c>
      <c r="E945" s="107">
        <v>996</v>
      </c>
      <c r="F945" s="107">
        <v>1056.75</v>
      </c>
      <c r="G945">
        <v>8391</v>
      </c>
      <c r="H945" s="107"/>
      <c r="I945" s="107"/>
      <c r="L945" s="148">
        <v>44726</v>
      </c>
      <c r="M945" s="107">
        <v>1055.6500000000001</v>
      </c>
      <c r="N945" s="107">
        <v>1074</v>
      </c>
      <c r="O945" s="107">
        <v>996.35</v>
      </c>
      <c r="P945" s="107">
        <v>996.35</v>
      </c>
      <c r="Q945" s="107">
        <v>1055.6500000000001</v>
      </c>
      <c r="R945">
        <v>195536</v>
      </c>
    </row>
    <row r="946" spans="1:18" x14ac:dyDescent="0.25">
      <c r="A946" s="148">
        <v>44727</v>
      </c>
      <c r="B946" s="107">
        <v>1076.6500000000001</v>
      </c>
      <c r="C946" s="107">
        <v>1061.5</v>
      </c>
      <c r="D946" s="107">
        <v>1052.2</v>
      </c>
      <c r="E946" s="107">
        <v>1076</v>
      </c>
      <c r="F946" s="107">
        <v>1061.5</v>
      </c>
      <c r="G946">
        <v>3361</v>
      </c>
      <c r="H946" s="107"/>
      <c r="I946" s="107"/>
      <c r="L946" s="148">
        <v>44727</v>
      </c>
      <c r="M946" s="107">
        <v>1063.0999999999999</v>
      </c>
      <c r="N946" s="107">
        <v>1076.75</v>
      </c>
      <c r="O946" s="107">
        <v>1053</v>
      </c>
      <c r="P946" s="107">
        <v>1064.25</v>
      </c>
      <c r="Q946" s="107">
        <v>1063.0999999999999</v>
      </c>
      <c r="R946">
        <v>59645</v>
      </c>
    </row>
    <row r="947" spans="1:18" x14ac:dyDescent="0.25">
      <c r="A947" s="148">
        <v>44728</v>
      </c>
      <c r="B947" s="107">
        <v>1082.0999999999999</v>
      </c>
      <c r="C947" s="107">
        <v>1015.9</v>
      </c>
      <c r="D947" s="107">
        <v>1006.65</v>
      </c>
      <c r="E947" s="107">
        <v>1071.5999999999999</v>
      </c>
      <c r="F947" s="107">
        <v>1015.9</v>
      </c>
      <c r="G947">
        <v>6107</v>
      </c>
      <c r="H947" s="107"/>
      <c r="I947" s="107"/>
      <c r="L947" s="148">
        <v>44728</v>
      </c>
      <c r="M947" s="107">
        <v>1015.75</v>
      </c>
      <c r="N947" s="107">
        <v>1083.9000000000001</v>
      </c>
      <c r="O947" s="107">
        <v>1006.55</v>
      </c>
      <c r="P947" s="107">
        <v>1069.8</v>
      </c>
      <c r="Q947" s="107">
        <v>1015.75</v>
      </c>
      <c r="R947">
        <v>117245</v>
      </c>
    </row>
    <row r="948" spans="1:18" x14ac:dyDescent="0.25">
      <c r="A948" s="148">
        <v>44729</v>
      </c>
      <c r="B948" s="107">
        <v>1026.7</v>
      </c>
      <c r="C948" s="107">
        <v>949</v>
      </c>
      <c r="D948" s="107">
        <v>936.25</v>
      </c>
      <c r="E948" s="107">
        <v>1007.65</v>
      </c>
      <c r="F948" s="107">
        <v>949</v>
      </c>
      <c r="G948">
        <v>16196</v>
      </c>
      <c r="H948" s="107"/>
      <c r="I948" s="107"/>
      <c r="L948" s="148">
        <v>44729</v>
      </c>
      <c r="M948" s="107">
        <v>954.3</v>
      </c>
      <c r="N948" s="107">
        <v>1027.8</v>
      </c>
      <c r="O948" s="107">
        <v>945</v>
      </c>
      <c r="P948" s="107">
        <v>1008</v>
      </c>
      <c r="Q948" s="107">
        <v>954.3</v>
      </c>
      <c r="R948">
        <v>159977</v>
      </c>
    </row>
    <row r="949" spans="1:18" x14ac:dyDescent="0.25">
      <c r="A949" s="148">
        <v>44732</v>
      </c>
      <c r="B949" s="107">
        <v>979.2</v>
      </c>
      <c r="C949" s="107">
        <v>885.5</v>
      </c>
      <c r="D949" s="107">
        <v>877.4</v>
      </c>
      <c r="E949" s="107">
        <v>979.2</v>
      </c>
      <c r="F949" s="107">
        <v>885.5</v>
      </c>
      <c r="G949">
        <v>8844</v>
      </c>
      <c r="H949" s="107"/>
      <c r="I949" s="107"/>
      <c r="L949" s="148">
        <v>44732</v>
      </c>
      <c r="M949" s="107">
        <v>890.5</v>
      </c>
      <c r="N949" s="107">
        <v>963.75</v>
      </c>
      <c r="O949" s="107">
        <v>875.05</v>
      </c>
      <c r="P949" s="107">
        <v>963.4</v>
      </c>
      <c r="Q949" s="107">
        <v>890.5</v>
      </c>
      <c r="R949">
        <v>125927</v>
      </c>
    </row>
    <row r="950" spans="1:18" x14ac:dyDescent="0.25">
      <c r="A950" s="148">
        <v>44733</v>
      </c>
      <c r="B950" s="107">
        <v>944.9</v>
      </c>
      <c r="C950" s="107">
        <v>913.05</v>
      </c>
      <c r="D950" s="107">
        <v>895</v>
      </c>
      <c r="E950" s="107">
        <v>902.15</v>
      </c>
      <c r="F950" s="107">
        <v>913.05</v>
      </c>
      <c r="G950">
        <v>3619</v>
      </c>
      <c r="H950" s="107"/>
      <c r="I950" s="107"/>
      <c r="L950" s="148">
        <v>44733</v>
      </c>
      <c r="M950" s="107">
        <v>911.6</v>
      </c>
      <c r="N950" s="107">
        <v>946.15</v>
      </c>
      <c r="O950" s="107">
        <v>893.9</v>
      </c>
      <c r="P950" s="107">
        <v>895</v>
      </c>
      <c r="Q950" s="107">
        <v>911.6</v>
      </c>
      <c r="R950">
        <v>91396</v>
      </c>
    </row>
    <row r="951" spans="1:18" x14ac:dyDescent="0.25">
      <c r="A951" s="148">
        <v>44734</v>
      </c>
      <c r="B951" s="107">
        <v>911.8</v>
      </c>
      <c r="C951" s="107">
        <v>890.6</v>
      </c>
      <c r="D951" s="107">
        <v>880.25</v>
      </c>
      <c r="E951" s="107">
        <v>911.8</v>
      </c>
      <c r="F951" s="107">
        <v>890.6</v>
      </c>
      <c r="G951">
        <v>7579</v>
      </c>
      <c r="H951" s="107"/>
      <c r="I951" s="107"/>
      <c r="L951" s="148">
        <v>44734</v>
      </c>
      <c r="M951" s="107">
        <v>891.8</v>
      </c>
      <c r="N951" s="107">
        <v>916.95</v>
      </c>
      <c r="O951" s="107">
        <v>880.1</v>
      </c>
      <c r="P951" s="107">
        <v>916.2</v>
      </c>
      <c r="Q951" s="107">
        <v>891.8</v>
      </c>
      <c r="R951">
        <v>115904</v>
      </c>
    </row>
    <row r="952" spans="1:18" x14ac:dyDescent="0.25">
      <c r="A952" s="148">
        <v>44735</v>
      </c>
      <c r="B952" s="107">
        <v>943.25</v>
      </c>
      <c r="C952" s="107">
        <v>924.35</v>
      </c>
      <c r="D952" s="107">
        <v>888.5</v>
      </c>
      <c r="E952" s="107">
        <v>888.5</v>
      </c>
      <c r="F952" s="107">
        <v>924.35</v>
      </c>
      <c r="G952">
        <v>6489</v>
      </c>
      <c r="H952" s="107"/>
      <c r="I952" s="107"/>
      <c r="L952" s="148">
        <v>44735</v>
      </c>
      <c r="M952" s="107">
        <v>925.35</v>
      </c>
      <c r="N952" s="107">
        <v>945.6</v>
      </c>
      <c r="O952" s="107">
        <v>897.25</v>
      </c>
      <c r="P952" s="107">
        <v>900.15</v>
      </c>
      <c r="Q952" s="107">
        <v>925.35</v>
      </c>
      <c r="R952">
        <v>571761</v>
      </c>
    </row>
    <row r="953" spans="1:18" x14ac:dyDescent="0.25">
      <c r="A953" s="148">
        <v>44736</v>
      </c>
      <c r="B953" s="107">
        <v>958</v>
      </c>
      <c r="C953" s="107">
        <v>948.7</v>
      </c>
      <c r="D953" s="107">
        <v>942.25</v>
      </c>
      <c r="E953" s="107">
        <v>945.3</v>
      </c>
      <c r="F953" s="107">
        <v>948.7</v>
      </c>
      <c r="G953">
        <v>3499</v>
      </c>
      <c r="H953" s="107"/>
      <c r="I953" s="107"/>
      <c r="L953" s="148">
        <v>44736</v>
      </c>
      <c r="M953" s="107">
        <v>950</v>
      </c>
      <c r="N953" s="107">
        <v>958</v>
      </c>
      <c r="O953" s="107">
        <v>935</v>
      </c>
      <c r="P953" s="107">
        <v>935</v>
      </c>
      <c r="Q953" s="107">
        <v>950</v>
      </c>
      <c r="R953">
        <v>95858</v>
      </c>
    </row>
    <row r="954" spans="1:18" x14ac:dyDescent="0.25">
      <c r="A954" s="148">
        <v>44739</v>
      </c>
      <c r="B954" s="107">
        <v>1011.55</v>
      </c>
      <c r="C954" s="107">
        <v>1003.9</v>
      </c>
      <c r="D954" s="107">
        <v>936.5</v>
      </c>
      <c r="E954" s="107">
        <v>960.3</v>
      </c>
      <c r="F954" s="107">
        <v>1003.9</v>
      </c>
      <c r="G954">
        <v>10224</v>
      </c>
      <c r="H954" s="107"/>
      <c r="I954" s="107"/>
      <c r="L954" s="148">
        <v>44739</v>
      </c>
      <c r="M954" s="107">
        <v>1002.5</v>
      </c>
      <c r="N954" s="107">
        <v>1010</v>
      </c>
      <c r="O954" s="107">
        <v>937</v>
      </c>
      <c r="P954" s="107">
        <v>958.6</v>
      </c>
      <c r="Q954" s="107">
        <v>1002.5</v>
      </c>
      <c r="R954">
        <v>221979</v>
      </c>
    </row>
    <row r="955" spans="1:18" x14ac:dyDescent="0.25">
      <c r="A955" s="148">
        <v>44740</v>
      </c>
      <c r="B955" s="107">
        <v>1027</v>
      </c>
      <c r="C955" s="107">
        <v>1004.1</v>
      </c>
      <c r="D955" s="107">
        <v>985</v>
      </c>
      <c r="E955" s="107">
        <v>1009.15</v>
      </c>
      <c r="F955" s="107">
        <v>1004.1</v>
      </c>
      <c r="G955">
        <v>7626</v>
      </c>
      <c r="H955" s="107"/>
      <c r="I955" s="107"/>
      <c r="L955" s="148">
        <v>44740</v>
      </c>
      <c r="M955" s="107">
        <v>1004.5</v>
      </c>
      <c r="N955" s="107">
        <v>1027.75</v>
      </c>
      <c r="O955" s="107">
        <v>983.05</v>
      </c>
      <c r="P955" s="107">
        <v>1010</v>
      </c>
      <c r="Q955" s="107">
        <v>1004.5</v>
      </c>
      <c r="R955">
        <v>149236</v>
      </c>
    </row>
    <row r="956" spans="1:18" x14ac:dyDescent="0.25">
      <c r="A956" s="148">
        <v>44741</v>
      </c>
      <c r="B956" s="107">
        <v>1035</v>
      </c>
      <c r="C956" s="107">
        <v>1022.3</v>
      </c>
      <c r="D956" s="107">
        <v>988.65</v>
      </c>
      <c r="E956" s="107">
        <v>995</v>
      </c>
      <c r="F956" s="107">
        <v>1022.3</v>
      </c>
      <c r="G956">
        <v>4263</v>
      </c>
      <c r="H956" s="107"/>
      <c r="I956" s="107"/>
      <c r="L956" s="148">
        <v>44741</v>
      </c>
      <c r="M956" s="107">
        <v>1023.3</v>
      </c>
      <c r="N956" s="107">
        <v>1035.05</v>
      </c>
      <c r="O956" s="107">
        <v>987.25</v>
      </c>
      <c r="P956" s="107">
        <v>995</v>
      </c>
      <c r="Q956" s="107">
        <v>1023.3</v>
      </c>
      <c r="R956">
        <v>50611</v>
      </c>
    </row>
    <row r="957" spans="1:18" x14ac:dyDescent="0.25">
      <c r="A957" s="148">
        <v>44742</v>
      </c>
      <c r="B957" s="107">
        <v>1048.4000000000001</v>
      </c>
      <c r="C957" s="107">
        <v>1016.35</v>
      </c>
      <c r="D957" s="107">
        <v>1000.1</v>
      </c>
      <c r="E957" s="107">
        <v>1031.8499999999999</v>
      </c>
      <c r="F957" s="107">
        <v>1016.35</v>
      </c>
      <c r="G957">
        <v>5503</v>
      </c>
      <c r="H957" s="107"/>
      <c r="I957" s="107"/>
      <c r="L957" s="148">
        <v>44742</v>
      </c>
      <c r="M957" s="107">
        <v>1015.8</v>
      </c>
      <c r="N957" s="107">
        <v>1044.75</v>
      </c>
      <c r="O957" s="107">
        <v>1000</v>
      </c>
      <c r="P957" s="107">
        <v>1023.6</v>
      </c>
      <c r="Q957" s="107">
        <v>1015.8</v>
      </c>
      <c r="R957">
        <v>82540</v>
      </c>
    </row>
    <row r="958" spans="1:18" x14ac:dyDescent="0.25">
      <c r="A958" s="148">
        <v>44743</v>
      </c>
      <c r="B958" s="107">
        <v>1024.95</v>
      </c>
      <c r="C958" s="107">
        <v>1016.15</v>
      </c>
      <c r="D958" s="107">
        <v>999.1</v>
      </c>
      <c r="E958" s="107">
        <v>1009.7</v>
      </c>
      <c r="F958" s="107">
        <v>1016.15</v>
      </c>
      <c r="G958">
        <v>5358</v>
      </c>
      <c r="H958" s="107"/>
      <c r="I958" s="107"/>
      <c r="L958" s="148">
        <v>44743</v>
      </c>
      <c r="M958" s="107">
        <v>1017.05</v>
      </c>
      <c r="N958" s="107">
        <v>1025</v>
      </c>
      <c r="O958" s="107">
        <v>995.15</v>
      </c>
      <c r="P958" s="107">
        <v>1012.95</v>
      </c>
      <c r="Q958" s="107">
        <v>1017.05</v>
      </c>
      <c r="R958">
        <v>159386</v>
      </c>
    </row>
    <row r="959" spans="1:18" x14ac:dyDescent="0.25">
      <c r="A959" s="148">
        <v>44746</v>
      </c>
      <c r="B959" s="107">
        <v>1069.5</v>
      </c>
      <c r="C959" s="107">
        <v>1058.6500000000001</v>
      </c>
      <c r="D959" s="107">
        <v>1017.05</v>
      </c>
      <c r="E959" s="107">
        <v>1024.55</v>
      </c>
      <c r="F959" s="107">
        <v>1058.6500000000001</v>
      </c>
      <c r="G959">
        <v>3581</v>
      </c>
      <c r="H959" s="107"/>
      <c r="I959" s="107"/>
      <c r="L959" s="148">
        <v>44746</v>
      </c>
      <c r="M959" s="107">
        <v>1051.7</v>
      </c>
      <c r="N959" s="107">
        <v>1070</v>
      </c>
      <c r="O959" s="107">
        <v>1016</v>
      </c>
      <c r="P959" s="107">
        <v>1022.15</v>
      </c>
      <c r="Q959" s="107">
        <v>1051.7</v>
      </c>
      <c r="R959">
        <v>160701</v>
      </c>
    </row>
    <row r="960" spans="1:18" x14ac:dyDescent="0.25">
      <c r="A960" s="148">
        <v>44747</v>
      </c>
      <c r="B960" s="107">
        <v>1071.7</v>
      </c>
      <c r="C960" s="107">
        <v>1012.45</v>
      </c>
      <c r="D960" s="107">
        <v>1001.6</v>
      </c>
      <c r="E960" s="107">
        <v>1071.7</v>
      </c>
      <c r="F960" s="107">
        <v>1012.45</v>
      </c>
      <c r="G960">
        <v>9909</v>
      </c>
      <c r="H960" s="107"/>
      <c r="I960" s="107"/>
      <c r="L960" s="148">
        <v>44747</v>
      </c>
      <c r="M960" s="107">
        <v>1010.6</v>
      </c>
      <c r="N960" s="107">
        <v>1064.8</v>
      </c>
      <c r="O960" s="107">
        <v>1001.15</v>
      </c>
      <c r="P960" s="107">
        <v>1057.5</v>
      </c>
      <c r="Q960" s="107">
        <v>1010.6</v>
      </c>
      <c r="R960">
        <v>507262</v>
      </c>
    </row>
    <row r="961" spans="1:18" x14ac:dyDescent="0.25">
      <c r="A961" s="148">
        <v>44748</v>
      </c>
      <c r="B961" s="107">
        <v>1028.4000000000001</v>
      </c>
      <c r="C961" s="107">
        <v>985.35</v>
      </c>
      <c r="D961" s="107">
        <v>974.25</v>
      </c>
      <c r="E961" s="107">
        <v>1025.9000000000001</v>
      </c>
      <c r="F961" s="107">
        <v>985.35</v>
      </c>
      <c r="G961">
        <v>8065</v>
      </c>
      <c r="H961" s="107"/>
      <c r="I961" s="107"/>
      <c r="L961" s="148">
        <v>44748</v>
      </c>
      <c r="M961" s="107">
        <v>987.1</v>
      </c>
      <c r="N961" s="107">
        <v>1029</v>
      </c>
      <c r="O961" s="107">
        <v>972.7</v>
      </c>
      <c r="P961" s="107">
        <v>1015.3</v>
      </c>
      <c r="Q961" s="107">
        <v>987.1</v>
      </c>
      <c r="R961">
        <v>149450</v>
      </c>
    </row>
    <row r="962" spans="1:18" x14ac:dyDescent="0.25">
      <c r="A962" s="148">
        <v>44749</v>
      </c>
      <c r="B962" s="107">
        <v>1006.45</v>
      </c>
      <c r="C962" s="107">
        <v>992.25</v>
      </c>
      <c r="D962" s="107">
        <v>988.05</v>
      </c>
      <c r="E962" s="107">
        <v>998.3</v>
      </c>
      <c r="F962" s="107">
        <v>992.25</v>
      </c>
      <c r="G962">
        <v>3796</v>
      </c>
      <c r="H962" s="107"/>
      <c r="I962" s="107"/>
      <c r="L962" s="148">
        <v>44749</v>
      </c>
      <c r="M962" s="107">
        <v>993.85</v>
      </c>
      <c r="N962" s="107">
        <v>1006.65</v>
      </c>
      <c r="O962" s="107">
        <v>986</v>
      </c>
      <c r="P962" s="107">
        <v>998.7</v>
      </c>
      <c r="Q962" s="107">
        <v>993.85</v>
      </c>
      <c r="R962">
        <v>175630</v>
      </c>
    </row>
    <row r="963" spans="1:18" x14ac:dyDescent="0.25">
      <c r="A963" s="148">
        <v>44750</v>
      </c>
      <c r="B963" s="107">
        <v>1023.55</v>
      </c>
      <c r="C963" s="107">
        <v>1021.4</v>
      </c>
      <c r="D963" s="107">
        <v>992.05</v>
      </c>
      <c r="E963" s="107">
        <v>995.6</v>
      </c>
      <c r="F963" s="107">
        <v>1021.4</v>
      </c>
      <c r="G963">
        <v>3729</v>
      </c>
      <c r="H963" s="107"/>
      <c r="I963" s="107"/>
      <c r="L963" s="148">
        <v>44750</v>
      </c>
      <c r="M963" s="107">
        <v>1020.85</v>
      </c>
      <c r="N963" s="107">
        <v>1023.2</v>
      </c>
      <c r="O963" s="107">
        <v>992.25</v>
      </c>
      <c r="P963" s="107">
        <v>1005.7</v>
      </c>
      <c r="Q963" s="107">
        <v>1020.85</v>
      </c>
      <c r="R963">
        <v>77761</v>
      </c>
    </row>
    <row r="964" spans="1:18" x14ac:dyDescent="0.25">
      <c r="A964" s="148">
        <v>44753</v>
      </c>
      <c r="B964" s="107">
        <v>1025.8499999999999</v>
      </c>
      <c r="C964" s="107">
        <v>1011.2</v>
      </c>
      <c r="D964" s="107">
        <v>1005</v>
      </c>
      <c r="E964" s="107">
        <v>1022.3</v>
      </c>
      <c r="F964" s="107">
        <v>1011.2</v>
      </c>
      <c r="G964">
        <v>5067</v>
      </c>
      <c r="H964" s="107"/>
      <c r="I964" s="107"/>
      <c r="L964" s="148">
        <v>44753</v>
      </c>
      <c r="M964" s="107">
        <v>1011.9</v>
      </c>
      <c r="N964" s="107">
        <v>1025</v>
      </c>
      <c r="O964" s="107">
        <v>1002.15</v>
      </c>
      <c r="P964" s="107">
        <v>1011.3</v>
      </c>
      <c r="Q964" s="107">
        <v>1011.9</v>
      </c>
      <c r="R964">
        <v>53345</v>
      </c>
    </row>
    <row r="965" spans="1:18" x14ac:dyDescent="0.25">
      <c r="A965" s="148">
        <v>44754</v>
      </c>
      <c r="B965" s="107">
        <v>1019.9</v>
      </c>
      <c r="C965" s="107">
        <v>994.55</v>
      </c>
      <c r="D965" s="107">
        <v>983.5</v>
      </c>
      <c r="E965" s="107">
        <v>1000</v>
      </c>
      <c r="F965" s="107">
        <v>994.55</v>
      </c>
      <c r="G965">
        <v>13111</v>
      </c>
      <c r="H965" s="107"/>
      <c r="I965" s="107"/>
      <c r="L965" s="148">
        <v>44754</v>
      </c>
      <c r="M965" s="107">
        <v>991.85</v>
      </c>
      <c r="N965" s="107">
        <v>1019.95</v>
      </c>
      <c r="O965" s="107">
        <v>981</v>
      </c>
      <c r="P965" s="107">
        <v>994.1</v>
      </c>
      <c r="Q965" s="107">
        <v>991.85</v>
      </c>
      <c r="R965">
        <v>51614</v>
      </c>
    </row>
    <row r="966" spans="1:18" x14ac:dyDescent="0.25">
      <c r="A966" s="148">
        <v>44755</v>
      </c>
      <c r="B966" s="107">
        <v>1014.95</v>
      </c>
      <c r="C966" s="107">
        <v>998.35</v>
      </c>
      <c r="D966" s="107">
        <v>986</v>
      </c>
      <c r="E966" s="107">
        <v>995.8</v>
      </c>
      <c r="F966" s="107">
        <v>998.35</v>
      </c>
      <c r="G966">
        <v>14013</v>
      </c>
      <c r="H966" s="107"/>
      <c r="I966" s="107"/>
      <c r="L966" s="148">
        <v>44755</v>
      </c>
      <c r="M966" s="107">
        <v>999.45</v>
      </c>
      <c r="N966" s="107">
        <v>1025</v>
      </c>
      <c r="O966" s="107">
        <v>985.5</v>
      </c>
      <c r="P966" s="107">
        <v>1002.95</v>
      </c>
      <c r="Q966" s="107">
        <v>999.45</v>
      </c>
      <c r="R966">
        <v>79996</v>
      </c>
    </row>
    <row r="967" spans="1:18" x14ac:dyDescent="0.25">
      <c r="A967" s="148">
        <v>44756</v>
      </c>
      <c r="B967" s="107">
        <v>1038.6500000000001</v>
      </c>
      <c r="C967" s="107">
        <v>1031.4000000000001</v>
      </c>
      <c r="D967" s="107">
        <v>994.05</v>
      </c>
      <c r="E967" s="107">
        <v>998.8</v>
      </c>
      <c r="F967" s="107">
        <v>1031.4000000000001</v>
      </c>
      <c r="G967">
        <v>26604</v>
      </c>
      <c r="H967" s="107"/>
      <c r="I967" s="107"/>
      <c r="L967" s="148">
        <v>44756</v>
      </c>
      <c r="M967" s="107">
        <v>1033.1500000000001</v>
      </c>
      <c r="N967" s="107">
        <v>1039.9000000000001</v>
      </c>
      <c r="O967" s="107">
        <v>990.35</v>
      </c>
      <c r="P967" s="107">
        <v>990.35</v>
      </c>
      <c r="Q967" s="107">
        <v>1033.1500000000001</v>
      </c>
      <c r="R967">
        <v>96851</v>
      </c>
    </row>
    <row r="968" spans="1:18" x14ac:dyDescent="0.25">
      <c r="A968" s="148">
        <v>44757</v>
      </c>
      <c r="B968" s="107">
        <v>1085.5</v>
      </c>
      <c r="C968" s="107">
        <v>1016.55</v>
      </c>
      <c r="D968" s="107">
        <v>1009.95</v>
      </c>
      <c r="E968" s="107">
        <v>1037.3499999999999</v>
      </c>
      <c r="F968" s="107">
        <v>1016.55</v>
      </c>
      <c r="G968">
        <v>10962</v>
      </c>
      <c r="H968" s="107"/>
      <c r="I968" s="107"/>
      <c r="L968" s="148">
        <v>44757</v>
      </c>
      <c r="M968" s="107">
        <v>1017.65</v>
      </c>
      <c r="N968" s="107">
        <v>1088.9000000000001</v>
      </c>
      <c r="O968" s="107">
        <v>1009.2</v>
      </c>
      <c r="P968" s="107">
        <v>1033.1500000000001</v>
      </c>
      <c r="Q968" s="107">
        <v>1017.65</v>
      </c>
      <c r="R968">
        <v>232136</v>
      </c>
    </row>
    <row r="969" spans="1:18" x14ac:dyDescent="0.25">
      <c r="A969" s="148">
        <v>44760</v>
      </c>
      <c r="B969" s="107">
        <v>1053.3499999999999</v>
      </c>
      <c r="C969" s="107">
        <v>1042.75</v>
      </c>
      <c r="D969" s="107">
        <v>1022.45</v>
      </c>
      <c r="E969" s="107">
        <v>1025</v>
      </c>
      <c r="F969" s="107">
        <v>1042.75</v>
      </c>
      <c r="G969">
        <v>4956</v>
      </c>
      <c r="H969" s="107"/>
      <c r="I969" s="107"/>
      <c r="L969" s="148">
        <v>44760</v>
      </c>
      <c r="M969" s="107">
        <v>1042.2</v>
      </c>
      <c r="N969" s="107">
        <v>1055</v>
      </c>
      <c r="O969" s="107">
        <v>1019.1</v>
      </c>
      <c r="P969" s="107">
        <v>1019.1</v>
      </c>
      <c r="Q969" s="107">
        <v>1042.2</v>
      </c>
      <c r="R969">
        <v>209527</v>
      </c>
    </row>
    <row r="970" spans="1:18" x14ac:dyDescent="0.25">
      <c r="A970" s="148">
        <v>44761</v>
      </c>
      <c r="B970" s="107">
        <v>1094.45</v>
      </c>
      <c r="C970" s="107">
        <v>1047.95</v>
      </c>
      <c r="D970" s="107">
        <v>1042.8499999999999</v>
      </c>
      <c r="E970" s="107">
        <v>1047.55</v>
      </c>
      <c r="F970" s="107">
        <v>1047.95</v>
      </c>
      <c r="G970">
        <v>22708</v>
      </c>
      <c r="H970" s="107"/>
      <c r="I970" s="107"/>
      <c r="L970" s="148">
        <v>44761</v>
      </c>
      <c r="M970" s="107">
        <v>1050.05</v>
      </c>
      <c r="N970" s="107">
        <v>1094.75</v>
      </c>
      <c r="O970" s="107">
        <v>1042</v>
      </c>
      <c r="P970" s="107">
        <v>1049.9000000000001</v>
      </c>
      <c r="Q970" s="107">
        <v>1050.05</v>
      </c>
      <c r="R970">
        <v>295621</v>
      </c>
    </row>
    <row r="971" spans="1:18" x14ac:dyDescent="0.25">
      <c r="A971" s="148">
        <v>44762</v>
      </c>
      <c r="B971" s="107">
        <v>1061.45</v>
      </c>
      <c r="C971" s="107">
        <v>1051.0999999999999</v>
      </c>
      <c r="D971" s="107">
        <v>1039.2</v>
      </c>
      <c r="E971" s="107">
        <v>1055.05</v>
      </c>
      <c r="F971" s="107">
        <v>1051.0999999999999</v>
      </c>
      <c r="G971">
        <v>2849</v>
      </c>
      <c r="H971" s="107"/>
      <c r="I971" s="107"/>
      <c r="L971" s="148">
        <v>44762</v>
      </c>
      <c r="M971" s="107">
        <v>1050.75</v>
      </c>
      <c r="N971" s="107">
        <v>1062.3</v>
      </c>
      <c r="O971" s="107">
        <v>1039.3499999999999</v>
      </c>
      <c r="P971" s="107">
        <v>1056.5999999999999</v>
      </c>
      <c r="Q971" s="107">
        <v>1050.75</v>
      </c>
      <c r="R971">
        <v>619085</v>
      </c>
    </row>
    <row r="972" spans="1:18" x14ac:dyDescent="0.25">
      <c r="A972" s="148">
        <v>44763</v>
      </c>
      <c r="B972" s="107">
        <v>1068.9000000000001</v>
      </c>
      <c r="C972" s="107">
        <v>1055.0999999999999</v>
      </c>
      <c r="D972" s="107">
        <v>1045.2</v>
      </c>
      <c r="E972" s="107">
        <v>1057.3</v>
      </c>
      <c r="F972" s="107">
        <v>1055.0999999999999</v>
      </c>
      <c r="G972">
        <v>5896</v>
      </c>
      <c r="H972" s="107"/>
      <c r="I972" s="107"/>
      <c r="L972" s="148">
        <v>44763</v>
      </c>
      <c r="M972" s="107">
        <v>1056.75</v>
      </c>
      <c r="N972" s="107">
        <v>1074.3</v>
      </c>
      <c r="O972" s="107">
        <v>1045</v>
      </c>
      <c r="P972" s="107">
        <v>1064.5999999999999</v>
      </c>
      <c r="Q972" s="107">
        <v>1056.75</v>
      </c>
      <c r="R972">
        <v>138886</v>
      </c>
    </row>
    <row r="973" spans="1:18" x14ac:dyDescent="0.25">
      <c r="A973" s="148">
        <v>44764</v>
      </c>
      <c r="B973" s="107">
        <v>1056.5</v>
      </c>
      <c r="C973" s="107">
        <v>1021</v>
      </c>
      <c r="D973" s="107">
        <v>1013.6</v>
      </c>
      <c r="E973" s="107">
        <v>1054</v>
      </c>
      <c r="F973" s="107">
        <v>1021</v>
      </c>
      <c r="G973">
        <v>3796</v>
      </c>
      <c r="H973" s="107"/>
      <c r="I973" s="107"/>
      <c r="L973" s="148">
        <v>44764</v>
      </c>
      <c r="M973" s="107">
        <v>1020.4</v>
      </c>
      <c r="N973" s="107">
        <v>1060</v>
      </c>
      <c r="O973" s="107">
        <v>1012.35</v>
      </c>
      <c r="P973" s="107">
        <v>1060</v>
      </c>
      <c r="Q973" s="107">
        <v>1020.4</v>
      </c>
      <c r="R973">
        <v>115906</v>
      </c>
    </row>
    <row r="974" spans="1:18" x14ac:dyDescent="0.25">
      <c r="A974" s="148">
        <v>44767</v>
      </c>
      <c r="B974" s="107">
        <v>1049</v>
      </c>
      <c r="C974" s="107">
        <v>999.7</v>
      </c>
      <c r="D974" s="107">
        <v>988.05</v>
      </c>
      <c r="E974" s="107">
        <v>1036</v>
      </c>
      <c r="F974" s="107">
        <v>999.7</v>
      </c>
      <c r="G974">
        <v>10525</v>
      </c>
      <c r="H974" s="107"/>
      <c r="I974" s="107"/>
      <c r="L974" s="148">
        <v>44767</v>
      </c>
      <c r="M974" s="107">
        <v>996.25</v>
      </c>
      <c r="N974" s="107">
        <v>1050</v>
      </c>
      <c r="O974" s="107">
        <v>986.1</v>
      </c>
      <c r="P974" s="107">
        <v>1025</v>
      </c>
      <c r="Q974" s="107">
        <v>996.25</v>
      </c>
      <c r="R974">
        <v>143279</v>
      </c>
    </row>
    <row r="975" spans="1:18" x14ac:dyDescent="0.25">
      <c r="A975" s="148">
        <v>44768</v>
      </c>
      <c r="B975" s="107">
        <v>1000</v>
      </c>
      <c r="C975" s="107">
        <v>981.55</v>
      </c>
      <c r="D975" s="107">
        <v>947</v>
      </c>
      <c r="E975" s="107">
        <v>995</v>
      </c>
      <c r="F975" s="107">
        <v>981.55</v>
      </c>
      <c r="G975">
        <v>10883</v>
      </c>
      <c r="H975" s="107"/>
      <c r="I975" s="107"/>
      <c r="L975" s="148">
        <v>44768</v>
      </c>
      <c r="M975" s="107">
        <v>981.75</v>
      </c>
      <c r="N975" s="107">
        <v>1000.9</v>
      </c>
      <c r="O975" s="107">
        <v>946.45</v>
      </c>
      <c r="P975" s="107">
        <v>996</v>
      </c>
      <c r="Q975" s="107">
        <v>981.75</v>
      </c>
      <c r="R975">
        <v>143633</v>
      </c>
    </row>
    <row r="976" spans="1:18" x14ac:dyDescent="0.25">
      <c r="A976" s="148">
        <v>44769</v>
      </c>
      <c r="B976" s="107">
        <v>981.45</v>
      </c>
      <c r="C976" s="107">
        <v>969.05</v>
      </c>
      <c r="D976" s="107">
        <v>957.55</v>
      </c>
      <c r="E976" s="107">
        <v>981.25</v>
      </c>
      <c r="F976" s="107">
        <v>969.05</v>
      </c>
      <c r="G976">
        <v>9908</v>
      </c>
      <c r="H976" s="107"/>
      <c r="I976" s="107"/>
      <c r="L976" s="148">
        <v>44769</v>
      </c>
      <c r="M976" s="107">
        <v>967.3</v>
      </c>
      <c r="N976" s="107">
        <v>982.95</v>
      </c>
      <c r="O976" s="107">
        <v>957.3</v>
      </c>
      <c r="P976" s="107">
        <v>980</v>
      </c>
      <c r="Q976" s="107">
        <v>967.3</v>
      </c>
      <c r="R976">
        <v>84695</v>
      </c>
    </row>
    <row r="977" spans="1:18" x14ac:dyDescent="0.25">
      <c r="A977" s="148">
        <v>44770</v>
      </c>
      <c r="B977" s="107">
        <v>996.45</v>
      </c>
      <c r="C977" s="107">
        <v>984.25</v>
      </c>
      <c r="D977" s="107">
        <v>967.1</v>
      </c>
      <c r="E977" s="107">
        <v>975.2</v>
      </c>
      <c r="F977" s="107">
        <v>984.25</v>
      </c>
      <c r="G977">
        <v>6959</v>
      </c>
      <c r="H977" s="107"/>
      <c r="I977" s="107"/>
      <c r="L977" s="148">
        <v>44770</v>
      </c>
      <c r="M977" s="107">
        <v>984.85</v>
      </c>
      <c r="N977" s="107">
        <v>997</v>
      </c>
      <c r="O977" s="107">
        <v>963</v>
      </c>
      <c r="P977" s="107">
        <v>963</v>
      </c>
      <c r="Q977" s="107">
        <v>984.85</v>
      </c>
      <c r="R977">
        <v>105830</v>
      </c>
    </row>
    <row r="978" spans="1:18" x14ac:dyDescent="0.25">
      <c r="A978" s="148">
        <v>44771</v>
      </c>
      <c r="B978" s="107">
        <v>1075</v>
      </c>
      <c r="C978" s="107">
        <v>1057.5</v>
      </c>
      <c r="D978" s="107">
        <v>993.55</v>
      </c>
      <c r="E978" s="107">
        <v>995.25</v>
      </c>
      <c r="F978" s="107">
        <v>1057.5</v>
      </c>
      <c r="G978">
        <v>19226</v>
      </c>
      <c r="H978" s="107"/>
      <c r="I978" s="107"/>
      <c r="L978" s="148">
        <v>44771</v>
      </c>
      <c r="M978" s="107">
        <v>1056.45</v>
      </c>
      <c r="N978" s="107">
        <v>1075</v>
      </c>
      <c r="O978" s="107">
        <v>986.75</v>
      </c>
      <c r="P978" s="107">
        <v>986.75</v>
      </c>
      <c r="Q978" s="107">
        <v>1056.45</v>
      </c>
      <c r="R978">
        <v>282846</v>
      </c>
    </row>
    <row r="979" spans="1:18" x14ac:dyDescent="0.25">
      <c r="A979" s="148">
        <v>44774</v>
      </c>
      <c r="B979" s="107">
        <v>1068.8</v>
      </c>
      <c r="C979" s="107">
        <v>1039</v>
      </c>
      <c r="D979" s="107">
        <v>998.3</v>
      </c>
      <c r="E979" s="107">
        <v>1050</v>
      </c>
      <c r="F979" s="107">
        <v>1039</v>
      </c>
      <c r="G979">
        <v>19931</v>
      </c>
      <c r="H979" s="107"/>
      <c r="I979" s="107"/>
      <c r="L979" s="148">
        <v>44774</v>
      </c>
      <c r="M979" s="107">
        <v>1039.45</v>
      </c>
      <c r="N979" s="107">
        <v>1069.05</v>
      </c>
      <c r="O979" s="107">
        <v>1022.9</v>
      </c>
      <c r="P979" s="107">
        <v>1040</v>
      </c>
      <c r="Q979" s="107">
        <v>1039.45</v>
      </c>
      <c r="R979">
        <v>278632</v>
      </c>
    </row>
    <row r="980" spans="1:18" x14ac:dyDescent="0.25">
      <c r="A980" s="148">
        <v>44775</v>
      </c>
      <c r="B980" s="107">
        <v>1055</v>
      </c>
      <c r="C980" s="107">
        <v>1009.15</v>
      </c>
      <c r="D980" s="107">
        <v>1001.25</v>
      </c>
      <c r="E980" s="107">
        <v>1055</v>
      </c>
      <c r="F980" s="107">
        <v>1009.15</v>
      </c>
      <c r="G980">
        <v>5922</v>
      </c>
      <c r="H980" s="107"/>
      <c r="I980" s="107"/>
      <c r="L980" s="148">
        <v>44775</v>
      </c>
      <c r="M980" s="107">
        <v>1010.45</v>
      </c>
      <c r="N980" s="107">
        <v>1045.2</v>
      </c>
      <c r="O980" s="107">
        <v>1002.35</v>
      </c>
      <c r="P980" s="107">
        <v>1045.2</v>
      </c>
      <c r="Q980" s="107">
        <v>1010.45</v>
      </c>
      <c r="R980">
        <v>132883</v>
      </c>
    </row>
    <row r="981" spans="1:18" x14ac:dyDescent="0.25">
      <c r="A981" s="148">
        <v>44776</v>
      </c>
      <c r="B981" s="107">
        <v>1030</v>
      </c>
      <c r="C981" s="107">
        <v>1013.15</v>
      </c>
      <c r="D981" s="107">
        <v>985</v>
      </c>
      <c r="E981" s="107">
        <v>1030</v>
      </c>
      <c r="F981" s="107">
        <v>1013.15</v>
      </c>
      <c r="G981">
        <v>5133</v>
      </c>
      <c r="H981" s="107"/>
      <c r="I981" s="107"/>
      <c r="L981" s="148">
        <v>44776</v>
      </c>
      <c r="M981" s="107">
        <v>1014.4</v>
      </c>
      <c r="N981" s="107">
        <v>1024</v>
      </c>
      <c r="O981" s="107">
        <v>985</v>
      </c>
      <c r="P981" s="107">
        <v>1016</v>
      </c>
      <c r="Q981" s="107">
        <v>1014.4</v>
      </c>
      <c r="R981">
        <v>161763</v>
      </c>
    </row>
    <row r="982" spans="1:18" x14ac:dyDescent="0.25">
      <c r="A982" s="148">
        <v>44777</v>
      </c>
      <c r="B982" s="107">
        <v>1027.45</v>
      </c>
      <c r="C982" s="107">
        <v>993.35</v>
      </c>
      <c r="D982" s="107">
        <v>989.5</v>
      </c>
      <c r="E982" s="107">
        <v>1019.65</v>
      </c>
      <c r="F982" s="107">
        <v>993.35</v>
      </c>
      <c r="G982">
        <v>5378</v>
      </c>
      <c r="H982" s="107"/>
      <c r="I982" s="107"/>
      <c r="L982" s="148">
        <v>44777</v>
      </c>
      <c r="M982" s="107">
        <v>992.9</v>
      </c>
      <c r="N982" s="107">
        <v>1025.7</v>
      </c>
      <c r="O982" s="107">
        <v>989.2</v>
      </c>
      <c r="P982" s="107">
        <v>1021.95</v>
      </c>
      <c r="Q982" s="107">
        <v>992.9</v>
      </c>
      <c r="R982">
        <v>71458</v>
      </c>
    </row>
    <row r="983" spans="1:18" x14ac:dyDescent="0.25">
      <c r="A983" s="148">
        <v>44778</v>
      </c>
      <c r="B983" s="107">
        <v>999.85</v>
      </c>
      <c r="C983" s="107">
        <v>981.8</v>
      </c>
      <c r="D983" s="107">
        <v>974.1</v>
      </c>
      <c r="E983" s="107">
        <v>990.45</v>
      </c>
      <c r="F983" s="107">
        <v>981.8</v>
      </c>
      <c r="G983">
        <v>5316</v>
      </c>
      <c r="H983" s="107"/>
      <c r="I983" s="107"/>
      <c r="L983" s="148">
        <v>44778</v>
      </c>
      <c r="M983" s="107">
        <v>981.3</v>
      </c>
      <c r="N983" s="107">
        <v>1003.2</v>
      </c>
      <c r="O983" s="107">
        <v>974.7</v>
      </c>
      <c r="P983" s="107">
        <v>1003.2</v>
      </c>
      <c r="Q983" s="107">
        <v>981.3</v>
      </c>
      <c r="R983">
        <v>66381</v>
      </c>
    </row>
    <row r="984" spans="1:18" x14ac:dyDescent="0.25">
      <c r="A984" s="148">
        <v>44781</v>
      </c>
      <c r="B984" s="107">
        <v>998.45</v>
      </c>
      <c r="C984" s="107">
        <v>983.4</v>
      </c>
      <c r="D984" s="107">
        <v>965.75</v>
      </c>
      <c r="E984" s="107">
        <v>980</v>
      </c>
      <c r="F984" s="107">
        <v>983.4</v>
      </c>
      <c r="G984">
        <v>7738</v>
      </c>
      <c r="H984" s="107"/>
      <c r="I984" s="107"/>
      <c r="L984" s="148">
        <v>44781</v>
      </c>
      <c r="M984" s="107">
        <v>984.95</v>
      </c>
      <c r="N984" s="107">
        <v>1005</v>
      </c>
      <c r="O984" s="107">
        <v>965.35</v>
      </c>
      <c r="P984" s="107">
        <v>980</v>
      </c>
      <c r="Q984" s="107">
        <v>984.95</v>
      </c>
      <c r="R984">
        <v>111233</v>
      </c>
    </row>
    <row r="985" spans="1:18" x14ac:dyDescent="0.25">
      <c r="A985" s="148">
        <v>44783</v>
      </c>
      <c r="B985" s="107">
        <v>1055.5999999999999</v>
      </c>
      <c r="C985" s="107">
        <v>1044.25</v>
      </c>
      <c r="D985" s="107">
        <v>986</v>
      </c>
      <c r="E985" s="107">
        <v>986</v>
      </c>
      <c r="F985" s="107">
        <v>1044.25</v>
      </c>
      <c r="G985">
        <v>15788</v>
      </c>
      <c r="H985" s="107"/>
      <c r="I985" s="107"/>
      <c r="L985" s="148">
        <v>44783</v>
      </c>
      <c r="M985" s="107">
        <v>1044.8</v>
      </c>
      <c r="N985" s="107">
        <v>1055</v>
      </c>
      <c r="O985" s="107">
        <v>988.95</v>
      </c>
      <c r="P985" s="107">
        <v>995</v>
      </c>
      <c r="Q985" s="107">
        <v>1044.8</v>
      </c>
      <c r="R985">
        <v>352776</v>
      </c>
    </row>
    <row r="986" spans="1:18" x14ac:dyDescent="0.25">
      <c r="A986" s="148">
        <v>44784</v>
      </c>
      <c r="B986" s="107">
        <v>1040.5999999999999</v>
      </c>
      <c r="C986" s="107">
        <v>1025.6500000000001</v>
      </c>
      <c r="D986" s="107">
        <v>1021</v>
      </c>
      <c r="E986" s="107">
        <v>1040.5999999999999</v>
      </c>
      <c r="F986" s="107">
        <v>1025.6500000000001</v>
      </c>
      <c r="G986">
        <v>2947</v>
      </c>
      <c r="H986" s="107"/>
      <c r="I986" s="107"/>
      <c r="L986" s="148">
        <v>44784</v>
      </c>
      <c r="M986" s="107">
        <v>1027.55</v>
      </c>
      <c r="N986" s="107">
        <v>1047</v>
      </c>
      <c r="O986" s="107">
        <v>1023</v>
      </c>
      <c r="P986" s="107">
        <v>1044.8</v>
      </c>
      <c r="Q986" s="107">
        <v>1027.55</v>
      </c>
      <c r="R986">
        <v>67912</v>
      </c>
    </row>
    <row r="987" spans="1:18" x14ac:dyDescent="0.25">
      <c r="A987" s="148">
        <v>44785</v>
      </c>
      <c r="B987" s="107">
        <v>1046.3499999999999</v>
      </c>
      <c r="C987" s="107">
        <v>1035.45</v>
      </c>
      <c r="D987" s="107">
        <v>1010.55</v>
      </c>
      <c r="E987" s="107">
        <v>1020</v>
      </c>
      <c r="F987" s="107">
        <v>1035.45</v>
      </c>
      <c r="G987">
        <v>5332</v>
      </c>
      <c r="H987" s="107"/>
      <c r="I987" s="107"/>
      <c r="L987" s="148">
        <v>44785</v>
      </c>
      <c r="M987" s="107">
        <v>1039.4000000000001</v>
      </c>
      <c r="N987" s="107">
        <v>1050</v>
      </c>
      <c r="O987" s="107">
        <v>1010.1</v>
      </c>
      <c r="P987" s="107">
        <v>1032.7</v>
      </c>
      <c r="Q987" s="107">
        <v>1039.4000000000001</v>
      </c>
      <c r="R987">
        <v>127220</v>
      </c>
    </row>
    <row r="988" spans="1:18" x14ac:dyDescent="0.25">
      <c r="A988" s="148">
        <v>44789</v>
      </c>
      <c r="B988" s="107">
        <v>1075</v>
      </c>
      <c r="C988" s="107">
        <v>1029.2</v>
      </c>
      <c r="D988" s="107">
        <v>1015.75</v>
      </c>
      <c r="E988" s="107">
        <v>1047.45</v>
      </c>
      <c r="F988" s="107">
        <v>1029.2</v>
      </c>
      <c r="G988">
        <v>5664</v>
      </c>
      <c r="H988" s="107"/>
      <c r="I988" s="107"/>
      <c r="L988" s="148">
        <v>44789</v>
      </c>
      <c r="M988" s="107">
        <v>1029.5999999999999</v>
      </c>
      <c r="N988" s="107">
        <v>1076</v>
      </c>
      <c r="O988" s="107">
        <v>1015</v>
      </c>
      <c r="P988" s="107">
        <v>1044</v>
      </c>
      <c r="Q988" s="107">
        <v>1029.5999999999999</v>
      </c>
      <c r="R988">
        <v>128074</v>
      </c>
    </row>
    <row r="989" spans="1:18" x14ac:dyDescent="0.25">
      <c r="A989" s="148">
        <v>44790</v>
      </c>
      <c r="B989" s="107">
        <v>1046.6500000000001</v>
      </c>
      <c r="C989" s="107">
        <v>1002.85</v>
      </c>
      <c r="D989" s="107">
        <v>988.45</v>
      </c>
      <c r="E989" s="107">
        <v>1030</v>
      </c>
      <c r="F989" s="107">
        <v>1002.85</v>
      </c>
      <c r="G989">
        <v>9837</v>
      </c>
      <c r="H989" s="107"/>
      <c r="I989" s="107"/>
      <c r="L989" s="148">
        <v>44790</v>
      </c>
      <c r="M989" s="107">
        <v>1008.25</v>
      </c>
      <c r="N989" s="107">
        <v>1047.25</v>
      </c>
      <c r="O989" s="107">
        <v>989.8</v>
      </c>
      <c r="P989" s="107">
        <v>1038.95</v>
      </c>
      <c r="Q989" s="107">
        <v>1008.25</v>
      </c>
      <c r="R989">
        <v>139105</v>
      </c>
    </row>
    <row r="990" spans="1:18" x14ac:dyDescent="0.25">
      <c r="A990" s="148">
        <v>44791</v>
      </c>
      <c r="B990" s="107">
        <v>1020.1</v>
      </c>
      <c r="C990" s="107">
        <v>1017.95</v>
      </c>
      <c r="D990" s="107">
        <v>999.3</v>
      </c>
      <c r="E990" s="107">
        <v>1009.3</v>
      </c>
      <c r="F990" s="107">
        <v>1017.95</v>
      </c>
      <c r="G990">
        <v>5313</v>
      </c>
      <c r="H990" s="107"/>
      <c r="I990" s="107"/>
      <c r="L990" s="148">
        <v>44791</v>
      </c>
      <c r="M990" s="107">
        <v>1016.5</v>
      </c>
      <c r="N990" s="107">
        <v>1020.8</v>
      </c>
      <c r="O990" s="107">
        <v>999</v>
      </c>
      <c r="P990" s="107">
        <v>1011.55</v>
      </c>
      <c r="Q990" s="107">
        <v>1016.5</v>
      </c>
      <c r="R990">
        <v>104138</v>
      </c>
    </row>
    <row r="991" spans="1:18" x14ac:dyDescent="0.25">
      <c r="A991" s="148">
        <v>44792</v>
      </c>
      <c r="B991" s="107">
        <v>1023.4</v>
      </c>
      <c r="C991" s="107">
        <v>1008.3</v>
      </c>
      <c r="D991" s="107">
        <v>993.85</v>
      </c>
      <c r="E991" s="107">
        <v>1019</v>
      </c>
      <c r="F991" s="107">
        <v>1008.3</v>
      </c>
      <c r="G991">
        <v>8949</v>
      </c>
      <c r="H991" s="107"/>
      <c r="I991" s="107"/>
      <c r="L991" s="148">
        <v>44792</v>
      </c>
      <c r="M991" s="107">
        <v>1009.3</v>
      </c>
      <c r="N991" s="107">
        <v>1022.35</v>
      </c>
      <c r="O991" s="107">
        <v>995.05</v>
      </c>
      <c r="P991" s="107">
        <v>1020</v>
      </c>
      <c r="Q991" s="107">
        <v>1009.3</v>
      </c>
      <c r="R991">
        <v>113898</v>
      </c>
    </row>
    <row r="992" spans="1:18" x14ac:dyDescent="0.25">
      <c r="A992" s="148">
        <v>44795</v>
      </c>
      <c r="B992" s="107">
        <v>1008.75</v>
      </c>
      <c r="C992" s="107">
        <v>989.55</v>
      </c>
      <c r="D992" s="107">
        <v>986.4</v>
      </c>
      <c r="E992" s="107">
        <v>1002.05</v>
      </c>
      <c r="F992" s="107">
        <v>989.55</v>
      </c>
      <c r="G992">
        <v>3116</v>
      </c>
      <c r="H992" s="107"/>
      <c r="I992" s="107"/>
      <c r="L992" s="148">
        <v>44795</v>
      </c>
      <c r="M992" s="107">
        <v>990.6</v>
      </c>
      <c r="N992" s="107">
        <v>1010.35</v>
      </c>
      <c r="O992" s="107">
        <v>985.05</v>
      </c>
      <c r="P992" s="107">
        <v>1008</v>
      </c>
      <c r="Q992" s="107">
        <v>990.6</v>
      </c>
      <c r="R992">
        <v>78796</v>
      </c>
    </row>
    <row r="993" spans="1:18" x14ac:dyDescent="0.25">
      <c r="A993" s="148">
        <v>44796</v>
      </c>
      <c r="B993" s="107">
        <v>985.05</v>
      </c>
      <c r="C993" s="107">
        <v>970.45</v>
      </c>
      <c r="D993" s="107">
        <v>960.35</v>
      </c>
      <c r="E993" s="107">
        <v>985.05</v>
      </c>
      <c r="F993" s="107">
        <v>970.45</v>
      </c>
      <c r="G993">
        <v>5848</v>
      </c>
      <c r="H993" s="107"/>
      <c r="I993" s="107"/>
      <c r="L993" s="148">
        <v>44796</v>
      </c>
      <c r="M993" s="107">
        <v>971.65</v>
      </c>
      <c r="N993" s="107">
        <v>988.6</v>
      </c>
      <c r="O993" s="107">
        <v>960.55</v>
      </c>
      <c r="P993" s="107">
        <v>988.6</v>
      </c>
      <c r="Q993" s="107">
        <v>971.65</v>
      </c>
      <c r="R993">
        <v>223024</v>
      </c>
    </row>
    <row r="994" spans="1:18" x14ac:dyDescent="0.25">
      <c r="A994" s="148">
        <v>44797</v>
      </c>
      <c r="B994" s="107">
        <v>1001.45</v>
      </c>
      <c r="C994" s="107">
        <v>998.95</v>
      </c>
      <c r="D994" s="107">
        <v>979.2</v>
      </c>
      <c r="E994" s="107">
        <v>979.2</v>
      </c>
      <c r="F994" s="107">
        <v>998.95</v>
      </c>
      <c r="G994">
        <v>3895</v>
      </c>
      <c r="H994" s="107"/>
      <c r="I994" s="107"/>
      <c r="L994" s="148">
        <v>44797</v>
      </c>
      <c r="M994" s="107">
        <v>999.15</v>
      </c>
      <c r="N994" s="107">
        <v>1002</v>
      </c>
      <c r="O994" s="107">
        <v>977.15</v>
      </c>
      <c r="P994" s="107">
        <v>977.8</v>
      </c>
      <c r="Q994" s="107">
        <v>999.15</v>
      </c>
      <c r="R994">
        <v>94703</v>
      </c>
    </row>
    <row r="995" spans="1:18" x14ac:dyDescent="0.25">
      <c r="A995" s="148">
        <v>44798</v>
      </c>
      <c r="B995" s="107">
        <v>1002.9</v>
      </c>
      <c r="C995" s="107">
        <v>996.7</v>
      </c>
      <c r="D995" s="107">
        <v>984.8</v>
      </c>
      <c r="E995" s="107">
        <v>1001.25</v>
      </c>
      <c r="F995" s="107">
        <v>996.7</v>
      </c>
      <c r="G995">
        <v>1707</v>
      </c>
      <c r="H995" s="107"/>
      <c r="I995" s="107"/>
      <c r="L995" s="148">
        <v>44798</v>
      </c>
      <c r="M995" s="107">
        <v>993.35</v>
      </c>
      <c r="N995" s="107">
        <v>1003.95</v>
      </c>
      <c r="O995" s="107">
        <v>983.35</v>
      </c>
      <c r="P995" s="107">
        <v>1002</v>
      </c>
      <c r="Q995" s="107">
        <v>993.35</v>
      </c>
      <c r="R995">
        <v>64189</v>
      </c>
    </row>
    <row r="996" spans="1:18" x14ac:dyDescent="0.25">
      <c r="A996" s="148">
        <v>44799</v>
      </c>
      <c r="B996" s="107">
        <v>1021.9</v>
      </c>
      <c r="C996" s="107">
        <v>999.1</v>
      </c>
      <c r="D996" s="107">
        <v>984.8</v>
      </c>
      <c r="E996" s="107">
        <v>1000</v>
      </c>
      <c r="F996" s="107">
        <v>999.1</v>
      </c>
      <c r="G996">
        <v>7582</v>
      </c>
      <c r="H996" s="107"/>
      <c r="I996" s="107"/>
      <c r="L996" s="148">
        <v>44799</v>
      </c>
      <c r="M996" s="107">
        <v>1001.25</v>
      </c>
      <c r="N996" s="107">
        <v>1021</v>
      </c>
      <c r="O996" s="107">
        <v>983.3</v>
      </c>
      <c r="P996" s="107">
        <v>994.5</v>
      </c>
      <c r="Q996" s="107">
        <v>1001.25</v>
      </c>
      <c r="R996">
        <v>230718</v>
      </c>
    </row>
    <row r="997" spans="1:18" x14ac:dyDescent="0.25">
      <c r="A997" s="148">
        <v>44802</v>
      </c>
      <c r="B997" s="107">
        <v>1010</v>
      </c>
      <c r="C997" s="107">
        <v>978.25</v>
      </c>
      <c r="D997" s="107">
        <v>963.6</v>
      </c>
      <c r="E997" s="107">
        <v>1010</v>
      </c>
      <c r="F997" s="107">
        <v>978.25</v>
      </c>
      <c r="G997">
        <v>3370</v>
      </c>
      <c r="H997" s="107"/>
      <c r="I997" s="107"/>
      <c r="L997" s="148">
        <v>44802</v>
      </c>
      <c r="M997" s="107">
        <v>979.05</v>
      </c>
      <c r="N997" s="107">
        <v>986</v>
      </c>
      <c r="O997" s="107">
        <v>962.5</v>
      </c>
      <c r="P997" s="107">
        <v>972.05</v>
      </c>
      <c r="Q997" s="107">
        <v>979.05</v>
      </c>
      <c r="R997">
        <v>84304</v>
      </c>
    </row>
    <row r="998" spans="1:18" x14ac:dyDescent="0.25">
      <c r="A998" s="148">
        <v>44803</v>
      </c>
      <c r="B998" s="107">
        <v>1000.65</v>
      </c>
      <c r="C998" s="107">
        <v>999.1</v>
      </c>
      <c r="D998" s="107">
        <v>975.6</v>
      </c>
      <c r="E998" s="107">
        <v>989.5</v>
      </c>
      <c r="F998" s="107">
        <v>999.1</v>
      </c>
      <c r="G998">
        <v>7264</v>
      </c>
      <c r="H998" s="107"/>
      <c r="I998" s="107"/>
      <c r="L998" s="148">
        <v>44803</v>
      </c>
      <c r="M998" s="107">
        <v>997.65</v>
      </c>
      <c r="N998" s="107">
        <v>1001</v>
      </c>
      <c r="O998" s="107">
        <v>975</v>
      </c>
      <c r="P998" s="107">
        <v>981.05</v>
      </c>
      <c r="Q998" s="107">
        <v>997.65</v>
      </c>
      <c r="R998">
        <v>118032</v>
      </c>
    </row>
    <row r="999" spans="1:18" x14ac:dyDescent="0.25">
      <c r="A999" s="148">
        <v>44805</v>
      </c>
      <c r="B999" s="107">
        <v>1030</v>
      </c>
      <c r="C999" s="107">
        <v>983.05</v>
      </c>
      <c r="D999" s="107">
        <v>976.6</v>
      </c>
      <c r="E999" s="107">
        <v>985</v>
      </c>
      <c r="F999" s="107">
        <v>983.05</v>
      </c>
      <c r="G999">
        <v>19238</v>
      </c>
      <c r="H999" s="107"/>
      <c r="I999" s="107"/>
      <c r="L999" s="148">
        <v>44805</v>
      </c>
      <c r="M999" s="107">
        <v>982.6</v>
      </c>
      <c r="N999" s="107">
        <v>1030</v>
      </c>
      <c r="O999" s="107">
        <v>975</v>
      </c>
      <c r="P999" s="107">
        <v>996.75</v>
      </c>
      <c r="Q999" s="107">
        <v>982.6</v>
      </c>
      <c r="R999">
        <v>218763</v>
      </c>
    </row>
    <row r="1000" spans="1:18" x14ac:dyDescent="0.25">
      <c r="A1000" s="148">
        <v>44806</v>
      </c>
      <c r="B1000" s="107">
        <v>998</v>
      </c>
      <c r="C1000" s="107">
        <v>994.4</v>
      </c>
      <c r="D1000" s="107">
        <v>974.05</v>
      </c>
      <c r="E1000" s="107">
        <v>981.2</v>
      </c>
      <c r="F1000" s="107">
        <v>994.4</v>
      </c>
      <c r="G1000">
        <v>7369</v>
      </c>
      <c r="H1000" s="107"/>
      <c r="I1000" s="107"/>
      <c r="L1000" s="148">
        <v>44806</v>
      </c>
      <c r="M1000" s="107">
        <v>995.5</v>
      </c>
      <c r="N1000" s="107">
        <v>999.15</v>
      </c>
      <c r="O1000" s="107">
        <v>973.5</v>
      </c>
      <c r="P1000" s="107">
        <v>988.4</v>
      </c>
      <c r="Q1000" s="107">
        <v>995.5</v>
      </c>
      <c r="R1000">
        <v>219352</v>
      </c>
    </row>
    <row r="1001" spans="1:18" x14ac:dyDescent="0.25">
      <c r="A1001" s="148">
        <v>44809</v>
      </c>
      <c r="B1001" s="107">
        <v>1021.1</v>
      </c>
      <c r="C1001" s="107">
        <v>1017.5</v>
      </c>
      <c r="D1001" s="107">
        <v>973.95</v>
      </c>
      <c r="E1001" s="107">
        <v>1004.15</v>
      </c>
      <c r="F1001" s="107">
        <v>1017.5</v>
      </c>
      <c r="G1001">
        <v>9695</v>
      </c>
      <c r="H1001" s="107"/>
      <c r="I1001" s="107"/>
      <c r="L1001" s="148">
        <v>44809</v>
      </c>
      <c r="M1001" s="107">
        <v>1017.15</v>
      </c>
      <c r="N1001" s="107">
        <v>1020.95</v>
      </c>
      <c r="O1001" s="107">
        <v>973.4</v>
      </c>
      <c r="P1001" s="107">
        <v>1010</v>
      </c>
      <c r="Q1001" s="107">
        <v>1017.15</v>
      </c>
      <c r="R1001">
        <v>224291</v>
      </c>
    </row>
    <row r="1002" spans="1:18" x14ac:dyDescent="0.25">
      <c r="A1002" s="148">
        <v>44810</v>
      </c>
      <c r="B1002" s="107">
        <v>1094</v>
      </c>
      <c r="C1002" s="107">
        <v>1052.5</v>
      </c>
      <c r="D1002" s="107">
        <v>1010</v>
      </c>
      <c r="E1002" s="107">
        <v>1010</v>
      </c>
      <c r="F1002" s="107">
        <v>1052.5</v>
      </c>
      <c r="G1002">
        <v>125630</v>
      </c>
      <c r="H1002" s="107"/>
      <c r="I1002" s="107"/>
      <c r="L1002" s="148">
        <v>44810</v>
      </c>
      <c r="M1002" s="107">
        <v>1052.75</v>
      </c>
      <c r="N1002" s="107">
        <v>1094.95</v>
      </c>
      <c r="O1002" s="107">
        <v>1009.7</v>
      </c>
      <c r="P1002" s="107">
        <v>1021</v>
      </c>
      <c r="Q1002" s="107">
        <v>1052.75</v>
      </c>
      <c r="R1002">
        <v>859553</v>
      </c>
    </row>
    <row r="1003" spans="1:18" x14ac:dyDescent="0.25">
      <c r="A1003" s="148">
        <v>44811</v>
      </c>
      <c r="B1003" s="107">
        <v>1049.7</v>
      </c>
      <c r="C1003" s="107">
        <v>1039.25</v>
      </c>
      <c r="D1003" s="107">
        <v>1029.95</v>
      </c>
      <c r="E1003" s="107">
        <v>1046.3</v>
      </c>
      <c r="F1003" s="107">
        <v>1039.25</v>
      </c>
      <c r="G1003">
        <v>29154</v>
      </c>
      <c r="H1003" s="107"/>
      <c r="I1003" s="107"/>
      <c r="L1003" s="148">
        <v>44811</v>
      </c>
      <c r="M1003" s="107">
        <v>1038.9000000000001</v>
      </c>
      <c r="N1003" s="107">
        <v>1052</v>
      </c>
      <c r="O1003" s="107">
        <v>1032</v>
      </c>
      <c r="P1003" s="107">
        <v>1052</v>
      </c>
      <c r="Q1003" s="107">
        <v>1038.9000000000001</v>
      </c>
      <c r="R1003">
        <v>162913</v>
      </c>
    </row>
    <row r="1004" spans="1:18" x14ac:dyDescent="0.25">
      <c r="A1004" s="148">
        <v>44812</v>
      </c>
      <c r="B1004" s="107">
        <v>1050</v>
      </c>
      <c r="C1004" s="107">
        <v>1038.25</v>
      </c>
      <c r="D1004" s="107">
        <v>1024.7</v>
      </c>
      <c r="E1004" s="107">
        <v>1050</v>
      </c>
      <c r="F1004" s="107">
        <v>1038.25</v>
      </c>
      <c r="G1004">
        <v>25799</v>
      </c>
      <c r="H1004" s="107"/>
      <c r="I1004" s="107"/>
      <c r="L1004" s="148">
        <v>44812</v>
      </c>
      <c r="M1004" s="107">
        <v>1039.25</v>
      </c>
      <c r="N1004" s="107">
        <v>1048</v>
      </c>
      <c r="O1004" s="107">
        <v>1025.4000000000001</v>
      </c>
      <c r="P1004" s="107">
        <v>1044</v>
      </c>
      <c r="Q1004" s="107">
        <v>1039.25</v>
      </c>
      <c r="R1004">
        <v>92999</v>
      </c>
    </row>
    <row r="1005" spans="1:18" x14ac:dyDescent="0.25">
      <c r="A1005" s="148">
        <v>44813</v>
      </c>
      <c r="B1005" s="107">
        <v>1053.75</v>
      </c>
      <c r="C1005" s="107">
        <v>1031</v>
      </c>
      <c r="D1005" s="107">
        <v>1011.5</v>
      </c>
      <c r="E1005" s="107">
        <v>1038.25</v>
      </c>
      <c r="F1005" s="107">
        <v>1031</v>
      </c>
      <c r="G1005">
        <v>56265</v>
      </c>
      <c r="H1005" s="107"/>
      <c r="I1005" s="107"/>
      <c r="L1005" s="148">
        <v>44813</v>
      </c>
      <c r="M1005" s="107">
        <v>1029.7</v>
      </c>
      <c r="N1005" s="107">
        <v>1053.95</v>
      </c>
      <c r="O1005" s="107">
        <v>1011.7</v>
      </c>
      <c r="P1005" s="107">
        <v>1044</v>
      </c>
      <c r="Q1005" s="107">
        <v>1029.7</v>
      </c>
      <c r="R1005">
        <v>429039</v>
      </c>
    </row>
    <row r="1006" spans="1:18" x14ac:dyDescent="0.25">
      <c r="A1006" s="148">
        <v>44816</v>
      </c>
      <c r="B1006" s="107">
        <v>1051.05</v>
      </c>
      <c r="C1006" s="107">
        <v>1041.2</v>
      </c>
      <c r="D1006" s="107">
        <v>1023.85</v>
      </c>
      <c r="E1006" s="107">
        <v>1023.85</v>
      </c>
      <c r="F1006" s="107">
        <v>1041.2</v>
      </c>
      <c r="G1006">
        <v>18548</v>
      </c>
      <c r="H1006" s="107"/>
      <c r="I1006" s="107"/>
      <c r="L1006" s="148">
        <v>44816</v>
      </c>
      <c r="M1006" s="107">
        <v>1044.05</v>
      </c>
      <c r="N1006" s="107">
        <v>1050.5999999999999</v>
      </c>
      <c r="O1006" s="107">
        <v>1025.45</v>
      </c>
      <c r="P1006" s="107">
        <v>1035</v>
      </c>
      <c r="Q1006" s="107">
        <v>1044.05</v>
      </c>
      <c r="R1006">
        <v>182124</v>
      </c>
    </row>
    <row r="1007" spans="1:18" x14ac:dyDescent="0.25">
      <c r="A1007" s="148">
        <v>44817</v>
      </c>
      <c r="B1007" s="107">
        <v>1066.5999999999999</v>
      </c>
      <c r="C1007" s="107">
        <v>1030.8</v>
      </c>
      <c r="D1007" s="107">
        <v>1017.5</v>
      </c>
      <c r="E1007" s="107">
        <v>1060</v>
      </c>
      <c r="F1007" s="107">
        <v>1030.8</v>
      </c>
      <c r="G1007">
        <v>14225</v>
      </c>
      <c r="H1007" s="107"/>
      <c r="I1007" s="107"/>
      <c r="L1007" s="148">
        <v>44817</v>
      </c>
      <c r="M1007" s="107">
        <v>1030.4000000000001</v>
      </c>
      <c r="N1007" s="107">
        <v>1063.25</v>
      </c>
      <c r="O1007" s="107">
        <v>1017</v>
      </c>
      <c r="P1007" s="107">
        <v>1050</v>
      </c>
      <c r="Q1007" s="107">
        <v>1030.4000000000001</v>
      </c>
      <c r="R1007">
        <v>952338</v>
      </c>
    </row>
    <row r="1008" spans="1:18" x14ac:dyDescent="0.25">
      <c r="A1008" s="148">
        <v>44818</v>
      </c>
      <c r="B1008" s="107">
        <v>1028.1500000000001</v>
      </c>
      <c r="C1008" s="107">
        <v>1023.95</v>
      </c>
      <c r="D1008" s="107">
        <v>1004</v>
      </c>
      <c r="E1008" s="107">
        <v>1010</v>
      </c>
      <c r="F1008" s="107">
        <v>1023.95</v>
      </c>
      <c r="G1008">
        <v>9270</v>
      </c>
      <c r="H1008" s="107"/>
      <c r="I1008" s="107"/>
      <c r="L1008" s="148">
        <v>44818</v>
      </c>
      <c r="M1008" s="107">
        <v>1025.3499999999999</v>
      </c>
      <c r="N1008" s="107">
        <v>1029.55</v>
      </c>
      <c r="O1008" s="107">
        <v>1004.25</v>
      </c>
      <c r="P1008" s="107">
        <v>1008</v>
      </c>
      <c r="Q1008" s="107">
        <v>1025.3499999999999</v>
      </c>
      <c r="R1008">
        <v>121800</v>
      </c>
    </row>
    <row r="1009" spans="1:18" x14ac:dyDescent="0.25">
      <c r="A1009" s="148">
        <v>44819</v>
      </c>
      <c r="B1009" s="107">
        <v>1029.95</v>
      </c>
      <c r="C1009" s="107">
        <v>1001.95</v>
      </c>
      <c r="D1009" s="107">
        <v>997.6</v>
      </c>
      <c r="E1009" s="107">
        <v>1020</v>
      </c>
      <c r="F1009" s="107">
        <v>1001.95</v>
      </c>
      <c r="G1009">
        <v>5575</v>
      </c>
      <c r="H1009" s="107"/>
      <c r="I1009" s="107"/>
      <c r="L1009" s="148">
        <v>44819</v>
      </c>
      <c r="M1009" s="107">
        <v>1000.6</v>
      </c>
      <c r="N1009" s="107">
        <v>1030</v>
      </c>
      <c r="O1009" s="107">
        <v>998</v>
      </c>
      <c r="P1009" s="107">
        <v>1029.8</v>
      </c>
      <c r="Q1009" s="107">
        <v>1000.6</v>
      </c>
      <c r="R1009">
        <v>105242</v>
      </c>
    </row>
    <row r="1010" spans="1:18" x14ac:dyDescent="0.25">
      <c r="A1010" s="148">
        <v>44820</v>
      </c>
      <c r="B1010" s="107">
        <v>1035</v>
      </c>
      <c r="C1010" s="107">
        <v>1016.95</v>
      </c>
      <c r="D1010" s="107">
        <v>968.1</v>
      </c>
      <c r="E1010" s="107">
        <v>990</v>
      </c>
      <c r="F1010" s="107">
        <v>1016.95</v>
      </c>
      <c r="G1010">
        <v>22833</v>
      </c>
      <c r="H1010" s="107"/>
      <c r="I1010" s="107"/>
      <c r="L1010" s="148">
        <v>44820</v>
      </c>
      <c r="M1010" s="107">
        <v>1012.65</v>
      </c>
      <c r="N1010" s="107">
        <v>1034.75</v>
      </c>
      <c r="O1010" s="107">
        <v>969.4</v>
      </c>
      <c r="P1010" s="107">
        <v>1004.7</v>
      </c>
      <c r="Q1010" s="107">
        <v>1012.65</v>
      </c>
      <c r="R1010">
        <v>313077</v>
      </c>
    </row>
    <row r="1011" spans="1:18" x14ac:dyDescent="0.25">
      <c r="A1011" s="148">
        <v>44823</v>
      </c>
      <c r="B1011" s="107">
        <v>1024.45</v>
      </c>
      <c r="C1011" s="107">
        <v>988.05</v>
      </c>
      <c r="D1011" s="107">
        <v>977.6</v>
      </c>
      <c r="E1011" s="107">
        <v>1008</v>
      </c>
      <c r="F1011" s="107">
        <v>988.05</v>
      </c>
      <c r="G1011">
        <v>125784</v>
      </c>
      <c r="H1011" s="107"/>
      <c r="I1011" s="107"/>
      <c r="L1011" s="148">
        <v>44823</v>
      </c>
      <c r="M1011" s="107">
        <v>988.85</v>
      </c>
      <c r="N1011" s="107">
        <v>1022.35</v>
      </c>
      <c r="O1011" s="107">
        <v>983.45</v>
      </c>
      <c r="P1011" s="107">
        <v>1012.65</v>
      </c>
      <c r="Q1011" s="107">
        <v>988.85</v>
      </c>
      <c r="R1011">
        <v>72924</v>
      </c>
    </row>
    <row r="1012" spans="1:18" x14ac:dyDescent="0.25">
      <c r="A1012" s="148">
        <v>44824</v>
      </c>
      <c r="B1012" s="107">
        <v>1010</v>
      </c>
      <c r="C1012" s="107">
        <v>998</v>
      </c>
      <c r="D1012" s="107">
        <v>990</v>
      </c>
      <c r="E1012" s="107">
        <v>994</v>
      </c>
      <c r="F1012" s="107">
        <v>998</v>
      </c>
      <c r="G1012">
        <v>7341</v>
      </c>
      <c r="H1012" s="107"/>
      <c r="I1012" s="107"/>
      <c r="L1012" s="148">
        <v>44824</v>
      </c>
      <c r="M1012" s="107">
        <v>998.8</v>
      </c>
      <c r="N1012" s="107">
        <v>1010.35</v>
      </c>
      <c r="O1012" s="107">
        <v>990.4</v>
      </c>
      <c r="P1012" s="107">
        <v>990.4</v>
      </c>
      <c r="Q1012" s="107">
        <v>998.8</v>
      </c>
      <c r="R1012">
        <v>51739</v>
      </c>
    </row>
    <row r="1013" spans="1:18" x14ac:dyDescent="0.25">
      <c r="A1013" s="148">
        <v>44825</v>
      </c>
      <c r="B1013" s="107">
        <v>1001.25</v>
      </c>
      <c r="C1013" s="107">
        <v>997.2</v>
      </c>
      <c r="D1013" s="107">
        <v>975.85</v>
      </c>
      <c r="E1013" s="107">
        <v>983.35</v>
      </c>
      <c r="F1013" s="107">
        <v>997.2</v>
      </c>
      <c r="G1013">
        <v>4479</v>
      </c>
      <c r="H1013" s="107"/>
      <c r="I1013" s="107"/>
      <c r="L1013" s="148">
        <v>44825</v>
      </c>
      <c r="M1013" s="107">
        <v>998.35</v>
      </c>
      <c r="N1013" s="107">
        <v>1001.65</v>
      </c>
      <c r="O1013" s="107">
        <v>975.15</v>
      </c>
      <c r="P1013" s="107">
        <v>996</v>
      </c>
      <c r="Q1013" s="107">
        <v>998.35</v>
      </c>
      <c r="R1013">
        <v>66986</v>
      </c>
    </row>
    <row r="1014" spans="1:18" x14ac:dyDescent="0.25">
      <c r="A1014" s="148">
        <v>44826</v>
      </c>
      <c r="B1014" s="107">
        <v>1006.1</v>
      </c>
      <c r="C1014" s="107">
        <v>1000.55</v>
      </c>
      <c r="D1014" s="107">
        <v>992.45</v>
      </c>
      <c r="E1014" s="107">
        <v>993.5</v>
      </c>
      <c r="F1014" s="107">
        <v>1000.55</v>
      </c>
      <c r="G1014">
        <v>1961</v>
      </c>
      <c r="H1014" s="107"/>
      <c r="I1014" s="107"/>
      <c r="L1014" s="148">
        <v>44826</v>
      </c>
      <c r="M1014" s="107">
        <v>999.7</v>
      </c>
      <c r="N1014" s="107">
        <v>1008.15</v>
      </c>
      <c r="O1014" s="107">
        <v>990</v>
      </c>
      <c r="P1014" s="107">
        <v>997.75</v>
      </c>
      <c r="Q1014" s="107">
        <v>999.7</v>
      </c>
      <c r="R1014">
        <v>60534</v>
      </c>
    </row>
    <row r="1015" spans="1:18" x14ac:dyDescent="0.25">
      <c r="A1015" s="148">
        <v>44827</v>
      </c>
      <c r="B1015" s="107">
        <v>1004.95</v>
      </c>
      <c r="C1015" s="107">
        <v>993.55</v>
      </c>
      <c r="D1015" s="107">
        <v>975.45</v>
      </c>
      <c r="E1015" s="107">
        <v>1004.4</v>
      </c>
      <c r="F1015" s="107">
        <v>993.55</v>
      </c>
      <c r="G1015">
        <v>8970</v>
      </c>
      <c r="H1015" s="107"/>
      <c r="I1015" s="107"/>
      <c r="L1015" s="148">
        <v>44827</v>
      </c>
      <c r="M1015" s="107">
        <v>993.5</v>
      </c>
      <c r="N1015" s="107">
        <v>1005.65</v>
      </c>
      <c r="O1015" s="107">
        <v>977.25</v>
      </c>
      <c r="P1015" s="107">
        <v>1001.3</v>
      </c>
      <c r="Q1015" s="107">
        <v>993.5</v>
      </c>
      <c r="R1015">
        <v>102924</v>
      </c>
    </row>
    <row r="1016" spans="1:18" x14ac:dyDescent="0.25">
      <c r="A1016" s="148">
        <v>44830</v>
      </c>
      <c r="B1016" s="107">
        <v>999</v>
      </c>
      <c r="C1016" s="107">
        <v>979.55</v>
      </c>
      <c r="D1016" s="107">
        <v>974</v>
      </c>
      <c r="E1016" s="107">
        <v>999</v>
      </c>
      <c r="F1016" s="107">
        <v>979.55</v>
      </c>
      <c r="G1016">
        <v>11754</v>
      </c>
      <c r="H1016" s="107"/>
      <c r="I1016" s="107"/>
      <c r="L1016" s="148">
        <v>44830</v>
      </c>
      <c r="M1016" s="107">
        <v>979.35</v>
      </c>
      <c r="N1016" s="107">
        <v>1003.95</v>
      </c>
      <c r="O1016" s="107">
        <v>972.35</v>
      </c>
      <c r="P1016" s="107">
        <v>998.7</v>
      </c>
      <c r="Q1016" s="107">
        <v>979.35</v>
      </c>
      <c r="R1016">
        <v>98940</v>
      </c>
    </row>
    <row r="1017" spans="1:18" x14ac:dyDescent="0.25">
      <c r="A1017" s="148">
        <v>44831</v>
      </c>
      <c r="B1017" s="107">
        <v>997.95</v>
      </c>
      <c r="C1017" s="107">
        <v>988.2</v>
      </c>
      <c r="D1017" s="107">
        <v>978</v>
      </c>
      <c r="E1017" s="107">
        <v>988.1</v>
      </c>
      <c r="F1017" s="107">
        <v>988.2</v>
      </c>
      <c r="G1017">
        <v>6273</v>
      </c>
      <c r="H1017" s="107"/>
      <c r="I1017" s="107"/>
      <c r="L1017" s="148">
        <v>44831</v>
      </c>
      <c r="M1017" s="107">
        <v>991.8</v>
      </c>
      <c r="N1017" s="107">
        <v>998.9</v>
      </c>
      <c r="O1017" s="107">
        <v>976.1</v>
      </c>
      <c r="P1017" s="107">
        <v>976.1</v>
      </c>
      <c r="Q1017" s="107">
        <v>991.8</v>
      </c>
      <c r="R1017">
        <v>180301</v>
      </c>
    </row>
    <row r="1018" spans="1:18" x14ac:dyDescent="0.25">
      <c r="A1018" s="148">
        <v>44832</v>
      </c>
      <c r="B1018" s="107">
        <v>997.75</v>
      </c>
      <c r="C1018" s="107">
        <v>990.25</v>
      </c>
      <c r="D1018" s="107">
        <v>980.1</v>
      </c>
      <c r="E1018" s="107">
        <v>997.75</v>
      </c>
      <c r="F1018" s="107">
        <v>990.25</v>
      </c>
      <c r="G1018">
        <v>2193</v>
      </c>
      <c r="H1018" s="107"/>
      <c r="I1018" s="107"/>
      <c r="L1018" s="148">
        <v>44832</v>
      </c>
      <c r="M1018" s="107">
        <v>987.7</v>
      </c>
      <c r="N1018" s="107">
        <v>993.85</v>
      </c>
      <c r="O1018" s="107">
        <v>980</v>
      </c>
      <c r="P1018" s="107">
        <v>982.8</v>
      </c>
      <c r="Q1018" s="107">
        <v>987.7</v>
      </c>
      <c r="R1018">
        <v>40925</v>
      </c>
    </row>
    <row r="1019" spans="1:18" x14ac:dyDescent="0.25">
      <c r="A1019" s="148">
        <v>44833</v>
      </c>
      <c r="B1019" s="107">
        <v>1017.85</v>
      </c>
      <c r="C1019" s="107">
        <v>1000</v>
      </c>
      <c r="D1019" s="107">
        <v>984</v>
      </c>
      <c r="E1019" s="107">
        <v>990.05</v>
      </c>
      <c r="F1019" s="107">
        <v>1000</v>
      </c>
      <c r="G1019">
        <v>7650</v>
      </c>
      <c r="H1019" s="107"/>
      <c r="I1019" s="107"/>
      <c r="L1019" s="148">
        <v>44833</v>
      </c>
      <c r="M1019" s="107">
        <v>1000.5</v>
      </c>
      <c r="N1019" s="107">
        <v>1018.05</v>
      </c>
      <c r="O1019" s="107">
        <v>983.85</v>
      </c>
      <c r="P1019" s="107">
        <v>992.65</v>
      </c>
      <c r="Q1019" s="107">
        <v>1000.5</v>
      </c>
      <c r="R1019">
        <v>138941</v>
      </c>
    </row>
    <row r="1020" spans="1:18" x14ac:dyDescent="0.25">
      <c r="A1020" s="148">
        <v>44834</v>
      </c>
      <c r="B1020" s="107">
        <v>1000.45</v>
      </c>
      <c r="C1020" s="107">
        <v>995.45</v>
      </c>
      <c r="D1020" s="107">
        <v>990.55</v>
      </c>
      <c r="E1020" s="107">
        <v>996</v>
      </c>
      <c r="F1020" s="107">
        <v>995.45</v>
      </c>
      <c r="G1020">
        <v>4014</v>
      </c>
      <c r="H1020" s="107"/>
      <c r="I1020" s="107"/>
      <c r="L1020" s="148">
        <v>44834</v>
      </c>
      <c r="M1020" s="107">
        <v>994.1</v>
      </c>
      <c r="N1020" s="107">
        <v>1005.15</v>
      </c>
      <c r="O1020" s="107">
        <v>990</v>
      </c>
      <c r="P1020" s="107">
        <v>998</v>
      </c>
      <c r="Q1020" s="107">
        <v>994.1</v>
      </c>
      <c r="R1020">
        <v>117437</v>
      </c>
    </row>
    <row r="1021" spans="1:18" x14ac:dyDescent="0.25">
      <c r="A1021" s="148">
        <v>44837</v>
      </c>
      <c r="B1021" s="107">
        <v>1012.95</v>
      </c>
      <c r="C1021" s="107">
        <v>993.9</v>
      </c>
      <c r="D1021" s="107">
        <v>978</v>
      </c>
      <c r="E1021" s="107">
        <v>990.6</v>
      </c>
      <c r="F1021" s="107">
        <v>993.9</v>
      </c>
      <c r="G1021">
        <v>6483</v>
      </c>
      <c r="H1021" s="107"/>
      <c r="I1021" s="107"/>
      <c r="L1021" s="148">
        <v>44837</v>
      </c>
      <c r="M1021" s="107">
        <v>994.5</v>
      </c>
      <c r="N1021" s="107">
        <v>1014.8</v>
      </c>
      <c r="O1021" s="107">
        <v>978</v>
      </c>
      <c r="P1021" s="107">
        <v>994.1</v>
      </c>
      <c r="Q1021" s="107">
        <v>994.5</v>
      </c>
      <c r="R1021">
        <v>78245</v>
      </c>
    </row>
    <row r="1022" spans="1:18" x14ac:dyDescent="0.25">
      <c r="A1022" s="148">
        <v>44838</v>
      </c>
      <c r="B1022" s="107">
        <v>1006.45</v>
      </c>
      <c r="C1022" s="107">
        <v>994.75</v>
      </c>
      <c r="D1022" s="107">
        <v>991.55</v>
      </c>
      <c r="E1022" s="107">
        <v>1005.55</v>
      </c>
      <c r="F1022" s="107">
        <v>994.75</v>
      </c>
      <c r="G1022">
        <v>2096</v>
      </c>
      <c r="H1022" s="107"/>
      <c r="I1022" s="107"/>
      <c r="L1022" s="148">
        <v>44838</v>
      </c>
      <c r="M1022" s="107">
        <v>996.5</v>
      </c>
      <c r="N1022" s="107">
        <v>1011.9</v>
      </c>
      <c r="O1022" s="107">
        <v>990</v>
      </c>
      <c r="P1022" s="107">
        <v>1011.9</v>
      </c>
      <c r="Q1022" s="107">
        <v>996.5</v>
      </c>
      <c r="R1022">
        <v>58664</v>
      </c>
    </row>
    <row r="1023" spans="1:18" x14ac:dyDescent="0.25">
      <c r="A1023" s="148">
        <v>44840</v>
      </c>
      <c r="B1023" s="107">
        <v>1026.95</v>
      </c>
      <c r="C1023" s="107">
        <v>1000</v>
      </c>
      <c r="D1023" s="107">
        <v>996.95</v>
      </c>
      <c r="E1023" s="107">
        <v>1026.95</v>
      </c>
      <c r="F1023" s="107">
        <v>1000</v>
      </c>
      <c r="G1023">
        <v>2164</v>
      </c>
      <c r="H1023" s="107"/>
      <c r="I1023" s="107"/>
      <c r="L1023" s="148">
        <v>44840</v>
      </c>
      <c r="M1023" s="107">
        <v>1001.05</v>
      </c>
      <c r="N1023" s="107">
        <v>1017.35</v>
      </c>
      <c r="O1023" s="107">
        <v>998</v>
      </c>
      <c r="P1023" s="107">
        <v>1009</v>
      </c>
      <c r="Q1023" s="107">
        <v>1001.05</v>
      </c>
      <c r="R1023">
        <v>62275</v>
      </c>
    </row>
    <row r="1024" spans="1:18" x14ac:dyDescent="0.25">
      <c r="A1024" s="148">
        <v>44841</v>
      </c>
      <c r="B1024" s="107">
        <v>1007.45</v>
      </c>
      <c r="C1024" s="107">
        <v>998.85</v>
      </c>
      <c r="D1024" s="107">
        <v>990</v>
      </c>
      <c r="E1024" s="107">
        <v>1002.45</v>
      </c>
      <c r="F1024" s="107">
        <v>998.85</v>
      </c>
      <c r="G1024">
        <v>6021</v>
      </c>
      <c r="H1024" s="107"/>
      <c r="I1024" s="107"/>
      <c r="L1024" s="148">
        <v>44841</v>
      </c>
      <c r="M1024" s="107">
        <v>999.6</v>
      </c>
      <c r="N1024" s="107">
        <v>1007.45</v>
      </c>
      <c r="O1024" s="107">
        <v>989.05</v>
      </c>
      <c r="P1024" s="107">
        <v>1001.05</v>
      </c>
      <c r="Q1024" s="107">
        <v>999.6</v>
      </c>
      <c r="R1024">
        <v>75483</v>
      </c>
    </row>
    <row r="1025" spans="1:18" x14ac:dyDescent="0.25">
      <c r="A1025" s="148">
        <v>44844</v>
      </c>
      <c r="B1025" s="107">
        <v>999.85</v>
      </c>
      <c r="C1025" s="107">
        <v>995.3</v>
      </c>
      <c r="D1025" s="107">
        <v>992.2</v>
      </c>
      <c r="E1025" s="107">
        <v>999.85</v>
      </c>
      <c r="F1025" s="107">
        <v>995.3</v>
      </c>
      <c r="G1025">
        <v>2126</v>
      </c>
      <c r="H1025" s="107"/>
      <c r="I1025" s="107"/>
      <c r="L1025" s="148">
        <v>44844</v>
      </c>
      <c r="M1025" s="107">
        <v>995.65</v>
      </c>
      <c r="N1025" s="107">
        <v>1004.4</v>
      </c>
      <c r="O1025" s="107">
        <v>990</v>
      </c>
      <c r="P1025" s="107">
        <v>999.6</v>
      </c>
      <c r="Q1025" s="107">
        <v>995.65</v>
      </c>
      <c r="R1025">
        <v>22885</v>
      </c>
    </row>
    <row r="1026" spans="1:18" x14ac:dyDescent="0.25">
      <c r="A1026" s="148">
        <v>44845</v>
      </c>
      <c r="B1026" s="107">
        <v>996.85</v>
      </c>
      <c r="C1026" s="107">
        <v>986.75</v>
      </c>
      <c r="D1026" s="107">
        <v>978</v>
      </c>
      <c r="E1026" s="107">
        <v>993.7</v>
      </c>
      <c r="F1026" s="107">
        <v>986.75</v>
      </c>
      <c r="G1026">
        <v>129103</v>
      </c>
      <c r="H1026" s="107"/>
      <c r="I1026" s="107"/>
      <c r="L1026" s="148">
        <v>44845</v>
      </c>
      <c r="M1026" s="107">
        <v>983.3</v>
      </c>
      <c r="N1026" s="107">
        <v>997.45</v>
      </c>
      <c r="O1026" s="107">
        <v>980</v>
      </c>
      <c r="P1026" s="107">
        <v>995.65</v>
      </c>
      <c r="Q1026" s="107">
        <v>983.3</v>
      </c>
      <c r="R1026">
        <v>28633</v>
      </c>
    </row>
    <row r="1027" spans="1:18" x14ac:dyDescent="0.25">
      <c r="A1027" s="148">
        <v>44846</v>
      </c>
      <c r="B1027" s="107">
        <v>991.1</v>
      </c>
      <c r="C1027" s="107">
        <v>989.15</v>
      </c>
      <c r="D1027" s="107">
        <v>979.2</v>
      </c>
      <c r="E1027" s="107">
        <v>989.25</v>
      </c>
      <c r="F1027" s="107">
        <v>989.15</v>
      </c>
      <c r="G1027">
        <v>2350</v>
      </c>
      <c r="H1027" s="107"/>
      <c r="I1027" s="107"/>
      <c r="L1027" s="148">
        <v>44846</v>
      </c>
      <c r="M1027" s="107">
        <v>986.95</v>
      </c>
      <c r="N1027" s="107">
        <v>991.35</v>
      </c>
      <c r="O1027" s="107">
        <v>979.25</v>
      </c>
      <c r="P1027" s="107">
        <v>984.85</v>
      </c>
      <c r="Q1027" s="107">
        <v>986.95</v>
      </c>
      <c r="R1027">
        <v>21866</v>
      </c>
    </row>
    <row r="1028" spans="1:18" x14ac:dyDescent="0.25">
      <c r="A1028" s="148">
        <v>44847</v>
      </c>
      <c r="B1028" s="107">
        <v>1000.95</v>
      </c>
      <c r="C1028" s="107">
        <v>986.15</v>
      </c>
      <c r="D1028" s="107">
        <v>978.5</v>
      </c>
      <c r="E1028" s="107">
        <v>983</v>
      </c>
      <c r="F1028" s="107">
        <v>986.15</v>
      </c>
      <c r="G1028">
        <v>4125</v>
      </c>
      <c r="H1028" s="107"/>
      <c r="I1028" s="107"/>
      <c r="L1028" s="148">
        <v>44847</v>
      </c>
      <c r="M1028" s="107">
        <v>991.8</v>
      </c>
      <c r="N1028" s="107">
        <v>1002.45</v>
      </c>
      <c r="O1028" s="107">
        <v>978.55</v>
      </c>
      <c r="P1028" s="107">
        <v>986.95</v>
      </c>
      <c r="Q1028" s="107">
        <v>991.8</v>
      </c>
      <c r="R1028">
        <v>89568</v>
      </c>
    </row>
    <row r="1029" spans="1:18" x14ac:dyDescent="0.25">
      <c r="A1029" s="148">
        <v>44848</v>
      </c>
      <c r="B1029" s="107">
        <v>1021.6</v>
      </c>
      <c r="C1029" s="107">
        <v>983.75</v>
      </c>
      <c r="D1029" s="107">
        <v>970.1</v>
      </c>
      <c r="E1029" s="107">
        <v>985</v>
      </c>
      <c r="F1029" s="107">
        <v>983.75</v>
      </c>
      <c r="G1029">
        <v>2268</v>
      </c>
      <c r="H1029" s="107"/>
      <c r="I1029" s="107"/>
      <c r="L1029" s="148">
        <v>44848</v>
      </c>
      <c r="M1029" s="107">
        <v>977.15</v>
      </c>
      <c r="N1029" s="107">
        <v>1035</v>
      </c>
      <c r="O1029" s="107">
        <v>970.05</v>
      </c>
      <c r="P1029" s="107">
        <v>995</v>
      </c>
      <c r="Q1029" s="107">
        <v>977.15</v>
      </c>
      <c r="R1029">
        <v>86262</v>
      </c>
    </row>
    <row r="1030" spans="1:18" x14ac:dyDescent="0.25">
      <c r="A1030" s="148">
        <v>44851</v>
      </c>
      <c r="B1030" s="107">
        <v>980.15</v>
      </c>
      <c r="C1030" s="107">
        <v>933.8</v>
      </c>
      <c r="D1030" s="107">
        <v>906.75</v>
      </c>
      <c r="E1030" s="107">
        <v>971.05</v>
      </c>
      <c r="F1030" s="107">
        <v>933.8</v>
      </c>
      <c r="G1030">
        <v>148274</v>
      </c>
      <c r="H1030" s="107"/>
      <c r="I1030" s="107"/>
      <c r="L1030" s="148">
        <v>44851</v>
      </c>
      <c r="M1030" s="107">
        <v>935.4</v>
      </c>
      <c r="N1030" s="107">
        <v>981.45</v>
      </c>
      <c r="O1030" s="107">
        <v>906.1</v>
      </c>
      <c r="P1030" s="107">
        <v>980</v>
      </c>
      <c r="Q1030" s="107">
        <v>935.4</v>
      </c>
      <c r="R1030">
        <v>313321</v>
      </c>
    </row>
    <row r="1031" spans="1:18" x14ac:dyDescent="0.25">
      <c r="A1031" s="148">
        <v>44852</v>
      </c>
      <c r="B1031" s="107">
        <v>950</v>
      </c>
      <c r="C1031" s="107">
        <v>941.4</v>
      </c>
      <c r="D1031" s="107">
        <v>905.55</v>
      </c>
      <c r="E1031" s="107">
        <v>933.85</v>
      </c>
      <c r="F1031" s="107">
        <v>941.4</v>
      </c>
      <c r="G1031">
        <v>4478</v>
      </c>
      <c r="H1031" s="107"/>
      <c r="I1031" s="107"/>
      <c r="L1031" s="148">
        <v>44852</v>
      </c>
      <c r="M1031" s="107">
        <v>941.6</v>
      </c>
      <c r="N1031" s="107">
        <v>950</v>
      </c>
      <c r="O1031" s="107">
        <v>905.2</v>
      </c>
      <c r="P1031" s="107">
        <v>939.4</v>
      </c>
      <c r="Q1031" s="107">
        <v>941.6</v>
      </c>
      <c r="R1031">
        <v>163382</v>
      </c>
    </row>
    <row r="1032" spans="1:18" x14ac:dyDescent="0.25">
      <c r="A1032" s="148">
        <v>44853</v>
      </c>
      <c r="B1032" s="107">
        <v>985.9</v>
      </c>
      <c r="C1032" s="107">
        <v>974.45</v>
      </c>
      <c r="D1032" s="107">
        <v>940.55</v>
      </c>
      <c r="E1032" s="107">
        <v>940.7</v>
      </c>
      <c r="F1032" s="107">
        <v>974.45</v>
      </c>
      <c r="G1032">
        <v>6825</v>
      </c>
      <c r="H1032" s="107"/>
      <c r="I1032" s="107"/>
      <c r="L1032" s="148">
        <v>44853</v>
      </c>
      <c r="M1032" s="107">
        <v>974.6</v>
      </c>
      <c r="N1032" s="107">
        <v>989.3</v>
      </c>
      <c r="O1032" s="107">
        <v>931</v>
      </c>
      <c r="P1032" s="107">
        <v>946.35</v>
      </c>
      <c r="Q1032" s="107">
        <v>974.6</v>
      </c>
      <c r="R1032">
        <v>195395</v>
      </c>
    </row>
    <row r="1033" spans="1:18" x14ac:dyDescent="0.25">
      <c r="A1033" s="148">
        <v>44854</v>
      </c>
      <c r="B1033" s="107">
        <v>1006</v>
      </c>
      <c r="C1033" s="107">
        <v>975.55</v>
      </c>
      <c r="D1033" s="107">
        <v>956.6</v>
      </c>
      <c r="E1033" s="107">
        <v>963.15</v>
      </c>
      <c r="F1033" s="107">
        <v>975.55</v>
      </c>
      <c r="G1033">
        <v>6042</v>
      </c>
      <c r="H1033" s="107"/>
      <c r="I1033" s="107"/>
      <c r="L1033" s="148">
        <v>44854</v>
      </c>
      <c r="M1033" s="107">
        <v>972.55</v>
      </c>
      <c r="N1033" s="107">
        <v>983.7</v>
      </c>
      <c r="O1033" s="107">
        <v>958</v>
      </c>
      <c r="P1033" s="107">
        <v>965</v>
      </c>
      <c r="Q1033" s="107">
        <v>972.55</v>
      </c>
      <c r="R1033">
        <v>54605</v>
      </c>
    </row>
    <row r="1034" spans="1:18" x14ac:dyDescent="0.25">
      <c r="A1034" s="148">
        <v>44855</v>
      </c>
      <c r="B1034" s="107">
        <v>974</v>
      </c>
      <c r="C1034" s="107">
        <v>959.1</v>
      </c>
      <c r="D1034" s="107">
        <v>946.05</v>
      </c>
      <c r="E1034" s="107">
        <v>973.65</v>
      </c>
      <c r="F1034" s="107">
        <v>959.1</v>
      </c>
      <c r="G1034">
        <v>6132</v>
      </c>
      <c r="H1034" s="107"/>
      <c r="I1034" s="107"/>
      <c r="L1034" s="148">
        <v>44855</v>
      </c>
      <c r="M1034" s="107">
        <v>957.55</v>
      </c>
      <c r="N1034" s="107">
        <v>971.6</v>
      </c>
      <c r="O1034" s="107">
        <v>945.8</v>
      </c>
      <c r="P1034" s="107">
        <v>965.55</v>
      </c>
      <c r="Q1034" s="107">
        <v>957.55</v>
      </c>
      <c r="R1034">
        <v>82532</v>
      </c>
    </row>
    <row r="1035" spans="1:18" x14ac:dyDescent="0.25">
      <c r="A1035" s="148">
        <v>44858</v>
      </c>
      <c r="B1035" s="107">
        <v>995</v>
      </c>
      <c r="C1035" s="107">
        <v>984.9</v>
      </c>
      <c r="D1035" s="107">
        <v>975</v>
      </c>
      <c r="E1035" s="107">
        <v>975</v>
      </c>
      <c r="F1035" s="107">
        <v>984.9</v>
      </c>
      <c r="G1035">
        <v>4298</v>
      </c>
      <c r="H1035" s="107"/>
      <c r="I1035" s="107"/>
      <c r="L1035" s="148">
        <v>44858</v>
      </c>
      <c r="M1035" s="107">
        <v>987.1</v>
      </c>
      <c r="N1035" s="107">
        <v>994.9</v>
      </c>
      <c r="O1035" s="107">
        <v>974.7</v>
      </c>
      <c r="P1035" s="107">
        <v>974.7</v>
      </c>
      <c r="Q1035" s="107">
        <v>987.1</v>
      </c>
      <c r="R1035">
        <v>31860</v>
      </c>
    </row>
    <row r="1036" spans="1:18" x14ac:dyDescent="0.25">
      <c r="A1036" s="148">
        <v>44859</v>
      </c>
      <c r="B1036" s="107">
        <v>985.55</v>
      </c>
      <c r="C1036" s="107">
        <v>975.05</v>
      </c>
      <c r="D1036" s="107">
        <v>962.1</v>
      </c>
      <c r="E1036" s="107">
        <v>985.55</v>
      </c>
      <c r="F1036" s="107">
        <v>975.05</v>
      </c>
      <c r="G1036">
        <v>2696</v>
      </c>
      <c r="H1036" s="107"/>
      <c r="I1036" s="107"/>
      <c r="L1036" s="148">
        <v>44859</v>
      </c>
      <c r="M1036" s="107">
        <v>976.4</v>
      </c>
      <c r="N1036" s="107">
        <v>987.1</v>
      </c>
      <c r="O1036" s="107">
        <v>962.4</v>
      </c>
      <c r="P1036" s="107">
        <v>987.1</v>
      </c>
      <c r="Q1036" s="107">
        <v>976.4</v>
      </c>
      <c r="R1036">
        <v>327375</v>
      </c>
    </row>
    <row r="1037" spans="1:18" x14ac:dyDescent="0.25">
      <c r="A1037" s="148">
        <v>44861</v>
      </c>
      <c r="B1037" s="107">
        <v>987.2</v>
      </c>
      <c r="C1037" s="107">
        <v>975.85</v>
      </c>
      <c r="D1037" s="107">
        <v>967</v>
      </c>
      <c r="E1037" s="107">
        <v>979.7</v>
      </c>
      <c r="F1037" s="107">
        <v>975.85</v>
      </c>
      <c r="G1037">
        <v>2232</v>
      </c>
      <c r="H1037" s="107"/>
      <c r="I1037" s="107"/>
      <c r="L1037" s="148">
        <v>44861</v>
      </c>
      <c r="M1037" s="107">
        <v>975.2</v>
      </c>
      <c r="N1037" s="107">
        <v>986.65</v>
      </c>
      <c r="O1037" s="107">
        <v>966.4</v>
      </c>
      <c r="P1037" s="107">
        <v>978.2</v>
      </c>
      <c r="Q1037" s="107">
        <v>975.2</v>
      </c>
      <c r="R1037">
        <v>99577</v>
      </c>
    </row>
    <row r="1038" spans="1:18" x14ac:dyDescent="0.25">
      <c r="A1038" s="148">
        <v>44862</v>
      </c>
      <c r="B1038" s="107">
        <v>1004</v>
      </c>
      <c r="C1038" s="107">
        <v>954.5</v>
      </c>
      <c r="D1038" s="107">
        <v>946.5</v>
      </c>
      <c r="E1038" s="107">
        <v>975.9</v>
      </c>
      <c r="F1038" s="107">
        <v>954.5</v>
      </c>
      <c r="G1038">
        <v>4418</v>
      </c>
      <c r="H1038" s="107"/>
      <c r="I1038" s="107"/>
      <c r="L1038" s="148">
        <v>44862</v>
      </c>
      <c r="M1038" s="107">
        <v>953.1</v>
      </c>
      <c r="N1038" s="107">
        <v>985.6</v>
      </c>
      <c r="O1038" s="107">
        <v>948</v>
      </c>
      <c r="P1038" s="107">
        <v>975</v>
      </c>
      <c r="Q1038" s="107">
        <v>953.1</v>
      </c>
      <c r="R1038">
        <v>38740</v>
      </c>
    </row>
    <row r="1039" spans="1:18" x14ac:dyDescent="0.25">
      <c r="A1039" s="148">
        <v>44865</v>
      </c>
      <c r="B1039" s="107">
        <v>976.55</v>
      </c>
      <c r="C1039" s="107">
        <v>973.9</v>
      </c>
      <c r="D1039" s="107">
        <v>949.35</v>
      </c>
      <c r="E1039" s="107">
        <v>955.05</v>
      </c>
      <c r="F1039" s="107">
        <v>973.9</v>
      </c>
      <c r="G1039">
        <v>3929</v>
      </c>
      <c r="H1039" s="107"/>
      <c r="I1039" s="107"/>
      <c r="L1039" s="148">
        <v>44865</v>
      </c>
      <c r="M1039" s="107">
        <v>975.2</v>
      </c>
      <c r="N1039" s="107">
        <v>977.25</v>
      </c>
      <c r="O1039" s="107">
        <v>949.25</v>
      </c>
      <c r="P1039" s="107">
        <v>959.95</v>
      </c>
      <c r="Q1039" s="107">
        <v>975.2</v>
      </c>
      <c r="R1039">
        <v>57385</v>
      </c>
    </row>
    <row r="1040" spans="1:18" x14ac:dyDescent="0.25">
      <c r="A1040" s="148">
        <v>44866</v>
      </c>
      <c r="B1040" s="107">
        <v>992.7</v>
      </c>
      <c r="C1040" s="107">
        <v>983.3</v>
      </c>
      <c r="D1040" s="107">
        <v>972.7</v>
      </c>
      <c r="E1040" s="107">
        <v>972.7</v>
      </c>
      <c r="F1040" s="107">
        <v>983.3</v>
      </c>
      <c r="G1040">
        <v>3063</v>
      </c>
      <c r="H1040" s="107"/>
      <c r="I1040" s="107"/>
      <c r="L1040" s="148">
        <v>44866</v>
      </c>
      <c r="M1040" s="107">
        <v>982.4</v>
      </c>
      <c r="N1040" s="107">
        <v>993</v>
      </c>
      <c r="O1040" s="107">
        <v>965.5</v>
      </c>
      <c r="P1040" s="107">
        <v>965.5</v>
      </c>
      <c r="Q1040" s="107">
        <v>982.4</v>
      </c>
      <c r="R1040">
        <v>85721</v>
      </c>
    </row>
    <row r="1041" spans="1:18" x14ac:dyDescent="0.25">
      <c r="A1041" s="148">
        <v>44867</v>
      </c>
      <c r="B1041" s="107">
        <v>998.75</v>
      </c>
      <c r="C1041" s="107">
        <v>993.6</v>
      </c>
      <c r="D1041" s="107">
        <v>958.95</v>
      </c>
      <c r="E1041" s="107">
        <v>973.05</v>
      </c>
      <c r="F1041" s="107">
        <v>993.6</v>
      </c>
      <c r="G1041">
        <v>4393</v>
      </c>
      <c r="H1041" s="107"/>
      <c r="I1041" s="107"/>
      <c r="L1041" s="148">
        <v>44867</v>
      </c>
      <c r="M1041" s="107">
        <v>994.45</v>
      </c>
      <c r="N1041" s="107">
        <v>999</v>
      </c>
      <c r="O1041" s="107">
        <v>977.75</v>
      </c>
      <c r="P1041" s="107">
        <v>982.7</v>
      </c>
      <c r="Q1041" s="107">
        <v>994.45</v>
      </c>
      <c r="R1041">
        <v>101158</v>
      </c>
    </row>
    <row r="1042" spans="1:18" x14ac:dyDescent="0.25">
      <c r="A1042" s="148">
        <v>44868</v>
      </c>
      <c r="B1042" s="107">
        <v>994.65</v>
      </c>
      <c r="C1042" s="107">
        <v>973.6</v>
      </c>
      <c r="D1042" s="107">
        <v>965.85</v>
      </c>
      <c r="E1042" s="107">
        <v>990</v>
      </c>
      <c r="F1042" s="107">
        <v>973.6</v>
      </c>
      <c r="G1042">
        <v>5857</v>
      </c>
      <c r="H1042" s="107"/>
      <c r="I1042" s="107"/>
      <c r="L1042" s="148">
        <v>44868</v>
      </c>
      <c r="M1042" s="107">
        <v>973.9</v>
      </c>
      <c r="N1042" s="107">
        <v>995.6</v>
      </c>
      <c r="O1042" s="107">
        <v>965.75</v>
      </c>
      <c r="P1042" s="107">
        <v>985</v>
      </c>
      <c r="Q1042" s="107">
        <v>973.9</v>
      </c>
      <c r="R1042">
        <v>129726</v>
      </c>
    </row>
    <row r="1043" spans="1:18" x14ac:dyDescent="0.25">
      <c r="A1043" s="148">
        <v>44869</v>
      </c>
      <c r="B1043" s="107">
        <v>983.55</v>
      </c>
      <c r="C1043" s="107">
        <v>980</v>
      </c>
      <c r="D1043" s="107">
        <v>965.45</v>
      </c>
      <c r="E1043" s="107">
        <v>965.45</v>
      </c>
      <c r="F1043" s="107">
        <v>980</v>
      </c>
      <c r="G1043">
        <v>1429</v>
      </c>
      <c r="H1043" s="107"/>
      <c r="I1043" s="107"/>
      <c r="L1043" s="148">
        <v>44869</v>
      </c>
      <c r="M1043" s="107">
        <v>980.9</v>
      </c>
      <c r="N1043" s="107">
        <v>984.9</v>
      </c>
      <c r="O1043" s="107">
        <v>968.35</v>
      </c>
      <c r="P1043" s="107">
        <v>968.4</v>
      </c>
      <c r="Q1043" s="107">
        <v>980.9</v>
      </c>
      <c r="R1043">
        <v>154663</v>
      </c>
    </row>
    <row r="1044" spans="1:18" x14ac:dyDescent="0.25">
      <c r="A1044" s="148">
        <v>44872</v>
      </c>
      <c r="B1044" s="107">
        <v>1008.65</v>
      </c>
      <c r="C1044" s="107">
        <v>1000.05</v>
      </c>
      <c r="D1044" s="107">
        <v>979.5</v>
      </c>
      <c r="E1044" s="107">
        <v>979.5</v>
      </c>
      <c r="F1044" s="107">
        <v>1000.05</v>
      </c>
      <c r="G1044">
        <v>3261</v>
      </c>
      <c r="H1044" s="107"/>
      <c r="I1044" s="107"/>
      <c r="L1044" s="148">
        <v>44872</v>
      </c>
      <c r="M1044" s="107">
        <v>999.9</v>
      </c>
      <c r="N1044" s="107">
        <v>1008.85</v>
      </c>
      <c r="O1044" s="107">
        <v>981.05</v>
      </c>
      <c r="P1044" s="107">
        <v>985.85</v>
      </c>
      <c r="Q1044" s="107">
        <v>999.9</v>
      </c>
      <c r="R1044">
        <v>180308</v>
      </c>
    </row>
    <row r="1045" spans="1:18" x14ac:dyDescent="0.25">
      <c r="A1045" s="148">
        <v>44874</v>
      </c>
      <c r="B1045" s="107">
        <v>1000.2</v>
      </c>
      <c r="C1045" s="107">
        <v>995.1</v>
      </c>
      <c r="D1045" s="107">
        <v>988</v>
      </c>
      <c r="E1045" s="107">
        <v>996.05</v>
      </c>
      <c r="F1045" s="107">
        <v>995.1</v>
      </c>
      <c r="G1045">
        <v>3467</v>
      </c>
      <c r="H1045" s="107"/>
      <c r="I1045" s="107"/>
      <c r="L1045" s="148">
        <v>44874</v>
      </c>
      <c r="M1045" s="107">
        <v>996.8</v>
      </c>
      <c r="N1045" s="107">
        <v>1000.1</v>
      </c>
      <c r="O1045" s="107">
        <v>987.95</v>
      </c>
      <c r="P1045" s="107">
        <v>999.85</v>
      </c>
      <c r="Q1045" s="107">
        <v>996.8</v>
      </c>
      <c r="R1045">
        <v>59732</v>
      </c>
    </row>
    <row r="1046" spans="1:18" x14ac:dyDescent="0.25">
      <c r="A1046" s="148">
        <v>44875</v>
      </c>
      <c r="B1046" s="107">
        <v>999.85</v>
      </c>
      <c r="C1046" s="107">
        <v>993.35</v>
      </c>
      <c r="D1046" s="107">
        <v>977.45</v>
      </c>
      <c r="E1046" s="107">
        <v>995</v>
      </c>
      <c r="F1046" s="107">
        <v>993.35</v>
      </c>
      <c r="G1046">
        <v>1873</v>
      </c>
      <c r="H1046" s="107"/>
      <c r="I1046" s="107"/>
      <c r="L1046" s="148">
        <v>44875</v>
      </c>
      <c r="M1046" s="107">
        <v>993.85</v>
      </c>
      <c r="N1046" s="107">
        <v>1002</v>
      </c>
      <c r="O1046" s="107">
        <v>978</v>
      </c>
      <c r="P1046" s="107">
        <v>1002</v>
      </c>
      <c r="Q1046" s="107">
        <v>993.85</v>
      </c>
      <c r="R1046">
        <v>64091</v>
      </c>
    </row>
    <row r="1047" spans="1:18" x14ac:dyDescent="0.25">
      <c r="A1047" s="148">
        <v>44876</v>
      </c>
      <c r="B1047" s="107">
        <v>1000.4</v>
      </c>
      <c r="C1047" s="107">
        <v>995.7</v>
      </c>
      <c r="D1047" s="107">
        <v>989</v>
      </c>
      <c r="E1047" s="107">
        <v>998</v>
      </c>
      <c r="F1047" s="107">
        <v>995.7</v>
      </c>
      <c r="G1047">
        <v>2366</v>
      </c>
      <c r="H1047" s="107"/>
      <c r="I1047" s="107"/>
      <c r="L1047" s="148">
        <v>44876</v>
      </c>
      <c r="M1047" s="107">
        <v>995.65</v>
      </c>
      <c r="N1047" s="107">
        <v>1000</v>
      </c>
      <c r="O1047" s="107">
        <v>988.35</v>
      </c>
      <c r="P1047" s="107">
        <v>999</v>
      </c>
      <c r="Q1047" s="107">
        <v>995.65</v>
      </c>
      <c r="R1047">
        <v>58191</v>
      </c>
    </row>
    <row r="1048" spans="1:18" x14ac:dyDescent="0.25">
      <c r="A1048" s="148">
        <v>44879</v>
      </c>
      <c r="B1048" s="107">
        <v>1008.25</v>
      </c>
      <c r="C1048" s="107">
        <v>991.65</v>
      </c>
      <c r="D1048" s="107">
        <v>978.7</v>
      </c>
      <c r="E1048" s="107">
        <v>995</v>
      </c>
      <c r="F1048" s="107">
        <v>991.65</v>
      </c>
      <c r="G1048">
        <v>3502</v>
      </c>
      <c r="H1048" s="107"/>
      <c r="I1048" s="107"/>
      <c r="L1048" s="148">
        <v>44879</v>
      </c>
      <c r="M1048" s="107">
        <v>990.05</v>
      </c>
      <c r="N1048" s="107">
        <v>1009</v>
      </c>
      <c r="O1048" s="107">
        <v>977.95</v>
      </c>
      <c r="P1048" s="107">
        <v>998</v>
      </c>
      <c r="Q1048" s="107">
        <v>990.05</v>
      </c>
      <c r="R1048">
        <v>169174</v>
      </c>
    </row>
    <row r="1049" spans="1:18" x14ac:dyDescent="0.25">
      <c r="A1049" s="148">
        <v>44880</v>
      </c>
      <c r="B1049" s="107">
        <v>997.65</v>
      </c>
      <c r="C1049" s="107">
        <v>974.35</v>
      </c>
      <c r="D1049" s="107">
        <v>971.2</v>
      </c>
      <c r="E1049" s="107">
        <v>982.05</v>
      </c>
      <c r="F1049" s="107">
        <v>974.35</v>
      </c>
      <c r="G1049">
        <v>8334</v>
      </c>
      <c r="H1049" s="107"/>
      <c r="I1049" s="107"/>
      <c r="L1049" s="148">
        <v>44880</v>
      </c>
      <c r="M1049" s="107">
        <v>974.75</v>
      </c>
      <c r="N1049" s="107">
        <v>997.7</v>
      </c>
      <c r="O1049" s="107">
        <v>970</v>
      </c>
      <c r="P1049" s="107">
        <v>990</v>
      </c>
      <c r="Q1049" s="107">
        <v>974.75</v>
      </c>
      <c r="R1049">
        <v>144295</v>
      </c>
    </row>
    <row r="1050" spans="1:18" x14ac:dyDescent="0.25">
      <c r="A1050" s="148">
        <v>44881</v>
      </c>
      <c r="B1050" s="107">
        <v>981.7</v>
      </c>
      <c r="C1050" s="107">
        <v>975.05</v>
      </c>
      <c r="D1050" s="107">
        <v>925</v>
      </c>
      <c r="E1050" s="107">
        <v>961</v>
      </c>
      <c r="F1050" s="107">
        <v>975.05</v>
      </c>
      <c r="G1050">
        <v>5966</v>
      </c>
      <c r="H1050" s="107"/>
      <c r="I1050" s="107"/>
      <c r="L1050" s="148">
        <v>44881</v>
      </c>
      <c r="M1050" s="107">
        <v>971.15</v>
      </c>
      <c r="N1050" s="107">
        <v>983.2</v>
      </c>
      <c r="O1050" s="107">
        <v>926</v>
      </c>
      <c r="P1050" s="107">
        <v>974</v>
      </c>
      <c r="Q1050" s="107">
        <v>971.15</v>
      </c>
      <c r="R1050">
        <v>212255</v>
      </c>
    </row>
    <row r="1051" spans="1:18" x14ac:dyDescent="0.25">
      <c r="A1051" s="148">
        <v>44882</v>
      </c>
      <c r="B1051" s="107">
        <v>984.25</v>
      </c>
      <c r="C1051" s="107">
        <v>978.15</v>
      </c>
      <c r="D1051" s="107">
        <v>966.25</v>
      </c>
      <c r="E1051" s="107">
        <v>966.25</v>
      </c>
      <c r="F1051" s="107">
        <v>978.15</v>
      </c>
      <c r="G1051">
        <v>6807</v>
      </c>
      <c r="H1051" s="107"/>
      <c r="I1051" s="107"/>
      <c r="L1051" s="148">
        <v>44882</v>
      </c>
      <c r="M1051" s="107">
        <v>975.15</v>
      </c>
      <c r="N1051" s="107">
        <v>984.8</v>
      </c>
      <c r="O1051" s="107">
        <v>965.05</v>
      </c>
      <c r="P1051" s="107">
        <v>968</v>
      </c>
      <c r="Q1051" s="107">
        <v>975.15</v>
      </c>
      <c r="R1051">
        <v>52159</v>
      </c>
    </row>
    <row r="1052" spans="1:18" x14ac:dyDescent="0.25">
      <c r="A1052" s="148">
        <v>44883</v>
      </c>
      <c r="B1052" s="107">
        <v>982.4</v>
      </c>
      <c r="C1052" s="107">
        <v>970.75</v>
      </c>
      <c r="D1052" s="107">
        <v>963</v>
      </c>
      <c r="E1052" s="107">
        <v>978</v>
      </c>
      <c r="F1052" s="107">
        <v>970.75</v>
      </c>
      <c r="G1052">
        <v>3672</v>
      </c>
      <c r="H1052" s="107"/>
      <c r="I1052" s="107"/>
      <c r="L1052" s="148">
        <v>44883</v>
      </c>
      <c r="M1052" s="107">
        <v>972.75</v>
      </c>
      <c r="N1052" s="107">
        <v>984</v>
      </c>
      <c r="O1052" s="107">
        <v>961.2</v>
      </c>
      <c r="P1052" s="107">
        <v>979.1</v>
      </c>
      <c r="Q1052" s="107">
        <v>972.75</v>
      </c>
      <c r="R1052">
        <v>41476</v>
      </c>
    </row>
    <row r="1053" spans="1:18" x14ac:dyDescent="0.25">
      <c r="A1053" s="148">
        <v>44886</v>
      </c>
      <c r="B1053" s="107">
        <v>980</v>
      </c>
      <c r="C1053" s="107">
        <v>968.55</v>
      </c>
      <c r="D1053" s="107">
        <v>965.1</v>
      </c>
      <c r="E1053" s="107">
        <v>971</v>
      </c>
      <c r="F1053" s="107">
        <v>968.55</v>
      </c>
      <c r="G1053">
        <v>981</v>
      </c>
      <c r="H1053" s="107"/>
      <c r="I1053" s="107"/>
      <c r="L1053" s="148">
        <v>44886</v>
      </c>
      <c r="M1053" s="107">
        <v>968.9</v>
      </c>
      <c r="N1053" s="107">
        <v>980</v>
      </c>
      <c r="O1053" s="107">
        <v>965.05</v>
      </c>
      <c r="P1053" s="107">
        <v>972</v>
      </c>
      <c r="Q1053" s="107">
        <v>968.9</v>
      </c>
      <c r="R1053">
        <v>25810</v>
      </c>
    </row>
    <row r="1054" spans="1:18" x14ac:dyDescent="0.25">
      <c r="A1054" s="148">
        <v>44887</v>
      </c>
      <c r="B1054" s="107">
        <v>969.2</v>
      </c>
      <c r="C1054" s="107">
        <v>965.5</v>
      </c>
      <c r="D1054" s="107">
        <v>954.85</v>
      </c>
      <c r="E1054" s="107">
        <v>968.05</v>
      </c>
      <c r="F1054" s="107">
        <v>965.5</v>
      </c>
      <c r="G1054">
        <v>1924</v>
      </c>
      <c r="H1054" s="107"/>
      <c r="I1054" s="107"/>
      <c r="L1054" s="148">
        <v>44887</v>
      </c>
      <c r="M1054" s="107">
        <v>964.7</v>
      </c>
      <c r="N1054" s="107">
        <v>970.75</v>
      </c>
      <c r="O1054" s="107">
        <v>955.3</v>
      </c>
      <c r="P1054" s="107">
        <v>961.1</v>
      </c>
      <c r="Q1054" s="107">
        <v>964.7</v>
      </c>
      <c r="R1054">
        <v>25001</v>
      </c>
    </row>
    <row r="1055" spans="1:18" x14ac:dyDescent="0.25">
      <c r="A1055" s="148">
        <v>44888</v>
      </c>
      <c r="B1055" s="107">
        <v>971.85</v>
      </c>
      <c r="C1055" s="107">
        <v>953.1</v>
      </c>
      <c r="D1055" s="107">
        <v>937.85</v>
      </c>
      <c r="E1055" s="107">
        <v>965.75</v>
      </c>
      <c r="F1055" s="107">
        <v>953.1</v>
      </c>
      <c r="G1055">
        <v>4451</v>
      </c>
      <c r="H1055" s="107"/>
      <c r="I1055" s="107"/>
      <c r="L1055" s="148">
        <v>44888</v>
      </c>
      <c r="M1055" s="107">
        <v>953.5</v>
      </c>
      <c r="N1055" s="107">
        <v>978</v>
      </c>
      <c r="O1055" s="107">
        <v>938</v>
      </c>
      <c r="P1055" s="107">
        <v>967.4</v>
      </c>
      <c r="Q1055" s="107">
        <v>953.5</v>
      </c>
      <c r="R1055">
        <v>121159</v>
      </c>
    </row>
    <row r="1056" spans="1:18" x14ac:dyDescent="0.25">
      <c r="A1056" s="148">
        <v>44889</v>
      </c>
      <c r="B1056" s="107">
        <v>977.4</v>
      </c>
      <c r="C1056" s="107">
        <v>967.75</v>
      </c>
      <c r="D1056" s="107">
        <v>953.25</v>
      </c>
      <c r="E1056" s="107">
        <v>955.25</v>
      </c>
      <c r="F1056" s="107">
        <v>967.75</v>
      </c>
      <c r="G1056">
        <v>1293</v>
      </c>
      <c r="H1056" s="107"/>
      <c r="I1056" s="107"/>
      <c r="L1056" s="148">
        <v>44889</v>
      </c>
      <c r="M1056" s="107">
        <v>967.05</v>
      </c>
      <c r="N1056" s="107">
        <v>979</v>
      </c>
      <c r="O1056" s="107">
        <v>953.5</v>
      </c>
      <c r="P1056" s="107">
        <v>953.5</v>
      </c>
      <c r="Q1056" s="107">
        <v>967.05</v>
      </c>
      <c r="R1056">
        <v>41182</v>
      </c>
    </row>
    <row r="1057" spans="1:18" x14ac:dyDescent="0.25">
      <c r="A1057" s="148">
        <v>44890</v>
      </c>
      <c r="B1057" s="107">
        <v>989.95</v>
      </c>
      <c r="C1057" s="107">
        <v>979.25</v>
      </c>
      <c r="D1057" s="107">
        <v>964.2</v>
      </c>
      <c r="E1057" s="107">
        <v>968.8</v>
      </c>
      <c r="F1057" s="107">
        <v>979.25</v>
      </c>
      <c r="G1057">
        <v>4239</v>
      </c>
      <c r="H1057" s="107"/>
      <c r="I1057" s="107"/>
      <c r="L1057" s="148">
        <v>44890</v>
      </c>
      <c r="M1057" s="107">
        <v>980</v>
      </c>
      <c r="N1057" s="107">
        <v>990</v>
      </c>
      <c r="O1057" s="107">
        <v>964.95</v>
      </c>
      <c r="P1057" s="107">
        <v>967.05</v>
      </c>
      <c r="Q1057" s="107">
        <v>980</v>
      </c>
      <c r="R1057">
        <v>59057</v>
      </c>
    </row>
    <row r="1058" spans="1:18" x14ac:dyDescent="0.25">
      <c r="A1058" s="148">
        <v>44893</v>
      </c>
      <c r="B1058" s="107">
        <v>994.9</v>
      </c>
      <c r="C1058" s="107">
        <v>982.8</v>
      </c>
      <c r="D1058" s="107">
        <v>960.4</v>
      </c>
      <c r="E1058" s="107">
        <v>960.4</v>
      </c>
      <c r="F1058" s="107">
        <v>982.8</v>
      </c>
      <c r="G1058">
        <v>4587</v>
      </c>
      <c r="H1058" s="107"/>
      <c r="I1058" s="107"/>
      <c r="L1058" s="148">
        <v>44893</v>
      </c>
      <c r="M1058" s="107">
        <v>982.2</v>
      </c>
      <c r="N1058" s="107">
        <v>996</v>
      </c>
      <c r="O1058" s="107">
        <v>966.25</v>
      </c>
      <c r="P1058" s="107">
        <v>980</v>
      </c>
      <c r="Q1058" s="107">
        <v>982.2</v>
      </c>
      <c r="R1058">
        <v>85609</v>
      </c>
    </row>
    <row r="1059" spans="1:18" x14ac:dyDescent="0.25">
      <c r="A1059" s="148">
        <v>44894</v>
      </c>
      <c r="B1059" s="107">
        <v>1004.8</v>
      </c>
      <c r="C1059" s="107">
        <v>967.55</v>
      </c>
      <c r="D1059" s="107">
        <v>963</v>
      </c>
      <c r="E1059" s="107">
        <v>986.6</v>
      </c>
      <c r="F1059" s="107">
        <v>967.55</v>
      </c>
      <c r="G1059">
        <v>6420</v>
      </c>
      <c r="H1059" s="107"/>
      <c r="I1059" s="107"/>
      <c r="L1059" s="148">
        <v>44894</v>
      </c>
      <c r="M1059" s="107">
        <v>967.3</v>
      </c>
      <c r="N1059" s="107">
        <v>1004.8</v>
      </c>
      <c r="O1059" s="107">
        <v>962.65</v>
      </c>
      <c r="P1059" s="107">
        <v>987.7</v>
      </c>
      <c r="Q1059" s="107">
        <v>967.3</v>
      </c>
      <c r="R1059">
        <v>120907</v>
      </c>
    </row>
    <row r="1060" spans="1:18" x14ac:dyDescent="0.25">
      <c r="A1060" s="148">
        <v>44895</v>
      </c>
      <c r="B1060" s="107">
        <v>984.95</v>
      </c>
      <c r="C1060" s="107">
        <v>960.2</v>
      </c>
      <c r="D1060" s="107">
        <v>958.65</v>
      </c>
      <c r="E1060" s="107">
        <v>984.95</v>
      </c>
      <c r="F1060" s="107">
        <v>960.2</v>
      </c>
      <c r="G1060">
        <v>5921</v>
      </c>
      <c r="H1060" s="107"/>
      <c r="I1060" s="107"/>
      <c r="L1060" s="148">
        <v>44895</v>
      </c>
      <c r="M1060" s="107">
        <v>960.25</v>
      </c>
      <c r="N1060" s="107">
        <v>990</v>
      </c>
      <c r="O1060" s="107">
        <v>958.75</v>
      </c>
      <c r="P1060" s="107">
        <v>967.3</v>
      </c>
      <c r="Q1060" s="107">
        <v>960.25</v>
      </c>
      <c r="R1060">
        <v>52338</v>
      </c>
    </row>
    <row r="1061" spans="1:18" x14ac:dyDescent="0.25">
      <c r="A1061" s="148">
        <v>44896</v>
      </c>
      <c r="B1061" s="107">
        <v>963.3</v>
      </c>
      <c r="C1061" s="107">
        <v>950.5</v>
      </c>
      <c r="D1061" s="107">
        <v>940.95</v>
      </c>
      <c r="E1061" s="107">
        <v>963.3</v>
      </c>
      <c r="F1061" s="107">
        <v>950.5</v>
      </c>
      <c r="G1061">
        <v>2838</v>
      </c>
      <c r="H1061" s="107"/>
      <c r="I1061" s="107"/>
      <c r="L1061" s="148">
        <v>44896</v>
      </c>
      <c r="M1061" s="107">
        <v>948.25</v>
      </c>
      <c r="N1061" s="107">
        <v>964</v>
      </c>
      <c r="O1061" s="107">
        <v>941</v>
      </c>
      <c r="P1061" s="107">
        <v>961</v>
      </c>
      <c r="Q1061" s="107">
        <v>948.25</v>
      </c>
      <c r="R1061">
        <v>127303</v>
      </c>
    </row>
    <row r="1062" spans="1:18" x14ac:dyDescent="0.25">
      <c r="A1062" s="148">
        <v>44897</v>
      </c>
      <c r="B1062" s="107">
        <v>952.95</v>
      </c>
      <c r="C1062" s="107">
        <v>948.2</v>
      </c>
      <c r="D1062" s="107">
        <v>940</v>
      </c>
      <c r="E1062" s="107">
        <v>951.75</v>
      </c>
      <c r="F1062" s="107">
        <v>948.2</v>
      </c>
      <c r="G1062">
        <v>4359</v>
      </c>
      <c r="H1062" s="107"/>
      <c r="I1062" s="107"/>
      <c r="L1062" s="148">
        <v>44897</v>
      </c>
      <c r="M1062" s="107">
        <v>947.8</v>
      </c>
      <c r="N1062" s="107">
        <v>954.7</v>
      </c>
      <c r="O1062" s="107">
        <v>940.35</v>
      </c>
      <c r="P1062" s="107">
        <v>954.7</v>
      </c>
      <c r="Q1062" s="107">
        <v>947.8</v>
      </c>
      <c r="R1062">
        <v>57307</v>
      </c>
    </row>
    <row r="1063" spans="1:18" x14ac:dyDescent="0.25">
      <c r="A1063" s="148">
        <v>44900</v>
      </c>
      <c r="B1063" s="107">
        <v>945</v>
      </c>
      <c r="C1063" s="107">
        <v>932</v>
      </c>
      <c r="D1063" s="107">
        <v>923.1</v>
      </c>
      <c r="E1063" s="107">
        <v>945</v>
      </c>
      <c r="F1063" s="107">
        <v>932</v>
      </c>
      <c r="G1063">
        <v>5867</v>
      </c>
      <c r="H1063" s="107"/>
      <c r="I1063" s="107"/>
      <c r="L1063" s="148">
        <v>44900</v>
      </c>
      <c r="M1063" s="107">
        <v>931.25</v>
      </c>
      <c r="N1063" s="107">
        <v>938.1</v>
      </c>
      <c r="O1063" s="107">
        <v>923.15</v>
      </c>
      <c r="P1063" s="107">
        <v>938.1</v>
      </c>
      <c r="Q1063" s="107">
        <v>931.25</v>
      </c>
      <c r="R1063">
        <v>140146</v>
      </c>
    </row>
    <row r="1064" spans="1:18" x14ac:dyDescent="0.25">
      <c r="A1064" s="148">
        <v>44901</v>
      </c>
      <c r="B1064" s="107">
        <v>932.2</v>
      </c>
      <c r="C1064" s="107">
        <v>901</v>
      </c>
      <c r="D1064" s="107">
        <v>892.7</v>
      </c>
      <c r="E1064" s="107">
        <v>925</v>
      </c>
      <c r="F1064" s="107">
        <v>901</v>
      </c>
      <c r="G1064">
        <v>10192</v>
      </c>
      <c r="H1064" s="107"/>
      <c r="I1064" s="107"/>
      <c r="L1064" s="148">
        <v>44901</v>
      </c>
      <c r="M1064" s="107">
        <v>900.6</v>
      </c>
      <c r="N1064" s="107">
        <v>932.8</v>
      </c>
      <c r="O1064" s="107">
        <v>892.7</v>
      </c>
      <c r="P1064" s="107">
        <v>920.35</v>
      </c>
      <c r="Q1064" s="107">
        <v>900.6</v>
      </c>
      <c r="R1064">
        <v>181299</v>
      </c>
    </row>
    <row r="1065" spans="1:18" x14ac:dyDescent="0.25">
      <c r="A1065" s="148">
        <v>44902</v>
      </c>
      <c r="B1065" s="107">
        <v>920.6</v>
      </c>
      <c r="C1065" s="107">
        <v>906.9</v>
      </c>
      <c r="D1065" s="107">
        <v>895.7</v>
      </c>
      <c r="E1065" s="107">
        <v>906.45</v>
      </c>
      <c r="F1065" s="107">
        <v>906.9</v>
      </c>
      <c r="G1065">
        <v>6704</v>
      </c>
      <c r="H1065" s="107"/>
      <c r="I1065" s="107"/>
      <c r="L1065" s="148">
        <v>44902</v>
      </c>
      <c r="M1065" s="107">
        <v>909.55</v>
      </c>
      <c r="N1065" s="107">
        <v>921</v>
      </c>
      <c r="O1065" s="107">
        <v>895.05</v>
      </c>
      <c r="P1065" s="107">
        <v>905.3</v>
      </c>
      <c r="Q1065" s="107">
        <v>909.55</v>
      </c>
      <c r="R1065">
        <v>133355</v>
      </c>
    </row>
    <row r="1066" spans="1:18" x14ac:dyDescent="0.25">
      <c r="A1066" s="148">
        <v>44903</v>
      </c>
      <c r="B1066" s="107">
        <v>918.25</v>
      </c>
      <c r="C1066" s="107">
        <v>900.4</v>
      </c>
      <c r="D1066" s="107">
        <v>890.45</v>
      </c>
      <c r="E1066" s="107">
        <v>911.05</v>
      </c>
      <c r="F1066" s="107">
        <v>900.4</v>
      </c>
      <c r="G1066">
        <v>3394</v>
      </c>
      <c r="H1066" s="107"/>
      <c r="I1066" s="107"/>
      <c r="L1066" s="148">
        <v>44903</v>
      </c>
      <c r="M1066" s="107">
        <v>899.95</v>
      </c>
      <c r="N1066" s="107">
        <v>923</v>
      </c>
      <c r="O1066" s="107">
        <v>890.15</v>
      </c>
      <c r="P1066" s="107">
        <v>923</v>
      </c>
      <c r="Q1066" s="107">
        <v>899.95</v>
      </c>
      <c r="R1066">
        <v>441063</v>
      </c>
    </row>
    <row r="1067" spans="1:18" x14ac:dyDescent="0.25">
      <c r="A1067" s="148">
        <v>44904</v>
      </c>
      <c r="B1067" s="107">
        <v>911.3</v>
      </c>
      <c r="C1067" s="107">
        <v>862.45</v>
      </c>
      <c r="D1067" s="107">
        <v>855.1</v>
      </c>
      <c r="E1067" s="107">
        <v>904.95</v>
      </c>
      <c r="F1067" s="107">
        <v>862.45</v>
      </c>
      <c r="G1067">
        <v>18961</v>
      </c>
      <c r="H1067" s="107"/>
      <c r="I1067" s="107"/>
      <c r="L1067" s="148">
        <v>44904</v>
      </c>
      <c r="M1067" s="107">
        <v>863.8</v>
      </c>
      <c r="N1067" s="107">
        <v>910.95</v>
      </c>
      <c r="O1067" s="107">
        <v>855.1</v>
      </c>
      <c r="P1067" s="107">
        <v>900</v>
      </c>
      <c r="Q1067" s="107">
        <v>863.8</v>
      </c>
      <c r="R1067">
        <v>396377</v>
      </c>
    </row>
    <row r="1068" spans="1:18" x14ac:dyDescent="0.25">
      <c r="A1068" s="148">
        <v>44907</v>
      </c>
      <c r="B1068" s="107">
        <v>890.3</v>
      </c>
      <c r="C1068" s="107">
        <v>888.8</v>
      </c>
      <c r="D1068" s="107">
        <v>851.95</v>
      </c>
      <c r="E1068" s="107">
        <v>873</v>
      </c>
      <c r="F1068" s="107">
        <v>888.8</v>
      </c>
      <c r="G1068">
        <v>5299</v>
      </c>
      <c r="H1068" s="107"/>
      <c r="I1068" s="107"/>
      <c r="L1068" s="148">
        <v>44907</v>
      </c>
      <c r="M1068" s="107">
        <v>887.9</v>
      </c>
      <c r="N1068" s="107">
        <v>889.95</v>
      </c>
      <c r="O1068" s="107">
        <v>851.75</v>
      </c>
      <c r="P1068" s="107">
        <v>862.05</v>
      </c>
      <c r="Q1068" s="107">
        <v>887.9</v>
      </c>
      <c r="R1068">
        <v>107904</v>
      </c>
    </row>
    <row r="1069" spans="1:18" x14ac:dyDescent="0.25">
      <c r="A1069" s="148">
        <v>44908</v>
      </c>
      <c r="B1069" s="107">
        <v>907.55</v>
      </c>
      <c r="C1069" s="107">
        <v>899.25</v>
      </c>
      <c r="D1069" s="107">
        <v>883.05</v>
      </c>
      <c r="E1069" s="107">
        <v>890.55</v>
      </c>
      <c r="F1069" s="107">
        <v>899.25</v>
      </c>
      <c r="G1069">
        <v>9535</v>
      </c>
      <c r="H1069" s="107"/>
      <c r="I1069" s="107"/>
      <c r="L1069" s="148">
        <v>44908</v>
      </c>
      <c r="M1069" s="107">
        <v>900.55</v>
      </c>
      <c r="N1069" s="107">
        <v>907.95</v>
      </c>
      <c r="O1069" s="107">
        <v>883</v>
      </c>
      <c r="P1069" s="107">
        <v>889.05</v>
      </c>
      <c r="Q1069" s="107">
        <v>900.55</v>
      </c>
      <c r="R1069">
        <v>118291</v>
      </c>
    </row>
    <row r="1070" spans="1:18" x14ac:dyDescent="0.25">
      <c r="A1070" s="148">
        <v>44909</v>
      </c>
      <c r="B1070" s="107">
        <v>910.35</v>
      </c>
      <c r="C1070" s="107">
        <v>906.4</v>
      </c>
      <c r="D1070" s="107">
        <v>887.6</v>
      </c>
      <c r="E1070" s="107">
        <v>904.65</v>
      </c>
      <c r="F1070" s="107">
        <v>906.4</v>
      </c>
      <c r="G1070">
        <v>4015</v>
      </c>
      <c r="H1070" s="107"/>
      <c r="I1070" s="107"/>
      <c r="L1070" s="148">
        <v>44909</v>
      </c>
      <c r="M1070" s="107">
        <v>907.1</v>
      </c>
      <c r="N1070" s="107">
        <v>910.8</v>
      </c>
      <c r="O1070" s="107">
        <v>888</v>
      </c>
      <c r="P1070" s="107">
        <v>900.6</v>
      </c>
      <c r="Q1070" s="107">
        <v>907.1</v>
      </c>
      <c r="R1070">
        <v>62394</v>
      </c>
    </row>
    <row r="1071" spans="1:18" x14ac:dyDescent="0.25">
      <c r="A1071" s="148">
        <v>44910</v>
      </c>
      <c r="B1071" s="107">
        <v>916.75</v>
      </c>
      <c r="C1071" s="107">
        <v>911.45</v>
      </c>
      <c r="D1071" s="107">
        <v>895</v>
      </c>
      <c r="E1071" s="107">
        <v>907</v>
      </c>
      <c r="F1071" s="107">
        <v>911.45</v>
      </c>
      <c r="G1071">
        <v>2133</v>
      </c>
      <c r="H1071" s="107"/>
      <c r="I1071" s="107"/>
      <c r="L1071" s="148">
        <v>44910</v>
      </c>
      <c r="M1071" s="107">
        <v>909.95</v>
      </c>
      <c r="N1071" s="107">
        <v>917</v>
      </c>
      <c r="O1071" s="107">
        <v>895</v>
      </c>
      <c r="P1071" s="107">
        <v>910</v>
      </c>
      <c r="Q1071" s="107">
        <v>909.95</v>
      </c>
      <c r="R1071">
        <v>119440</v>
      </c>
    </row>
    <row r="1072" spans="1:18" x14ac:dyDescent="0.25">
      <c r="A1072" s="148">
        <v>44911</v>
      </c>
      <c r="B1072" s="107">
        <v>907.4</v>
      </c>
      <c r="C1072" s="107">
        <v>881.6</v>
      </c>
      <c r="D1072" s="107">
        <v>871.15</v>
      </c>
      <c r="E1072" s="107">
        <v>906.9</v>
      </c>
      <c r="F1072" s="107">
        <v>881.6</v>
      </c>
      <c r="G1072">
        <v>10239</v>
      </c>
      <c r="H1072" s="107"/>
      <c r="I1072" s="107"/>
      <c r="L1072" s="148">
        <v>44911</v>
      </c>
      <c r="M1072" s="107">
        <v>879.05</v>
      </c>
      <c r="N1072" s="107">
        <v>909</v>
      </c>
      <c r="O1072" s="107">
        <v>870.65</v>
      </c>
      <c r="P1072" s="107">
        <v>909</v>
      </c>
      <c r="Q1072" s="107">
        <v>879.05</v>
      </c>
      <c r="R1072">
        <v>175942</v>
      </c>
    </row>
    <row r="1073" spans="1:18" x14ac:dyDescent="0.25">
      <c r="A1073" s="148">
        <v>44914</v>
      </c>
      <c r="B1073" s="107">
        <v>906.2</v>
      </c>
      <c r="C1073" s="107">
        <v>903.35</v>
      </c>
      <c r="D1073" s="107">
        <v>881.6</v>
      </c>
      <c r="E1073" s="107">
        <v>883</v>
      </c>
      <c r="F1073" s="107">
        <v>903.35</v>
      </c>
      <c r="G1073">
        <v>4445</v>
      </c>
      <c r="H1073" s="107"/>
      <c r="I1073" s="107"/>
      <c r="L1073" s="148">
        <v>44914</v>
      </c>
      <c r="M1073" s="107">
        <v>904.7</v>
      </c>
      <c r="N1073" s="107">
        <v>907</v>
      </c>
      <c r="O1073" s="107">
        <v>880</v>
      </c>
      <c r="P1073" s="107">
        <v>883.45</v>
      </c>
      <c r="Q1073" s="107">
        <v>904.7</v>
      </c>
      <c r="R1073">
        <v>71901</v>
      </c>
    </row>
    <row r="1074" spans="1:18" x14ac:dyDescent="0.25">
      <c r="A1074" s="148">
        <v>44915</v>
      </c>
      <c r="B1074" s="107">
        <v>922.8</v>
      </c>
      <c r="C1074" s="107">
        <v>906.05</v>
      </c>
      <c r="D1074" s="107">
        <v>897.45</v>
      </c>
      <c r="E1074" s="107">
        <v>922.8</v>
      </c>
      <c r="F1074" s="107">
        <v>906.05</v>
      </c>
      <c r="G1074">
        <v>3092</v>
      </c>
      <c r="H1074" s="107"/>
      <c r="I1074" s="107"/>
      <c r="L1074" s="148">
        <v>44915</v>
      </c>
      <c r="M1074" s="107">
        <v>905.35</v>
      </c>
      <c r="N1074" s="107">
        <v>906.9</v>
      </c>
      <c r="O1074" s="107">
        <v>896.05</v>
      </c>
      <c r="P1074" s="107">
        <v>904.7</v>
      </c>
      <c r="Q1074" s="107">
        <v>905.35</v>
      </c>
      <c r="R1074">
        <v>153062</v>
      </c>
    </row>
    <row r="1075" spans="1:18" x14ac:dyDescent="0.25">
      <c r="A1075" s="148">
        <v>44916</v>
      </c>
      <c r="B1075" s="107">
        <v>934.35</v>
      </c>
      <c r="C1075" s="107">
        <v>909.8</v>
      </c>
      <c r="D1075" s="107">
        <v>899.75</v>
      </c>
      <c r="E1075" s="107">
        <v>906</v>
      </c>
      <c r="F1075" s="107">
        <v>909.8</v>
      </c>
      <c r="G1075">
        <v>11157</v>
      </c>
      <c r="H1075" s="107"/>
      <c r="I1075" s="107"/>
      <c r="L1075" s="148">
        <v>44916</v>
      </c>
      <c r="M1075" s="107">
        <v>908.05</v>
      </c>
      <c r="N1075" s="107">
        <v>934.9</v>
      </c>
      <c r="O1075" s="107">
        <v>899.75</v>
      </c>
      <c r="P1075" s="107">
        <v>908.85</v>
      </c>
      <c r="Q1075" s="107">
        <v>908.05</v>
      </c>
      <c r="R1075">
        <v>177333</v>
      </c>
    </row>
    <row r="1076" spans="1:18" x14ac:dyDescent="0.25">
      <c r="A1076" s="148">
        <v>44917</v>
      </c>
      <c r="B1076" s="107">
        <v>919.2</v>
      </c>
      <c r="C1076" s="107">
        <v>887.75</v>
      </c>
      <c r="D1076" s="107">
        <v>879</v>
      </c>
      <c r="E1076" s="107">
        <v>900.05</v>
      </c>
      <c r="F1076" s="107">
        <v>887.75</v>
      </c>
      <c r="G1076">
        <v>109118</v>
      </c>
      <c r="H1076" s="107"/>
      <c r="I1076" s="107"/>
      <c r="L1076" s="148">
        <v>44917</v>
      </c>
      <c r="M1076" s="107">
        <v>886.1</v>
      </c>
      <c r="N1076" s="107">
        <v>919.6</v>
      </c>
      <c r="O1076" s="107">
        <v>875.1</v>
      </c>
      <c r="P1076" s="107">
        <v>913.35</v>
      </c>
      <c r="Q1076" s="107">
        <v>886.1</v>
      </c>
      <c r="R1076">
        <v>768603</v>
      </c>
    </row>
    <row r="1077" spans="1:18" x14ac:dyDescent="0.25">
      <c r="A1077" s="148">
        <v>44918</v>
      </c>
      <c r="B1077" s="107">
        <v>882.05</v>
      </c>
      <c r="C1077" s="107">
        <v>856.4</v>
      </c>
      <c r="D1077" s="107">
        <v>850.9</v>
      </c>
      <c r="E1077" s="107">
        <v>880.4</v>
      </c>
      <c r="F1077" s="107">
        <v>856.4</v>
      </c>
      <c r="G1077">
        <v>10991</v>
      </c>
      <c r="H1077" s="107"/>
      <c r="I1077" s="107"/>
      <c r="L1077" s="148">
        <v>44918</v>
      </c>
      <c r="M1077" s="107">
        <v>858.05</v>
      </c>
      <c r="N1077" s="107">
        <v>884</v>
      </c>
      <c r="O1077" s="107">
        <v>851.2</v>
      </c>
      <c r="P1077" s="107">
        <v>875</v>
      </c>
      <c r="Q1077" s="107">
        <v>858.05</v>
      </c>
      <c r="R1077">
        <v>159520</v>
      </c>
    </row>
    <row r="1078" spans="1:18" x14ac:dyDescent="0.25">
      <c r="A1078" s="148">
        <v>44921</v>
      </c>
      <c r="B1078" s="107">
        <v>895.45</v>
      </c>
      <c r="C1078" s="107">
        <v>889.25</v>
      </c>
      <c r="D1078" s="107">
        <v>845</v>
      </c>
      <c r="E1078" s="107">
        <v>854.05</v>
      </c>
      <c r="F1078" s="107">
        <v>889.25</v>
      </c>
      <c r="G1078">
        <v>3942</v>
      </c>
      <c r="H1078" s="107"/>
      <c r="I1078" s="107"/>
      <c r="L1078" s="148">
        <v>44921</v>
      </c>
      <c r="M1078" s="107">
        <v>889.45</v>
      </c>
      <c r="N1078" s="107">
        <v>894.7</v>
      </c>
      <c r="O1078" s="107">
        <v>845.2</v>
      </c>
      <c r="P1078" s="107">
        <v>858.7</v>
      </c>
      <c r="Q1078" s="107">
        <v>889.45</v>
      </c>
      <c r="R1078">
        <v>48067</v>
      </c>
    </row>
    <row r="1079" spans="1:18" x14ac:dyDescent="0.25">
      <c r="A1079" s="148">
        <v>44922</v>
      </c>
      <c r="B1079" s="107">
        <v>900.95</v>
      </c>
      <c r="C1079" s="107">
        <v>888.75</v>
      </c>
      <c r="D1079" s="107">
        <v>873.05</v>
      </c>
      <c r="E1079" s="107">
        <v>898</v>
      </c>
      <c r="F1079" s="107">
        <v>888.75</v>
      </c>
      <c r="G1079">
        <v>2603</v>
      </c>
      <c r="H1079" s="107"/>
      <c r="I1079" s="107"/>
      <c r="L1079" s="148">
        <v>44922</v>
      </c>
      <c r="M1079" s="107">
        <v>892.45</v>
      </c>
      <c r="N1079" s="107">
        <v>901.5</v>
      </c>
      <c r="O1079" s="107">
        <v>872</v>
      </c>
      <c r="P1079" s="107">
        <v>899</v>
      </c>
      <c r="Q1079" s="107">
        <v>892.45</v>
      </c>
      <c r="R1079">
        <v>36439</v>
      </c>
    </row>
    <row r="1080" spans="1:18" x14ac:dyDescent="0.25">
      <c r="A1080" s="148">
        <v>44923</v>
      </c>
      <c r="B1080" s="107">
        <v>913.15</v>
      </c>
      <c r="C1080" s="107">
        <v>911.05</v>
      </c>
      <c r="D1080" s="107">
        <v>880.05</v>
      </c>
      <c r="E1080" s="107">
        <v>887.6</v>
      </c>
      <c r="F1080" s="107">
        <v>911.05</v>
      </c>
      <c r="G1080">
        <v>2569</v>
      </c>
      <c r="H1080" s="107"/>
      <c r="I1080" s="107"/>
      <c r="L1080" s="148">
        <v>44923</v>
      </c>
      <c r="M1080" s="107">
        <v>912.05</v>
      </c>
      <c r="N1080" s="107">
        <v>914.9</v>
      </c>
      <c r="O1080" s="107">
        <v>880.05</v>
      </c>
      <c r="P1080" s="107">
        <v>892.45</v>
      </c>
      <c r="Q1080" s="107">
        <v>912.05</v>
      </c>
      <c r="R1080">
        <v>81629</v>
      </c>
    </row>
    <row r="1081" spans="1:18" x14ac:dyDescent="0.25">
      <c r="A1081" s="148">
        <v>44924</v>
      </c>
      <c r="B1081" s="107">
        <v>911</v>
      </c>
      <c r="C1081" s="107">
        <v>901.4</v>
      </c>
      <c r="D1081" s="107">
        <v>895</v>
      </c>
      <c r="E1081" s="107">
        <v>911</v>
      </c>
      <c r="F1081" s="107">
        <v>901.4</v>
      </c>
      <c r="G1081">
        <v>997</v>
      </c>
      <c r="H1081" s="107"/>
      <c r="I1081" s="107"/>
      <c r="L1081" s="148">
        <v>44924</v>
      </c>
      <c r="M1081" s="107">
        <v>899.7</v>
      </c>
      <c r="N1081" s="107">
        <v>909.9</v>
      </c>
      <c r="O1081" s="107">
        <v>891.9</v>
      </c>
      <c r="P1081" s="107">
        <v>907</v>
      </c>
      <c r="Q1081" s="107">
        <v>899.7</v>
      </c>
      <c r="R1081">
        <v>16003</v>
      </c>
    </row>
    <row r="1082" spans="1:18" x14ac:dyDescent="0.25">
      <c r="A1082" s="148">
        <v>44925</v>
      </c>
      <c r="B1082" s="107">
        <v>919.95</v>
      </c>
      <c r="C1082" s="107">
        <v>914</v>
      </c>
      <c r="D1082" s="107">
        <v>895</v>
      </c>
      <c r="E1082" s="107">
        <v>895</v>
      </c>
      <c r="F1082" s="107">
        <v>914</v>
      </c>
      <c r="G1082">
        <v>2879</v>
      </c>
      <c r="H1082" s="107"/>
      <c r="I1082" s="107"/>
      <c r="L1082" s="148">
        <v>44925</v>
      </c>
      <c r="M1082" s="107">
        <v>915.3</v>
      </c>
      <c r="N1082" s="107">
        <v>920</v>
      </c>
      <c r="O1082" s="107">
        <v>899.95</v>
      </c>
      <c r="P1082" s="107">
        <v>900</v>
      </c>
      <c r="Q1082" s="107">
        <v>915.3</v>
      </c>
      <c r="R1082">
        <v>37206</v>
      </c>
    </row>
    <row r="1083" spans="1:18" x14ac:dyDescent="0.25">
      <c r="A1083" s="148">
        <v>44928</v>
      </c>
      <c r="B1083" s="107">
        <v>919.55</v>
      </c>
      <c r="C1083" s="107">
        <v>901.7</v>
      </c>
      <c r="D1083" s="107">
        <v>885</v>
      </c>
      <c r="E1083" s="107">
        <v>919.55</v>
      </c>
      <c r="F1083" s="107">
        <v>901.7</v>
      </c>
      <c r="G1083">
        <v>2887</v>
      </c>
      <c r="H1083" s="107"/>
      <c r="I1083" s="107"/>
      <c r="L1083" s="148">
        <v>44928</v>
      </c>
      <c r="M1083" s="107">
        <v>901.2</v>
      </c>
      <c r="N1083" s="107">
        <v>920</v>
      </c>
      <c r="O1083" s="107">
        <v>885</v>
      </c>
      <c r="P1083" s="107">
        <v>920</v>
      </c>
      <c r="Q1083" s="107">
        <v>901.2</v>
      </c>
      <c r="R1083">
        <v>59620</v>
      </c>
    </row>
    <row r="1084" spans="1:18" x14ac:dyDescent="0.25">
      <c r="A1084" s="148">
        <v>44929</v>
      </c>
      <c r="B1084" s="107">
        <v>908.6</v>
      </c>
      <c r="C1084" s="107">
        <v>891.85</v>
      </c>
      <c r="D1084" s="107">
        <v>887.7</v>
      </c>
      <c r="E1084" s="107">
        <v>896.5</v>
      </c>
      <c r="F1084" s="107">
        <v>891.85</v>
      </c>
      <c r="G1084">
        <v>3019</v>
      </c>
      <c r="H1084" s="107"/>
      <c r="I1084" s="107"/>
      <c r="L1084" s="148">
        <v>44929</v>
      </c>
      <c r="M1084" s="107">
        <v>891.25</v>
      </c>
      <c r="N1084" s="107">
        <v>912</v>
      </c>
      <c r="O1084" s="107">
        <v>887.4</v>
      </c>
      <c r="P1084" s="107">
        <v>912</v>
      </c>
      <c r="Q1084" s="107">
        <v>891.25</v>
      </c>
      <c r="R1084">
        <v>67865</v>
      </c>
    </row>
    <row r="1085" spans="1:18" x14ac:dyDescent="0.25">
      <c r="A1085" s="148">
        <v>44930</v>
      </c>
      <c r="B1085" s="107">
        <v>901.95</v>
      </c>
      <c r="C1085" s="107">
        <v>884.55</v>
      </c>
      <c r="D1085" s="107">
        <v>881.1</v>
      </c>
      <c r="E1085" s="107">
        <v>893.55</v>
      </c>
      <c r="F1085" s="107">
        <v>884.55</v>
      </c>
      <c r="G1085">
        <v>2735</v>
      </c>
      <c r="H1085" s="107"/>
      <c r="I1085" s="107"/>
      <c r="L1085" s="148">
        <v>44930</v>
      </c>
      <c r="M1085" s="107">
        <v>885.2</v>
      </c>
      <c r="N1085" s="107">
        <v>902</v>
      </c>
      <c r="O1085" s="107">
        <v>881.1</v>
      </c>
      <c r="P1085" s="107">
        <v>898.9</v>
      </c>
      <c r="Q1085" s="107">
        <v>885.2</v>
      </c>
      <c r="R1085">
        <v>82845</v>
      </c>
    </row>
    <row r="1086" spans="1:18" x14ac:dyDescent="0.25">
      <c r="A1086" s="148">
        <v>44931</v>
      </c>
      <c r="B1086" s="107">
        <v>911.05</v>
      </c>
      <c r="C1086" s="107">
        <v>870.7</v>
      </c>
      <c r="D1086" s="107">
        <v>868.05</v>
      </c>
      <c r="E1086" s="107">
        <v>887.15</v>
      </c>
      <c r="F1086" s="107">
        <v>870.7</v>
      </c>
      <c r="G1086">
        <v>3141</v>
      </c>
      <c r="H1086" s="107"/>
      <c r="I1086" s="107"/>
      <c r="L1086" s="148">
        <v>44931</v>
      </c>
      <c r="M1086" s="107">
        <v>870.7</v>
      </c>
      <c r="N1086" s="107">
        <v>899.05</v>
      </c>
      <c r="O1086" s="107">
        <v>868.2</v>
      </c>
      <c r="P1086" s="107">
        <v>886.2</v>
      </c>
      <c r="Q1086" s="107">
        <v>870.7</v>
      </c>
      <c r="R1086">
        <v>329485</v>
      </c>
    </row>
    <row r="1087" spans="1:18" x14ac:dyDescent="0.25">
      <c r="A1087" s="148">
        <v>44932</v>
      </c>
      <c r="B1087" s="107">
        <v>877.55</v>
      </c>
      <c r="C1087" s="107">
        <v>870.7</v>
      </c>
      <c r="D1087" s="107">
        <v>855.35</v>
      </c>
      <c r="E1087" s="107">
        <v>870.2</v>
      </c>
      <c r="F1087" s="107">
        <v>870.7</v>
      </c>
      <c r="G1087">
        <v>3467</v>
      </c>
      <c r="H1087" s="107"/>
      <c r="I1087" s="107"/>
      <c r="L1087" s="148">
        <v>44932</v>
      </c>
      <c r="M1087" s="107">
        <v>871.5</v>
      </c>
      <c r="N1087" s="107">
        <v>878</v>
      </c>
      <c r="O1087" s="107">
        <v>855.2</v>
      </c>
      <c r="P1087" s="107">
        <v>874.4</v>
      </c>
      <c r="Q1087" s="107">
        <v>871.5</v>
      </c>
      <c r="R1087">
        <v>109354</v>
      </c>
    </row>
    <row r="1088" spans="1:18" x14ac:dyDescent="0.25">
      <c r="A1088" s="148">
        <v>44935</v>
      </c>
      <c r="B1088" s="107">
        <v>887.1</v>
      </c>
      <c r="C1088" s="107">
        <v>885.45</v>
      </c>
      <c r="D1088" s="107">
        <v>864.55</v>
      </c>
      <c r="E1088" s="107">
        <v>879.95</v>
      </c>
      <c r="F1088" s="107">
        <v>885.45</v>
      </c>
      <c r="G1088">
        <v>2676</v>
      </c>
      <c r="H1088" s="107"/>
      <c r="I1088" s="107"/>
      <c r="L1088" s="148">
        <v>44935</v>
      </c>
      <c r="M1088" s="107">
        <v>884.45</v>
      </c>
      <c r="N1088" s="107">
        <v>886.7</v>
      </c>
      <c r="O1088" s="107">
        <v>864.55</v>
      </c>
      <c r="P1088" s="107">
        <v>875.9</v>
      </c>
      <c r="Q1088" s="107">
        <v>884.45</v>
      </c>
      <c r="R1088">
        <v>43411</v>
      </c>
    </row>
    <row r="1089" spans="1:18" x14ac:dyDescent="0.25">
      <c r="A1089" s="148">
        <v>44936</v>
      </c>
      <c r="B1089" s="107">
        <v>894.2</v>
      </c>
      <c r="C1089" s="107">
        <v>873.25</v>
      </c>
      <c r="D1089" s="107">
        <v>866.7</v>
      </c>
      <c r="E1089" s="107">
        <v>894.2</v>
      </c>
      <c r="F1089" s="107">
        <v>873.25</v>
      </c>
      <c r="G1089">
        <v>1932</v>
      </c>
      <c r="H1089" s="107"/>
      <c r="I1089" s="107"/>
      <c r="L1089" s="148">
        <v>44936</v>
      </c>
      <c r="M1089" s="107">
        <v>877.75</v>
      </c>
      <c r="N1089" s="107">
        <v>885.9</v>
      </c>
      <c r="O1089" s="107">
        <v>872.35</v>
      </c>
      <c r="P1089" s="107">
        <v>884.45</v>
      </c>
      <c r="Q1089" s="107">
        <v>877.75</v>
      </c>
      <c r="R1089">
        <v>21978</v>
      </c>
    </row>
    <row r="1090" spans="1:18" x14ac:dyDescent="0.25">
      <c r="A1090" s="148">
        <v>44937</v>
      </c>
      <c r="B1090" s="107">
        <v>883.3</v>
      </c>
      <c r="C1090" s="107">
        <v>872.9</v>
      </c>
      <c r="D1090" s="107">
        <v>866.15</v>
      </c>
      <c r="E1090" s="107">
        <v>883.3</v>
      </c>
      <c r="F1090" s="107">
        <v>872.9</v>
      </c>
      <c r="G1090">
        <v>1190</v>
      </c>
      <c r="H1090" s="107"/>
      <c r="I1090" s="107"/>
      <c r="L1090" s="148">
        <v>44937</v>
      </c>
      <c r="M1090" s="107">
        <v>869.55</v>
      </c>
      <c r="N1090" s="107">
        <v>884</v>
      </c>
      <c r="O1090" s="107">
        <v>866.65</v>
      </c>
      <c r="P1090" s="107">
        <v>884</v>
      </c>
      <c r="Q1090" s="107">
        <v>869.55</v>
      </c>
      <c r="R1090">
        <v>21657</v>
      </c>
    </row>
    <row r="1091" spans="1:18" x14ac:dyDescent="0.25">
      <c r="A1091" s="148">
        <v>44938</v>
      </c>
      <c r="B1091" s="107">
        <v>895.75</v>
      </c>
      <c r="C1091" s="107">
        <v>883.6</v>
      </c>
      <c r="D1091" s="107">
        <v>874.05</v>
      </c>
      <c r="E1091" s="107">
        <v>874.05</v>
      </c>
      <c r="F1091" s="107">
        <v>883.6</v>
      </c>
      <c r="G1091">
        <v>5985</v>
      </c>
      <c r="H1091" s="107"/>
      <c r="I1091" s="107"/>
      <c r="L1091" s="148">
        <v>44938</v>
      </c>
      <c r="M1091" s="107">
        <v>885.75</v>
      </c>
      <c r="N1091" s="107">
        <v>896.3</v>
      </c>
      <c r="O1091" s="107">
        <v>873.4</v>
      </c>
      <c r="P1091" s="107">
        <v>873.9</v>
      </c>
      <c r="Q1091" s="107">
        <v>885.75</v>
      </c>
      <c r="R1091">
        <v>61829</v>
      </c>
    </row>
    <row r="1092" spans="1:18" x14ac:dyDescent="0.25">
      <c r="A1092" s="148">
        <v>44939</v>
      </c>
      <c r="B1092" s="107">
        <v>890</v>
      </c>
      <c r="C1092" s="107">
        <v>884.95</v>
      </c>
      <c r="D1092" s="107">
        <v>881</v>
      </c>
      <c r="E1092" s="107">
        <v>888</v>
      </c>
      <c r="F1092" s="107">
        <v>884.95</v>
      </c>
      <c r="G1092">
        <v>2240</v>
      </c>
      <c r="H1092" s="107"/>
      <c r="I1092" s="107"/>
      <c r="L1092" s="148">
        <v>44939</v>
      </c>
      <c r="M1092" s="107">
        <v>883.65</v>
      </c>
      <c r="N1092" s="107">
        <v>890.4</v>
      </c>
      <c r="O1092" s="107">
        <v>880.25</v>
      </c>
      <c r="P1092" s="107">
        <v>885.75</v>
      </c>
      <c r="Q1092" s="107">
        <v>883.65</v>
      </c>
      <c r="R1092">
        <v>33631</v>
      </c>
    </row>
    <row r="1093" spans="1:18" x14ac:dyDescent="0.25">
      <c r="A1093" s="148">
        <v>44942</v>
      </c>
      <c r="B1093" s="107">
        <v>886.35</v>
      </c>
      <c r="C1093" s="107">
        <v>868.35</v>
      </c>
      <c r="D1093" s="107">
        <v>865</v>
      </c>
      <c r="E1093" s="107">
        <v>883.4</v>
      </c>
      <c r="F1093" s="107">
        <v>868.35</v>
      </c>
      <c r="G1093">
        <v>3752</v>
      </c>
      <c r="H1093" s="107"/>
      <c r="I1093" s="107"/>
      <c r="L1093" s="148">
        <v>44942</v>
      </c>
      <c r="M1093" s="107">
        <v>872.45</v>
      </c>
      <c r="N1093" s="107">
        <v>886.8</v>
      </c>
      <c r="O1093" s="107">
        <v>867.45</v>
      </c>
      <c r="P1093" s="107">
        <v>884</v>
      </c>
      <c r="Q1093" s="107">
        <v>872.45</v>
      </c>
      <c r="R1093">
        <v>15272</v>
      </c>
    </row>
    <row r="1094" spans="1:18" x14ac:dyDescent="0.25">
      <c r="A1094" s="148">
        <v>44943</v>
      </c>
      <c r="B1094" s="107">
        <v>884.3</v>
      </c>
      <c r="C1094" s="107">
        <v>880.25</v>
      </c>
      <c r="D1094" s="107">
        <v>870.15</v>
      </c>
      <c r="E1094" s="107">
        <v>872</v>
      </c>
      <c r="F1094" s="107">
        <v>880.25</v>
      </c>
      <c r="G1094">
        <v>2917</v>
      </c>
      <c r="H1094" s="107"/>
      <c r="I1094" s="107"/>
      <c r="L1094" s="148">
        <v>44943</v>
      </c>
      <c r="M1094" s="107">
        <v>881.7</v>
      </c>
      <c r="N1094" s="107">
        <v>884.45</v>
      </c>
      <c r="O1094" s="107">
        <v>869</v>
      </c>
      <c r="P1094" s="107">
        <v>875.1</v>
      </c>
      <c r="Q1094" s="107">
        <v>881.7</v>
      </c>
      <c r="R1094">
        <v>55398</v>
      </c>
    </row>
    <row r="1095" spans="1:18" x14ac:dyDescent="0.25">
      <c r="A1095" s="148">
        <v>44944</v>
      </c>
      <c r="B1095" s="107">
        <v>898.75</v>
      </c>
      <c r="C1095" s="107">
        <v>894.5</v>
      </c>
      <c r="D1095" s="107">
        <v>882.85</v>
      </c>
      <c r="E1095" s="107">
        <v>884.65</v>
      </c>
      <c r="F1095" s="107">
        <v>894.5</v>
      </c>
      <c r="G1095">
        <v>3905</v>
      </c>
      <c r="H1095" s="107"/>
      <c r="I1095" s="107"/>
      <c r="L1095" s="148">
        <v>44944</v>
      </c>
      <c r="M1095" s="107">
        <v>894.75</v>
      </c>
      <c r="N1095" s="107">
        <v>899.6</v>
      </c>
      <c r="O1095" s="107">
        <v>883.1</v>
      </c>
      <c r="P1095" s="107">
        <v>884.6</v>
      </c>
      <c r="Q1095" s="107">
        <v>894.75</v>
      </c>
      <c r="R1095">
        <v>179762</v>
      </c>
    </row>
    <row r="1096" spans="1:18" x14ac:dyDescent="0.25">
      <c r="A1096" s="148">
        <v>44945</v>
      </c>
      <c r="B1096" s="107">
        <v>935.85</v>
      </c>
      <c r="C1096" s="107">
        <v>909.8</v>
      </c>
      <c r="D1096" s="107">
        <v>895.45</v>
      </c>
      <c r="E1096" s="107">
        <v>895.5</v>
      </c>
      <c r="F1096" s="107">
        <v>909.8</v>
      </c>
      <c r="G1096">
        <v>10901</v>
      </c>
      <c r="H1096" s="107"/>
      <c r="I1096" s="107"/>
      <c r="L1096" s="148">
        <v>44945</v>
      </c>
      <c r="M1096" s="107">
        <v>911.2</v>
      </c>
      <c r="N1096" s="107">
        <v>935.65</v>
      </c>
      <c r="O1096" s="107">
        <v>893</v>
      </c>
      <c r="P1096" s="107">
        <v>893</v>
      </c>
      <c r="Q1096" s="107">
        <v>911.2</v>
      </c>
      <c r="R1096">
        <v>326594</v>
      </c>
    </row>
    <row r="1097" spans="1:18" x14ac:dyDescent="0.25">
      <c r="A1097" s="148">
        <v>44946</v>
      </c>
      <c r="B1097" s="107">
        <v>917.2</v>
      </c>
      <c r="C1097" s="107">
        <v>914.8</v>
      </c>
      <c r="D1097" s="107">
        <v>904.3</v>
      </c>
      <c r="E1097" s="107">
        <v>917.2</v>
      </c>
      <c r="F1097" s="107">
        <v>914.8</v>
      </c>
      <c r="G1097">
        <v>808</v>
      </c>
      <c r="H1097" s="107"/>
      <c r="I1097" s="107"/>
      <c r="L1097" s="148">
        <v>44946</v>
      </c>
      <c r="M1097" s="107">
        <v>914.65</v>
      </c>
      <c r="N1097" s="107">
        <v>917.65</v>
      </c>
      <c r="O1097" s="107">
        <v>904.15</v>
      </c>
      <c r="P1097" s="107">
        <v>915.8</v>
      </c>
      <c r="Q1097" s="107">
        <v>914.65</v>
      </c>
      <c r="R1097">
        <v>36432</v>
      </c>
    </row>
    <row r="1098" spans="1:18" x14ac:dyDescent="0.25">
      <c r="A1098" s="148">
        <v>44949</v>
      </c>
      <c r="B1098" s="107">
        <v>919.7</v>
      </c>
      <c r="C1098" s="107">
        <v>895.35</v>
      </c>
      <c r="D1098" s="107">
        <v>891.2</v>
      </c>
      <c r="E1098" s="107">
        <v>912.6</v>
      </c>
      <c r="F1098" s="107">
        <v>895.35</v>
      </c>
      <c r="G1098">
        <v>2985</v>
      </c>
      <c r="H1098" s="107"/>
      <c r="I1098" s="107"/>
      <c r="L1098" s="148">
        <v>44949</v>
      </c>
      <c r="M1098" s="107">
        <v>898.6</v>
      </c>
      <c r="N1098" s="107">
        <v>919.75</v>
      </c>
      <c r="O1098" s="107">
        <v>892.35</v>
      </c>
      <c r="P1098" s="107">
        <v>914.65</v>
      </c>
      <c r="Q1098" s="107">
        <v>898.6</v>
      </c>
      <c r="R1098">
        <v>19102</v>
      </c>
    </row>
    <row r="1099" spans="1:18" x14ac:dyDescent="0.25">
      <c r="A1099" s="148">
        <v>44950</v>
      </c>
      <c r="B1099" s="107">
        <v>934.95</v>
      </c>
      <c r="C1099" s="107">
        <v>906.6</v>
      </c>
      <c r="D1099" s="107">
        <v>897</v>
      </c>
      <c r="E1099" s="107">
        <v>934.95</v>
      </c>
      <c r="F1099" s="107">
        <v>906.6</v>
      </c>
      <c r="G1099">
        <v>1002</v>
      </c>
      <c r="H1099" s="107"/>
      <c r="I1099" s="107"/>
      <c r="L1099" s="148">
        <v>44950</v>
      </c>
      <c r="M1099" s="107">
        <v>906</v>
      </c>
      <c r="N1099" s="107">
        <v>909.45</v>
      </c>
      <c r="O1099" s="107">
        <v>896.35</v>
      </c>
      <c r="P1099" s="107">
        <v>898</v>
      </c>
      <c r="Q1099" s="107">
        <v>906</v>
      </c>
      <c r="R1099">
        <v>104382</v>
      </c>
    </row>
    <row r="1100" spans="1:18" x14ac:dyDescent="0.25">
      <c r="A1100" s="148">
        <v>44951</v>
      </c>
      <c r="B1100" s="107">
        <v>910.85</v>
      </c>
      <c r="C1100" s="107">
        <v>907.65</v>
      </c>
      <c r="D1100" s="107">
        <v>894.05</v>
      </c>
      <c r="E1100" s="107">
        <v>904.5</v>
      </c>
      <c r="F1100" s="107">
        <v>907.65</v>
      </c>
      <c r="G1100">
        <v>2486</v>
      </c>
      <c r="H1100" s="107"/>
      <c r="I1100" s="107"/>
      <c r="L1100" s="148">
        <v>44951</v>
      </c>
      <c r="M1100" s="107">
        <v>906</v>
      </c>
      <c r="N1100" s="107">
        <v>910.55</v>
      </c>
      <c r="O1100" s="107">
        <v>894.55</v>
      </c>
      <c r="P1100" s="107">
        <v>910.55</v>
      </c>
      <c r="Q1100" s="107">
        <v>906</v>
      </c>
      <c r="R1100">
        <v>18019</v>
      </c>
    </row>
    <row r="1101" spans="1:18" x14ac:dyDescent="0.25">
      <c r="A1101" s="148">
        <v>44953</v>
      </c>
      <c r="B1101" s="107">
        <v>906.6</v>
      </c>
      <c r="C1101" s="107">
        <v>867.7</v>
      </c>
      <c r="D1101" s="107">
        <v>856.45</v>
      </c>
      <c r="E1101" s="107">
        <v>906.6</v>
      </c>
      <c r="F1101" s="107">
        <v>867.7</v>
      </c>
      <c r="G1101">
        <v>6213</v>
      </c>
      <c r="H1101" s="107"/>
      <c r="I1101" s="107"/>
      <c r="L1101" s="148">
        <v>44953</v>
      </c>
      <c r="M1101" s="107">
        <v>869.35</v>
      </c>
      <c r="N1101" s="107">
        <v>907.05</v>
      </c>
      <c r="O1101" s="107">
        <v>863</v>
      </c>
      <c r="P1101" s="107">
        <v>905</v>
      </c>
      <c r="Q1101" s="107">
        <v>869.35</v>
      </c>
      <c r="R1101">
        <v>34275</v>
      </c>
    </row>
    <row r="1102" spans="1:18" x14ac:dyDescent="0.25">
      <c r="A1102" s="148">
        <v>44956</v>
      </c>
      <c r="B1102" s="107">
        <v>880.25</v>
      </c>
      <c r="C1102" s="107">
        <v>856</v>
      </c>
      <c r="D1102" s="107">
        <v>852.9</v>
      </c>
      <c r="E1102" s="107">
        <v>872.55</v>
      </c>
      <c r="F1102" s="107">
        <v>856</v>
      </c>
      <c r="G1102">
        <v>947</v>
      </c>
      <c r="H1102" s="107"/>
      <c r="I1102" s="107"/>
      <c r="L1102" s="148">
        <v>44956</v>
      </c>
      <c r="M1102" s="107">
        <v>854.45</v>
      </c>
      <c r="N1102" s="107">
        <v>881.1</v>
      </c>
      <c r="O1102" s="107">
        <v>851</v>
      </c>
      <c r="P1102" s="107">
        <v>869.35</v>
      </c>
      <c r="Q1102" s="107">
        <v>854.45</v>
      </c>
      <c r="R1102">
        <v>28772</v>
      </c>
    </row>
    <row r="1103" spans="1:18" x14ac:dyDescent="0.25">
      <c r="A1103" s="148">
        <v>44957</v>
      </c>
      <c r="B1103" s="107">
        <v>878.2</v>
      </c>
      <c r="C1103" s="107">
        <v>861.65</v>
      </c>
      <c r="D1103" s="107">
        <v>834.1</v>
      </c>
      <c r="E1103" s="107">
        <v>878.2</v>
      </c>
      <c r="F1103" s="107">
        <v>861.65</v>
      </c>
      <c r="G1103">
        <v>5440</v>
      </c>
      <c r="H1103" s="107"/>
      <c r="I1103" s="107"/>
      <c r="L1103" s="148">
        <v>44957</v>
      </c>
      <c r="M1103" s="107">
        <v>860.5</v>
      </c>
      <c r="N1103" s="107">
        <v>869.55</v>
      </c>
      <c r="O1103" s="107">
        <v>834.1</v>
      </c>
      <c r="P1103" s="107">
        <v>858.9</v>
      </c>
      <c r="Q1103" s="107">
        <v>860.5</v>
      </c>
      <c r="R1103">
        <v>96724</v>
      </c>
    </row>
    <row r="1104" spans="1:18" x14ac:dyDescent="0.25">
      <c r="A1104" s="148">
        <v>44958</v>
      </c>
      <c r="B1104" s="107">
        <v>963.5</v>
      </c>
      <c r="C1104" s="107">
        <v>899.4</v>
      </c>
      <c r="D1104" s="107">
        <v>865.15</v>
      </c>
      <c r="E1104" s="107">
        <v>874.05</v>
      </c>
      <c r="F1104" s="107">
        <v>899.4</v>
      </c>
      <c r="G1104">
        <v>26401</v>
      </c>
      <c r="H1104" s="107"/>
      <c r="I1104" s="107"/>
      <c r="L1104" s="148">
        <v>44958</v>
      </c>
      <c r="M1104" s="107">
        <v>900.85</v>
      </c>
      <c r="N1104" s="107">
        <v>965</v>
      </c>
      <c r="O1104" s="107">
        <v>862.7</v>
      </c>
      <c r="P1104" s="107">
        <v>864.85</v>
      </c>
      <c r="Q1104" s="107">
        <v>900.85</v>
      </c>
      <c r="R1104">
        <v>308492</v>
      </c>
    </row>
    <row r="1105" spans="1:18" x14ac:dyDescent="0.25">
      <c r="A1105" s="148">
        <v>44959</v>
      </c>
      <c r="B1105" s="107">
        <v>918.9</v>
      </c>
      <c r="C1105" s="107">
        <v>900.75</v>
      </c>
      <c r="D1105" s="107">
        <v>888</v>
      </c>
      <c r="E1105" s="107">
        <v>918.9</v>
      </c>
      <c r="F1105" s="107">
        <v>900.75</v>
      </c>
      <c r="G1105">
        <v>2081</v>
      </c>
      <c r="H1105" s="107"/>
      <c r="I1105" s="107"/>
      <c r="L1105" s="148">
        <v>44959</v>
      </c>
      <c r="M1105" s="107">
        <v>896.75</v>
      </c>
      <c r="N1105" s="107">
        <v>915.85</v>
      </c>
      <c r="O1105" s="107">
        <v>887.35</v>
      </c>
      <c r="P1105" s="107">
        <v>887.35</v>
      </c>
      <c r="Q1105" s="107">
        <v>896.75</v>
      </c>
      <c r="R1105">
        <v>52305</v>
      </c>
    </row>
    <row r="1106" spans="1:18" x14ac:dyDescent="0.25">
      <c r="A1106" s="148">
        <v>44960</v>
      </c>
      <c r="B1106" s="107">
        <v>917.6</v>
      </c>
      <c r="C1106" s="107">
        <v>900.65</v>
      </c>
      <c r="D1106" s="107">
        <v>880.9</v>
      </c>
      <c r="E1106" s="107">
        <v>908.85</v>
      </c>
      <c r="F1106" s="107">
        <v>900.65</v>
      </c>
      <c r="G1106">
        <v>4989</v>
      </c>
      <c r="H1106" s="107"/>
      <c r="I1106" s="107"/>
      <c r="L1106" s="148">
        <v>44960</v>
      </c>
      <c r="M1106" s="107">
        <v>899.75</v>
      </c>
      <c r="N1106" s="107">
        <v>925.6</v>
      </c>
      <c r="O1106" s="107">
        <v>880.25</v>
      </c>
      <c r="P1106" s="107">
        <v>899</v>
      </c>
      <c r="Q1106" s="107">
        <v>899.75</v>
      </c>
      <c r="R1106">
        <v>30760</v>
      </c>
    </row>
    <row r="1107" spans="1:18" x14ac:dyDescent="0.25">
      <c r="A1107" s="148">
        <v>44963</v>
      </c>
      <c r="B1107" s="107">
        <v>916</v>
      </c>
      <c r="C1107" s="107">
        <v>885.55</v>
      </c>
      <c r="D1107" s="107">
        <v>879.6</v>
      </c>
      <c r="E1107" s="107">
        <v>916</v>
      </c>
      <c r="F1107" s="107">
        <v>885.55</v>
      </c>
      <c r="G1107">
        <v>2348</v>
      </c>
      <c r="H1107" s="107"/>
      <c r="I1107" s="107"/>
      <c r="L1107" s="148">
        <v>44963</v>
      </c>
      <c r="M1107" s="107">
        <v>884.3</v>
      </c>
      <c r="N1107" s="107">
        <v>902.55</v>
      </c>
      <c r="O1107" s="107">
        <v>879.35</v>
      </c>
      <c r="P1107" s="107">
        <v>900</v>
      </c>
      <c r="Q1107" s="107">
        <v>884.3</v>
      </c>
      <c r="R1107">
        <v>27158</v>
      </c>
    </row>
    <row r="1108" spans="1:18" x14ac:dyDescent="0.25">
      <c r="A1108" s="148">
        <v>44964</v>
      </c>
      <c r="B1108" s="107">
        <v>904.5</v>
      </c>
      <c r="C1108" s="107">
        <v>901.1</v>
      </c>
      <c r="D1108" s="107">
        <v>876.45</v>
      </c>
      <c r="E1108" s="107">
        <v>893.95</v>
      </c>
      <c r="F1108" s="107">
        <v>901.1</v>
      </c>
      <c r="G1108">
        <v>3275</v>
      </c>
      <c r="H1108" s="107"/>
      <c r="I1108" s="107"/>
      <c r="L1108" s="148">
        <v>44964</v>
      </c>
      <c r="M1108" s="107">
        <v>901.35</v>
      </c>
      <c r="N1108" s="107">
        <v>904.6</v>
      </c>
      <c r="O1108" s="107">
        <v>876.4</v>
      </c>
      <c r="P1108" s="107">
        <v>887.85</v>
      </c>
      <c r="Q1108" s="107">
        <v>901.35</v>
      </c>
      <c r="R1108">
        <v>36735</v>
      </c>
    </row>
    <row r="1109" spans="1:18" x14ac:dyDescent="0.25">
      <c r="A1109" s="148">
        <v>44965</v>
      </c>
      <c r="B1109" s="107">
        <v>987.3</v>
      </c>
      <c r="C1109" s="107">
        <v>956.15</v>
      </c>
      <c r="D1109" s="107">
        <v>941</v>
      </c>
      <c r="E1109" s="107">
        <v>941</v>
      </c>
      <c r="F1109" s="107">
        <v>956.15</v>
      </c>
      <c r="G1109">
        <v>30159</v>
      </c>
      <c r="H1109" s="107"/>
      <c r="I1109" s="107"/>
      <c r="L1109" s="148">
        <v>44965</v>
      </c>
      <c r="M1109" s="107">
        <v>956.6</v>
      </c>
      <c r="N1109" s="107">
        <v>988</v>
      </c>
      <c r="O1109" s="107">
        <v>945</v>
      </c>
      <c r="P1109" s="107">
        <v>945</v>
      </c>
      <c r="Q1109" s="107">
        <v>956.6</v>
      </c>
      <c r="R1109">
        <v>661495</v>
      </c>
    </row>
    <row r="1110" spans="1:18" x14ac:dyDescent="0.25">
      <c r="A1110" s="148">
        <v>44966</v>
      </c>
      <c r="B1110" s="107">
        <v>988</v>
      </c>
      <c r="C1110" s="107">
        <v>960.8</v>
      </c>
      <c r="D1110" s="107">
        <v>948.25</v>
      </c>
      <c r="E1110" s="107">
        <v>960</v>
      </c>
      <c r="F1110" s="107">
        <v>960.8</v>
      </c>
      <c r="G1110">
        <v>5915</v>
      </c>
      <c r="H1110" s="107"/>
      <c r="I1110" s="107"/>
      <c r="L1110" s="148">
        <v>44966</v>
      </c>
      <c r="M1110" s="107">
        <v>959.75</v>
      </c>
      <c r="N1110" s="107">
        <v>987.6</v>
      </c>
      <c r="O1110" s="107">
        <v>950.95</v>
      </c>
      <c r="P1110" s="107">
        <v>951</v>
      </c>
      <c r="Q1110" s="107">
        <v>959.75</v>
      </c>
      <c r="R1110">
        <v>234867</v>
      </c>
    </row>
    <row r="1111" spans="1:18" x14ac:dyDescent="0.25">
      <c r="A1111" s="148">
        <v>44967</v>
      </c>
      <c r="B1111" s="107">
        <v>972.05</v>
      </c>
      <c r="C1111" s="107">
        <v>945.05</v>
      </c>
      <c r="D1111" s="107">
        <v>938.05</v>
      </c>
      <c r="E1111" s="107">
        <v>957.6</v>
      </c>
      <c r="F1111" s="107">
        <v>945.05</v>
      </c>
      <c r="G1111">
        <v>3173</v>
      </c>
      <c r="H1111" s="107"/>
      <c r="I1111" s="107"/>
      <c r="L1111" s="148">
        <v>44967</v>
      </c>
      <c r="M1111" s="107">
        <v>949.45</v>
      </c>
      <c r="N1111" s="107">
        <v>973.1</v>
      </c>
      <c r="O1111" s="107">
        <v>938.05</v>
      </c>
      <c r="P1111" s="107">
        <v>959.75</v>
      </c>
      <c r="Q1111" s="107">
        <v>949.45</v>
      </c>
      <c r="R1111">
        <v>131427</v>
      </c>
    </row>
    <row r="1112" spans="1:18" x14ac:dyDescent="0.25">
      <c r="A1112" s="148">
        <v>44970</v>
      </c>
      <c r="B1112" s="107">
        <v>963.95</v>
      </c>
      <c r="C1112" s="107">
        <v>916.1</v>
      </c>
      <c r="D1112" s="107">
        <v>910.95</v>
      </c>
      <c r="E1112" s="107">
        <v>963.95</v>
      </c>
      <c r="F1112" s="107">
        <v>916.1</v>
      </c>
      <c r="G1112">
        <v>2565</v>
      </c>
      <c r="H1112" s="107"/>
      <c r="I1112" s="107"/>
      <c r="L1112" s="148">
        <v>44970</v>
      </c>
      <c r="M1112" s="107">
        <v>916.3</v>
      </c>
      <c r="N1112" s="107">
        <v>958</v>
      </c>
      <c r="O1112" s="107">
        <v>910</v>
      </c>
      <c r="P1112" s="107">
        <v>952.8</v>
      </c>
      <c r="Q1112" s="107">
        <v>916.3</v>
      </c>
      <c r="R1112">
        <v>135969</v>
      </c>
    </row>
    <row r="1113" spans="1:18" x14ac:dyDescent="0.25">
      <c r="A1113" s="148">
        <v>44971</v>
      </c>
      <c r="B1113" s="107">
        <v>924.95</v>
      </c>
      <c r="C1113" s="107">
        <v>903.75</v>
      </c>
      <c r="D1113" s="107">
        <v>899.5</v>
      </c>
      <c r="E1113" s="107">
        <v>916.9</v>
      </c>
      <c r="F1113" s="107">
        <v>903.75</v>
      </c>
      <c r="G1113">
        <v>4074</v>
      </c>
      <c r="H1113" s="107"/>
      <c r="I1113" s="107"/>
      <c r="L1113" s="148">
        <v>44971</v>
      </c>
      <c r="M1113" s="107">
        <v>902.2</v>
      </c>
      <c r="N1113" s="107">
        <v>928.4</v>
      </c>
      <c r="O1113" s="107">
        <v>898.65</v>
      </c>
      <c r="P1113" s="107">
        <v>916.3</v>
      </c>
      <c r="Q1113" s="107">
        <v>902.2</v>
      </c>
      <c r="R1113">
        <v>50351</v>
      </c>
    </row>
    <row r="1114" spans="1:18" x14ac:dyDescent="0.25">
      <c r="A1114" s="148">
        <v>44972</v>
      </c>
      <c r="B1114" s="107">
        <v>934.35</v>
      </c>
      <c r="C1114" s="107">
        <v>932.75</v>
      </c>
      <c r="D1114" s="107">
        <v>899.3</v>
      </c>
      <c r="E1114" s="107">
        <v>899.7</v>
      </c>
      <c r="F1114" s="107">
        <v>932.75</v>
      </c>
      <c r="G1114">
        <v>6469</v>
      </c>
      <c r="H1114" s="107"/>
      <c r="I1114" s="107"/>
      <c r="L1114" s="148">
        <v>44972</v>
      </c>
      <c r="M1114" s="107">
        <v>931.1</v>
      </c>
      <c r="N1114" s="107">
        <v>936</v>
      </c>
      <c r="O1114" s="107">
        <v>898.65</v>
      </c>
      <c r="P1114" s="107">
        <v>900</v>
      </c>
      <c r="Q1114" s="107">
        <v>931.1</v>
      </c>
      <c r="R1114">
        <v>40570</v>
      </c>
    </row>
    <row r="1115" spans="1:18" x14ac:dyDescent="0.25">
      <c r="A1115" s="148">
        <v>44973</v>
      </c>
      <c r="B1115" s="107">
        <v>971</v>
      </c>
      <c r="C1115" s="107">
        <v>954.15</v>
      </c>
      <c r="D1115" s="107">
        <v>932.3</v>
      </c>
      <c r="E1115" s="107">
        <v>932.75</v>
      </c>
      <c r="F1115" s="107">
        <v>954.15</v>
      </c>
      <c r="G1115">
        <v>9381</v>
      </c>
      <c r="H1115" s="107"/>
      <c r="I1115" s="107"/>
      <c r="L1115" s="148">
        <v>44973</v>
      </c>
      <c r="M1115" s="107">
        <v>952.15</v>
      </c>
      <c r="N1115" s="107">
        <v>972</v>
      </c>
      <c r="O1115" s="107">
        <v>932.35</v>
      </c>
      <c r="P1115" s="107">
        <v>935.8</v>
      </c>
      <c r="Q1115" s="107">
        <v>952.15</v>
      </c>
      <c r="R1115">
        <v>375747</v>
      </c>
    </row>
    <row r="1116" spans="1:18" x14ac:dyDescent="0.25">
      <c r="A1116" s="148">
        <v>44974</v>
      </c>
      <c r="B1116" s="107">
        <v>970</v>
      </c>
      <c r="C1116" s="107">
        <v>953.7</v>
      </c>
      <c r="D1116" s="107">
        <v>936.35</v>
      </c>
      <c r="E1116" s="107">
        <v>936.35</v>
      </c>
      <c r="F1116" s="107">
        <v>953.7</v>
      </c>
      <c r="G1116">
        <v>3422</v>
      </c>
      <c r="H1116" s="107"/>
      <c r="I1116" s="107"/>
      <c r="L1116" s="148">
        <v>44974</v>
      </c>
      <c r="M1116" s="107">
        <v>954.4</v>
      </c>
      <c r="N1116" s="107">
        <v>970</v>
      </c>
      <c r="O1116" s="107">
        <v>937.95</v>
      </c>
      <c r="P1116" s="107">
        <v>944.15</v>
      </c>
      <c r="Q1116" s="107">
        <v>954.4</v>
      </c>
      <c r="R1116">
        <v>78150</v>
      </c>
    </row>
    <row r="1117" spans="1:18" x14ac:dyDescent="0.25">
      <c r="A1117" s="148">
        <v>44977</v>
      </c>
      <c r="B1117" s="107">
        <v>1020.2</v>
      </c>
      <c r="C1117" s="107">
        <v>1002.6</v>
      </c>
      <c r="D1117" s="107">
        <v>935.35</v>
      </c>
      <c r="E1117" s="107">
        <v>935.35</v>
      </c>
      <c r="F1117" s="107">
        <v>1002.6</v>
      </c>
      <c r="G1117">
        <v>11845</v>
      </c>
      <c r="H1117" s="107"/>
      <c r="I1117" s="107"/>
      <c r="L1117" s="148">
        <v>44977</v>
      </c>
      <c r="M1117" s="107">
        <v>1000.6</v>
      </c>
      <c r="N1117" s="107">
        <v>1022</v>
      </c>
      <c r="O1117" s="107">
        <v>941.1</v>
      </c>
      <c r="P1117" s="107">
        <v>954.4</v>
      </c>
      <c r="Q1117" s="107">
        <v>1000.6</v>
      </c>
      <c r="R1117">
        <v>349416</v>
      </c>
    </row>
    <row r="1118" spans="1:18" x14ac:dyDescent="0.25">
      <c r="A1118" s="148">
        <v>44978</v>
      </c>
      <c r="B1118" s="107">
        <v>1007.45</v>
      </c>
      <c r="C1118" s="107">
        <v>989.1</v>
      </c>
      <c r="D1118" s="107">
        <v>980</v>
      </c>
      <c r="E1118" s="107">
        <v>1005</v>
      </c>
      <c r="F1118" s="107">
        <v>989.1</v>
      </c>
      <c r="G1118">
        <v>4256</v>
      </c>
      <c r="H1118" s="107"/>
      <c r="I1118" s="107"/>
      <c r="L1118" s="148">
        <v>44978</v>
      </c>
      <c r="M1118" s="107">
        <v>988.35</v>
      </c>
      <c r="N1118" s="107">
        <v>1008.8</v>
      </c>
      <c r="O1118" s="107">
        <v>980.2</v>
      </c>
      <c r="P1118" s="107">
        <v>1008.6</v>
      </c>
      <c r="Q1118" s="107">
        <v>988.35</v>
      </c>
      <c r="R1118">
        <v>45624</v>
      </c>
    </row>
    <row r="1119" spans="1:18" x14ac:dyDescent="0.25">
      <c r="A1119" s="148">
        <v>44979</v>
      </c>
      <c r="B1119" s="107">
        <v>999.4</v>
      </c>
      <c r="C1119" s="107">
        <v>973.55</v>
      </c>
      <c r="D1119" s="107">
        <v>963.1</v>
      </c>
      <c r="E1119" s="107">
        <v>975.05</v>
      </c>
      <c r="F1119" s="107">
        <v>973.55</v>
      </c>
      <c r="G1119">
        <v>5895</v>
      </c>
      <c r="H1119" s="107"/>
      <c r="I1119" s="107"/>
      <c r="L1119" s="148">
        <v>44979</v>
      </c>
      <c r="M1119" s="107">
        <v>974.5</v>
      </c>
      <c r="N1119" s="107">
        <v>1000</v>
      </c>
      <c r="O1119" s="107">
        <v>963.1</v>
      </c>
      <c r="P1119" s="107">
        <v>985.95</v>
      </c>
      <c r="Q1119" s="107">
        <v>974.5</v>
      </c>
      <c r="R1119">
        <v>99081</v>
      </c>
    </row>
    <row r="1120" spans="1:18" x14ac:dyDescent="0.25">
      <c r="A1120" s="148">
        <v>44980</v>
      </c>
      <c r="B1120" s="107">
        <v>1003</v>
      </c>
      <c r="C1120" s="107">
        <v>992.4</v>
      </c>
      <c r="D1120" s="107">
        <v>977.25</v>
      </c>
      <c r="E1120" s="107">
        <v>980.35</v>
      </c>
      <c r="F1120" s="107">
        <v>992.4</v>
      </c>
      <c r="G1120">
        <v>3923</v>
      </c>
      <c r="H1120" s="107"/>
      <c r="I1120" s="107"/>
      <c r="L1120" s="148">
        <v>44980</v>
      </c>
      <c r="M1120" s="107">
        <v>992.9</v>
      </c>
      <c r="N1120" s="107">
        <v>1002.5</v>
      </c>
      <c r="O1120" s="107">
        <v>977.55</v>
      </c>
      <c r="P1120" s="107">
        <v>979.4</v>
      </c>
      <c r="Q1120" s="107">
        <v>992.9</v>
      </c>
      <c r="R1120">
        <v>150288</v>
      </c>
    </row>
    <row r="1121" spans="1:18" x14ac:dyDescent="0.25">
      <c r="A1121" s="148">
        <v>44981</v>
      </c>
      <c r="B1121" s="107">
        <v>1006</v>
      </c>
      <c r="C1121" s="107">
        <v>1002.25</v>
      </c>
      <c r="D1121" s="107">
        <v>978.05</v>
      </c>
      <c r="E1121" s="107">
        <v>999.85</v>
      </c>
      <c r="F1121" s="107">
        <v>1002.25</v>
      </c>
      <c r="G1121">
        <v>2225</v>
      </c>
      <c r="H1121" s="107"/>
      <c r="I1121" s="107"/>
      <c r="L1121" s="148">
        <v>44981</v>
      </c>
      <c r="M1121" s="107">
        <v>1001.15</v>
      </c>
      <c r="N1121" s="107">
        <v>1006.95</v>
      </c>
      <c r="O1121" s="107">
        <v>977.55</v>
      </c>
      <c r="P1121" s="107">
        <v>991.65</v>
      </c>
      <c r="Q1121" s="107">
        <v>1001.15</v>
      </c>
      <c r="R1121">
        <v>249544</v>
      </c>
    </row>
    <row r="1122" spans="1:18" x14ac:dyDescent="0.25">
      <c r="A1122" s="148">
        <v>44984</v>
      </c>
      <c r="B1122" s="107">
        <v>1014.75</v>
      </c>
      <c r="C1122" s="107">
        <v>978.6</v>
      </c>
      <c r="D1122" s="107">
        <v>964</v>
      </c>
      <c r="E1122" s="107">
        <v>1014.75</v>
      </c>
      <c r="F1122" s="107">
        <v>978.6</v>
      </c>
      <c r="G1122">
        <v>4947</v>
      </c>
      <c r="H1122" s="107"/>
      <c r="I1122" s="107"/>
      <c r="L1122" s="148">
        <v>44984</v>
      </c>
      <c r="M1122" s="107">
        <v>977.8</v>
      </c>
      <c r="N1122" s="107">
        <v>1013.4</v>
      </c>
      <c r="O1122" s="107">
        <v>962.95</v>
      </c>
      <c r="P1122" s="107">
        <v>1007</v>
      </c>
      <c r="Q1122" s="107">
        <v>977.8</v>
      </c>
      <c r="R1122">
        <v>367631</v>
      </c>
    </row>
    <row r="1123" spans="1:18" x14ac:dyDescent="0.25">
      <c r="A1123" s="148">
        <v>44985</v>
      </c>
      <c r="B1123" s="107">
        <v>989.5</v>
      </c>
      <c r="C1123" s="107">
        <v>964.65</v>
      </c>
      <c r="D1123" s="107">
        <v>955.9</v>
      </c>
      <c r="E1123" s="107">
        <v>965.15</v>
      </c>
      <c r="F1123" s="107">
        <v>964.65</v>
      </c>
      <c r="G1123">
        <v>3468</v>
      </c>
      <c r="H1123" s="107"/>
      <c r="I1123" s="107"/>
      <c r="L1123" s="148">
        <v>44985</v>
      </c>
      <c r="M1123" s="107">
        <v>964.95</v>
      </c>
      <c r="N1123" s="107">
        <v>989.1</v>
      </c>
      <c r="O1123" s="107">
        <v>955.8</v>
      </c>
      <c r="P1123" s="107">
        <v>980</v>
      </c>
      <c r="Q1123" s="107">
        <v>964.95</v>
      </c>
      <c r="R1123">
        <v>113904</v>
      </c>
    </row>
    <row r="1124" spans="1:18" x14ac:dyDescent="0.25">
      <c r="A1124" s="148">
        <v>44986</v>
      </c>
      <c r="B1124" s="107">
        <v>975.2</v>
      </c>
      <c r="C1124" s="107">
        <v>966.4</v>
      </c>
      <c r="D1124" s="107">
        <v>959.85</v>
      </c>
      <c r="E1124" s="107">
        <v>960</v>
      </c>
      <c r="F1124" s="107">
        <v>966.4</v>
      </c>
      <c r="G1124">
        <v>1465</v>
      </c>
      <c r="H1124" s="107"/>
      <c r="I1124" s="107"/>
      <c r="L1124" s="148">
        <v>44986</v>
      </c>
      <c r="M1124" s="107">
        <v>967.05</v>
      </c>
      <c r="N1124" s="107">
        <v>977.75</v>
      </c>
      <c r="O1124" s="107">
        <v>957</v>
      </c>
      <c r="P1124" s="107">
        <v>964.45</v>
      </c>
      <c r="Q1124" s="107">
        <v>967.05</v>
      </c>
      <c r="R1124">
        <v>44610</v>
      </c>
    </row>
    <row r="1125" spans="1:18" x14ac:dyDescent="0.25">
      <c r="A1125" s="148">
        <v>44987</v>
      </c>
      <c r="B1125" s="107">
        <v>1010</v>
      </c>
      <c r="C1125" s="107">
        <v>992.3</v>
      </c>
      <c r="D1125" s="107">
        <v>974.5</v>
      </c>
      <c r="E1125" s="107">
        <v>1003.6</v>
      </c>
      <c r="F1125" s="107">
        <v>992.3</v>
      </c>
      <c r="G1125">
        <v>5291</v>
      </c>
      <c r="H1125" s="107"/>
      <c r="I1125" s="107"/>
      <c r="L1125" s="148">
        <v>44987</v>
      </c>
      <c r="M1125" s="107">
        <v>990.15</v>
      </c>
      <c r="N1125" s="107">
        <v>999</v>
      </c>
      <c r="O1125" s="107">
        <v>975.95</v>
      </c>
      <c r="P1125" s="107">
        <v>995</v>
      </c>
      <c r="Q1125" s="107">
        <v>990.15</v>
      </c>
      <c r="R1125">
        <v>126409</v>
      </c>
    </row>
    <row r="1126" spans="1:18" x14ac:dyDescent="0.25">
      <c r="A1126" s="148">
        <v>44988</v>
      </c>
      <c r="B1126" s="107">
        <v>994.95</v>
      </c>
      <c r="C1126" s="107">
        <v>969.1</v>
      </c>
      <c r="D1126" s="107">
        <v>961.7</v>
      </c>
      <c r="E1126" s="107">
        <v>993.7</v>
      </c>
      <c r="F1126" s="107">
        <v>969.1</v>
      </c>
      <c r="G1126">
        <v>2770</v>
      </c>
      <c r="H1126" s="107"/>
      <c r="I1126" s="107"/>
      <c r="L1126" s="148">
        <v>44988</v>
      </c>
      <c r="M1126" s="107">
        <v>966.6</v>
      </c>
      <c r="N1126" s="107">
        <v>992.9</v>
      </c>
      <c r="O1126" s="107">
        <v>962.2</v>
      </c>
      <c r="P1126" s="107">
        <v>990.15</v>
      </c>
      <c r="Q1126" s="107">
        <v>966.6</v>
      </c>
      <c r="R1126">
        <v>84392</v>
      </c>
    </row>
    <row r="1127" spans="1:18" x14ac:dyDescent="0.25">
      <c r="A1127" s="148">
        <v>44991</v>
      </c>
      <c r="B1127" s="107">
        <v>981.85</v>
      </c>
      <c r="C1127" s="107">
        <v>958.3</v>
      </c>
      <c r="D1127" s="107">
        <v>955</v>
      </c>
      <c r="E1127" s="107">
        <v>962.05</v>
      </c>
      <c r="F1127" s="107">
        <v>958.3</v>
      </c>
      <c r="G1127">
        <v>5169</v>
      </c>
      <c r="H1127" s="107"/>
      <c r="I1127" s="107"/>
      <c r="L1127" s="148">
        <v>44991</v>
      </c>
      <c r="M1127" s="107">
        <v>959.35</v>
      </c>
      <c r="N1127" s="107">
        <v>982</v>
      </c>
      <c r="O1127" s="107">
        <v>954.15</v>
      </c>
      <c r="P1127" s="107">
        <v>972</v>
      </c>
      <c r="Q1127" s="107">
        <v>959.35</v>
      </c>
      <c r="R1127">
        <v>33589</v>
      </c>
    </row>
    <row r="1128" spans="1:18" x14ac:dyDescent="0.25">
      <c r="A1128" s="148">
        <v>44993</v>
      </c>
      <c r="B1128" s="107">
        <v>962</v>
      </c>
      <c r="C1128" s="107">
        <v>946.85</v>
      </c>
      <c r="D1128" s="107">
        <v>938</v>
      </c>
      <c r="E1128" s="107">
        <v>955.25</v>
      </c>
      <c r="F1128" s="107">
        <v>946.85</v>
      </c>
      <c r="G1128">
        <v>2179</v>
      </c>
      <c r="H1128" s="107"/>
      <c r="I1128" s="107"/>
      <c r="L1128" s="148">
        <v>44993</v>
      </c>
      <c r="M1128" s="107">
        <v>948.5</v>
      </c>
      <c r="N1128" s="107">
        <v>962.5</v>
      </c>
      <c r="O1128" s="107">
        <v>937.8</v>
      </c>
      <c r="P1128" s="107">
        <v>956</v>
      </c>
      <c r="Q1128" s="107">
        <v>948.5</v>
      </c>
      <c r="R1128">
        <v>50833</v>
      </c>
    </row>
    <row r="1129" spans="1:18" x14ac:dyDescent="0.25">
      <c r="A1129" s="148">
        <v>44994</v>
      </c>
      <c r="B1129" s="107">
        <v>958.05</v>
      </c>
      <c r="C1129" s="107">
        <v>941</v>
      </c>
      <c r="D1129" s="107">
        <v>935.9</v>
      </c>
      <c r="E1129" s="107">
        <v>950.25</v>
      </c>
      <c r="F1129" s="107">
        <v>941</v>
      </c>
      <c r="G1129">
        <v>757</v>
      </c>
      <c r="H1129" s="107"/>
      <c r="I1129" s="107"/>
      <c r="L1129" s="148">
        <v>44994</v>
      </c>
      <c r="M1129" s="107">
        <v>940.25</v>
      </c>
      <c r="N1129" s="107">
        <v>957.7</v>
      </c>
      <c r="O1129" s="107">
        <v>935.1</v>
      </c>
      <c r="P1129" s="107">
        <v>953.25</v>
      </c>
      <c r="Q1129" s="107">
        <v>940.25</v>
      </c>
      <c r="R1129">
        <v>26775</v>
      </c>
    </row>
    <row r="1130" spans="1:18" x14ac:dyDescent="0.25">
      <c r="A1130" s="148">
        <v>44995</v>
      </c>
      <c r="B1130" s="107">
        <v>979.95</v>
      </c>
      <c r="C1130" s="107">
        <v>946.4</v>
      </c>
      <c r="D1130" s="107">
        <v>930.1</v>
      </c>
      <c r="E1130" s="107">
        <v>930.1</v>
      </c>
      <c r="F1130" s="107">
        <v>946.4</v>
      </c>
      <c r="G1130">
        <v>10975</v>
      </c>
      <c r="H1130" s="107"/>
      <c r="I1130" s="107"/>
      <c r="L1130" s="148">
        <v>44995</v>
      </c>
      <c r="M1130" s="107">
        <v>944.05</v>
      </c>
      <c r="N1130" s="107">
        <v>980</v>
      </c>
      <c r="O1130" s="107">
        <v>934.9</v>
      </c>
      <c r="P1130" s="107">
        <v>940</v>
      </c>
      <c r="Q1130" s="107">
        <v>944.05</v>
      </c>
      <c r="R1130">
        <v>224210</v>
      </c>
    </row>
    <row r="1131" spans="1:18" x14ac:dyDescent="0.25">
      <c r="A1131" s="148">
        <v>44998</v>
      </c>
      <c r="B1131" s="107">
        <v>945.55</v>
      </c>
      <c r="C1131" s="107">
        <v>913.9</v>
      </c>
      <c r="D1131" s="107">
        <v>891.05</v>
      </c>
      <c r="E1131" s="107">
        <v>925.2</v>
      </c>
      <c r="F1131" s="107">
        <v>913.9</v>
      </c>
      <c r="G1131">
        <v>9286</v>
      </c>
      <c r="H1131" s="107"/>
      <c r="I1131" s="107"/>
      <c r="L1131" s="148">
        <v>44998</v>
      </c>
      <c r="M1131" s="107">
        <v>914.8</v>
      </c>
      <c r="N1131" s="107">
        <v>949</v>
      </c>
      <c r="O1131" s="107">
        <v>891.5</v>
      </c>
      <c r="P1131" s="107">
        <v>947.95</v>
      </c>
      <c r="Q1131" s="107">
        <v>914.8</v>
      </c>
      <c r="R1131">
        <v>183844</v>
      </c>
    </row>
    <row r="1132" spans="1:18" x14ac:dyDescent="0.25">
      <c r="A1132" s="148">
        <v>44999</v>
      </c>
      <c r="B1132" s="107">
        <v>924.65</v>
      </c>
      <c r="C1132" s="107">
        <v>888.2</v>
      </c>
      <c r="D1132" s="107">
        <v>877.25</v>
      </c>
      <c r="E1132" s="107">
        <v>924.65</v>
      </c>
      <c r="F1132" s="107">
        <v>888.2</v>
      </c>
      <c r="G1132">
        <v>5807</v>
      </c>
      <c r="H1132" s="107"/>
      <c r="I1132" s="107"/>
      <c r="L1132" s="148">
        <v>44999</v>
      </c>
      <c r="M1132" s="107">
        <v>886.65</v>
      </c>
      <c r="N1132" s="107">
        <v>935.95</v>
      </c>
      <c r="O1132" s="107">
        <v>875.5</v>
      </c>
      <c r="P1132" s="107">
        <v>919.6</v>
      </c>
      <c r="Q1132" s="107">
        <v>886.65</v>
      </c>
      <c r="R1132">
        <v>122111</v>
      </c>
    </row>
    <row r="1133" spans="1:18" x14ac:dyDescent="0.25">
      <c r="A1133" s="148">
        <v>45000</v>
      </c>
      <c r="B1133" s="107">
        <v>914.45</v>
      </c>
      <c r="C1133" s="107">
        <v>894.85</v>
      </c>
      <c r="D1133" s="107">
        <v>886.5</v>
      </c>
      <c r="E1133" s="107">
        <v>892.55</v>
      </c>
      <c r="F1133" s="107">
        <v>894.85</v>
      </c>
      <c r="G1133">
        <v>5174</v>
      </c>
      <c r="H1133" s="107"/>
      <c r="I1133" s="107"/>
      <c r="L1133" s="148">
        <v>45000</v>
      </c>
      <c r="M1133" s="107">
        <v>896</v>
      </c>
      <c r="N1133" s="107">
        <v>914.6</v>
      </c>
      <c r="O1133" s="107">
        <v>886.65</v>
      </c>
      <c r="P1133" s="107">
        <v>891.3</v>
      </c>
      <c r="Q1133" s="107">
        <v>896</v>
      </c>
      <c r="R1133">
        <v>144855</v>
      </c>
    </row>
    <row r="1134" spans="1:18" x14ac:dyDescent="0.25">
      <c r="A1134" s="148">
        <v>45001</v>
      </c>
      <c r="B1134" s="107">
        <v>925.6</v>
      </c>
      <c r="C1134" s="107">
        <v>895.4</v>
      </c>
      <c r="D1134" s="107">
        <v>885.7</v>
      </c>
      <c r="E1134" s="107">
        <v>885.7</v>
      </c>
      <c r="F1134" s="107">
        <v>895.4</v>
      </c>
      <c r="G1134">
        <v>688</v>
      </c>
      <c r="H1134" s="107"/>
      <c r="I1134" s="107"/>
      <c r="L1134" s="148">
        <v>45001</v>
      </c>
      <c r="M1134" s="107">
        <v>894.65</v>
      </c>
      <c r="N1134" s="107">
        <v>900.65</v>
      </c>
      <c r="O1134" s="107">
        <v>888</v>
      </c>
      <c r="P1134" s="107">
        <v>900.4</v>
      </c>
      <c r="Q1134" s="107">
        <v>894.65</v>
      </c>
      <c r="R1134">
        <v>60987</v>
      </c>
    </row>
    <row r="1135" spans="1:18" x14ac:dyDescent="0.25">
      <c r="A1135" s="148">
        <v>45002</v>
      </c>
      <c r="B1135" s="107">
        <v>915</v>
      </c>
      <c r="C1135" s="107">
        <v>901.9</v>
      </c>
      <c r="D1135" s="107">
        <v>890.05</v>
      </c>
      <c r="E1135" s="107">
        <v>890.05</v>
      </c>
      <c r="F1135" s="107">
        <v>901.9</v>
      </c>
      <c r="G1135">
        <v>1814</v>
      </c>
      <c r="H1135" s="107"/>
      <c r="I1135" s="107"/>
      <c r="L1135" s="148">
        <v>45002</v>
      </c>
      <c r="M1135" s="107">
        <v>903.2</v>
      </c>
      <c r="N1135" s="107">
        <v>916.75</v>
      </c>
      <c r="O1135" s="107">
        <v>894.65</v>
      </c>
      <c r="P1135" s="107">
        <v>900.4</v>
      </c>
      <c r="Q1135" s="107">
        <v>903.2</v>
      </c>
      <c r="R1135">
        <v>98252</v>
      </c>
    </row>
    <row r="1136" spans="1:18" x14ac:dyDescent="0.25">
      <c r="A1136" s="148">
        <v>45005</v>
      </c>
      <c r="B1136" s="107">
        <v>926.85</v>
      </c>
      <c r="C1136" s="107">
        <v>912.45</v>
      </c>
      <c r="D1136" s="107">
        <v>901.05</v>
      </c>
      <c r="E1136" s="107">
        <v>904.15</v>
      </c>
      <c r="F1136" s="107">
        <v>912.45</v>
      </c>
      <c r="G1136">
        <v>2311</v>
      </c>
      <c r="H1136" s="107"/>
      <c r="I1136" s="107"/>
      <c r="L1136" s="148">
        <v>45005</v>
      </c>
      <c r="M1136" s="107">
        <v>908.95</v>
      </c>
      <c r="N1136" s="107">
        <v>927.2</v>
      </c>
      <c r="O1136" s="107">
        <v>889.1</v>
      </c>
      <c r="P1136" s="107">
        <v>913</v>
      </c>
      <c r="Q1136" s="107">
        <v>908.95</v>
      </c>
      <c r="R1136">
        <v>85350</v>
      </c>
    </row>
    <row r="1137" spans="1:18" x14ac:dyDescent="0.25">
      <c r="A1137" s="148">
        <v>45006</v>
      </c>
      <c r="B1137" s="107">
        <v>963.75</v>
      </c>
      <c r="C1137" s="107">
        <v>950.15</v>
      </c>
      <c r="D1137" s="107">
        <v>914.45</v>
      </c>
      <c r="E1137" s="107">
        <v>914.85</v>
      </c>
      <c r="F1137" s="107">
        <v>950.15</v>
      </c>
      <c r="G1137">
        <v>9687</v>
      </c>
      <c r="H1137" s="107"/>
      <c r="I1137" s="107"/>
      <c r="L1137" s="148">
        <v>45006</v>
      </c>
      <c r="M1137" s="107">
        <v>950.25</v>
      </c>
      <c r="N1137" s="107">
        <v>965</v>
      </c>
      <c r="O1137" s="107">
        <v>911.7</v>
      </c>
      <c r="P1137" s="107">
        <v>911.75</v>
      </c>
      <c r="Q1137" s="107">
        <v>950.25</v>
      </c>
      <c r="R1137">
        <v>308825</v>
      </c>
    </row>
    <row r="1138" spans="1:18" x14ac:dyDescent="0.25">
      <c r="A1138" s="148">
        <v>45007</v>
      </c>
      <c r="B1138" s="107">
        <v>961.9</v>
      </c>
      <c r="C1138" s="107">
        <v>955.95</v>
      </c>
      <c r="D1138" s="107">
        <v>948.2</v>
      </c>
      <c r="E1138" s="107">
        <v>950.15</v>
      </c>
      <c r="F1138" s="107">
        <v>955.95</v>
      </c>
      <c r="G1138">
        <v>1781</v>
      </c>
      <c r="H1138" s="107"/>
      <c r="I1138" s="107"/>
      <c r="L1138" s="148">
        <v>45007</v>
      </c>
      <c r="M1138" s="107">
        <v>955.85</v>
      </c>
      <c r="N1138" s="107">
        <v>960.85</v>
      </c>
      <c r="O1138" s="107">
        <v>946.55</v>
      </c>
      <c r="P1138" s="107">
        <v>949</v>
      </c>
      <c r="Q1138" s="107">
        <v>955.85</v>
      </c>
      <c r="R1138">
        <v>248184</v>
      </c>
    </row>
    <row r="1139" spans="1:18" x14ac:dyDescent="0.25">
      <c r="A1139" s="148">
        <v>45008</v>
      </c>
      <c r="B1139" s="107">
        <v>949.3</v>
      </c>
      <c r="C1139" s="107">
        <v>934.75</v>
      </c>
      <c r="D1139" s="107">
        <v>925</v>
      </c>
      <c r="E1139" s="107">
        <v>948.05</v>
      </c>
      <c r="F1139" s="107">
        <v>934.75</v>
      </c>
      <c r="G1139">
        <v>4788</v>
      </c>
      <c r="H1139" s="107"/>
      <c r="I1139" s="107"/>
      <c r="L1139" s="148">
        <v>45008</v>
      </c>
      <c r="M1139" s="107">
        <v>935</v>
      </c>
      <c r="N1139" s="107">
        <v>954</v>
      </c>
      <c r="O1139" s="107">
        <v>924.5</v>
      </c>
      <c r="P1139" s="107">
        <v>954</v>
      </c>
      <c r="Q1139" s="107">
        <v>935</v>
      </c>
      <c r="R1139">
        <v>85499</v>
      </c>
    </row>
    <row r="1140" spans="1:18" x14ac:dyDescent="0.25">
      <c r="A1140" s="148">
        <v>45009</v>
      </c>
      <c r="B1140" s="107">
        <v>943.2</v>
      </c>
      <c r="C1140" s="107">
        <v>917.45</v>
      </c>
      <c r="D1140" s="107">
        <v>907.85</v>
      </c>
      <c r="E1140" s="107">
        <v>940.9</v>
      </c>
      <c r="F1140" s="107">
        <v>917.45</v>
      </c>
      <c r="G1140">
        <v>3097</v>
      </c>
      <c r="H1140" s="107"/>
      <c r="I1140" s="107"/>
      <c r="L1140" s="148">
        <v>45009</v>
      </c>
      <c r="M1140" s="107">
        <v>914.75</v>
      </c>
      <c r="N1140" s="107">
        <v>944.65</v>
      </c>
      <c r="O1140" s="107">
        <v>908.1</v>
      </c>
      <c r="P1140" s="107">
        <v>927.05</v>
      </c>
      <c r="Q1140" s="107">
        <v>914.75</v>
      </c>
      <c r="R1140">
        <v>51824</v>
      </c>
    </row>
    <row r="1141" spans="1:18" x14ac:dyDescent="0.25">
      <c r="A1141" s="148">
        <v>45012</v>
      </c>
      <c r="B1141" s="107">
        <v>934.95</v>
      </c>
      <c r="C1141" s="107">
        <v>897.75</v>
      </c>
      <c r="D1141" s="107">
        <v>891.05</v>
      </c>
      <c r="E1141" s="107">
        <v>901</v>
      </c>
      <c r="F1141" s="107">
        <v>897.75</v>
      </c>
      <c r="G1141">
        <v>2787</v>
      </c>
      <c r="H1141" s="107"/>
      <c r="I1141" s="107"/>
      <c r="L1141" s="148">
        <v>45012</v>
      </c>
      <c r="M1141" s="107">
        <v>898.1</v>
      </c>
      <c r="N1141" s="107">
        <v>934.8</v>
      </c>
      <c r="O1141" s="107">
        <v>892.35</v>
      </c>
      <c r="P1141" s="107">
        <v>912</v>
      </c>
      <c r="Q1141" s="107">
        <v>898.1</v>
      </c>
      <c r="R1141">
        <v>78558</v>
      </c>
    </row>
    <row r="1142" spans="1:18" x14ac:dyDescent="0.25">
      <c r="A1142" s="148">
        <v>45013</v>
      </c>
      <c r="B1142" s="107">
        <v>916.6</v>
      </c>
      <c r="C1142" s="107">
        <v>895.85</v>
      </c>
      <c r="D1142" s="107">
        <v>891.9</v>
      </c>
      <c r="E1142" s="107">
        <v>895.75</v>
      </c>
      <c r="F1142" s="107">
        <v>895.85</v>
      </c>
      <c r="G1142">
        <v>1962</v>
      </c>
      <c r="H1142" s="107"/>
      <c r="I1142" s="107"/>
      <c r="L1142" s="148">
        <v>45013</v>
      </c>
      <c r="M1142" s="107">
        <v>897.7</v>
      </c>
      <c r="N1142" s="107">
        <v>917.55</v>
      </c>
      <c r="O1142" s="107">
        <v>892</v>
      </c>
      <c r="P1142" s="107">
        <v>897</v>
      </c>
      <c r="Q1142" s="107">
        <v>897.7</v>
      </c>
      <c r="R1142">
        <v>49381</v>
      </c>
    </row>
    <row r="1143" spans="1:18" x14ac:dyDescent="0.25">
      <c r="A1143" s="148">
        <v>45014</v>
      </c>
      <c r="B1143" s="107">
        <v>904.45</v>
      </c>
      <c r="C1143" s="107">
        <v>892.65</v>
      </c>
      <c r="D1143" s="107">
        <v>888.6</v>
      </c>
      <c r="E1143" s="107">
        <v>899.95</v>
      </c>
      <c r="F1143" s="107">
        <v>892.65</v>
      </c>
      <c r="G1143">
        <v>3497</v>
      </c>
      <c r="H1143" s="107"/>
      <c r="I1143" s="107"/>
      <c r="L1143" s="148">
        <v>45014</v>
      </c>
      <c r="M1143" s="107">
        <v>891.5</v>
      </c>
      <c r="N1143" s="107">
        <v>906.85</v>
      </c>
      <c r="O1143" s="107">
        <v>888.05</v>
      </c>
      <c r="P1143" s="107">
        <v>896.05</v>
      </c>
      <c r="Q1143" s="107">
        <v>891.5</v>
      </c>
      <c r="R1143">
        <v>98287</v>
      </c>
    </row>
    <row r="1144" spans="1:18" x14ac:dyDescent="0.25">
      <c r="A1144" s="148">
        <v>45016</v>
      </c>
      <c r="B1144" s="107">
        <v>927.3</v>
      </c>
      <c r="C1144" s="107">
        <v>915.1</v>
      </c>
      <c r="D1144" s="107">
        <v>876.1</v>
      </c>
      <c r="E1144" s="107">
        <v>876.1</v>
      </c>
      <c r="F1144" s="107">
        <v>915.1</v>
      </c>
      <c r="G1144">
        <v>9383</v>
      </c>
      <c r="H1144" s="107"/>
      <c r="I1144" s="107"/>
      <c r="L1144" s="148">
        <v>45016</v>
      </c>
      <c r="M1144" s="107">
        <v>915.2</v>
      </c>
      <c r="N1144" s="107">
        <v>928.9</v>
      </c>
      <c r="O1144" s="107">
        <v>896</v>
      </c>
      <c r="P1144" s="107">
        <v>896</v>
      </c>
      <c r="Q1144" s="107">
        <v>915.2</v>
      </c>
      <c r="R1144">
        <v>88909</v>
      </c>
    </row>
    <row r="1145" spans="1:18" x14ac:dyDescent="0.25">
      <c r="A1145" s="148">
        <v>45019</v>
      </c>
      <c r="B1145" s="107">
        <v>939.55</v>
      </c>
      <c r="C1145" s="107">
        <v>922.65</v>
      </c>
      <c r="D1145" s="107">
        <v>903.2</v>
      </c>
      <c r="E1145" s="107">
        <v>915.55</v>
      </c>
      <c r="F1145" s="107">
        <v>922.65</v>
      </c>
      <c r="G1145">
        <v>3724</v>
      </c>
      <c r="H1145" s="107"/>
      <c r="I1145" s="107"/>
      <c r="L1145" s="148">
        <v>45019</v>
      </c>
      <c r="M1145" s="107">
        <v>926.15</v>
      </c>
      <c r="N1145" s="107">
        <v>929.85</v>
      </c>
      <c r="O1145" s="107">
        <v>904</v>
      </c>
      <c r="P1145" s="107">
        <v>920.1</v>
      </c>
      <c r="Q1145" s="107">
        <v>926.15</v>
      </c>
      <c r="R1145">
        <v>76064</v>
      </c>
    </row>
    <row r="1146" spans="1:18" x14ac:dyDescent="0.25">
      <c r="A1146" s="148">
        <v>45021</v>
      </c>
      <c r="B1146" s="107">
        <v>982.25</v>
      </c>
      <c r="C1146" s="107">
        <v>957.95</v>
      </c>
      <c r="D1146" s="107">
        <v>937.65</v>
      </c>
      <c r="E1146" s="107">
        <v>937.65</v>
      </c>
      <c r="F1146" s="107">
        <v>957.95</v>
      </c>
      <c r="G1146">
        <v>13825</v>
      </c>
      <c r="H1146" s="107"/>
      <c r="I1146" s="107"/>
      <c r="L1146" s="148">
        <v>45021</v>
      </c>
      <c r="M1146" s="107">
        <v>956.15</v>
      </c>
      <c r="N1146" s="107">
        <v>982</v>
      </c>
      <c r="O1146" s="107">
        <v>936.5</v>
      </c>
      <c r="P1146" s="107">
        <v>945</v>
      </c>
      <c r="Q1146" s="107">
        <v>956.15</v>
      </c>
      <c r="R1146">
        <v>325481</v>
      </c>
    </row>
    <row r="1147" spans="1:18" x14ac:dyDescent="0.25">
      <c r="A1147" s="148">
        <v>45022</v>
      </c>
      <c r="B1147" s="107">
        <v>970.2</v>
      </c>
      <c r="C1147" s="107">
        <v>954.3</v>
      </c>
      <c r="D1147" s="107">
        <v>944.7</v>
      </c>
      <c r="E1147" s="107">
        <v>947.55</v>
      </c>
      <c r="F1147" s="107">
        <v>954.3</v>
      </c>
      <c r="G1147">
        <v>7505</v>
      </c>
      <c r="H1147" s="107"/>
      <c r="I1147" s="107"/>
      <c r="L1147" s="148">
        <v>45022</v>
      </c>
      <c r="M1147" s="107">
        <v>953.8</v>
      </c>
      <c r="N1147" s="107">
        <v>970</v>
      </c>
      <c r="O1147" s="107">
        <v>943.8</v>
      </c>
      <c r="P1147" s="107">
        <v>946</v>
      </c>
      <c r="Q1147" s="107">
        <v>953.8</v>
      </c>
      <c r="R1147">
        <v>132521</v>
      </c>
    </row>
    <row r="1148" spans="1:18" x14ac:dyDescent="0.25">
      <c r="A1148" s="148">
        <v>45026</v>
      </c>
      <c r="B1148" s="107">
        <v>1042.0999999999999</v>
      </c>
      <c r="C1148" s="107">
        <v>957.9</v>
      </c>
      <c r="D1148" s="107">
        <v>950</v>
      </c>
      <c r="E1148" s="107">
        <v>961.05</v>
      </c>
      <c r="F1148" s="107">
        <v>957.9</v>
      </c>
      <c r="G1148">
        <v>39558</v>
      </c>
      <c r="H1148" s="107"/>
      <c r="I1148" s="107"/>
      <c r="L1148" s="148">
        <v>45026</v>
      </c>
      <c r="M1148" s="107">
        <v>959.35</v>
      </c>
      <c r="N1148" s="107">
        <v>1042</v>
      </c>
      <c r="O1148" s="107">
        <v>950</v>
      </c>
      <c r="P1148" s="107">
        <v>981</v>
      </c>
      <c r="Q1148" s="107">
        <v>959.35</v>
      </c>
      <c r="R1148">
        <v>695395</v>
      </c>
    </row>
    <row r="1149" spans="1:18" x14ac:dyDescent="0.25">
      <c r="A1149" s="148">
        <v>45027</v>
      </c>
      <c r="B1149" s="107">
        <v>968.5</v>
      </c>
      <c r="C1149" s="107">
        <v>950.3</v>
      </c>
      <c r="D1149" s="107">
        <v>938.5</v>
      </c>
      <c r="E1149" s="107">
        <v>950.55</v>
      </c>
      <c r="F1149" s="107">
        <v>950.3</v>
      </c>
      <c r="G1149">
        <v>3642</v>
      </c>
      <c r="H1149" s="107"/>
      <c r="I1149" s="107"/>
      <c r="L1149" s="148">
        <v>45027</v>
      </c>
      <c r="M1149" s="107">
        <v>950.15</v>
      </c>
      <c r="N1149" s="107">
        <v>969.7</v>
      </c>
      <c r="O1149" s="107">
        <v>937.85</v>
      </c>
      <c r="P1149" s="107">
        <v>964.05</v>
      </c>
      <c r="Q1149" s="107">
        <v>950.15</v>
      </c>
      <c r="R1149">
        <v>143985</v>
      </c>
    </row>
    <row r="1150" spans="1:18" x14ac:dyDescent="0.25">
      <c r="A1150" s="148">
        <v>45028</v>
      </c>
      <c r="B1150" s="107">
        <v>958.5</v>
      </c>
      <c r="C1150" s="107">
        <v>940.7</v>
      </c>
      <c r="D1150" s="107">
        <v>935.7</v>
      </c>
      <c r="E1150" s="107">
        <v>937</v>
      </c>
      <c r="F1150" s="107">
        <v>940.7</v>
      </c>
      <c r="G1150">
        <v>8619</v>
      </c>
      <c r="H1150" s="107"/>
      <c r="I1150" s="107"/>
      <c r="L1150" s="148">
        <v>45028</v>
      </c>
      <c r="M1150" s="107">
        <v>941.55</v>
      </c>
      <c r="N1150" s="107">
        <v>958.8</v>
      </c>
      <c r="O1150" s="107">
        <v>936.55</v>
      </c>
      <c r="P1150" s="107">
        <v>952.9</v>
      </c>
      <c r="Q1150" s="107">
        <v>941.55</v>
      </c>
      <c r="R1150">
        <v>167046</v>
      </c>
    </row>
    <row r="1151" spans="1:18" x14ac:dyDescent="0.25">
      <c r="A1151" s="148">
        <v>45029</v>
      </c>
      <c r="B1151" s="107">
        <v>958</v>
      </c>
      <c r="C1151" s="107">
        <v>956.9</v>
      </c>
      <c r="D1151" s="107">
        <v>930</v>
      </c>
      <c r="E1151" s="107">
        <v>942</v>
      </c>
      <c r="F1151" s="107">
        <v>956.9</v>
      </c>
      <c r="G1151">
        <v>3566</v>
      </c>
      <c r="H1151" s="107"/>
      <c r="I1151" s="107"/>
      <c r="L1151" s="148">
        <v>45029</v>
      </c>
      <c r="M1151" s="107">
        <v>954.95</v>
      </c>
      <c r="N1151" s="107">
        <v>957.7</v>
      </c>
      <c r="O1151" s="107">
        <v>929.05</v>
      </c>
      <c r="P1151" s="107">
        <v>941</v>
      </c>
      <c r="Q1151" s="107">
        <v>954.95</v>
      </c>
      <c r="R1151">
        <v>372361</v>
      </c>
    </row>
    <row r="1152" spans="1:18" x14ac:dyDescent="0.25">
      <c r="A1152" s="148">
        <v>45033</v>
      </c>
      <c r="B1152" s="107">
        <v>959.9</v>
      </c>
      <c r="C1152" s="107">
        <v>943.1</v>
      </c>
      <c r="D1152" s="107">
        <v>934.25</v>
      </c>
      <c r="E1152" s="107">
        <v>958</v>
      </c>
      <c r="F1152" s="107">
        <v>943.1</v>
      </c>
      <c r="G1152">
        <v>4189</v>
      </c>
      <c r="H1152" s="107"/>
      <c r="I1152" s="107"/>
      <c r="L1152" s="148">
        <v>45033</v>
      </c>
      <c r="M1152" s="107">
        <v>943</v>
      </c>
      <c r="N1152" s="107">
        <v>962.4</v>
      </c>
      <c r="O1152" s="107">
        <v>934.4</v>
      </c>
      <c r="P1152" s="107">
        <v>956</v>
      </c>
      <c r="Q1152" s="107">
        <v>943</v>
      </c>
      <c r="R1152">
        <v>86527</v>
      </c>
    </row>
    <row r="1153" spans="1:18" x14ac:dyDescent="0.25">
      <c r="A1153" s="148">
        <v>45034</v>
      </c>
      <c r="B1153" s="107">
        <v>996.9</v>
      </c>
      <c r="C1153" s="107">
        <v>982.8</v>
      </c>
      <c r="D1153" s="107">
        <v>940.1</v>
      </c>
      <c r="E1153" s="107">
        <v>940.1</v>
      </c>
      <c r="F1153" s="107">
        <v>982.8</v>
      </c>
      <c r="G1153">
        <v>38544</v>
      </c>
      <c r="H1153" s="107"/>
      <c r="I1153" s="107"/>
      <c r="L1153" s="148">
        <v>45034</v>
      </c>
      <c r="M1153" s="107">
        <v>980.1</v>
      </c>
      <c r="N1153" s="107">
        <v>991.95</v>
      </c>
      <c r="O1153" s="107">
        <v>943.55</v>
      </c>
      <c r="P1153" s="107">
        <v>950.5</v>
      </c>
      <c r="Q1153" s="107">
        <v>980.1</v>
      </c>
      <c r="R1153">
        <v>814500</v>
      </c>
    </row>
    <row r="1154" spans="1:18" x14ac:dyDescent="0.25">
      <c r="A1154" s="148">
        <v>45035</v>
      </c>
      <c r="B1154" s="107">
        <v>995</v>
      </c>
      <c r="C1154" s="107">
        <v>984.15</v>
      </c>
      <c r="D1154" s="107">
        <v>965.55</v>
      </c>
      <c r="E1154" s="107">
        <v>982</v>
      </c>
      <c r="F1154" s="107">
        <v>984.15</v>
      </c>
      <c r="G1154">
        <v>10160</v>
      </c>
      <c r="H1154" s="107"/>
      <c r="I1154" s="107"/>
      <c r="L1154" s="148">
        <v>45035</v>
      </c>
      <c r="M1154" s="107">
        <v>982.95</v>
      </c>
      <c r="N1154" s="107">
        <v>995</v>
      </c>
      <c r="O1154" s="107">
        <v>964.95</v>
      </c>
      <c r="P1154" s="107">
        <v>984.75</v>
      </c>
      <c r="Q1154" s="107">
        <v>982.95</v>
      </c>
      <c r="R1154">
        <v>47041</v>
      </c>
    </row>
    <row r="1155" spans="1:18" x14ac:dyDescent="0.25">
      <c r="A1155" s="148">
        <v>45036</v>
      </c>
      <c r="B1155" s="107">
        <v>1010</v>
      </c>
      <c r="C1155" s="107">
        <v>992.35</v>
      </c>
      <c r="D1155" s="107">
        <v>979.6</v>
      </c>
      <c r="E1155" s="107">
        <v>983.1</v>
      </c>
      <c r="F1155" s="107">
        <v>992.35</v>
      </c>
      <c r="G1155">
        <v>8111</v>
      </c>
      <c r="H1155" s="107"/>
      <c r="I1155" s="107"/>
      <c r="L1155" s="148">
        <v>45036</v>
      </c>
      <c r="M1155" s="107">
        <v>992.45</v>
      </c>
      <c r="N1155" s="107">
        <v>1010.2</v>
      </c>
      <c r="O1155" s="107">
        <v>979.85</v>
      </c>
      <c r="P1155" s="107">
        <v>988.45</v>
      </c>
      <c r="Q1155" s="107">
        <v>992.45</v>
      </c>
      <c r="R1155">
        <v>88896</v>
      </c>
    </row>
    <row r="1156" spans="1:18" x14ac:dyDescent="0.25">
      <c r="A1156" s="148">
        <v>45037</v>
      </c>
      <c r="B1156" s="107">
        <v>995.6</v>
      </c>
      <c r="C1156" s="107">
        <v>991</v>
      </c>
      <c r="D1156" s="107">
        <v>975.65</v>
      </c>
      <c r="E1156" s="107">
        <v>987.85</v>
      </c>
      <c r="F1156" s="107">
        <v>991</v>
      </c>
      <c r="G1156">
        <v>2398</v>
      </c>
      <c r="H1156" s="107"/>
      <c r="I1156" s="107"/>
      <c r="L1156" s="148">
        <v>45037</v>
      </c>
      <c r="M1156" s="107">
        <v>991.05</v>
      </c>
      <c r="N1156" s="107">
        <v>998</v>
      </c>
      <c r="O1156" s="107">
        <v>976</v>
      </c>
      <c r="P1156" s="107">
        <v>990</v>
      </c>
      <c r="Q1156" s="107">
        <v>991.05</v>
      </c>
      <c r="R1156">
        <v>46743</v>
      </c>
    </row>
    <row r="1157" spans="1:18" x14ac:dyDescent="0.25">
      <c r="A1157" s="148">
        <v>45040</v>
      </c>
      <c r="B1157" s="107">
        <v>998</v>
      </c>
      <c r="C1157" s="107">
        <v>977.1</v>
      </c>
      <c r="D1157" s="107">
        <v>971.1</v>
      </c>
      <c r="E1157" s="107">
        <v>991</v>
      </c>
      <c r="F1157" s="107">
        <v>977.1</v>
      </c>
      <c r="G1157">
        <v>2483</v>
      </c>
      <c r="H1157" s="107"/>
      <c r="I1157" s="107"/>
      <c r="L1157" s="148">
        <v>45040</v>
      </c>
      <c r="M1157" s="107">
        <v>979.35</v>
      </c>
      <c r="N1157" s="107">
        <v>998.95</v>
      </c>
      <c r="O1157" s="107">
        <v>971.25</v>
      </c>
      <c r="P1157" s="107">
        <v>991.05</v>
      </c>
      <c r="Q1157" s="107">
        <v>979.35</v>
      </c>
      <c r="R1157">
        <v>52558</v>
      </c>
    </row>
    <row r="1158" spans="1:18" x14ac:dyDescent="0.25">
      <c r="A1158" s="148">
        <v>45041</v>
      </c>
      <c r="B1158" s="107">
        <v>989</v>
      </c>
      <c r="C1158" s="107">
        <v>975.95</v>
      </c>
      <c r="D1158" s="107">
        <v>972.75</v>
      </c>
      <c r="E1158" s="107">
        <v>977.8</v>
      </c>
      <c r="F1158" s="107">
        <v>975.95</v>
      </c>
      <c r="G1158">
        <v>3723</v>
      </c>
      <c r="H1158" s="107"/>
      <c r="I1158" s="107"/>
      <c r="L1158" s="148">
        <v>45041</v>
      </c>
      <c r="M1158" s="107">
        <v>975.3</v>
      </c>
      <c r="N1158" s="107">
        <v>989.1</v>
      </c>
      <c r="O1158" s="107">
        <v>971</v>
      </c>
      <c r="P1158" s="107">
        <v>980.8</v>
      </c>
      <c r="Q1158" s="107">
        <v>975.3</v>
      </c>
      <c r="R1158">
        <v>107659</v>
      </c>
    </row>
    <row r="1159" spans="1:18" x14ac:dyDescent="0.25">
      <c r="A1159" s="148">
        <v>45042</v>
      </c>
      <c r="B1159" s="107">
        <v>976</v>
      </c>
      <c r="C1159" s="107">
        <v>969</v>
      </c>
      <c r="D1159" s="107">
        <v>965</v>
      </c>
      <c r="E1159" s="107">
        <v>974.3</v>
      </c>
      <c r="F1159" s="107">
        <v>969</v>
      </c>
      <c r="G1159">
        <v>3200</v>
      </c>
      <c r="H1159" s="107"/>
      <c r="I1159" s="107"/>
      <c r="L1159" s="148">
        <v>45042</v>
      </c>
      <c r="M1159" s="107">
        <v>968.8</v>
      </c>
      <c r="N1159" s="107">
        <v>979.65</v>
      </c>
      <c r="O1159" s="107">
        <v>965.55</v>
      </c>
      <c r="P1159" s="107">
        <v>972</v>
      </c>
      <c r="Q1159" s="107">
        <v>968.8</v>
      </c>
      <c r="R1159">
        <v>37894</v>
      </c>
    </row>
    <row r="1160" spans="1:18" x14ac:dyDescent="0.25">
      <c r="A1160" s="148">
        <v>45043</v>
      </c>
      <c r="B1160" s="107">
        <v>977.25</v>
      </c>
      <c r="C1160" s="107">
        <v>972.95</v>
      </c>
      <c r="D1160" s="107">
        <v>968.6</v>
      </c>
      <c r="E1160" s="107">
        <v>969.1</v>
      </c>
      <c r="F1160" s="107">
        <v>972.95</v>
      </c>
      <c r="G1160">
        <v>2309</v>
      </c>
      <c r="H1160" s="107"/>
      <c r="I1160" s="107"/>
      <c r="L1160" s="148">
        <v>45043</v>
      </c>
      <c r="M1160" s="107">
        <v>972.95</v>
      </c>
      <c r="N1160" s="107">
        <v>985</v>
      </c>
      <c r="O1160" s="107">
        <v>969.95</v>
      </c>
      <c r="P1160" s="107">
        <v>970.9</v>
      </c>
      <c r="Q1160" s="107">
        <v>972.95</v>
      </c>
      <c r="R1160">
        <v>324944</v>
      </c>
    </row>
    <row r="1161" spans="1:18" x14ac:dyDescent="0.25">
      <c r="A1161" s="148">
        <v>45044</v>
      </c>
      <c r="B1161" s="107">
        <v>984.2</v>
      </c>
      <c r="C1161" s="107">
        <v>963.9</v>
      </c>
      <c r="D1161" s="107">
        <v>959.5</v>
      </c>
      <c r="E1161" s="107">
        <v>974</v>
      </c>
      <c r="F1161" s="107">
        <v>963.9</v>
      </c>
      <c r="G1161">
        <v>3731</v>
      </c>
      <c r="H1161" s="107"/>
      <c r="I1161" s="107"/>
      <c r="L1161" s="148">
        <v>45044</v>
      </c>
      <c r="M1161" s="107">
        <v>964.3</v>
      </c>
      <c r="N1161" s="107">
        <v>985</v>
      </c>
      <c r="O1161" s="107">
        <v>961</v>
      </c>
      <c r="P1161" s="107">
        <v>972.95</v>
      </c>
      <c r="Q1161" s="107">
        <v>964.3</v>
      </c>
      <c r="R1161">
        <v>51038</v>
      </c>
    </row>
    <row r="1162" spans="1:18" x14ac:dyDescent="0.25">
      <c r="A1162" s="148">
        <v>45048</v>
      </c>
      <c r="B1162" s="107">
        <v>989.8</v>
      </c>
      <c r="C1162" s="107">
        <v>976.9</v>
      </c>
      <c r="D1162" s="107">
        <v>970</v>
      </c>
      <c r="E1162" s="107">
        <v>970</v>
      </c>
      <c r="F1162" s="107">
        <v>976.9</v>
      </c>
      <c r="G1162">
        <v>2099</v>
      </c>
      <c r="H1162" s="107"/>
      <c r="I1162" s="107"/>
      <c r="L1162" s="148">
        <v>45048</v>
      </c>
      <c r="M1162" s="107">
        <v>975.6</v>
      </c>
      <c r="N1162" s="107">
        <v>990</v>
      </c>
      <c r="O1162" s="107">
        <v>966.55</v>
      </c>
      <c r="P1162" s="107">
        <v>969</v>
      </c>
      <c r="Q1162" s="107">
        <v>975.6</v>
      </c>
      <c r="R1162">
        <v>95573</v>
      </c>
    </row>
    <row r="1163" spans="1:18" x14ac:dyDescent="0.25">
      <c r="A1163" s="148">
        <v>45049</v>
      </c>
      <c r="B1163" s="107">
        <v>982.45</v>
      </c>
      <c r="C1163" s="107">
        <v>978.55</v>
      </c>
      <c r="D1163" s="107">
        <v>970.05</v>
      </c>
      <c r="E1163" s="107">
        <v>979.85</v>
      </c>
      <c r="F1163" s="107">
        <v>978.55</v>
      </c>
      <c r="G1163">
        <v>4742</v>
      </c>
      <c r="H1163" s="107"/>
      <c r="I1163" s="107"/>
      <c r="L1163" s="148">
        <v>45049</v>
      </c>
      <c r="M1163" s="107">
        <v>979.6</v>
      </c>
      <c r="N1163" s="107">
        <v>985.25</v>
      </c>
      <c r="O1163" s="107">
        <v>972</v>
      </c>
      <c r="P1163" s="107">
        <v>985.25</v>
      </c>
      <c r="Q1163" s="107">
        <v>979.6</v>
      </c>
      <c r="R1163">
        <v>238365</v>
      </c>
    </row>
    <row r="1164" spans="1:18" x14ac:dyDescent="0.25">
      <c r="A1164" s="148">
        <v>45050</v>
      </c>
      <c r="B1164" s="107">
        <v>991.9</v>
      </c>
      <c r="C1164" s="107">
        <v>984.8</v>
      </c>
      <c r="D1164" s="107">
        <v>977</v>
      </c>
      <c r="E1164" s="107">
        <v>977</v>
      </c>
      <c r="F1164" s="107">
        <v>984.8</v>
      </c>
      <c r="G1164">
        <v>527</v>
      </c>
      <c r="H1164" s="107"/>
      <c r="I1164" s="107"/>
      <c r="L1164" s="148">
        <v>45050</v>
      </c>
      <c r="M1164" s="107">
        <v>984.85</v>
      </c>
      <c r="N1164" s="107">
        <v>993.6</v>
      </c>
      <c r="O1164" s="107">
        <v>978.6</v>
      </c>
      <c r="P1164" s="107">
        <v>984.45</v>
      </c>
      <c r="Q1164" s="107">
        <v>984.85</v>
      </c>
      <c r="R1164">
        <v>139227</v>
      </c>
    </row>
    <row r="1165" spans="1:18" x14ac:dyDescent="0.25">
      <c r="A1165" s="148">
        <v>45051</v>
      </c>
      <c r="B1165" s="107">
        <v>1013</v>
      </c>
      <c r="C1165" s="107">
        <v>992.65</v>
      </c>
      <c r="D1165" s="107">
        <v>980.45</v>
      </c>
      <c r="E1165" s="107">
        <v>980.55</v>
      </c>
      <c r="F1165" s="107">
        <v>992.65</v>
      </c>
      <c r="G1165">
        <v>5480</v>
      </c>
      <c r="H1165" s="107"/>
      <c r="I1165" s="107"/>
      <c r="L1165" s="148">
        <v>45051</v>
      </c>
      <c r="M1165" s="107">
        <v>991.15</v>
      </c>
      <c r="N1165" s="107">
        <v>1015.9</v>
      </c>
      <c r="O1165" s="107">
        <v>978.2</v>
      </c>
      <c r="P1165" s="107">
        <v>984.85</v>
      </c>
      <c r="Q1165" s="107">
        <v>991.15</v>
      </c>
      <c r="R1165">
        <v>119923</v>
      </c>
    </row>
    <row r="1166" spans="1:18" x14ac:dyDescent="0.25">
      <c r="A1166" s="148">
        <v>45054</v>
      </c>
      <c r="B1166" s="107">
        <v>1008</v>
      </c>
      <c r="C1166" s="107">
        <v>989.4</v>
      </c>
      <c r="D1166" s="107">
        <v>982.35</v>
      </c>
      <c r="E1166" s="107">
        <v>1008</v>
      </c>
      <c r="F1166" s="107">
        <v>989.4</v>
      </c>
      <c r="G1166">
        <v>4197</v>
      </c>
      <c r="H1166" s="107"/>
      <c r="I1166" s="107"/>
      <c r="L1166" s="148">
        <v>45054</v>
      </c>
      <c r="M1166" s="107">
        <v>988.35</v>
      </c>
      <c r="N1166" s="107">
        <v>1008</v>
      </c>
      <c r="O1166" s="107">
        <v>982</v>
      </c>
      <c r="P1166" s="107">
        <v>1001.4</v>
      </c>
      <c r="Q1166" s="107">
        <v>988.35</v>
      </c>
      <c r="R1166">
        <v>64381</v>
      </c>
    </row>
    <row r="1167" spans="1:18" x14ac:dyDescent="0.25">
      <c r="A1167" s="148">
        <v>45055</v>
      </c>
      <c r="B1167" s="107">
        <v>1013.4</v>
      </c>
      <c r="C1167" s="107">
        <v>1000.35</v>
      </c>
      <c r="D1167" s="107">
        <v>986.95</v>
      </c>
      <c r="E1167" s="107">
        <v>992.65</v>
      </c>
      <c r="F1167" s="107">
        <v>1000.35</v>
      </c>
      <c r="G1167">
        <v>6315</v>
      </c>
      <c r="H1167" s="107"/>
      <c r="I1167" s="107"/>
      <c r="L1167" s="148">
        <v>45055</v>
      </c>
      <c r="M1167" s="107">
        <v>1000.9</v>
      </c>
      <c r="N1167" s="107">
        <v>1013.6</v>
      </c>
      <c r="O1167" s="107">
        <v>987.85</v>
      </c>
      <c r="P1167" s="107">
        <v>993.6</v>
      </c>
      <c r="Q1167" s="107">
        <v>1000.9</v>
      </c>
      <c r="R1167">
        <v>141027</v>
      </c>
    </row>
    <row r="1168" spans="1:18" x14ac:dyDescent="0.25">
      <c r="A1168" s="148">
        <v>45056</v>
      </c>
      <c r="B1168" s="107">
        <v>1043.25</v>
      </c>
      <c r="C1168" s="107">
        <v>1031</v>
      </c>
      <c r="D1168" s="107">
        <v>993.6</v>
      </c>
      <c r="E1168" s="107">
        <v>1002.75</v>
      </c>
      <c r="F1168" s="107">
        <v>1031</v>
      </c>
      <c r="G1168">
        <v>7626</v>
      </c>
      <c r="H1168" s="107"/>
      <c r="I1168" s="107"/>
      <c r="L1168" s="148">
        <v>45056</v>
      </c>
      <c r="M1168" s="107">
        <v>1030.95</v>
      </c>
      <c r="N1168" s="107">
        <v>1043.5</v>
      </c>
      <c r="O1168" s="107">
        <v>993.4</v>
      </c>
      <c r="P1168" s="107">
        <v>1000.9</v>
      </c>
      <c r="Q1168" s="107">
        <v>1030.95</v>
      </c>
      <c r="R1168">
        <v>247984</v>
      </c>
    </row>
    <row r="1169" spans="1:18" x14ac:dyDescent="0.25">
      <c r="A1169" s="148">
        <v>45057</v>
      </c>
      <c r="B1169" s="107">
        <v>1061.3</v>
      </c>
      <c r="C1169" s="107">
        <v>1050.8499999999999</v>
      </c>
      <c r="D1169" s="107">
        <v>1033.0999999999999</v>
      </c>
      <c r="E1169" s="107">
        <v>1040.95</v>
      </c>
      <c r="F1169" s="107">
        <v>1050.8499999999999</v>
      </c>
      <c r="G1169">
        <v>15360</v>
      </c>
      <c r="H1169" s="107"/>
      <c r="I1169" s="107"/>
      <c r="L1169" s="148">
        <v>45057</v>
      </c>
      <c r="M1169" s="107">
        <v>1051.1500000000001</v>
      </c>
      <c r="N1169" s="107">
        <v>1063.5</v>
      </c>
      <c r="O1169" s="107">
        <v>1031</v>
      </c>
      <c r="P1169" s="107">
        <v>1045</v>
      </c>
      <c r="Q1169" s="107">
        <v>1051.1500000000001</v>
      </c>
      <c r="R1169">
        <v>165420</v>
      </c>
    </row>
    <row r="1170" spans="1:18" x14ac:dyDescent="0.25">
      <c r="A1170" s="148">
        <v>45058</v>
      </c>
      <c r="B1170" s="107">
        <v>1047.75</v>
      </c>
      <c r="C1170" s="107">
        <v>1032.75</v>
      </c>
      <c r="D1170" s="107">
        <v>1019.45</v>
      </c>
      <c r="E1170" s="107">
        <v>1045.3499999999999</v>
      </c>
      <c r="F1170" s="107">
        <v>1032.75</v>
      </c>
      <c r="G1170">
        <v>2048</v>
      </c>
      <c r="H1170" s="107"/>
      <c r="I1170" s="107"/>
      <c r="L1170" s="148">
        <v>45058</v>
      </c>
      <c r="M1170" s="107">
        <v>1032.55</v>
      </c>
      <c r="N1170" s="107">
        <v>1053</v>
      </c>
      <c r="O1170" s="107">
        <v>1019.1</v>
      </c>
      <c r="P1170" s="107">
        <v>1052.4000000000001</v>
      </c>
      <c r="Q1170" s="107">
        <v>1032.55</v>
      </c>
      <c r="R1170">
        <v>105442</v>
      </c>
    </row>
    <row r="1171" spans="1:18" x14ac:dyDescent="0.25">
      <c r="A1171" s="148">
        <v>45061</v>
      </c>
      <c r="B1171" s="107">
        <v>1090.75</v>
      </c>
      <c r="C1171" s="107">
        <v>1067.75</v>
      </c>
      <c r="D1171" s="107">
        <v>1032</v>
      </c>
      <c r="E1171" s="107">
        <v>1032</v>
      </c>
      <c r="F1171" s="107">
        <v>1067.75</v>
      </c>
      <c r="G1171">
        <v>33527</v>
      </c>
      <c r="H1171" s="107"/>
      <c r="I1171" s="107"/>
      <c r="L1171" s="148">
        <v>45061</v>
      </c>
      <c r="M1171" s="107">
        <v>1068.1500000000001</v>
      </c>
      <c r="N1171" s="107">
        <v>1090</v>
      </c>
      <c r="O1171" s="107">
        <v>1033.3</v>
      </c>
      <c r="P1171" s="107">
        <v>1039.3</v>
      </c>
      <c r="Q1171" s="107">
        <v>1068.1500000000001</v>
      </c>
      <c r="R1171">
        <v>395085</v>
      </c>
    </row>
    <row r="1172" spans="1:18" x14ac:dyDescent="0.25">
      <c r="A1172" s="148">
        <v>45062</v>
      </c>
      <c r="B1172" s="107">
        <v>1108</v>
      </c>
      <c r="C1172" s="107">
        <v>1087.4000000000001</v>
      </c>
      <c r="D1172" s="107">
        <v>1060</v>
      </c>
      <c r="E1172" s="107">
        <v>1070.05</v>
      </c>
      <c r="F1172" s="107">
        <v>1087.4000000000001</v>
      </c>
      <c r="G1172">
        <v>16235</v>
      </c>
      <c r="H1172" s="107"/>
      <c r="I1172" s="107"/>
      <c r="L1172" s="148">
        <v>45062</v>
      </c>
      <c r="M1172" s="107">
        <v>1085.9000000000001</v>
      </c>
      <c r="N1172" s="107">
        <v>1109</v>
      </c>
      <c r="O1172" s="107">
        <v>1060.05</v>
      </c>
      <c r="P1172" s="107">
        <v>1078.95</v>
      </c>
      <c r="Q1172" s="107">
        <v>1085.9000000000001</v>
      </c>
      <c r="R1172">
        <v>367460</v>
      </c>
    </row>
    <row r="1173" spans="1:18" x14ac:dyDescent="0.25">
      <c r="A1173" s="148">
        <v>45063</v>
      </c>
      <c r="B1173" s="107">
        <v>1212.2</v>
      </c>
      <c r="C1173" s="107">
        <v>1172</v>
      </c>
      <c r="D1173" s="107">
        <v>1123.4000000000001</v>
      </c>
      <c r="E1173" s="107">
        <v>1129.95</v>
      </c>
      <c r="F1173" s="107">
        <v>1172</v>
      </c>
      <c r="G1173">
        <v>95303</v>
      </c>
      <c r="H1173" s="107"/>
      <c r="I1173" s="107"/>
      <c r="L1173" s="148">
        <v>45063</v>
      </c>
      <c r="M1173" s="107">
        <v>1171.5</v>
      </c>
      <c r="N1173" s="107">
        <v>1212.7</v>
      </c>
      <c r="O1173" s="107">
        <v>1120</v>
      </c>
      <c r="P1173" s="107">
        <v>1125</v>
      </c>
      <c r="Q1173" s="107">
        <v>1171.5</v>
      </c>
      <c r="R1173">
        <v>2969172</v>
      </c>
    </row>
    <row r="1174" spans="1:18" x14ac:dyDescent="0.25">
      <c r="A1174" s="148">
        <v>45064</v>
      </c>
      <c r="B1174" s="107">
        <v>1193.45</v>
      </c>
      <c r="C1174" s="107">
        <v>1182.1500000000001</v>
      </c>
      <c r="D1174" s="107">
        <v>1153.5999999999999</v>
      </c>
      <c r="E1174" s="107">
        <v>1172.05</v>
      </c>
      <c r="F1174" s="107">
        <v>1182.1500000000001</v>
      </c>
      <c r="G1174">
        <v>26030</v>
      </c>
      <c r="H1174" s="107"/>
      <c r="I1174" s="107"/>
      <c r="L1174" s="148">
        <v>45064</v>
      </c>
      <c r="M1174" s="107">
        <v>1183.5</v>
      </c>
      <c r="N1174" s="107">
        <v>1200</v>
      </c>
      <c r="O1174" s="107">
        <v>1172.2</v>
      </c>
      <c r="P1174" s="107">
        <v>1180</v>
      </c>
      <c r="Q1174" s="107">
        <v>1183.5</v>
      </c>
      <c r="R1174">
        <v>596881</v>
      </c>
    </row>
    <row r="1175" spans="1:18" x14ac:dyDescent="0.25">
      <c r="A1175" s="148">
        <v>45065</v>
      </c>
      <c r="B1175" s="107">
        <v>1233.55</v>
      </c>
      <c r="C1175" s="107">
        <v>1221.25</v>
      </c>
      <c r="D1175" s="107">
        <v>1182.2</v>
      </c>
      <c r="E1175" s="107">
        <v>1182.2</v>
      </c>
      <c r="F1175" s="107">
        <v>1221.25</v>
      </c>
      <c r="G1175">
        <v>29437</v>
      </c>
      <c r="H1175" s="107"/>
      <c r="I1175" s="107"/>
      <c r="L1175" s="148">
        <v>45065</v>
      </c>
      <c r="M1175" s="107">
        <v>1220.0999999999999</v>
      </c>
      <c r="N1175" s="107">
        <v>1234</v>
      </c>
      <c r="O1175" s="107">
        <v>1186</v>
      </c>
      <c r="P1175" s="107">
        <v>1192.5</v>
      </c>
      <c r="Q1175" s="107">
        <v>1220.0999999999999</v>
      </c>
      <c r="R1175">
        <v>1184505</v>
      </c>
    </row>
    <row r="1176" spans="1:18" x14ac:dyDescent="0.25">
      <c r="A1176" s="148">
        <v>45068</v>
      </c>
      <c r="B1176" s="107">
        <v>1271.3499999999999</v>
      </c>
      <c r="C1176" s="107">
        <v>1260.6500000000001</v>
      </c>
      <c r="D1176" s="107">
        <v>1198.95</v>
      </c>
      <c r="E1176" s="107">
        <v>1229.9000000000001</v>
      </c>
      <c r="F1176" s="107">
        <v>1260.6500000000001</v>
      </c>
      <c r="G1176">
        <v>33662</v>
      </c>
      <c r="H1176" s="107"/>
      <c r="I1176" s="107"/>
      <c r="L1176" s="148">
        <v>45068</v>
      </c>
      <c r="M1176" s="107">
        <v>1257.5999999999999</v>
      </c>
      <c r="N1176" s="107">
        <v>1268.95</v>
      </c>
      <c r="O1176" s="107">
        <v>1200.3</v>
      </c>
      <c r="P1176" s="107">
        <v>1223.45</v>
      </c>
      <c r="Q1176" s="107">
        <v>1257.5999999999999</v>
      </c>
      <c r="R1176">
        <v>458625</v>
      </c>
    </row>
    <row r="1177" spans="1:18" x14ac:dyDescent="0.25">
      <c r="A1177" s="148">
        <v>45069</v>
      </c>
      <c r="B1177" s="107">
        <v>1251.8499999999999</v>
      </c>
      <c r="C1177" s="107">
        <v>1237.05</v>
      </c>
      <c r="D1177" s="107">
        <v>1214.9000000000001</v>
      </c>
      <c r="E1177" s="107">
        <v>1250</v>
      </c>
      <c r="F1177" s="107">
        <v>1237.05</v>
      </c>
      <c r="G1177">
        <v>13689</v>
      </c>
      <c r="H1177" s="107"/>
      <c r="I1177" s="107"/>
      <c r="L1177" s="148">
        <v>45069</v>
      </c>
      <c r="M1177" s="107">
        <v>1235.45</v>
      </c>
      <c r="N1177" s="107">
        <v>1254.45</v>
      </c>
      <c r="O1177" s="107">
        <v>1215.0999999999999</v>
      </c>
      <c r="P1177" s="107">
        <v>1250</v>
      </c>
      <c r="Q1177" s="107">
        <v>1235.45</v>
      </c>
      <c r="R1177">
        <v>209249</v>
      </c>
    </row>
    <row r="1178" spans="1:18" x14ac:dyDescent="0.25">
      <c r="A1178" s="148">
        <v>45070</v>
      </c>
      <c r="B1178" s="107">
        <v>1240</v>
      </c>
      <c r="C1178" s="107">
        <v>1232.2</v>
      </c>
      <c r="D1178" s="107">
        <v>1207.3</v>
      </c>
      <c r="E1178" s="107">
        <v>1240</v>
      </c>
      <c r="F1178" s="107">
        <v>1232.2</v>
      </c>
      <c r="G1178">
        <v>64145</v>
      </c>
      <c r="H1178" s="107"/>
      <c r="I1178" s="107"/>
      <c r="L1178" s="148">
        <v>45070</v>
      </c>
      <c r="M1178" s="107">
        <v>1231</v>
      </c>
      <c r="N1178" s="107">
        <v>1240.1500000000001</v>
      </c>
      <c r="O1178" s="107">
        <v>1206.1500000000001</v>
      </c>
      <c r="P1178" s="107">
        <v>1221.0999999999999</v>
      </c>
      <c r="Q1178" s="107">
        <v>1231</v>
      </c>
      <c r="R1178">
        <v>170584</v>
      </c>
    </row>
    <row r="1179" spans="1:18" x14ac:dyDescent="0.25">
      <c r="A1179" s="148">
        <v>45071</v>
      </c>
      <c r="B1179" s="107">
        <v>1237.45</v>
      </c>
      <c r="C1179" s="107">
        <v>1225.75</v>
      </c>
      <c r="D1179" s="107">
        <v>1186.75</v>
      </c>
      <c r="E1179" s="107">
        <v>1207.05</v>
      </c>
      <c r="F1179" s="107">
        <v>1225.75</v>
      </c>
      <c r="G1179">
        <v>12960</v>
      </c>
      <c r="H1179" s="107"/>
      <c r="I1179" s="107"/>
      <c r="L1179" s="148">
        <v>45071</v>
      </c>
      <c r="M1179" s="107">
        <v>1225.75</v>
      </c>
      <c r="N1179" s="107">
        <v>1235</v>
      </c>
      <c r="O1179" s="107">
        <v>1186</v>
      </c>
      <c r="P1179" s="107">
        <v>1230.95</v>
      </c>
      <c r="Q1179" s="107">
        <v>1225.75</v>
      </c>
      <c r="R1179">
        <v>214818</v>
      </c>
    </row>
    <row r="1180" spans="1:18" x14ac:dyDescent="0.25">
      <c r="A1180" s="148">
        <v>45072</v>
      </c>
      <c r="B1180" s="107">
        <v>1247.1500000000001</v>
      </c>
      <c r="C1180" s="107">
        <v>1214.1500000000001</v>
      </c>
      <c r="D1180" s="107">
        <v>1197.3499999999999</v>
      </c>
      <c r="E1180" s="107">
        <v>1229.75</v>
      </c>
      <c r="F1180" s="107">
        <v>1214.1500000000001</v>
      </c>
      <c r="G1180">
        <v>9439</v>
      </c>
      <c r="H1180" s="107"/>
      <c r="I1180" s="107"/>
      <c r="L1180" s="148">
        <v>45072</v>
      </c>
      <c r="M1180" s="107">
        <v>1213.55</v>
      </c>
      <c r="N1180" s="107">
        <v>1250</v>
      </c>
      <c r="O1180" s="107">
        <v>1197.05</v>
      </c>
      <c r="P1180" s="107">
        <v>1225.8</v>
      </c>
      <c r="Q1180" s="107">
        <v>1213.55</v>
      </c>
      <c r="R1180">
        <v>99460</v>
      </c>
    </row>
    <row r="1181" spans="1:18" x14ac:dyDescent="0.25">
      <c r="A1181" s="148">
        <v>45075</v>
      </c>
      <c r="B1181" s="107">
        <v>1225.1500000000001</v>
      </c>
      <c r="C1181" s="107">
        <v>1214.55</v>
      </c>
      <c r="D1181" s="107">
        <v>1202.5</v>
      </c>
      <c r="E1181" s="107">
        <v>1214.1500000000001</v>
      </c>
      <c r="F1181" s="107">
        <v>1214.55</v>
      </c>
      <c r="G1181">
        <v>4749</v>
      </c>
      <c r="H1181" s="107"/>
      <c r="I1181" s="107"/>
      <c r="L1181" s="148">
        <v>45075</v>
      </c>
      <c r="M1181" s="107">
        <v>1213.5999999999999</v>
      </c>
      <c r="N1181" s="107">
        <v>1227</v>
      </c>
      <c r="O1181" s="107">
        <v>1202.5</v>
      </c>
      <c r="P1181" s="107">
        <v>1213.55</v>
      </c>
      <c r="Q1181" s="107">
        <v>1213.5999999999999</v>
      </c>
      <c r="R1181">
        <v>49838</v>
      </c>
    </row>
    <row r="1182" spans="1:18" x14ac:dyDescent="0.25">
      <c r="A1182" s="148">
        <v>45076</v>
      </c>
      <c r="B1182" s="107">
        <v>1218</v>
      </c>
      <c r="C1182" s="107">
        <v>1202.55</v>
      </c>
      <c r="D1182" s="107">
        <v>1197.25</v>
      </c>
      <c r="E1182" s="107">
        <v>1216</v>
      </c>
      <c r="F1182" s="107">
        <v>1202.55</v>
      </c>
      <c r="G1182">
        <v>5460</v>
      </c>
      <c r="H1182" s="107"/>
      <c r="I1182" s="107"/>
      <c r="L1182" s="148">
        <v>45076</v>
      </c>
      <c r="M1182" s="107">
        <v>1202.5</v>
      </c>
      <c r="N1182" s="107">
        <v>1219.7</v>
      </c>
      <c r="O1182" s="107">
        <v>1197.0999999999999</v>
      </c>
      <c r="P1182" s="107">
        <v>1213.5999999999999</v>
      </c>
      <c r="Q1182" s="107">
        <v>1202.5</v>
      </c>
      <c r="R1182">
        <v>215683</v>
      </c>
    </row>
    <row r="1183" spans="1:18" x14ac:dyDescent="0.25">
      <c r="A1183" s="148">
        <v>45077</v>
      </c>
      <c r="B1183" s="107">
        <v>1287.45</v>
      </c>
      <c r="C1183" s="107">
        <v>1236</v>
      </c>
      <c r="D1183" s="107">
        <v>1182.05</v>
      </c>
      <c r="E1183" s="107">
        <v>1182.05</v>
      </c>
      <c r="F1183" s="107">
        <v>1236</v>
      </c>
      <c r="G1183">
        <v>23123</v>
      </c>
      <c r="H1183" s="107"/>
      <c r="I1183" s="107"/>
      <c r="L1183" s="148">
        <v>45077</v>
      </c>
      <c r="M1183" s="107">
        <v>1234.0999999999999</v>
      </c>
      <c r="N1183" s="107">
        <v>1288.45</v>
      </c>
      <c r="O1183" s="107">
        <v>1190</v>
      </c>
      <c r="P1183" s="107">
        <v>1200</v>
      </c>
      <c r="Q1183" s="107">
        <v>1234.0999999999999</v>
      </c>
      <c r="R1183">
        <v>328286</v>
      </c>
    </row>
    <row r="1184" spans="1:18" x14ac:dyDescent="0.25">
      <c r="A1184" s="148">
        <v>45078</v>
      </c>
      <c r="B1184" s="107">
        <v>1260</v>
      </c>
      <c r="C1184" s="107">
        <v>1248.5999999999999</v>
      </c>
      <c r="D1184" s="107">
        <v>1224.3499999999999</v>
      </c>
      <c r="E1184" s="107">
        <v>1244.95</v>
      </c>
      <c r="F1184" s="107">
        <v>1248.5999999999999</v>
      </c>
      <c r="G1184">
        <v>7359</v>
      </c>
      <c r="H1184" s="107"/>
      <c r="I1184" s="107"/>
      <c r="L1184" s="148">
        <v>45078</v>
      </c>
      <c r="M1184" s="107">
        <v>1250.1500000000001</v>
      </c>
      <c r="N1184" s="107">
        <v>1260</v>
      </c>
      <c r="O1184" s="107">
        <v>1223.4000000000001</v>
      </c>
      <c r="P1184" s="107">
        <v>1234.1500000000001</v>
      </c>
      <c r="Q1184" s="107">
        <v>1250.1500000000001</v>
      </c>
      <c r="R1184">
        <v>315336</v>
      </c>
    </row>
    <row r="1185" spans="1:18" x14ac:dyDescent="0.25">
      <c r="A1185" s="148">
        <v>45079</v>
      </c>
      <c r="B1185" s="107">
        <v>1260.6500000000001</v>
      </c>
      <c r="C1185" s="107">
        <v>1225.45</v>
      </c>
      <c r="D1185" s="107">
        <v>1213.75</v>
      </c>
      <c r="E1185" s="107">
        <v>1259.7</v>
      </c>
      <c r="F1185" s="107">
        <v>1225.45</v>
      </c>
      <c r="G1185">
        <v>5426</v>
      </c>
      <c r="H1185" s="107"/>
      <c r="I1185" s="107"/>
      <c r="L1185" s="148">
        <v>45079</v>
      </c>
      <c r="M1185" s="107">
        <v>1224.4000000000001</v>
      </c>
      <c r="N1185" s="107">
        <v>1265</v>
      </c>
      <c r="O1185" s="107">
        <v>1211.0999999999999</v>
      </c>
      <c r="P1185" s="107">
        <v>1255</v>
      </c>
      <c r="Q1185" s="107">
        <v>1224.4000000000001</v>
      </c>
      <c r="R1185">
        <v>120554</v>
      </c>
    </row>
    <row r="1186" spans="1:18" x14ac:dyDescent="0.25">
      <c r="A1186" s="148">
        <v>45082</v>
      </c>
      <c r="B1186" s="107">
        <v>1239.9000000000001</v>
      </c>
      <c r="C1186" s="107">
        <v>1230.6500000000001</v>
      </c>
      <c r="D1186" s="107">
        <v>1218.8499999999999</v>
      </c>
      <c r="E1186" s="107">
        <v>1236.95</v>
      </c>
      <c r="F1186" s="107">
        <v>1230.6500000000001</v>
      </c>
      <c r="G1186">
        <v>8023</v>
      </c>
      <c r="H1186" s="107"/>
      <c r="I1186" s="107"/>
      <c r="L1186" s="148">
        <v>45082</v>
      </c>
      <c r="M1186" s="107">
        <v>1231.45</v>
      </c>
      <c r="N1186" s="107">
        <v>1239.9000000000001</v>
      </c>
      <c r="O1186" s="107">
        <v>1219</v>
      </c>
      <c r="P1186" s="107">
        <v>1225.0999999999999</v>
      </c>
      <c r="Q1186" s="107">
        <v>1231.45</v>
      </c>
      <c r="R1186">
        <v>121255</v>
      </c>
    </row>
    <row r="1187" spans="1:18" x14ac:dyDescent="0.25">
      <c r="A1187" s="148">
        <v>45083</v>
      </c>
      <c r="B1187" s="107">
        <v>1242</v>
      </c>
      <c r="C1187" s="107">
        <v>1240.2</v>
      </c>
      <c r="D1187" s="107">
        <v>1224.05</v>
      </c>
      <c r="E1187" s="107">
        <v>1230.6500000000001</v>
      </c>
      <c r="F1187" s="107">
        <v>1240.2</v>
      </c>
      <c r="G1187">
        <v>1931</v>
      </c>
      <c r="H1187" s="107"/>
      <c r="I1187" s="107"/>
      <c r="L1187" s="148">
        <v>45083</v>
      </c>
      <c r="M1187" s="107">
        <v>1239.8499999999999</v>
      </c>
      <c r="N1187" s="107">
        <v>1243</v>
      </c>
      <c r="O1187" s="107">
        <v>1224.0999999999999</v>
      </c>
      <c r="P1187" s="107">
        <v>1231.0999999999999</v>
      </c>
      <c r="Q1187" s="107">
        <v>1239.8499999999999</v>
      </c>
      <c r="R1187">
        <v>86813</v>
      </c>
    </row>
    <row r="1188" spans="1:18" x14ac:dyDescent="0.25">
      <c r="A1188" s="148">
        <v>45084</v>
      </c>
      <c r="B1188" s="107">
        <v>1291.55</v>
      </c>
      <c r="C1188" s="107">
        <v>1270.6500000000001</v>
      </c>
      <c r="D1188" s="107">
        <v>1228.2</v>
      </c>
      <c r="E1188" s="107">
        <v>1230</v>
      </c>
      <c r="F1188" s="107">
        <v>1270.6500000000001</v>
      </c>
      <c r="G1188">
        <v>18741</v>
      </c>
      <c r="H1188" s="107"/>
      <c r="I1188" s="107"/>
      <c r="L1188" s="148">
        <v>45084</v>
      </c>
      <c r="M1188" s="107">
        <v>1271.8</v>
      </c>
      <c r="N1188" s="107">
        <v>1293</v>
      </c>
      <c r="O1188" s="107">
        <v>1231.5</v>
      </c>
      <c r="P1188" s="107">
        <v>1238.95</v>
      </c>
      <c r="Q1188" s="107">
        <v>1271.8</v>
      </c>
      <c r="R1188">
        <v>184825</v>
      </c>
    </row>
    <row r="1189" spans="1:18" x14ac:dyDescent="0.25">
      <c r="A1189" s="148">
        <v>45085</v>
      </c>
      <c r="B1189" s="107">
        <v>1267.95</v>
      </c>
      <c r="C1189" s="107">
        <v>1233.0999999999999</v>
      </c>
      <c r="D1189" s="107">
        <v>1222.6500000000001</v>
      </c>
      <c r="E1189" s="107">
        <v>1267.95</v>
      </c>
      <c r="F1189" s="107">
        <v>1233.0999999999999</v>
      </c>
      <c r="G1189">
        <v>1591</v>
      </c>
      <c r="H1189" s="107"/>
      <c r="I1189" s="107"/>
      <c r="L1189" s="148">
        <v>45085</v>
      </c>
      <c r="M1189" s="107">
        <v>1233.8499999999999</v>
      </c>
      <c r="N1189" s="107">
        <v>1271.8</v>
      </c>
      <c r="O1189" s="107">
        <v>1221.55</v>
      </c>
      <c r="P1189" s="107">
        <v>1260.3</v>
      </c>
      <c r="Q1189" s="107">
        <v>1233.8499999999999</v>
      </c>
      <c r="R1189">
        <v>111451</v>
      </c>
    </row>
    <row r="1190" spans="1:18" x14ac:dyDescent="0.25">
      <c r="A1190" s="148">
        <v>45086</v>
      </c>
      <c r="B1190" s="107">
        <v>1279.9000000000001</v>
      </c>
      <c r="C1190" s="107">
        <v>1233.5999999999999</v>
      </c>
      <c r="D1190" s="107">
        <v>1223.25</v>
      </c>
      <c r="E1190" s="107">
        <v>1279.9000000000001</v>
      </c>
      <c r="F1190" s="107">
        <v>1233.5999999999999</v>
      </c>
      <c r="G1190">
        <v>2941</v>
      </c>
      <c r="H1190" s="107"/>
      <c r="I1190" s="107"/>
      <c r="L1190" s="148">
        <v>45086</v>
      </c>
      <c r="M1190" s="107">
        <v>1234.9000000000001</v>
      </c>
      <c r="N1190" s="107">
        <v>1260.3</v>
      </c>
      <c r="O1190" s="107">
        <v>1222.4000000000001</v>
      </c>
      <c r="P1190" s="107">
        <v>1240</v>
      </c>
      <c r="Q1190" s="107">
        <v>1234.9000000000001</v>
      </c>
      <c r="R1190">
        <v>43455</v>
      </c>
    </row>
    <row r="1191" spans="1:18" x14ac:dyDescent="0.25">
      <c r="A1191" s="148">
        <v>45089</v>
      </c>
      <c r="B1191" s="107">
        <v>1266.3499999999999</v>
      </c>
      <c r="C1191" s="107">
        <v>1248.45</v>
      </c>
      <c r="D1191" s="107">
        <v>1225.8499999999999</v>
      </c>
      <c r="E1191" s="107">
        <v>1249.9000000000001</v>
      </c>
      <c r="F1191" s="107">
        <v>1248.45</v>
      </c>
      <c r="G1191">
        <v>6327</v>
      </c>
      <c r="H1191" s="107"/>
      <c r="I1191" s="107"/>
      <c r="L1191" s="148">
        <v>45089</v>
      </c>
      <c r="M1191" s="107">
        <v>1249.3499999999999</v>
      </c>
      <c r="N1191" s="107">
        <v>1269</v>
      </c>
      <c r="O1191" s="107">
        <v>1223.75</v>
      </c>
      <c r="P1191" s="107">
        <v>1234.9000000000001</v>
      </c>
      <c r="Q1191" s="107">
        <v>1249.3499999999999</v>
      </c>
      <c r="R1191">
        <v>96478</v>
      </c>
    </row>
    <row r="1192" spans="1:18" x14ac:dyDescent="0.25">
      <c r="A1192" s="148">
        <v>45090</v>
      </c>
      <c r="B1192" s="107">
        <v>1258.1500000000001</v>
      </c>
      <c r="C1192" s="107">
        <v>1239.0999999999999</v>
      </c>
      <c r="D1192" s="107">
        <v>1234.3499999999999</v>
      </c>
      <c r="E1192" s="107">
        <v>1245.8499999999999</v>
      </c>
      <c r="F1192" s="107">
        <v>1239.0999999999999</v>
      </c>
      <c r="G1192">
        <v>3362</v>
      </c>
      <c r="H1192" s="107"/>
      <c r="I1192" s="107"/>
      <c r="L1192" s="148">
        <v>45090</v>
      </c>
      <c r="M1192" s="107">
        <v>1237.8</v>
      </c>
      <c r="N1192" s="107">
        <v>1258.8</v>
      </c>
      <c r="O1192" s="107">
        <v>1235</v>
      </c>
      <c r="P1192" s="107">
        <v>1249.4000000000001</v>
      </c>
      <c r="Q1192" s="107">
        <v>1237.8</v>
      </c>
      <c r="R1192">
        <v>60629</v>
      </c>
    </row>
    <row r="1193" spans="1:18" x14ac:dyDescent="0.25">
      <c r="A1193" s="148">
        <v>45091</v>
      </c>
      <c r="B1193" s="107">
        <v>1246.1500000000001</v>
      </c>
      <c r="C1193" s="107">
        <v>1217.4000000000001</v>
      </c>
      <c r="D1193" s="107">
        <v>1200</v>
      </c>
      <c r="E1193" s="107">
        <v>1245.25</v>
      </c>
      <c r="F1193" s="107">
        <v>1217.4000000000001</v>
      </c>
      <c r="G1193">
        <v>7639</v>
      </c>
      <c r="H1193" s="107"/>
      <c r="I1193" s="107"/>
      <c r="L1193" s="148">
        <v>45091</v>
      </c>
      <c r="M1193" s="107">
        <v>1217.8499999999999</v>
      </c>
      <c r="N1193" s="107">
        <v>1248.6500000000001</v>
      </c>
      <c r="O1193" s="107">
        <v>1198.45</v>
      </c>
      <c r="P1193" s="107">
        <v>1247.7</v>
      </c>
      <c r="Q1193" s="107">
        <v>1217.8499999999999</v>
      </c>
      <c r="R1193">
        <v>97419</v>
      </c>
    </row>
    <row r="1194" spans="1:18" x14ac:dyDescent="0.25">
      <c r="A1194" s="148">
        <v>45092</v>
      </c>
      <c r="B1194" s="107">
        <v>1230.25</v>
      </c>
      <c r="C1194" s="107">
        <v>1191.05</v>
      </c>
      <c r="D1194" s="107">
        <v>1169.8</v>
      </c>
      <c r="E1194" s="107">
        <v>1227.6500000000001</v>
      </c>
      <c r="F1194" s="107">
        <v>1191.05</v>
      </c>
      <c r="G1194">
        <v>7055</v>
      </c>
      <c r="H1194" s="107"/>
      <c r="I1194" s="107"/>
      <c r="L1194" s="148">
        <v>45092</v>
      </c>
      <c r="M1194" s="107">
        <v>1189.45</v>
      </c>
      <c r="N1194" s="107">
        <v>1235</v>
      </c>
      <c r="O1194" s="107">
        <v>1168.7</v>
      </c>
      <c r="P1194" s="107">
        <v>1225.3</v>
      </c>
      <c r="Q1194" s="107">
        <v>1189.45</v>
      </c>
      <c r="R1194">
        <v>263257</v>
      </c>
    </row>
    <row r="1195" spans="1:18" x14ac:dyDescent="0.25">
      <c r="A1195" s="148">
        <v>45093</v>
      </c>
      <c r="B1195" s="107">
        <v>1199.0999999999999</v>
      </c>
      <c r="C1195" s="107">
        <v>1178.05</v>
      </c>
      <c r="D1195" s="107">
        <v>1173</v>
      </c>
      <c r="E1195" s="107">
        <v>1191.25</v>
      </c>
      <c r="F1195" s="107">
        <v>1178.05</v>
      </c>
      <c r="G1195">
        <v>5806</v>
      </c>
      <c r="H1195" s="107"/>
      <c r="I1195" s="107"/>
      <c r="L1195" s="148">
        <v>45093</v>
      </c>
      <c r="M1195" s="107">
        <v>1177.3</v>
      </c>
      <c r="N1195" s="107">
        <v>1200.45</v>
      </c>
      <c r="O1195" s="107">
        <v>1172.55</v>
      </c>
      <c r="P1195" s="107">
        <v>1199</v>
      </c>
      <c r="Q1195" s="107">
        <v>1177.3</v>
      </c>
      <c r="R1195">
        <v>83265</v>
      </c>
    </row>
    <row r="1196" spans="1:18" x14ac:dyDescent="0.25">
      <c r="A1196" s="148">
        <v>45096</v>
      </c>
      <c r="B1196" s="107">
        <v>1284.9000000000001</v>
      </c>
      <c r="C1196" s="107">
        <v>1272.8499999999999</v>
      </c>
      <c r="D1196" s="107">
        <v>1178.0999999999999</v>
      </c>
      <c r="E1196" s="107">
        <v>1178.0999999999999</v>
      </c>
      <c r="F1196" s="107">
        <v>1272.8499999999999</v>
      </c>
      <c r="G1196">
        <v>42638</v>
      </c>
      <c r="H1196" s="107"/>
      <c r="I1196" s="107"/>
      <c r="L1196" s="148">
        <v>45096</v>
      </c>
      <c r="M1196" s="107">
        <v>1272.6500000000001</v>
      </c>
      <c r="N1196" s="107">
        <v>1285</v>
      </c>
      <c r="O1196" s="107">
        <v>1180.05</v>
      </c>
      <c r="P1196" s="107">
        <v>1185.8</v>
      </c>
      <c r="Q1196" s="107">
        <v>1272.6500000000001</v>
      </c>
      <c r="R1196">
        <v>989562</v>
      </c>
    </row>
    <row r="1197" spans="1:18" x14ac:dyDescent="0.25">
      <c r="A1197" s="148">
        <v>45097</v>
      </c>
      <c r="B1197" s="107">
        <v>1299</v>
      </c>
      <c r="C1197" s="107">
        <v>1289.5</v>
      </c>
      <c r="D1197" s="107">
        <v>1260.8499999999999</v>
      </c>
      <c r="E1197" s="107">
        <v>1280.05</v>
      </c>
      <c r="F1197" s="107">
        <v>1289.5</v>
      </c>
      <c r="G1197">
        <v>16639</v>
      </c>
      <c r="H1197" s="107"/>
      <c r="I1197" s="107"/>
      <c r="L1197" s="148">
        <v>45097</v>
      </c>
      <c r="M1197" s="107">
        <v>1290.5</v>
      </c>
      <c r="N1197" s="107">
        <v>1299.95</v>
      </c>
      <c r="O1197" s="107">
        <v>1260.25</v>
      </c>
      <c r="P1197" s="107">
        <v>1280</v>
      </c>
      <c r="Q1197" s="107">
        <v>1290.5</v>
      </c>
      <c r="R1197">
        <v>177372</v>
      </c>
    </row>
    <row r="1198" spans="1:18" x14ac:dyDescent="0.25">
      <c r="A1198" s="148">
        <v>45098</v>
      </c>
      <c r="B1198" s="107">
        <v>1337.05</v>
      </c>
      <c r="C1198" s="107">
        <v>1314.15</v>
      </c>
      <c r="D1198" s="107">
        <v>1280.9000000000001</v>
      </c>
      <c r="E1198" s="107">
        <v>1286.05</v>
      </c>
      <c r="F1198" s="107">
        <v>1314.15</v>
      </c>
      <c r="G1198">
        <v>12301</v>
      </c>
      <c r="H1198" s="107"/>
      <c r="I1198" s="107"/>
      <c r="L1198" s="148">
        <v>45098</v>
      </c>
      <c r="M1198" s="107">
        <v>1314.35</v>
      </c>
      <c r="N1198" s="107">
        <v>1339.1</v>
      </c>
      <c r="O1198" s="107">
        <v>1280</v>
      </c>
      <c r="P1198" s="107">
        <v>1295</v>
      </c>
      <c r="Q1198" s="107">
        <v>1314.35</v>
      </c>
      <c r="R1198">
        <v>310812</v>
      </c>
    </row>
    <row r="1199" spans="1:18" x14ac:dyDescent="0.25">
      <c r="A1199" s="148">
        <v>45099</v>
      </c>
      <c r="B1199" s="107">
        <v>1344</v>
      </c>
      <c r="C1199" s="107">
        <v>1338.3</v>
      </c>
      <c r="D1199" s="107">
        <v>1290</v>
      </c>
      <c r="E1199" s="107">
        <v>1315</v>
      </c>
      <c r="F1199" s="107">
        <v>1338.3</v>
      </c>
      <c r="G1199">
        <v>11654</v>
      </c>
      <c r="H1199" s="107"/>
      <c r="I1199" s="107"/>
      <c r="L1199" s="148">
        <v>45099</v>
      </c>
      <c r="M1199" s="107">
        <v>1335.4</v>
      </c>
      <c r="N1199" s="107">
        <v>1344.95</v>
      </c>
      <c r="O1199" s="107">
        <v>1290.1500000000001</v>
      </c>
      <c r="P1199" s="107">
        <v>1320</v>
      </c>
      <c r="Q1199" s="107">
        <v>1335.4</v>
      </c>
      <c r="R1199">
        <v>199837</v>
      </c>
    </row>
    <row r="1200" spans="1:18" x14ac:dyDescent="0.25">
      <c r="A1200" s="148">
        <v>45100</v>
      </c>
      <c r="B1200" s="107">
        <v>1397.65</v>
      </c>
      <c r="C1200" s="107">
        <v>1382.25</v>
      </c>
      <c r="D1200" s="107">
        <v>1313.85</v>
      </c>
      <c r="E1200" s="107">
        <v>1329.6</v>
      </c>
      <c r="F1200" s="107">
        <v>1382.25</v>
      </c>
      <c r="G1200">
        <v>26991</v>
      </c>
      <c r="H1200" s="107"/>
      <c r="I1200" s="107"/>
      <c r="L1200" s="148">
        <v>45100</v>
      </c>
      <c r="M1200" s="107">
        <v>1383.7</v>
      </c>
      <c r="N1200" s="107">
        <v>1396.9</v>
      </c>
      <c r="O1200" s="107">
        <v>1316.85</v>
      </c>
      <c r="P1200" s="107">
        <v>1332</v>
      </c>
      <c r="Q1200" s="107">
        <v>1383.7</v>
      </c>
      <c r="R1200">
        <v>348292</v>
      </c>
    </row>
    <row r="1201" spans="1:18" x14ac:dyDescent="0.25">
      <c r="A1201" s="148">
        <v>45103</v>
      </c>
      <c r="B1201" s="107">
        <v>1397.45</v>
      </c>
      <c r="C1201" s="107">
        <v>1325.15</v>
      </c>
      <c r="D1201" s="107">
        <v>1315.25</v>
      </c>
      <c r="E1201" s="107">
        <v>1397.45</v>
      </c>
      <c r="F1201" s="107">
        <v>1325.15</v>
      </c>
      <c r="G1201">
        <v>9323</v>
      </c>
      <c r="H1201" s="107"/>
      <c r="I1201" s="107"/>
      <c r="L1201" s="148">
        <v>45103</v>
      </c>
      <c r="M1201" s="107">
        <v>1327.1</v>
      </c>
      <c r="N1201" s="107">
        <v>1384.65</v>
      </c>
      <c r="O1201" s="107">
        <v>1315.15</v>
      </c>
      <c r="P1201" s="107">
        <v>1383.7</v>
      </c>
      <c r="Q1201" s="107">
        <v>1327.1</v>
      </c>
      <c r="R1201">
        <v>207689</v>
      </c>
    </row>
    <row r="1202" spans="1:18" x14ac:dyDescent="0.25">
      <c r="A1202" s="148">
        <v>45104</v>
      </c>
      <c r="B1202" s="107">
        <v>1376.95</v>
      </c>
      <c r="C1202" s="107">
        <v>1351.35</v>
      </c>
      <c r="D1202" s="107">
        <v>1325.15</v>
      </c>
      <c r="E1202" s="107">
        <v>1325.15</v>
      </c>
      <c r="F1202" s="107">
        <v>1351.35</v>
      </c>
      <c r="G1202">
        <v>9827</v>
      </c>
      <c r="H1202" s="107"/>
      <c r="I1202" s="107"/>
      <c r="L1202" s="148">
        <v>45104</v>
      </c>
      <c r="M1202" s="107">
        <v>1353.9</v>
      </c>
      <c r="N1202" s="107">
        <v>1378.35</v>
      </c>
      <c r="O1202" s="107">
        <v>1329.15</v>
      </c>
      <c r="P1202" s="107">
        <v>1339.65</v>
      </c>
      <c r="Q1202" s="107">
        <v>1353.9</v>
      </c>
      <c r="R1202">
        <v>300307</v>
      </c>
    </row>
    <row r="1203" spans="1:18" x14ac:dyDescent="0.25">
      <c r="A1203" s="148">
        <v>45105</v>
      </c>
      <c r="B1203" s="107">
        <v>1376.65</v>
      </c>
      <c r="C1203" s="107">
        <v>1325.2</v>
      </c>
      <c r="D1203" s="107">
        <v>1315.25</v>
      </c>
      <c r="E1203" s="107">
        <v>1347.8</v>
      </c>
      <c r="F1203" s="107">
        <v>1325.2</v>
      </c>
      <c r="G1203">
        <v>3509</v>
      </c>
      <c r="H1203" s="107"/>
      <c r="I1203" s="107"/>
      <c r="L1203" s="148">
        <v>45105</v>
      </c>
      <c r="M1203" s="107">
        <v>1325.7</v>
      </c>
      <c r="N1203" s="107">
        <v>1375.95</v>
      </c>
      <c r="O1203" s="107">
        <v>1315.05</v>
      </c>
      <c r="P1203" s="107">
        <v>1353.9</v>
      </c>
      <c r="Q1203" s="107">
        <v>1325.7</v>
      </c>
      <c r="R1203">
        <v>133949</v>
      </c>
    </row>
    <row r="1204" spans="1:18" x14ac:dyDescent="0.25">
      <c r="A1204" s="148">
        <v>45107</v>
      </c>
      <c r="B1204" s="107">
        <v>1299.1500000000001</v>
      </c>
      <c r="C1204" s="107">
        <v>1248.55</v>
      </c>
      <c r="D1204" s="107">
        <v>1243.55</v>
      </c>
      <c r="E1204" s="107">
        <v>1273</v>
      </c>
      <c r="F1204" s="107">
        <v>1248.55</v>
      </c>
      <c r="G1204">
        <v>1132721</v>
      </c>
      <c r="H1204" s="107"/>
      <c r="I1204" s="107"/>
      <c r="L1204" s="148">
        <v>45107</v>
      </c>
      <c r="M1204" s="107">
        <v>1247.6500000000001</v>
      </c>
      <c r="N1204" s="107">
        <v>1299</v>
      </c>
      <c r="O1204" s="107">
        <v>1244.95</v>
      </c>
      <c r="P1204" s="107">
        <v>1271</v>
      </c>
      <c r="Q1204" s="107">
        <v>1247.6500000000001</v>
      </c>
      <c r="R1204">
        <v>12614257</v>
      </c>
    </row>
    <row r="1205" spans="1:18" x14ac:dyDescent="0.25">
      <c r="A1205" s="148">
        <v>45110</v>
      </c>
      <c r="B1205" s="107">
        <v>1273.25</v>
      </c>
      <c r="C1205" s="107">
        <v>1262</v>
      </c>
      <c r="D1205" s="107">
        <v>1250</v>
      </c>
      <c r="E1205" s="107">
        <v>1255.05</v>
      </c>
      <c r="F1205" s="107">
        <v>1262</v>
      </c>
      <c r="G1205">
        <v>24291</v>
      </c>
      <c r="H1205" s="107"/>
      <c r="I1205" s="107"/>
      <c r="L1205" s="148">
        <v>45110</v>
      </c>
      <c r="M1205" s="107">
        <v>1262.8499999999999</v>
      </c>
      <c r="N1205" s="107">
        <v>1274</v>
      </c>
      <c r="O1205" s="107">
        <v>1250.3499999999999</v>
      </c>
      <c r="P1205" s="107">
        <v>1258</v>
      </c>
      <c r="Q1205" s="107">
        <v>1262.8499999999999</v>
      </c>
      <c r="R1205">
        <v>395439</v>
      </c>
    </row>
    <row r="1206" spans="1:18" x14ac:dyDescent="0.25">
      <c r="A1206" s="148">
        <v>45111</v>
      </c>
      <c r="B1206" s="107">
        <v>1315.15</v>
      </c>
      <c r="C1206" s="107">
        <v>1252.95</v>
      </c>
      <c r="D1206" s="107">
        <v>1248.2</v>
      </c>
      <c r="E1206" s="107">
        <v>1268.55</v>
      </c>
      <c r="F1206" s="107">
        <v>1252.95</v>
      </c>
      <c r="G1206">
        <v>27030</v>
      </c>
      <c r="H1206" s="107"/>
      <c r="I1206" s="107"/>
      <c r="L1206" s="148">
        <v>45111</v>
      </c>
      <c r="M1206" s="107">
        <v>1251.4000000000001</v>
      </c>
      <c r="N1206" s="107">
        <v>1315</v>
      </c>
      <c r="O1206" s="107">
        <v>1248.05</v>
      </c>
      <c r="P1206" s="107">
        <v>1271</v>
      </c>
      <c r="Q1206" s="107">
        <v>1251.4000000000001</v>
      </c>
      <c r="R1206">
        <v>1438384</v>
      </c>
    </row>
    <row r="1207" spans="1:18" x14ac:dyDescent="0.25">
      <c r="A1207" s="148">
        <v>45112</v>
      </c>
      <c r="B1207" s="107">
        <v>1274.75</v>
      </c>
      <c r="C1207" s="107">
        <v>1250.3</v>
      </c>
      <c r="D1207" s="107">
        <v>1240.3499999999999</v>
      </c>
      <c r="E1207" s="107">
        <v>1274.75</v>
      </c>
      <c r="F1207" s="107">
        <v>1250.3</v>
      </c>
      <c r="G1207">
        <v>14232</v>
      </c>
      <c r="H1207" s="107"/>
      <c r="I1207" s="107"/>
      <c r="L1207" s="148">
        <v>45112</v>
      </c>
      <c r="M1207" s="107">
        <v>1249.95</v>
      </c>
      <c r="N1207" s="107">
        <v>1263.75</v>
      </c>
      <c r="O1207" s="107">
        <v>1240.3499999999999</v>
      </c>
      <c r="P1207" s="107">
        <v>1254.95</v>
      </c>
      <c r="Q1207" s="107">
        <v>1249.95</v>
      </c>
      <c r="R1207">
        <v>189628</v>
      </c>
    </row>
    <row r="1208" spans="1:18" x14ac:dyDescent="0.25">
      <c r="A1208" s="148">
        <v>45113</v>
      </c>
      <c r="B1208" s="107">
        <v>1288.45</v>
      </c>
      <c r="C1208" s="107">
        <v>1278.45</v>
      </c>
      <c r="D1208" s="107">
        <v>1251.9000000000001</v>
      </c>
      <c r="E1208" s="107">
        <v>1261.95</v>
      </c>
      <c r="F1208" s="107">
        <v>1278.45</v>
      </c>
      <c r="G1208">
        <v>20134</v>
      </c>
      <c r="H1208" s="107"/>
      <c r="I1208" s="107"/>
      <c r="L1208" s="148">
        <v>45113</v>
      </c>
      <c r="M1208" s="107">
        <v>1279.75</v>
      </c>
      <c r="N1208" s="107">
        <v>1288.95</v>
      </c>
      <c r="O1208" s="107">
        <v>1252.05</v>
      </c>
      <c r="P1208" s="107">
        <v>1252.05</v>
      </c>
      <c r="Q1208" s="107">
        <v>1279.75</v>
      </c>
      <c r="R1208">
        <v>594730</v>
      </c>
    </row>
    <row r="1209" spans="1:18" x14ac:dyDescent="0.25">
      <c r="A1209" s="148">
        <v>45114</v>
      </c>
      <c r="B1209" s="107">
        <v>1297.75</v>
      </c>
      <c r="C1209" s="107">
        <v>1281.8499999999999</v>
      </c>
      <c r="D1209" s="107">
        <v>1265.45</v>
      </c>
      <c r="E1209" s="107">
        <v>1283.5999999999999</v>
      </c>
      <c r="F1209" s="107">
        <v>1281.8499999999999</v>
      </c>
      <c r="G1209">
        <v>18041</v>
      </c>
      <c r="H1209" s="107"/>
      <c r="I1209" s="107"/>
      <c r="L1209" s="148">
        <v>45114</v>
      </c>
      <c r="M1209" s="107">
        <v>1281.8499999999999</v>
      </c>
      <c r="N1209" s="107">
        <v>1297.95</v>
      </c>
      <c r="O1209" s="107">
        <v>1265.0999999999999</v>
      </c>
      <c r="P1209" s="107">
        <v>1280</v>
      </c>
      <c r="Q1209" s="107">
        <v>1281.8499999999999</v>
      </c>
      <c r="R1209">
        <v>348017</v>
      </c>
    </row>
    <row r="1210" spans="1:18" x14ac:dyDescent="0.25">
      <c r="A1210" s="148">
        <v>45117</v>
      </c>
      <c r="B1210" s="107">
        <v>1298</v>
      </c>
      <c r="C1210" s="107">
        <v>1268.8</v>
      </c>
      <c r="D1210" s="107">
        <v>1260.5</v>
      </c>
      <c r="E1210" s="107">
        <v>1265.0999999999999</v>
      </c>
      <c r="F1210" s="107">
        <v>1268.8</v>
      </c>
      <c r="G1210">
        <v>13740</v>
      </c>
      <c r="H1210" s="107"/>
      <c r="I1210" s="107"/>
      <c r="L1210" s="148">
        <v>45117</v>
      </c>
      <c r="M1210" s="107">
        <v>1269.25</v>
      </c>
      <c r="N1210" s="107">
        <v>1299</v>
      </c>
      <c r="O1210" s="107">
        <v>1260</v>
      </c>
      <c r="P1210" s="107">
        <v>1289.95</v>
      </c>
      <c r="Q1210" s="107">
        <v>1269.25</v>
      </c>
      <c r="R1210">
        <v>350817</v>
      </c>
    </row>
    <row r="1211" spans="1:18" x14ac:dyDescent="0.25">
      <c r="A1211" s="148">
        <v>45118</v>
      </c>
      <c r="B1211" s="107">
        <v>1301.1500000000001</v>
      </c>
      <c r="C1211" s="107">
        <v>1288.75</v>
      </c>
      <c r="D1211" s="107">
        <v>1271</v>
      </c>
      <c r="E1211" s="107">
        <v>1289.95</v>
      </c>
      <c r="F1211" s="107">
        <v>1288.75</v>
      </c>
      <c r="G1211">
        <v>13677</v>
      </c>
      <c r="H1211" s="107"/>
      <c r="I1211" s="107"/>
      <c r="L1211" s="148">
        <v>45118</v>
      </c>
      <c r="M1211" s="107">
        <v>1292.2</v>
      </c>
      <c r="N1211" s="107">
        <v>1302.4000000000001</v>
      </c>
      <c r="O1211" s="107">
        <v>1269.5</v>
      </c>
      <c r="P1211" s="107">
        <v>1278.4000000000001</v>
      </c>
      <c r="Q1211" s="107">
        <v>1292.2</v>
      </c>
      <c r="R1211">
        <v>641275</v>
      </c>
    </row>
    <row r="1212" spans="1:18" x14ac:dyDescent="0.25">
      <c r="A1212" s="148">
        <v>45119</v>
      </c>
      <c r="B1212" s="107">
        <v>1306.75</v>
      </c>
      <c r="C1212" s="107">
        <v>1292.25</v>
      </c>
      <c r="D1212" s="107">
        <v>1276.05</v>
      </c>
      <c r="E1212" s="107">
        <v>1290.05</v>
      </c>
      <c r="F1212" s="107">
        <v>1292.25</v>
      </c>
      <c r="G1212">
        <v>3924</v>
      </c>
      <c r="H1212" s="107"/>
      <c r="I1212" s="107"/>
      <c r="L1212" s="148">
        <v>45119</v>
      </c>
      <c r="M1212" s="107">
        <v>1296.05</v>
      </c>
      <c r="N1212" s="107">
        <v>1306.0999999999999</v>
      </c>
      <c r="O1212" s="107">
        <v>1278.7</v>
      </c>
      <c r="P1212" s="107">
        <v>1292</v>
      </c>
      <c r="Q1212" s="107">
        <v>1296.05</v>
      </c>
      <c r="R1212">
        <v>190811</v>
      </c>
    </row>
    <row r="1213" spans="1:18" x14ac:dyDescent="0.25">
      <c r="A1213" s="148">
        <v>45120</v>
      </c>
      <c r="B1213" s="107">
        <v>1301.1500000000001</v>
      </c>
      <c r="C1213" s="107">
        <v>1267.55</v>
      </c>
      <c r="D1213" s="107">
        <v>1260.5999999999999</v>
      </c>
      <c r="E1213" s="107">
        <v>1291.5</v>
      </c>
      <c r="F1213" s="107">
        <v>1267.55</v>
      </c>
      <c r="G1213">
        <v>5710</v>
      </c>
      <c r="H1213" s="107"/>
      <c r="I1213" s="107"/>
      <c r="L1213" s="148">
        <v>45120</v>
      </c>
      <c r="M1213" s="107">
        <v>1265.6500000000001</v>
      </c>
      <c r="N1213" s="107">
        <v>1298.45</v>
      </c>
      <c r="O1213" s="107">
        <v>1260.0999999999999</v>
      </c>
      <c r="P1213" s="107">
        <v>1294.9000000000001</v>
      </c>
      <c r="Q1213" s="107">
        <v>1265.6500000000001</v>
      </c>
      <c r="R1213">
        <v>146324</v>
      </c>
    </row>
    <row r="1214" spans="1:18" x14ac:dyDescent="0.25">
      <c r="A1214" s="148">
        <v>45121</v>
      </c>
      <c r="B1214" s="107">
        <v>1288.75</v>
      </c>
      <c r="C1214" s="107">
        <v>1272.55</v>
      </c>
      <c r="D1214" s="107">
        <v>1264</v>
      </c>
      <c r="E1214" s="107">
        <v>1270</v>
      </c>
      <c r="F1214" s="107">
        <v>1272.55</v>
      </c>
      <c r="G1214">
        <v>7082</v>
      </c>
      <c r="H1214" s="107"/>
      <c r="I1214" s="107"/>
      <c r="L1214" s="148">
        <v>45121</v>
      </c>
      <c r="M1214" s="107">
        <v>1275.7</v>
      </c>
      <c r="N1214" s="107">
        <v>1288.25</v>
      </c>
      <c r="O1214" s="107">
        <v>1263.5999999999999</v>
      </c>
      <c r="P1214" s="107">
        <v>1268.5</v>
      </c>
      <c r="Q1214" s="107">
        <v>1275.7</v>
      </c>
      <c r="R1214">
        <v>109325</v>
      </c>
    </row>
    <row r="1215" spans="1:18" x14ac:dyDescent="0.25">
      <c r="A1215" s="148">
        <v>45124</v>
      </c>
      <c r="B1215" s="107">
        <v>1298.05</v>
      </c>
      <c r="C1215" s="107">
        <v>1291.7</v>
      </c>
      <c r="D1215" s="107">
        <v>1247.0999999999999</v>
      </c>
      <c r="E1215" s="107">
        <v>1247.0999999999999</v>
      </c>
      <c r="F1215" s="107">
        <v>1291.7</v>
      </c>
      <c r="G1215">
        <v>7730</v>
      </c>
      <c r="H1215" s="107"/>
      <c r="I1215" s="107"/>
      <c r="L1215" s="148">
        <v>45124</v>
      </c>
      <c r="M1215" s="107">
        <v>1292.3</v>
      </c>
      <c r="N1215" s="107">
        <v>1299.5</v>
      </c>
      <c r="O1215" s="107">
        <v>1272.05</v>
      </c>
      <c r="P1215" s="107">
        <v>1297.4000000000001</v>
      </c>
      <c r="Q1215" s="107">
        <v>1292.3</v>
      </c>
      <c r="R1215">
        <v>233981</v>
      </c>
    </row>
    <row r="1216" spans="1:18" x14ac:dyDescent="0.25">
      <c r="A1216" s="148">
        <v>45125</v>
      </c>
      <c r="B1216" s="107">
        <v>1339.65</v>
      </c>
      <c r="C1216" s="107">
        <v>1308.8499999999999</v>
      </c>
      <c r="D1216" s="107">
        <v>1281.5</v>
      </c>
      <c r="E1216" s="107">
        <v>1302</v>
      </c>
      <c r="F1216" s="107">
        <v>1308.8499999999999</v>
      </c>
      <c r="G1216">
        <v>14573</v>
      </c>
      <c r="H1216" s="107"/>
      <c r="I1216" s="107"/>
      <c r="L1216" s="148">
        <v>45125</v>
      </c>
      <c r="M1216" s="107">
        <v>1307.05</v>
      </c>
      <c r="N1216" s="107">
        <v>1339.55</v>
      </c>
      <c r="O1216" s="107">
        <v>1280.7</v>
      </c>
      <c r="P1216" s="107">
        <v>1299.8</v>
      </c>
      <c r="Q1216" s="107">
        <v>1307.05</v>
      </c>
      <c r="R1216">
        <v>334698</v>
      </c>
    </row>
    <row r="1217" spans="1:18" x14ac:dyDescent="0.25">
      <c r="A1217" s="148">
        <v>45126</v>
      </c>
      <c r="B1217" s="107">
        <v>1332.55</v>
      </c>
      <c r="C1217" s="107">
        <v>1305.2</v>
      </c>
      <c r="D1217" s="107">
        <v>1285.05</v>
      </c>
      <c r="E1217" s="107">
        <v>1285.05</v>
      </c>
      <c r="F1217" s="107">
        <v>1305.2</v>
      </c>
      <c r="G1217">
        <v>10202</v>
      </c>
      <c r="H1217" s="107"/>
      <c r="I1217" s="107"/>
      <c r="L1217" s="148">
        <v>45126</v>
      </c>
      <c r="M1217" s="107">
        <v>1306.95</v>
      </c>
      <c r="N1217" s="107">
        <v>1334.9</v>
      </c>
      <c r="O1217" s="107">
        <v>1293.25</v>
      </c>
      <c r="P1217" s="107">
        <v>1315.95</v>
      </c>
      <c r="Q1217" s="107">
        <v>1306.95</v>
      </c>
      <c r="R1217">
        <v>330360</v>
      </c>
    </row>
    <row r="1218" spans="1:18" x14ac:dyDescent="0.25">
      <c r="A1218" s="148">
        <v>45127</v>
      </c>
      <c r="B1218" s="107">
        <v>1332.6</v>
      </c>
      <c r="C1218" s="107">
        <v>1316.45</v>
      </c>
      <c r="D1218" s="107">
        <v>1305.25</v>
      </c>
      <c r="E1218" s="107">
        <v>1324.95</v>
      </c>
      <c r="F1218" s="107">
        <v>1316.45</v>
      </c>
      <c r="G1218">
        <v>3896</v>
      </c>
      <c r="H1218" s="107"/>
      <c r="I1218" s="107"/>
      <c r="L1218" s="148">
        <v>45127</v>
      </c>
      <c r="M1218" s="107">
        <v>1315.95</v>
      </c>
      <c r="N1218" s="107">
        <v>1332</v>
      </c>
      <c r="O1218" s="107">
        <v>1302.7</v>
      </c>
      <c r="P1218" s="107">
        <v>1315</v>
      </c>
      <c r="Q1218" s="107">
        <v>1315.95</v>
      </c>
      <c r="R1218">
        <v>249725</v>
      </c>
    </row>
    <row r="1219" spans="1:18" x14ac:dyDescent="0.25">
      <c r="A1219" s="148">
        <v>45128</v>
      </c>
      <c r="B1219" s="107">
        <v>1333.15</v>
      </c>
      <c r="C1219" s="107">
        <v>1311.55</v>
      </c>
      <c r="D1219" s="107">
        <v>1258.25</v>
      </c>
      <c r="E1219" s="107">
        <v>1301.05</v>
      </c>
      <c r="F1219" s="107">
        <v>1311.55</v>
      </c>
      <c r="G1219">
        <v>24302</v>
      </c>
      <c r="H1219" s="107"/>
      <c r="I1219" s="107"/>
      <c r="L1219" s="148">
        <v>45128</v>
      </c>
      <c r="M1219" s="107">
        <v>1313.5</v>
      </c>
      <c r="N1219" s="107">
        <v>1333.65</v>
      </c>
      <c r="O1219" s="107">
        <v>1262</v>
      </c>
      <c r="P1219" s="107">
        <v>1315</v>
      </c>
      <c r="Q1219" s="107">
        <v>1313.5</v>
      </c>
      <c r="R1219">
        <v>428245</v>
      </c>
    </row>
    <row r="1220" spans="1:18" x14ac:dyDescent="0.25">
      <c r="A1220" s="148">
        <v>45131</v>
      </c>
      <c r="B1220" s="107">
        <v>1425.2</v>
      </c>
      <c r="C1220" s="107">
        <v>1372.9</v>
      </c>
      <c r="D1220" s="107">
        <v>1341.05</v>
      </c>
      <c r="E1220" s="107">
        <v>1393.4</v>
      </c>
      <c r="F1220" s="107">
        <v>1372.9</v>
      </c>
      <c r="G1220">
        <v>241133</v>
      </c>
      <c r="H1220" s="107"/>
      <c r="I1220" s="107"/>
      <c r="L1220" s="148">
        <v>45131</v>
      </c>
      <c r="M1220" s="107">
        <v>1373</v>
      </c>
      <c r="N1220" s="107">
        <v>1426.95</v>
      </c>
      <c r="O1220" s="107">
        <v>1340.55</v>
      </c>
      <c r="P1220" s="107">
        <v>1390</v>
      </c>
      <c r="Q1220" s="107">
        <v>1373</v>
      </c>
      <c r="R1220">
        <v>2922017</v>
      </c>
    </row>
    <row r="1221" spans="1:18" x14ac:dyDescent="0.25">
      <c r="A1221" s="148">
        <v>45132</v>
      </c>
      <c r="B1221" s="107">
        <v>1418</v>
      </c>
      <c r="C1221" s="107">
        <v>1371.7</v>
      </c>
      <c r="D1221" s="107">
        <v>1355.95</v>
      </c>
      <c r="E1221" s="107">
        <v>1374.05</v>
      </c>
      <c r="F1221" s="107">
        <v>1371.7</v>
      </c>
      <c r="G1221">
        <v>17427</v>
      </c>
      <c r="H1221" s="107"/>
      <c r="I1221" s="107"/>
      <c r="L1221" s="148">
        <v>45132</v>
      </c>
      <c r="M1221" s="107">
        <v>1369.65</v>
      </c>
      <c r="N1221" s="107">
        <v>1419.75</v>
      </c>
      <c r="O1221" s="107">
        <v>1355.55</v>
      </c>
      <c r="P1221" s="107">
        <v>1407.7</v>
      </c>
      <c r="Q1221" s="107">
        <v>1369.65</v>
      </c>
      <c r="R1221">
        <v>439337</v>
      </c>
    </row>
    <row r="1222" spans="1:18" x14ac:dyDescent="0.25">
      <c r="A1222" s="148">
        <v>45133</v>
      </c>
      <c r="B1222" s="107">
        <v>1432</v>
      </c>
      <c r="C1222" s="107">
        <v>1418.95</v>
      </c>
      <c r="D1222" s="107">
        <v>1371.25</v>
      </c>
      <c r="E1222" s="107">
        <v>1371.25</v>
      </c>
      <c r="F1222" s="107">
        <v>1418.95</v>
      </c>
      <c r="G1222">
        <v>39960</v>
      </c>
      <c r="H1222" s="107"/>
      <c r="I1222" s="107"/>
      <c r="L1222" s="148">
        <v>45133</v>
      </c>
      <c r="M1222" s="107">
        <v>1417.95</v>
      </c>
      <c r="N1222" s="107">
        <v>1433</v>
      </c>
      <c r="O1222" s="107">
        <v>1376</v>
      </c>
      <c r="P1222" s="107">
        <v>1379.5</v>
      </c>
      <c r="Q1222" s="107">
        <v>1417.95</v>
      </c>
      <c r="R1222">
        <v>1175944</v>
      </c>
    </row>
    <row r="1223" spans="1:18" x14ac:dyDescent="0.25">
      <c r="A1223" s="148">
        <v>45134</v>
      </c>
      <c r="B1223" s="107">
        <v>1420.6</v>
      </c>
      <c r="C1223" s="107">
        <v>1369.1</v>
      </c>
      <c r="D1223" s="107">
        <v>1362.65</v>
      </c>
      <c r="E1223" s="107">
        <v>1409.05</v>
      </c>
      <c r="F1223" s="107">
        <v>1369.1</v>
      </c>
      <c r="G1223">
        <v>20052</v>
      </c>
      <c r="H1223" s="107"/>
      <c r="I1223" s="107"/>
      <c r="L1223" s="148">
        <v>45134</v>
      </c>
      <c r="M1223" s="107">
        <v>1370.15</v>
      </c>
      <c r="N1223" s="107">
        <v>1423.05</v>
      </c>
      <c r="O1223" s="107">
        <v>1362</v>
      </c>
      <c r="P1223" s="107">
        <v>1417</v>
      </c>
      <c r="Q1223" s="107">
        <v>1370.15</v>
      </c>
      <c r="R1223">
        <v>298175</v>
      </c>
    </row>
    <row r="1224" spans="1:18" x14ac:dyDescent="0.25">
      <c r="A1224" s="148">
        <v>45135</v>
      </c>
      <c r="B1224" s="107">
        <v>1409.55</v>
      </c>
      <c r="C1224" s="107">
        <v>1399.35</v>
      </c>
      <c r="D1224" s="107">
        <v>1365.65</v>
      </c>
      <c r="E1224" s="107">
        <v>1370</v>
      </c>
      <c r="F1224" s="107">
        <v>1399.35</v>
      </c>
      <c r="G1224">
        <v>16464</v>
      </c>
      <c r="H1224" s="107"/>
      <c r="I1224" s="107"/>
      <c r="L1224" s="148">
        <v>45135</v>
      </c>
      <c r="M1224" s="107">
        <v>1397.5</v>
      </c>
      <c r="N1224" s="107">
        <v>1409.5</v>
      </c>
      <c r="O1224" s="107">
        <v>1365.1</v>
      </c>
      <c r="P1224" s="107">
        <v>1376.2</v>
      </c>
      <c r="Q1224" s="107">
        <v>1397.5</v>
      </c>
      <c r="R1224">
        <v>648626</v>
      </c>
    </row>
    <row r="1225" spans="1:18" x14ac:dyDescent="0.25">
      <c r="A1225" s="148">
        <v>45138</v>
      </c>
      <c r="B1225" s="107">
        <v>1472.1</v>
      </c>
      <c r="C1225" s="107">
        <v>1459.6</v>
      </c>
      <c r="D1225" s="107">
        <v>1416.55</v>
      </c>
      <c r="E1225" s="107">
        <v>1427.15</v>
      </c>
      <c r="F1225" s="107">
        <v>1459.6</v>
      </c>
      <c r="G1225">
        <v>22982</v>
      </c>
      <c r="H1225" s="107"/>
      <c r="I1225" s="107"/>
      <c r="L1225" s="148">
        <v>45138</v>
      </c>
      <c r="M1225" s="107">
        <v>1456.25</v>
      </c>
      <c r="N1225" s="107">
        <v>1471.4</v>
      </c>
      <c r="O1225" s="107">
        <v>1414.4</v>
      </c>
      <c r="P1225" s="107">
        <v>1435</v>
      </c>
      <c r="Q1225" s="107">
        <v>1456.25</v>
      </c>
      <c r="R1225">
        <v>515953</v>
      </c>
    </row>
    <row r="1226" spans="1:18" x14ac:dyDescent="0.25">
      <c r="A1226" s="148">
        <v>45139</v>
      </c>
      <c r="B1226" s="107">
        <v>1502.3</v>
      </c>
      <c r="C1226" s="107">
        <v>1484.45</v>
      </c>
      <c r="D1226" s="107">
        <v>1459</v>
      </c>
      <c r="E1226" s="107">
        <v>1465.9</v>
      </c>
      <c r="F1226" s="107">
        <v>1484.45</v>
      </c>
      <c r="G1226">
        <v>20231</v>
      </c>
      <c r="H1226" s="107"/>
      <c r="I1226" s="107"/>
      <c r="L1226" s="148">
        <v>45139</v>
      </c>
      <c r="M1226" s="107">
        <v>1482.45</v>
      </c>
      <c r="N1226" s="107">
        <v>1502</v>
      </c>
      <c r="O1226" s="107">
        <v>1453.65</v>
      </c>
      <c r="P1226" s="107">
        <v>1460</v>
      </c>
      <c r="Q1226" s="107">
        <v>1482.45</v>
      </c>
      <c r="R1226">
        <v>637425</v>
      </c>
    </row>
    <row r="1227" spans="1:18" x14ac:dyDescent="0.25">
      <c r="A1227" s="148">
        <v>45140</v>
      </c>
      <c r="B1227" s="107">
        <v>1489.1</v>
      </c>
      <c r="C1227" s="107">
        <v>1458.3</v>
      </c>
      <c r="D1227" s="107">
        <v>1416.55</v>
      </c>
      <c r="E1227" s="107">
        <v>1482.45</v>
      </c>
      <c r="F1227" s="107">
        <v>1458.3</v>
      </c>
      <c r="G1227">
        <v>17519</v>
      </c>
      <c r="H1227" s="107"/>
      <c r="I1227" s="107"/>
      <c r="L1227" s="148">
        <v>45140</v>
      </c>
      <c r="M1227" s="107">
        <v>1458.2</v>
      </c>
      <c r="N1227" s="107">
        <v>1489.4</v>
      </c>
      <c r="O1227" s="107">
        <v>1416.1</v>
      </c>
      <c r="P1227" s="107">
        <v>1483</v>
      </c>
      <c r="Q1227" s="107">
        <v>1458.2</v>
      </c>
      <c r="R1227">
        <v>341042</v>
      </c>
    </row>
    <row r="1228" spans="1:18" x14ac:dyDescent="0.25">
      <c r="A1228" s="148">
        <v>45141</v>
      </c>
      <c r="B1228" s="107">
        <v>1467.9</v>
      </c>
      <c r="C1228" s="107">
        <v>1457.85</v>
      </c>
      <c r="D1228" s="107">
        <v>1429.75</v>
      </c>
      <c r="E1228" s="107">
        <v>1450</v>
      </c>
      <c r="F1228" s="107">
        <v>1457.85</v>
      </c>
      <c r="G1228">
        <v>10203</v>
      </c>
      <c r="H1228" s="107"/>
      <c r="I1228" s="107"/>
      <c r="L1228" s="148">
        <v>45141</v>
      </c>
      <c r="M1228" s="107">
        <v>1459.9</v>
      </c>
      <c r="N1228" s="107">
        <v>1471.3</v>
      </c>
      <c r="O1228" s="107">
        <v>1439.05</v>
      </c>
      <c r="P1228" s="107">
        <v>1454.95</v>
      </c>
      <c r="Q1228" s="107">
        <v>1459.9</v>
      </c>
      <c r="R1228">
        <v>175603</v>
      </c>
    </row>
    <row r="1229" spans="1:18" x14ac:dyDescent="0.25">
      <c r="A1229" s="148">
        <v>45142</v>
      </c>
      <c r="B1229" s="107">
        <v>1478.95</v>
      </c>
      <c r="C1229" s="107">
        <v>1453</v>
      </c>
      <c r="D1229" s="107">
        <v>1442.05</v>
      </c>
      <c r="E1229" s="107">
        <v>1478.95</v>
      </c>
      <c r="F1229" s="107">
        <v>1453</v>
      </c>
      <c r="G1229">
        <v>4422</v>
      </c>
      <c r="H1229" s="107"/>
      <c r="I1229" s="107"/>
      <c r="L1229" s="148">
        <v>45142</v>
      </c>
      <c r="M1229" s="107">
        <v>1452.3</v>
      </c>
      <c r="N1229" s="107">
        <v>1471.3</v>
      </c>
      <c r="O1229" s="107">
        <v>1442.3</v>
      </c>
      <c r="P1229" s="107">
        <v>1460</v>
      </c>
      <c r="Q1229" s="107">
        <v>1452.3</v>
      </c>
      <c r="R1229">
        <v>84768</v>
      </c>
    </row>
    <row r="1230" spans="1:18" x14ac:dyDescent="0.25">
      <c r="A1230" s="148">
        <v>45145</v>
      </c>
      <c r="B1230" s="107">
        <v>1490</v>
      </c>
      <c r="C1230" s="107">
        <v>1460.05</v>
      </c>
      <c r="D1230" s="107">
        <v>1453</v>
      </c>
      <c r="E1230" s="107">
        <v>1455</v>
      </c>
      <c r="F1230" s="107">
        <v>1460.05</v>
      </c>
      <c r="G1230">
        <v>11075</v>
      </c>
      <c r="H1230" s="107"/>
      <c r="I1230" s="107"/>
      <c r="L1230" s="148">
        <v>45145</v>
      </c>
      <c r="M1230" s="107">
        <v>1462.25</v>
      </c>
      <c r="N1230" s="107">
        <v>1490</v>
      </c>
      <c r="O1230" s="107">
        <v>1451.6</v>
      </c>
      <c r="P1230" s="107">
        <v>1470.5</v>
      </c>
      <c r="Q1230" s="107">
        <v>1462.25</v>
      </c>
      <c r="R1230">
        <v>152194</v>
      </c>
    </row>
    <row r="1231" spans="1:18" x14ac:dyDescent="0.25">
      <c r="A1231" s="148">
        <v>45146</v>
      </c>
      <c r="B1231" s="107">
        <v>1465</v>
      </c>
      <c r="C1231" s="107">
        <v>1448.55</v>
      </c>
      <c r="D1231" s="107">
        <v>1441.75</v>
      </c>
      <c r="E1231" s="107">
        <v>1465</v>
      </c>
      <c r="F1231" s="107">
        <v>1448.55</v>
      </c>
      <c r="G1231">
        <v>2376</v>
      </c>
      <c r="H1231" s="107"/>
      <c r="I1231" s="107"/>
      <c r="L1231" s="148">
        <v>45146</v>
      </c>
      <c r="M1231" s="107">
        <v>1449.5</v>
      </c>
      <c r="N1231" s="107">
        <v>1465.1</v>
      </c>
      <c r="O1231" s="107">
        <v>1440.05</v>
      </c>
      <c r="P1231" s="107">
        <v>1462</v>
      </c>
      <c r="Q1231" s="107">
        <v>1449.5</v>
      </c>
      <c r="R1231">
        <v>79457</v>
      </c>
    </row>
    <row r="1232" spans="1:18" x14ac:dyDescent="0.25">
      <c r="A1232" s="148">
        <v>45147</v>
      </c>
      <c r="B1232" s="107">
        <v>1451</v>
      </c>
      <c r="C1232" s="107">
        <v>1446</v>
      </c>
      <c r="D1232" s="107">
        <v>1426.95</v>
      </c>
      <c r="E1232" s="107">
        <v>1451</v>
      </c>
      <c r="F1232" s="107">
        <v>1446</v>
      </c>
      <c r="G1232">
        <v>2381</v>
      </c>
      <c r="H1232" s="107"/>
      <c r="I1232" s="107"/>
      <c r="L1232" s="148">
        <v>45147</v>
      </c>
      <c r="M1232" s="107">
        <v>1447.05</v>
      </c>
      <c r="N1232" s="107">
        <v>1451.75</v>
      </c>
      <c r="O1232" s="107">
        <v>1426.9</v>
      </c>
      <c r="P1232" s="107">
        <v>1449.1</v>
      </c>
      <c r="Q1232" s="107">
        <v>1447.05</v>
      </c>
      <c r="R1232">
        <v>62600</v>
      </c>
    </row>
    <row r="1233" spans="1:18" x14ac:dyDescent="0.25">
      <c r="A1233" s="148">
        <v>45148</v>
      </c>
      <c r="B1233" s="107">
        <v>1444.3</v>
      </c>
      <c r="C1233" s="107">
        <v>1398.1</v>
      </c>
      <c r="D1233" s="107">
        <v>1388.45</v>
      </c>
      <c r="E1233" s="107">
        <v>1440</v>
      </c>
      <c r="F1233" s="107">
        <v>1398.1</v>
      </c>
      <c r="G1233">
        <v>10598</v>
      </c>
      <c r="H1233" s="107"/>
      <c r="I1233" s="107"/>
      <c r="L1233" s="148">
        <v>45148</v>
      </c>
      <c r="M1233" s="107">
        <v>1398.9</v>
      </c>
      <c r="N1233" s="107">
        <v>1446.95</v>
      </c>
      <c r="O1233" s="107">
        <v>1388</v>
      </c>
      <c r="P1233" s="107">
        <v>1430</v>
      </c>
      <c r="Q1233" s="107">
        <v>1398.9</v>
      </c>
      <c r="R1233">
        <v>344688</v>
      </c>
    </row>
    <row r="1234" spans="1:18" x14ac:dyDescent="0.25">
      <c r="A1234" s="148">
        <v>45149</v>
      </c>
      <c r="B1234" s="107">
        <v>1420.15</v>
      </c>
      <c r="C1234" s="107">
        <v>1396.45</v>
      </c>
      <c r="D1234" s="107">
        <v>1381.25</v>
      </c>
      <c r="E1234" s="107">
        <v>1410.45</v>
      </c>
      <c r="F1234" s="107">
        <v>1396.45</v>
      </c>
      <c r="G1234">
        <v>4146</v>
      </c>
      <c r="H1234" s="107"/>
      <c r="I1234" s="107"/>
      <c r="L1234" s="148">
        <v>45149</v>
      </c>
      <c r="M1234" s="107">
        <v>1397.55</v>
      </c>
      <c r="N1234" s="107">
        <v>1419.95</v>
      </c>
      <c r="O1234" s="107">
        <v>1380</v>
      </c>
      <c r="P1234" s="107">
        <v>1415</v>
      </c>
      <c r="Q1234" s="107">
        <v>1397.55</v>
      </c>
      <c r="R1234">
        <v>111796</v>
      </c>
    </row>
    <row r="1235" spans="1:18" x14ac:dyDescent="0.25">
      <c r="A1235" s="148">
        <v>45152</v>
      </c>
      <c r="B1235" s="107">
        <v>1405</v>
      </c>
      <c r="C1235" s="107">
        <v>1390.45</v>
      </c>
      <c r="D1235" s="107">
        <v>1379.3</v>
      </c>
      <c r="E1235" s="107">
        <v>1380.05</v>
      </c>
      <c r="F1235" s="107">
        <v>1390.45</v>
      </c>
      <c r="G1235">
        <v>10958</v>
      </c>
      <c r="H1235" s="107"/>
      <c r="I1235" s="107"/>
      <c r="L1235" s="148">
        <v>45152</v>
      </c>
      <c r="M1235" s="107">
        <v>1388.15</v>
      </c>
      <c r="N1235" s="107">
        <v>1405.55</v>
      </c>
      <c r="O1235" s="107">
        <v>1376.1</v>
      </c>
      <c r="P1235" s="107">
        <v>1399.95</v>
      </c>
      <c r="Q1235" s="107">
        <v>1388.15</v>
      </c>
      <c r="R1235">
        <v>113784</v>
      </c>
    </row>
    <row r="1236" spans="1:18" x14ac:dyDescent="0.25">
      <c r="A1236" s="148">
        <v>45154</v>
      </c>
      <c r="B1236" s="107">
        <v>1401</v>
      </c>
      <c r="C1236" s="107">
        <v>1397.25</v>
      </c>
      <c r="D1236" s="107">
        <v>1380.05</v>
      </c>
      <c r="E1236" s="107">
        <v>1380.05</v>
      </c>
      <c r="F1236" s="107">
        <v>1397.25</v>
      </c>
      <c r="G1236">
        <v>4521</v>
      </c>
      <c r="H1236" s="107"/>
      <c r="I1236" s="107"/>
      <c r="L1236" s="148">
        <v>45154</v>
      </c>
      <c r="M1236" s="107">
        <v>1398.1</v>
      </c>
      <c r="N1236" s="107">
        <v>1400</v>
      </c>
      <c r="O1236" s="107">
        <v>1382.2</v>
      </c>
      <c r="P1236" s="107">
        <v>1388</v>
      </c>
      <c r="Q1236" s="107">
        <v>1398.1</v>
      </c>
      <c r="R1236">
        <v>52458</v>
      </c>
    </row>
    <row r="1237" spans="1:18" x14ac:dyDescent="0.25">
      <c r="A1237" s="148">
        <v>45155</v>
      </c>
      <c r="B1237" s="107">
        <v>1442.4</v>
      </c>
      <c r="C1237" s="107">
        <v>1403.9</v>
      </c>
      <c r="D1237" s="107">
        <v>1399.95</v>
      </c>
      <c r="E1237" s="107">
        <v>1400</v>
      </c>
      <c r="F1237" s="107">
        <v>1403.9</v>
      </c>
      <c r="G1237">
        <v>4713</v>
      </c>
      <c r="H1237" s="107"/>
      <c r="I1237" s="107"/>
      <c r="L1237" s="148">
        <v>45155</v>
      </c>
      <c r="M1237" s="107">
        <v>1404.9</v>
      </c>
      <c r="N1237" s="107">
        <v>1445.45</v>
      </c>
      <c r="O1237" s="107">
        <v>1399</v>
      </c>
      <c r="P1237" s="107">
        <v>1399</v>
      </c>
      <c r="Q1237" s="107">
        <v>1404.9</v>
      </c>
      <c r="R1237">
        <v>153622</v>
      </c>
    </row>
    <row r="1238" spans="1:18" x14ac:dyDescent="0.25">
      <c r="A1238" s="148">
        <v>45156</v>
      </c>
      <c r="B1238" s="107">
        <v>1410.85</v>
      </c>
      <c r="C1238" s="107">
        <v>1369.05</v>
      </c>
      <c r="D1238" s="107">
        <v>1365.05</v>
      </c>
      <c r="E1238" s="107">
        <v>1402.85</v>
      </c>
      <c r="F1238" s="107">
        <v>1369.05</v>
      </c>
      <c r="G1238">
        <v>3878</v>
      </c>
      <c r="H1238" s="107"/>
      <c r="I1238" s="107"/>
      <c r="L1238" s="148">
        <v>45156</v>
      </c>
      <c r="M1238" s="107">
        <v>1368.45</v>
      </c>
      <c r="N1238" s="107">
        <v>1413.45</v>
      </c>
      <c r="O1238" s="107">
        <v>1365.55</v>
      </c>
      <c r="P1238" s="107">
        <v>1405</v>
      </c>
      <c r="Q1238" s="107">
        <v>1368.45</v>
      </c>
      <c r="R1238">
        <v>98849</v>
      </c>
    </row>
    <row r="1239" spans="1:18" x14ac:dyDescent="0.25">
      <c r="A1239" s="148">
        <v>45159</v>
      </c>
      <c r="B1239" s="107">
        <v>1400</v>
      </c>
      <c r="C1239" s="107">
        <v>1396.6</v>
      </c>
      <c r="D1239" s="107">
        <v>1370.05</v>
      </c>
      <c r="E1239" s="107">
        <v>1370.05</v>
      </c>
      <c r="F1239" s="107">
        <v>1396.6</v>
      </c>
      <c r="G1239">
        <v>6081</v>
      </c>
      <c r="H1239" s="107"/>
      <c r="I1239" s="107"/>
      <c r="L1239" s="148">
        <v>45159</v>
      </c>
      <c r="M1239" s="107">
        <v>1399.05</v>
      </c>
      <c r="N1239" s="107">
        <v>1400</v>
      </c>
      <c r="O1239" s="107">
        <v>1369</v>
      </c>
      <c r="P1239" s="107">
        <v>1372.95</v>
      </c>
      <c r="Q1239" s="107">
        <v>1399.05</v>
      </c>
      <c r="R1239">
        <v>71068</v>
      </c>
    </row>
    <row r="1240" spans="1:18" x14ac:dyDescent="0.25">
      <c r="A1240" s="148">
        <v>45160</v>
      </c>
      <c r="B1240" s="107">
        <v>1416.55</v>
      </c>
      <c r="C1240" s="107">
        <v>1394.3</v>
      </c>
      <c r="D1240" s="107">
        <v>1381.95</v>
      </c>
      <c r="E1240" s="107">
        <v>1409.95</v>
      </c>
      <c r="F1240" s="107">
        <v>1394.3</v>
      </c>
      <c r="G1240">
        <v>6412</v>
      </c>
      <c r="H1240" s="107"/>
      <c r="I1240" s="107"/>
      <c r="L1240" s="148">
        <v>45160</v>
      </c>
      <c r="M1240" s="107">
        <v>1396</v>
      </c>
      <c r="N1240" s="107">
        <v>1414.9</v>
      </c>
      <c r="O1240" s="107">
        <v>1382.3</v>
      </c>
      <c r="P1240" s="107">
        <v>1410</v>
      </c>
      <c r="Q1240" s="107">
        <v>1396</v>
      </c>
      <c r="R1240">
        <v>98039</v>
      </c>
    </row>
    <row r="1241" spans="1:18" x14ac:dyDescent="0.25">
      <c r="A1241" s="148">
        <v>45161</v>
      </c>
      <c r="B1241" s="107">
        <v>1401.35</v>
      </c>
      <c r="C1241" s="107">
        <v>1373.8</v>
      </c>
      <c r="D1241" s="107">
        <v>1370</v>
      </c>
      <c r="E1241" s="107">
        <v>1398.6</v>
      </c>
      <c r="F1241" s="107">
        <v>1373.8</v>
      </c>
      <c r="G1241">
        <v>2662</v>
      </c>
      <c r="H1241" s="107"/>
      <c r="I1241" s="107"/>
      <c r="L1241" s="148">
        <v>45161</v>
      </c>
      <c r="M1241" s="107">
        <v>1372.75</v>
      </c>
      <c r="N1241" s="107">
        <v>1410</v>
      </c>
      <c r="O1241" s="107">
        <v>1370</v>
      </c>
      <c r="P1241" s="107">
        <v>1410</v>
      </c>
      <c r="Q1241" s="107">
        <v>1372.75</v>
      </c>
      <c r="R1241">
        <v>78587</v>
      </c>
    </row>
    <row r="1242" spans="1:18" x14ac:dyDescent="0.25">
      <c r="A1242" s="148">
        <v>45162</v>
      </c>
      <c r="B1242" s="107">
        <v>1410.45</v>
      </c>
      <c r="C1242" s="107">
        <v>1395.55</v>
      </c>
      <c r="D1242" s="107">
        <v>1362.05</v>
      </c>
      <c r="E1242" s="107">
        <v>1362.05</v>
      </c>
      <c r="F1242" s="107">
        <v>1395.55</v>
      </c>
      <c r="G1242">
        <v>10405</v>
      </c>
      <c r="H1242" s="107"/>
      <c r="I1242" s="107"/>
      <c r="L1242" s="148">
        <v>45162</v>
      </c>
      <c r="M1242" s="107">
        <v>1397.85</v>
      </c>
      <c r="N1242" s="107">
        <v>1411</v>
      </c>
      <c r="O1242" s="107">
        <v>1374.95</v>
      </c>
      <c r="P1242" s="107">
        <v>1374.95</v>
      </c>
      <c r="Q1242" s="107">
        <v>1397.85</v>
      </c>
      <c r="R1242">
        <v>387601</v>
      </c>
    </row>
    <row r="1243" spans="1:18" x14ac:dyDescent="0.25">
      <c r="A1243" s="148">
        <v>45163</v>
      </c>
      <c r="B1243" s="107">
        <v>1438</v>
      </c>
      <c r="C1243" s="107">
        <v>1415.8</v>
      </c>
      <c r="D1243" s="107">
        <v>1382.6</v>
      </c>
      <c r="E1243" s="107">
        <v>1382.6</v>
      </c>
      <c r="F1243" s="107">
        <v>1415.8</v>
      </c>
      <c r="G1243">
        <v>4758</v>
      </c>
      <c r="H1243" s="107"/>
      <c r="I1243" s="107"/>
      <c r="L1243" s="148">
        <v>45163</v>
      </c>
      <c r="M1243" s="107">
        <v>1410.3</v>
      </c>
      <c r="N1243" s="107">
        <v>1439</v>
      </c>
      <c r="O1243" s="107">
        <v>1385.1</v>
      </c>
      <c r="P1243" s="107">
        <v>1405</v>
      </c>
      <c r="Q1243" s="107">
        <v>1410.3</v>
      </c>
      <c r="R1243">
        <v>151455</v>
      </c>
    </row>
    <row r="1244" spans="1:18" x14ac:dyDescent="0.25">
      <c r="A1244" s="148">
        <v>45166</v>
      </c>
      <c r="B1244" s="107">
        <v>1419.6</v>
      </c>
      <c r="C1244" s="107">
        <v>1408.95</v>
      </c>
      <c r="D1244" s="107">
        <v>1396.8</v>
      </c>
      <c r="E1244" s="107">
        <v>1413.95</v>
      </c>
      <c r="F1244" s="107">
        <v>1408.95</v>
      </c>
      <c r="G1244">
        <v>5016</v>
      </c>
      <c r="H1244" s="107"/>
      <c r="I1244" s="107"/>
      <c r="L1244" s="148">
        <v>45166</v>
      </c>
      <c r="M1244" s="107">
        <v>1409.05</v>
      </c>
      <c r="N1244" s="107">
        <v>1423.95</v>
      </c>
      <c r="O1244" s="107">
        <v>1397.75</v>
      </c>
      <c r="P1244" s="107">
        <v>1410</v>
      </c>
      <c r="Q1244" s="107">
        <v>1409.05</v>
      </c>
      <c r="R1244">
        <v>144091</v>
      </c>
    </row>
    <row r="1245" spans="1:18" x14ac:dyDescent="0.25">
      <c r="A1245" s="148">
        <v>45167</v>
      </c>
      <c r="B1245" s="107">
        <v>1421.05</v>
      </c>
      <c r="C1245" s="107">
        <v>1394.7</v>
      </c>
      <c r="D1245" s="107">
        <v>1390</v>
      </c>
      <c r="E1245" s="107">
        <v>1410.55</v>
      </c>
      <c r="F1245" s="107">
        <v>1394.7</v>
      </c>
      <c r="G1245">
        <v>3213</v>
      </c>
      <c r="H1245" s="107"/>
      <c r="I1245" s="107"/>
      <c r="L1245" s="148">
        <v>45167</v>
      </c>
      <c r="M1245" s="107">
        <v>1393.1</v>
      </c>
      <c r="N1245" s="107">
        <v>1423</v>
      </c>
      <c r="O1245" s="107">
        <v>1388.45</v>
      </c>
      <c r="P1245" s="107">
        <v>1416.5</v>
      </c>
      <c r="Q1245" s="107">
        <v>1393.1</v>
      </c>
      <c r="R1245">
        <v>50968</v>
      </c>
    </row>
    <row r="1246" spans="1:18" x14ac:dyDescent="0.25">
      <c r="A1246" s="148">
        <v>45168</v>
      </c>
      <c r="B1246" s="107">
        <v>1406.85</v>
      </c>
      <c r="C1246" s="107">
        <v>1394.55</v>
      </c>
      <c r="D1246" s="107">
        <v>1379.95</v>
      </c>
      <c r="E1246" s="107">
        <v>1386.55</v>
      </c>
      <c r="F1246" s="107">
        <v>1394.55</v>
      </c>
      <c r="G1246">
        <v>7069</v>
      </c>
      <c r="H1246" s="107"/>
      <c r="I1246" s="107"/>
      <c r="L1246" s="148">
        <v>45168</v>
      </c>
      <c r="M1246" s="107">
        <v>1394.25</v>
      </c>
      <c r="N1246" s="107">
        <v>1403</v>
      </c>
      <c r="O1246" s="107">
        <v>1378.05</v>
      </c>
      <c r="P1246" s="107">
        <v>1398.1</v>
      </c>
      <c r="Q1246" s="107">
        <v>1394.25</v>
      </c>
      <c r="R1246">
        <v>164876</v>
      </c>
    </row>
    <row r="1247" spans="1:18" x14ac:dyDescent="0.25">
      <c r="A1247" s="148">
        <v>45169</v>
      </c>
      <c r="B1247" s="107">
        <v>1428</v>
      </c>
      <c r="C1247" s="107">
        <v>1414.1</v>
      </c>
      <c r="D1247" s="107">
        <v>1385</v>
      </c>
      <c r="E1247" s="107">
        <v>1385.05</v>
      </c>
      <c r="F1247" s="107">
        <v>1414.1</v>
      </c>
      <c r="G1247">
        <v>10821</v>
      </c>
      <c r="H1247" s="107"/>
      <c r="I1247" s="107"/>
      <c r="L1247" s="148">
        <v>45169</v>
      </c>
      <c r="M1247" s="107">
        <v>1415.55</v>
      </c>
      <c r="N1247" s="107">
        <v>1430</v>
      </c>
      <c r="O1247" s="107">
        <v>1385</v>
      </c>
      <c r="P1247" s="107">
        <v>1396.05</v>
      </c>
      <c r="Q1247" s="107">
        <v>1415.55</v>
      </c>
      <c r="R1247">
        <v>213238</v>
      </c>
    </row>
    <row r="1248" spans="1:18" x14ac:dyDescent="0.25">
      <c r="A1248" s="148">
        <v>45170</v>
      </c>
      <c r="B1248" s="107">
        <v>1429.95</v>
      </c>
      <c r="C1248" s="107">
        <v>1407.8</v>
      </c>
      <c r="D1248" s="107">
        <v>1393.95</v>
      </c>
      <c r="E1248" s="107">
        <v>1429.95</v>
      </c>
      <c r="F1248" s="107">
        <v>1407.8</v>
      </c>
      <c r="G1248">
        <v>2872</v>
      </c>
      <c r="H1248" s="107"/>
      <c r="I1248" s="107"/>
      <c r="L1248" s="148">
        <v>45170</v>
      </c>
      <c r="M1248" s="107">
        <v>1409.2</v>
      </c>
      <c r="N1248" s="107">
        <v>1424.85</v>
      </c>
      <c r="O1248" s="107">
        <v>1395.3</v>
      </c>
      <c r="P1248" s="107">
        <v>1420</v>
      </c>
      <c r="Q1248" s="107">
        <v>1409.2</v>
      </c>
      <c r="R1248">
        <v>138366</v>
      </c>
    </row>
    <row r="1249" spans="1:18" x14ac:dyDescent="0.25">
      <c r="A1249" s="148">
        <v>45173</v>
      </c>
      <c r="B1249" s="107">
        <v>1474.15</v>
      </c>
      <c r="C1249" s="107">
        <v>1463.25</v>
      </c>
      <c r="D1249" s="107">
        <v>1418.85</v>
      </c>
      <c r="E1249" s="107">
        <v>1419.95</v>
      </c>
      <c r="F1249" s="107">
        <v>1463.25</v>
      </c>
      <c r="G1249">
        <v>14866</v>
      </c>
      <c r="H1249" s="107"/>
      <c r="I1249" s="107"/>
      <c r="L1249" s="148">
        <v>45173</v>
      </c>
      <c r="M1249" s="107">
        <v>1458.3</v>
      </c>
      <c r="N1249" s="107">
        <v>1470</v>
      </c>
      <c r="O1249" s="107">
        <v>1411.25</v>
      </c>
      <c r="P1249" s="107">
        <v>1424.95</v>
      </c>
      <c r="Q1249" s="107">
        <v>1458.3</v>
      </c>
      <c r="R1249">
        <v>367737</v>
      </c>
    </row>
    <row r="1250" spans="1:18" x14ac:dyDescent="0.25">
      <c r="A1250" s="148">
        <v>45174</v>
      </c>
      <c r="B1250" s="107">
        <v>1475.05</v>
      </c>
      <c r="C1250" s="107">
        <v>1451.1</v>
      </c>
      <c r="D1250" s="107">
        <v>1428.1</v>
      </c>
      <c r="E1250" s="107">
        <v>1469.2</v>
      </c>
      <c r="F1250" s="107">
        <v>1451.1</v>
      </c>
      <c r="G1250">
        <v>11636</v>
      </c>
      <c r="H1250" s="107"/>
      <c r="I1250" s="107"/>
      <c r="L1250" s="148">
        <v>45174</v>
      </c>
      <c r="M1250" s="107">
        <v>1449.8</v>
      </c>
      <c r="N1250" s="107">
        <v>1478</v>
      </c>
      <c r="O1250" s="107">
        <v>1428.05</v>
      </c>
      <c r="P1250" s="107">
        <v>1476</v>
      </c>
      <c r="Q1250" s="107">
        <v>1449.8</v>
      </c>
      <c r="R1250">
        <v>353999</v>
      </c>
    </row>
    <row r="1251" spans="1:18" x14ac:dyDescent="0.25">
      <c r="A1251" s="148">
        <v>45175</v>
      </c>
      <c r="B1251" s="107">
        <v>1477.95</v>
      </c>
      <c r="C1251" s="107">
        <v>1463.25</v>
      </c>
      <c r="D1251" s="107">
        <v>1453.35</v>
      </c>
      <c r="E1251" s="107">
        <v>1458.95</v>
      </c>
      <c r="F1251" s="107">
        <v>1463.25</v>
      </c>
      <c r="G1251">
        <v>12547</v>
      </c>
      <c r="H1251" s="107"/>
      <c r="I1251" s="107"/>
      <c r="L1251" s="148">
        <v>45175</v>
      </c>
      <c r="M1251" s="107">
        <v>1460.7</v>
      </c>
      <c r="N1251" s="107">
        <v>1479.9</v>
      </c>
      <c r="O1251" s="107">
        <v>1449.8</v>
      </c>
      <c r="P1251" s="107">
        <v>1450</v>
      </c>
      <c r="Q1251" s="107">
        <v>1460.7</v>
      </c>
      <c r="R1251">
        <v>483373</v>
      </c>
    </row>
    <row r="1252" spans="1:18" x14ac:dyDescent="0.25">
      <c r="A1252" s="148">
        <v>45176</v>
      </c>
      <c r="B1252" s="107">
        <v>1476.95</v>
      </c>
      <c r="C1252" s="107">
        <v>1442.4</v>
      </c>
      <c r="D1252" s="107">
        <v>1430</v>
      </c>
      <c r="E1252" s="107">
        <v>1476.95</v>
      </c>
      <c r="F1252" s="107">
        <v>1442.4</v>
      </c>
      <c r="G1252">
        <v>11260</v>
      </c>
      <c r="H1252" s="107"/>
      <c r="I1252" s="107"/>
      <c r="L1252" s="148">
        <v>45176</v>
      </c>
      <c r="M1252" s="107">
        <v>1442.15</v>
      </c>
      <c r="N1252" s="107">
        <v>1477.85</v>
      </c>
      <c r="O1252" s="107">
        <v>1429.3</v>
      </c>
      <c r="P1252" s="107">
        <v>1473.7</v>
      </c>
      <c r="Q1252" s="107">
        <v>1442.15</v>
      </c>
      <c r="R1252">
        <v>187458</v>
      </c>
    </row>
    <row r="1253" spans="1:18" x14ac:dyDescent="0.25">
      <c r="A1253" s="148">
        <v>45177</v>
      </c>
      <c r="B1253" s="107">
        <v>1465</v>
      </c>
      <c r="C1253" s="107">
        <v>1431.6</v>
      </c>
      <c r="D1253" s="107">
        <v>1425.25</v>
      </c>
      <c r="E1253" s="107">
        <v>1453.45</v>
      </c>
      <c r="F1253" s="107">
        <v>1431.6</v>
      </c>
      <c r="G1253">
        <v>13223</v>
      </c>
      <c r="H1253" s="107"/>
      <c r="I1253" s="107"/>
      <c r="L1253" s="148">
        <v>45177</v>
      </c>
      <c r="M1253" s="107">
        <v>1432.5</v>
      </c>
      <c r="N1253" s="107">
        <v>1471.45</v>
      </c>
      <c r="O1253" s="107">
        <v>1424</v>
      </c>
      <c r="P1253" s="107">
        <v>1449.7</v>
      </c>
      <c r="Q1253" s="107">
        <v>1432.5</v>
      </c>
      <c r="R1253">
        <v>91802</v>
      </c>
    </row>
    <row r="1254" spans="1:18" x14ac:dyDescent="0.25">
      <c r="A1254" s="148">
        <v>45180</v>
      </c>
      <c r="B1254" s="107">
        <v>1492.2</v>
      </c>
      <c r="C1254" s="107">
        <v>1460.15</v>
      </c>
      <c r="D1254" s="107">
        <v>1431.65</v>
      </c>
      <c r="E1254" s="107">
        <v>1431.65</v>
      </c>
      <c r="F1254" s="107">
        <v>1460.15</v>
      </c>
      <c r="G1254">
        <v>6806</v>
      </c>
      <c r="H1254" s="107"/>
      <c r="I1254" s="107"/>
      <c r="L1254" s="148">
        <v>45180</v>
      </c>
      <c r="M1254" s="107">
        <v>1460.95</v>
      </c>
      <c r="N1254" s="107">
        <v>1494.95</v>
      </c>
      <c r="O1254" s="107">
        <v>1434.9</v>
      </c>
      <c r="P1254" s="107">
        <v>1442</v>
      </c>
      <c r="Q1254" s="107">
        <v>1460.95</v>
      </c>
      <c r="R1254">
        <v>270051</v>
      </c>
    </row>
    <row r="1255" spans="1:18" x14ac:dyDescent="0.25">
      <c r="A1255" s="148">
        <v>45181</v>
      </c>
      <c r="B1255" s="107">
        <v>1487.1</v>
      </c>
      <c r="C1255" s="107">
        <v>1387.9</v>
      </c>
      <c r="D1255" s="107">
        <v>1378.8</v>
      </c>
      <c r="E1255" s="107">
        <v>1475</v>
      </c>
      <c r="F1255" s="107">
        <v>1387.9</v>
      </c>
      <c r="G1255">
        <v>9342</v>
      </c>
      <c r="H1255" s="107"/>
      <c r="I1255" s="107"/>
      <c r="L1255" s="148">
        <v>45181</v>
      </c>
      <c r="M1255" s="107">
        <v>1387.9</v>
      </c>
      <c r="N1255" s="107">
        <v>1488.95</v>
      </c>
      <c r="O1255" s="107">
        <v>1373.15</v>
      </c>
      <c r="P1255" s="107">
        <v>1477.95</v>
      </c>
      <c r="Q1255" s="107">
        <v>1387.9</v>
      </c>
      <c r="R1255">
        <v>445781</v>
      </c>
    </row>
    <row r="1256" spans="1:18" x14ac:dyDescent="0.25">
      <c r="A1256" s="148">
        <v>45182</v>
      </c>
      <c r="B1256" s="107">
        <v>1421.6</v>
      </c>
      <c r="C1256" s="107">
        <v>1408.55</v>
      </c>
      <c r="D1256" s="107">
        <v>1377.1</v>
      </c>
      <c r="E1256" s="107">
        <v>1400.75</v>
      </c>
      <c r="F1256" s="107">
        <v>1408.55</v>
      </c>
      <c r="G1256">
        <v>9867</v>
      </c>
      <c r="H1256" s="107"/>
      <c r="I1256" s="107"/>
      <c r="L1256" s="148">
        <v>45182</v>
      </c>
      <c r="M1256" s="107">
        <v>1407.85</v>
      </c>
      <c r="N1256" s="107">
        <v>1425</v>
      </c>
      <c r="O1256" s="107">
        <v>1375</v>
      </c>
      <c r="P1256" s="107">
        <v>1387.9</v>
      </c>
      <c r="Q1256" s="107">
        <v>1407.85</v>
      </c>
      <c r="R1256">
        <v>124578</v>
      </c>
    </row>
    <row r="1257" spans="1:18" x14ac:dyDescent="0.25">
      <c r="A1257" s="148">
        <v>45183</v>
      </c>
      <c r="B1257" s="107">
        <v>1420.5</v>
      </c>
      <c r="C1257" s="107">
        <v>1408.1</v>
      </c>
      <c r="D1257" s="107">
        <v>1392.05</v>
      </c>
      <c r="E1257" s="107">
        <v>1392.05</v>
      </c>
      <c r="F1257" s="107">
        <v>1408.1</v>
      </c>
      <c r="G1257">
        <v>4156</v>
      </c>
      <c r="H1257" s="107"/>
      <c r="I1257" s="107"/>
      <c r="L1257" s="148">
        <v>45183</v>
      </c>
      <c r="M1257" s="107">
        <v>1408.6</v>
      </c>
      <c r="N1257" s="107">
        <v>1421.6</v>
      </c>
      <c r="O1257" s="107">
        <v>1398</v>
      </c>
      <c r="P1257" s="107">
        <v>1401.9</v>
      </c>
      <c r="Q1257" s="107">
        <v>1408.6</v>
      </c>
      <c r="R1257">
        <v>86268</v>
      </c>
    </row>
    <row r="1258" spans="1:18" x14ac:dyDescent="0.25">
      <c r="A1258" s="148">
        <v>45184</v>
      </c>
      <c r="B1258" s="107">
        <v>1432.95</v>
      </c>
      <c r="C1258" s="107">
        <v>1381.2</v>
      </c>
      <c r="D1258" s="107">
        <v>1364.5</v>
      </c>
      <c r="E1258" s="107">
        <v>1420.8</v>
      </c>
      <c r="F1258" s="107">
        <v>1381.2</v>
      </c>
      <c r="G1258">
        <v>4628</v>
      </c>
      <c r="H1258" s="107"/>
      <c r="I1258" s="107"/>
      <c r="L1258" s="148">
        <v>45184</v>
      </c>
      <c r="M1258" s="107">
        <v>1381.4</v>
      </c>
      <c r="N1258" s="107">
        <v>1434.75</v>
      </c>
      <c r="O1258" s="107">
        <v>1365.2</v>
      </c>
      <c r="P1258" s="107">
        <v>1410</v>
      </c>
      <c r="Q1258" s="107">
        <v>1381.4</v>
      </c>
      <c r="R1258">
        <v>421052</v>
      </c>
    </row>
    <row r="1259" spans="1:18" x14ac:dyDescent="0.25">
      <c r="A1259" s="148">
        <v>45187</v>
      </c>
      <c r="B1259" s="107">
        <v>1387.95</v>
      </c>
      <c r="C1259" s="107">
        <v>1331.7</v>
      </c>
      <c r="D1259" s="107">
        <v>1327.45</v>
      </c>
      <c r="E1259" s="107">
        <v>1374.9</v>
      </c>
      <c r="F1259" s="107">
        <v>1331.7</v>
      </c>
      <c r="G1259">
        <v>7818</v>
      </c>
      <c r="H1259" s="107"/>
      <c r="I1259" s="107"/>
      <c r="L1259" s="148">
        <v>45187</v>
      </c>
      <c r="M1259" s="107">
        <v>1331.55</v>
      </c>
      <c r="N1259" s="107">
        <v>1385</v>
      </c>
      <c r="O1259" s="107">
        <v>1328</v>
      </c>
      <c r="P1259" s="107">
        <v>1385</v>
      </c>
      <c r="Q1259" s="107">
        <v>1331.55</v>
      </c>
      <c r="R1259">
        <v>329915</v>
      </c>
    </row>
    <row r="1260" spans="1:18" x14ac:dyDescent="0.25">
      <c r="A1260" s="148">
        <v>45189</v>
      </c>
      <c r="B1260" s="107">
        <v>1359</v>
      </c>
      <c r="C1260" s="107">
        <v>1346.9</v>
      </c>
      <c r="D1260" s="107">
        <v>1312</v>
      </c>
      <c r="E1260" s="107">
        <v>1334.95</v>
      </c>
      <c r="F1260" s="107">
        <v>1346.9</v>
      </c>
      <c r="G1260">
        <v>7655</v>
      </c>
      <c r="H1260" s="107"/>
      <c r="I1260" s="107"/>
      <c r="L1260" s="148">
        <v>45189</v>
      </c>
      <c r="M1260" s="107">
        <v>1348.5</v>
      </c>
      <c r="N1260" s="107">
        <v>1359</v>
      </c>
      <c r="O1260" s="107">
        <v>1310.05</v>
      </c>
      <c r="P1260" s="107">
        <v>1331.5</v>
      </c>
      <c r="Q1260" s="107">
        <v>1348.5</v>
      </c>
      <c r="R1260">
        <v>196851</v>
      </c>
    </row>
    <row r="1261" spans="1:18" x14ac:dyDescent="0.25">
      <c r="A1261" s="148">
        <v>45190</v>
      </c>
      <c r="B1261" s="107">
        <v>1363</v>
      </c>
      <c r="C1261" s="107">
        <v>1318.9</v>
      </c>
      <c r="D1261" s="107">
        <v>1315.2</v>
      </c>
      <c r="E1261" s="107">
        <v>1342.2</v>
      </c>
      <c r="F1261" s="107">
        <v>1318.9</v>
      </c>
      <c r="G1261">
        <v>3108</v>
      </c>
      <c r="H1261" s="107"/>
      <c r="I1261" s="107"/>
      <c r="L1261" s="148">
        <v>45190</v>
      </c>
      <c r="M1261" s="107">
        <v>1319</v>
      </c>
      <c r="N1261" s="107">
        <v>1363.95</v>
      </c>
      <c r="O1261" s="107">
        <v>1315.05</v>
      </c>
      <c r="P1261" s="107">
        <v>1355.55</v>
      </c>
      <c r="Q1261" s="107">
        <v>1319</v>
      </c>
      <c r="R1261">
        <v>154518</v>
      </c>
    </row>
    <row r="1262" spans="1:18" x14ac:dyDescent="0.25">
      <c r="A1262" s="148">
        <v>45191</v>
      </c>
      <c r="B1262" s="107">
        <v>1335.3</v>
      </c>
      <c r="C1262" s="107">
        <v>1295.05</v>
      </c>
      <c r="D1262" s="107">
        <v>1290</v>
      </c>
      <c r="E1262" s="107">
        <v>1326.1</v>
      </c>
      <c r="F1262" s="107">
        <v>1295.05</v>
      </c>
      <c r="G1262">
        <v>3626</v>
      </c>
      <c r="H1262" s="107"/>
      <c r="I1262" s="107"/>
      <c r="L1262" s="148">
        <v>45191</v>
      </c>
      <c r="M1262" s="107">
        <v>1291.7</v>
      </c>
      <c r="N1262" s="107">
        <v>1338.6</v>
      </c>
      <c r="O1262" s="107">
        <v>1288</v>
      </c>
      <c r="P1262" s="107">
        <v>1324.9</v>
      </c>
      <c r="Q1262" s="107">
        <v>1291.7</v>
      </c>
      <c r="R1262">
        <v>264349</v>
      </c>
    </row>
    <row r="1263" spans="1:18" x14ac:dyDescent="0.25">
      <c r="A1263" s="148">
        <v>45194</v>
      </c>
      <c r="B1263" s="107">
        <v>1307.05</v>
      </c>
      <c r="C1263" s="107">
        <v>1290.05</v>
      </c>
      <c r="D1263" s="107">
        <v>1277</v>
      </c>
      <c r="E1263" s="107">
        <v>1288.05</v>
      </c>
      <c r="F1263" s="107">
        <v>1290.05</v>
      </c>
      <c r="G1263">
        <v>10185</v>
      </c>
      <c r="H1263" s="107"/>
      <c r="I1263" s="107"/>
      <c r="L1263" s="148">
        <v>45194</v>
      </c>
      <c r="M1263" s="107">
        <v>1289</v>
      </c>
      <c r="N1263" s="107">
        <v>1305</v>
      </c>
      <c r="O1263" s="107">
        <v>1275</v>
      </c>
      <c r="P1263" s="107">
        <v>1290.0999999999999</v>
      </c>
      <c r="Q1263" s="107">
        <v>1289</v>
      </c>
      <c r="R1263">
        <v>281553</v>
      </c>
    </row>
    <row r="1264" spans="1:18" x14ac:dyDescent="0.25">
      <c r="A1264" s="148">
        <v>45195</v>
      </c>
      <c r="B1264" s="107">
        <v>1360.95</v>
      </c>
      <c r="C1264" s="107">
        <v>1330.75</v>
      </c>
      <c r="D1264" s="107">
        <v>1290.3499999999999</v>
      </c>
      <c r="E1264" s="107">
        <v>1315.2</v>
      </c>
      <c r="F1264" s="107">
        <v>1330.75</v>
      </c>
      <c r="G1264">
        <v>12032</v>
      </c>
      <c r="H1264" s="107"/>
      <c r="I1264" s="107"/>
      <c r="L1264" s="148">
        <v>45195</v>
      </c>
      <c r="M1264" s="107">
        <v>1329.95</v>
      </c>
      <c r="N1264" s="107">
        <v>1364.15</v>
      </c>
      <c r="O1264" s="107">
        <v>1296.9000000000001</v>
      </c>
      <c r="P1264" s="107">
        <v>1298.45</v>
      </c>
      <c r="Q1264" s="107">
        <v>1329.95</v>
      </c>
      <c r="R1264">
        <v>238079</v>
      </c>
    </row>
    <row r="1265" spans="1:18" x14ac:dyDescent="0.25">
      <c r="A1265" s="148">
        <v>45196</v>
      </c>
      <c r="B1265" s="107">
        <v>1354.8</v>
      </c>
      <c r="C1265" s="107">
        <v>1325.75</v>
      </c>
      <c r="D1265" s="107">
        <v>1315.8</v>
      </c>
      <c r="E1265" s="107">
        <v>1334.95</v>
      </c>
      <c r="F1265" s="107">
        <v>1325.75</v>
      </c>
      <c r="G1265">
        <v>5857</v>
      </c>
      <c r="H1265" s="107"/>
      <c r="I1265" s="107"/>
      <c r="L1265" s="148">
        <v>45196</v>
      </c>
      <c r="M1265" s="107">
        <v>1324.85</v>
      </c>
      <c r="N1265" s="107">
        <v>1357.85</v>
      </c>
      <c r="O1265" s="107">
        <v>1312.1</v>
      </c>
      <c r="P1265" s="107">
        <v>1330</v>
      </c>
      <c r="Q1265" s="107">
        <v>1324.85</v>
      </c>
      <c r="R1265">
        <v>101124</v>
      </c>
    </row>
    <row r="1266" spans="1:18" x14ac:dyDescent="0.25">
      <c r="A1266" s="148">
        <v>45197</v>
      </c>
      <c r="B1266" s="107">
        <v>1335.65</v>
      </c>
      <c r="C1266" s="107">
        <v>1299</v>
      </c>
      <c r="D1266" s="107">
        <v>1293.3</v>
      </c>
      <c r="E1266" s="107">
        <v>1315.05</v>
      </c>
      <c r="F1266" s="107">
        <v>1299</v>
      </c>
      <c r="G1266">
        <v>8545</v>
      </c>
      <c r="H1266" s="107"/>
      <c r="I1266" s="107"/>
      <c r="L1266" s="148">
        <v>45197</v>
      </c>
      <c r="M1266" s="107">
        <v>1299.75</v>
      </c>
      <c r="N1266" s="107">
        <v>1336.2</v>
      </c>
      <c r="O1266" s="107">
        <v>1291.0999999999999</v>
      </c>
      <c r="P1266" s="107">
        <v>1324.95</v>
      </c>
      <c r="Q1266" s="107">
        <v>1299.75</v>
      </c>
      <c r="R1266">
        <v>194742</v>
      </c>
    </row>
    <row r="1267" spans="1:18" x14ac:dyDescent="0.25">
      <c r="A1267" s="148">
        <v>45198</v>
      </c>
      <c r="B1267" s="107">
        <v>1324.35</v>
      </c>
      <c r="C1267" s="107">
        <v>1316.9</v>
      </c>
      <c r="D1267" s="107">
        <v>1289.4000000000001</v>
      </c>
      <c r="E1267" s="107">
        <v>1309.75</v>
      </c>
      <c r="F1267" s="107">
        <v>1316.9</v>
      </c>
      <c r="G1267">
        <v>5275</v>
      </c>
      <c r="H1267" s="107"/>
      <c r="I1267" s="107"/>
      <c r="L1267" s="148">
        <v>45198</v>
      </c>
      <c r="M1267" s="107">
        <v>1315.5</v>
      </c>
      <c r="N1267" s="107">
        <v>1329.95</v>
      </c>
      <c r="O1267" s="107">
        <v>1288.0999999999999</v>
      </c>
      <c r="P1267" s="107">
        <v>1303.8</v>
      </c>
      <c r="Q1267" s="107">
        <v>1315.5</v>
      </c>
      <c r="R1267">
        <v>198566</v>
      </c>
    </row>
    <row r="1268" spans="1:18" x14ac:dyDescent="0.25">
      <c r="A1268" s="148">
        <v>45202</v>
      </c>
      <c r="B1268" s="107">
        <v>1337.65</v>
      </c>
      <c r="C1268" s="107">
        <v>1329.7</v>
      </c>
      <c r="D1268" s="107">
        <v>1294.3</v>
      </c>
      <c r="E1268" s="107">
        <v>1317.95</v>
      </c>
      <c r="F1268" s="107">
        <v>1329.7</v>
      </c>
      <c r="G1268">
        <v>6850</v>
      </c>
      <c r="H1268" s="107"/>
      <c r="I1268" s="107"/>
      <c r="L1268" s="148">
        <v>45202</v>
      </c>
      <c r="M1268" s="107">
        <v>1331.95</v>
      </c>
      <c r="N1268" s="107">
        <v>1337.95</v>
      </c>
      <c r="O1268" s="107">
        <v>1291.5</v>
      </c>
      <c r="P1268" s="107">
        <v>1300</v>
      </c>
      <c r="Q1268" s="107">
        <v>1331.95</v>
      </c>
      <c r="R1268">
        <v>234320</v>
      </c>
    </row>
    <row r="1269" spans="1:18" x14ac:dyDescent="0.25">
      <c r="A1269" s="148">
        <v>45203</v>
      </c>
      <c r="B1269" s="107">
        <v>1349</v>
      </c>
      <c r="C1269" s="107">
        <v>1314.4</v>
      </c>
      <c r="D1269" s="107">
        <v>1303.05</v>
      </c>
      <c r="E1269" s="107">
        <v>1349</v>
      </c>
      <c r="F1269" s="107">
        <v>1314.4</v>
      </c>
      <c r="G1269">
        <v>3662</v>
      </c>
      <c r="H1269" s="107"/>
      <c r="I1269" s="107"/>
      <c r="L1269" s="148">
        <v>45203</v>
      </c>
      <c r="M1269" s="107">
        <v>1318.55</v>
      </c>
      <c r="N1269" s="107">
        <v>1337</v>
      </c>
      <c r="O1269" s="107">
        <v>1302.3</v>
      </c>
      <c r="P1269" s="107">
        <v>1331.95</v>
      </c>
      <c r="Q1269" s="107">
        <v>1318.55</v>
      </c>
      <c r="R1269">
        <v>128329</v>
      </c>
    </row>
    <row r="1270" spans="1:18" x14ac:dyDescent="0.25">
      <c r="A1270" s="148">
        <v>45204</v>
      </c>
      <c r="B1270" s="107">
        <v>1328.55</v>
      </c>
      <c r="C1270" s="107">
        <v>1318.35</v>
      </c>
      <c r="D1270" s="107">
        <v>1294.9000000000001</v>
      </c>
      <c r="E1270" s="107">
        <v>1324.95</v>
      </c>
      <c r="F1270" s="107">
        <v>1318.35</v>
      </c>
      <c r="G1270">
        <v>2977</v>
      </c>
      <c r="H1270" s="107"/>
      <c r="I1270" s="107"/>
      <c r="L1270" s="148">
        <v>45204</v>
      </c>
      <c r="M1270" s="107">
        <v>1319.8</v>
      </c>
      <c r="N1270" s="107">
        <v>1329.9</v>
      </c>
      <c r="O1270" s="107">
        <v>1295.9000000000001</v>
      </c>
      <c r="P1270" s="107">
        <v>1318.55</v>
      </c>
      <c r="Q1270" s="107">
        <v>1319.8</v>
      </c>
      <c r="R1270">
        <v>279216</v>
      </c>
    </row>
    <row r="1271" spans="1:18" x14ac:dyDescent="0.25">
      <c r="A1271" s="148">
        <v>45205</v>
      </c>
      <c r="B1271" s="107">
        <v>1323.75</v>
      </c>
      <c r="C1271" s="107">
        <v>1315.95</v>
      </c>
      <c r="D1271" s="107">
        <v>1295.05</v>
      </c>
      <c r="E1271" s="107">
        <v>1320.05</v>
      </c>
      <c r="F1271" s="107">
        <v>1315.95</v>
      </c>
      <c r="G1271">
        <v>2631</v>
      </c>
      <c r="H1271" s="107"/>
      <c r="I1271" s="107"/>
      <c r="L1271" s="148">
        <v>45205</v>
      </c>
      <c r="M1271" s="107">
        <v>1316.1</v>
      </c>
      <c r="N1271" s="107">
        <v>1326.4</v>
      </c>
      <c r="O1271" s="107">
        <v>1295.75</v>
      </c>
      <c r="P1271" s="107">
        <v>1324</v>
      </c>
      <c r="Q1271" s="107">
        <v>1316.1</v>
      </c>
      <c r="R1271">
        <v>199427</v>
      </c>
    </row>
    <row r="1272" spans="1:18" x14ac:dyDescent="0.25">
      <c r="A1272" s="148">
        <v>45208</v>
      </c>
      <c r="B1272" s="107">
        <v>1327.15</v>
      </c>
      <c r="C1272" s="107">
        <v>1313.95</v>
      </c>
      <c r="D1272" s="107">
        <v>1292.95</v>
      </c>
      <c r="E1272" s="107">
        <v>1317.5</v>
      </c>
      <c r="F1272" s="107">
        <v>1313.95</v>
      </c>
      <c r="G1272">
        <v>3544</v>
      </c>
      <c r="H1272" s="107"/>
      <c r="I1272" s="107"/>
      <c r="L1272" s="148">
        <v>45208</v>
      </c>
      <c r="M1272" s="107">
        <v>1312.65</v>
      </c>
      <c r="N1272" s="107">
        <v>1330</v>
      </c>
      <c r="O1272" s="107">
        <v>1290</v>
      </c>
      <c r="P1272" s="107">
        <v>1290</v>
      </c>
      <c r="Q1272" s="107">
        <v>1312.65</v>
      </c>
      <c r="R1272">
        <v>308106</v>
      </c>
    </row>
    <row r="1273" spans="1:18" x14ac:dyDescent="0.25">
      <c r="A1273" s="148">
        <v>45209</v>
      </c>
      <c r="B1273" s="107">
        <v>1355.8</v>
      </c>
      <c r="C1273" s="107">
        <v>1350.6</v>
      </c>
      <c r="D1273" s="107">
        <v>1310.3</v>
      </c>
      <c r="E1273" s="107">
        <v>1315.05</v>
      </c>
      <c r="F1273" s="107">
        <v>1350.6</v>
      </c>
      <c r="G1273">
        <v>8179</v>
      </c>
      <c r="H1273" s="107"/>
      <c r="I1273" s="107"/>
      <c r="L1273" s="148">
        <v>45209</v>
      </c>
      <c r="M1273" s="107">
        <v>1351.45</v>
      </c>
      <c r="N1273" s="107">
        <v>1355.9</v>
      </c>
      <c r="O1273" s="107">
        <v>1312</v>
      </c>
      <c r="P1273" s="107">
        <v>1319.25</v>
      </c>
      <c r="Q1273" s="107">
        <v>1351.45</v>
      </c>
      <c r="R1273">
        <v>440998</v>
      </c>
    </row>
    <row r="1274" spans="1:18" x14ac:dyDescent="0.25">
      <c r="A1274" s="148">
        <v>45210</v>
      </c>
      <c r="B1274" s="107">
        <v>1377</v>
      </c>
      <c r="C1274" s="107">
        <v>1371.65</v>
      </c>
      <c r="D1274" s="107">
        <v>1344.1</v>
      </c>
      <c r="E1274" s="107">
        <v>1359.95</v>
      </c>
      <c r="F1274" s="107">
        <v>1371.65</v>
      </c>
      <c r="G1274">
        <v>5673</v>
      </c>
      <c r="H1274" s="107"/>
      <c r="I1274" s="107"/>
      <c r="L1274" s="148">
        <v>45210</v>
      </c>
      <c r="M1274" s="107">
        <v>1372.95</v>
      </c>
      <c r="N1274" s="107">
        <v>1376.95</v>
      </c>
      <c r="O1274" s="107">
        <v>1345</v>
      </c>
      <c r="P1274" s="107">
        <v>1352.75</v>
      </c>
      <c r="Q1274" s="107">
        <v>1372.95</v>
      </c>
      <c r="R1274">
        <v>245930</v>
      </c>
    </row>
    <row r="1275" spans="1:18" x14ac:dyDescent="0.25">
      <c r="A1275" s="148">
        <v>45211</v>
      </c>
      <c r="B1275" s="107">
        <v>1392.65</v>
      </c>
      <c r="C1275" s="107">
        <v>1384.7</v>
      </c>
      <c r="D1275" s="107">
        <v>1365.7</v>
      </c>
      <c r="E1275" s="107">
        <v>1389.95</v>
      </c>
      <c r="F1275" s="107">
        <v>1384.7</v>
      </c>
      <c r="G1275">
        <v>1970</v>
      </c>
      <c r="H1275" s="107"/>
      <c r="I1275" s="107"/>
      <c r="L1275" s="148">
        <v>45211</v>
      </c>
      <c r="M1275" s="107">
        <v>1385.25</v>
      </c>
      <c r="N1275" s="107">
        <v>1392.8</v>
      </c>
      <c r="O1275" s="107">
        <v>1364.3</v>
      </c>
      <c r="P1275" s="107">
        <v>1375</v>
      </c>
      <c r="Q1275" s="107">
        <v>1385.25</v>
      </c>
      <c r="R1275">
        <v>210892</v>
      </c>
    </row>
    <row r="1276" spans="1:18" x14ac:dyDescent="0.25">
      <c r="A1276" s="148">
        <v>45212</v>
      </c>
      <c r="B1276" s="107">
        <v>1402</v>
      </c>
      <c r="C1276" s="107">
        <v>1394.7</v>
      </c>
      <c r="D1276" s="107">
        <v>1371.2</v>
      </c>
      <c r="E1276" s="107">
        <v>1380</v>
      </c>
      <c r="F1276" s="107">
        <v>1394.7</v>
      </c>
      <c r="G1276">
        <v>3676</v>
      </c>
      <c r="H1276" s="107"/>
      <c r="I1276" s="107"/>
      <c r="L1276" s="148">
        <v>45212</v>
      </c>
      <c r="M1276" s="107">
        <v>1394.15</v>
      </c>
      <c r="N1276" s="107">
        <v>1403</v>
      </c>
      <c r="O1276" s="107">
        <v>1370.1</v>
      </c>
      <c r="P1276" s="107">
        <v>1373</v>
      </c>
      <c r="Q1276" s="107">
        <v>1394.15</v>
      </c>
      <c r="R1276">
        <v>178477</v>
      </c>
    </row>
    <row r="1277" spans="1:18" x14ac:dyDescent="0.25">
      <c r="A1277" s="148">
        <v>45215</v>
      </c>
      <c r="B1277" s="107">
        <v>1402.4</v>
      </c>
      <c r="C1277" s="107">
        <v>1381.45</v>
      </c>
      <c r="D1277" s="107">
        <v>1374.55</v>
      </c>
      <c r="E1277" s="107">
        <v>1396.95</v>
      </c>
      <c r="F1277" s="107">
        <v>1381.45</v>
      </c>
      <c r="G1277">
        <v>56780</v>
      </c>
      <c r="H1277" s="107"/>
      <c r="I1277" s="107"/>
      <c r="L1277" s="148">
        <v>45215</v>
      </c>
      <c r="M1277" s="107">
        <v>1381.7</v>
      </c>
      <c r="N1277" s="107">
        <v>1402</v>
      </c>
      <c r="O1277" s="107">
        <v>1374.2</v>
      </c>
      <c r="P1277" s="107">
        <v>1394.15</v>
      </c>
      <c r="Q1277" s="107">
        <v>1381.7</v>
      </c>
      <c r="R1277">
        <v>102325</v>
      </c>
    </row>
    <row r="1278" spans="1:18" x14ac:dyDescent="0.25">
      <c r="A1278" s="148">
        <v>45216</v>
      </c>
      <c r="B1278" s="107">
        <v>1393</v>
      </c>
      <c r="C1278" s="107">
        <v>1389.45</v>
      </c>
      <c r="D1278" s="107">
        <v>1380</v>
      </c>
      <c r="E1278" s="107">
        <v>1380</v>
      </c>
      <c r="F1278" s="107">
        <v>1389.45</v>
      </c>
      <c r="G1278">
        <v>1083</v>
      </c>
      <c r="H1278" s="107"/>
      <c r="I1278" s="107"/>
      <c r="L1278" s="148">
        <v>45216</v>
      </c>
      <c r="M1278" s="107">
        <v>1390.6</v>
      </c>
      <c r="N1278" s="107">
        <v>1394.9</v>
      </c>
      <c r="O1278" s="107">
        <v>1381.95</v>
      </c>
      <c r="P1278" s="107">
        <v>1381.95</v>
      </c>
      <c r="Q1278" s="107">
        <v>1390.6</v>
      </c>
      <c r="R1278">
        <v>152683</v>
      </c>
    </row>
    <row r="1279" spans="1:18" x14ac:dyDescent="0.25">
      <c r="A1279" s="148">
        <v>45217</v>
      </c>
      <c r="B1279" s="107">
        <v>1395.55</v>
      </c>
      <c r="C1279" s="107">
        <v>1378.2</v>
      </c>
      <c r="D1279" s="107">
        <v>1367</v>
      </c>
      <c r="E1279" s="107">
        <v>1375.05</v>
      </c>
      <c r="F1279" s="107">
        <v>1378.2</v>
      </c>
      <c r="G1279">
        <v>2600</v>
      </c>
      <c r="H1279" s="107"/>
      <c r="I1279" s="107"/>
      <c r="L1279" s="148">
        <v>45217</v>
      </c>
      <c r="M1279" s="107">
        <v>1378.2</v>
      </c>
      <c r="N1279" s="107">
        <v>1396</v>
      </c>
      <c r="O1279" s="107">
        <v>1366.15</v>
      </c>
      <c r="P1279" s="107">
        <v>1396</v>
      </c>
      <c r="Q1279" s="107">
        <v>1378.2</v>
      </c>
      <c r="R1279">
        <v>210653</v>
      </c>
    </row>
    <row r="1280" spans="1:18" x14ac:dyDescent="0.25">
      <c r="A1280" s="148">
        <v>45218</v>
      </c>
      <c r="B1280" s="107">
        <v>1393.95</v>
      </c>
      <c r="C1280" s="107">
        <v>1383.85</v>
      </c>
      <c r="D1280" s="107">
        <v>1370</v>
      </c>
      <c r="E1280" s="107">
        <v>1393.95</v>
      </c>
      <c r="F1280" s="107">
        <v>1383.85</v>
      </c>
      <c r="G1280">
        <v>2124</v>
      </c>
      <c r="H1280" s="107"/>
      <c r="I1280" s="107"/>
      <c r="L1280" s="148">
        <v>45218</v>
      </c>
      <c r="M1280" s="107">
        <v>1384.25</v>
      </c>
      <c r="N1280" s="107">
        <v>1392.8</v>
      </c>
      <c r="O1280" s="107">
        <v>1366.35</v>
      </c>
      <c r="P1280" s="107">
        <v>1378</v>
      </c>
      <c r="Q1280" s="107">
        <v>1384.25</v>
      </c>
      <c r="R1280">
        <v>77444</v>
      </c>
    </row>
    <row r="1281" spans="1:18" x14ac:dyDescent="0.25">
      <c r="A1281" s="148">
        <v>45219</v>
      </c>
      <c r="B1281" s="107">
        <v>1405.9</v>
      </c>
      <c r="C1281" s="107">
        <v>1389.55</v>
      </c>
      <c r="D1281" s="107">
        <v>1374.7</v>
      </c>
      <c r="E1281" s="107">
        <v>1383.8</v>
      </c>
      <c r="F1281" s="107">
        <v>1389.55</v>
      </c>
      <c r="G1281">
        <v>4606</v>
      </c>
      <c r="H1281" s="107"/>
      <c r="I1281" s="107"/>
      <c r="L1281" s="148">
        <v>45219</v>
      </c>
      <c r="M1281" s="107">
        <v>1389.85</v>
      </c>
      <c r="N1281" s="107">
        <v>1408</v>
      </c>
      <c r="O1281" s="107">
        <v>1376</v>
      </c>
      <c r="P1281" s="107">
        <v>1393</v>
      </c>
      <c r="Q1281" s="107">
        <v>1389.85</v>
      </c>
      <c r="R1281">
        <v>250620</v>
      </c>
    </row>
    <row r="1282" spans="1:18" x14ac:dyDescent="0.25">
      <c r="A1282" s="148">
        <v>45222</v>
      </c>
      <c r="B1282" s="107">
        <v>1560</v>
      </c>
      <c r="C1282" s="107">
        <v>1506.3</v>
      </c>
      <c r="D1282" s="107">
        <v>1425.9</v>
      </c>
      <c r="E1282" s="107">
        <v>1439.65</v>
      </c>
      <c r="F1282" s="107">
        <v>1506.3</v>
      </c>
      <c r="G1282">
        <v>132910</v>
      </c>
      <c r="H1282" s="107"/>
      <c r="I1282" s="107"/>
      <c r="L1282" s="148">
        <v>45222</v>
      </c>
      <c r="M1282" s="107">
        <v>1507.4</v>
      </c>
      <c r="N1282" s="107">
        <v>1561.95</v>
      </c>
      <c r="O1282" s="107">
        <v>1425</v>
      </c>
      <c r="P1282" s="107">
        <v>1425.05</v>
      </c>
      <c r="Q1282" s="107">
        <v>1507.4</v>
      </c>
      <c r="R1282">
        <v>5425049</v>
      </c>
    </row>
    <row r="1283" spans="1:18" x14ac:dyDescent="0.25">
      <c r="A1283" s="148">
        <v>45224</v>
      </c>
      <c r="B1283" s="107">
        <v>1525.45</v>
      </c>
      <c r="C1283" s="107">
        <v>1490.85</v>
      </c>
      <c r="D1283" s="107">
        <v>1464</v>
      </c>
      <c r="E1283" s="107">
        <v>1514</v>
      </c>
      <c r="F1283" s="107">
        <v>1490.85</v>
      </c>
      <c r="G1283">
        <v>16409</v>
      </c>
      <c r="H1283" s="107"/>
      <c r="I1283" s="107"/>
      <c r="L1283" s="148">
        <v>45224</v>
      </c>
      <c r="M1283" s="107">
        <v>1493.4</v>
      </c>
      <c r="N1283" s="107">
        <v>1526.6</v>
      </c>
      <c r="O1283" s="107">
        <v>1463.05</v>
      </c>
      <c r="P1283" s="107">
        <v>1514.4</v>
      </c>
      <c r="Q1283" s="107">
        <v>1493.4</v>
      </c>
      <c r="R1283">
        <v>794131</v>
      </c>
    </row>
    <row r="1284" spans="1:18" x14ac:dyDescent="0.25">
      <c r="A1284" s="148">
        <v>45225</v>
      </c>
      <c r="B1284" s="107">
        <v>1559.8</v>
      </c>
      <c r="C1284" s="107">
        <v>1544.25</v>
      </c>
      <c r="D1284" s="107">
        <v>1458.95</v>
      </c>
      <c r="E1284" s="107">
        <v>1496</v>
      </c>
      <c r="F1284" s="107">
        <v>1544.25</v>
      </c>
      <c r="G1284">
        <v>22327</v>
      </c>
      <c r="H1284" s="107"/>
      <c r="I1284" s="107"/>
      <c r="L1284" s="148">
        <v>45225</v>
      </c>
      <c r="M1284" s="107">
        <v>1542.5</v>
      </c>
      <c r="N1284" s="107">
        <v>1554.5</v>
      </c>
      <c r="O1284" s="107">
        <v>1458.75</v>
      </c>
      <c r="P1284" s="107">
        <v>1496.5</v>
      </c>
      <c r="Q1284" s="107">
        <v>1542.5</v>
      </c>
      <c r="R1284">
        <v>731487</v>
      </c>
    </row>
    <row r="1285" spans="1:18" x14ac:dyDescent="0.25">
      <c r="A1285" s="148">
        <v>45226</v>
      </c>
      <c r="B1285" s="107">
        <v>1635</v>
      </c>
      <c r="C1285" s="107">
        <v>1571.5</v>
      </c>
      <c r="D1285" s="107">
        <v>1522.45</v>
      </c>
      <c r="E1285" s="107">
        <v>1560</v>
      </c>
      <c r="F1285" s="107">
        <v>1571.5</v>
      </c>
      <c r="G1285">
        <v>55216</v>
      </c>
      <c r="H1285" s="107"/>
      <c r="I1285" s="107"/>
      <c r="L1285" s="148">
        <v>45226</v>
      </c>
      <c r="M1285" s="107">
        <v>1570.7</v>
      </c>
      <c r="N1285" s="107">
        <v>1637.9</v>
      </c>
      <c r="O1285" s="107">
        <v>1521.4</v>
      </c>
      <c r="P1285" s="107">
        <v>1562</v>
      </c>
      <c r="Q1285" s="107">
        <v>1570.7</v>
      </c>
      <c r="R1285">
        <v>855531</v>
      </c>
    </row>
    <row r="1286" spans="1:18" x14ac:dyDescent="0.25">
      <c r="A1286" s="148">
        <v>45229</v>
      </c>
      <c r="B1286" s="107">
        <v>1619.8</v>
      </c>
      <c r="C1286" s="107">
        <v>1605.55</v>
      </c>
      <c r="D1286" s="107">
        <v>1538.3</v>
      </c>
      <c r="E1286" s="107">
        <v>1595.35</v>
      </c>
      <c r="F1286" s="107">
        <v>1605.55</v>
      </c>
      <c r="G1286">
        <v>30118</v>
      </c>
      <c r="H1286" s="107"/>
      <c r="I1286" s="107"/>
      <c r="L1286" s="148">
        <v>45229</v>
      </c>
      <c r="M1286" s="107">
        <v>1607</v>
      </c>
      <c r="N1286" s="107">
        <v>1616.9</v>
      </c>
      <c r="O1286" s="107">
        <v>1538.35</v>
      </c>
      <c r="P1286" s="107">
        <v>1587.05</v>
      </c>
      <c r="Q1286" s="107">
        <v>1607</v>
      </c>
      <c r="R1286">
        <v>602319</v>
      </c>
    </row>
    <row r="1287" spans="1:18" x14ac:dyDescent="0.25">
      <c r="A1287" s="148">
        <v>45230</v>
      </c>
      <c r="B1287" s="107">
        <v>1637</v>
      </c>
      <c r="C1287" s="107">
        <v>1594.95</v>
      </c>
      <c r="D1287" s="107">
        <v>1580</v>
      </c>
      <c r="E1287" s="107">
        <v>1623.95</v>
      </c>
      <c r="F1287" s="107">
        <v>1594.95</v>
      </c>
      <c r="G1287">
        <v>7216</v>
      </c>
      <c r="H1287" s="107"/>
      <c r="I1287" s="107"/>
      <c r="L1287" s="148">
        <v>45230</v>
      </c>
      <c r="M1287" s="107">
        <v>1597.2</v>
      </c>
      <c r="N1287" s="107">
        <v>1636.9</v>
      </c>
      <c r="O1287" s="107">
        <v>1577</v>
      </c>
      <c r="P1287" s="107">
        <v>1615.05</v>
      </c>
      <c r="Q1287" s="107">
        <v>1597.2</v>
      </c>
      <c r="R1287">
        <v>296988</v>
      </c>
    </row>
    <row r="1288" spans="1:18" x14ac:dyDescent="0.25">
      <c r="A1288" s="148">
        <v>45231</v>
      </c>
      <c r="B1288" s="107">
        <v>1628.95</v>
      </c>
      <c r="C1288" s="107">
        <v>1621.75</v>
      </c>
      <c r="D1288" s="107">
        <v>1565.35</v>
      </c>
      <c r="E1288" s="107">
        <v>1600</v>
      </c>
      <c r="F1288" s="107">
        <v>1621.75</v>
      </c>
      <c r="G1288">
        <v>3291</v>
      </c>
      <c r="H1288" s="107"/>
      <c r="I1288" s="107"/>
      <c r="L1288" s="148">
        <v>45231</v>
      </c>
      <c r="M1288" s="107">
        <v>1620.6</v>
      </c>
      <c r="N1288" s="107">
        <v>1629.95</v>
      </c>
      <c r="O1288" s="107">
        <v>1565.6</v>
      </c>
      <c r="P1288" s="107">
        <v>1600</v>
      </c>
      <c r="Q1288" s="107">
        <v>1620.6</v>
      </c>
      <c r="R1288">
        <v>237061</v>
      </c>
    </row>
    <row r="1289" spans="1:18" x14ac:dyDescent="0.25">
      <c r="A1289" s="148">
        <v>45232</v>
      </c>
      <c r="B1289" s="107">
        <v>1639.95</v>
      </c>
      <c r="C1289" s="107">
        <v>1627.55</v>
      </c>
      <c r="D1289" s="107">
        <v>1601.2</v>
      </c>
      <c r="E1289" s="107">
        <v>1622.3</v>
      </c>
      <c r="F1289" s="107">
        <v>1627.55</v>
      </c>
      <c r="G1289">
        <v>10121</v>
      </c>
      <c r="H1289" s="107"/>
      <c r="I1289" s="107"/>
      <c r="L1289" s="148">
        <v>45232</v>
      </c>
      <c r="M1289" s="107">
        <v>1629.65</v>
      </c>
      <c r="N1289" s="107">
        <v>1641.45</v>
      </c>
      <c r="O1289" s="107">
        <v>1602.3</v>
      </c>
      <c r="P1289" s="107">
        <v>1620.6</v>
      </c>
      <c r="Q1289" s="107">
        <v>1629.65</v>
      </c>
      <c r="R1289">
        <v>225975</v>
      </c>
    </row>
    <row r="1290" spans="1:18" x14ac:dyDescent="0.25">
      <c r="A1290" s="148">
        <v>45233</v>
      </c>
      <c r="B1290" s="107">
        <v>1709.15</v>
      </c>
      <c r="C1290" s="107">
        <v>1675.25</v>
      </c>
      <c r="D1290" s="107">
        <v>1640</v>
      </c>
      <c r="E1290" s="107">
        <v>1640</v>
      </c>
      <c r="F1290" s="107">
        <v>1675.25</v>
      </c>
      <c r="G1290">
        <v>12963</v>
      </c>
      <c r="H1290" s="107"/>
      <c r="I1290" s="107"/>
      <c r="L1290" s="148">
        <v>45233</v>
      </c>
      <c r="M1290" s="107">
        <v>1669.05</v>
      </c>
      <c r="N1290" s="107">
        <v>1708.05</v>
      </c>
      <c r="O1290" s="107">
        <v>1640</v>
      </c>
      <c r="P1290" s="107">
        <v>1640</v>
      </c>
      <c r="Q1290" s="107">
        <v>1669.05</v>
      </c>
      <c r="R1290">
        <v>347914</v>
      </c>
    </row>
    <row r="1291" spans="1:18" x14ac:dyDescent="0.25">
      <c r="A1291" s="148">
        <v>45236</v>
      </c>
      <c r="B1291" s="107">
        <v>1700</v>
      </c>
      <c r="C1291" s="107">
        <v>1695.5</v>
      </c>
      <c r="D1291" s="107">
        <v>1672</v>
      </c>
      <c r="E1291" s="107">
        <v>1699.9</v>
      </c>
      <c r="F1291" s="107">
        <v>1695.5</v>
      </c>
      <c r="G1291">
        <v>14137</v>
      </c>
      <c r="H1291" s="107"/>
      <c r="I1291" s="107"/>
      <c r="L1291" s="148">
        <v>45236</v>
      </c>
      <c r="M1291" s="107">
        <v>1694.5</v>
      </c>
      <c r="N1291" s="107">
        <v>1699.9</v>
      </c>
      <c r="O1291" s="107">
        <v>1672.45</v>
      </c>
      <c r="P1291" s="107">
        <v>1680.05</v>
      </c>
      <c r="Q1291" s="107">
        <v>1694.5</v>
      </c>
      <c r="R1291">
        <v>170454</v>
      </c>
    </row>
    <row r="1292" spans="1:18" x14ac:dyDescent="0.25">
      <c r="A1292" s="148">
        <v>45237</v>
      </c>
      <c r="B1292" s="107">
        <v>1714.95</v>
      </c>
      <c r="C1292" s="107">
        <v>1681.1</v>
      </c>
      <c r="D1292" s="107">
        <v>1666.95</v>
      </c>
      <c r="E1292" s="107">
        <v>1696.95</v>
      </c>
      <c r="F1292" s="107">
        <v>1681.1</v>
      </c>
      <c r="G1292">
        <v>8526</v>
      </c>
      <c r="H1292" s="107"/>
      <c r="I1292" s="107"/>
      <c r="L1292" s="148">
        <v>45237</v>
      </c>
      <c r="M1292" s="107">
        <v>1688.3</v>
      </c>
      <c r="N1292" s="107">
        <v>1715</v>
      </c>
      <c r="O1292" s="107">
        <v>1675</v>
      </c>
      <c r="P1292" s="107">
        <v>1694.05</v>
      </c>
      <c r="Q1292" s="107">
        <v>1688.3</v>
      </c>
      <c r="R1292">
        <v>541562</v>
      </c>
    </row>
    <row r="1293" spans="1:18" x14ac:dyDescent="0.25">
      <c r="A1293" s="148">
        <v>45238</v>
      </c>
      <c r="B1293" s="107">
        <v>1699.8</v>
      </c>
      <c r="C1293" s="107">
        <v>1662.75</v>
      </c>
      <c r="D1293" s="107">
        <v>1648.7</v>
      </c>
      <c r="E1293" s="107">
        <v>1699.8</v>
      </c>
      <c r="F1293" s="107">
        <v>1662.75</v>
      </c>
      <c r="G1293">
        <v>5427</v>
      </c>
      <c r="H1293" s="107"/>
      <c r="I1293" s="107"/>
      <c r="L1293" s="148">
        <v>45238</v>
      </c>
      <c r="M1293" s="107">
        <v>1663.8</v>
      </c>
      <c r="N1293" s="107">
        <v>1699.9</v>
      </c>
      <c r="O1293" s="107">
        <v>1650</v>
      </c>
      <c r="P1293" s="107">
        <v>1699.9</v>
      </c>
      <c r="Q1293" s="107">
        <v>1663.8</v>
      </c>
      <c r="R1293">
        <v>249305</v>
      </c>
    </row>
    <row r="1294" spans="1:18" x14ac:dyDescent="0.25">
      <c r="A1294" s="148">
        <v>45239</v>
      </c>
      <c r="B1294" s="107">
        <v>1694.2</v>
      </c>
      <c r="C1294" s="107">
        <v>1687.6</v>
      </c>
      <c r="D1294" s="107">
        <v>1650.05</v>
      </c>
      <c r="E1294" s="107">
        <v>1650.25</v>
      </c>
      <c r="F1294" s="107">
        <v>1687.6</v>
      </c>
      <c r="G1294">
        <v>2218</v>
      </c>
      <c r="H1294" s="107"/>
      <c r="I1294" s="107"/>
      <c r="L1294" s="148">
        <v>45239</v>
      </c>
      <c r="M1294" s="107">
        <v>1686.75</v>
      </c>
      <c r="N1294" s="107">
        <v>1693</v>
      </c>
      <c r="O1294" s="107">
        <v>1650</v>
      </c>
      <c r="P1294" s="107">
        <v>1661.9</v>
      </c>
      <c r="Q1294" s="107">
        <v>1686.75</v>
      </c>
      <c r="R1294">
        <v>369190</v>
      </c>
    </row>
    <row r="1295" spans="1:18" x14ac:dyDescent="0.25">
      <c r="A1295" s="148">
        <v>45240</v>
      </c>
      <c r="B1295" s="107">
        <v>1724.95</v>
      </c>
      <c r="C1295" s="107">
        <v>1700.7</v>
      </c>
      <c r="D1295" s="107">
        <v>1673.5</v>
      </c>
      <c r="E1295" s="107">
        <v>1680</v>
      </c>
      <c r="F1295" s="107">
        <v>1700.7</v>
      </c>
      <c r="G1295">
        <v>9409</v>
      </c>
      <c r="H1295" s="107"/>
      <c r="I1295" s="107"/>
      <c r="L1295" s="148">
        <v>45240</v>
      </c>
      <c r="M1295" s="107">
        <v>1699.7</v>
      </c>
      <c r="N1295" s="107">
        <v>1725</v>
      </c>
      <c r="O1295" s="107">
        <v>1675</v>
      </c>
      <c r="P1295" s="107">
        <v>1683.7</v>
      </c>
      <c r="Q1295" s="107">
        <v>1699.7</v>
      </c>
      <c r="R1295">
        <v>294603</v>
      </c>
    </row>
    <row r="1296" spans="1:18" x14ac:dyDescent="0.25">
      <c r="A1296" s="148">
        <v>45242</v>
      </c>
      <c r="B1296" s="107">
        <v>1727.5</v>
      </c>
      <c r="C1296" s="107">
        <v>1704.95</v>
      </c>
      <c r="D1296" s="107">
        <v>1696.3</v>
      </c>
      <c r="E1296" s="107">
        <v>1702</v>
      </c>
      <c r="F1296" s="107">
        <v>1704.95</v>
      </c>
      <c r="G1296">
        <v>3216</v>
      </c>
      <c r="H1296" s="107"/>
      <c r="I1296" s="107"/>
      <c r="L1296" s="148">
        <v>45242</v>
      </c>
      <c r="M1296" s="107">
        <v>1707.7</v>
      </c>
      <c r="N1296" s="107">
        <v>1728.5</v>
      </c>
      <c r="O1296" s="107">
        <v>1695</v>
      </c>
      <c r="P1296" s="107">
        <v>1715</v>
      </c>
      <c r="Q1296" s="107">
        <v>1707.7</v>
      </c>
      <c r="R1296">
        <v>14792</v>
      </c>
    </row>
    <row r="1297" spans="1:18" x14ac:dyDescent="0.25">
      <c r="A1297" s="148">
        <v>45243</v>
      </c>
      <c r="B1297" s="107">
        <v>1746.5</v>
      </c>
      <c r="C1297" s="107">
        <v>1724.5</v>
      </c>
      <c r="D1297" s="107">
        <v>1698</v>
      </c>
      <c r="E1297" s="107">
        <v>1719.15</v>
      </c>
      <c r="F1297" s="107">
        <v>1724.5</v>
      </c>
      <c r="G1297">
        <v>7894</v>
      </c>
      <c r="H1297" s="107"/>
      <c r="I1297" s="107"/>
      <c r="L1297" s="148">
        <v>45243</v>
      </c>
      <c r="M1297" s="107">
        <v>1723.95</v>
      </c>
      <c r="N1297" s="107">
        <v>1745.95</v>
      </c>
      <c r="O1297" s="107">
        <v>1695.25</v>
      </c>
      <c r="P1297" s="107">
        <v>1703.95</v>
      </c>
      <c r="Q1297" s="107">
        <v>1723.95</v>
      </c>
      <c r="R1297">
        <v>217754</v>
      </c>
    </row>
    <row r="1298" spans="1:18" x14ac:dyDescent="0.25">
      <c r="A1298" s="148">
        <v>45245</v>
      </c>
      <c r="B1298" s="107">
        <v>1728</v>
      </c>
      <c r="C1298" s="107">
        <v>1673.25</v>
      </c>
      <c r="D1298" s="107">
        <v>1669</v>
      </c>
      <c r="E1298" s="107">
        <v>1728</v>
      </c>
      <c r="F1298" s="107">
        <v>1673.25</v>
      </c>
      <c r="G1298">
        <v>12488</v>
      </c>
      <c r="H1298" s="107"/>
      <c r="I1298" s="107"/>
      <c r="L1298" s="148">
        <v>45245</v>
      </c>
      <c r="M1298" s="107">
        <v>1674.6</v>
      </c>
      <c r="N1298" s="107">
        <v>1725</v>
      </c>
      <c r="O1298" s="107">
        <v>1670</v>
      </c>
      <c r="P1298" s="107">
        <v>1725</v>
      </c>
      <c r="Q1298" s="107">
        <v>1674.6</v>
      </c>
      <c r="R1298">
        <v>213498</v>
      </c>
    </row>
    <row r="1299" spans="1:18" x14ac:dyDescent="0.25">
      <c r="A1299" s="148">
        <v>45246</v>
      </c>
      <c r="B1299" s="107">
        <v>1695.05</v>
      </c>
      <c r="C1299" s="107">
        <v>1671.1</v>
      </c>
      <c r="D1299" s="107">
        <v>1650.1</v>
      </c>
      <c r="E1299" s="107">
        <v>1695.05</v>
      </c>
      <c r="F1299" s="107">
        <v>1671.1</v>
      </c>
      <c r="G1299">
        <v>7579</v>
      </c>
      <c r="H1299" s="107"/>
      <c r="I1299" s="107"/>
      <c r="L1299" s="148">
        <v>45246</v>
      </c>
      <c r="M1299" s="107">
        <v>1673.1</v>
      </c>
      <c r="N1299" s="107">
        <v>1689.9</v>
      </c>
      <c r="O1299" s="107">
        <v>1650</v>
      </c>
      <c r="P1299" s="107">
        <v>1683.4</v>
      </c>
      <c r="Q1299" s="107">
        <v>1673.1</v>
      </c>
      <c r="R1299">
        <v>170897</v>
      </c>
    </row>
    <row r="1300" spans="1:18" x14ac:dyDescent="0.25">
      <c r="A1300" s="148">
        <v>45247</v>
      </c>
      <c r="B1300" s="107">
        <v>1686.95</v>
      </c>
      <c r="C1300" s="107">
        <v>1602.2</v>
      </c>
      <c r="D1300" s="107">
        <v>1574</v>
      </c>
      <c r="E1300" s="107">
        <v>1686.95</v>
      </c>
      <c r="F1300" s="107">
        <v>1602.2</v>
      </c>
      <c r="G1300">
        <v>12596</v>
      </c>
      <c r="H1300" s="107"/>
      <c r="I1300" s="107"/>
      <c r="L1300" s="148">
        <v>45247</v>
      </c>
      <c r="M1300" s="107">
        <v>1604.9</v>
      </c>
      <c r="N1300" s="107">
        <v>1676</v>
      </c>
      <c r="O1300" s="107">
        <v>1572.15</v>
      </c>
      <c r="P1300" s="107">
        <v>1640</v>
      </c>
      <c r="Q1300" s="107">
        <v>1604.9</v>
      </c>
      <c r="R1300">
        <v>327163</v>
      </c>
    </row>
    <row r="1301" spans="1:18" x14ac:dyDescent="0.25">
      <c r="A1301" s="148">
        <v>45250</v>
      </c>
      <c r="B1301" s="107">
        <v>1635.7</v>
      </c>
      <c r="C1301" s="107">
        <v>1630.35</v>
      </c>
      <c r="D1301" s="107">
        <v>1582.05</v>
      </c>
      <c r="E1301" s="107">
        <v>1619.95</v>
      </c>
      <c r="F1301" s="107">
        <v>1630.35</v>
      </c>
      <c r="G1301">
        <v>4376</v>
      </c>
      <c r="H1301" s="107"/>
      <c r="I1301" s="107"/>
      <c r="L1301" s="148">
        <v>45250</v>
      </c>
      <c r="M1301" s="107">
        <v>1630.35</v>
      </c>
      <c r="N1301" s="107">
        <v>1635.85</v>
      </c>
      <c r="O1301" s="107">
        <v>1581.15</v>
      </c>
      <c r="P1301" s="107">
        <v>1606</v>
      </c>
      <c r="Q1301" s="107">
        <v>1630.35</v>
      </c>
      <c r="R1301">
        <v>157355</v>
      </c>
    </row>
    <row r="1302" spans="1:18" x14ac:dyDescent="0.25">
      <c r="A1302" s="148">
        <v>45251</v>
      </c>
      <c r="B1302" s="107">
        <v>1745.95</v>
      </c>
      <c r="C1302" s="107">
        <v>1733.3</v>
      </c>
      <c r="D1302" s="107">
        <v>1641.25</v>
      </c>
      <c r="E1302" s="107">
        <v>1649.9</v>
      </c>
      <c r="F1302" s="107">
        <v>1733.3</v>
      </c>
      <c r="G1302">
        <v>24700</v>
      </c>
      <c r="H1302" s="107"/>
      <c r="I1302" s="107"/>
      <c r="L1302" s="148">
        <v>45251</v>
      </c>
      <c r="M1302" s="107">
        <v>1732.85</v>
      </c>
      <c r="N1302" s="107">
        <v>1745.95</v>
      </c>
      <c r="O1302" s="107">
        <v>1636.05</v>
      </c>
      <c r="P1302" s="107">
        <v>1644</v>
      </c>
      <c r="Q1302" s="107">
        <v>1732.85</v>
      </c>
      <c r="R1302">
        <v>599616</v>
      </c>
    </row>
    <row r="1303" spans="1:18" x14ac:dyDescent="0.25">
      <c r="A1303" s="148">
        <v>45252</v>
      </c>
      <c r="B1303" s="107">
        <v>1759.75</v>
      </c>
      <c r="C1303" s="107">
        <v>1688.05</v>
      </c>
      <c r="D1303" s="107">
        <v>1662</v>
      </c>
      <c r="E1303" s="107">
        <v>1745.95</v>
      </c>
      <c r="F1303" s="107">
        <v>1688.05</v>
      </c>
      <c r="G1303">
        <v>19705</v>
      </c>
      <c r="H1303" s="107"/>
      <c r="I1303" s="107"/>
      <c r="L1303" s="148">
        <v>45252</v>
      </c>
      <c r="M1303" s="107">
        <v>1689.25</v>
      </c>
      <c r="N1303" s="107">
        <v>1758.95</v>
      </c>
      <c r="O1303" s="107">
        <v>1661.1</v>
      </c>
      <c r="P1303" s="107">
        <v>1741.95</v>
      </c>
      <c r="Q1303" s="107">
        <v>1689.25</v>
      </c>
      <c r="R1303">
        <v>273623</v>
      </c>
    </row>
    <row r="1304" spans="1:18" x14ac:dyDescent="0.25">
      <c r="A1304" s="148">
        <v>45253</v>
      </c>
      <c r="B1304" s="107">
        <v>1705.95</v>
      </c>
      <c r="C1304" s="107">
        <v>1649.7</v>
      </c>
      <c r="D1304" s="107">
        <v>1641</v>
      </c>
      <c r="E1304" s="107">
        <v>1705.95</v>
      </c>
      <c r="F1304" s="107">
        <v>1649.7</v>
      </c>
      <c r="G1304">
        <v>4216</v>
      </c>
      <c r="H1304" s="107"/>
      <c r="I1304" s="107"/>
      <c r="L1304" s="148">
        <v>45253</v>
      </c>
      <c r="M1304" s="107">
        <v>1650.6</v>
      </c>
      <c r="N1304" s="107">
        <v>1695.9</v>
      </c>
      <c r="O1304" s="107">
        <v>1640</v>
      </c>
      <c r="P1304" s="107">
        <v>1689.25</v>
      </c>
      <c r="Q1304" s="107">
        <v>1650.6</v>
      </c>
      <c r="R1304">
        <v>173861</v>
      </c>
    </row>
    <row r="1305" spans="1:18" x14ac:dyDescent="0.25">
      <c r="A1305" s="148">
        <v>45254</v>
      </c>
      <c r="B1305" s="107">
        <v>1727.15</v>
      </c>
      <c r="C1305" s="107">
        <v>1682.35</v>
      </c>
      <c r="D1305" s="107">
        <v>1658.15</v>
      </c>
      <c r="E1305" s="107">
        <v>1658.15</v>
      </c>
      <c r="F1305" s="107">
        <v>1682.35</v>
      </c>
      <c r="G1305">
        <v>4661</v>
      </c>
      <c r="H1305" s="107"/>
      <c r="I1305" s="107"/>
      <c r="L1305" s="148">
        <v>45254</v>
      </c>
      <c r="M1305" s="107">
        <v>1682.4</v>
      </c>
      <c r="N1305" s="107">
        <v>1727.95</v>
      </c>
      <c r="O1305" s="107">
        <v>1655.2</v>
      </c>
      <c r="P1305" s="107">
        <v>1663.95</v>
      </c>
      <c r="Q1305" s="107">
        <v>1682.4</v>
      </c>
      <c r="R1305">
        <v>386567</v>
      </c>
    </row>
    <row r="1306" spans="1:18" x14ac:dyDescent="0.25">
      <c r="A1306" s="148">
        <v>45258</v>
      </c>
      <c r="B1306" s="107">
        <v>1706.6</v>
      </c>
      <c r="C1306" s="107">
        <v>1687.55</v>
      </c>
      <c r="D1306" s="107">
        <v>1680</v>
      </c>
      <c r="E1306" s="107">
        <v>1680.05</v>
      </c>
      <c r="F1306" s="107">
        <v>1687.55</v>
      </c>
      <c r="G1306">
        <v>1776</v>
      </c>
      <c r="H1306" s="107"/>
      <c r="I1306" s="107"/>
      <c r="L1306" s="148">
        <v>45258</v>
      </c>
      <c r="M1306" s="107">
        <v>1685.6</v>
      </c>
      <c r="N1306" s="107">
        <v>1707.95</v>
      </c>
      <c r="O1306" s="107">
        <v>1679.3</v>
      </c>
      <c r="P1306" s="107">
        <v>1682.4</v>
      </c>
      <c r="Q1306" s="107">
        <v>1685.6</v>
      </c>
      <c r="R1306">
        <v>153594</v>
      </c>
    </row>
    <row r="1307" spans="1:18" x14ac:dyDescent="0.25">
      <c r="A1307" s="148">
        <v>45259</v>
      </c>
      <c r="B1307" s="107">
        <v>1700.9</v>
      </c>
      <c r="C1307" s="107">
        <v>1693.2</v>
      </c>
      <c r="D1307" s="107">
        <v>1666.45</v>
      </c>
      <c r="E1307" s="107">
        <v>1682.05</v>
      </c>
      <c r="F1307" s="107">
        <v>1693.2</v>
      </c>
      <c r="G1307">
        <v>5392</v>
      </c>
      <c r="H1307" s="107"/>
      <c r="I1307" s="107"/>
      <c r="L1307" s="148">
        <v>45259</v>
      </c>
      <c r="M1307" s="107">
        <v>1691.8</v>
      </c>
      <c r="N1307" s="107">
        <v>1701.95</v>
      </c>
      <c r="O1307" s="107">
        <v>1665.25</v>
      </c>
      <c r="P1307" s="107">
        <v>1685</v>
      </c>
      <c r="Q1307" s="107">
        <v>1691.8</v>
      </c>
      <c r="R1307">
        <v>106600</v>
      </c>
    </row>
    <row r="1308" spans="1:18" x14ac:dyDescent="0.25">
      <c r="A1308" s="148">
        <v>45260</v>
      </c>
      <c r="B1308" s="107">
        <v>1700.5</v>
      </c>
      <c r="C1308" s="107">
        <v>1698.35</v>
      </c>
      <c r="D1308" s="107">
        <v>1676.35</v>
      </c>
      <c r="E1308" s="107">
        <v>1696.45</v>
      </c>
      <c r="F1308" s="107">
        <v>1698.35</v>
      </c>
      <c r="G1308">
        <v>3992</v>
      </c>
      <c r="H1308" s="107"/>
      <c r="I1308" s="107"/>
      <c r="L1308" s="148">
        <v>45260</v>
      </c>
      <c r="M1308" s="107">
        <v>1697.45</v>
      </c>
      <c r="N1308" s="107">
        <v>1701</v>
      </c>
      <c r="O1308" s="107">
        <v>1676.05</v>
      </c>
      <c r="P1308" s="107">
        <v>1692</v>
      </c>
      <c r="Q1308" s="107">
        <v>1697.45</v>
      </c>
      <c r="R1308">
        <v>117542</v>
      </c>
    </row>
    <row r="1309" spans="1:18" x14ac:dyDescent="0.25">
      <c r="A1309" s="148">
        <v>45261</v>
      </c>
      <c r="B1309" s="107">
        <v>1724.4</v>
      </c>
      <c r="C1309" s="107">
        <v>1693.15</v>
      </c>
      <c r="D1309" s="107">
        <v>1672.6</v>
      </c>
      <c r="E1309" s="107">
        <v>1682.6</v>
      </c>
      <c r="F1309" s="107">
        <v>1693.15</v>
      </c>
      <c r="G1309">
        <v>6292</v>
      </c>
      <c r="H1309" s="107"/>
      <c r="I1309" s="107"/>
      <c r="L1309" s="148">
        <v>45261</v>
      </c>
      <c r="M1309" s="107">
        <v>1698.1</v>
      </c>
      <c r="N1309" s="107">
        <v>1723.95</v>
      </c>
      <c r="O1309" s="107">
        <v>1685.75</v>
      </c>
      <c r="P1309" s="107">
        <v>1699</v>
      </c>
      <c r="Q1309" s="107">
        <v>1698.1</v>
      </c>
      <c r="R1309">
        <v>106139</v>
      </c>
    </row>
    <row r="1310" spans="1:18" x14ac:dyDescent="0.25">
      <c r="A1310" s="148">
        <v>45264</v>
      </c>
      <c r="B1310" s="107">
        <v>1754.9</v>
      </c>
      <c r="C1310" s="107">
        <v>1709.25</v>
      </c>
      <c r="D1310" s="107">
        <v>1700</v>
      </c>
      <c r="E1310" s="107">
        <v>1701.05</v>
      </c>
      <c r="F1310" s="107">
        <v>1709.25</v>
      </c>
      <c r="G1310">
        <v>7337</v>
      </c>
      <c r="H1310" s="107"/>
      <c r="I1310" s="107"/>
      <c r="L1310" s="148">
        <v>45264</v>
      </c>
      <c r="M1310" s="107">
        <v>1707.6</v>
      </c>
      <c r="N1310" s="107">
        <v>1755.25</v>
      </c>
      <c r="O1310" s="107">
        <v>1698.65</v>
      </c>
      <c r="P1310" s="107">
        <v>1724</v>
      </c>
      <c r="Q1310" s="107">
        <v>1707.6</v>
      </c>
      <c r="R1310">
        <v>220393</v>
      </c>
    </row>
    <row r="1311" spans="1:18" x14ac:dyDescent="0.25">
      <c r="A1311" s="148">
        <v>45265</v>
      </c>
      <c r="B1311" s="107">
        <v>1784.95</v>
      </c>
      <c r="C1311" s="107">
        <v>1748</v>
      </c>
      <c r="D1311" s="107">
        <v>1691.05</v>
      </c>
      <c r="E1311" s="107">
        <v>1691.05</v>
      </c>
      <c r="F1311" s="107">
        <v>1748</v>
      </c>
      <c r="G1311">
        <v>18775</v>
      </c>
      <c r="H1311" s="107"/>
      <c r="I1311" s="107"/>
      <c r="L1311" s="148">
        <v>45265</v>
      </c>
      <c r="M1311" s="107">
        <v>1747.85</v>
      </c>
      <c r="N1311" s="107">
        <v>1784.3</v>
      </c>
      <c r="O1311" s="107">
        <v>1707</v>
      </c>
      <c r="P1311" s="107">
        <v>1707</v>
      </c>
      <c r="Q1311" s="107">
        <v>1747.85</v>
      </c>
      <c r="R1311">
        <v>322313</v>
      </c>
    </row>
    <row r="1312" spans="1:18" x14ac:dyDescent="0.25">
      <c r="A1312" s="148">
        <v>45266</v>
      </c>
      <c r="B1312" s="107">
        <v>1794</v>
      </c>
      <c r="C1312" s="107">
        <v>1729.8</v>
      </c>
      <c r="D1312" s="107">
        <v>1719.65</v>
      </c>
      <c r="E1312" s="107">
        <v>1765.25</v>
      </c>
      <c r="F1312" s="107">
        <v>1729.8</v>
      </c>
      <c r="G1312">
        <v>11536</v>
      </c>
      <c r="H1312" s="107"/>
      <c r="I1312" s="107"/>
      <c r="L1312" s="148">
        <v>45266</v>
      </c>
      <c r="M1312" s="107">
        <v>1730.6</v>
      </c>
      <c r="N1312" s="107">
        <v>1795</v>
      </c>
      <c r="O1312" s="107">
        <v>1720</v>
      </c>
      <c r="P1312" s="107">
        <v>1761</v>
      </c>
      <c r="Q1312" s="107">
        <v>1730.6</v>
      </c>
      <c r="R1312">
        <v>320925</v>
      </c>
    </row>
    <row r="1313" spans="1:18" x14ac:dyDescent="0.25">
      <c r="A1313" s="148">
        <v>45267</v>
      </c>
      <c r="B1313" s="107">
        <v>1763.65</v>
      </c>
      <c r="C1313" s="107">
        <v>1715.6</v>
      </c>
      <c r="D1313" s="107">
        <v>1694</v>
      </c>
      <c r="E1313" s="107">
        <v>1735.05</v>
      </c>
      <c r="F1313" s="107">
        <v>1715.6</v>
      </c>
      <c r="G1313">
        <v>9249</v>
      </c>
      <c r="H1313" s="107"/>
      <c r="I1313" s="107"/>
      <c r="L1313" s="148">
        <v>45267</v>
      </c>
      <c r="M1313" s="107">
        <v>1714.75</v>
      </c>
      <c r="N1313" s="107">
        <v>1764.4</v>
      </c>
      <c r="O1313" s="107">
        <v>1694.3</v>
      </c>
      <c r="P1313" s="107">
        <v>1742.8</v>
      </c>
      <c r="Q1313" s="107">
        <v>1714.75</v>
      </c>
      <c r="R1313">
        <v>181354</v>
      </c>
    </row>
    <row r="1314" spans="1:18" x14ac:dyDescent="0.25">
      <c r="A1314" s="148">
        <v>45268</v>
      </c>
      <c r="B1314" s="107">
        <v>1733.75</v>
      </c>
      <c r="C1314" s="107">
        <v>1704.4</v>
      </c>
      <c r="D1314" s="107">
        <v>1701.05</v>
      </c>
      <c r="E1314" s="107">
        <v>1703.7</v>
      </c>
      <c r="F1314" s="107">
        <v>1704.4</v>
      </c>
      <c r="G1314">
        <v>3100</v>
      </c>
      <c r="H1314" s="107"/>
      <c r="I1314" s="107"/>
      <c r="L1314" s="148">
        <v>45268</v>
      </c>
      <c r="M1314" s="107">
        <v>1704.8</v>
      </c>
      <c r="N1314" s="107">
        <v>1733.95</v>
      </c>
      <c r="O1314" s="107">
        <v>1701</v>
      </c>
      <c r="P1314" s="107">
        <v>1716.1</v>
      </c>
      <c r="Q1314" s="107">
        <v>1704.8</v>
      </c>
      <c r="R1314">
        <v>61768</v>
      </c>
    </row>
    <row r="1315" spans="1:18" x14ac:dyDescent="0.25">
      <c r="A1315" s="148">
        <v>45271</v>
      </c>
      <c r="B1315" s="107">
        <v>1794.4</v>
      </c>
      <c r="C1315" s="107">
        <v>1736.55</v>
      </c>
      <c r="D1315" s="107">
        <v>1707.8</v>
      </c>
      <c r="E1315" s="107">
        <v>1707.8</v>
      </c>
      <c r="F1315" s="107">
        <v>1736.55</v>
      </c>
      <c r="G1315">
        <v>9019</v>
      </c>
      <c r="H1315" s="107"/>
      <c r="I1315" s="107"/>
      <c r="L1315" s="148">
        <v>45271</v>
      </c>
      <c r="M1315" s="107">
        <v>1739.4</v>
      </c>
      <c r="N1315" s="107">
        <v>1795.05</v>
      </c>
      <c r="O1315" s="107">
        <v>1706</v>
      </c>
      <c r="P1315" s="107">
        <v>1706</v>
      </c>
      <c r="Q1315" s="107">
        <v>1739.4</v>
      </c>
      <c r="R1315">
        <v>370712</v>
      </c>
    </row>
    <row r="1316" spans="1:18" x14ac:dyDescent="0.25">
      <c r="A1316" s="148">
        <v>45272</v>
      </c>
      <c r="B1316" s="107">
        <v>1788.9</v>
      </c>
      <c r="C1316" s="107">
        <v>1763.2</v>
      </c>
      <c r="D1316" s="107">
        <v>1751.55</v>
      </c>
      <c r="E1316" s="107">
        <v>1751.55</v>
      </c>
      <c r="F1316" s="107">
        <v>1763.2</v>
      </c>
      <c r="G1316">
        <v>4855</v>
      </c>
      <c r="H1316" s="107"/>
      <c r="I1316" s="107"/>
      <c r="L1316" s="148">
        <v>45272</v>
      </c>
      <c r="M1316" s="107">
        <v>1763.5</v>
      </c>
      <c r="N1316" s="107">
        <v>1789</v>
      </c>
      <c r="O1316" s="107">
        <v>1755.65</v>
      </c>
      <c r="P1316" s="107">
        <v>1760</v>
      </c>
      <c r="Q1316" s="107">
        <v>1763.5</v>
      </c>
      <c r="R1316">
        <v>209416</v>
      </c>
    </row>
    <row r="1317" spans="1:18" x14ac:dyDescent="0.25">
      <c r="A1317" s="148">
        <v>45273</v>
      </c>
      <c r="B1317" s="107">
        <v>1780.95</v>
      </c>
      <c r="C1317" s="107">
        <v>1763.8</v>
      </c>
      <c r="D1317" s="107">
        <v>1753.75</v>
      </c>
      <c r="E1317" s="107">
        <v>1759.05</v>
      </c>
      <c r="F1317" s="107">
        <v>1763.8</v>
      </c>
      <c r="G1317">
        <v>3051</v>
      </c>
      <c r="H1317" s="107"/>
      <c r="I1317" s="107"/>
      <c r="L1317" s="148">
        <v>45273</v>
      </c>
      <c r="M1317" s="107">
        <v>1762.55</v>
      </c>
      <c r="N1317" s="107">
        <v>1785</v>
      </c>
      <c r="O1317" s="107">
        <v>1752.55</v>
      </c>
      <c r="P1317" s="107">
        <v>1760.85</v>
      </c>
      <c r="Q1317" s="107">
        <v>1762.55</v>
      </c>
      <c r="R1317">
        <v>82140</v>
      </c>
    </row>
    <row r="1318" spans="1:18" x14ac:dyDescent="0.25">
      <c r="A1318" s="148">
        <v>45274</v>
      </c>
      <c r="B1318" s="107">
        <v>1793.05</v>
      </c>
      <c r="C1318" s="107">
        <v>1752.3</v>
      </c>
      <c r="D1318" s="107">
        <v>1747</v>
      </c>
      <c r="E1318" s="107">
        <v>1769.55</v>
      </c>
      <c r="F1318" s="107">
        <v>1752.3</v>
      </c>
      <c r="G1318">
        <v>6633</v>
      </c>
      <c r="H1318" s="107"/>
      <c r="I1318" s="107"/>
      <c r="L1318" s="148">
        <v>45274</v>
      </c>
      <c r="M1318" s="107">
        <v>1754.45</v>
      </c>
      <c r="N1318" s="107">
        <v>1796</v>
      </c>
      <c r="O1318" s="107">
        <v>1748.6</v>
      </c>
      <c r="P1318" s="107">
        <v>1771.4</v>
      </c>
      <c r="Q1318" s="107">
        <v>1754.45</v>
      </c>
      <c r="R1318">
        <v>150355</v>
      </c>
    </row>
    <row r="1319" spans="1:18" x14ac:dyDescent="0.25">
      <c r="A1319" s="148">
        <v>45275</v>
      </c>
      <c r="B1319" s="107">
        <v>1779.3</v>
      </c>
      <c r="C1319" s="107">
        <v>1697.3</v>
      </c>
      <c r="D1319" s="107">
        <v>1692.05</v>
      </c>
      <c r="E1319" s="107">
        <v>1779.3</v>
      </c>
      <c r="F1319" s="107">
        <v>1697.3</v>
      </c>
      <c r="G1319">
        <v>5393</v>
      </c>
      <c r="H1319" s="107"/>
      <c r="I1319" s="107"/>
      <c r="L1319" s="148">
        <v>45275</v>
      </c>
      <c r="M1319" s="107">
        <v>1698.65</v>
      </c>
      <c r="N1319" s="107">
        <v>1768.35</v>
      </c>
      <c r="O1319" s="107">
        <v>1693.05</v>
      </c>
      <c r="P1319" s="107">
        <v>1765</v>
      </c>
      <c r="Q1319" s="107">
        <v>1698.65</v>
      </c>
      <c r="R1319">
        <v>156813</v>
      </c>
    </row>
    <row r="1320" spans="1:18" x14ac:dyDescent="0.25">
      <c r="A1320" s="148">
        <v>45278</v>
      </c>
      <c r="B1320" s="107">
        <v>1728.95</v>
      </c>
      <c r="C1320" s="107">
        <v>1689.6</v>
      </c>
      <c r="D1320" s="107">
        <v>1680.1</v>
      </c>
      <c r="E1320" s="107">
        <v>1728.95</v>
      </c>
      <c r="F1320" s="107">
        <v>1689.6</v>
      </c>
      <c r="G1320">
        <v>2480</v>
      </c>
      <c r="H1320" s="107"/>
      <c r="I1320" s="107"/>
      <c r="L1320" s="148">
        <v>45278</v>
      </c>
      <c r="M1320" s="107">
        <v>1689.25</v>
      </c>
      <c r="N1320" s="107">
        <v>1731.95</v>
      </c>
      <c r="O1320" s="107">
        <v>1681.1</v>
      </c>
      <c r="P1320" s="107">
        <v>1707</v>
      </c>
      <c r="Q1320" s="107">
        <v>1689.25</v>
      </c>
      <c r="R1320">
        <v>127206</v>
      </c>
    </row>
    <row r="1321" spans="1:18" x14ac:dyDescent="0.25">
      <c r="A1321" s="148">
        <v>45279</v>
      </c>
      <c r="B1321" s="107">
        <v>1706</v>
      </c>
      <c r="C1321" s="107">
        <v>1684.75</v>
      </c>
      <c r="D1321" s="107">
        <v>1675</v>
      </c>
      <c r="E1321" s="107">
        <v>1687.15</v>
      </c>
      <c r="F1321" s="107">
        <v>1684.75</v>
      </c>
      <c r="G1321">
        <v>6856</v>
      </c>
      <c r="H1321" s="107"/>
      <c r="I1321" s="107"/>
      <c r="L1321" s="148">
        <v>45279</v>
      </c>
      <c r="M1321" s="107">
        <v>1682.15</v>
      </c>
      <c r="N1321" s="107">
        <v>1706.5</v>
      </c>
      <c r="O1321" s="107">
        <v>1675</v>
      </c>
      <c r="P1321" s="107">
        <v>1690.95</v>
      </c>
      <c r="Q1321" s="107">
        <v>1682.15</v>
      </c>
      <c r="R1321">
        <v>354027</v>
      </c>
    </row>
    <row r="1322" spans="1:18" x14ac:dyDescent="0.25">
      <c r="A1322" s="148">
        <v>45280</v>
      </c>
      <c r="B1322" s="107">
        <v>1709</v>
      </c>
      <c r="C1322" s="107">
        <v>1655.8</v>
      </c>
      <c r="D1322" s="107">
        <v>1640</v>
      </c>
      <c r="E1322" s="107">
        <v>1677.05</v>
      </c>
      <c r="F1322" s="107">
        <v>1655.8</v>
      </c>
      <c r="G1322">
        <v>11091</v>
      </c>
      <c r="H1322" s="107"/>
      <c r="I1322" s="107"/>
      <c r="L1322" s="148">
        <v>45280</v>
      </c>
      <c r="M1322" s="107">
        <v>1655.7</v>
      </c>
      <c r="N1322" s="107">
        <v>1709.1</v>
      </c>
      <c r="O1322" s="107">
        <v>1640</v>
      </c>
      <c r="P1322" s="107">
        <v>1682.9</v>
      </c>
      <c r="Q1322" s="107">
        <v>1655.7</v>
      </c>
      <c r="R1322">
        <v>136004</v>
      </c>
    </row>
    <row r="1323" spans="1:18" x14ac:dyDescent="0.25">
      <c r="A1323" s="148">
        <v>45281</v>
      </c>
      <c r="B1323" s="107">
        <v>1658</v>
      </c>
      <c r="C1323" s="107">
        <v>1629.1</v>
      </c>
      <c r="D1323" s="107">
        <v>1596.25</v>
      </c>
      <c r="E1323" s="107">
        <v>1645.15</v>
      </c>
      <c r="F1323" s="107">
        <v>1629.1</v>
      </c>
      <c r="G1323">
        <v>13379</v>
      </c>
      <c r="H1323" s="107"/>
      <c r="I1323" s="107"/>
      <c r="L1323" s="148">
        <v>45281</v>
      </c>
      <c r="M1323" s="107">
        <v>1629.8</v>
      </c>
      <c r="N1323" s="107">
        <v>1664</v>
      </c>
      <c r="O1323" s="107">
        <v>1597</v>
      </c>
      <c r="P1323" s="107">
        <v>1655.95</v>
      </c>
      <c r="Q1323" s="107">
        <v>1629.8</v>
      </c>
      <c r="R1323">
        <v>248817</v>
      </c>
    </row>
    <row r="1324" spans="1:18" x14ac:dyDescent="0.25">
      <c r="A1324" s="148">
        <v>45282</v>
      </c>
      <c r="B1324" s="107">
        <v>1689.75</v>
      </c>
      <c r="C1324" s="107">
        <v>1626.75</v>
      </c>
      <c r="D1324" s="107">
        <v>1610.35</v>
      </c>
      <c r="E1324" s="107">
        <v>1633.7</v>
      </c>
      <c r="F1324" s="107">
        <v>1626.75</v>
      </c>
      <c r="G1324">
        <v>7838</v>
      </c>
      <c r="H1324" s="107"/>
      <c r="I1324" s="107"/>
      <c r="L1324" s="148">
        <v>45282</v>
      </c>
      <c r="M1324" s="107">
        <v>1627.5</v>
      </c>
      <c r="N1324" s="107">
        <v>1690</v>
      </c>
      <c r="O1324" s="107">
        <v>1610.05</v>
      </c>
      <c r="P1324" s="107">
        <v>1632</v>
      </c>
      <c r="Q1324" s="107">
        <v>1627.5</v>
      </c>
      <c r="R1324">
        <v>428926</v>
      </c>
    </row>
    <row r="1325" spans="1:18" x14ac:dyDescent="0.25">
      <c r="A1325" s="148">
        <v>45286</v>
      </c>
      <c r="B1325" s="107">
        <v>1653.95</v>
      </c>
      <c r="C1325" s="107">
        <v>1613.35</v>
      </c>
      <c r="D1325" s="107">
        <v>1596.5</v>
      </c>
      <c r="E1325" s="107">
        <v>1653.95</v>
      </c>
      <c r="F1325" s="107">
        <v>1613.35</v>
      </c>
      <c r="G1325">
        <v>5153</v>
      </c>
      <c r="H1325" s="107"/>
      <c r="I1325" s="107"/>
      <c r="L1325" s="148">
        <v>45286</v>
      </c>
      <c r="M1325" s="107">
        <v>1613.25</v>
      </c>
      <c r="N1325" s="107">
        <v>1645.25</v>
      </c>
      <c r="O1325" s="107">
        <v>1595.05</v>
      </c>
      <c r="P1325" s="107">
        <v>1645.25</v>
      </c>
      <c r="Q1325" s="107">
        <v>1613.25</v>
      </c>
      <c r="R1325">
        <v>300239</v>
      </c>
    </row>
    <row r="1326" spans="1:18" x14ac:dyDescent="0.25">
      <c r="A1326" s="148">
        <v>45287</v>
      </c>
      <c r="B1326" s="107">
        <v>1634</v>
      </c>
      <c r="C1326" s="107">
        <v>1601.7</v>
      </c>
      <c r="D1326" s="107">
        <v>1597.15</v>
      </c>
      <c r="E1326" s="107">
        <v>1626.55</v>
      </c>
      <c r="F1326" s="107">
        <v>1601.7</v>
      </c>
      <c r="G1326">
        <v>7652</v>
      </c>
      <c r="H1326" s="107"/>
      <c r="I1326" s="107"/>
      <c r="L1326" s="148">
        <v>45287</v>
      </c>
      <c r="M1326" s="107">
        <v>1602.55</v>
      </c>
      <c r="N1326" s="107">
        <v>1634.75</v>
      </c>
      <c r="O1326" s="107">
        <v>1597.95</v>
      </c>
      <c r="P1326" s="107">
        <v>1620.15</v>
      </c>
      <c r="Q1326" s="107">
        <v>1602.55</v>
      </c>
      <c r="R1326">
        <v>151576</v>
      </c>
    </row>
    <row r="1327" spans="1:18" x14ac:dyDescent="0.25">
      <c r="A1327" s="148">
        <v>45288</v>
      </c>
      <c r="B1327" s="107">
        <v>1607.95</v>
      </c>
      <c r="C1327" s="107">
        <v>1586.2</v>
      </c>
      <c r="D1327" s="107">
        <v>1578.1</v>
      </c>
      <c r="E1327" s="107">
        <v>1603.65</v>
      </c>
      <c r="F1327" s="107">
        <v>1586.2</v>
      </c>
      <c r="G1327">
        <v>3587</v>
      </c>
      <c r="H1327" s="107"/>
      <c r="I1327" s="107"/>
      <c r="L1327" s="148">
        <v>45288</v>
      </c>
      <c r="M1327" s="107">
        <v>1586.8</v>
      </c>
      <c r="N1327" s="107">
        <v>1612</v>
      </c>
      <c r="O1327" s="107">
        <v>1576.5</v>
      </c>
      <c r="P1327" s="107">
        <v>1612</v>
      </c>
      <c r="Q1327" s="107">
        <v>1586.8</v>
      </c>
      <c r="R1327">
        <v>283886</v>
      </c>
    </row>
    <row r="1328" spans="1:18" x14ac:dyDescent="0.25">
      <c r="A1328" s="148">
        <v>45289</v>
      </c>
      <c r="B1328" s="107">
        <v>1604.5</v>
      </c>
      <c r="C1328" s="107">
        <v>1597.55</v>
      </c>
      <c r="D1328" s="107">
        <v>1584.55</v>
      </c>
      <c r="E1328" s="107">
        <v>1584.9</v>
      </c>
      <c r="F1328" s="107">
        <v>1597.55</v>
      </c>
      <c r="G1328">
        <v>3009</v>
      </c>
      <c r="H1328" s="107"/>
      <c r="I1328" s="107"/>
      <c r="L1328" s="148">
        <v>45289</v>
      </c>
      <c r="M1328" s="107">
        <v>1596.55</v>
      </c>
      <c r="N1328" s="107">
        <v>1605.7</v>
      </c>
      <c r="O1328" s="107">
        <v>1583.35</v>
      </c>
      <c r="P1328" s="107">
        <v>1599</v>
      </c>
      <c r="Q1328" s="107">
        <v>1596.55</v>
      </c>
      <c r="R1328">
        <v>244786</v>
      </c>
    </row>
    <row r="1329" spans="1:18" x14ac:dyDescent="0.25">
      <c r="A1329" s="148">
        <v>45292</v>
      </c>
      <c r="B1329" s="107">
        <v>1611.8</v>
      </c>
      <c r="C1329" s="107">
        <v>1594.3</v>
      </c>
      <c r="D1329" s="107">
        <v>1587</v>
      </c>
      <c r="E1329" s="107">
        <v>1611.8</v>
      </c>
      <c r="F1329" s="107">
        <v>1594.3</v>
      </c>
      <c r="G1329">
        <v>3992</v>
      </c>
      <c r="H1329" s="107"/>
      <c r="I1329" s="107"/>
      <c r="L1329" s="148">
        <v>45292</v>
      </c>
      <c r="M1329" s="107">
        <v>1594.15</v>
      </c>
      <c r="N1329" s="107">
        <v>1610</v>
      </c>
      <c r="O1329" s="107">
        <v>1585.05</v>
      </c>
      <c r="P1329" s="107">
        <v>1596.55</v>
      </c>
      <c r="Q1329" s="107">
        <v>1594.15</v>
      </c>
      <c r="R1329">
        <v>143057</v>
      </c>
    </row>
    <row r="1330" spans="1:18" x14ac:dyDescent="0.25">
      <c r="A1330" s="148">
        <v>45293</v>
      </c>
      <c r="B1330" s="107">
        <v>1609.95</v>
      </c>
      <c r="C1330" s="107">
        <v>1575.05</v>
      </c>
      <c r="D1330" s="107">
        <v>1560.1</v>
      </c>
      <c r="E1330" s="107">
        <v>1609.95</v>
      </c>
      <c r="F1330" s="107">
        <v>1575.05</v>
      </c>
      <c r="G1330">
        <v>13331</v>
      </c>
      <c r="H1330" s="107"/>
      <c r="I1330" s="107"/>
      <c r="L1330" s="148">
        <v>45293</v>
      </c>
      <c r="M1330" s="107">
        <v>1573.75</v>
      </c>
      <c r="N1330" s="107">
        <v>1602.15</v>
      </c>
      <c r="O1330" s="107">
        <v>1560</v>
      </c>
      <c r="P1330" s="107">
        <v>1602</v>
      </c>
      <c r="Q1330" s="107">
        <v>1573.75</v>
      </c>
      <c r="R1330">
        <v>217805</v>
      </c>
    </row>
    <row r="1331" spans="1:18" x14ac:dyDescent="0.25">
      <c r="A1331" s="148">
        <v>45294</v>
      </c>
      <c r="B1331" s="107">
        <v>1598.75</v>
      </c>
      <c r="C1331" s="107">
        <v>1578.15</v>
      </c>
      <c r="D1331" s="107">
        <v>1560</v>
      </c>
      <c r="E1331" s="107">
        <v>1598.75</v>
      </c>
      <c r="F1331" s="107">
        <v>1578.15</v>
      </c>
      <c r="G1331">
        <v>6620</v>
      </c>
      <c r="H1331" s="107"/>
      <c r="I1331" s="107"/>
      <c r="L1331" s="148">
        <v>45294</v>
      </c>
      <c r="M1331" s="107">
        <v>1585.3</v>
      </c>
      <c r="N1331" s="107">
        <v>1624</v>
      </c>
      <c r="O1331" s="107">
        <v>1561</v>
      </c>
      <c r="P1331" s="107">
        <v>1573.75</v>
      </c>
      <c r="Q1331" s="107">
        <v>1585.3</v>
      </c>
      <c r="R1331">
        <v>132857</v>
      </c>
    </row>
    <row r="1332" spans="1:18" x14ac:dyDescent="0.25">
      <c r="A1332" s="148">
        <v>45295</v>
      </c>
      <c r="B1332" s="107">
        <v>1604.15</v>
      </c>
      <c r="C1332" s="107">
        <v>1595.9</v>
      </c>
      <c r="D1332" s="107">
        <v>1577</v>
      </c>
      <c r="E1332" s="107">
        <v>1577.9</v>
      </c>
      <c r="F1332" s="107">
        <v>1595.9</v>
      </c>
      <c r="G1332">
        <v>4357</v>
      </c>
      <c r="H1332" s="107"/>
      <c r="I1332" s="107"/>
      <c r="L1332" s="148">
        <v>45295</v>
      </c>
      <c r="M1332" s="107">
        <v>1595.7</v>
      </c>
      <c r="N1332" s="107">
        <v>1606.45</v>
      </c>
      <c r="O1332" s="107">
        <v>1572.6</v>
      </c>
      <c r="P1332" s="107">
        <v>1572.6</v>
      </c>
      <c r="Q1332" s="107">
        <v>1595.7</v>
      </c>
      <c r="R1332">
        <v>119118</v>
      </c>
    </row>
    <row r="1333" spans="1:18" x14ac:dyDescent="0.25">
      <c r="A1333" s="148">
        <v>45296</v>
      </c>
      <c r="B1333" s="107">
        <v>1740</v>
      </c>
      <c r="C1333" s="107">
        <v>1729.6</v>
      </c>
      <c r="D1333" s="107">
        <v>1604.95</v>
      </c>
      <c r="E1333" s="107">
        <v>1604.95</v>
      </c>
      <c r="F1333" s="107">
        <v>1729.6</v>
      </c>
      <c r="G1333">
        <v>61929</v>
      </c>
      <c r="H1333" s="107"/>
      <c r="I1333" s="107"/>
      <c r="L1333" s="148">
        <v>45296</v>
      </c>
      <c r="M1333" s="107">
        <v>1729.1</v>
      </c>
      <c r="N1333" s="107">
        <v>1744.8</v>
      </c>
      <c r="O1333" s="107">
        <v>1597</v>
      </c>
      <c r="P1333" s="107">
        <v>1597</v>
      </c>
      <c r="Q1333" s="107">
        <v>1729.1</v>
      </c>
      <c r="R1333">
        <v>1070524</v>
      </c>
    </row>
    <row r="1334" spans="1:18" x14ac:dyDescent="0.25">
      <c r="A1334" s="148">
        <v>45299</v>
      </c>
      <c r="B1334" s="107">
        <v>1754.15</v>
      </c>
      <c r="C1334" s="107">
        <v>1730.8</v>
      </c>
      <c r="D1334" s="107">
        <v>1697.25</v>
      </c>
      <c r="E1334" s="107">
        <v>1729.15</v>
      </c>
      <c r="F1334" s="107">
        <v>1730.8</v>
      </c>
      <c r="G1334">
        <v>17775</v>
      </c>
      <c r="H1334" s="107"/>
      <c r="I1334" s="107"/>
      <c r="L1334" s="148">
        <v>45299</v>
      </c>
      <c r="M1334" s="107">
        <v>1731.15</v>
      </c>
      <c r="N1334" s="107">
        <v>1754.9</v>
      </c>
      <c r="O1334" s="107">
        <v>1695.7</v>
      </c>
      <c r="P1334" s="107">
        <v>1735.9</v>
      </c>
      <c r="Q1334" s="107">
        <v>1731.15</v>
      </c>
      <c r="R1334">
        <v>274877</v>
      </c>
    </row>
    <row r="1335" spans="1:18" x14ac:dyDescent="0.25">
      <c r="A1335" s="148">
        <v>45300</v>
      </c>
      <c r="B1335" s="107">
        <v>1789.75</v>
      </c>
      <c r="C1335" s="107">
        <v>1751.2</v>
      </c>
      <c r="D1335" s="107">
        <v>1738.3</v>
      </c>
      <c r="E1335" s="107">
        <v>1749</v>
      </c>
      <c r="F1335" s="107">
        <v>1751.2</v>
      </c>
      <c r="G1335">
        <v>20462</v>
      </c>
      <c r="H1335" s="107"/>
      <c r="I1335" s="107"/>
      <c r="L1335" s="148">
        <v>45300</v>
      </c>
      <c r="M1335" s="107">
        <v>1757.5</v>
      </c>
      <c r="N1335" s="107">
        <v>1790.75</v>
      </c>
      <c r="O1335" s="107">
        <v>1735.25</v>
      </c>
      <c r="P1335" s="107">
        <v>1748.45</v>
      </c>
      <c r="Q1335" s="107">
        <v>1757.5</v>
      </c>
      <c r="R1335">
        <v>289761</v>
      </c>
    </row>
    <row r="1336" spans="1:18" x14ac:dyDescent="0.25">
      <c r="A1336" s="148">
        <v>45301</v>
      </c>
      <c r="B1336" s="107">
        <v>1785</v>
      </c>
      <c r="C1336" s="107">
        <v>1755.2</v>
      </c>
      <c r="D1336" s="107">
        <v>1732.85</v>
      </c>
      <c r="E1336" s="107">
        <v>1755</v>
      </c>
      <c r="F1336" s="107">
        <v>1755.2</v>
      </c>
      <c r="G1336">
        <v>5892</v>
      </c>
      <c r="H1336" s="107"/>
      <c r="I1336" s="107"/>
      <c r="L1336" s="148">
        <v>45301</v>
      </c>
      <c r="M1336" s="107">
        <v>1753</v>
      </c>
      <c r="N1336" s="107">
        <v>1783.65</v>
      </c>
      <c r="O1336" s="107">
        <v>1732.3</v>
      </c>
      <c r="P1336" s="107">
        <v>1755</v>
      </c>
      <c r="Q1336" s="107">
        <v>1753</v>
      </c>
      <c r="R1336">
        <v>200637</v>
      </c>
    </row>
    <row r="1337" spans="1:18" x14ac:dyDescent="0.25">
      <c r="A1337" s="148">
        <v>45302</v>
      </c>
      <c r="B1337" s="107">
        <v>1768.95</v>
      </c>
      <c r="C1337" s="107">
        <v>1728.6</v>
      </c>
      <c r="D1337" s="107">
        <v>1722</v>
      </c>
      <c r="E1337" s="107">
        <v>1768.95</v>
      </c>
      <c r="F1337" s="107">
        <v>1728.6</v>
      </c>
      <c r="G1337">
        <v>6599</v>
      </c>
      <c r="H1337" s="107"/>
      <c r="I1337" s="107"/>
      <c r="L1337" s="148">
        <v>45302</v>
      </c>
      <c r="M1337" s="107">
        <v>1728.1</v>
      </c>
      <c r="N1337" s="107">
        <v>1758.25</v>
      </c>
      <c r="O1337" s="107">
        <v>1721</v>
      </c>
      <c r="P1337" s="107">
        <v>1753</v>
      </c>
      <c r="Q1337" s="107">
        <v>1728.1</v>
      </c>
      <c r="R1337">
        <v>51143</v>
      </c>
    </row>
    <row r="1338" spans="1:18" x14ac:dyDescent="0.25">
      <c r="A1338" s="148">
        <v>45303</v>
      </c>
      <c r="B1338" s="107">
        <v>1736.15</v>
      </c>
      <c r="C1338" s="107">
        <v>1702.85</v>
      </c>
      <c r="D1338" s="107">
        <v>1694.1</v>
      </c>
      <c r="E1338" s="107">
        <v>1728.6</v>
      </c>
      <c r="F1338" s="107">
        <v>1702.85</v>
      </c>
      <c r="G1338">
        <v>13509</v>
      </c>
      <c r="H1338" s="107"/>
      <c r="I1338" s="107"/>
      <c r="L1338" s="148">
        <v>45303</v>
      </c>
      <c r="M1338" s="107">
        <v>1703.55</v>
      </c>
      <c r="N1338" s="107">
        <v>1737.9</v>
      </c>
      <c r="O1338" s="107">
        <v>1693.55</v>
      </c>
      <c r="P1338" s="107">
        <v>1728.1</v>
      </c>
      <c r="Q1338" s="107">
        <v>1703.55</v>
      </c>
      <c r="R1338">
        <v>101297</v>
      </c>
    </row>
    <row r="1339" spans="1:18" x14ac:dyDescent="0.25">
      <c r="A1339" s="148">
        <v>45306</v>
      </c>
      <c r="B1339" s="107">
        <v>1735.65</v>
      </c>
      <c r="C1339" s="107">
        <v>1673.4</v>
      </c>
      <c r="D1339" s="107">
        <v>1667.05</v>
      </c>
      <c r="E1339" s="107">
        <v>1708.15</v>
      </c>
      <c r="F1339" s="107">
        <v>1673.4</v>
      </c>
      <c r="G1339">
        <v>5854</v>
      </c>
      <c r="H1339" s="107"/>
      <c r="I1339" s="107"/>
      <c r="L1339" s="148">
        <v>45306</v>
      </c>
      <c r="M1339" s="107">
        <v>1671.8</v>
      </c>
      <c r="N1339" s="107">
        <v>1736</v>
      </c>
      <c r="O1339" s="107">
        <v>1666</v>
      </c>
      <c r="P1339" s="107">
        <v>1711.95</v>
      </c>
      <c r="Q1339" s="107">
        <v>1671.8</v>
      </c>
      <c r="R1339">
        <v>99706</v>
      </c>
    </row>
    <row r="1340" spans="1:18" x14ac:dyDescent="0.25">
      <c r="A1340" s="148">
        <v>45307</v>
      </c>
      <c r="B1340" s="107">
        <v>1727</v>
      </c>
      <c r="C1340" s="107">
        <v>1699.45</v>
      </c>
      <c r="D1340" s="107">
        <v>1666.15</v>
      </c>
      <c r="E1340" s="107">
        <v>1666.15</v>
      </c>
      <c r="F1340" s="107">
        <v>1699.45</v>
      </c>
      <c r="G1340">
        <v>8779</v>
      </c>
      <c r="H1340" s="107"/>
      <c r="I1340" s="107"/>
      <c r="L1340" s="148">
        <v>45307</v>
      </c>
      <c r="M1340" s="107">
        <v>1704.35</v>
      </c>
      <c r="N1340" s="107">
        <v>1725.25</v>
      </c>
      <c r="O1340" s="107">
        <v>1673</v>
      </c>
      <c r="P1340" s="107">
        <v>1673.95</v>
      </c>
      <c r="Q1340" s="107">
        <v>1704.35</v>
      </c>
      <c r="R1340">
        <v>126666</v>
      </c>
    </row>
    <row r="1341" spans="1:18" x14ac:dyDescent="0.25">
      <c r="A1341" s="148">
        <v>45308</v>
      </c>
      <c r="B1341" s="107">
        <v>1695.4</v>
      </c>
      <c r="C1341" s="107">
        <v>1656</v>
      </c>
      <c r="D1341" s="107">
        <v>1643.65</v>
      </c>
      <c r="E1341" s="107">
        <v>1695.4</v>
      </c>
      <c r="F1341" s="107">
        <v>1656</v>
      </c>
      <c r="G1341">
        <v>4152</v>
      </c>
      <c r="H1341" s="107"/>
      <c r="I1341" s="107"/>
      <c r="L1341" s="148">
        <v>45308</v>
      </c>
      <c r="M1341" s="107">
        <v>1656.3</v>
      </c>
      <c r="N1341" s="107">
        <v>1696.4</v>
      </c>
      <c r="O1341" s="107">
        <v>1650</v>
      </c>
      <c r="P1341" s="107">
        <v>1690.05</v>
      </c>
      <c r="Q1341" s="107">
        <v>1656.3</v>
      </c>
      <c r="R1341">
        <v>270447</v>
      </c>
    </row>
    <row r="1342" spans="1:18" x14ac:dyDescent="0.25">
      <c r="A1342" s="148">
        <v>45309</v>
      </c>
      <c r="B1342" s="107">
        <v>1685.45</v>
      </c>
      <c r="C1342" s="107">
        <v>1646.65</v>
      </c>
      <c r="D1342" s="107">
        <v>1597.5</v>
      </c>
      <c r="E1342" s="107">
        <v>1685.45</v>
      </c>
      <c r="F1342" s="107">
        <v>1646.65</v>
      </c>
      <c r="G1342">
        <v>6363</v>
      </c>
      <c r="H1342" s="107"/>
      <c r="I1342" s="107"/>
      <c r="L1342" s="148">
        <v>45309</v>
      </c>
      <c r="M1342" s="107">
        <v>1648.7</v>
      </c>
      <c r="N1342" s="107">
        <v>1662.95</v>
      </c>
      <c r="O1342" s="107">
        <v>1596</v>
      </c>
      <c r="P1342" s="107">
        <v>1654.95</v>
      </c>
      <c r="Q1342" s="107">
        <v>1648.7</v>
      </c>
      <c r="R1342">
        <v>344148</v>
      </c>
    </row>
    <row r="1343" spans="1:18" x14ac:dyDescent="0.25">
      <c r="A1343" s="148">
        <v>45310</v>
      </c>
      <c r="B1343" s="107">
        <v>1718.95</v>
      </c>
      <c r="C1343" s="107">
        <v>1682.55</v>
      </c>
      <c r="D1343" s="107">
        <v>1644.05</v>
      </c>
      <c r="E1343" s="107">
        <v>1692.95</v>
      </c>
      <c r="F1343" s="107">
        <v>1682.55</v>
      </c>
      <c r="G1343">
        <v>4457</v>
      </c>
      <c r="H1343" s="107"/>
      <c r="I1343" s="107"/>
      <c r="L1343" s="148">
        <v>45310</v>
      </c>
      <c r="M1343" s="107">
        <v>1675.45</v>
      </c>
      <c r="N1343" s="107">
        <v>1721.45</v>
      </c>
      <c r="O1343" s="107">
        <v>1641.25</v>
      </c>
      <c r="P1343" s="107">
        <v>1674</v>
      </c>
      <c r="Q1343" s="107">
        <v>1675.45</v>
      </c>
      <c r="R1343">
        <v>345261</v>
      </c>
    </row>
    <row r="1344" spans="1:18" x14ac:dyDescent="0.25">
      <c r="A1344" s="148">
        <v>45311</v>
      </c>
      <c r="B1344" s="107">
        <v>1718.7</v>
      </c>
      <c r="C1344" s="107">
        <v>1668.8</v>
      </c>
      <c r="D1344" s="107">
        <v>1652</v>
      </c>
      <c r="E1344" s="107">
        <v>1682.1</v>
      </c>
      <c r="F1344" s="107">
        <v>1668.8</v>
      </c>
      <c r="G1344">
        <v>13753</v>
      </c>
      <c r="H1344" s="107"/>
      <c r="I1344" s="107"/>
      <c r="L1344" s="148">
        <v>45311</v>
      </c>
      <c r="M1344" s="107">
        <v>1667.25</v>
      </c>
      <c r="N1344" s="107">
        <v>1717.7</v>
      </c>
      <c r="O1344" s="107">
        <v>1650.15</v>
      </c>
      <c r="P1344" s="107">
        <v>1676.5</v>
      </c>
      <c r="Q1344" s="107">
        <v>1667.25</v>
      </c>
      <c r="R1344">
        <v>311345</v>
      </c>
    </row>
    <row r="1345" spans="1:18" x14ac:dyDescent="0.25">
      <c r="A1345" s="148">
        <v>45314</v>
      </c>
      <c r="B1345" s="107">
        <v>1697.95</v>
      </c>
      <c r="C1345" s="107">
        <v>1624.8</v>
      </c>
      <c r="D1345" s="107">
        <v>1591.5</v>
      </c>
      <c r="E1345" s="107">
        <v>1665.05</v>
      </c>
      <c r="F1345" s="107">
        <v>1624.8</v>
      </c>
      <c r="G1345">
        <v>25314</v>
      </c>
      <c r="H1345" s="107"/>
      <c r="I1345" s="107"/>
      <c r="L1345" s="148">
        <v>45314</v>
      </c>
      <c r="M1345" s="107">
        <v>1624.5</v>
      </c>
      <c r="N1345" s="107">
        <v>1698.9</v>
      </c>
      <c r="O1345" s="107">
        <v>1585.25</v>
      </c>
      <c r="P1345" s="107">
        <v>1669.75</v>
      </c>
      <c r="Q1345" s="107">
        <v>1624.5</v>
      </c>
      <c r="R1345">
        <v>261074</v>
      </c>
    </row>
    <row r="1346" spans="1:18" x14ac:dyDescent="0.25">
      <c r="A1346" s="148">
        <v>45315</v>
      </c>
      <c r="B1346" s="107">
        <v>1628.1</v>
      </c>
      <c r="C1346" s="107">
        <v>1553.1</v>
      </c>
      <c r="D1346" s="107">
        <v>1540.8</v>
      </c>
      <c r="E1346" s="107">
        <v>1610.75</v>
      </c>
      <c r="F1346" s="107">
        <v>1553.1</v>
      </c>
      <c r="G1346">
        <v>20015</v>
      </c>
      <c r="H1346" s="107"/>
      <c r="I1346" s="107"/>
      <c r="L1346" s="148">
        <v>45315</v>
      </c>
      <c r="M1346" s="107">
        <v>1553.8</v>
      </c>
      <c r="N1346" s="107">
        <v>1624.45</v>
      </c>
      <c r="O1346" s="107">
        <v>1540</v>
      </c>
      <c r="P1346" s="107">
        <v>1620</v>
      </c>
      <c r="Q1346" s="107">
        <v>1553.8</v>
      </c>
      <c r="R1346">
        <v>411522</v>
      </c>
    </row>
    <row r="1347" spans="1:18" x14ac:dyDescent="0.25">
      <c r="A1347" s="148">
        <v>45316</v>
      </c>
      <c r="B1347" s="107">
        <v>1632</v>
      </c>
      <c r="C1347" s="107">
        <v>1593.6</v>
      </c>
      <c r="D1347" s="107">
        <v>1504.5</v>
      </c>
      <c r="E1347" s="107">
        <v>1564.95</v>
      </c>
      <c r="F1347" s="107">
        <v>1593.6</v>
      </c>
      <c r="G1347">
        <v>12500</v>
      </c>
      <c r="H1347" s="107"/>
      <c r="I1347" s="107"/>
      <c r="L1347" s="148">
        <v>45316</v>
      </c>
      <c r="M1347" s="107">
        <v>1591.4</v>
      </c>
      <c r="N1347" s="107">
        <v>1610</v>
      </c>
      <c r="O1347" s="107">
        <v>1504.65</v>
      </c>
      <c r="P1347" s="107">
        <v>1553.1</v>
      </c>
      <c r="Q1347" s="107">
        <v>1591.4</v>
      </c>
      <c r="R1347">
        <v>755884</v>
      </c>
    </row>
    <row r="1348" spans="1:18" x14ac:dyDescent="0.25">
      <c r="A1348" s="148">
        <v>45320</v>
      </c>
      <c r="B1348" s="107">
        <v>1648.75</v>
      </c>
      <c r="C1348" s="107">
        <v>1558.95</v>
      </c>
      <c r="D1348" s="107">
        <v>1553.8</v>
      </c>
      <c r="E1348" s="107">
        <v>1648.75</v>
      </c>
      <c r="F1348" s="107">
        <v>1558.95</v>
      </c>
      <c r="G1348">
        <v>11775</v>
      </c>
      <c r="H1348" s="107"/>
      <c r="I1348" s="107"/>
      <c r="L1348" s="148">
        <v>45320</v>
      </c>
      <c r="M1348" s="107">
        <v>1558.45</v>
      </c>
      <c r="N1348" s="107">
        <v>1619.9</v>
      </c>
      <c r="O1348" s="107">
        <v>1554.2</v>
      </c>
      <c r="P1348" s="107">
        <v>1599.7</v>
      </c>
      <c r="Q1348" s="107">
        <v>1558.45</v>
      </c>
      <c r="R1348">
        <v>336070</v>
      </c>
    </row>
    <row r="1349" spans="1:18" x14ac:dyDescent="0.25">
      <c r="A1349" s="148">
        <v>45321</v>
      </c>
      <c r="B1349" s="107">
        <v>1585</v>
      </c>
      <c r="C1349" s="107">
        <v>1558.9</v>
      </c>
      <c r="D1349" s="107">
        <v>1524</v>
      </c>
      <c r="E1349" s="107">
        <v>1565.7</v>
      </c>
      <c r="F1349" s="107">
        <v>1558.9</v>
      </c>
      <c r="G1349">
        <v>13597</v>
      </c>
      <c r="H1349" s="107"/>
      <c r="I1349" s="107"/>
      <c r="L1349" s="148">
        <v>45321</v>
      </c>
      <c r="M1349" s="107">
        <v>1559.55</v>
      </c>
      <c r="N1349" s="107">
        <v>1586</v>
      </c>
      <c r="O1349" s="107">
        <v>1523</v>
      </c>
      <c r="P1349" s="107">
        <v>1567.6</v>
      </c>
      <c r="Q1349" s="107">
        <v>1559.55</v>
      </c>
      <c r="R1349">
        <v>247573</v>
      </c>
    </row>
    <row r="1350" spans="1:18" x14ac:dyDescent="0.25">
      <c r="A1350" s="148">
        <v>45322</v>
      </c>
      <c r="B1350" s="107">
        <v>1609.25</v>
      </c>
      <c r="C1350" s="107">
        <v>1589.3</v>
      </c>
      <c r="D1350" s="107">
        <v>1563.95</v>
      </c>
      <c r="E1350" s="107">
        <v>1563.95</v>
      </c>
      <c r="F1350" s="107">
        <v>1589.3</v>
      </c>
      <c r="G1350">
        <v>3715</v>
      </c>
      <c r="H1350" s="107"/>
      <c r="I1350" s="107"/>
      <c r="L1350" s="148">
        <v>45322</v>
      </c>
      <c r="M1350" s="107">
        <v>1589.8</v>
      </c>
      <c r="N1350" s="107">
        <v>1609</v>
      </c>
      <c r="O1350" s="107">
        <v>1559.55</v>
      </c>
      <c r="P1350" s="107">
        <v>1565.8</v>
      </c>
      <c r="Q1350" s="107">
        <v>1589.8</v>
      </c>
      <c r="R1350">
        <v>247848</v>
      </c>
    </row>
    <row r="1351" spans="1:18" x14ac:dyDescent="0.25">
      <c r="A1351" s="148">
        <v>45323</v>
      </c>
      <c r="B1351" s="107">
        <v>1617.3</v>
      </c>
      <c r="C1351" s="107">
        <v>1590.55</v>
      </c>
      <c r="D1351" s="107">
        <v>1543.55</v>
      </c>
      <c r="E1351" s="107">
        <v>1617.3</v>
      </c>
      <c r="F1351" s="107">
        <v>1590.55</v>
      </c>
      <c r="G1351">
        <v>10212</v>
      </c>
      <c r="H1351" s="107"/>
      <c r="I1351" s="107"/>
      <c r="L1351" s="148">
        <v>45323</v>
      </c>
      <c r="M1351" s="107">
        <v>1593.85</v>
      </c>
      <c r="N1351" s="107">
        <v>1607</v>
      </c>
      <c r="O1351" s="107">
        <v>1542.4</v>
      </c>
      <c r="P1351" s="107">
        <v>1607</v>
      </c>
      <c r="Q1351" s="107">
        <v>1593.85</v>
      </c>
      <c r="R1351">
        <v>216457</v>
      </c>
    </row>
    <row r="1352" spans="1:18" x14ac:dyDescent="0.25">
      <c r="A1352" s="148">
        <v>45324</v>
      </c>
      <c r="B1352" s="107">
        <v>1621.35</v>
      </c>
      <c r="C1352" s="107">
        <v>1608.3</v>
      </c>
      <c r="D1352" s="107">
        <v>1573.8</v>
      </c>
      <c r="E1352" s="107">
        <v>1594.1</v>
      </c>
      <c r="F1352" s="107">
        <v>1608.3</v>
      </c>
      <c r="G1352">
        <v>4973</v>
      </c>
      <c r="H1352" s="107"/>
      <c r="I1352" s="107"/>
      <c r="L1352" s="148">
        <v>45324</v>
      </c>
      <c r="M1352" s="107">
        <v>1608.05</v>
      </c>
      <c r="N1352" s="107">
        <v>1621.85</v>
      </c>
      <c r="O1352" s="107">
        <v>1572.15</v>
      </c>
      <c r="P1352" s="107">
        <v>1609.95</v>
      </c>
      <c r="Q1352" s="107">
        <v>1608.05</v>
      </c>
      <c r="R1352">
        <v>219709</v>
      </c>
    </row>
    <row r="1353" spans="1:18" x14ac:dyDescent="0.25">
      <c r="A1353" s="148">
        <v>45327</v>
      </c>
      <c r="B1353" s="107">
        <v>1614.95</v>
      </c>
      <c r="C1353" s="107">
        <v>1576.5</v>
      </c>
      <c r="D1353" s="107">
        <v>1565.65</v>
      </c>
      <c r="E1353" s="107">
        <v>1608.65</v>
      </c>
      <c r="F1353" s="107">
        <v>1576.5</v>
      </c>
      <c r="G1353">
        <v>17392</v>
      </c>
      <c r="H1353" s="107"/>
      <c r="I1353" s="107"/>
      <c r="L1353" s="148">
        <v>45327</v>
      </c>
      <c r="M1353" s="107">
        <v>1578.95</v>
      </c>
      <c r="N1353" s="107">
        <v>1612.95</v>
      </c>
      <c r="O1353" s="107">
        <v>1565.15</v>
      </c>
      <c r="P1353" s="107">
        <v>1606.95</v>
      </c>
      <c r="Q1353" s="107">
        <v>1578.95</v>
      </c>
      <c r="R1353">
        <v>167809</v>
      </c>
    </row>
    <row r="1354" spans="1:18" x14ac:dyDescent="0.25">
      <c r="A1354" s="148">
        <v>45328</v>
      </c>
      <c r="B1354" s="107">
        <v>1621</v>
      </c>
      <c r="C1354" s="107">
        <v>1619.3</v>
      </c>
      <c r="D1354" s="107">
        <v>1576.45</v>
      </c>
      <c r="E1354" s="107">
        <v>1587.85</v>
      </c>
      <c r="F1354" s="107">
        <v>1619.3</v>
      </c>
      <c r="G1354">
        <v>5510</v>
      </c>
      <c r="H1354" s="107"/>
      <c r="I1354" s="107"/>
      <c r="L1354" s="148">
        <v>45328</v>
      </c>
      <c r="M1354" s="107">
        <v>1619.1</v>
      </c>
      <c r="N1354" s="107">
        <v>1621</v>
      </c>
      <c r="O1354" s="107">
        <v>1570.4</v>
      </c>
      <c r="P1354" s="107">
        <v>1570.4</v>
      </c>
      <c r="Q1354" s="107">
        <v>1619.1</v>
      </c>
      <c r="R1354">
        <v>146780</v>
      </c>
    </row>
    <row r="1355" spans="1:18" x14ac:dyDescent="0.25">
      <c r="A1355" s="148">
        <v>45329</v>
      </c>
      <c r="B1355" s="107">
        <v>1627.95</v>
      </c>
      <c r="C1355" s="107">
        <v>1616.05</v>
      </c>
      <c r="D1355" s="107">
        <v>1591.15</v>
      </c>
      <c r="E1355" s="107">
        <v>1620.7</v>
      </c>
      <c r="F1355" s="107">
        <v>1616.05</v>
      </c>
      <c r="G1355">
        <v>7070</v>
      </c>
      <c r="H1355" s="107"/>
      <c r="I1355" s="107"/>
      <c r="L1355" s="148">
        <v>45329</v>
      </c>
      <c r="M1355" s="107">
        <v>1616.7</v>
      </c>
      <c r="N1355" s="107">
        <v>1627.2</v>
      </c>
      <c r="O1355" s="107">
        <v>1592.1</v>
      </c>
      <c r="P1355" s="107">
        <v>1619.1</v>
      </c>
      <c r="Q1355" s="107">
        <v>1616.7</v>
      </c>
      <c r="R1355">
        <v>100617</v>
      </c>
    </row>
    <row r="1356" spans="1:18" x14ac:dyDescent="0.25">
      <c r="A1356" s="148">
        <v>45330</v>
      </c>
      <c r="B1356" s="107">
        <v>1614.05</v>
      </c>
      <c r="C1356" s="107">
        <v>1547.85</v>
      </c>
      <c r="D1356" s="107">
        <v>1535</v>
      </c>
      <c r="E1356" s="107">
        <v>1614</v>
      </c>
      <c r="F1356" s="107">
        <v>1547.85</v>
      </c>
      <c r="G1356">
        <v>5219</v>
      </c>
      <c r="H1356" s="107"/>
      <c r="I1356" s="107"/>
      <c r="L1356" s="148">
        <v>45330</v>
      </c>
      <c r="M1356" s="107">
        <v>1550.4</v>
      </c>
      <c r="N1356" s="107">
        <v>1618</v>
      </c>
      <c r="O1356" s="107">
        <v>1533.4</v>
      </c>
      <c r="P1356" s="107">
        <v>1618</v>
      </c>
      <c r="Q1356" s="107">
        <v>1550.4</v>
      </c>
      <c r="R1356">
        <v>201891</v>
      </c>
    </row>
    <row r="1357" spans="1:18" x14ac:dyDescent="0.25">
      <c r="A1357" s="148">
        <v>45331</v>
      </c>
      <c r="B1357" s="107">
        <v>1601.2</v>
      </c>
      <c r="C1357" s="107">
        <v>1596.9</v>
      </c>
      <c r="D1357" s="107">
        <v>1520.2</v>
      </c>
      <c r="E1357" s="107">
        <v>1556.85</v>
      </c>
      <c r="F1357" s="107">
        <v>1596.9</v>
      </c>
      <c r="G1357">
        <v>9191</v>
      </c>
      <c r="H1357" s="107"/>
      <c r="I1357" s="107"/>
      <c r="L1357" s="148">
        <v>45331</v>
      </c>
      <c r="M1357" s="107">
        <v>1596.05</v>
      </c>
      <c r="N1357" s="107">
        <v>1600</v>
      </c>
      <c r="O1357" s="107">
        <v>1520</v>
      </c>
      <c r="P1357" s="107">
        <v>1554.7</v>
      </c>
      <c r="Q1357" s="107">
        <v>1596.05</v>
      </c>
      <c r="R1357">
        <v>355792</v>
      </c>
    </row>
    <row r="1358" spans="1:18" x14ac:dyDescent="0.25">
      <c r="A1358" s="148">
        <v>45334</v>
      </c>
      <c r="B1358" s="107">
        <v>1659.95</v>
      </c>
      <c r="C1358" s="107">
        <v>1624.9</v>
      </c>
      <c r="D1358" s="107">
        <v>1601.7</v>
      </c>
      <c r="E1358" s="107">
        <v>1601.7</v>
      </c>
      <c r="F1358" s="107">
        <v>1624.9</v>
      </c>
      <c r="G1358">
        <v>20464</v>
      </c>
      <c r="H1358" s="107"/>
      <c r="I1358" s="107"/>
      <c r="L1358" s="148">
        <v>45334</v>
      </c>
      <c r="M1358" s="107">
        <v>1624.8</v>
      </c>
      <c r="N1358" s="107">
        <v>1660</v>
      </c>
      <c r="O1358" s="107">
        <v>1601</v>
      </c>
      <c r="P1358" s="107">
        <v>1608.35</v>
      </c>
      <c r="Q1358" s="107">
        <v>1624.8</v>
      </c>
      <c r="R1358">
        <v>544128</v>
      </c>
    </row>
    <row r="1359" spans="1:18" x14ac:dyDescent="0.25">
      <c r="A1359" s="148">
        <v>45335</v>
      </c>
      <c r="B1359" s="107">
        <v>1648</v>
      </c>
      <c r="C1359" s="107">
        <v>1631.35</v>
      </c>
      <c r="D1359" s="107">
        <v>1604.45</v>
      </c>
      <c r="E1359" s="107">
        <v>1626.35</v>
      </c>
      <c r="F1359" s="107">
        <v>1631.35</v>
      </c>
      <c r="G1359">
        <v>8924</v>
      </c>
      <c r="H1359" s="107"/>
      <c r="I1359" s="107"/>
      <c r="L1359" s="148">
        <v>45335</v>
      </c>
      <c r="M1359" s="107">
        <v>1631.4</v>
      </c>
      <c r="N1359" s="107">
        <v>1649.7</v>
      </c>
      <c r="O1359" s="107">
        <v>1604.65</v>
      </c>
      <c r="P1359" s="107">
        <v>1639.95</v>
      </c>
      <c r="Q1359" s="107">
        <v>1631.4</v>
      </c>
      <c r="R1359">
        <v>251461</v>
      </c>
    </row>
    <row r="1360" spans="1:18" x14ac:dyDescent="0.25">
      <c r="A1360" s="148">
        <v>45336</v>
      </c>
      <c r="B1360" s="107">
        <v>1623.25</v>
      </c>
      <c r="C1360" s="107">
        <v>1594.4</v>
      </c>
      <c r="D1360" s="107">
        <v>1583.95</v>
      </c>
      <c r="E1360" s="107">
        <v>1615.05</v>
      </c>
      <c r="F1360" s="107">
        <v>1594.4</v>
      </c>
      <c r="G1360">
        <v>4193</v>
      </c>
      <c r="H1360" s="107"/>
      <c r="I1360" s="107"/>
      <c r="L1360" s="148">
        <v>45336</v>
      </c>
      <c r="M1360" s="107">
        <v>1594.65</v>
      </c>
      <c r="N1360" s="107">
        <v>1625.2</v>
      </c>
      <c r="O1360" s="107">
        <v>1579.85</v>
      </c>
      <c r="P1360" s="107">
        <v>1625.2</v>
      </c>
      <c r="Q1360" s="107">
        <v>1594.65</v>
      </c>
      <c r="R1360">
        <v>99026</v>
      </c>
    </row>
    <row r="1361" spans="1:18" x14ac:dyDescent="0.25">
      <c r="A1361" s="148">
        <v>45337</v>
      </c>
      <c r="B1361" s="107">
        <v>1626.1</v>
      </c>
      <c r="C1361" s="107">
        <v>1556.7</v>
      </c>
      <c r="D1361" s="107">
        <v>1554</v>
      </c>
      <c r="E1361" s="107">
        <v>1626.1</v>
      </c>
      <c r="F1361" s="107">
        <v>1556.7</v>
      </c>
      <c r="G1361">
        <v>6347</v>
      </c>
      <c r="H1361" s="107"/>
      <c r="I1361" s="107"/>
      <c r="L1361" s="148">
        <v>45337</v>
      </c>
      <c r="M1361" s="107">
        <v>1557.1</v>
      </c>
      <c r="N1361" s="107">
        <v>1611.9</v>
      </c>
      <c r="O1361" s="107">
        <v>1553</v>
      </c>
      <c r="P1361" s="107">
        <v>1608</v>
      </c>
      <c r="Q1361" s="107">
        <v>1557.1</v>
      </c>
      <c r="R1361">
        <v>110083</v>
      </c>
    </row>
    <row r="1362" spans="1:18" x14ac:dyDescent="0.25">
      <c r="A1362" s="148">
        <v>45338</v>
      </c>
      <c r="B1362" s="107">
        <v>1599.25</v>
      </c>
      <c r="C1362" s="107">
        <v>1559.35</v>
      </c>
      <c r="D1362" s="107">
        <v>1554.55</v>
      </c>
      <c r="E1362" s="107">
        <v>1582.75</v>
      </c>
      <c r="F1362" s="107">
        <v>1559.35</v>
      </c>
      <c r="G1362">
        <v>5034</v>
      </c>
      <c r="H1362" s="107"/>
      <c r="I1362" s="107"/>
      <c r="L1362" s="148">
        <v>45338</v>
      </c>
      <c r="M1362" s="107">
        <v>1558.4</v>
      </c>
      <c r="N1362" s="107">
        <v>1602</v>
      </c>
      <c r="O1362" s="107">
        <v>1554.05</v>
      </c>
      <c r="P1362" s="107">
        <v>1575.6</v>
      </c>
      <c r="Q1362" s="107">
        <v>1558.4</v>
      </c>
      <c r="R1362">
        <v>212804</v>
      </c>
    </row>
    <row r="1363" spans="1:18" x14ac:dyDescent="0.25">
      <c r="A1363" s="148">
        <v>45341</v>
      </c>
      <c r="B1363" s="107">
        <v>1562.25</v>
      </c>
      <c r="C1363" s="107">
        <v>1531.05</v>
      </c>
      <c r="D1363" s="107">
        <v>1526</v>
      </c>
      <c r="E1363" s="107">
        <v>1558.55</v>
      </c>
      <c r="F1363" s="107">
        <v>1531.05</v>
      </c>
      <c r="G1363">
        <v>7927</v>
      </c>
      <c r="H1363" s="107"/>
      <c r="I1363" s="107"/>
      <c r="L1363" s="148">
        <v>45341</v>
      </c>
      <c r="M1363" s="107">
        <v>1530.9</v>
      </c>
      <c r="N1363" s="107">
        <v>1562</v>
      </c>
      <c r="O1363" s="107">
        <v>1525.5</v>
      </c>
      <c r="P1363" s="107">
        <v>1561.95</v>
      </c>
      <c r="Q1363" s="107">
        <v>1530.9</v>
      </c>
      <c r="R1363">
        <v>216506</v>
      </c>
    </row>
    <row r="1364" spans="1:18" x14ac:dyDescent="0.25">
      <c r="A1364" s="148">
        <v>45342</v>
      </c>
      <c r="B1364" s="107">
        <v>1545.7</v>
      </c>
      <c r="C1364" s="107">
        <v>1499.15</v>
      </c>
      <c r="D1364" s="107">
        <v>1494</v>
      </c>
      <c r="E1364" s="107">
        <v>1540.05</v>
      </c>
      <c r="F1364" s="107">
        <v>1499.15</v>
      </c>
      <c r="G1364">
        <v>12684</v>
      </c>
      <c r="H1364" s="107"/>
      <c r="I1364" s="107"/>
      <c r="L1364" s="148">
        <v>45342</v>
      </c>
      <c r="M1364" s="107">
        <v>1499.25</v>
      </c>
      <c r="N1364" s="107">
        <v>1544.3</v>
      </c>
      <c r="O1364" s="107">
        <v>1494.05</v>
      </c>
      <c r="P1364" s="107">
        <v>1544.3</v>
      </c>
      <c r="Q1364" s="107">
        <v>1499.25</v>
      </c>
      <c r="R1364">
        <v>297541</v>
      </c>
    </row>
    <row r="1365" spans="1:18" x14ac:dyDescent="0.25">
      <c r="A1365" s="148">
        <v>45343</v>
      </c>
      <c r="B1365" s="107">
        <v>1529.15</v>
      </c>
      <c r="C1365" s="107">
        <v>1468.65</v>
      </c>
      <c r="D1365" s="107">
        <v>1463</v>
      </c>
      <c r="E1365" s="107">
        <v>1529.15</v>
      </c>
      <c r="F1365" s="107">
        <v>1468.65</v>
      </c>
      <c r="G1365">
        <v>6654</v>
      </c>
      <c r="H1365" s="107"/>
      <c r="I1365" s="107"/>
      <c r="L1365" s="148">
        <v>45343</v>
      </c>
      <c r="M1365" s="107">
        <v>1467.8</v>
      </c>
      <c r="N1365" s="107">
        <v>1511.9</v>
      </c>
      <c r="O1365" s="107">
        <v>1460.05</v>
      </c>
      <c r="P1365" s="107">
        <v>1509</v>
      </c>
      <c r="Q1365" s="107">
        <v>1467.8</v>
      </c>
      <c r="R1365">
        <v>231090</v>
      </c>
    </row>
    <row r="1366" spans="1:18" x14ac:dyDescent="0.25">
      <c r="A1366" s="148">
        <v>45344</v>
      </c>
      <c r="B1366" s="107">
        <v>1477.65</v>
      </c>
      <c r="C1366" s="107">
        <v>1466.35</v>
      </c>
      <c r="D1366" s="107">
        <v>1452.45</v>
      </c>
      <c r="E1366" s="107">
        <v>1477.65</v>
      </c>
      <c r="F1366" s="107">
        <v>1466.35</v>
      </c>
      <c r="G1366">
        <v>7799</v>
      </c>
      <c r="H1366" s="107"/>
      <c r="I1366" s="107"/>
      <c r="L1366" s="148">
        <v>45344</v>
      </c>
      <c r="M1366" s="107">
        <v>1466.25</v>
      </c>
      <c r="N1366" s="107">
        <v>1480.6</v>
      </c>
      <c r="O1366" s="107">
        <v>1453.05</v>
      </c>
      <c r="P1366" s="107">
        <v>1470</v>
      </c>
      <c r="Q1366" s="107">
        <v>1466.25</v>
      </c>
      <c r="R1366">
        <v>200165</v>
      </c>
    </row>
    <row r="1367" spans="1:18" x14ac:dyDescent="0.25">
      <c r="A1367" s="148">
        <v>45345</v>
      </c>
      <c r="B1367" s="107">
        <v>1477.05</v>
      </c>
      <c r="C1367" s="107">
        <v>1470.35</v>
      </c>
      <c r="D1367" s="107">
        <v>1459.55</v>
      </c>
      <c r="E1367" s="107">
        <v>1472.8</v>
      </c>
      <c r="F1367" s="107">
        <v>1470.35</v>
      </c>
      <c r="G1367">
        <v>6471</v>
      </c>
      <c r="H1367" s="107"/>
      <c r="I1367" s="107"/>
      <c r="L1367" s="148">
        <v>45345</v>
      </c>
      <c r="M1367" s="107">
        <v>1470.25</v>
      </c>
      <c r="N1367" s="107">
        <v>1488.9</v>
      </c>
      <c r="O1367" s="107">
        <v>1459</v>
      </c>
      <c r="P1367" s="107">
        <v>1477</v>
      </c>
      <c r="Q1367" s="107">
        <v>1470.25</v>
      </c>
      <c r="R1367">
        <v>209519</v>
      </c>
    </row>
    <row r="1368" spans="1:18" x14ac:dyDescent="0.25">
      <c r="A1368" s="148">
        <v>45348</v>
      </c>
      <c r="B1368" s="107">
        <v>1518</v>
      </c>
      <c r="C1368" s="107">
        <v>1468.95</v>
      </c>
      <c r="D1368" s="107">
        <v>1465.7</v>
      </c>
      <c r="E1368" s="107">
        <v>1477.15</v>
      </c>
      <c r="F1368" s="107">
        <v>1468.95</v>
      </c>
      <c r="G1368">
        <v>17973</v>
      </c>
      <c r="H1368" s="107"/>
      <c r="I1368" s="107"/>
      <c r="L1368" s="148">
        <v>45348</v>
      </c>
      <c r="M1368" s="107">
        <v>1468.45</v>
      </c>
      <c r="N1368" s="107">
        <v>1518.35</v>
      </c>
      <c r="O1368" s="107">
        <v>1463.3</v>
      </c>
      <c r="P1368" s="107">
        <v>1485</v>
      </c>
      <c r="Q1368" s="107">
        <v>1468.45</v>
      </c>
      <c r="R1368">
        <v>248797</v>
      </c>
    </row>
    <row r="1369" spans="1:18" x14ac:dyDescent="0.25">
      <c r="A1369" s="148">
        <v>45349</v>
      </c>
      <c r="B1369" s="107">
        <v>1500.75</v>
      </c>
      <c r="C1369" s="107">
        <v>1486.5</v>
      </c>
      <c r="D1369" s="107">
        <v>1475</v>
      </c>
      <c r="E1369" s="107">
        <v>1494.7</v>
      </c>
      <c r="F1369" s="107">
        <v>1486.5</v>
      </c>
      <c r="G1369">
        <v>7358</v>
      </c>
      <c r="H1369" s="107"/>
      <c r="I1369" s="107"/>
      <c r="L1369" s="148">
        <v>45349</v>
      </c>
      <c r="M1369" s="107">
        <v>1487.05</v>
      </c>
      <c r="N1369" s="107">
        <v>1499.95</v>
      </c>
      <c r="O1369" s="107">
        <v>1475.65</v>
      </c>
      <c r="P1369" s="107">
        <v>1479.9</v>
      </c>
      <c r="Q1369" s="107">
        <v>1487.05</v>
      </c>
      <c r="R1369">
        <v>113030</v>
      </c>
    </row>
    <row r="1370" spans="1:18" x14ac:dyDescent="0.25">
      <c r="A1370" s="148">
        <v>45350</v>
      </c>
      <c r="B1370" s="107">
        <v>1509.95</v>
      </c>
      <c r="C1370" s="107">
        <v>1472.95</v>
      </c>
      <c r="D1370" s="107">
        <v>1461</v>
      </c>
      <c r="E1370" s="107">
        <v>1509.95</v>
      </c>
      <c r="F1370" s="107">
        <v>1472.95</v>
      </c>
      <c r="G1370">
        <v>2235</v>
      </c>
      <c r="H1370" s="107"/>
      <c r="I1370" s="107"/>
      <c r="L1370" s="148">
        <v>45350</v>
      </c>
      <c r="M1370" s="107">
        <v>1470.6</v>
      </c>
      <c r="N1370" s="107">
        <v>1499</v>
      </c>
      <c r="O1370" s="107">
        <v>1460.15</v>
      </c>
      <c r="P1370" s="107">
        <v>1498</v>
      </c>
      <c r="Q1370" s="107">
        <v>1470.6</v>
      </c>
      <c r="R1370">
        <v>161102</v>
      </c>
    </row>
    <row r="1371" spans="1:18" x14ac:dyDescent="0.25">
      <c r="A1371" s="148">
        <v>45351</v>
      </c>
      <c r="B1371" s="107">
        <v>1473.85</v>
      </c>
      <c r="C1371" s="107">
        <v>1469.85</v>
      </c>
      <c r="D1371" s="107">
        <v>1451.2</v>
      </c>
      <c r="E1371" s="107">
        <v>1470.05</v>
      </c>
      <c r="F1371" s="107">
        <v>1469.85</v>
      </c>
      <c r="G1371">
        <v>7432</v>
      </c>
      <c r="H1371" s="107"/>
      <c r="I1371" s="107"/>
      <c r="L1371" s="148">
        <v>45351</v>
      </c>
      <c r="M1371" s="107">
        <v>1470.1</v>
      </c>
      <c r="N1371" s="107">
        <v>1478</v>
      </c>
      <c r="O1371" s="107">
        <v>1451</v>
      </c>
      <c r="P1371" s="107">
        <v>1472.25</v>
      </c>
      <c r="Q1371" s="107">
        <v>1470.1</v>
      </c>
      <c r="R1371">
        <v>234788</v>
      </c>
    </row>
    <row r="1372" spans="1:18" x14ac:dyDescent="0.25">
      <c r="A1372" s="148">
        <v>45352</v>
      </c>
      <c r="B1372" s="107">
        <v>1494.15</v>
      </c>
      <c r="C1372" s="107">
        <v>1479.65</v>
      </c>
      <c r="D1372" s="107">
        <v>1460</v>
      </c>
      <c r="E1372" s="107">
        <v>1460</v>
      </c>
      <c r="F1372" s="107">
        <v>1479.65</v>
      </c>
      <c r="G1372">
        <v>2531</v>
      </c>
      <c r="H1372" s="107"/>
      <c r="I1372" s="107"/>
      <c r="L1372" s="148">
        <v>45352</v>
      </c>
      <c r="M1372" s="107">
        <v>1484.05</v>
      </c>
      <c r="N1372" s="107">
        <v>1496.2</v>
      </c>
      <c r="O1372" s="107">
        <v>1462.1</v>
      </c>
      <c r="P1372" s="107">
        <v>1469.6</v>
      </c>
      <c r="Q1372" s="107">
        <v>1484.05</v>
      </c>
      <c r="R1372">
        <v>74804</v>
      </c>
    </row>
    <row r="1373" spans="1:18" x14ac:dyDescent="0.25">
      <c r="A1373" s="148">
        <v>45353</v>
      </c>
      <c r="B1373" s="107">
        <v>1501.45</v>
      </c>
      <c r="C1373" s="107">
        <v>1480.6</v>
      </c>
      <c r="D1373" s="107">
        <v>1474</v>
      </c>
      <c r="E1373" s="107">
        <v>1498.95</v>
      </c>
      <c r="F1373" s="107">
        <v>1480.6</v>
      </c>
      <c r="G1373">
        <v>389</v>
      </c>
      <c r="H1373" s="107"/>
      <c r="I1373" s="107"/>
      <c r="L1373" s="148">
        <v>45353</v>
      </c>
      <c r="M1373" s="107">
        <v>1481.55</v>
      </c>
      <c r="N1373" s="107">
        <v>1494.95</v>
      </c>
      <c r="O1373" s="107">
        <v>1473.05</v>
      </c>
      <c r="P1373" s="107">
        <v>1484.05</v>
      </c>
      <c r="Q1373" s="107">
        <v>1481.55</v>
      </c>
      <c r="R1373">
        <v>6055</v>
      </c>
    </row>
    <row r="1374" spans="1:18" x14ac:dyDescent="0.25">
      <c r="A1374" s="148">
        <v>45355</v>
      </c>
      <c r="B1374" s="107">
        <v>1488.5</v>
      </c>
      <c r="C1374" s="107">
        <v>1445.65</v>
      </c>
      <c r="D1374" s="107">
        <v>1439.3</v>
      </c>
      <c r="E1374" s="107">
        <v>1480.6</v>
      </c>
      <c r="F1374" s="107">
        <v>1445.65</v>
      </c>
      <c r="G1374">
        <v>3236</v>
      </c>
      <c r="H1374" s="107"/>
      <c r="I1374" s="107"/>
      <c r="L1374" s="148">
        <v>45355</v>
      </c>
      <c r="M1374" s="107">
        <v>1444.85</v>
      </c>
      <c r="N1374" s="107">
        <v>1491.55</v>
      </c>
      <c r="O1374" s="107">
        <v>1438.2</v>
      </c>
      <c r="P1374" s="107">
        <v>1481</v>
      </c>
      <c r="Q1374" s="107">
        <v>1444.85</v>
      </c>
      <c r="R1374">
        <v>130041</v>
      </c>
    </row>
    <row r="1375" spans="1:18" x14ac:dyDescent="0.25">
      <c r="A1375" s="148">
        <v>45356</v>
      </c>
      <c r="B1375" s="107">
        <v>1460.25</v>
      </c>
      <c r="C1375" s="107">
        <v>1435.15</v>
      </c>
      <c r="D1375" s="107">
        <v>1425</v>
      </c>
      <c r="E1375" s="107">
        <v>1448.15</v>
      </c>
      <c r="F1375" s="107">
        <v>1435.15</v>
      </c>
      <c r="G1375">
        <v>5688</v>
      </c>
      <c r="H1375" s="107"/>
      <c r="I1375" s="107"/>
      <c r="L1375" s="148">
        <v>45356</v>
      </c>
      <c r="M1375" s="107">
        <v>1434.85</v>
      </c>
      <c r="N1375" s="107">
        <v>1461.35</v>
      </c>
      <c r="O1375" s="107">
        <v>1424.05</v>
      </c>
      <c r="P1375" s="107">
        <v>1451</v>
      </c>
      <c r="Q1375" s="107">
        <v>1434.85</v>
      </c>
      <c r="R1375">
        <v>237559</v>
      </c>
    </row>
    <row r="1376" spans="1:18" x14ac:dyDescent="0.25">
      <c r="A1376" s="148">
        <v>45357</v>
      </c>
      <c r="B1376" s="107">
        <v>1442.55</v>
      </c>
      <c r="C1376" s="107">
        <v>1380.55</v>
      </c>
      <c r="D1376" s="107">
        <v>1375.2</v>
      </c>
      <c r="E1376" s="107">
        <v>1433.8</v>
      </c>
      <c r="F1376" s="107">
        <v>1380.55</v>
      </c>
      <c r="G1376">
        <v>15431</v>
      </c>
      <c r="H1376" s="107"/>
      <c r="I1376" s="107"/>
      <c r="L1376" s="148">
        <v>45357</v>
      </c>
      <c r="M1376" s="107">
        <v>1381.45</v>
      </c>
      <c r="N1376" s="107">
        <v>1441.95</v>
      </c>
      <c r="O1376" s="107">
        <v>1375</v>
      </c>
      <c r="P1376" s="107">
        <v>1432</v>
      </c>
      <c r="Q1376" s="107">
        <v>1381.45</v>
      </c>
      <c r="R1376">
        <v>219015</v>
      </c>
    </row>
    <row r="1377" spans="1:18" x14ac:dyDescent="0.25">
      <c r="A1377" s="148">
        <v>45358</v>
      </c>
      <c r="B1377" s="107">
        <v>1409.15</v>
      </c>
      <c r="C1377" s="107">
        <v>1395.45</v>
      </c>
      <c r="D1377" s="107">
        <v>1335.65</v>
      </c>
      <c r="E1377" s="107">
        <v>1405.6</v>
      </c>
      <c r="F1377" s="107">
        <v>1395.45</v>
      </c>
      <c r="G1377">
        <v>6857</v>
      </c>
      <c r="H1377" s="107"/>
      <c r="I1377" s="107"/>
      <c r="L1377" s="148">
        <v>45358</v>
      </c>
      <c r="M1377" s="107">
        <v>1396.55</v>
      </c>
      <c r="N1377" s="107">
        <v>1409.55</v>
      </c>
      <c r="O1377" s="107">
        <v>1335.35</v>
      </c>
      <c r="P1377" s="107">
        <v>1385</v>
      </c>
      <c r="Q1377" s="107">
        <v>1396.55</v>
      </c>
      <c r="R1377">
        <v>406209</v>
      </c>
    </row>
    <row r="1378" spans="1:18" x14ac:dyDescent="0.25">
      <c r="A1378" s="148">
        <v>45362</v>
      </c>
      <c r="B1378" s="107">
        <v>1411.7</v>
      </c>
      <c r="C1378" s="107">
        <v>1322.55</v>
      </c>
      <c r="D1378" s="107">
        <v>1311</v>
      </c>
      <c r="E1378" s="107">
        <v>1399.5</v>
      </c>
      <c r="F1378" s="107">
        <v>1322.55</v>
      </c>
      <c r="G1378">
        <v>14461</v>
      </c>
      <c r="H1378" s="107"/>
      <c r="I1378" s="107"/>
      <c r="L1378" s="148">
        <v>45362</v>
      </c>
      <c r="M1378" s="107">
        <v>1322.2</v>
      </c>
      <c r="N1378" s="107">
        <v>1417.75</v>
      </c>
      <c r="O1378" s="107">
        <v>1310.05</v>
      </c>
      <c r="P1378" s="107">
        <v>1399.85</v>
      </c>
      <c r="Q1378" s="107">
        <v>1322.2</v>
      </c>
      <c r="R1378">
        <v>864457</v>
      </c>
    </row>
    <row r="1379" spans="1:18" x14ac:dyDescent="0.25">
      <c r="A1379" s="148">
        <v>45363</v>
      </c>
      <c r="B1379" s="107">
        <v>1344.95</v>
      </c>
      <c r="C1379" s="107">
        <v>1330.4</v>
      </c>
      <c r="D1379" s="107">
        <v>1296</v>
      </c>
      <c r="E1379" s="107">
        <v>1344.95</v>
      </c>
      <c r="F1379" s="107">
        <v>1330.4</v>
      </c>
      <c r="G1379">
        <v>15633</v>
      </c>
      <c r="H1379" s="107"/>
      <c r="I1379" s="107"/>
      <c r="L1379" s="148">
        <v>45363</v>
      </c>
      <c r="M1379" s="107">
        <v>1326.75</v>
      </c>
      <c r="N1379" s="107">
        <v>1343.45</v>
      </c>
      <c r="O1379" s="107">
        <v>1295</v>
      </c>
      <c r="P1379" s="107">
        <v>1333.2</v>
      </c>
      <c r="Q1379" s="107">
        <v>1326.75</v>
      </c>
      <c r="R1379">
        <v>295375</v>
      </c>
    </row>
    <row r="1380" spans="1:18" x14ac:dyDescent="0.25">
      <c r="A1380" s="148">
        <v>45364</v>
      </c>
      <c r="B1380" s="107">
        <v>1331.05</v>
      </c>
      <c r="C1380" s="107">
        <v>1315.2</v>
      </c>
      <c r="D1380" s="107">
        <v>1283.25</v>
      </c>
      <c r="E1380" s="107">
        <v>1330.45</v>
      </c>
      <c r="F1380" s="107">
        <v>1315.2</v>
      </c>
      <c r="G1380">
        <v>38329</v>
      </c>
      <c r="H1380" s="107"/>
      <c r="I1380" s="107"/>
      <c r="L1380" s="148">
        <v>45364</v>
      </c>
      <c r="M1380" s="107">
        <v>1311.15</v>
      </c>
      <c r="N1380" s="107">
        <v>1339</v>
      </c>
      <c r="O1380" s="107">
        <v>1282.6500000000001</v>
      </c>
      <c r="P1380" s="107">
        <v>1326.75</v>
      </c>
      <c r="Q1380" s="107">
        <v>1311.15</v>
      </c>
      <c r="R1380">
        <v>423937</v>
      </c>
    </row>
    <row r="1381" spans="1:18" x14ac:dyDescent="0.25">
      <c r="A1381" s="148">
        <v>45365</v>
      </c>
      <c r="B1381" s="107">
        <v>1394</v>
      </c>
      <c r="C1381" s="107">
        <v>1384.1</v>
      </c>
      <c r="D1381" s="107">
        <v>1278</v>
      </c>
      <c r="E1381" s="107">
        <v>1323.95</v>
      </c>
      <c r="F1381" s="107">
        <v>1384.1</v>
      </c>
      <c r="G1381">
        <v>22899</v>
      </c>
      <c r="H1381" s="107"/>
      <c r="I1381" s="107"/>
      <c r="L1381" s="148">
        <v>45365</v>
      </c>
      <c r="M1381" s="107">
        <v>1382.75</v>
      </c>
      <c r="N1381" s="107">
        <v>1394.7</v>
      </c>
      <c r="O1381" s="107">
        <v>1277.95</v>
      </c>
      <c r="P1381" s="107">
        <v>1310</v>
      </c>
      <c r="Q1381" s="107">
        <v>1382.75</v>
      </c>
      <c r="R1381">
        <v>343494</v>
      </c>
    </row>
    <row r="1382" spans="1:18" x14ac:dyDescent="0.25">
      <c r="A1382" s="148">
        <v>45366</v>
      </c>
      <c r="B1382" s="107">
        <v>1469.5</v>
      </c>
      <c r="C1382" s="107">
        <v>1430.55</v>
      </c>
      <c r="D1382" s="107">
        <v>1361.05</v>
      </c>
      <c r="E1382" s="107">
        <v>1393.75</v>
      </c>
      <c r="F1382" s="107">
        <v>1430.55</v>
      </c>
      <c r="G1382">
        <v>16472</v>
      </c>
      <c r="H1382" s="107"/>
      <c r="I1382" s="107"/>
      <c r="L1382" s="148">
        <v>45366</v>
      </c>
      <c r="M1382" s="107">
        <v>1421.25</v>
      </c>
      <c r="N1382" s="107">
        <v>1469</v>
      </c>
      <c r="O1382" s="107">
        <v>1355</v>
      </c>
      <c r="P1382" s="107">
        <v>1382.8</v>
      </c>
      <c r="Q1382" s="107">
        <v>1421.25</v>
      </c>
      <c r="R1382">
        <v>484548</v>
      </c>
    </row>
    <row r="1383" spans="1:18" x14ac:dyDescent="0.25">
      <c r="A1383" s="148">
        <v>45369</v>
      </c>
      <c r="B1383" s="107">
        <v>1424.2</v>
      </c>
      <c r="C1383" s="107">
        <v>1399.55</v>
      </c>
      <c r="D1383" s="107">
        <v>1365</v>
      </c>
      <c r="E1383" s="107">
        <v>1424.2</v>
      </c>
      <c r="F1383" s="107">
        <v>1399.55</v>
      </c>
      <c r="G1383">
        <v>11674</v>
      </c>
      <c r="H1383" s="107"/>
      <c r="I1383" s="107"/>
      <c r="L1383" s="148">
        <v>45369</v>
      </c>
      <c r="M1383" s="107">
        <v>1400.2</v>
      </c>
      <c r="N1383" s="107">
        <v>1421.25</v>
      </c>
      <c r="O1383" s="107">
        <v>1365</v>
      </c>
      <c r="P1383" s="107">
        <v>1421.25</v>
      </c>
      <c r="Q1383" s="107">
        <v>1400.2</v>
      </c>
      <c r="R1383">
        <v>238222</v>
      </c>
    </row>
    <row r="1384" spans="1:18" x14ac:dyDescent="0.25">
      <c r="A1384" s="148">
        <v>45370</v>
      </c>
      <c r="B1384" s="107">
        <v>1423.55</v>
      </c>
      <c r="C1384" s="107">
        <v>1411.7</v>
      </c>
      <c r="D1384" s="107">
        <v>1365</v>
      </c>
      <c r="E1384" s="107">
        <v>1423.55</v>
      </c>
      <c r="F1384" s="107">
        <v>1411.7</v>
      </c>
      <c r="G1384">
        <v>5777</v>
      </c>
      <c r="H1384" s="107"/>
      <c r="I1384" s="107"/>
      <c r="L1384" s="148">
        <v>45370</v>
      </c>
      <c r="M1384" s="107">
        <v>1412</v>
      </c>
      <c r="N1384" s="107">
        <v>1420.05</v>
      </c>
      <c r="O1384" s="107">
        <v>1365</v>
      </c>
      <c r="P1384" s="107">
        <v>1400.2</v>
      </c>
      <c r="Q1384" s="107">
        <v>1412</v>
      </c>
      <c r="R1384">
        <v>206761</v>
      </c>
    </row>
    <row r="1385" spans="1:18" x14ac:dyDescent="0.25">
      <c r="A1385" s="148">
        <v>45371</v>
      </c>
      <c r="B1385" s="107">
        <v>1433.65</v>
      </c>
      <c r="C1385" s="107">
        <v>1385.95</v>
      </c>
      <c r="D1385" s="107">
        <v>1375</v>
      </c>
      <c r="E1385" s="107">
        <v>1433.65</v>
      </c>
      <c r="F1385" s="107">
        <v>1385.95</v>
      </c>
      <c r="G1385">
        <v>5889</v>
      </c>
      <c r="H1385" s="107"/>
      <c r="I1385" s="107"/>
      <c r="L1385" s="148">
        <v>45371</v>
      </c>
      <c r="M1385" s="107">
        <v>1383.15</v>
      </c>
      <c r="N1385" s="107">
        <v>1421</v>
      </c>
      <c r="O1385" s="107">
        <v>1375.7</v>
      </c>
      <c r="P1385" s="107">
        <v>1415.05</v>
      </c>
      <c r="Q1385" s="107">
        <v>1383.15</v>
      </c>
      <c r="R1385">
        <v>223354</v>
      </c>
    </row>
    <row r="1386" spans="1:18" x14ac:dyDescent="0.25">
      <c r="A1386" s="148">
        <v>45372</v>
      </c>
      <c r="B1386" s="107">
        <v>1413.95</v>
      </c>
      <c r="C1386" s="107">
        <v>1399.9</v>
      </c>
      <c r="D1386" s="107">
        <v>1385.4</v>
      </c>
      <c r="E1386" s="107">
        <v>1413.95</v>
      </c>
      <c r="F1386" s="107">
        <v>1399.9</v>
      </c>
      <c r="G1386">
        <v>8599</v>
      </c>
      <c r="H1386" s="107"/>
      <c r="I1386" s="107"/>
      <c r="L1386" s="148">
        <v>45372</v>
      </c>
      <c r="M1386" s="107">
        <v>1399.45</v>
      </c>
      <c r="N1386" s="107">
        <v>1411</v>
      </c>
      <c r="O1386" s="107">
        <v>1384.3</v>
      </c>
      <c r="P1386" s="107">
        <v>1411</v>
      </c>
      <c r="Q1386" s="107">
        <v>1399.45</v>
      </c>
      <c r="R1386">
        <v>174020</v>
      </c>
    </row>
    <row r="1387" spans="1:18" x14ac:dyDescent="0.25">
      <c r="A1387" s="148">
        <v>45373</v>
      </c>
      <c r="B1387" s="107">
        <v>1406</v>
      </c>
      <c r="C1387" s="107">
        <v>1382.6</v>
      </c>
      <c r="D1387" s="107">
        <v>1370</v>
      </c>
      <c r="E1387" s="107">
        <v>1406</v>
      </c>
      <c r="F1387" s="107">
        <v>1382.6</v>
      </c>
      <c r="G1387">
        <v>9270</v>
      </c>
      <c r="H1387" s="107"/>
      <c r="I1387" s="107"/>
      <c r="L1387" s="148">
        <v>45373</v>
      </c>
      <c r="M1387" s="107">
        <v>1381.3</v>
      </c>
      <c r="N1387" s="107">
        <v>1406.5</v>
      </c>
      <c r="O1387" s="107">
        <v>1370</v>
      </c>
      <c r="P1387" s="107">
        <v>1406</v>
      </c>
      <c r="Q1387" s="107">
        <v>1381.3</v>
      </c>
      <c r="R1387">
        <v>250606</v>
      </c>
    </row>
    <row r="1388" spans="1:18" x14ac:dyDescent="0.25">
      <c r="A1388" s="148">
        <v>45377</v>
      </c>
      <c r="B1388" s="107">
        <v>1410.3</v>
      </c>
      <c r="C1388" s="107">
        <v>1398.6</v>
      </c>
      <c r="D1388" s="107">
        <v>1343.05</v>
      </c>
      <c r="E1388" s="107">
        <v>1380</v>
      </c>
      <c r="F1388" s="107">
        <v>1398.6</v>
      </c>
      <c r="G1388">
        <v>18743</v>
      </c>
      <c r="H1388" s="107"/>
      <c r="I1388" s="107"/>
      <c r="L1388" s="148">
        <v>45377</v>
      </c>
      <c r="M1388" s="107">
        <v>1400.9</v>
      </c>
      <c r="N1388" s="107">
        <v>1409.5</v>
      </c>
      <c r="O1388" s="107">
        <v>1342.35</v>
      </c>
      <c r="P1388" s="107">
        <v>1381.3</v>
      </c>
      <c r="Q1388" s="107">
        <v>1400.9</v>
      </c>
      <c r="R1388">
        <v>276127</v>
      </c>
    </row>
    <row r="1389" spans="1:18" x14ac:dyDescent="0.25">
      <c r="A1389" s="148">
        <v>45378</v>
      </c>
      <c r="B1389" s="107">
        <v>1430.95</v>
      </c>
      <c r="C1389" s="107">
        <v>1419</v>
      </c>
      <c r="D1389" s="107">
        <v>1396.05</v>
      </c>
      <c r="E1389" s="107">
        <v>1419.9</v>
      </c>
      <c r="F1389" s="107">
        <v>1419</v>
      </c>
      <c r="G1389">
        <v>4924</v>
      </c>
      <c r="H1389" s="107"/>
      <c r="I1389" s="107"/>
      <c r="L1389" s="148">
        <v>45378</v>
      </c>
      <c r="M1389" s="107">
        <v>1422.55</v>
      </c>
      <c r="N1389" s="107">
        <v>1430.5</v>
      </c>
      <c r="O1389" s="107">
        <v>1396.05</v>
      </c>
      <c r="P1389" s="107">
        <v>1400.05</v>
      </c>
      <c r="Q1389" s="107">
        <v>1422.55</v>
      </c>
      <c r="R1389">
        <v>139222</v>
      </c>
    </row>
    <row r="1390" spans="1:18" x14ac:dyDescent="0.25">
      <c r="A1390" s="148">
        <v>45379</v>
      </c>
      <c r="B1390" s="107">
        <v>1458</v>
      </c>
      <c r="C1390" s="107">
        <v>1439.7</v>
      </c>
      <c r="D1390" s="107">
        <v>1402</v>
      </c>
      <c r="E1390" s="107">
        <v>1424</v>
      </c>
      <c r="F1390" s="107">
        <v>1439.7</v>
      </c>
      <c r="G1390">
        <v>8513</v>
      </c>
      <c r="H1390" s="107"/>
      <c r="I1390" s="107"/>
      <c r="L1390" s="148">
        <v>45379</v>
      </c>
      <c r="M1390" s="107">
        <v>1441.4</v>
      </c>
      <c r="N1390" s="107">
        <v>1460.1</v>
      </c>
      <c r="O1390" s="107">
        <v>1400.45</v>
      </c>
      <c r="P1390" s="107">
        <v>1415</v>
      </c>
      <c r="Q1390" s="107">
        <v>1441.4</v>
      </c>
      <c r="R1390">
        <v>318854</v>
      </c>
    </row>
    <row r="1391" spans="1:18" x14ac:dyDescent="0.25">
      <c r="A1391" s="148">
        <v>45383</v>
      </c>
      <c r="B1391" s="107">
        <v>1466.45</v>
      </c>
      <c r="C1391" s="107">
        <v>1409.25</v>
      </c>
      <c r="D1391" s="107">
        <v>1400.5</v>
      </c>
      <c r="E1391" s="107">
        <v>1466.45</v>
      </c>
      <c r="F1391" s="107">
        <v>1409.25</v>
      </c>
      <c r="G1391">
        <v>10521</v>
      </c>
      <c r="H1391" s="107"/>
      <c r="I1391" s="107"/>
      <c r="L1391" s="148">
        <v>45383</v>
      </c>
      <c r="M1391" s="107">
        <v>1408.7</v>
      </c>
      <c r="N1391" s="107">
        <v>1455.5</v>
      </c>
      <c r="O1391" s="107">
        <v>1400.3</v>
      </c>
      <c r="P1391" s="107">
        <v>1441.4</v>
      </c>
      <c r="Q1391" s="107">
        <v>1408.7</v>
      </c>
      <c r="R1391">
        <v>184885</v>
      </c>
    </row>
    <row r="1392" spans="1:18" x14ac:dyDescent="0.25">
      <c r="A1392" s="148">
        <v>45384</v>
      </c>
      <c r="B1392" s="107">
        <v>1429.7</v>
      </c>
      <c r="C1392" s="107">
        <v>1401.5</v>
      </c>
      <c r="D1392" s="107">
        <v>1394.1</v>
      </c>
      <c r="E1392" s="107">
        <v>1429.7</v>
      </c>
      <c r="F1392" s="107">
        <v>1401.5</v>
      </c>
      <c r="G1392">
        <v>7720</v>
      </c>
      <c r="H1392" s="107"/>
      <c r="I1392" s="107"/>
      <c r="L1392" s="148">
        <v>45384</v>
      </c>
      <c r="M1392" s="107">
        <v>1402.05</v>
      </c>
      <c r="N1392" s="107">
        <v>1422</v>
      </c>
      <c r="O1392" s="107">
        <v>1394.05</v>
      </c>
      <c r="P1392" s="107">
        <v>1422</v>
      </c>
      <c r="Q1392" s="107">
        <v>1402.05</v>
      </c>
      <c r="R1392">
        <v>102164</v>
      </c>
    </row>
    <row r="1393" spans="1:18" x14ac:dyDescent="0.25">
      <c r="A1393" s="148">
        <v>45385</v>
      </c>
      <c r="B1393" s="107">
        <v>1424.25</v>
      </c>
      <c r="C1393" s="107">
        <v>1420.7</v>
      </c>
      <c r="D1393" s="107">
        <v>1404.75</v>
      </c>
      <c r="E1393" s="107">
        <v>1412.85</v>
      </c>
      <c r="F1393" s="107">
        <v>1420.7</v>
      </c>
      <c r="G1393">
        <v>2513</v>
      </c>
      <c r="H1393" s="107"/>
      <c r="I1393" s="107"/>
      <c r="L1393" s="148">
        <v>45385</v>
      </c>
      <c r="M1393" s="107">
        <v>1421.6</v>
      </c>
      <c r="N1393" s="107">
        <v>1425</v>
      </c>
      <c r="O1393" s="107">
        <v>1403</v>
      </c>
      <c r="P1393" s="107">
        <v>1408</v>
      </c>
      <c r="Q1393" s="107">
        <v>1421.6</v>
      </c>
      <c r="R1393">
        <v>62803</v>
      </c>
    </row>
    <row r="1394" spans="1:18" x14ac:dyDescent="0.25">
      <c r="A1394" s="148">
        <v>45386</v>
      </c>
      <c r="B1394" s="107">
        <v>1523</v>
      </c>
      <c r="C1394" s="107">
        <v>1477</v>
      </c>
      <c r="D1394" s="107">
        <v>1425.9</v>
      </c>
      <c r="E1394" s="107">
        <v>1425.95</v>
      </c>
      <c r="F1394" s="107">
        <v>1477</v>
      </c>
      <c r="G1394">
        <v>43564</v>
      </c>
      <c r="H1394" s="107"/>
      <c r="I1394" s="107"/>
      <c r="L1394" s="148">
        <v>45386</v>
      </c>
      <c r="M1394" s="107">
        <v>1478.15</v>
      </c>
      <c r="N1394" s="107">
        <v>1524.8</v>
      </c>
      <c r="O1394" s="107">
        <v>1421</v>
      </c>
      <c r="P1394" s="107">
        <v>1421</v>
      </c>
      <c r="Q1394" s="107">
        <v>1478.15</v>
      </c>
      <c r="R1394">
        <v>802227</v>
      </c>
    </row>
    <row r="1395" spans="1:18" x14ac:dyDescent="0.25">
      <c r="A1395" s="148">
        <v>45387</v>
      </c>
      <c r="B1395" s="107">
        <v>1539.45</v>
      </c>
      <c r="C1395" s="107">
        <v>1483.1</v>
      </c>
      <c r="D1395" s="107">
        <v>1464.05</v>
      </c>
      <c r="E1395" s="107">
        <v>1486.5</v>
      </c>
      <c r="F1395" s="107">
        <v>1483.1</v>
      </c>
      <c r="G1395">
        <v>19766</v>
      </c>
      <c r="H1395" s="107"/>
      <c r="I1395" s="107"/>
      <c r="L1395" s="148">
        <v>45387</v>
      </c>
      <c r="M1395" s="107">
        <v>1481.4</v>
      </c>
      <c r="N1395" s="107">
        <v>1539.95</v>
      </c>
      <c r="O1395" s="107">
        <v>1460</v>
      </c>
      <c r="P1395" s="107">
        <v>1485</v>
      </c>
      <c r="Q1395" s="107">
        <v>1481.4</v>
      </c>
      <c r="R1395">
        <v>568867</v>
      </c>
    </row>
    <row r="1396" spans="1:18" x14ac:dyDescent="0.25">
      <c r="A1396" s="148">
        <v>45390</v>
      </c>
      <c r="B1396" s="107">
        <v>1494.35</v>
      </c>
      <c r="C1396" s="107">
        <v>1472.5</v>
      </c>
      <c r="D1396" s="107">
        <v>1465.4</v>
      </c>
      <c r="E1396" s="107">
        <v>1483.15</v>
      </c>
      <c r="F1396" s="107">
        <v>1472.5</v>
      </c>
      <c r="G1396">
        <v>8935</v>
      </c>
      <c r="H1396" s="107"/>
      <c r="I1396" s="107"/>
      <c r="L1396" s="148">
        <v>45390</v>
      </c>
      <c r="M1396" s="107">
        <v>1471.95</v>
      </c>
      <c r="N1396" s="107">
        <v>1494</v>
      </c>
      <c r="O1396" s="107">
        <v>1461</v>
      </c>
      <c r="P1396" s="107">
        <v>1486.1</v>
      </c>
      <c r="Q1396" s="107">
        <v>1471.95</v>
      </c>
      <c r="R1396">
        <v>186928</v>
      </c>
    </row>
    <row r="1397" spans="1:18" x14ac:dyDescent="0.25">
      <c r="A1397" s="148">
        <v>45391</v>
      </c>
      <c r="B1397" s="107">
        <v>1482</v>
      </c>
      <c r="C1397" s="107">
        <v>1452.45</v>
      </c>
      <c r="D1397" s="107">
        <v>1445</v>
      </c>
      <c r="E1397" s="107">
        <v>1482</v>
      </c>
      <c r="F1397" s="107">
        <v>1452.45</v>
      </c>
      <c r="G1397">
        <v>8643</v>
      </c>
      <c r="H1397" s="107"/>
      <c r="I1397" s="107"/>
      <c r="L1397" s="148">
        <v>45391</v>
      </c>
      <c r="M1397" s="107">
        <v>1452.25</v>
      </c>
      <c r="N1397" s="107">
        <v>1481</v>
      </c>
      <c r="O1397" s="107">
        <v>1444</v>
      </c>
      <c r="P1397" s="107">
        <v>1481</v>
      </c>
      <c r="Q1397" s="107">
        <v>1452.25</v>
      </c>
      <c r="R1397">
        <v>125830</v>
      </c>
    </row>
    <row r="1398" spans="1:18" x14ac:dyDescent="0.25">
      <c r="A1398" s="148">
        <v>45392</v>
      </c>
      <c r="B1398" s="107">
        <v>1461.5</v>
      </c>
      <c r="C1398" s="107">
        <v>1428.5</v>
      </c>
      <c r="D1398" s="107">
        <v>1417.55</v>
      </c>
      <c r="E1398" s="107">
        <v>1452.45</v>
      </c>
      <c r="F1398" s="107">
        <v>1428.5</v>
      </c>
      <c r="G1398">
        <v>11516</v>
      </c>
      <c r="H1398" s="107"/>
      <c r="I1398" s="107"/>
      <c r="L1398" s="148">
        <v>45392</v>
      </c>
      <c r="M1398" s="107">
        <v>1428.35</v>
      </c>
      <c r="N1398" s="107">
        <v>1462.75</v>
      </c>
      <c r="O1398" s="107">
        <v>1418.45</v>
      </c>
      <c r="P1398" s="107">
        <v>1453</v>
      </c>
      <c r="Q1398" s="107">
        <v>1428.35</v>
      </c>
      <c r="R1398">
        <v>201546</v>
      </c>
    </row>
    <row r="1399" spans="1:18" x14ac:dyDescent="0.25">
      <c r="A1399" s="148">
        <v>45394</v>
      </c>
      <c r="B1399" s="107">
        <v>1528</v>
      </c>
      <c r="C1399" s="107">
        <v>1471.1</v>
      </c>
      <c r="D1399" s="107">
        <v>1460</v>
      </c>
      <c r="E1399" s="107">
        <v>1472.9</v>
      </c>
      <c r="F1399" s="107">
        <v>1471.1</v>
      </c>
      <c r="G1399">
        <v>30744</v>
      </c>
      <c r="H1399" s="107"/>
      <c r="I1399" s="107"/>
      <c r="L1399" s="148">
        <v>45394</v>
      </c>
      <c r="M1399" s="107">
        <v>1471.4</v>
      </c>
      <c r="N1399" s="107">
        <v>1526.7</v>
      </c>
      <c r="O1399" s="107">
        <v>1460.05</v>
      </c>
      <c r="P1399" s="107">
        <v>1468</v>
      </c>
      <c r="Q1399" s="107">
        <v>1471.4</v>
      </c>
      <c r="R1399">
        <v>952670</v>
      </c>
    </row>
    <row r="1400" spans="1:18" x14ac:dyDescent="0.25">
      <c r="A1400" s="148">
        <v>45397</v>
      </c>
      <c r="B1400" s="107">
        <v>1493</v>
      </c>
      <c r="C1400" s="107">
        <v>1466.6</v>
      </c>
      <c r="D1400" s="107">
        <v>1445</v>
      </c>
      <c r="E1400" s="107">
        <v>1459.95</v>
      </c>
      <c r="F1400" s="107">
        <v>1466.6</v>
      </c>
      <c r="G1400">
        <v>6086</v>
      </c>
      <c r="H1400" s="107"/>
      <c r="I1400" s="107"/>
      <c r="L1400" s="148">
        <v>45397</v>
      </c>
      <c r="M1400" s="107">
        <v>1470.4</v>
      </c>
      <c r="N1400" s="107">
        <v>1493.7</v>
      </c>
      <c r="O1400" s="107">
        <v>1442.15</v>
      </c>
      <c r="P1400" s="107">
        <v>1443.15</v>
      </c>
      <c r="Q1400" s="107">
        <v>1470.4</v>
      </c>
      <c r="R1400">
        <v>226320</v>
      </c>
    </row>
    <row r="1401" spans="1:18" x14ac:dyDescent="0.25">
      <c r="A1401" s="148">
        <v>45398</v>
      </c>
      <c r="B1401" s="107">
        <v>1476.2</v>
      </c>
      <c r="C1401" s="107">
        <v>1445.5</v>
      </c>
      <c r="D1401" s="107">
        <v>1438.2</v>
      </c>
      <c r="E1401" s="107">
        <v>1450.15</v>
      </c>
      <c r="F1401" s="107">
        <v>1445.5</v>
      </c>
      <c r="G1401">
        <v>2823</v>
      </c>
      <c r="H1401" s="107"/>
      <c r="I1401" s="107"/>
      <c r="L1401" s="148">
        <v>45398</v>
      </c>
      <c r="M1401" s="107">
        <v>1448.05</v>
      </c>
      <c r="N1401" s="107">
        <v>1475</v>
      </c>
      <c r="O1401" s="107">
        <v>1438.1</v>
      </c>
      <c r="P1401" s="107">
        <v>1456.95</v>
      </c>
      <c r="Q1401" s="107">
        <v>1448.05</v>
      </c>
      <c r="R1401">
        <v>206552</v>
      </c>
    </row>
    <row r="1402" spans="1:18" x14ac:dyDescent="0.25">
      <c r="A1402" s="148">
        <v>45400</v>
      </c>
      <c r="B1402" s="107">
        <v>1450</v>
      </c>
      <c r="C1402" s="107">
        <v>1426.2</v>
      </c>
      <c r="D1402" s="107">
        <v>1416.9</v>
      </c>
      <c r="E1402" s="107">
        <v>1447.45</v>
      </c>
      <c r="F1402" s="107">
        <v>1426.2</v>
      </c>
      <c r="G1402">
        <v>3799</v>
      </c>
      <c r="H1402" s="107"/>
      <c r="I1402" s="107"/>
      <c r="L1402" s="148">
        <v>45400</v>
      </c>
      <c r="M1402" s="107">
        <v>1425.65</v>
      </c>
      <c r="N1402" s="107">
        <v>1452.4</v>
      </c>
      <c r="O1402" s="107">
        <v>1415.1</v>
      </c>
      <c r="P1402" s="107">
        <v>1449</v>
      </c>
      <c r="Q1402" s="107">
        <v>1425.65</v>
      </c>
      <c r="R1402">
        <v>358884</v>
      </c>
    </row>
    <row r="1403" spans="1:18" x14ac:dyDescent="0.25">
      <c r="A1403" s="148">
        <v>45401</v>
      </c>
      <c r="B1403" s="107">
        <v>1450.1</v>
      </c>
      <c r="C1403" s="107">
        <v>1438.15</v>
      </c>
      <c r="D1403" s="107">
        <v>1403</v>
      </c>
      <c r="E1403" s="107">
        <v>1425.6</v>
      </c>
      <c r="F1403" s="107">
        <v>1438.15</v>
      </c>
      <c r="G1403">
        <v>14468</v>
      </c>
      <c r="H1403" s="107"/>
      <c r="I1403" s="107"/>
      <c r="L1403" s="148">
        <v>45401</v>
      </c>
      <c r="M1403" s="107">
        <v>1437.25</v>
      </c>
      <c r="N1403" s="107">
        <v>1450</v>
      </c>
      <c r="O1403" s="107">
        <v>1401.1</v>
      </c>
      <c r="P1403" s="107">
        <v>1428</v>
      </c>
      <c r="Q1403" s="107">
        <v>1437.25</v>
      </c>
      <c r="R1403">
        <v>183815</v>
      </c>
    </row>
    <row r="1404" spans="1:18" x14ac:dyDescent="0.25">
      <c r="A1404" s="148">
        <v>45404</v>
      </c>
      <c r="B1404" s="107">
        <v>1498</v>
      </c>
      <c r="C1404" s="107">
        <v>1480.3</v>
      </c>
      <c r="D1404" s="107">
        <v>1438.05</v>
      </c>
      <c r="E1404" s="107">
        <v>1438.05</v>
      </c>
      <c r="F1404" s="107">
        <v>1480.3</v>
      </c>
      <c r="G1404">
        <v>8142</v>
      </c>
      <c r="H1404" s="107"/>
      <c r="I1404" s="107"/>
      <c r="L1404" s="148">
        <v>45404</v>
      </c>
      <c r="M1404" s="107">
        <v>1482.15</v>
      </c>
      <c r="N1404" s="107">
        <v>1498</v>
      </c>
      <c r="O1404" s="107">
        <v>1445</v>
      </c>
      <c r="P1404" s="107">
        <v>1445</v>
      </c>
      <c r="Q1404" s="107">
        <v>1482.15</v>
      </c>
      <c r="R1404">
        <v>101171</v>
      </c>
    </row>
    <row r="1405" spans="1:18" x14ac:dyDescent="0.25">
      <c r="A1405" s="148">
        <v>45405</v>
      </c>
      <c r="B1405" s="107">
        <v>1510</v>
      </c>
      <c r="C1405" s="107">
        <v>1505.75</v>
      </c>
      <c r="D1405" s="107">
        <v>1471.35</v>
      </c>
      <c r="E1405" s="107">
        <v>1500</v>
      </c>
      <c r="F1405" s="107">
        <v>1505.75</v>
      </c>
      <c r="G1405">
        <v>4929</v>
      </c>
      <c r="H1405" s="107"/>
      <c r="I1405" s="107"/>
      <c r="L1405" s="148">
        <v>45405</v>
      </c>
      <c r="M1405" s="107">
        <v>1504.6</v>
      </c>
      <c r="N1405" s="107">
        <v>1511</v>
      </c>
      <c r="O1405" s="107">
        <v>1471</v>
      </c>
      <c r="P1405" s="107">
        <v>1500</v>
      </c>
      <c r="Q1405" s="107">
        <v>1504.6</v>
      </c>
      <c r="R1405">
        <v>339303</v>
      </c>
    </row>
    <row r="1406" spans="1:18" x14ac:dyDescent="0.25">
      <c r="A1406" s="148">
        <v>45406</v>
      </c>
      <c r="B1406" s="107">
        <v>1516.95</v>
      </c>
      <c r="C1406" s="107">
        <v>1499.9</v>
      </c>
      <c r="D1406" s="107">
        <v>1480.65</v>
      </c>
      <c r="E1406" s="107">
        <v>1516.95</v>
      </c>
      <c r="F1406" s="107">
        <v>1499.9</v>
      </c>
      <c r="G1406">
        <v>12499</v>
      </c>
      <c r="H1406" s="107"/>
      <c r="I1406" s="107"/>
      <c r="L1406" s="148">
        <v>45406</v>
      </c>
      <c r="M1406" s="107">
        <v>1502</v>
      </c>
      <c r="N1406" s="107">
        <v>1516</v>
      </c>
      <c r="O1406" s="107">
        <v>1480</v>
      </c>
      <c r="P1406" s="107">
        <v>1513</v>
      </c>
      <c r="Q1406" s="107">
        <v>1502</v>
      </c>
      <c r="R1406">
        <v>142851</v>
      </c>
    </row>
    <row r="1407" spans="1:18" x14ac:dyDescent="0.25">
      <c r="A1407" s="148">
        <v>45407</v>
      </c>
      <c r="B1407" s="107">
        <v>1503.75</v>
      </c>
      <c r="C1407" s="107">
        <v>1477.9</v>
      </c>
      <c r="D1407" s="107">
        <v>1471.05</v>
      </c>
      <c r="E1407" s="107">
        <v>1503.75</v>
      </c>
      <c r="F1407" s="107">
        <v>1477.9</v>
      </c>
      <c r="G1407">
        <v>3187</v>
      </c>
      <c r="H1407" s="107"/>
      <c r="I1407" s="107"/>
      <c r="L1407" s="148">
        <v>45407</v>
      </c>
      <c r="M1407" s="107">
        <v>1477.95</v>
      </c>
      <c r="N1407" s="107">
        <v>1507</v>
      </c>
      <c r="O1407" s="107">
        <v>1471.2</v>
      </c>
      <c r="P1407" s="107">
        <v>1507</v>
      </c>
      <c r="Q1407" s="107">
        <v>1477.95</v>
      </c>
      <c r="R1407">
        <v>66393</v>
      </c>
    </row>
    <row r="1408" spans="1:18" x14ac:dyDescent="0.25">
      <c r="A1408" s="148">
        <v>45408</v>
      </c>
      <c r="B1408" s="107">
        <v>1496.8</v>
      </c>
      <c r="C1408" s="107">
        <v>1468.4</v>
      </c>
      <c r="D1408" s="107">
        <v>1454.65</v>
      </c>
      <c r="E1408" s="107">
        <v>1496.8</v>
      </c>
      <c r="F1408" s="107">
        <v>1468.4</v>
      </c>
      <c r="G1408">
        <v>2299</v>
      </c>
      <c r="H1408" s="107"/>
      <c r="I1408" s="107"/>
      <c r="L1408" s="148">
        <v>45408</v>
      </c>
      <c r="M1408" s="107">
        <v>1467.9</v>
      </c>
      <c r="N1408" s="107">
        <v>1482.1</v>
      </c>
      <c r="O1408" s="107">
        <v>1455</v>
      </c>
      <c r="P1408" s="107">
        <v>1481</v>
      </c>
      <c r="Q1408" s="107">
        <v>1467.9</v>
      </c>
      <c r="R1408">
        <v>66371</v>
      </c>
    </row>
    <row r="1409" spans="1:18" x14ac:dyDescent="0.25">
      <c r="A1409" s="148">
        <v>45411</v>
      </c>
      <c r="B1409" s="107">
        <v>1495.95</v>
      </c>
      <c r="C1409" s="107">
        <v>1482.35</v>
      </c>
      <c r="D1409" s="107">
        <v>1468.4</v>
      </c>
      <c r="E1409" s="107">
        <v>1486.55</v>
      </c>
      <c r="F1409" s="107">
        <v>1482.35</v>
      </c>
      <c r="G1409">
        <v>5202</v>
      </c>
      <c r="H1409" s="107"/>
      <c r="I1409" s="107"/>
      <c r="L1409" s="148">
        <v>45411</v>
      </c>
      <c r="M1409" s="107">
        <v>1483.1</v>
      </c>
      <c r="N1409" s="107">
        <v>1495.95</v>
      </c>
      <c r="O1409" s="107">
        <v>1475</v>
      </c>
      <c r="P1409" s="107">
        <v>1484</v>
      </c>
      <c r="Q1409" s="107">
        <v>1483.1</v>
      </c>
      <c r="R1409">
        <v>47569</v>
      </c>
    </row>
    <row r="1410" spans="1:18" x14ac:dyDescent="0.25">
      <c r="A1410" s="148">
        <v>45412</v>
      </c>
      <c r="B1410" s="107">
        <v>1514</v>
      </c>
      <c r="C1410" s="107">
        <v>1509.2</v>
      </c>
      <c r="D1410" s="107">
        <v>1481</v>
      </c>
      <c r="E1410" s="107">
        <v>1494.95</v>
      </c>
      <c r="F1410" s="107">
        <v>1509.2</v>
      </c>
      <c r="G1410">
        <v>2978</v>
      </c>
      <c r="H1410" s="107"/>
      <c r="I1410" s="107"/>
      <c r="L1410" s="148">
        <v>45412</v>
      </c>
      <c r="M1410" s="107">
        <v>1508.45</v>
      </c>
      <c r="N1410" s="107">
        <v>1513.95</v>
      </c>
      <c r="O1410" s="107">
        <v>1480.85</v>
      </c>
      <c r="P1410" s="107">
        <v>1492</v>
      </c>
      <c r="Q1410" s="107">
        <v>1508.45</v>
      </c>
      <c r="R1410">
        <v>174301</v>
      </c>
    </row>
    <row r="1411" spans="1:18" x14ac:dyDescent="0.25">
      <c r="A1411" s="148">
        <v>45414</v>
      </c>
      <c r="B1411" s="107">
        <v>1518</v>
      </c>
      <c r="C1411" s="107">
        <v>1466.75</v>
      </c>
      <c r="D1411" s="107">
        <v>1458.05</v>
      </c>
      <c r="E1411" s="107">
        <v>1515.4</v>
      </c>
      <c r="F1411" s="107">
        <v>1466.75</v>
      </c>
      <c r="G1411">
        <v>16359</v>
      </c>
      <c r="H1411" s="107"/>
      <c r="I1411" s="107"/>
      <c r="L1411" s="148">
        <v>45414</v>
      </c>
      <c r="M1411" s="107">
        <v>1466.95</v>
      </c>
      <c r="N1411" s="107">
        <v>1517</v>
      </c>
      <c r="O1411" s="107">
        <v>1458.5</v>
      </c>
      <c r="P1411" s="107">
        <v>1517</v>
      </c>
      <c r="Q1411" s="107">
        <v>1466.95</v>
      </c>
      <c r="R1411">
        <v>275387</v>
      </c>
    </row>
    <row r="1412" spans="1:18" x14ac:dyDescent="0.25">
      <c r="A1412" s="148">
        <v>45415</v>
      </c>
      <c r="B1412" s="107">
        <v>1487.45</v>
      </c>
      <c r="C1412" s="107">
        <v>1468.15</v>
      </c>
      <c r="D1412" s="107">
        <v>1450.2</v>
      </c>
      <c r="E1412" s="107">
        <v>1487.2</v>
      </c>
      <c r="F1412" s="107">
        <v>1468.15</v>
      </c>
      <c r="G1412">
        <v>3104</v>
      </c>
      <c r="H1412" s="107"/>
      <c r="I1412" s="107"/>
      <c r="L1412" s="148">
        <v>45415</v>
      </c>
      <c r="M1412" s="107">
        <v>1467</v>
      </c>
      <c r="N1412" s="107">
        <v>1489.8</v>
      </c>
      <c r="O1412" s="107">
        <v>1450.1</v>
      </c>
      <c r="P1412" s="107">
        <v>1481</v>
      </c>
      <c r="Q1412" s="107">
        <v>1467</v>
      </c>
      <c r="R1412">
        <v>68373</v>
      </c>
    </row>
    <row r="1413" spans="1:18" x14ac:dyDescent="0.25">
      <c r="A1413" s="148">
        <v>45418</v>
      </c>
      <c r="B1413" s="107">
        <v>1479.8</v>
      </c>
      <c r="C1413" s="107">
        <v>1434.75</v>
      </c>
      <c r="D1413" s="107">
        <v>1427</v>
      </c>
      <c r="E1413" s="107">
        <v>1465.05</v>
      </c>
      <c r="F1413" s="107">
        <v>1434.75</v>
      </c>
      <c r="G1413">
        <v>9852</v>
      </c>
      <c r="H1413" s="107"/>
      <c r="I1413" s="107"/>
      <c r="L1413" s="148">
        <v>45418</v>
      </c>
      <c r="M1413" s="107">
        <v>1434.55</v>
      </c>
      <c r="N1413" s="107">
        <v>1483.9</v>
      </c>
      <c r="O1413" s="107">
        <v>1427</v>
      </c>
      <c r="P1413" s="107">
        <v>1474.35</v>
      </c>
      <c r="Q1413" s="107">
        <v>1434.55</v>
      </c>
      <c r="R1413">
        <v>111105</v>
      </c>
    </row>
    <row r="1414" spans="1:18" x14ac:dyDescent="0.25">
      <c r="A1414" s="148">
        <v>45419</v>
      </c>
      <c r="B1414" s="107">
        <v>1490.7</v>
      </c>
      <c r="C1414" s="107">
        <v>1423.8</v>
      </c>
      <c r="D1414" s="107">
        <v>1413.25</v>
      </c>
      <c r="E1414" s="107">
        <v>1440.2</v>
      </c>
      <c r="F1414" s="107">
        <v>1423.8</v>
      </c>
      <c r="G1414">
        <v>15845</v>
      </c>
      <c r="H1414" s="107"/>
      <c r="I1414" s="107"/>
      <c r="L1414" s="148">
        <v>45419</v>
      </c>
      <c r="M1414" s="107">
        <v>1420.75</v>
      </c>
      <c r="N1414" s="107">
        <v>1490.55</v>
      </c>
      <c r="O1414" s="107">
        <v>1410</v>
      </c>
      <c r="P1414" s="107">
        <v>1441.7</v>
      </c>
      <c r="Q1414" s="107">
        <v>1420.75</v>
      </c>
      <c r="R1414">
        <v>366020</v>
      </c>
    </row>
    <row r="1415" spans="1:18" x14ac:dyDescent="0.25">
      <c r="A1415" s="148">
        <v>45420</v>
      </c>
      <c r="B1415" s="107">
        <v>1521.4</v>
      </c>
      <c r="C1415" s="107">
        <v>1427.85</v>
      </c>
      <c r="D1415" s="107">
        <v>1423</v>
      </c>
      <c r="E1415" s="107">
        <v>1476</v>
      </c>
      <c r="F1415" s="107">
        <v>1427.85</v>
      </c>
      <c r="G1415">
        <v>64544</v>
      </c>
      <c r="H1415" s="107"/>
      <c r="I1415" s="107"/>
      <c r="L1415" s="148">
        <v>45420</v>
      </c>
      <c r="M1415" s="107">
        <v>1428.65</v>
      </c>
      <c r="N1415" s="107">
        <v>1523.4</v>
      </c>
      <c r="O1415" s="107">
        <v>1422</v>
      </c>
      <c r="P1415" s="107">
        <v>1477.05</v>
      </c>
      <c r="Q1415" s="107">
        <v>1428.65</v>
      </c>
      <c r="R1415">
        <v>1576034</v>
      </c>
    </row>
    <row r="1416" spans="1:18" x14ac:dyDescent="0.25">
      <c r="A1416" s="148">
        <v>45421</v>
      </c>
      <c r="B1416" s="107">
        <v>1449</v>
      </c>
      <c r="C1416" s="107">
        <v>1405.2</v>
      </c>
      <c r="D1416" s="107">
        <v>1391.65</v>
      </c>
      <c r="E1416" s="107">
        <v>1423.5</v>
      </c>
      <c r="F1416" s="107">
        <v>1405.2</v>
      </c>
      <c r="G1416">
        <v>11798</v>
      </c>
      <c r="H1416" s="107"/>
      <c r="I1416" s="107"/>
      <c r="L1416" s="148">
        <v>45421</v>
      </c>
      <c r="M1416" s="107">
        <v>1420.3</v>
      </c>
      <c r="N1416" s="107">
        <v>1449.5</v>
      </c>
      <c r="O1416" s="107">
        <v>1389.3</v>
      </c>
      <c r="P1416" s="107">
        <v>1428.65</v>
      </c>
      <c r="Q1416" s="107">
        <v>1420.3</v>
      </c>
      <c r="R1416">
        <v>323330</v>
      </c>
    </row>
    <row r="1417" spans="1:18" x14ac:dyDescent="0.25">
      <c r="A1417" s="148">
        <v>45422</v>
      </c>
      <c r="B1417" s="107">
        <v>1433.3</v>
      </c>
      <c r="C1417" s="107">
        <v>1415.15</v>
      </c>
      <c r="D1417" s="107">
        <v>1385.2</v>
      </c>
      <c r="E1417" s="107">
        <v>1433.3</v>
      </c>
      <c r="F1417" s="107">
        <v>1415.15</v>
      </c>
      <c r="G1417">
        <v>7087</v>
      </c>
      <c r="H1417" s="107"/>
      <c r="I1417" s="107"/>
      <c r="L1417" s="148">
        <v>45422</v>
      </c>
      <c r="M1417" s="107">
        <v>1413.8</v>
      </c>
      <c r="N1417" s="107">
        <v>1435</v>
      </c>
      <c r="O1417" s="107">
        <v>1385.3</v>
      </c>
      <c r="P1417" s="107">
        <v>1425.1</v>
      </c>
      <c r="Q1417" s="107">
        <v>1413.8</v>
      </c>
      <c r="R1417">
        <v>139719</v>
      </c>
    </row>
    <row r="1418" spans="1:18" x14ac:dyDescent="0.25">
      <c r="A1418" s="148">
        <v>45425</v>
      </c>
      <c r="B1418" s="107">
        <v>1420</v>
      </c>
      <c r="C1418" s="107">
        <v>1399.3</v>
      </c>
      <c r="D1418" s="107">
        <v>1376</v>
      </c>
      <c r="E1418" s="107">
        <v>1408.65</v>
      </c>
      <c r="F1418" s="107">
        <v>1399.3</v>
      </c>
      <c r="G1418">
        <v>11876</v>
      </c>
      <c r="H1418" s="107"/>
      <c r="I1418" s="107"/>
      <c r="L1418" s="148">
        <v>45425</v>
      </c>
      <c r="M1418" s="107">
        <v>1402.3</v>
      </c>
      <c r="N1418" s="107">
        <v>1419.4</v>
      </c>
      <c r="O1418" s="107">
        <v>1376</v>
      </c>
      <c r="P1418" s="107">
        <v>1417.95</v>
      </c>
      <c r="Q1418" s="107">
        <v>1402.3</v>
      </c>
      <c r="R1418">
        <v>117111</v>
      </c>
    </row>
    <row r="1419" spans="1:18" x14ac:dyDescent="0.25">
      <c r="A1419" s="148">
        <v>45426</v>
      </c>
      <c r="B1419" s="107">
        <v>1399.9</v>
      </c>
      <c r="C1419" s="107">
        <v>1382.25</v>
      </c>
      <c r="D1419" s="107">
        <v>1369.3</v>
      </c>
      <c r="E1419" s="107">
        <v>1399.3</v>
      </c>
      <c r="F1419" s="107">
        <v>1382.25</v>
      </c>
      <c r="G1419">
        <v>6062</v>
      </c>
      <c r="H1419" s="107"/>
      <c r="I1419" s="107"/>
      <c r="L1419" s="148">
        <v>45426</v>
      </c>
      <c r="M1419" s="107">
        <v>1380.1</v>
      </c>
      <c r="N1419" s="107">
        <v>1401</v>
      </c>
      <c r="O1419" s="107">
        <v>1368.4</v>
      </c>
      <c r="P1419" s="107">
        <v>1400</v>
      </c>
      <c r="Q1419" s="107">
        <v>1380.1</v>
      </c>
      <c r="R1419">
        <v>257680</v>
      </c>
    </row>
    <row r="1420" spans="1:18" x14ac:dyDescent="0.25">
      <c r="A1420" s="148">
        <v>45427</v>
      </c>
      <c r="B1420" s="107">
        <v>1435.1</v>
      </c>
      <c r="C1420" s="107">
        <v>1413.95</v>
      </c>
      <c r="D1420" s="107">
        <v>1385</v>
      </c>
      <c r="E1420" s="107">
        <v>1385</v>
      </c>
      <c r="F1420" s="107">
        <v>1413.95</v>
      </c>
      <c r="G1420">
        <v>10797</v>
      </c>
      <c r="H1420" s="107"/>
      <c r="I1420" s="107"/>
      <c r="L1420" s="148">
        <v>45427</v>
      </c>
      <c r="M1420" s="107">
        <v>1413.7</v>
      </c>
      <c r="N1420" s="107">
        <v>1438.4</v>
      </c>
      <c r="O1420" s="107">
        <v>1390.05</v>
      </c>
      <c r="P1420" s="107">
        <v>1393.95</v>
      </c>
      <c r="Q1420" s="107">
        <v>1413.7</v>
      </c>
      <c r="R1420">
        <v>273566</v>
      </c>
    </row>
    <row r="1421" spans="1:18" x14ac:dyDescent="0.25">
      <c r="A1421" s="148">
        <v>45428</v>
      </c>
      <c r="B1421" s="107">
        <v>1427.95</v>
      </c>
      <c r="C1421" s="107">
        <v>1417.5</v>
      </c>
      <c r="D1421" s="107">
        <v>1404.7</v>
      </c>
      <c r="E1421" s="107">
        <v>1424.9</v>
      </c>
      <c r="F1421" s="107">
        <v>1417.5</v>
      </c>
      <c r="G1421">
        <v>7384</v>
      </c>
      <c r="H1421" s="107"/>
      <c r="I1421" s="107"/>
      <c r="L1421" s="148">
        <v>45428</v>
      </c>
      <c r="M1421" s="107">
        <v>1419.55</v>
      </c>
      <c r="N1421" s="107">
        <v>1427.55</v>
      </c>
      <c r="O1421" s="107">
        <v>1404</v>
      </c>
      <c r="P1421" s="107">
        <v>1421</v>
      </c>
      <c r="Q1421" s="107">
        <v>1419.55</v>
      </c>
      <c r="R1421">
        <v>105803</v>
      </c>
    </row>
    <row r="1422" spans="1:18" x14ac:dyDescent="0.25">
      <c r="A1422" s="148">
        <v>45429</v>
      </c>
      <c r="B1422" s="107">
        <v>1438.1</v>
      </c>
      <c r="C1422" s="107">
        <v>1412.05</v>
      </c>
      <c r="D1422" s="107">
        <v>1404.1</v>
      </c>
      <c r="E1422" s="107">
        <v>1438.1</v>
      </c>
      <c r="F1422" s="107">
        <v>1412.05</v>
      </c>
      <c r="G1422">
        <v>1911</v>
      </c>
      <c r="H1422" s="107"/>
      <c r="I1422" s="107"/>
      <c r="L1422" s="148">
        <v>45429</v>
      </c>
      <c r="M1422" s="107">
        <v>1411.2</v>
      </c>
      <c r="N1422" s="107">
        <v>1423.95</v>
      </c>
      <c r="O1422" s="107">
        <v>1404.05</v>
      </c>
      <c r="P1422" s="107">
        <v>1423.95</v>
      </c>
      <c r="Q1422" s="107">
        <v>1411.2</v>
      </c>
      <c r="R1422">
        <v>93589</v>
      </c>
    </row>
    <row r="1423" spans="1:18" x14ac:dyDescent="0.25">
      <c r="A1423" s="148">
        <v>45430</v>
      </c>
      <c r="B1423" s="107">
        <v>1447.9</v>
      </c>
      <c r="C1423" s="107">
        <v>1423.45</v>
      </c>
      <c r="D1423" s="107">
        <v>1409</v>
      </c>
      <c r="E1423" s="107">
        <v>1409</v>
      </c>
      <c r="F1423" s="107">
        <v>1423.45</v>
      </c>
      <c r="G1423">
        <v>2363</v>
      </c>
      <c r="H1423" s="107"/>
      <c r="I1423" s="107"/>
      <c r="L1423" s="148">
        <v>45430</v>
      </c>
      <c r="M1423" s="107">
        <v>1424.6</v>
      </c>
      <c r="N1423" s="107">
        <v>1441.15</v>
      </c>
      <c r="O1423" s="107">
        <v>1411</v>
      </c>
      <c r="P1423" s="107">
        <v>1411</v>
      </c>
      <c r="Q1423" s="107">
        <v>1424.6</v>
      </c>
      <c r="R1423">
        <v>15407</v>
      </c>
    </row>
    <row r="1424" spans="1:18" x14ac:dyDescent="0.25">
      <c r="A1424" s="148">
        <v>45433</v>
      </c>
      <c r="B1424" s="107">
        <v>1445</v>
      </c>
      <c r="C1424" s="107">
        <v>1415.65</v>
      </c>
      <c r="D1424" s="107">
        <v>1396</v>
      </c>
      <c r="E1424" s="107">
        <v>1445</v>
      </c>
      <c r="F1424" s="107">
        <v>1415.65</v>
      </c>
      <c r="G1424">
        <v>3862</v>
      </c>
      <c r="H1424" s="107"/>
      <c r="I1424" s="107"/>
      <c r="L1424" s="148">
        <v>45433</v>
      </c>
      <c r="M1424" s="107">
        <v>1415.55</v>
      </c>
      <c r="N1424" s="107">
        <v>1441.45</v>
      </c>
      <c r="O1424" s="107">
        <v>1395.6</v>
      </c>
      <c r="P1424" s="107">
        <v>1430</v>
      </c>
      <c r="Q1424" s="107">
        <v>1415.55</v>
      </c>
      <c r="R1424">
        <v>127702</v>
      </c>
    </row>
    <row r="1425" spans="1:18" x14ac:dyDescent="0.25">
      <c r="A1425" s="148">
        <v>45434</v>
      </c>
      <c r="B1425" s="107">
        <v>1419.85</v>
      </c>
      <c r="C1425" s="107">
        <v>1406.75</v>
      </c>
      <c r="D1425" s="107">
        <v>1391.65</v>
      </c>
      <c r="E1425" s="107">
        <v>1419</v>
      </c>
      <c r="F1425" s="107">
        <v>1406.75</v>
      </c>
      <c r="G1425">
        <v>5578</v>
      </c>
      <c r="H1425" s="107"/>
      <c r="I1425" s="107"/>
      <c r="L1425" s="148">
        <v>45434</v>
      </c>
      <c r="M1425" s="107">
        <v>1408.7</v>
      </c>
      <c r="N1425" s="107">
        <v>1421.6</v>
      </c>
      <c r="O1425" s="107">
        <v>1391.65</v>
      </c>
      <c r="P1425" s="107">
        <v>1419.85</v>
      </c>
      <c r="Q1425" s="107">
        <v>1408.7</v>
      </c>
      <c r="R1425">
        <v>82404</v>
      </c>
    </row>
    <row r="1426" spans="1:18" x14ac:dyDescent="0.25">
      <c r="A1426" s="148">
        <v>45435</v>
      </c>
      <c r="B1426" s="107">
        <v>1420</v>
      </c>
      <c r="C1426" s="107">
        <v>1408.85</v>
      </c>
      <c r="D1426" s="107">
        <v>1400.75</v>
      </c>
      <c r="E1426" s="107">
        <v>1417</v>
      </c>
      <c r="F1426" s="107">
        <v>1408.85</v>
      </c>
      <c r="G1426">
        <v>3595</v>
      </c>
      <c r="H1426" s="107"/>
      <c r="I1426" s="107"/>
      <c r="L1426" s="148">
        <v>45435</v>
      </c>
      <c r="M1426" s="107">
        <v>1406.45</v>
      </c>
      <c r="N1426" s="107">
        <v>1425</v>
      </c>
      <c r="O1426" s="107">
        <v>1400.3</v>
      </c>
      <c r="P1426" s="107">
        <v>1419</v>
      </c>
      <c r="Q1426" s="107">
        <v>1406.45</v>
      </c>
      <c r="R1426">
        <v>73010</v>
      </c>
    </row>
    <row r="1427" spans="1:18" x14ac:dyDescent="0.25">
      <c r="A1427" s="148">
        <v>45436</v>
      </c>
      <c r="B1427" s="107">
        <v>1423.95</v>
      </c>
      <c r="C1427" s="107">
        <v>1393.2</v>
      </c>
      <c r="D1427" s="107">
        <v>1379.3</v>
      </c>
      <c r="E1427" s="107">
        <v>1410.05</v>
      </c>
      <c r="F1427" s="107">
        <v>1393.2</v>
      </c>
      <c r="G1427">
        <v>11262</v>
      </c>
      <c r="H1427" s="107"/>
      <c r="I1427" s="107"/>
      <c r="L1427" s="148">
        <v>45436</v>
      </c>
      <c r="M1427" s="107">
        <v>1394.75</v>
      </c>
      <c r="N1427" s="107">
        <v>1424</v>
      </c>
      <c r="O1427" s="107">
        <v>1378.5</v>
      </c>
      <c r="P1427" s="107">
        <v>1415.55</v>
      </c>
      <c r="Q1427" s="107">
        <v>1394.75</v>
      </c>
      <c r="R1427">
        <v>185978</v>
      </c>
    </row>
    <row r="1428" spans="1:18" x14ac:dyDescent="0.25">
      <c r="A1428" s="148">
        <v>45439</v>
      </c>
      <c r="B1428" s="107">
        <v>1430.75</v>
      </c>
      <c r="C1428" s="107">
        <v>1377.1</v>
      </c>
      <c r="D1428" s="107">
        <v>1372.85</v>
      </c>
      <c r="E1428" s="107">
        <v>1429.15</v>
      </c>
      <c r="F1428" s="107">
        <v>1377.1</v>
      </c>
      <c r="G1428">
        <v>13612</v>
      </c>
      <c r="H1428" s="107"/>
      <c r="I1428" s="107"/>
      <c r="L1428" s="148">
        <v>45439</v>
      </c>
      <c r="M1428" s="107">
        <v>1377.45</v>
      </c>
      <c r="N1428" s="107">
        <v>1433</v>
      </c>
      <c r="O1428" s="107">
        <v>1372.95</v>
      </c>
      <c r="P1428" s="107">
        <v>1424</v>
      </c>
      <c r="Q1428" s="107">
        <v>1377.45</v>
      </c>
      <c r="R1428">
        <v>252765</v>
      </c>
    </row>
    <row r="1429" spans="1:18" x14ac:dyDescent="0.25">
      <c r="A1429" s="148">
        <v>45440</v>
      </c>
      <c r="B1429" s="107">
        <v>1384.95</v>
      </c>
      <c r="C1429" s="107">
        <v>1349.5</v>
      </c>
      <c r="D1429" s="107">
        <v>1340</v>
      </c>
      <c r="E1429" s="107">
        <v>1384.95</v>
      </c>
      <c r="F1429" s="107">
        <v>1349.5</v>
      </c>
      <c r="G1429">
        <v>104415</v>
      </c>
      <c r="H1429" s="107"/>
      <c r="I1429" s="107"/>
      <c r="L1429" s="148">
        <v>45440</v>
      </c>
      <c r="M1429" s="107">
        <v>1348.15</v>
      </c>
      <c r="N1429" s="107">
        <v>1383.15</v>
      </c>
      <c r="O1429" s="107">
        <v>1336.35</v>
      </c>
      <c r="P1429" s="107">
        <v>1377.45</v>
      </c>
      <c r="Q1429" s="107">
        <v>1348.15</v>
      </c>
      <c r="R1429">
        <v>209650</v>
      </c>
    </row>
    <row r="1430" spans="1:18" x14ac:dyDescent="0.25">
      <c r="A1430" s="148">
        <v>45441</v>
      </c>
      <c r="B1430" s="107">
        <v>1342.3</v>
      </c>
      <c r="C1430" s="107">
        <v>1323.35</v>
      </c>
      <c r="D1430" s="107">
        <v>1315.25</v>
      </c>
      <c r="E1430" s="107">
        <v>1338</v>
      </c>
      <c r="F1430" s="107">
        <v>1323.35</v>
      </c>
      <c r="G1430">
        <v>14633</v>
      </c>
      <c r="H1430" s="107"/>
      <c r="I1430" s="107"/>
      <c r="L1430" s="148">
        <v>45441</v>
      </c>
      <c r="M1430" s="107">
        <v>1323.2</v>
      </c>
      <c r="N1430" s="107">
        <v>1341.95</v>
      </c>
      <c r="O1430" s="107">
        <v>1316.7</v>
      </c>
      <c r="P1430" s="107">
        <v>1335</v>
      </c>
      <c r="Q1430" s="107">
        <v>1323.2</v>
      </c>
      <c r="R1430">
        <v>466635</v>
      </c>
    </row>
    <row r="1431" spans="1:18" x14ac:dyDescent="0.25">
      <c r="A1431" s="148">
        <v>45442</v>
      </c>
      <c r="B1431" s="107">
        <v>1334.35</v>
      </c>
      <c r="C1431" s="107">
        <v>1317</v>
      </c>
      <c r="D1431" s="107">
        <v>1302.0999999999999</v>
      </c>
      <c r="E1431" s="107">
        <v>1315.05</v>
      </c>
      <c r="F1431" s="107">
        <v>1317</v>
      </c>
      <c r="G1431">
        <v>11084</v>
      </c>
      <c r="H1431" s="107"/>
      <c r="I1431" s="107"/>
      <c r="L1431" s="148">
        <v>45442</v>
      </c>
      <c r="M1431" s="107">
        <v>1317.25</v>
      </c>
      <c r="N1431" s="107">
        <v>1332.95</v>
      </c>
      <c r="O1431" s="107">
        <v>1300.55</v>
      </c>
      <c r="P1431" s="107">
        <v>1323.95</v>
      </c>
      <c r="Q1431" s="107">
        <v>1317.25</v>
      </c>
      <c r="R1431">
        <v>345207</v>
      </c>
    </row>
    <row r="1432" spans="1:18" x14ac:dyDescent="0.25">
      <c r="A1432" s="148">
        <v>45443</v>
      </c>
      <c r="B1432" s="107">
        <v>1336.25</v>
      </c>
      <c r="C1432" s="107">
        <v>1322.25</v>
      </c>
      <c r="D1432" s="107">
        <v>1307.05</v>
      </c>
      <c r="E1432" s="107">
        <v>1317</v>
      </c>
      <c r="F1432" s="107">
        <v>1322.25</v>
      </c>
      <c r="G1432">
        <v>4098</v>
      </c>
      <c r="H1432" s="107"/>
      <c r="I1432" s="107"/>
      <c r="L1432" s="148">
        <v>45443</v>
      </c>
      <c r="M1432" s="107">
        <v>1323.85</v>
      </c>
      <c r="N1432" s="107">
        <v>1336.95</v>
      </c>
      <c r="O1432" s="107">
        <v>1306.3</v>
      </c>
      <c r="P1432" s="107">
        <v>1333</v>
      </c>
      <c r="Q1432" s="107">
        <v>1323.85</v>
      </c>
      <c r="R1432">
        <v>156564</v>
      </c>
    </row>
    <row r="1433" spans="1:18" x14ac:dyDescent="0.25">
      <c r="A1433" s="148">
        <v>45446</v>
      </c>
      <c r="B1433" s="107">
        <v>1383.45</v>
      </c>
      <c r="C1433" s="107">
        <v>1317.95</v>
      </c>
      <c r="D1433" s="107">
        <v>1309.5</v>
      </c>
      <c r="E1433" s="107">
        <v>1383.45</v>
      </c>
      <c r="F1433" s="107">
        <v>1317.95</v>
      </c>
      <c r="G1433">
        <v>6557</v>
      </c>
      <c r="H1433" s="107"/>
      <c r="I1433" s="107"/>
      <c r="L1433" s="148">
        <v>45446</v>
      </c>
      <c r="M1433" s="107">
        <v>1319.3</v>
      </c>
      <c r="N1433" s="107">
        <v>1368</v>
      </c>
      <c r="O1433" s="107">
        <v>1308.55</v>
      </c>
      <c r="P1433" s="107">
        <v>1360</v>
      </c>
      <c r="Q1433" s="107">
        <v>1319.3</v>
      </c>
      <c r="R1433">
        <v>364551</v>
      </c>
    </row>
    <row r="1434" spans="1:18" x14ac:dyDescent="0.25">
      <c r="A1434" s="148">
        <v>45447</v>
      </c>
      <c r="B1434" s="107">
        <v>1326.35</v>
      </c>
      <c r="C1434" s="107">
        <v>1263.6500000000001</v>
      </c>
      <c r="D1434" s="107">
        <v>1193.7</v>
      </c>
      <c r="E1434" s="107">
        <v>1325.6</v>
      </c>
      <c r="F1434" s="107">
        <v>1263.6500000000001</v>
      </c>
      <c r="G1434">
        <v>11108</v>
      </c>
      <c r="H1434" s="107"/>
      <c r="I1434" s="107"/>
      <c r="L1434" s="148">
        <v>45447</v>
      </c>
      <c r="M1434" s="107">
        <v>1265.5999999999999</v>
      </c>
      <c r="N1434" s="107">
        <v>1335</v>
      </c>
      <c r="O1434" s="107">
        <v>1190.0999999999999</v>
      </c>
      <c r="P1434" s="107">
        <v>1335</v>
      </c>
      <c r="Q1434" s="107">
        <v>1265.5999999999999</v>
      </c>
      <c r="R1434">
        <v>712467</v>
      </c>
    </row>
    <row r="1435" spans="1:18" x14ac:dyDescent="0.25">
      <c r="A1435" s="148">
        <v>45448</v>
      </c>
      <c r="B1435" s="107">
        <v>1416.8</v>
      </c>
      <c r="C1435" s="107">
        <v>1401.05</v>
      </c>
      <c r="D1435" s="107">
        <v>1252.25</v>
      </c>
      <c r="E1435" s="107">
        <v>1288.95</v>
      </c>
      <c r="F1435" s="107">
        <v>1401.05</v>
      </c>
      <c r="G1435">
        <v>14752</v>
      </c>
      <c r="H1435" s="107"/>
      <c r="I1435" s="107"/>
      <c r="L1435" s="148">
        <v>45448</v>
      </c>
      <c r="M1435" s="107">
        <v>1404.3</v>
      </c>
      <c r="N1435" s="107">
        <v>1417.95</v>
      </c>
      <c r="O1435" s="107">
        <v>1250.25</v>
      </c>
      <c r="P1435" s="107">
        <v>1277.9000000000001</v>
      </c>
      <c r="Q1435" s="107">
        <v>1404.3</v>
      </c>
      <c r="R1435">
        <v>746482</v>
      </c>
    </row>
    <row r="1436" spans="1:18" x14ac:dyDescent="0.25">
      <c r="A1436" s="148">
        <v>45449</v>
      </c>
      <c r="B1436" s="107">
        <v>1514.1</v>
      </c>
      <c r="C1436" s="107">
        <v>1501.25</v>
      </c>
      <c r="D1436" s="107">
        <v>1414.15</v>
      </c>
      <c r="E1436" s="107">
        <v>1420</v>
      </c>
      <c r="F1436" s="107">
        <v>1501.25</v>
      </c>
      <c r="G1436">
        <v>8923</v>
      </c>
      <c r="H1436" s="107"/>
      <c r="I1436" s="107"/>
      <c r="L1436" s="148">
        <v>45449</v>
      </c>
      <c r="M1436" s="107">
        <v>1500.3</v>
      </c>
      <c r="N1436" s="107">
        <v>1515</v>
      </c>
      <c r="O1436" s="107">
        <v>1410</v>
      </c>
      <c r="P1436" s="107">
        <v>1411.95</v>
      </c>
      <c r="Q1436" s="107">
        <v>1500.3</v>
      </c>
      <c r="R1436">
        <v>514680</v>
      </c>
    </row>
    <row r="1437" spans="1:18" x14ac:dyDescent="0.25">
      <c r="A1437" s="148">
        <v>45450</v>
      </c>
      <c r="B1437" s="107">
        <v>1553</v>
      </c>
      <c r="C1437" s="107">
        <v>1496.45</v>
      </c>
      <c r="D1437" s="107">
        <v>1484.3</v>
      </c>
      <c r="E1437" s="107">
        <v>1503.05</v>
      </c>
      <c r="F1437" s="107">
        <v>1496.45</v>
      </c>
      <c r="G1437">
        <v>28409</v>
      </c>
      <c r="H1437" s="107"/>
      <c r="I1437" s="107"/>
      <c r="L1437" s="148">
        <v>45450</v>
      </c>
      <c r="M1437" s="107">
        <v>1500.25</v>
      </c>
      <c r="N1437" s="107">
        <v>1551.95</v>
      </c>
      <c r="O1437" s="107">
        <v>1484.3</v>
      </c>
      <c r="P1437" s="107">
        <v>1515</v>
      </c>
      <c r="Q1437" s="107">
        <v>1500.25</v>
      </c>
      <c r="R1437">
        <v>415958</v>
      </c>
    </row>
    <row r="1438" spans="1:18" x14ac:dyDescent="0.25">
      <c r="A1438" s="148">
        <v>45453</v>
      </c>
      <c r="B1438" s="107">
        <v>1519.95</v>
      </c>
      <c r="C1438" s="107">
        <v>1507.7</v>
      </c>
      <c r="D1438" s="107">
        <v>1487.05</v>
      </c>
      <c r="E1438" s="107">
        <v>1502.05</v>
      </c>
      <c r="F1438" s="107">
        <v>1507.7</v>
      </c>
      <c r="G1438">
        <v>13085</v>
      </c>
      <c r="H1438" s="107"/>
      <c r="I1438" s="107"/>
      <c r="L1438" s="148">
        <v>45453</v>
      </c>
      <c r="M1438" s="107">
        <v>1505.6</v>
      </c>
      <c r="N1438" s="107">
        <v>1524.15</v>
      </c>
      <c r="O1438" s="107">
        <v>1486.1</v>
      </c>
      <c r="P1438" s="107">
        <v>1514</v>
      </c>
      <c r="Q1438" s="107">
        <v>1505.6</v>
      </c>
      <c r="R1438">
        <v>158445</v>
      </c>
    </row>
    <row r="1439" spans="1:18" x14ac:dyDescent="0.25">
      <c r="A1439" s="148">
        <v>45454</v>
      </c>
      <c r="B1439" s="107">
        <v>1510</v>
      </c>
      <c r="C1439" s="107">
        <v>1494.1</v>
      </c>
      <c r="D1439" s="107">
        <v>1486.55</v>
      </c>
      <c r="E1439" s="107">
        <v>1510</v>
      </c>
      <c r="F1439" s="107">
        <v>1494.1</v>
      </c>
      <c r="G1439">
        <v>18146</v>
      </c>
      <c r="H1439" s="107"/>
      <c r="I1439" s="107"/>
      <c r="L1439" s="148">
        <v>45454</v>
      </c>
      <c r="M1439" s="107">
        <v>1496.45</v>
      </c>
      <c r="N1439" s="107">
        <v>1511</v>
      </c>
      <c r="O1439" s="107">
        <v>1487.05</v>
      </c>
      <c r="P1439" s="107">
        <v>1499.45</v>
      </c>
      <c r="Q1439" s="107">
        <v>1496.45</v>
      </c>
      <c r="R1439">
        <v>132809</v>
      </c>
    </row>
    <row r="1440" spans="1:18" x14ac:dyDescent="0.25">
      <c r="A1440" s="148">
        <v>45455</v>
      </c>
      <c r="B1440" s="107">
        <v>1499.8</v>
      </c>
      <c r="C1440" s="107">
        <v>1478</v>
      </c>
      <c r="D1440" s="107">
        <v>1471.3</v>
      </c>
      <c r="E1440" s="107">
        <v>1485.2</v>
      </c>
      <c r="F1440" s="107">
        <v>1478</v>
      </c>
      <c r="G1440">
        <v>3367</v>
      </c>
      <c r="H1440" s="107"/>
      <c r="I1440" s="107"/>
      <c r="L1440" s="148">
        <v>45455</v>
      </c>
      <c r="M1440" s="107">
        <v>1477.4</v>
      </c>
      <c r="N1440" s="107">
        <v>1501.95</v>
      </c>
      <c r="O1440" s="107">
        <v>1471</v>
      </c>
      <c r="P1440" s="107">
        <v>1496.45</v>
      </c>
      <c r="Q1440" s="107">
        <v>1477.4</v>
      </c>
      <c r="R1440">
        <v>99486</v>
      </c>
    </row>
    <row r="1441" spans="1:18" x14ac:dyDescent="0.25">
      <c r="A1441" s="148">
        <v>45456</v>
      </c>
      <c r="B1441" s="107">
        <v>1494.75</v>
      </c>
      <c r="C1441" s="107">
        <v>1480.8</v>
      </c>
      <c r="D1441" s="107">
        <v>1472.1</v>
      </c>
      <c r="E1441" s="107">
        <v>1488.7</v>
      </c>
      <c r="F1441" s="107">
        <v>1480.8</v>
      </c>
      <c r="G1441">
        <v>5306</v>
      </c>
      <c r="H1441" s="107"/>
      <c r="I1441" s="107"/>
      <c r="L1441" s="148">
        <v>45456</v>
      </c>
      <c r="M1441" s="107">
        <v>1482.65</v>
      </c>
      <c r="N1441" s="107">
        <v>1495</v>
      </c>
      <c r="O1441" s="107">
        <v>1471.05</v>
      </c>
      <c r="P1441" s="107">
        <v>1480.1</v>
      </c>
      <c r="Q1441" s="107">
        <v>1482.65</v>
      </c>
      <c r="R1441">
        <v>93216</v>
      </c>
    </row>
    <row r="1442" spans="1:18" x14ac:dyDescent="0.25">
      <c r="A1442" s="148">
        <v>45457</v>
      </c>
      <c r="B1442" s="107">
        <v>1491.1</v>
      </c>
      <c r="C1442" s="107">
        <v>1475.25</v>
      </c>
      <c r="D1442" s="107">
        <v>1468</v>
      </c>
      <c r="E1442" s="107">
        <v>1483</v>
      </c>
      <c r="F1442" s="107">
        <v>1475.25</v>
      </c>
      <c r="G1442">
        <v>3702</v>
      </c>
      <c r="H1442" s="107"/>
      <c r="I1442" s="107"/>
      <c r="L1442" s="148">
        <v>45457</v>
      </c>
      <c r="M1442" s="107">
        <v>1475.2</v>
      </c>
      <c r="N1442" s="107">
        <v>1493.9</v>
      </c>
      <c r="O1442" s="107">
        <v>1468.3</v>
      </c>
      <c r="P1442" s="107">
        <v>1480.05</v>
      </c>
      <c r="Q1442" s="107">
        <v>1475.2</v>
      </c>
      <c r="R1442">
        <v>230291</v>
      </c>
    </row>
    <row r="1443" spans="1:18" x14ac:dyDescent="0.25">
      <c r="A1443" s="148">
        <v>45461</v>
      </c>
      <c r="B1443" s="107">
        <v>1524.75</v>
      </c>
      <c r="C1443" s="107">
        <v>1496.35</v>
      </c>
      <c r="D1443" s="107">
        <v>1485.5</v>
      </c>
      <c r="E1443" s="107">
        <v>1495</v>
      </c>
      <c r="F1443" s="107">
        <v>1496.35</v>
      </c>
      <c r="G1443">
        <v>10712</v>
      </c>
      <c r="H1443" s="107"/>
      <c r="I1443" s="107"/>
      <c r="L1443" s="148">
        <v>45461</v>
      </c>
      <c r="M1443" s="107">
        <v>1496.05</v>
      </c>
      <c r="N1443" s="107">
        <v>1524.9</v>
      </c>
      <c r="O1443" s="107">
        <v>1485</v>
      </c>
      <c r="P1443" s="107">
        <v>1493.8</v>
      </c>
      <c r="Q1443" s="107">
        <v>1496.05</v>
      </c>
      <c r="R1443">
        <v>206462</v>
      </c>
    </row>
    <row r="1444" spans="1:18" x14ac:dyDescent="0.25">
      <c r="A1444" s="148">
        <v>45462</v>
      </c>
      <c r="B1444" s="107">
        <v>1499</v>
      </c>
      <c r="C1444" s="107">
        <v>1471.5</v>
      </c>
      <c r="D1444" s="107">
        <v>1465</v>
      </c>
      <c r="E1444" s="107">
        <v>1497</v>
      </c>
      <c r="F1444" s="107">
        <v>1471.5</v>
      </c>
      <c r="G1444">
        <v>8867</v>
      </c>
      <c r="H1444" s="107"/>
      <c r="I1444" s="107"/>
      <c r="L1444" s="148">
        <v>45462</v>
      </c>
      <c r="M1444" s="107">
        <v>1474.75</v>
      </c>
      <c r="N1444" s="107">
        <v>1500.95</v>
      </c>
      <c r="O1444" s="107">
        <v>1462.35</v>
      </c>
      <c r="P1444" s="107">
        <v>1500</v>
      </c>
      <c r="Q1444" s="107">
        <v>1474.75</v>
      </c>
      <c r="R1444">
        <v>110141</v>
      </c>
    </row>
    <row r="1445" spans="1:18" x14ac:dyDescent="0.25">
      <c r="A1445" s="148">
        <v>45463</v>
      </c>
      <c r="B1445" s="107">
        <v>1486</v>
      </c>
      <c r="C1445" s="107">
        <v>1479.9</v>
      </c>
      <c r="D1445" s="107">
        <v>1456.05</v>
      </c>
      <c r="E1445" s="107">
        <v>1478.4</v>
      </c>
      <c r="F1445" s="107">
        <v>1479.9</v>
      </c>
      <c r="G1445">
        <v>8048</v>
      </c>
      <c r="H1445" s="107"/>
      <c r="I1445" s="107"/>
      <c r="L1445" s="148">
        <v>45463</v>
      </c>
      <c r="M1445" s="107">
        <v>1481.2</v>
      </c>
      <c r="N1445" s="107">
        <v>1485.4</v>
      </c>
      <c r="O1445" s="107">
        <v>1458.1</v>
      </c>
      <c r="P1445" s="107">
        <v>1466.35</v>
      </c>
      <c r="Q1445" s="107">
        <v>1481.2</v>
      </c>
      <c r="R1445">
        <v>91755</v>
      </c>
    </row>
    <row r="1446" spans="1:18" x14ac:dyDescent="0.25">
      <c r="A1446" s="148">
        <v>45464</v>
      </c>
      <c r="B1446" s="107">
        <v>1476</v>
      </c>
      <c r="C1446" s="107">
        <v>1471</v>
      </c>
      <c r="D1446" s="107">
        <v>1461.5</v>
      </c>
      <c r="E1446" s="107">
        <v>1471.6</v>
      </c>
      <c r="F1446" s="107">
        <v>1471</v>
      </c>
      <c r="G1446">
        <v>2567</v>
      </c>
      <c r="H1446" s="107"/>
      <c r="I1446" s="107"/>
      <c r="L1446" s="148">
        <v>45464</v>
      </c>
      <c r="M1446" s="107">
        <v>1472.6</v>
      </c>
      <c r="N1446" s="107">
        <v>1482.6</v>
      </c>
      <c r="O1446" s="107">
        <v>1460.55</v>
      </c>
      <c r="P1446" s="107">
        <v>1481.6</v>
      </c>
      <c r="Q1446" s="107">
        <v>1472.6</v>
      </c>
      <c r="R1446">
        <v>64045</v>
      </c>
    </row>
    <row r="1447" spans="1:18" x14ac:dyDescent="0.25">
      <c r="A1447" s="148">
        <v>45467</v>
      </c>
      <c r="B1447" s="107">
        <v>1477.65</v>
      </c>
      <c r="C1447" s="107">
        <v>1409.05</v>
      </c>
      <c r="D1447" s="107">
        <v>1401</v>
      </c>
      <c r="E1447" s="107">
        <v>1460.05</v>
      </c>
      <c r="F1447" s="107">
        <v>1409.05</v>
      </c>
      <c r="G1447">
        <v>11875</v>
      </c>
      <c r="H1447" s="107"/>
      <c r="I1447" s="107"/>
      <c r="L1447" s="148">
        <v>45467</v>
      </c>
      <c r="M1447" s="107">
        <v>1407.7</v>
      </c>
      <c r="N1447" s="107">
        <v>1479.5</v>
      </c>
      <c r="O1447" s="107">
        <v>1401</v>
      </c>
      <c r="P1447" s="107">
        <v>1465.5</v>
      </c>
      <c r="Q1447" s="107">
        <v>1407.7</v>
      </c>
      <c r="R1447">
        <v>723916</v>
      </c>
    </row>
    <row r="1448" spans="1:18" x14ac:dyDescent="0.25">
      <c r="A1448" s="148">
        <v>45468</v>
      </c>
      <c r="B1448" s="107">
        <v>1429.8</v>
      </c>
      <c r="C1448" s="107">
        <v>1359.4</v>
      </c>
      <c r="D1448" s="107">
        <v>1346</v>
      </c>
      <c r="E1448" s="107">
        <v>1429.8</v>
      </c>
      <c r="F1448" s="107">
        <v>1359.4</v>
      </c>
      <c r="G1448">
        <v>24011</v>
      </c>
      <c r="H1448" s="107"/>
      <c r="I1448" s="107"/>
      <c r="L1448" s="148">
        <v>45468</v>
      </c>
      <c r="M1448" s="107">
        <v>1359.1</v>
      </c>
      <c r="N1448" s="107">
        <v>1421</v>
      </c>
      <c r="O1448" s="107">
        <v>1346.2</v>
      </c>
      <c r="P1448" s="107">
        <v>1417</v>
      </c>
      <c r="Q1448" s="107">
        <v>1359.1</v>
      </c>
      <c r="R1448">
        <v>276149</v>
      </c>
    </row>
    <row r="1449" spans="1:18" x14ac:dyDescent="0.25">
      <c r="A1449" s="148">
        <v>45469</v>
      </c>
      <c r="B1449" s="107">
        <v>1386.8</v>
      </c>
      <c r="C1449" s="107">
        <v>1359.25</v>
      </c>
      <c r="D1449" s="107">
        <v>1346.5</v>
      </c>
      <c r="E1449" s="107">
        <v>1360.15</v>
      </c>
      <c r="F1449" s="107">
        <v>1359.25</v>
      </c>
      <c r="G1449">
        <v>14580</v>
      </c>
      <c r="H1449" s="107"/>
      <c r="I1449" s="107"/>
      <c r="L1449" s="148">
        <v>45469</v>
      </c>
      <c r="M1449" s="107">
        <v>1359.05</v>
      </c>
      <c r="N1449" s="107">
        <v>1385.95</v>
      </c>
      <c r="O1449" s="107">
        <v>1342.1</v>
      </c>
      <c r="P1449" s="107">
        <v>1361.95</v>
      </c>
      <c r="Q1449" s="107">
        <v>1359.05</v>
      </c>
      <c r="R1449">
        <v>196794</v>
      </c>
    </row>
    <row r="1450" spans="1:18" x14ac:dyDescent="0.25">
      <c r="A1450" s="148">
        <v>45470</v>
      </c>
      <c r="B1450" s="107">
        <v>1382</v>
      </c>
      <c r="C1450" s="107">
        <v>1330.15</v>
      </c>
      <c r="D1450" s="107">
        <v>1325.2</v>
      </c>
      <c r="E1450" s="107">
        <v>1382</v>
      </c>
      <c r="F1450" s="107">
        <v>1330.15</v>
      </c>
      <c r="G1450">
        <v>20426</v>
      </c>
      <c r="H1450" s="107"/>
      <c r="I1450" s="107"/>
      <c r="L1450" s="148">
        <v>45470</v>
      </c>
      <c r="M1450" s="107">
        <v>1329.75</v>
      </c>
      <c r="N1450" s="107">
        <v>1381.95</v>
      </c>
      <c r="O1450" s="107">
        <v>1325</v>
      </c>
      <c r="P1450" s="107">
        <v>1362</v>
      </c>
      <c r="Q1450" s="107">
        <v>1329.75</v>
      </c>
      <c r="R1450">
        <v>240223</v>
      </c>
    </row>
    <row r="1451" spans="1:18" x14ac:dyDescent="0.25">
      <c r="A1451" s="148">
        <v>45471</v>
      </c>
      <c r="B1451" s="107">
        <v>1356.95</v>
      </c>
      <c r="C1451" s="107">
        <v>1322.35</v>
      </c>
      <c r="D1451" s="107">
        <v>1300</v>
      </c>
      <c r="E1451" s="107">
        <v>1349.65</v>
      </c>
      <c r="F1451" s="107">
        <v>1322.35</v>
      </c>
      <c r="G1451">
        <v>23926</v>
      </c>
      <c r="H1451" s="107"/>
      <c r="I1451" s="107"/>
      <c r="L1451" s="148">
        <v>45471</v>
      </c>
      <c r="M1451" s="107">
        <v>1322.1</v>
      </c>
      <c r="N1451" s="107">
        <v>1357.9</v>
      </c>
      <c r="O1451" s="107">
        <v>1297.05</v>
      </c>
      <c r="P1451" s="107">
        <v>1339.85</v>
      </c>
      <c r="Q1451" s="107">
        <v>1322.1</v>
      </c>
      <c r="R1451">
        <v>433529</v>
      </c>
    </row>
    <row r="1452" spans="1:18" x14ac:dyDescent="0.25">
      <c r="A1452" s="148">
        <v>45474</v>
      </c>
      <c r="B1452" s="107">
        <v>1408.95</v>
      </c>
      <c r="C1452" s="107">
        <v>1372.85</v>
      </c>
      <c r="D1452" s="107">
        <v>1337</v>
      </c>
      <c r="E1452" s="107">
        <v>1348.5</v>
      </c>
      <c r="F1452" s="107">
        <v>1372.85</v>
      </c>
      <c r="G1452">
        <v>97197</v>
      </c>
      <c r="H1452" s="107"/>
      <c r="I1452" s="107"/>
      <c r="L1452" s="148">
        <v>45474</v>
      </c>
      <c r="M1452" s="107">
        <v>1374.4</v>
      </c>
      <c r="N1452" s="107">
        <v>1407.95</v>
      </c>
      <c r="O1452" s="107">
        <v>1335</v>
      </c>
      <c r="P1452" s="107">
        <v>1342</v>
      </c>
      <c r="Q1452" s="107">
        <v>1374.4</v>
      </c>
      <c r="R1452">
        <v>770280</v>
      </c>
    </row>
    <row r="1453" spans="1:18" x14ac:dyDescent="0.25">
      <c r="A1453" s="148">
        <v>45475</v>
      </c>
      <c r="B1453" s="107">
        <v>1400</v>
      </c>
      <c r="C1453" s="107">
        <v>1342.1</v>
      </c>
      <c r="D1453" s="107">
        <v>1339.15</v>
      </c>
      <c r="E1453" s="107">
        <v>1400</v>
      </c>
      <c r="F1453" s="107">
        <v>1342.1</v>
      </c>
      <c r="G1453">
        <v>9713</v>
      </c>
      <c r="H1453" s="107"/>
      <c r="I1453" s="107"/>
      <c r="L1453" s="148">
        <v>45475</v>
      </c>
      <c r="M1453" s="107">
        <v>1341.65</v>
      </c>
      <c r="N1453" s="107">
        <v>1399</v>
      </c>
      <c r="O1453" s="107">
        <v>1338.4</v>
      </c>
      <c r="P1453" s="107">
        <v>1399</v>
      </c>
      <c r="Q1453" s="107">
        <v>1341.65</v>
      </c>
      <c r="R1453">
        <v>272451</v>
      </c>
    </row>
    <row r="1454" spans="1:18" x14ac:dyDescent="0.25">
      <c r="A1454" s="148">
        <v>45476</v>
      </c>
      <c r="B1454" s="107">
        <v>1363.55</v>
      </c>
      <c r="C1454" s="107">
        <v>1325.95</v>
      </c>
      <c r="D1454" s="107">
        <v>1322</v>
      </c>
      <c r="E1454" s="107">
        <v>1346.45</v>
      </c>
      <c r="F1454" s="107">
        <v>1325.95</v>
      </c>
      <c r="G1454">
        <v>24644</v>
      </c>
      <c r="H1454" s="107"/>
      <c r="I1454" s="107"/>
      <c r="L1454" s="148">
        <v>45476</v>
      </c>
      <c r="M1454" s="107">
        <v>1325.15</v>
      </c>
      <c r="N1454" s="107">
        <v>1360.7</v>
      </c>
      <c r="O1454" s="107">
        <v>1320.5</v>
      </c>
      <c r="P1454" s="107">
        <v>1349.95</v>
      </c>
      <c r="Q1454" s="107">
        <v>1325.15</v>
      </c>
      <c r="R1454">
        <v>411565</v>
      </c>
    </row>
    <row r="1455" spans="1:18" x14ac:dyDescent="0.25">
      <c r="A1455" s="148">
        <v>45477</v>
      </c>
      <c r="B1455" s="107">
        <v>1369.25</v>
      </c>
      <c r="C1455" s="107">
        <v>1329.5</v>
      </c>
      <c r="D1455" s="107">
        <v>1325</v>
      </c>
      <c r="E1455" s="107">
        <v>1353.15</v>
      </c>
      <c r="F1455" s="107">
        <v>1329.5</v>
      </c>
      <c r="G1455">
        <v>18535</v>
      </c>
      <c r="H1455" s="107"/>
      <c r="I1455" s="107"/>
      <c r="L1455" s="148">
        <v>45477</v>
      </c>
      <c r="M1455" s="107">
        <v>1329.25</v>
      </c>
      <c r="N1455" s="107">
        <v>1369</v>
      </c>
      <c r="O1455" s="107">
        <v>1325</v>
      </c>
      <c r="P1455" s="107">
        <v>1369</v>
      </c>
      <c r="Q1455" s="107">
        <v>1329.25</v>
      </c>
      <c r="R1455">
        <v>436213</v>
      </c>
    </row>
    <row r="1456" spans="1:18" x14ac:dyDescent="0.25">
      <c r="A1456" s="148">
        <v>45478</v>
      </c>
      <c r="B1456" s="107">
        <v>1345.6</v>
      </c>
      <c r="C1456" s="107">
        <v>1330.05</v>
      </c>
      <c r="D1456" s="107">
        <v>1317.55</v>
      </c>
      <c r="E1456" s="107">
        <v>1330</v>
      </c>
      <c r="F1456" s="107">
        <v>1330.05</v>
      </c>
      <c r="G1456">
        <v>19836</v>
      </c>
      <c r="H1456" s="107"/>
      <c r="I1456" s="107"/>
      <c r="L1456" s="148">
        <v>45478</v>
      </c>
      <c r="M1456" s="107">
        <v>1329.85</v>
      </c>
      <c r="N1456" s="107">
        <v>1346</v>
      </c>
      <c r="O1456" s="107">
        <v>1317</v>
      </c>
      <c r="P1456" s="107">
        <v>1329.4</v>
      </c>
      <c r="Q1456" s="107">
        <v>1329.85</v>
      </c>
      <c r="R1456">
        <v>250406</v>
      </c>
    </row>
    <row r="1457" spans="1:18" x14ac:dyDescent="0.25">
      <c r="A1457" s="148">
        <v>45481</v>
      </c>
      <c r="B1457" s="107">
        <v>1339.95</v>
      </c>
      <c r="C1457" s="107">
        <v>1310.9</v>
      </c>
      <c r="D1457" s="107">
        <v>1302</v>
      </c>
      <c r="E1457" s="107">
        <v>1339.95</v>
      </c>
      <c r="F1457" s="107">
        <v>1310.9</v>
      </c>
      <c r="G1457">
        <v>21965</v>
      </c>
      <c r="H1457" s="107"/>
      <c r="I1457" s="107"/>
      <c r="L1457" s="148">
        <v>45481</v>
      </c>
      <c r="M1457" s="107">
        <v>1310.3499999999999</v>
      </c>
      <c r="N1457" s="107">
        <v>1336.8</v>
      </c>
      <c r="O1457" s="107">
        <v>1302.5</v>
      </c>
      <c r="P1457" s="107">
        <v>1329.05</v>
      </c>
      <c r="Q1457" s="107">
        <v>1310.3499999999999</v>
      </c>
      <c r="R1457">
        <v>281268</v>
      </c>
    </row>
    <row r="1458" spans="1:18" x14ac:dyDescent="0.25">
      <c r="A1458" s="148">
        <v>45482</v>
      </c>
      <c r="B1458" s="107">
        <v>1314.95</v>
      </c>
      <c r="C1458" s="107">
        <v>1283.5999999999999</v>
      </c>
      <c r="D1458" s="107">
        <v>1275</v>
      </c>
      <c r="E1458" s="107">
        <v>1314.95</v>
      </c>
      <c r="F1458" s="107">
        <v>1283.5999999999999</v>
      </c>
      <c r="G1458">
        <v>33092</v>
      </c>
      <c r="H1458" s="107"/>
      <c r="I1458" s="107"/>
      <c r="L1458" s="148">
        <v>45482</v>
      </c>
      <c r="M1458" s="107">
        <v>1282.95</v>
      </c>
      <c r="N1458" s="107">
        <v>1314.4</v>
      </c>
      <c r="O1458" s="107">
        <v>1275</v>
      </c>
      <c r="P1458" s="107">
        <v>1310.3499999999999</v>
      </c>
      <c r="Q1458" s="107">
        <v>1282.95</v>
      </c>
      <c r="R1458">
        <v>578123</v>
      </c>
    </row>
    <row r="1459" spans="1:18" x14ac:dyDescent="0.25">
      <c r="A1459" s="148">
        <v>45483</v>
      </c>
      <c r="B1459" s="107">
        <v>1311.15</v>
      </c>
      <c r="C1459" s="107">
        <v>1254.4000000000001</v>
      </c>
      <c r="D1459" s="107">
        <v>1250</v>
      </c>
      <c r="E1459" s="107">
        <v>1306.05</v>
      </c>
      <c r="F1459" s="107">
        <v>1254.4000000000001</v>
      </c>
      <c r="G1459">
        <v>43301</v>
      </c>
      <c r="H1459" s="107"/>
      <c r="I1459" s="107"/>
      <c r="L1459" s="148">
        <v>45483</v>
      </c>
      <c r="M1459" s="107">
        <v>1254.0999999999999</v>
      </c>
      <c r="N1459" s="107">
        <v>1310</v>
      </c>
      <c r="O1459" s="107">
        <v>1249</v>
      </c>
      <c r="P1459" s="107">
        <v>1310</v>
      </c>
      <c r="Q1459" s="107">
        <v>1254.0999999999999</v>
      </c>
      <c r="R1459">
        <v>679955</v>
      </c>
    </row>
    <row r="1460" spans="1:18" x14ac:dyDescent="0.25">
      <c r="A1460" s="148">
        <v>45484</v>
      </c>
      <c r="B1460" s="107">
        <v>1303.0999999999999</v>
      </c>
      <c r="C1460" s="107">
        <v>1274.8499999999999</v>
      </c>
      <c r="D1460" s="107">
        <v>1257.7</v>
      </c>
      <c r="E1460" s="107">
        <v>1273.1500000000001</v>
      </c>
      <c r="F1460" s="107">
        <v>1274.8499999999999</v>
      </c>
      <c r="G1460">
        <v>36287</v>
      </c>
      <c r="H1460" s="107"/>
      <c r="I1460" s="107"/>
      <c r="L1460" s="148">
        <v>45484</v>
      </c>
      <c r="M1460" s="107">
        <v>1274.75</v>
      </c>
      <c r="N1460" s="107">
        <v>1303.0999999999999</v>
      </c>
      <c r="O1460" s="107">
        <v>1257.45</v>
      </c>
      <c r="P1460" s="107">
        <v>1269.8</v>
      </c>
      <c r="Q1460" s="107">
        <v>1274.75</v>
      </c>
      <c r="R1460">
        <v>526805</v>
      </c>
    </row>
    <row r="1461" spans="1:18" x14ac:dyDescent="0.25">
      <c r="A1461" s="148">
        <v>45485</v>
      </c>
      <c r="B1461" s="107">
        <v>1317.8</v>
      </c>
      <c r="C1461" s="107">
        <v>1291.45</v>
      </c>
      <c r="D1461" s="107">
        <v>1281.75</v>
      </c>
      <c r="E1461" s="107">
        <v>1297.6500000000001</v>
      </c>
      <c r="F1461" s="107">
        <v>1291.45</v>
      </c>
      <c r="G1461">
        <v>33101</v>
      </c>
      <c r="H1461" s="107"/>
      <c r="I1461" s="107"/>
      <c r="L1461" s="148">
        <v>45485</v>
      </c>
      <c r="M1461" s="107">
        <v>1292.5999999999999</v>
      </c>
      <c r="N1461" s="107">
        <v>1319</v>
      </c>
      <c r="O1461" s="107">
        <v>1280</v>
      </c>
      <c r="P1461" s="107">
        <v>1291</v>
      </c>
      <c r="Q1461" s="107">
        <v>1292.5999999999999</v>
      </c>
      <c r="R1461">
        <v>435146</v>
      </c>
    </row>
    <row r="1462" spans="1:18" x14ac:dyDescent="0.25">
      <c r="A1462" s="148">
        <v>45488</v>
      </c>
      <c r="B1462" s="107">
        <v>1312</v>
      </c>
      <c r="C1462" s="107">
        <v>1281.3</v>
      </c>
      <c r="D1462" s="107">
        <v>1272</v>
      </c>
      <c r="E1462" s="107">
        <v>1310</v>
      </c>
      <c r="F1462" s="107">
        <v>1281.3</v>
      </c>
      <c r="G1462">
        <v>9403</v>
      </c>
      <c r="H1462" s="107"/>
      <c r="I1462" s="107"/>
      <c r="L1462" s="148">
        <v>45488</v>
      </c>
      <c r="M1462" s="107">
        <v>1282.9000000000001</v>
      </c>
      <c r="N1462" s="107">
        <v>1313.7</v>
      </c>
      <c r="O1462" s="107">
        <v>1272.0999999999999</v>
      </c>
      <c r="P1462" s="107">
        <v>1307.45</v>
      </c>
      <c r="Q1462" s="107">
        <v>1282.9000000000001</v>
      </c>
      <c r="R1462">
        <v>298074</v>
      </c>
    </row>
    <row r="1463" spans="1:18" x14ac:dyDescent="0.25">
      <c r="A1463" s="148">
        <v>45489</v>
      </c>
      <c r="B1463" s="107">
        <v>1325.75</v>
      </c>
      <c r="C1463" s="107">
        <v>1279</v>
      </c>
      <c r="D1463" s="107">
        <v>1273.95</v>
      </c>
      <c r="E1463" s="107">
        <v>1299.95</v>
      </c>
      <c r="F1463" s="107">
        <v>1279</v>
      </c>
      <c r="G1463">
        <v>11987</v>
      </c>
      <c r="H1463" s="107"/>
      <c r="I1463" s="107"/>
      <c r="L1463" s="148">
        <v>45489</v>
      </c>
      <c r="M1463" s="107">
        <v>1277.8</v>
      </c>
      <c r="N1463" s="107">
        <v>1328</v>
      </c>
      <c r="O1463" s="107">
        <v>1273</v>
      </c>
      <c r="P1463" s="107">
        <v>1296.95</v>
      </c>
      <c r="Q1463" s="107">
        <v>1277.8</v>
      </c>
      <c r="R1463">
        <v>509054</v>
      </c>
    </row>
    <row r="1464" spans="1:18" x14ac:dyDescent="0.25">
      <c r="A1464" s="148">
        <v>45491</v>
      </c>
      <c r="B1464" s="107">
        <v>1313</v>
      </c>
      <c r="C1464" s="107">
        <v>1297.4000000000001</v>
      </c>
      <c r="D1464" s="107">
        <v>1280</v>
      </c>
      <c r="E1464" s="107">
        <v>1280</v>
      </c>
      <c r="F1464" s="107">
        <v>1297.4000000000001</v>
      </c>
      <c r="G1464">
        <v>38847</v>
      </c>
      <c r="H1464" s="107"/>
      <c r="I1464" s="107"/>
      <c r="L1464" s="148">
        <v>45491</v>
      </c>
      <c r="M1464" s="107">
        <v>1297.1500000000001</v>
      </c>
      <c r="N1464" s="107">
        <v>1313.65</v>
      </c>
      <c r="O1464" s="107">
        <v>1282</v>
      </c>
      <c r="P1464" s="107">
        <v>1284.9000000000001</v>
      </c>
      <c r="Q1464" s="107">
        <v>1297.1500000000001</v>
      </c>
      <c r="R1464">
        <v>447357</v>
      </c>
    </row>
    <row r="1465" spans="1:18" x14ac:dyDescent="0.25">
      <c r="A1465" s="148">
        <v>45492</v>
      </c>
      <c r="B1465" s="107">
        <v>1304.5999999999999</v>
      </c>
      <c r="C1465" s="107">
        <v>1284.75</v>
      </c>
      <c r="D1465" s="107">
        <v>1278.7</v>
      </c>
      <c r="E1465" s="107">
        <v>1297.4000000000001</v>
      </c>
      <c r="F1465" s="107">
        <v>1284.75</v>
      </c>
      <c r="G1465">
        <v>28045</v>
      </c>
      <c r="H1465" s="107"/>
      <c r="I1465" s="107"/>
      <c r="L1465" s="148">
        <v>45492</v>
      </c>
      <c r="M1465" s="107">
        <v>1284.5</v>
      </c>
      <c r="N1465" s="107">
        <v>1304.9000000000001</v>
      </c>
      <c r="O1465" s="107">
        <v>1278.25</v>
      </c>
      <c r="P1465" s="107">
        <v>1297.1500000000001</v>
      </c>
      <c r="Q1465" s="107">
        <v>1284.5</v>
      </c>
      <c r="R1465">
        <v>161715</v>
      </c>
    </row>
    <row r="1466" spans="1:18" x14ac:dyDescent="0.25">
      <c r="A1466" s="148">
        <v>45495</v>
      </c>
      <c r="B1466" s="107">
        <v>1276.6500000000001</v>
      </c>
      <c r="C1466" s="107">
        <v>1267.05</v>
      </c>
      <c r="D1466" s="107">
        <v>1214.6500000000001</v>
      </c>
      <c r="E1466" s="107">
        <v>1257.95</v>
      </c>
      <c r="F1466" s="107">
        <v>1267.05</v>
      </c>
      <c r="G1466">
        <v>72518</v>
      </c>
      <c r="H1466" s="107"/>
      <c r="I1466" s="107"/>
      <c r="L1466" s="148">
        <v>45495</v>
      </c>
      <c r="M1466" s="107">
        <v>1267.1500000000001</v>
      </c>
      <c r="N1466" s="107">
        <v>1274.95</v>
      </c>
      <c r="O1466" s="107">
        <v>1215.1500000000001</v>
      </c>
      <c r="P1466" s="107">
        <v>1241</v>
      </c>
      <c r="Q1466" s="107">
        <v>1267.1500000000001</v>
      </c>
      <c r="R1466">
        <v>970084</v>
      </c>
    </row>
    <row r="1467" spans="1:18" x14ac:dyDescent="0.25">
      <c r="A1467" s="148">
        <v>45496</v>
      </c>
      <c r="B1467" s="107">
        <v>1308</v>
      </c>
      <c r="C1467" s="107">
        <v>1303.3</v>
      </c>
      <c r="D1467" s="107">
        <v>1262.3499999999999</v>
      </c>
      <c r="E1467" s="107">
        <v>1266</v>
      </c>
      <c r="F1467" s="107">
        <v>1303.3</v>
      </c>
      <c r="G1467">
        <v>20122</v>
      </c>
      <c r="H1467" s="107"/>
      <c r="I1467" s="107"/>
      <c r="L1467" s="148">
        <v>45496</v>
      </c>
      <c r="M1467" s="107">
        <v>1303.0999999999999</v>
      </c>
      <c r="N1467" s="107">
        <v>1309</v>
      </c>
      <c r="O1467" s="107">
        <v>1261.95</v>
      </c>
      <c r="P1467" s="107">
        <v>1280</v>
      </c>
      <c r="Q1467" s="107">
        <v>1303.0999999999999</v>
      </c>
      <c r="R1467">
        <v>382833</v>
      </c>
    </row>
    <row r="1468" spans="1:18" x14ac:dyDescent="0.25">
      <c r="A1468" s="148">
        <v>45497</v>
      </c>
      <c r="B1468" s="107">
        <v>1324.95</v>
      </c>
      <c r="C1468" s="107">
        <v>1297.55</v>
      </c>
      <c r="D1468" s="107">
        <v>1294.1500000000001</v>
      </c>
      <c r="E1468" s="107">
        <v>1324.95</v>
      </c>
      <c r="F1468" s="107">
        <v>1297.55</v>
      </c>
      <c r="G1468">
        <v>28595</v>
      </c>
      <c r="H1468" s="107"/>
      <c r="I1468" s="107"/>
      <c r="L1468" s="148">
        <v>45497</v>
      </c>
      <c r="M1468" s="107">
        <v>1299.45</v>
      </c>
      <c r="N1468" s="107">
        <v>1323.95</v>
      </c>
      <c r="O1468" s="107">
        <v>1295</v>
      </c>
      <c r="P1468" s="107">
        <v>1315</v>
      </c>
      <c r="Q1468" s="107">
        <v>1299.45</v>
      </c>
      <c r="R1468">
        <v>589145</v>
      </c>
    </row>
    <row r="1469" spans="1:18" x14ac:dyDescent="0.25">
      <c r="A1469" s="148">
        <v>45498</v>
      </c>
      <c r="B1469" s="107">
        <v>1301.3</v>
      </c>
      <c r="C1469" s="107">
        <v>1272.7</v>
      </c>
      <c r="D1469" s="107">
        <v>1267.0999999999999</v>
      </c>
      <c r="E1469" s="107">
        <v>1275.55</v>
      </c>
      <c r="F1469" s="107">
        <v>1272.7</v>
      </c>
      <c r="G1469">
        <v>12996</v>
      </c>
      <c r="H1469" s="107"/>
      <c r="I1469" s="107"/>
      <c r="L1469" s="148">
        <v>45498</v>
      </c>
      <c r="M1469" s="107">
        <v>1271.0999999999999</v>
      </c>
      <c r="N1469" s="107">
        <v>1304</v>
      </c>
      <c r="O1469" s="107">
        <v>1266</v>
      </c>
      <c r="P1469" s="107">
        <v>1279</v>
      </c>
      <c r="Q1469" s="107">
        <v>1271.0999999999999</v>
      </c>
      <c r="R1469">
        <v>552575</v>
      </c>
    </row>
    <row r="1470" spans="1:18" x14ac:dyDescent="0.25">
      <c r="A1470" s="148">
        <v>45499</v>
      </c>
      <c r="B1470" s="107">
        <v>1323</v>
      </c>
      <c r="C1470" s="107">
        <v>1310.75</v>
      </c>
      <c r="D1470" s="107">
        <v>1263.4000000000001</v>
      </c>
      <c r="E1470" s="107">
        <v>1294.8499999999999</v>
      </c>
      <c r="F1470" s="107">
        <v>1310.75</v>
      </c>
      <c r="G1470">
        <v>31513</v>
      </c>
      <c r="H1470" s="107"/>
      <c r="I1470" s="107"/>
      <c r="L1470" s="148">
        <v>45499</v>
      </c>
      <c r="M1470" s="107">
        <v>1311.95</v>
      </c>
      <c r="N1470" s="107">
        <v>1323.05</v>
      </c>
      <c r="O1470" s="107">
        <v>1263.05</v>
      </c>
      <c r="P1470" s="107">
        <v>1280</v>
      </c>
      <c r="Q1470" s="107">
        <v>1311.95</v>
      </c>
      <c r="R1470">
        <v>304980</v>
      </c>
    </row>
    <row r="1471" spans="1:18" x14ac:dyDescent="0.25">
      <c r="A1471" s="148">
        <v>45502</v>
      </c>
      <c r="B1471" s="107">
        <v>1346</v>
      </c>
      <c r="C1471" s="107">
        <v>1315.3</v>
      </c>
      <c r="D1471" s="107">
        <v>1305.9000000000001</v>
      </c>
      <c r="E1471" s="107">
        <v>1323</v>
      </c>
      <c r="F1471" s="107">
        <v>1315.3</v>
      </c>
      <c r="G1471">
        <v>17460</v>
      </c>
      <c r="H1471" s="107"/>
      <c r="I1471" s="107"/>
      <c r="L1471" s="148">
        <v>45502</v>
      </c>
      <c r="M1471" s="107">
        <v>1315.4</v>
      </c>
      <c r="N1471" s="107">
        <v>1349</v>
      </c>
      <c r="O1471" s="107">
        <v>1305.6500000000001</v>
      </c>
      <c r="P1471" s="107">
        <v>1325</v>
      </c>
      <c r="Q1471" s="107">
        <v>1315.4</v>
      </c>
      <c r="R1471">
        <v>296125</v>
      </c>
    </row>
    <row r="1472" spans="1:18" x14ac:dyDescent="0.25">
      <c r="A1472" s="148">
        <v>45503</v>
      </c>
      <c r="B1472" s="107">
        <v>1341.85</v>
      </c>
      <c r="C1472" s="107">
        <v>1327.45</v>
      </c>
      <c r="D1472" s="107">
        <v>1303.5</v>
      </c>
      <c r="E1472" s="107">
        <v>1327.95</v>
      </c>
      <c r="F1472" s="107">
        <v>1327.45</v>
      </c>
      <c r="G1472">
        <v>12319</v>
      </c>
      <c r="H1472" s="107"/>
      <c r="I1472" s="107"/>
      <c r="L1472" s="148">
        <v>45503</v>
      </c>
      <c r="M1472" s="107">
        <v>1325.9</v>
      </c>
      <c r="N1472" s="107">
        <v>1342</v>
      </c>
      <c r="O1472" s="107">
        <v>1303.25</v>
      </c>
      <c r="P1472" s="107">
        <v>1315.4</v>
      </c>
      <c r="Q1472" s="107">
        <v>1325.9</v>
      </c>
      <c r="R1472">
        <v>382511</v>
      </c>
    </row>
    <row r="1473" spans="1:18" x14ac:dyDescent="0.25">
      <c r="A1473" s="148">
        <v>45504</v>
      </c>
      <c r="B1473" s="107">
        <v>1335</v>
      </c>
      <c r="C1473" s="107">
        <v>1326.65</v>
      </c>
      <c r="D1473" s="107">
        <v>1312.15</v>
      </c>
      <c r="E1473" s="107">
        <v>1312.15</v>
      </c>
      <c r="F1473" s="107">
        <v>1326.65</v>
      </c>
      <c r="G1473">
        <v>17105</v>
      </c>
      <c r="H1473" s="107"/>
      <c r="I1473" s="107"/>
      <c r="L1473" s="148">
        <v>45504</v>
      </c>
      <c r="M1473" s="107">
        <v>1327.65</v>
      </c>
      <c r="N1473" s="107">
        <v>1335.6</v>
      </c>
      <c r="O1473" s="107">
        <v>1312.3</v>
      </c>
      <c r="P1473" s="107">
        <v>1327.9</v>
      </c>
      <c r="Q1473" s="107">
        <v>1327.65</v>
      </c>
      <c r="R1473">
        <v>155732</v>
      </c>
    </row>
    <row r="1474" spans="1:18" x14ac:dyDescent="0.25">
      <c r="A1474" s="148">
        <v>45505</v>
      </c>
      <c r="B1474" s="107">
        <v>1334</v>
      </c>
      <c r="C1474" s="107">
        <v>1323.45</v>
      </c>
      <c r="D1474" s="107">
        <v>1309.55</v>
      </c>
      <c r="E1474" s="107">
        <v>1325.55</v>
      </c>
      <c r="F1474" s="107">
        <v>1323.45</v>
      </c>
      <c r="G1474">
        <v>14836</v>
      </c>
      <c r="H1474" s="107"/>
      <c r="I1474" s="107"/>
      <c r="L1474" s="148">
        <v>45505</v>
      </c>
      <c r="M1474" s="107">
        <v>1322.55</v>
      </c>
      <c r="N1474" s="107">
        <v>1334.85</v>
      </c>
      <c r="O1474" s="107">
        <v>1310</v>
      </c>
      <c r="P1474" s="107">
        <v>1325</v>
      </c>
      <c r="Q1474" s="107">
        <v>1322.55</v>
      </c>
      <c r="R1474">
        <v>264629</v>
      </c>
    </row>
    <row r="1475" spans="1:18" x14ac:dyDescent="0.25">
      <c r="A1475" s="148">
        <v>45506</v>
      </c>
      <c r="B1475" s="107">
        <v>1320</v>
      </c>
      <c r="C1475" s="107">
        <v>1310.85</v>
      </c>
      <c r="D1475" s="107">
        <v>1304.8499999999999</v>
      </c>
      <c r="E1475" s="107">
        <v>1312</v>
      </c>
      <c r="F1475" s="107">
        <v>1310.85</v>
      </c>
      <c r="G1475">
        <v>15487</v>
      </c>
      <c r="H1475" s="107"/>
      <c r="I1475" s="107"/>
      <c r="L1475" s="148">
        <v>45506</v>
      </c>
      <c r="M1475" s="107">
        <v>1311.8</v>
      </c>
      <c r="N1475" s="107">
        <v>1321.55</v>
      </c>
      <c r="O1475" s="107">
        <v>1305</v>
      </c>
      <c r="P1475" s="107">
        <v>1312.55</v>
      </c>
      <c r="Q1475" s="107">
        <v>1311.8</v>
      </c>
      <c r="R1475">
        <v>177011</v>
      </c>
    </row>
    <row r="1476" spans="1:18" x14ac:dyDescent="0.25">
      <c r="A1476" s="148">
        <v>45509</v>
      </c>
      <c r="B1476" s="107">
        <v>1290.4000000000001</v>
      </c>
      <c r="C1476" s="107">
        <v>1276.9000000000001</v>
      </c>
      <c r="D1476" s="107">
        <v>1260</v>
      </c>
      <c r="E1476" s="107">
        <v>1290.4000000000001</v>
      </c>
      <c r="F1476" s="107">
        <v>1276.9000000000001</v>
      </c>
      <c r="G1476">
        <v>13996</v>
      </c>
      <c r="H1476" s="107"/>
      <c r="I1476" s="107"/>
      <c r="L1476" s="148">
        <v>45509</v>
      </c>
      <c r="M1476" s="107">
        <v>1278.75</v>
      </c>
      <c r="N1476" s="107">
        <v>1288.95</v>
      </c>
      <c r="O1476" s="107">
        <v>1258.5</v>
      </c>
      <c r="P1476" s="107">
        <v>1280</v>
      </c>
      <c r="Q1476" s="107">
        <v>1278.75</v>
      </c>
      <c r="R1476">
        <v>307367</v>
      </c>
    </row>
    <row r="1477" spans="1:18" x14ac:dyDescent="0.25">
      <c r="A1477" s="148">
        <v>45510</v>
      </c>
      <c r="B1477" s="107">
        <v>1319.7</v>
      </c>
      <c r="C1477" s="107">
        <v>1307.6500000000001</v>
      </c>
      <c r="D1477" s="107">
        <v>1283.8499999999999</v>
      </c>
      <c r="E1477" s="107">
        <v>1283.8499999999999</v>
      </c>
      <c r="F1477" s="107">
        <v>1307.6500000000001</v>
      </c>
      <c r="G1477">
        <v>10910</v>
      </c>
      <c r="H1477" s="107"/>
      <c r="I1477" s="107"/>
      <c r="L1477" s="148">
        <v>45510</v>
      </c>
      <c r="M1477" s="107">
        <v>1308.5999999999999</v>
      </c>
      <c r="N1477" s="107">
        <v>1319.25</v>
      </c>
      <c r="O1477" s="107">
        <v>1285.05</v>
      </c>
      <c r="P1477" s="107">
        <v>1292</v>
      </c>
      <c r="Q1477" s="107">
        <v>1308.5999999999999</v>
      </c>
      <c r="R1477">
        <v>291212</v>
      </c>
    </row>
    <row r="1478" spans="1:18" x14ac:dyDescent="0.25">
      <c r="A1478" s="148">
        <v>45511</v>
      </c>
      <c r="B1478" s="107">
        <v>1314.85</v>
      </c>
      <c r="C1478" s="107">
        <v>1285</v>
      </c>
      <c r="D1478" s="107">
        <v>1283.5</v>
      </c>
      <c r="E1478" s="107">
        <v>1307.6500000000001</v>
      </c>
      <c r="F1478" s="107">
        <v>1285</v>
      </c>
      <c r="G1478">
        <v>5486</v>
      </c>
      <c r="H1478" s="107"/>
      <c r="I1478" s="107"/>
      <c r="L1478" s="148">
        <v>45511</v>
      </c>
      <c r="M1478" s="107">
        <v>1285.4000000000001</v>
      </c>
      <c r="N1478" s="107">
        <v>1318.8</v>
      </c>
      <c r="O1478" s="107">
        <v>1283</v>
      </c>
      <c r="P1478" s="107">
        <v>1299.8</v>
      </c>
      <c r="Q1478" s="107">
        <v>1285.4000000000001</v>
      </c>
      <c r="R1478">
        <v>178761</v>
      </c>
    </row>
    <row r="1479" spans="1:18" x14ac:dyDescent="0.25">
      <c r="A1479" s="148">
        <v>45512</v>
      </c>
      <c r="B1479" s="107">
        <v>1293.7</v>
      </c>
      <c r="C1479" s="107">
        <v>1253.3499999999999</v>
      </c>
      <c r="D1479" s="107">
        <v>1252</v>
      </c>
      <c r="E1479" s="107">
        <v>1293.7</v>
      </c>
      <c r="F1479" s="107">
        <v>1253.3499999999999</v>
      </c>
      <c r="G1479">
        <v>5385</v>
      </c>
      <c r="H1479" s="107"/>
      <c r="I1479" s="107"/>
      <c r="L1479" s="148">
        <v>45512</v>
      </c>
      <c r="M1479" s="107">
        <v>1252.8499999999999</v>
      </c>
      <c r="N1479" s="107">
        <v>1288.95</v>
      </c>
      <c r="O1479" s="107">
        <v>1250</v>
      </c>
      <c r="P1479" s="107">
        <v>1288.95</v>
      </c>
      <c r="Q1479" s="107">
        <v>1252.8499999999999</v>
      </c>
      <c r="R1479">
        <v>196392</v>
      </c>
    </row>
    <row r="1480" spans="1:18" x14ac:dyDescent="0.25">
      <c r="A1480" s="148">
        <v>45513</v>
      </c>
      <c r="B1480" s="107">
        <v>1276.9000000000001</v>
      </c>
      <c r="C1480" s="107">
        <v>1252.3</v>
      </c>
      <c r="D1480" s="107">
        <v>1242.55</v>
      </c>
      <c r="E1480" s="107">
        <v>1273.3499999999999</v>
      </c>
      <c r="F1480" s="107">
        <v>1252.3</v>
      </c>
      <c r="G1480">
        <v>11541</v>
      </c>
      <c r="H1480" s="107"/>
      <c r="I1480" s="107"/>
      <c r="L1480" s="148">
        <v>45513</v>
      </c>
      <c r="M1480" s="107">
        <v>1252.2</v>
      </c>
      <c r="N1480" s="107">
        <v>1276.6500000000001</v>
      </c>
      <c r="O1480" s="107">
        <v>1243.0999999999999</v>
      </c>
      <c r="P1480" s="107">
        <v>1253.8499999999999</v>
      </c>
      <c r="Q1480" s="107">
        <v>1252.2</v>
      </c>
      <c r="R1480">
        <v>126852</v>
      </c>
    </row>
    <row r="1481" spans="1:18" x14ac:dyDescent="0.25">
      <c r="A1481" s="148">
        <v>45516</v>
      </c>
      <c r="B1481" s="107">
        <v>1254.3499999999999</v>
      </c>
      <c r="C1481" s="107">
        <v>1243.9000000000001</v>
      </c>
      <c r="D1481" s="107">
        <v>1227</v>
      </c>
      <c r="E1481" s="107">
        <v>1245.25</v>
      </c>
      <c r="F1481" s="107">
        <v>1243.9000000000001</v>
      </c>
      <c r="G1481">
        <v>16990</v>
      </c>
      <c r="H1481" s="107"/>
      <c r="I1481" s="107"/>
      <c r="L1481" s="148">
        <v>45516</v>
      </c>
      <c r="M1481" s="107">
        <v>1245.05</v>
      </c>
      <c r="N1481" s="107">
        <v>1256.7</v>
      </c>
      <c r="O1481" s="107">
        <v>1226.05</v>
      </c>
      <c r="P1481" s="107">
        <v>1256</v>
      </c>
      <c r="Q1481" s="107">
        <v>1245.05</v>
      </c>
      <c r="R1481">
        <v>187274</v>
      </c>
    </row>
    <row r="1482" spans="1:18" x14ac:dyDescent="0.25">
      <c r="A1482" s="148">
        <v>45517</v>
      </c>
      <c r="B1482" s="107">
        <v>1269.45</v>
      </c>
      <c r="C1482" s="107">
        <v>1203.3499999999999</v>
      </c>
      <c r="D1482" s="107">
        <v>1196.3499999999999</v>
      </c>
      <c r="E1482" s="107">
        <v>1269.45</v>
      </c>
      <c r="F1482" s="107">
        <v>1203.3499999999999</v>
      </c>
      <c r="G1482">
        <v>14660</v>
      </c>
      <c r="H1482" s="107"/>
      <c r="I1482" s="107"/>
      <c r="L1482" s="148">
        <v>45517</v>
      </c>
      <c r="M1482" s="107">
        <v>1202.95</v>
      </c>
      <c r="N1482" s="107">
        <v>1254</v>
      </c>
      <c r="O1482" s="107">
        <v>1195.3</v>
      </c>
      <c r="P1482" s="107">
        <v>1243.45</v>
      </c>
      <c r="Q1482" s="107">
        <v>1202.95</v>
      </c>
      <c r="R1482">
        <v>373020</v>
      </c>
    </row>
    <row r="1483" spans="1:18" x14ac:dyDescent="0.25">
      <c r="A1483" s="148">
        <v>45518</v>
      </c>
      <c r="B1483" s="107">
        <v>1227.45</v>
      </c>
      <c r="C1483" s="107">
        <v>1177.95</v>
      </c>
      <c r="D1483" s="107">
        <v>1153.6500000000001</v>
      </c>
      <c r="E1483" s="107">
        <v>1227.45</v>
      </c>
      <c r="F1483" s="107">
        <v>1177.95</v>
      </c>
      <c r="G1483">
        <v>33831</v>
      </c>
      <c r="H1483" s="107"/>
      <c r="I1483" s="107"/>
      <c r="L1483" s="148">
        <v>45518</v>
      </c>
      <c r="M1483" s="107">
        <v>1177.6500000000001</v>
      </c>
      <c r="N1483" s="107">
        <v>1226</v>
      </c>
      <c r="O1483" s="107">
        <v>1153.3</v>
      </c>
      <c r="P1483" s="107">
        <v>1214.8</v>
      </c>
      <c r="Q1483" s="107">
        <v>1177.6500000000001</v>
      </c>
      <c r="R1483">
        <v>393177</v>
      </c>
    </row>
    <row r="1484" spans="1:18" x14ac:dyDescent="0.25">
      <c r="A1484" s="148">
        <v>45520</v>
      </c>
      <c r="B1484" s="107">
        <v>1225</v>
      </c>
      <c r="C1484" s="107">
        <v>1210.2</v>
      </c>
      <c r="D1484" s="107">
        <v>1153.55</v>
      </c>
      <c r="E1484" s="107">
        <v>1176.1500000000001</v>
      </c>
      <c r="F1484" s="107">
        <v>1210.2</v>
      </c>
      <c r="G1484">
        <v>27537</v>
      </c>
      <c r="H1484" s="107"/>
      <c r="I1484" s="107"/>
      <c r="L1484" s="148">
        <v>45520</v>
      </c>
      <c r="M1484" s="107">
        <v>1211.5</v>
      </c>
      <c r="N1484" s="107">
        <v>1225</v>
      </c>
      <c r="O1484" s="107">
        <v>1153</v>
      </c>
      <c r="P1484" s="107">
        <v>1179.5999999999999</v>
      </c>
      <c r="Q1484" s="107">
        <v>1211.5</v>
      </c>
      <c r="R1484">
        <v>318906</v>
      </c>
    </row>
    <row r="1485" spans="1:18" x14ac:dyDescent="0.25">
      <c r="A1485" s="148">
        <v>45523</v>
      </c>
      <c r="B1485" s="107">
        <v>1241.75</v>
      </c>
      <c r="C1485" s="107">
        <v>1226.75</v>
      </c>
      <c r="D1485" s="107">
        <v>1209.5</v>
      </c>
      <c r="E1485" s="107">
        <v>1227.6500000000001</v>
      </c>
      <c r="F1485" s="107">
        <v>1226.75</v>
      </c>
      <c r="G1485">
        <v>9574</v>
      </c>
      <c r="H1485" s="107"/>
      <c r="I1485" s="107"/>
      <c r="L1485" s="148">
        <v>45523</v>
      </c>
      <c r="M1485" s="107">
        <v>1226.45</v>
      </c>
      <c r="N1485" s="107">
        <v>1242</v>
      </c>
      <c r="O1485" s="107">
        <v>1208.05</v>
      </c>
      <c r="P1485" s="107">
        <v>1222.2</v>
      </c>
      <c r="Q1485" s="107">
        <v>1226.45</v>
      </c>
      <c r="R1485">
        <v>184138</v>
      </c>
    </row>
    <row r="1486" spans="1:18" x14ac:dyDescent="0.25">
      <c r="A1486" s="148">
        <v>45524</v>
      </c>
      <c r="B1486" s="107">
        <v>1242.95</v>
      </c>
      <c r="C1486" s="107">
        <v>1230.45</v>
      </c>
      <c r="D1486" s="107">
        <v>1224.3</v>
      </c>
      <c r="E1486" s="107">
        <v>1242.95</v>
      </c>
      <c r="F1486" s="107">
        <v>1230.45</v>
      </c>
      <c r="G1486">
        <v>12499</v>
      </c>
      <c r="H1486" s="107"/>
      <c r="I1486" s="107"/>
      <c r="L1486" s="148">
        <v>45524</v>
      </c>
      <c r="M1486" s="107">
        <v>1228.6500000000001</v>
      </c>
      <c r="N1486" s="107">
        <v>1236.75</v>
      </c>
      <c r="O1486" s="107">
        <v>1225</v>
      </c>
      <c r="P1486" s="107">
        <v>1226.45</v>
      </c>
      <c r="Q1486" s="107">
        <v>1228.6500000000001</v>
      </c>
      <c r="R1486">
        <v>91447</v>
      </c>
    </row>
    <row r="1487" spans="1:18" x14ac:dyDescent="0.25">
      <c r="A1487" s="148">
        <v>45525</v>
      </c>
      <c r="B1487" s="107">
        <v>1246.5999999999999</v>
      </c>
      <c r="C1487" s="107">
        <v>1223.1500000000001</v>
      </c>
      <c r="D1487" s="107">
        <v>1219</v>
      </c>
      <c r="E1487" s="107">
        <v>1240.95</v>
      </c>
      <c r="F1487" s="107">
        <v>1223.1500000000001</v>
      </c>
      <c r="G1487">
        <v>15984</v>
      </c>
      <c r="H1487" s="107"/>
      <c r="I1487" s="107"/>
      <c r="L1487" s="148">
        <v>45525</v>
      </c>
      <c r="M1487" s="107">
        <v>1222.4000000000001</v>
      </c>
      <c r="N1487" s="107">
        <v>1245.9000000000001</v>
      </c>
      <c r="O1487" s="107">
        <v>1217.9000000000001</v>
      </c>
      <c r="P1487" s="107">
        <v>1238.6500000000001</v>
      </c>
      <c r="Q1487" s="107">
        <v>1222.4000000000001</v>
      </c>
      <c r="R1487">
        <v>206142</v>
      </c>
    </row>
    <row r="1488" spans="1:18" x14ac:dyDescent="0.25">
      <c r="A1488" s="148">
        <v>45526</v>
      </c>
      <c r="B1488" s="107">
        <v>1252.25</v>
      </c>
      <c r="C1488" s="107">
        <v>1220.25</v>
      </c>
      <c r="D1488" s="107">
        <v>1218.3499999999999</v>
      </c>
      <c r="E1488" s="107">
        <v>1220.05</v>
      </c>
      <c r="F1488" s="107">
        <v>1220.25</v>
      </c>
      <c r="G1488">
        <v>21863</v>
      </c>
      <c r="H1488" s="107"/>
      <c r="I1488" s="107"/>
      <c r="L1488" s="148">
        <v>45526</v>
      </c>
      <c r="M1488" s="107">
        <v>1220.5</v>
      </c>
      <c r="N1488" s="107">
        <v>1251.55</v>
      </c>
      <c r="O1488" s="107">
        <v>1218</v>
      </c>
      <c r="P1488" s="107">
        <v>1229.95</v>
      </c>
      <c r="Q1488" s="107">
        <v>1220.5</v>
      </c>
      <c r="R1488">
        <v>170799</v>
      </c>
    </row>
    <row r="1489" spans="1:18" x14ac:dyDescent="0.25">
      <c r="A1489" s="148">
        <v>45527</v>
      </c>
      <c r="B1489" s="107">
        <v>1236.8499999999999</v>
      </c>
      <c r="C1489" s="107">
        <v>1203.6500000000001</v>
      </c>
      <c r="D1489" s="107">
        <v>1195.95</v>
      </c>
      <c r="E1489" s="107">
        <v>1236.8499999999999</v>
      </c>
      <c r="F1489" s="107">
        <v>1203.6500000000001</v>
      </c>
      <c r="G1489">
        <v>6949</v>
      </c>
      <c r="H1489" s="107"/>
      <c r="I1489" s="107"/>
      <c r="L1489" s="148">
        <v>45527</v>
      </c>
      <c r="M1489" s="107">
        <v>1203.5999999999999</v>
      </c>
      <c r="N1489" s="107">
        <v>1230</v>
      </c>
      <c r="O1489" s="107">
        <v>1196</v>
      </c>
      <c r="P1489" s="107">
        <v>1230</v>
      </c>
      <c r="Q1489" s="107">
        <v>1203.5999999999999</v>
      </c>
      <c r="R1489">
        <v>265715</v>
      </c>
    </row>
    <row r="1490" spans="1:18" x14ac:dyDescent="0.25">
      <c r="A1490" s="148">
        <v>45530</v>
      </c>
      <c r="B1490" s="107">
        <v>1227.4000000000001</v>
      </c>
      <c r="C1490" s="107">
        <v>1212</v>
      </c>
      <c r="D1490" s="107">
        <v>1204.8499999999999</v>
      </c>
      <c r="E1490" s="107">
        <v>1227.4000000000001</v>
      </c>
      <c r="F1490" s="107">
        <v>1212</v>
      </c>
      <c r="G1490">
        <v>16303</v>
      </c>
      <c r="H1490" s="107"/>
      <c r="I1490" s="107"/>
      <c r="L1490" s="148">
        <v>45530</v>
      </c>
      <c r="M1490" s="107">
        <v>1211.5999999999999</v>
      </c>
      <c r="N1490" s="107">
        <v>1223.5999999999999</v>
      </c>
      <c r="O1490" s="107">
        <v>1205.5</v>
      </c>
      <c r="P1490" s="107">
        <v>1217</v>
      </c>
      <c r="Q1490" s="107">
        <v>1211.5999999999999</v>
      </c>
      <c r="R1490">
        <v>224392</v>
      </c>
    </row>
    <row r="1491" spans="1:18" x14ac:dyDescent="0.25">
      <c r="A1491" s="148">
        <v>45531</v>
      </c>
      <c r="B1491" s="107">
        <v>1217.95</v>
      </c>
      <c r="C1491" s="107">
        <v>1211.75</v>
      </c>
      <c r="D1491" s="107">
        <v>1207.55</v>
      </c>
      <c r="E1491" s="107">
        <v>1215</v>
      </c>
      <c r="F1491" s="107">
        <v>1211.75</v>
      </c>
      <c r="G1491">
        <v>12476</v>
      </c>
      <c r="H1491" s="107"/>
      <c r="I1491" s="107"/>
      <c r="L1491" s="148">
        <v>45531</v>
      </c>
      <c r="M1491" s="107">
        <v>1211.9000000000001</v>
      </c>
      <c r="N1491" s="107">
        <v>1220.55</v>
      </c>
      <c r="O1491" s="107">
        <v>1208.25</v>
      </c>
      <c r="P1491" s="107">
        <v>1220.55</v>
      </c>
      <c r="Q1491" s="107">
        <v>1211.9000000000001</v>
      </c>
      <c r="R1491">
        <v>175342</v>
      </c>
    </row>
    <row r="1492" spans="1:18" x14ac:dyDescent="0.25">
      <c r="A1492" s="148">
        <v>45532</v>
      </c>
      <c r="B1492" s="107">
        <v>1220</v>
      </c>
      <c r="C1492" s="107">
        <v>1202.8</v>
      </c>
      <c r="D1492" s="107">
        <v>1198</v>
      </c>
      <c r="E1492" s="107">
        <v>1220</v>
      </c>
      <c r="F1492" s="107">
        <v>1202.8</v>
      </c>
      <c r="G1492">
        <v>5711</v>
      </c>
      <c r="H1492" s="107"/>
      <c r="I1492" s="107"/>
      <c r="L1492" s="148">
        <v>45532</v>
      </c>
      <c r="M1492" s="107">
        <v>1201.75</v>
      </c>
      <c r="N1492" s="107">
        <v>1217.9000000000001</v>
      </c>
      <c r="O1492" s="107">
        <v>1196.55</v>
      </c>
      <c r="P1492" s="107">
        <v>1217.9000000000001</v>
      </c>
      <c r="Q1492" s="107">
        <v>1201.75</v>
      </c>
      <c r="R1492">
        <v>186509</v>
      </c>
    </row>
    <row r="1493" spans="1:18" x14ac:dyDescent="0.25">
      <c r="A1493" s="148">
        <v>45533</v>
      </c>
      <c r="B1493" s="107">
        <v>1218</v>
      </c>
      <c r="C1493" s="107">
        <v>1192.9000000000001</v>
      </c>
      <c r="D1493" s="107">
        <v>1190.1500000000001</v>
      </c>
      <c r="E1493" s="107">
        <v>1210.6500000000001</v>
      </c>
      <c r="F1493" s="107">
        <v>1192.9000000000001</v>
      </c>
      <c r="G1493">
        <v>20574</v>
      </c>
      <c r="H1493" s="107"/>
      <c r="I1493" s="107"/>
      <c r="L1493" s="148">
        <v>45533</v>
      </c>
      <c r="M1493" s="107">
        <v>1192.75</v>
      </c>
      <c r="N1493" s="107">
        <v>1217.9000000000001</v>
      </c>
      <c r="O1493" s="107">
        <v>1190.05</v>
      </c>
      <c r="P1493" s="107">
        <v>1202</v>
      </c>
      <c r="Q1493" s="107">
        <v>1192.75</v>
      </c>
      <c r="R1493">
        <v>138300</v>
      </c>
    </row>
    <row r="1494" spans="1:18" x14ac:dyDescent="0.25">
      <c r="A1494" s="148">
        <v>45534</v>
      </c>
      <c r="B1494" s="107">
        <v>1223.4000000000001</v>
      </c>
      <c r="C1494" s="107">
        <v>1220.75</v>
      </c>
      <c r="D1494" s="107">
        <v>1193.1500000000001</v>
      </c>
      <c r="E1494" s="107">
        <v>1193.1500000000001</v>
      </c>
      <c r="F1494" s="107">
        <v>1220.75</v>
      </c>
      <c r="G1494">
        <v>34010</v>
      </c>
      <c r="H1494" s="107"/>
      <c r="I1494" s="107"/>
      <c r="L1494" s="148">
        <v>45534</v>
      </c>
      <c r="M1494" s="107">
        <v>1221.05</v>
      </c>
      <c r="N1494" s="107">
        <v>1224</v>
      </c>
      <c r="O1494" s="107">
        <v>1195.05</v>
      </c>
      <c r="P1494" s="107">
        <v>1198.75</v>
      </c>
      <c r="Q1494" s="107">
        <v>1221.05</v>
      </c>
      <c r="R1494">
        <v>227863</v>
      </c>
    </row>
    <row r="1495" spans="1:18" x14ac:dyDescent="0.25">
      <c r="A1495" s="148">
        <v>45537</v>
      </c>
      <c r="B1495" s="107">
        <v>1235</v>
      </c>
      <c r="C1495" s="107">
        <v>1208.7</v>
      </c>
      <c r="D1495" s="107">
        <v>1204</v>
      </c>
      <c r="E1495" s="107">
        <v>1230</v>
      </c>
      <c r="F1495" s="107">
        <v>1208.7</v>
      </c>
      <c r="G1495">
        <v>6825</v>
      </c>
      <c r="H1495" s="107"/>
      <c r="I1495" s="107"/>
      <c r="L1495" s="148">
        <v>45537</v>
      </c>
      <c r="M1495" s="107">
        <v>1207.75</v>
      </c>
      <c r="N1495" s="107">
        <v>1235</v>
      </c>
      <c r="O1495" s="107">
        <v>1203.3</v>
      </c>
      <c r="P1495" s="107">
        <v>1230</v>
      </c>
      <c r="Q1495" s="107">
        <v>1207.75</v>
      </c>
      <c r="R1495">
        <v>123454</v>
      </c>
    </row>
    <row r="1496" spans="1:18" x14ac:dyDescent="0.25">
      <c r="A1496" s="148">
        <v>45538</v>
      </c>
      <c r="B1496" s="107">
        <v>1211.95</v>
      </c>
      <c r="C1496" s="107">
        <v>1209.55</v>
      </c>
      <c r="D1496" s="107">
        <v>1205.7</v>
      </c>
      <c r="E1496" s="107">
        <v>1209.3499999999999</v>
      </c>
      <c r="F1496" s="107">
        <v>1209.55</v>
      </c>
      <c r="G1496">
        <v>7544</v>
      </c>
      <c r="H1496" s="107"/>
      <c r="I1496" s="107"/>
      <c r="L1496" s="148">
        <v>45538</v>
      </c>
      <c r="M1496" s="107">
        <v>1209.7</v>
      </c>
      <c r="N1496" s="107">
        <v>1218</v>
      </c>
      <c r="O1496" s="107">
        <v>1205.8499999999999</v>
      </c>
      <c r="P1496" s="107">
        <v>1214.25</v>
      </c>
      <c r="Q1496" s="107">
        <v>1209.7</v>
      </c>
      <c r="R1496">
        <v>83719</v>
      </c>
    </row>
    <row r="1497" spans="1:18" x14ac:dyDescent="0.25">
      <c r="A1497" s="148">
        <v>45539</v>
      </c>
      <c r="B1497" s="107">
        <v>1207.9000000000001</v>
      </c>
      <c r="C1497" s="107">
        <v>1186.0999999999999</v>
      </c>
      <c r="D1497" s="107">
        <v>1183.75</v>
      </c>
      <c r="E1497" s="107">
        <v>1206</v>
      </c>
      <c r="F1497" s="107">
        <v>1186.0999999999999</v>
      </c>
      <c r="G1497">
        <v>10049</v>
      </c>
      <c r="H1497" s="107"/>
      <c r="I1497" s="107"/>
      <c r="L1497" s="148">
        <v>45539</v>
      </c>
      <c r="M1497" s="107">
        <v>1185.8499999999999</v>
      </c>
      <c r="N1497" s="107">
        <v>1208.0999999999999</v>
      </c>
      <c r="O1497" s="107">
        <v>1184</v>
      </c>
      <c r="P1497" s="107">
        <v>1207.95</v>
      </c>
      <c r="Q1497" s="107">
        <v>1185.8499999999999</v>
      </c>
      <c r="R1497">
        <v>242788</v>
      </c>
    </row>
    <row r="1498" spans="1:18" x14ac:dyDescent="0.25">
      <c r="A1498" s="148">
        <v>45540</v>
      </c>
      <c r="B1498" s="107">
        <v>1195.7</v>
      </c>
      <c r="C1498" s="107">
        <v>1179.7</v>
      </c>
      <c r="D1498" s="107">
        <v>1178</v>
      </c>
      <c r="E1498" s="107">
        <v>1195.7</v>
      </c>
      <c r="F1498" s="107">
        <v>1179.7</v>
      </c>
      <c r="G1498">
        <v>20033</v>
      </c>
      <c r="H1498" s="107"/>
      <c r="I1498" s="107"/>
      <c r="L1498" s="148">
        <v>45540</v>
      </c>
      <c r="M1498" s="107">
        <v>1179.25</v>
      </c>
      <c r="N1498" s="107">
        <v>1193.25</v>
      </c>
      <c r="O1498" s="107">
        <v>1177.1500000000001</v>
      </c>
      <c r="P1498" s="107">
        <v>1191</v>
      </c>
      <c r="Q1498" s="107">
        <v>1179.25</v>
      </c>
      <c r="R1498">
        <v>234506</v>
      </c>
    </row>
    <row r="1499" spans="1:18" x14ac:dyDescent="0.25">
      <c r="A1499" s="148">
        <v>45541</v>
      </c>
      <c r="B1499" s="107">
        <v>1212.75</v>
      </c>
      <c r="C1499" s="107">
        <v>1209.05</v>
      </c>
      <c r="D1499" s="107">
        <v>1176.3499999999999</v>
      </c>
      <c r="E1499" s="107">
        <v>1179.7</v>
      </c>
      <c r="F1499" s="107">
        <v>1209.05</v>
      </c>
      <c r="G1499">
        <v>30935</v>
      </c>
      <c r="H1499" s="107"/>
      <c r="I1499" s="107"/>
      <c r="L1499" s="148">
        <v>45541</v>
      </c>
      <c r="M1499" s="107">
        <v>1208.8499999999999</v>
      </c>
      <c r="N1499" s="107">
        <v>1214.3499999999999</v>
      </c>
      <c r="O1499" s="107">
        <v>1176.5999999999999</v>
      </c>
      <c r="P1499" s="107">
        <v>1180.0999999999999</v>
      </c>
      <c r="Q1499" s="107">
        <v>1208.8499999999999</v>
      </c>
      <c r="R1499">
        <v>497706</v>
      </c>
    </row>
    <row r="1500" spans="1:18" x14ac:dyDescent="0.25">
      <c r="A1500" s="148">
        <v>45544</v>
      </c>
      <c r="B1500" s="107">
        <v>1211.6500000000001</v>
      </c>
      <c r="C1500" s="107">
        <v>1205.3499999999999</v>
      </c>
      <c r="D1500" s="107">
        <v>1176.3499999999999</v>
      </c>
      <c r="E1500" s="107">
        <v>1210.05</v>
      </c>
      <c r="F1500" s="107">
        <v>1205.3499999999999</v>
      </c>
      <c r="G1500">
        <v>25728</v>
      </c>
      <c r="H1500" s="107"/>
      <c r="I1500" s="107"/>
      <c r="L1500" s="148">
        <v>45544</v>
      </c>
      <c r="M1500" s="107">
        <v>1205.8499999999999</v>
      </c>
      <c r="N1500" s="107">
        <v>1211.8</v>
      </c>
      <c r="O1500" s="107">
        <v>1176.8499999999999</v>
      </c>
      <c r="P1500" s="107">
        <v>1210</v>
      </c>
      <c r="Q1500" s="107">
        <v>1205.8499999999999</v>
      </c>
      <c r="R1500">
        <v>296773</v>
      </c>
    </row>
    <row r="1501" spans="1:18" x14ac:dyDescent="0.25">
      <c r="A1501" s="148">
        <v>45545</v>
      </c>
      <c r="B1501" s="107">
        <v>1230.5999999999999</v>
      </c>
      <c r="C1501" s="107">
        <v>1213</v>
      </c>
      <c r="D1501" s="107">
        <v>1204</v>
      </c>
      <c r="E1501" s="107">
        <v>1216.9000000000001</v>
      </c>
      <c r="F1501" s="107">
        <v>1213</v>
      </c>
      <c r="G1501">
        <v>8000</v>
      </c>
      <c r="H1501" s="107"/>
      <c r="I1501" s="107"/>
      <c r="L1501" s="148">
        <v>45545</v>
      </c>
      <c r="M1501" s="107">
        <v>1213.7</v>
      </c>
      <c r="N1501" s="107">
        <v>1229.9000000000001</v>
      </c>
      <c r="O1501" s="107">
        <v>1202.8499999999999</v>
      </c>
      <c r="P1501" s="107">
        <v>1207</v>
      </c>
      <c r="Q1501" s="107">
        <v>1213.7</v>
      </c>
      <c r="R1501">
        <v>125264</v>
      </c>
    </row>
    <row r="1502" spans="1:18" x14ac:dyDescent="0.25">
      <c r="A1502" s="148">
        <v>45546</v>
      </c>
      <c r="B1502" s="107">
        <v>1226</v>
      </c>
      <c r="C1502" s="107">
        <v>1208.45</v>
      </c>
      <c r="D1502" s="107">
        <v>1190.95</v>
      </c>
      <c r="E1502" s="107">
        <v>1210.05</v>
      </c>
      <c r="F1502" s="107">
        <v>1208.45</v>
      </c>
      <c r="G1502">
        <v>9975</v>
      </c>
      <c r="H1502" s="107"/>
      <c r="I1502" s="107"/>
      <c r="L1502" s="148">
        <v>45546</v>
      </c>
      <c r="M1502" s="107">
        <v>1211.45</v>
      </c>
      <c r="N1502" s="107">
        <v>1226.05</v>
      </c>
      <c r="O1502" s="107">
        <v>1190</v>
      </c>
      <c r="P1502" s="107">
        <v>1214</v>
      </c>
      <c r="Q1502" s="107">
        <v>1211.45</v>
      </c>
      <c r="R1502">
        <v>145102</v>
      </c>
    </row>
    <row r="1503" spans="1:18" x14ac:dyDescent="0.25">
      <c r="A1503" s="148">
        <v>45547</v>
      </c>
      <c r="B1503" s="107">
        <v>1265.9000000000001</v>
      </c>
      <c r="C1503" s="107">
        <v>1255.8499999999999</v>
      </c>
      <c r="D1503" s="107">
        <v>1212.05</v>
      </c>
      <c r="E1503" s="107">
        <v>1229.8</v>
      </c>
      <c r="F1503" s="107">
        <v>1255.8499999999999</v>
      </c>
      <c r="G1503">
        <v>30805</v>
      </c>
      <c r="H1503" s="107"/>
      <c r="I1503" s="107"/>
      <c r="L1503" s="148">
        <v>45547</v>
      </c>
      <c r="M1503" s="107">
        <v>1253.6500000000001</v>
      </c>
      <c r="N1503" s="107">
        <v>1266.75</v>
      </c>
      <c r="O1503" s="107">
        <v>1208.25</v>
      </c>
      <c r="P1503" s="107">
        <v>1228</v>
      </c>
      <c r="Q1503" s="107">
        <v>1253.6500000000001</v>
      </c>
      <c r="R1503">
        <v>876323</v>
      </c>
    </row>
    <row r="1504" spans="1:18" x14ac:dyDescent="0.25">
      <c r="A1504" s="148">
        <v>45548</v>
      </c>
      <c r="B1504" s="107">
        <v>1275</v>
      </c>
      <c r="C1504" s="107">
        <v>1261.5</v>
      </c>
      <c r="D1504" s="107">
        <v>1241.5999999999999</v>
      </c>
      <c r="E1504" s="107">
        <v>1271.05</v>
      </c>
      <c r="F1504" s="107">
        <v>1261.5</v>
      </c>
      <c r="G1504">
        <v>22930</v>
      </c>
      <c r="H1504" s="107"/>
      <c r="I1504" s="107"/>
      <c r="L1504" s="148">
        <v>45548</v>
      </c>
      <c r="M1504" s="107">
        <v>1260.95</v>
      </c>
      <c r="N1504" s="107">
        <v>1275.05</v>
      </c>
      <c r="O1504" s="107">
        <v>1240.9000000000001</v>
      </c>
      <c r="P1504" s="107">
        <v>1275</v>
      </c>
      <c r="Q1504" s="107">
        <v>1260.95</v>
      </c>
      <c r="R1504">
        <v>244198</v>
      </c>
    </row>
    <row r="1505" spans="1:18" x14ac:dyDescent="0.25">
      <c r="A1505" s="148">
        <v>45551</v>
      </c>
      <c r="B1505" s="107">
        <v>1278.75</v>
      </c>
      <c r="C1505" s="107">
        <v>1263.6500000000001</v>
      </c>
      <c r="D1505" s="107">
        <v>1249.45</v>
      </c>
      <c r="E1505" s="107">
        <v>1278.75</v>
      </c>
      <c r="F1505" s="107">
        <v>1263.6500000000001</v>
      </c>
      <c r="G1505">
        <v>25069</v>
      </c>
      <c r="H1505" s="107"/>
      <c r="I1505" s="107"/>
      <c r="L1505" s="148">
        <v>45551</v>
      </c>
      <c r="M1505" s="107">
        <v>1264</v>
      </c>
      <c r="N1505" s="107">
        <v>1274.8</v>
      </c>
      <c r="O1505" s="107">
        <v>1248.75</v>
      </c>
      <c r="P1505" s="107">
        <v>1274.8</v>
      </c>
      <c r="Q1505" s="107">
        <v>1264</v>
      </c>
      <c r="R1505">
        <v>233121</v>
      </c>
    </row>
    <row r="1506" spans="1:18" x14ac:dyDescent="0.25">
      <c r="A1506" s="148">
        <v>45552</v>
      </c>
      <c r="B1506" s="107">
        <v>1269.6500000000001</v>
      </c>
      <c r="C1506" s="107">
        <v>1254.3499999999999</v>
      </c>
      <c r="D1506" s="107">
        <v>1236.25</v>
      </c>
      <c r="E1506" s="107">
        <v>1261</v>
      </c>
      <c r="F1506" s="107">
        <v>1254.3499999999999</v>
      </c>
      <c r="G1506">
        <v>12699</v>
      </c>
      <c r="H1506" s="107"/>
      <c r="I1506" s="107"/>
      <c r="L1506" s="148">
        <v>45552</v>
      </c>
      <c r="M1506" s="107">
        <v>1252.9000000000001</v>
      </c>
      <c r="N1506" s="107">
        <v>1269.8</v>
      </c>
      <c r="O1506" s="107">
        <v>1236</v>
      </c>
      <c r="P1506" s="107">
        <v>1263.7</v>
      </c>
      <c r="Q1506" s="107">
        <v>1252.9000000000001</v>
      </c>
      <c r="R1506">
        <v>157018</v>
      </c>
    </row>
    <row r="1507" spans="1:18" x14ac:dyDescent="0.25">
      <c r="A1507" s="148">
        <v>45553</v>
      </c>
      <c r="B1507" s="107">
        <v>1263.1500000000001</v>
      </c>
      <c r="C1507" s="107">
        <v>1240.3</v>
      </c>
      <c r="D1507" s="107">
        <v>1236.5</v>
      </c>
      <c r="E1507" s="107">
        <v>1254.7</v>
      </c>
      <c r="F1507" s="107">
        <v>1240.3</v>
      </c>
      <c r="G1507">
        <v>12635</v>
      </c>
      <c r="H1507" s="107"/>
      <c r="I1507" s="107"/>
      <c r="L1507" s="148">
        <v>45553</v>
      </c>
      <c r="M1507" s="107">
        <v>1240.4000000000001</v>
      </c>
      <c r="N1507" s="107">
        <v>1263.95</v>
      </c>
      <c r="O1507" s="107">
        <v>1237</v>
      </c>
      <c r="P1507" s="107">
        <v>1259.2</v>
      </c>
      <c r="Q1507" s="107">
        <v>1240.4000000000001</v>
      </c>
      <c r="R1507">
        <v>161559</v>
      </c>
    </row>
    <row r="1508" spans="1:18" x14ac:dyDescent="0.25">
      <c r="A1508" s="148">
        <v>45554</v>
      </c>
      <c r="B1508" s="107">
        <v>1280.95</v>
      </c>
      <c r="C1508" s="107">
        <v>1270.6500000000001</v>
      </c>
      <c r="D1508" s="107">
        <v>1216.1500000000001</v>
      </c>
      <c r="E1508" s="107">
        <v>1240.45</v>
      </c>
      <c r="F1508" s="107">
        <v>1270.6500000000001</v>
      </c>
      <c r="G1508">
        <v>13584</v>
      </c>
      <c r="H1508" s="107"/>
      <c r="I1508" s="107"/>
      <c r="L1508" s="148">
        <v>45554</v>
      </c>
      <c r="M1508" s="107">
        <v>1269.75</v>
      </c>
      <c r="N1508" s="107">
        <v>1281</v>
      </c>
      <c r="O1508" s="107">
        <v>1215.5</v>
      </c>
      <c r="P1508" s="107">
        <v>1243.5</v>
      </c>
      <c r="Q1508" s="107">
        <v>1269.75</v>
      </c>
      <c r="R1508">
        <v>349141</v>
      </c>
    </row>
    <row r="1509" spans="1:18" x14ac:dyDescent="0.25">
      <c r="A1509" s="148">
        <v>45555</v>
      </c>
      <c r="B1509" s="107">
        <v>1294.1500000000001</v>
      </c>
      <c r="C1509" s="107">
        <v>1272.8499999999999</v>
      </c>
      <c r="D1509" s="107">
        <v>1268.9000000000001</v>
      </c>
      <c r="E1509" s="107">
        <v>1281.95</v>
      </c>
      <c r="F1509" s="107">
        <v>1272.8499999999999</v>
      </c>
      <c r="G1509">
        <v>24232</v>
      </c>
      <c r="H1509" s="107"/>
      <c r="I1509" s="107"/>
      <c r="L1509" s="148">
        <v>45555</v>
      </c>
      <c r="M1509" s="107">
        <v>1274.25</v>
      </c>
      <c r="N1509" s="107">
        <v>1295</v>
      </c>
      <c r="O1509" s="107">
        <v>1269</v>
      </c>
      <c r="P1509" s="107">
        <v>1280</v>
      </c>
      <c r="Q1509" s="107">
        <v>1274.25</v>
      </c>
      <c r="R1509">
        <v>186061</v>
      </c>
    </row>
    <row r="1510" spans="1:18" x14ac:dyDescent="0.25">
      <c r="A1510" s="148">
        <v>45558</v>
      </c>
      <c r="B1510" s="107">
        <v>1277.6500000000001</v>
      </c>
      <c r="C1510" s="107">
        <v>1241.6500000000001</v>
      </c>
      <c r="D1510" s="107">
        <v>1234.5</v>
      </c>
      <c r="E1510" s="107">
        <v>1272.9000000000001</v>
      </c>
      <c r="F1510" s="107">
        <v>1241.6500000000001</v>
      </c>
      <c r="G1510">
        <v>9342</v>
      </c>
      <c r="H1510" s="107"/>
      <c r="I1510" s="107"/>
      <c r="L1510" s="148">
        <v>45558</v>
      </c>
      <c r="M1510" s="107">
        <v>1243.45</v>
      </c>
      <c r="N1510" s="107">
        <v>1279.9000000000001</v>
      </c>
      <c r="O1510" s="107">
        <v>1238</v>
      </c>
      <c r="P1510" s="107">
        <v>1275</v>
      </c>
      <c r="Q1510" s="107">
        <v>1243.45</v>
      </c>
      <c r="R1510">
        <v>196405</v>
      </c>
    </row>
    <row r="1511" spans="1:18" x14ac:dyDescent="0.25">
      <c r="A1511" s="148">
        <v>45559</v>
      </c>
      <c r="B1511" s="107">
        <v>1252</v>
      </c>
      <c r="C1511" s="107">
        <v>1215.55</v>
      </c>
      <c r="D1511" s="107">
        <v>1206.8</v>
      </c>
      <c r="E1511" s="107">
        <v>1245.75</v>
      </c>
      <c r="F1511" s="107">
        <v>1215.55</v>
      </c>
      <c r="G1511">
        <v>7817</v>
      </c>
      <c r="H1511" s="107"/>
      <c r="I1511" s="107"/>
      <c r="L1511" s="148">
        <v>45559</v>
      </c>
      <c r="M1511" s="107">
        <v>1215.25</v>
      </c>
      <c r="N1511" s="107">
        <v>1244.3499999999999</v>
      </c>
      <c r="O1511" s="107">
        <v>1206.55</v>
      </c>
      <c r="P1511" s="107">
        <v>1244.3</v>
      </c>
      <c r="Q1511" s="107">
        <v>1215.25</v>
      </c>
      <c r="R1511">
        <v>215281</v>
      </c>
    </row>
    <row r="1512" spans="1:18" x14ac:dyDescent="0.25">
      <c r="A1512" s="148">
        <v>45560</v>
      </c>
      <c r="B1512" s="107">
        <v>1222.5</v>
      </c>
      <c r="C1512" s="107">
        <v>1219.9000000000001</v>
      </c>
      <c r="D1512" s="107">
        <v>1208.25</v>
      </c>
      <c r="E1512" s="107">
        <v>1210.3</v>
      </c>
      <c r="F1512" s="107">
        <v>1219.9000000000001</v>
      </c>
      <c r="G1512">
        <v>11044</v>
      </c>
      <c r="H1512" s="107"/>
      <c r="I1512" s="107"/>
      <c r="L1512" s="148">
        <v>45560</v>
      </c>
      <c r="M1512" s="107">
        <v>1218.8499999999999</v>
      </c>
      <c r="N1512" s="107">
        <v>1221</v>
      </c>
      <c r="O1512" s="107">
        <v>1208</v>
      </c>
      <c r="P1512" s="107">
        <v>1215</v>
      </c>
      <c r="Q1512" s="107">
        <v>1218.8499999999999</v>
      </c>
      <c r="R1512">
        <v>102592</v>
      </c>
    </row>
    <row r="1513" spans="1:18" x14ac:dyDescent="0.25">
      <c r="A1513" s="148">
        <v>45561</v>
      </c>
      <c r="B1513" s="107">
        <v>1233.25</v>
      </c>
      <c r="C1513" s="107">
        <v>1218.0999999999999</v>
      </c>
      <c r="D1513" s="107">
        <v>1212.5</v>
      </c>
      <c r="E1513" s="107">
        <v>1222.5</v>
      </c>
      <c r="F1513" s="107">
        <v>1218.0999999999999</v>
      </c>
      <c r="G1513">
        <v>8694</v>
      </c>
      <c r="H1513" s="107"/>
      <c r="I1513" s="107"/>
      <c r="L1513" s="148">
        <v>45561</v>
      </c>
      <c r="M1513" s="107">
        <v>1218.0999999999999</v>
      </c>
      <c r="N1513" s="107">
        <v>1232</v>
      </c>
      <c r="O1513" s="107">
        <v>1213.05</v>
      </c>
      <c r="P1513" s="107">
        <v>1232</v>
      </c>
      <c r="Q1513" s="107">
        <v>1218.0999999999999</v>
      </c>
      <c r="R1513">
        <v>144521</v>
      </c>
    </row>
    <row r="1514" spans="1:18" x14ac:dyDescent="0.25">
      <c r="A1514" s="148">
        <v>45562</v>
      </c>
      <c r="B1514" s="107">
        <v>1230</v>
      </c>
      <c r="C1514" s="107">
        <v>1205.8</v>
      </c>
      <c r="D1514" s="107">
        <v>1200</v>
      </c>
      <c r="E1514" s="107">
        <v>1213.8</v>
      </c>
      <c r="F1514" s="107">
        <v>1205.8</v>
      </c>
      <c r="G1514">
        <v>12983</v>
      </c>
      <c r="H1514" s="107"/>
      <c r="I1514" s="107"/>
      <c r="L1514" s="148">
        <v>45562</v>
      </c>
      <c r="M1514" s="107">
        <v>1204.3</v>
      </c>
      <c r="N1514" s="107">
        <v>1228</v>
      </c>
      <c r="O1514" s="107">
        <v>1200</v>
      </c>
      <c r="P1514" s="107">
        <v>1220.5</v>
      </c>
      <c r="Q1514" s="107">
        <v>1204.3</v>
      </c>
      <c r="R1514">
        <v>220917</v>
      </c>
    </row>
    <row r="1515" spans="1:18" x14ac:dyDescent="0.25">
      <c r="A1515" s="148">
        <v>45565</v>
      </c>
      <c r="B1515" s="107">
        <v>1211.4000000000001</v>
      </c>
      <c r="C1515" s="107">
        <v>1197.0999999999999</v>
      </c>
      <c r="D1515" s="107">
        <v>1196</v>
      </c>
      <c r="E1515" s="107">
        <v>1200.3</v>
      </c>
      <c r="F1515" s="107">
        <v>1197.0999999999999</v>
      </c>
      <c r="G1515">
        <v>13215</v>
      </c>
      <c r="H1515" s="107"/>
      <c r="I1515" s="107"/>
      <c r="L1515" s="148">
        <v>45565</v>
      </c>
      <c r="M1515" s="107">
        <v>1197.5999999999999</v>
      </c>
      <c r="N1515" s="107">
        <v>1211.25</v>
      </c>
      <c r="O1515" s="107">
        <v>1196</v>
      </c>
      <c r="P1515" s="107">
        <v>1204.95</v>
      </c>
      <c r="Q1515" s="107">
        <v>1197.5999999999999</v>
      </c>
      <c r="R1515">
        <v>144263</v>
      </c>
    </row>
    <row r="1516" spans="1:18" x14ac:dyDescent="0.25">
      <c r="A1516" s="148">
        <v>45566</v>
      </c>
      <c r="B1516" s="107">
        <v>1218.0999999999999</v>
      </c>
      <c r="C1516" s="107">
        <v>1197</v>
      </c>
      <c r="D1516" s="107">
        <v>1190.8499999999999</v>
      </c>
      <c r="E1516" s="107">
        <v>1218.0999999999999</v>
      </c>
      <c r="F1516" s="107">
        <v>1197</v>
      </c>
      <c r="G1516">
        <v>5015</v>
      </c>
      <c r="H1516" s="107"/>
      <c r="I1516" s="107"/>
      <c r="L1516" s="148">
        <v>45566</v>
      </c>
      <c r="M1516" s="107">
        <v>1196.7</v>
      </c>
      <c r="N1516" s="107">
        <v>1207.5</v>
      </c>
      <c r="O1516" s="107">
        <v>1191.2</v>
      </c>
      <c r="P1516" s="107">
        <v>1200.0999999999999</v>
      </c>
      <c r="Q1516" s="107">
        <v>1196.7</v>
      </c>
      <c r="R1516">
        <v>81916</v>
      </c>
    </row>
    <row r="1517" spans="1:18" x14ac:dyDescent="0.25">
      <c r="A1517" s="148">
        <v>45568</v>
      </c>
      <c r="B1517" s="107">
        <v>1190</v>
      </c>
      <c r="C1517" s="107">
        <v>1171.0999999999999</v>
      </c>
      <c r="D1517" s="107">
        <v>1168</v>
      </c>
      <c r="E1517" s="107">
        <v>1190</v>
      </c>
      <c r="F1517" s="107">
        <v>1171.0999999999999</v>
      </c>
      <c r="G1517">
        <v>23913</v>
      </c>
      <c r="H1517" s="107"/>
      <c r="I1517" s="107"/>
      <c r="L1517" s="148">
        <v>45568</v>
      </c>
      <c r="M1517" s="107">
        <v>1170.5</v>
      </c>
      <c r="N1517" s="107">
        <v>1193</v>
      </c>
      <c r="O1517" s="107">
        <v>1168</v>
      </c>
      <c r="P1517" s="107">
        <v>1183.05</v>
      </c>
      <c r="Q1517" s="107">
        <v>1170.5</v>
      </c>
      <c r="R1517">
        <v>318479</v>
      </c>
    </row>
    <row r="1518" spans="1:18" x14ac:dyDescent="0.25">
      <c r="A1518" s="148">
        <v>45569</v>
      </c>
      <c r="B1518" s="107">
        <v>1171.2</v>
      </c>
      <c r="C1518" s="107">
        <v>1149.8</v>
      </c>
      <c r="D1518" s="107">
        <v>1144.55</v>
      </c>
      <c r="E1518" s="107">
        <v>1171.0999999999999</v>
      </c>
      <c r="F1518" s="107">
        <v>1149.8</v>
      </c>
      <c r="G1518">
        <v>27553</v>
      </c>
      <c r="H1518" s="107"/>
      <c r="I1518" s="107"/>
      <c r="L1518" s="148">
        <v>45569</v>
      </c>
      <c r="M1518" s="107">
        <v>1150.1500000000001</v>
      </c>
      <c r="N1518" s="107">
        <v>1172.45</v>
      </c>
      <c r="O1518" s="107">
        <v>1144.9000000000001</v>
      </c>
      <c r="P1518" s="107">
        <v>1170.5</v>
      </c>
      <c r="Q1518" s="107">
        <v>1150.1500000000001</v>
      </c>
      <c r="R1518">
        <v>293992</v>
      </c>
    </row>
    <row r="1519" spans="1:18" x14ac:dyDescent="0.25">
      <c r="A1519" s="148">
        <v>45572</v>
      </c>
      <c r="B1519" s="107">
        <v>1168.95</v>
      </c>
      <c r="C1519" s="107">
        <v>1145.1500000000001</v>
      </c>
      <c r="D1519" s="107">
        <v>1124.25</v>
      </c>
      <c r="E1519" s="107">
        <v>1168.95</v>
      </c>
      <c r="F1519" s="107">
        <v>1145.1500000000001</v>
      </c>
      <c r="G1519">
        <v>11521</v>
      </c>
      <c r="H1519" s="107"/>
      <c r="I1519" s="107"/>
      <c r="L1519" s="148">
        <v>45572</v>
      </c>
      <c r="M1519" s="107">
        <v>1144.95</v>
      </c>
      <c r="N1519" s="107">
        <v>1160</v>
      </c>
      <c r="O1519" s="107">
        <v>1125</v>
      </c>
      <c r="P1519" s="107">
        <v>1160</v>
      </c>
      <c r="Q1519" s="107">
        <v>1144.95</v>
      </c>
      <c r="R1519">
        <v>186908</v>
      </c>
    </row>
    <row r="1520" spans="1:18" x14ac:dyDescent="0.25">
      <c r="A1520" s="148">
        <v>45573</v>
      </c>
      <c r="B1520" s="107">
        <v>1158.45</v>
      </c>
      <c r="C1520" s="107">
        <v>1141.75</v>
      </c>
      <c r="D1520" s="107">
        <v>1128.7</v>
      </c>
      <c r="E1520" s="107">
        <v>1143.95</v>
      </c>
      <c r="F1520" s="107">
        <v>1141.75</v>
      </c>
      <c r="G1520">
        <v>18217</v>
      </c>
      <c r="H1520" s="107"/>
      <c r="I1520" s="107"/>
      <c r="L1520" s="148">
        <v>45573</v>
      </c>
      <c r="M1520" s="107">
        <v>1142.3499999999999</v>
      </c>
      <c r="N1520" s="107">
        <v>1159.8499999999999</v>
      </c>
      <c r="O1520" s="107">
        <v>1129</v>
      </c>
      <c r="P1520" s="107">
        <v>1140</v>
      </c>
      <c r="Q1520" s="107">
        <v>1142.3499999999999</v>
      </c>
      <c r="R1520">
        <v>234743</v>
      </c>
    </row>
    <row r="1521" spans="1:18" x14ac:dyDescent="0.25">
      <c r="A1521" s="148">
        <v>45574</v>
      </c>
      <c r="B1521" s="107">
        <v>1168.25</v>
      </c>
      <c r="C1521" s="107">
        <v>1153.55</v>
      </c>
      <c r="D1521" s="107">
        <v>1145.3499999999999</v>
      </c>
      <c r="E1521" s="107">
        <v>1150</v>
      </c>
      <c r="F1521" s="107">
        <v>1153.55</v>
      </c>
      <c r="G1521">
        <v>6195</v>
      </c>
      <c r="H1521" s="107"/>
      <c r="I1521" s="107"/>
      <c r="L1521" s="148">
        <v>45574</v>
      </c>
      <c r="M1521" s="107">
        <v>1151.8</v>
      </c>
      <c r="N1521" s="107">
        <v>1170</v>
      </c>
      <c r="O1521" s="107">
        <v>1145</v>
      </c>
      <c r="P1521" s="107">
        <v>1151</v>
      </c>
      <c r="Q1521" s="107">
        <v>1151.8</v>
      </c>
      <c r="R1521">
        <v>185323</v>
      </c>
    </row>
    <row r="1522" spans="1:18" x14ac:dyDescent="0.25">
      <c r="A1522" s="148">
        <v>45575</v>
      </c>
      <c r="B1522" s="107">
        <v>1161.25</v>
      </c>
      <c r="C1522" s="107">
        <v>1119.4000000000001</v>
      </c>
      <c r="D1522" s="107">
        <v>1117</v>
      </c>
      <c r="E1522" s="107">
        <v>1152.05</v>
      </c>
      <c r="F1522" s="107">
        <v>1119.4000000000001</v>
      </c>
      <c r="G1522">
        <v>130604</v>
      </c>
      <c r="H1522" s="107"/>
      <c r="I1522" s="107"/>
      <c r="L1522" s="148">
        <v>45575</v>
      </c>
      <c r="M1522" s="107">
        <v>1119.2</v>
      </c>
      <c r="N1522" s="107">
        <v>1161.9000000000001</v>
      </c>
      <c r="O1522" s="107">
        <v>1116.25</v>
      </c>
      <c r="P1522" s="107">
        <v>1161.0999999999999</v>
      </c>
      <c r="Q1522" s="107">
        <v>1119.2</v>
      </c>
      <c r="R1522">
        <v>479118</v>
      </c>
    </row>
    <row r="1523" spans="1:18" x14ac:dyDescent="0.25">
      <c r="A1523" s="148">
        <v>45576</v>
      </c>
      <c r="B1523" s="107">
        <v>1111</v>
      </c>
      <c r="C1523" s="107">
        <v>1076.75</v>
      </c>
      <c r="D1523" s="107">
        <v>1069.05</v>
      </c>
      <c r="E1523" s="107">
        <v>1111</v>
      </c>
      <c r="F1523" s="107">
        <v>1076.75</v>
      </c>
      <c r="G1523">
        <v>67499</v>
      </c>
      <c r="H1523" s="107"/>
      <c r="I1523" s="107"/>
      <c r="L1523" s="148">
        <v>45576</v>
      </c>
      <c r="M1523" s="107">
        <v>1075.25</v>
      </c>
      <c r="N1523" s="107">
        <v>1114.2</v>
      </c>
      <c r="O1523" s="107">
        <v>1068.0999999999999</v>
      </c>
      <c r="P1523" s="107">
        <v>1110</v>
      </c>
      <c r="Q1523" s="107">
        <v>1075.25</v>
      </c>
      <c r="R1523">
        <v>891127</v>
      </c>
    </row>
    <row r="1524" spans="1:18" x14ac:dyDescent="0.25">
      <c r="A1524" s="148">
        <v>45579</v>
      </c>
      <c r="B1524" s="107">
        <v>1094</v>
      </c>
      <c r="C1524" s="107">
        <v>1054.6500000000001</v>
      </c>
      <c r="D1524" s="107">
        <v>1051.0999999999999</v>
      </c>
      <c r="E1524" s="107">
        <v>1080</v>
      </c>
      <c r="F1524" s="107">
        <v>1054.6500000000001</v>
      </c>
      <c r="G1524">
        <v>40776</v>
      </c>
      <c r="H1524" s="107"/>
      <c r="I1524" s="107"/>
      <c r="L1524" s="148">
        <v>45579</v>
      </c>
      <c r="M1524" s="107">
        <v>1054.9000000000001</v>
      </c>
      <c r="N1524" s="107">
        <v>1094.8</v>
      </c>
      <c r="O1524" s="107">
        <v>1050.05</v>
      </c>
      <c r="P1524" s="107">
        <v>1085.3</v>
      </c>
      <c r="Q1524" s="107">
        <v>1054.9000000000001</v>
      </c>
      <c r="R1524">
        <v>444877</v>
      </c>
    </row>
    <row r="1525" spans="1:18" x14ac:dyDescent="0.25">
      <c r="A1525" s="148">
        <v>45580</v>
      </c>
      <c r="B1525" s="107">
        <v>1069.45</v>
      </c>
      <c r="C1525" s="107">
        <v>1055.05</v>
      </c>
      <c r="D1525" s="107">
        <v>1051</v>
      </c>
      <c r="E1525" s="107">
        <v>1069.45</v>
      </c>
      <c r="F1525" s="107">
        <v>1055.05</v>
      </c>
      <c r="G1525">
        <v>10569</v>
      </c>
      <c r="H1525" s="107"/>
      <c r="I1525" s="107"/>
      <c r="L1525" s="148">
        <v>45580</v>
      </c>
      <c r="M1525" s="107">
        <v>1054.75</v>
      </c>
      <c r="N1525" s="107">
        <v>1070</v>
      </c>
      <c r="O1525" s="107">
        <v>1051</v>
      </c>
      <c r="P1525" s="107">
        <v>1064</v>
      </c>
      <c r="Q1525" s="107">
        <v>1054.75</v>
      </c>
      <c r="R1525">
        <v>298858</v>
      </c>
    </row>
    <row r="1526" spans="1:18" x14ac:dyDescent="0.25">
      <c r="A1526" s="148">
        <v>45581</v>
      </c>
      <c r="B1526" s="107">
        <v>1064.4000000000001</v>
      </c>
      <c r="C1526" s="107">
        <v>1024.5</v>
      </c>
      <c r="D1526" s="107">
        <v>1018.1</v>
      </c>
      <c r="E1526" s="107">
        <v>1064.4000000000001</v>
      </c>
      <c r="F1526" s="107">
        <v>1024.5</v>
      </c>
      <c r="G1526">
        <v>46643</v>
      </c>
      <c r="H1526" s="107"/>
      <c r="I1526" s="107"/>
      <c r="L1526" s="148">
        <v>45581</v>
      </c>
      <c r="M1526" s="107">
        <v>1024.0999999999999</v>
      </c>
      <c r="N1526" s="107">
        <v>1064.3</v>
      </c>
      <c r="O1526" s="107">
        <v>1018.15</v>
      </c>
      <c r="P1526" s="107">
        <v>1058.55</v>
      </c>
      <c r="Q1526" s="107">
        <v>1024.0999999999999</v>
      </c>
      <c r="R1526">
        <v>441203</v>
      </c>
    </row>
    <row r="1527" spans="1:18" x14ac:dyDescent="0.25">
      <c r="A1527" s="148">
        <v>45582</v>
      </c>
      <c r="B1527" s="107">
        <v>1062</v>
      </c>
      <c r="C1527" s="107">
        <v>1046.95</v>
      </c>
      <c r="D1527" s="107">
        <v>1029.5999999999999</v>
      </c>
      <c r="E1527" s="107">
        <v>1034</v>
      </c>
      <c r="F1527" s="107">
        <v>1046.95</v>
      </c>
      <c r="G1527">
        <v>35423</v>
      </c>
      <c r="H1527" s="107"/>
      <c r="I1527" s="107"/>
      <c r="L1527" s="148">
        <v>45582</v>
      </c>
      <c r="M1527" s="107">
        <v>1047.3499999999999</v>
      </c>
      <c r="N1527" s="107">
        <v>1064.45</v>
      </c>
      <c r="O1527" s="107">
        <v>1028.7</v>
      </c>
      <c r="P1527" s="107">
        <v>1032.95</v>
      </c>
      <c r="Q1527" s="107">
        <v>1047.3499999999999</v>
      </c>
      <c r="R1527">
        <v>541059</v>
      </c>
    </row>
    <row r="1528" spans="1:18" x14ac:dyDescent="0.25">
      <c r="A1528" s="148">
        <v>45583</v>
      </c>
      <c r="B1528" s="107">
        <v>1057.3499999999999</v>
      </c>
      <c r="C1528" s="107">
        <v>1027.2</v>
      </c>
      <c r="D1528" s="107">
        <v>1020</v>
      </c>
      <c r="E1528" s="107">
        <v>1057.3499999999999</v>
      </c>
      <c r="F1528" s="107">
        <v>1027.2</v>
      </c>
      <c r="G1528">
        <v>16571</v>
      </c>
      <c r="H1528" s="107"/>
      <c r="I1528" s="107"/>
      <c r="L1528" s="148">
        <v>45583</v>
      </c>
      <c r="M1528" s="107">
        <v>1026</v>
      </c>
      <c r="N1528" s="107">
        <v>1049.5</v>
      </c>
      <c r="O1528" s="107">
        <v>1018.55</v>
      </c>
      <c r="P1528" s="107">
        <v>1049.5</v>
      </c>
      <c r="Q1528" s="107">
        <v>1026</v>
      </c>
      <c r="R1528">
        <v>218862</v>
      </c>
    </row>
    <row r="1529" spans="1:18" x14ac:dyDescent="0.25">
      <c r="A1529" s="148">
        <v>45586</v>
      </c>
      <c r="B1529" s="107">
        <v>1030</v>
      </c>
      <c r="C1529" s="107">
        <v>1014.6</v>
      </c>
      <c r="D1529" s="107">
        <v>986.5</v>
      </c>
      <c r="E1529" s="107">
        <v>1016.1</v>
      </c>
      <c r="F1529" s="107">
        <v>1014.6</v>
      </c>
      <c r="G1529">
        <v>26915</v>
      </c>
      <c r="H1529" s="107"/>
      <c r="I1529" s="107"/>
      <c r="L1529" s="148">
        <v>45586</v>
      </c>
      <c r="M1529" s="107">
        <v>1014.35</v>
      </c>
      <c r="N1529" s="107">
        <v>1031</v>
      </c>
      <c r="O1529" s="107">
        <v>986.1</v>
      </c>
      <c r="P1529" s="107">
        <v>1026</v>
      </c>
      <c r="Q1529" s="107">
        <v>1014.35</v>
      </c>
      <c r="R1529">
        <v>275475</v>
      </c>
    </row>
    <row r="1530" spans="1:18" x14ac:dyDescent="0.25">
      <c r="A1530" s="148">
        <v>45587</v>
      </c>
      <c r="B1530" s="107">
        <v>1017.5</v>
      </c>
      <c r="C1530" s="107">
        <v>1000.4</v>
      </c>
      <c r="D1530" s="107">
        <v>996.2</v>
      </c>
      <c r="E1530" s="107">
        <v>1015.65</v>
      </c>
      <c r="F1530" s="107">
        <v>1000.4</v>
      </c>
      <c r="G1530">
        <v>19914</v>
      </c>
      <c r="H1530" s="107"/>
      <c r="I1530" s="107"/>
      <c r="L1530" s="148">
        <v>45587</v>
      </c>
      <c r="M1530" s="107">
        <v>1000.1</v>
      </c>
      <c r="N1530" s="107">
        <v>1017.4</v>
      </c>
      <c r="O1530" s="107">
        <v>996</v>
      </c>
      <c r="P1530" s="107">
        <v>1014.35</v>
      </c>
      <c r="Q1530" s="107">
        <v>1000.1</v>
      </c>
      <c r="R1530">
        <v>301269</v>
      </c>
    </row>
    <row r="1531" spans="1:18" x14ac:dyDescent="0.25">
      <c r="A1531" s="148">
        <v>45588</v>
      </c>
      <c r="B1531" s="107">
        <v>1004.9</v>
      </c>
      <c r="C1531" s="107">
        <v>993.55</v>
      </c>
      <c r="D1531" s="107">
        <v>972.7</v>
      </c>
      <c r="E1531" s="107">
        <v>1000</v>
      </c>
      <c r="F1531" s="107">
        <v>993.55</v>
      </c>
      <c r="G1531">
        <v>30710</v>
      </c>
      <c r="H1531" s="107"/>
      <c r="I1531" s="107"/>
      <c r="L1531" s="148">
        <v>45588</v>
      </c>
      <c r="M1531" s="107">
        <v>993.1</v>
      </c>
      <c r="N1531" s="107">
        <v>1004.6</v>
      </c>
      <c r="O1531" s="107">
        <v>974.55</v>
      </c>
      <c r="P1531" s="107">
        <v>1000.2</v>
      </c>
      <c r="Q1531" s="107">
        <v>993.1</v>
      </c>
      <c r="R1531">
        <v>197506</v>
      </c>
    </row>
    <row r="1532" spans="1:18" x14ac:dyDescent="0.25">
      <c r="A1532" s="148">
        <v>45589</v>
      </c>
      <c r="B1532" s="107">
        <v>1006.95</v>
      </c>
      <c r="C1532" s="107">
        <v>984.8</v>
      </c>
      <c r="D1532" s="107">
        <v>980</v>
      </c>
      <c r="E1532" s="107">
        <v>990</v>
      </c>
      <c r="F1532" s="107">
        <v>984.8</v>
      </c>
      <c r="G1532">
        <v>18288</v>
      </c>
      <c r="H1532" s="107"/>
      <c r="I1532" s="107"/>
      <c r="L1532" s="148">
        <v>45589</v>
      </c>
      <c r="M1532" s="107">
        <v>983.75</v>
      </c>
      <c r="N1532" s="107">
        <v>1007.05</v>
      </c>
      <c r="O1532" s="107">
        <v>979</v>
      </c>
      <c r="P1532" s="107">
        <v>990</v>
      </c>
      <c r="Q1532" s="107">
        <v>983.75</v>
      </c>
      <c r="R1532">
        <v>164048</v>
      </c>
    </row>
    <row r="1533" spans="1:18" x14ac:dyDescent="0.25">
      <c r="A1533" s="148">
        <v>45590</v>
      </c>
      <c r="B1533" s="107">
        <v>1020</v>
      </c>
      <c r="C1533" s="107">
        <v>982.4</v>
      </c>
      <c r="D1533" s="107">
        <v>960.15</v>
      </c>
      <c r="E1533" s="107">
        <v>984</v>
      </c>
      <c r="F1533" s="107">
        <v>982.4</v>
      </c>
      <c r="G1533">
        <v>48999</v>
      </c>
      <c r="H1533" s="107"/>
      <c r="I1533" s="107"/>
      <c r="L1533" s="148">
        <v>45590</v>
      </c>
      <c r="M1533" s="107">
        <v>981.5</v>
      </c>
      <c r="N1533" s="107">
        <v>1021</v>
      </c>
      <c r="O1533" s="107">
        <v>960.05</v>
      </c>
      <c r="P1533" s="107">
        <v>991.6</v>
      </c>
      <c r="Q1533" s="107">
        <v>981.5</v>
      </c>
      <c r="R1533">
        <v>360140</v>
      </c>
    </row>
    <row r="1534" spans="1:18" x14ac:dyDescent="0.25">
      <c r="A1534" s="148">
        <v>45593</v>
      </c>
      <c r="B1534" s="107">
        <v>969</v>
      </c>
      <c r="C1534" s="107">
        <v>958.15</v>
      </c>
      <c r="D1534" s="107">
        <v>910.85</v>
      </c>
      <c r="E1534" s="107">
        <v>919.95</v>
      </c>
      <c r="F1534" s="107">
        <v>958.15</v>
      </c>
      <c r="G1534">
        <v>109752</v>
      </c>
      <c r="H1534" s="107"/>
      <c r="I1534" s="107"/>
      <c r="L1534" s="148">
        <v>45593</v>
      </c>
      <c r="M1534" s="107">
        <v>957.45</v>
      </c>
      <c r="N1534" s="107">
        <v>968.75</v>
      </c>
      <c r="O1534" s="107">
        <v>911.5</v>
      </c>
      <c r="P1534" s="107">
        <v>940</v>
      </c>
      <c r="Q1534" s="107">
        <v>957.45</v>
      </c>
      <c r="R1534">
        <v>1370303</v>
      </c>
    </row>
    <row r="1535" spans="1:18" x14ac:dyDescent="0.25">
      <c r="A1535" s="148">
        <v>45594</v>
      </c>
      <c r="B1535" s="107">
        <v>963.8</v>
      </c>
      <c r="C1535" s="107">
        <v>939.3</v>
      </c>
      <c r="D1535" s="107">
        <v>936.15</v>
      </c>
      <c r="E1535" s="107">
        <v>957.95</v>
      </c>
      <c r="F1535" s="107">
        <v>939.3</v>
      </c>
      <c r="G1535">
        <v>24156</v>
      </c>
      <c r="H1535" s="107"/>
      <c r="I1535" s="107"/>
      <c r="L1535" s="148">
        <v>45594</v>
      </c>
      <c r="M1535" s="107">
        <v>938.65</v>
      </c>
      <c r="N1535" s="107">
        <v>963.7</v>
      </c>
      <c r="O1535" s="107">
        <v>936</v>
      </c>
      <c r="P1535" s="107">
        <v>953.05</v>
      </c>
      <c r="Q1535" s="107">
        <v>938.65</v>
      </c>
      <c r="R1535">
        <v>230774</v>
      </c>
    </row>
    <row r="1536" spans="1:18" x14ac:dyDescent="0.25">
      <c r="A1536" s="148">
        <v>45595</v>
      </c>
      <c r="B1536" s="107">
        <v>1005.1</v>
      </c>
      <c r="C1536" s="107">
        <v>983.85</v>
      </c>
      <c r="D1536" s="107">
        <v>940</v>
      </c>
      <c r="E1536" s="107">
        <v>940</v>
      </c>
      <c r="F1536" s="107">
        <v>983.85</v>
      </c>
      <c r="G1536">
        <v>32094</v>
      </c>
      <c r="H1536" s="107"/>
      <c r="I1536" s="107"/>
      <c r="L1536" s="148">
        <v>45595</v>
      </c>
      <c r="M1536" s="107">
        <v>983.5</v>
      </c>
      <c r="N1536" s="107">
        <v>1007</v>
      </c>
      <c r="O1536" s="107">
        <v>940.95</v>
      </c>
      <c r="P1536" s="107">
        <v>944.85</v>
      </c>
      <c r="Q1536" s="107">
        <v>983.5</v>
      </c>
      <c r="R1536">
        <v>402340</v>
      </c>
    </row>
    <row r="1537" spans="1:18" x14ac:dyDescent="0.25">
      <c r="A1537" s="148">
        <v>45596</v>
      </c>
      <c r="B1537" s="107">
        <v>1003.95</v>
      </c>
      <c r="C1537" s="107">
        <v>981.7</v>
      </c>
      <c r="D1537" s="107">
        <v>956.4</v>
      </c>
      <c r="E1537" s="107">
        <v>1003.95</v>
      </c>
      <c r="F1537" s="107">
        <v>981.7</v>
      </c>
      <c r="G1537">
        <v>23851</v>
      </c>
      <c r="H1537" s="107"/>
      <c r="I1537" s="107"/>
      <c r="L1537" s="148">
        <v>45596</v>
      </c>
      <c r="M1537" s="107">
        <v>981.95</v>
      </c>
      <c r="N1537" s="107">
        <v>992.1</v>
      </c>
      <c r="O1537" s="107">
        <v>956.25</v>
      </c>
      <c r="P1537" s="107">
        <v>982.15</v>
      </c>
      <c r="Q1537" s="107">
        <v>981.95</v>
      </c>
      <c r="R1537">
        <v>439264</v>
      </c>
    </row>
    <row r="1538" spans="1:18" x14ac:dyDescent="0.25">
      <c r="A1538" s="148">
        <v>45597</v>
      </c>
      <c r="B1538" s="107">
        <v>1004.85</v>
      </c>
      <c r="C1538" s="107">
        <v>997.9</v>
      </c>
      <c r="D1538" s="107">
        <v>993.5</v>
      </c>
      <c r="E1538" s="107">
        <v>1000</v>
      </c>
      <c r="F1538" s="107">
        <v>997.9</v>
      </c>
      <c r="G1538">
        <v>2516</v>
      </c>
      <c r="H1538" s="107"/>
      <c r="I1538" s="107"/>
      <c r="L1538" s="148">
        <v>45597</v>
      </c>
      <c r="M1538" s="107">
        <v>997.45</v>
      </c>
      <c r="N1538" s="107">
        <v>1002.95</v>
      </c>
      <c r="O1538" s="107">
        <v>990.1</v>
      </c>
      <c r="P1538" s="107">
        <v>990.1</v>
      </c>
      <c r="Q1538" s="107">
        <v>997.45</v>
      </c>
      <c r="R1538">
        <v>28728</v>
      </c>
    </row>
    <row r="1539" spans="1:18" x14ac:dyDescent="0.25">
      <c r="A1539" s="148">
        <v>45600</v>
      </c>
      <c r="B1539" s="107">
        <v>998.45</v>
      </c>
      <c r="C1539" s="107">
        <v>954.2</v>
      </c>
      <c r="D1539" s="107">
        <v>946.65</v>
      </c>
      <c r="E1539" s="107">
        <v>998.45</v>
      </c>
      <c r="F1539" s="107">
        <v>954.2</v>
      </c>
      <c r="G1539">
        <v>23151</v>
      </c>
      <c r="H1539" s="107"/>
      <c r="I1539" s="107"/>
      <c r="L1539" s="148">
        <v>45600</v>
      </c>
      <c r="M1539" s="107">
        <v>955</v>
      </c>
      <c r="N1539" s="107">
        <v>998.1</v>
      </c>
      <c r="O1539" s="107">
        <v>945.3</v>
      </c>
      <c r="P1539" s="107">
        <v>997.5</v>
      </c>
      <c r="Q1539" s="107">
        <v>955</v>
      </c>
      <c r="R1539">
        <v>284509</v>
      </c>
    </row>
    <row r="1540" spans="1:18" x14ac:dyDescent="0.25">
      <c r="A1540" s="148">
        <v>45601</v>
      </c>
      <c r="B1540" s="107">
        <v>955.1</v>
      </c>
      <c r="C1540" s="107">
        <v>927.65</v>
      </c>
      <c r="D1540" s="107">
        <v>925</v>
      </c>
      <c r="E1540" s="107">
        <v>955.1</v>
      </c>
      <c r="F1540" s="107">
        <v>927.65</v>
      </c>
      <c r="G1540">
        <v>12707</v>
      </c>
      <c r="H1540" s="107"/>
      <c r="I1540" s="107"/>
      <c r="L1540" s="148">
        <v>45601</v>
      </c>
      <c r="M1540" s="107">
        <v>926.9</v>
      </c>
      <c r="N1540" s="107">
        <v>954.5</v>
      </c>
      <c r="O1540" s="107">
        <v>924</v>
      </c>
      <c r="P1540" s="107">
        <v>954.5</v>
      </c>
      <c r="Q1540" s="107">
        <v>926.9</v>
      </c>
      <c r="R1540">
        <v>318709</v>
      </c>
    </row>
    <row r="1541" spans="1:18" x14ac:dyDescent="0.25">
      <c r="A1541" s="148">
        <v>45602</v>
      </c>
      <c r="B1541" s="107">
        <v>953.85</v>
      </c>
      <c r="C1541" s="107">
        <v>949.35</v>
      </c>
      <c r="D1541" s="107">
        <v>926.95</v>
      </c>
      <c r="E1541" s="107">
        <v>944.7</v>
      </c>
      <c r="F1541" s="107">
        <v>949.35</v>
      </c>
      <c r="G1541">
        <v>22761</v>
      </c>
      <c r="H1541" s="107"/>
      <c r="I1541" s="107"/>
      <c r="L1541" s="148">
        <v>45602</v>
      </c>
      <c r="M1541" s="107">
        <v>949.2</v>
      </c>
      <c r="N1541" s="107">
        <v>953</v>
      </c>
      <c r="O1541" s="107">
        <v>926.1</v>
      </c>
      <c r="P1541" s="107">
        <v>935.25</v>
      </c>
      <c r="Q1541" s="107">
        <v>949.2</v>
      </c>
      <c r="R1541">
        <v>233579</v>
      </c>
    </row>
    <row r="1542" spans="1:18" x14ac:dyDescent="0.25">
      <c r="A1542" s="148">
        <v>45603</v>
      </c>
      <c r="B1542" s="107">
        <v>965.5</v>
      </c>
      <c r="C1542" s="107">
        <v>946.75</v>
      </c>
      <c r="D1542" s="107">
        <v>944.1</v>
      </c>
      <c r="E1542" s="107">
        <v>949.2</v>
      </c>
      <c r="F1542" s="107">
        <v>946.75</v>
      </c>
      <c r="G1542">
        <v>14629</v>
      </c>
      <c r="H1542" s="107"/>
      <c r="I1542" s="107"/>
      <c r="L1542" s="148">
        <v>45603</v>
      </c>
      <c r="M1542" s="107">
        <v>947.35</v>
      </c>
      <c r="N1542" s="107">
        <v>965.15</v>
      </c>
      <c r="O1542" s="107">
        <v>943.4</v>
      </c>
      <c r="P1542" s="107">
        <v>955</v>
      </c>
      <c r="Q1542" s="107">
        <v>947.35</v>
      </c>
      <c r="R1542">
        <v>101799</v>
      </c>
    </row>
    <row r="1543" spans="1:18" x14ac:dyDescent="0.25">
      <c r="A1543" s="148">
        <v>45604</v>
      </c>
      <c r="B1543" s="107">
        <v>956.95</v>
      </c>
      <c r="C1543" s="107">
        <v>920.6</v>
      </c>
      <c r="D1543" s="107">
        <v>920</v>
      </c>
      <c r="E1543" s="107">
        <v>956.95</v>
      </c>
      <c r="F1543" s="107">
        <v>920.6</v>
      </c>
      <c r="G1543">
        <v>7046</v>
      </c>
      <c r="H1543" s="107"/>
      <c r="I1543" s="107"/>
      <c r="L1543" s="148">
        <v>45604</v>
      </c>
      <c r="M1543" s="107">
        <v>920.5</v>
      </c>
      <c r="N1543" s="107">
        <v>948.65</v>
      </c>
      <c r="O1543" s="107">
        <v>919.5</v>
      </c>
      <c r="P1543" s="107">
        <v>948.65</v>
      </c>
      <c r="Q1543" s="107">
        <v>920.5</v>
      </c>
      <c r="R1543">
        <v>159294</v>
      </c>
    </row>
    <row r="1544" spans="1:18" x14ac:dyDescent="0.25">
      <c r="A1544" s="148">
        <v>45607</v>
      </c>
      <c r="B1544" s="107">
        <v>935</v>
      </c>
      <c r="C1544" s="107">
        <v>916.75</v>
      </c>
      <c r="D1544" s="107">
        <v>915</v>
      </c>
      <c r="E1544" s="107">
        <v>929.45</v>
      </c>
      <c r="F1544" s="107">
        <v>916.75</v>
      </c>
      <c r="G1544">
        <v>12515</v>
      </c>
      <c r="H1544" s="107"/>
      <c r="I1544" s="107"/>
      <c r="L1544" s="148">
        <v>45607</v>
      </c>
      <c r="M1544" s="107">
        <v>917.35</v>
      </c>
      <c r="N1544" s="107">
        <v>941</v>
      </c>
      <c r="O1544" s="107">
        <v>915.05</v>
      </c>
      <c r="P1544" s="107">
        <v>922.9</v>
      </c>
      <c r="Q1544" s="107">
        <v>917.35</v>
      </c>
      <c r="R1544">
        <v>108712</v>
      </c>
    </row>
    <row r="1545" spans="1:18" x14ac:dyDescent="0.25">
      <c r="A1545" s="148">
        <v>45608</v>
      </c>
      <c r="B1545" s="107">
        <v>929.6</v>
      </c>
      <c r="C1545" s="107">
        <v>913.25</v>
      </c>
      <c r="D1545" s="107">
        <v>908.75</v>
      </c>
      <c r="E1545" s="107">
        <v>929.6</v>
      </c>
      <c r="F1545" s="107">
        <v>913.25</v>
      </c>
      <c r="G1545">
        <v>6734</v>
      </c>
      <c r="H1545" s="107"/>
      <c r="I1545" s="107"/>
      <c r="L1545" s="148">
        <v>45608</v>
      </c>
      <c r="M1545" s="107">
        <v>913.9</v>
      </c>
      <c r="N1545" s="107">
        <v>923</v>
      </c>
      <c r="O1545" s="107">
        <v>909.25</v>
      </c>
      <c r="P1545" s="107">
        <v>920</v>
      </c>
      <c r="Q1545" s="107">
        <v>913.9</v>
      </c>
      <c r="R1545">
        <v>141599</v>
      </c>
    </row>
    <row r="1546" spans="1:18" x14ac:dyDescent="0.25">
      <c r="A1546" s="148">
        <v>45609</v>
      </c>
      <c r="B1546" s="107">
        <v>919.1</v>
      </c>
      <c r="C1546" s="107">
        <v>896.65</v>
      </c>
      <c r="D1546" s="107">
        <v>892.25</v>
      </c>
      <c r="E1546" s="107">
        <v>915</v>
      </c>
      <c r="F1546" s="107">
        <v>896.65</v>
      </c>
      <c r="G1546">
        <v>11201</v>
      </c>
      <c r="H1546" s="107"/>
      <c r="I1546" s="107"/>
      <c r="L1546" s="148">
        <v>45609</v>
      </c>
      <c r="M1546" s="107">
        <v>897</v>
      </c>
      <c r="N1546" s="107">
        <v>917.6</v>
      </c>
      <c r="O1546" s="107">
        <v>890</v>
      </c>
      <c r="P1546" s="107">
        <v>917.6</v>
      </c>
      <c r="Q1546" s="107">
        <v>897</v>
      </c>
      <c r="R1546">
        <v>172215</v>
      </c>
    </row>
    <row r="1547" spans="1:18" x14ac:dyDescent="0.25">
      <c r="A1547" s="148">
        <v>45610</v>
      </c>
      <c r="B1547" s="107">
        <v>895.55</v>
      </c>
      <c r="C1547" s="107">
        <v>885.25</v>
      </c>
      <c r="D1547" s="107">
        <v>870</v>
      </c>
      <c r="E1547" s="107">
        <v>892.3</v>
      </c>
      <c r="F1547" s="107">
        <v>885.25</v>
      </c>
      <c r="G1547">
        <v>11974</v>
      </c>
      <c r="H1547" s="107"/>
      <c r="I1547" s="107"/>
      <c r="L1547" s="148">
        <v>45610</v>
      </c>
      <c r="M1547" s="107">
        <v>884.7</v>
      </c>
      <c r="N1547" s="107">
        <v>898</v>
      </c>
      <c r="O1547" s="107">
        <v>870</v>
      </c>
      <c r="P1547" s="107">
        <v>897</v>
      </c>
      <c r="Q1547" s="107">
        <v>884.7</v>
      </c>
      <c r="R1547">
        <v>370332</v>
      </c>
    </row>
    <row r="1548" spans="1:18" x14ac:dyDescent="0.25">
      <c r="A1548" s="148">
        <v>45614</v>
      </c>
      <c r="B1548" s="107">
        <v>888.5</v>
      </c>
      <c r="C1548" s="107">
        <v>881.05</v>
      </c>
      <c r="D1548" s="107">
        <v>869.05</v>
      </c>
      <c r="E1548" s="107">
        <v>884</v>
      </c>
      <c r="F1548" s="107">
        <v>881.05</v>
      </c>
      <c r="G1548">
        <v>22132</v>
      </c>
      <c r="H1548" s="107"/>
      <c r="I1548" s="107"/>
      <c r="L1548" s="148">
        <v>45614</v>
      </c>
      <c r="M1548" s="107">
        <v>880.35</v>
      </c>
      <c r="N1548" s="107">
        <v>888.3</v>
      </c>
      <c r="O1548" s="107">
        <v>869</v>
      </c>
      <c r="P1548" s="107">
        <v>884.7</v>
      </c>
      <c r="Q1548" s="107">
        <v>880.35</v>
      </c>
      <c r="R1548">
        <v>226226</v>
      </c>
    </row>
    <row r="1549" spans="1:18" x14ac:dyDescent="0.25">
      <c r="A1549" s="148">
        <v>45615</v>
      </c>
      <c r="B1549" s="107">
        <v>895.1</v>
      </c>
      <c r="C1549" s="107">
        <v>883.2</v>
      </c>
      <c r="D1549" s="107">
        <v>873.1</v>
      </c>
      <c r="E1549" s="107">
        <v>886.95</v>
      </c>
      <c r="F1549" s="107">
        <v>883.2</v>
      </c>
      <c r="G1549">
        <v>19557</v>
      </c>
      <c r="H1549" s="107"/>
      <c r="I1549" s="107"/>
      <c r="L1549" s="148">
        <v>45615</v>
      </c>
      <c r="M1549" s="107">
        <v>884.6</v>
      </c>
      <c r="N1549" s="107">
        <v>895.45</v>
      </c>
      <c r="O1549" s="107">
        <v>872.45</v>
      </c>
      <c r="P1549" s="107">
        <v>882</v>
      </c>
      <c r="Q1549" s="107">
        <v>884.6</v>
      </c>
      <c r="R1549">
        <v>388566</v>
      </c>
    </row>
    <row r="1550" spans="1:18" x14ac:dyDescent="0.25">
      <c r="A1550" s="148">
        <v>45617</v>
      </c>
      <c r="B1550" s="107">
        <v>896.1</v>
      </c>
      <c r="C1550" s="107">
        <v>862.75</v>
      </c>
      <c r="D1550" s="107">
        <v>860.1</v>
      </c>
      <c r="E1550" s="107">
        <v>885.25</v>
      </c>
      <c r="F1550" s="107">
        <v>862.75</v>
      </c>
      <c r="G1550">
        <v>8244</v>
      </c>
      <c r="H1550" s="107"/>
      <c r="I1550" s="107"/>
      <c r="L1550" s="148">
        <v>45617</v>
      </c>
      <c r="M1550" s="107">
        <v>861.45</v>
      </c>
      <c r="N1550" s="107">
        <v>894.6</v>
      </c>
      <c r="O1550" s="107">
        <v>860</v>
      </c>
      <c r="P1550" s="107">
        <v>890.55</v>
      </c>
      <c r="Q1550" s="107">
        <v>861.45</v>
      </c>
      <c r="R1550">
        <v>251503</v>
      </c>
    </row>
    <row r="1551" spans="1:18" x14ac:dyDescent="0.25">
      <c r="A1551" s="148">
        <v>45618</v>
      </c>
      <c r="B1551" s="107">
        <v>895</v>
      </c>
      <c r="C1551" s="107">
        <v>891.35</v>
      </c>
      <c r="D1551" s="107">
        <v>865.5</v>
      </c>
      <c r="E1551" s="107">
        <v>868.75</v>
      </c>
      <c r="F1551" s="107">
        <v>891.35</v>
      </c>
      <c r="G1551">
        <v>19278</v>
      </c>
      <c r="H1551" s="107"/>
      <c r="I1551" s="107"/>
      <c r="L1551" s="148">
        <v>45618</v>
      </c>
      <c r="M1551" s="107">
        <v>890.55</v>
      </c>
      <c r="N1551" s="107">
        <v>895.25</v>
      </c>
      <c r="O1551" s="107">
        <v>864.05</v>
      </c>
      <c r="P1551" s="107">
        <v>870</v>
      </c>
      <c r="Q1551" s="107">
        <v>890.55</v>
      </c>
      <c r="R1551">
        <v>233619</v>
      </c>
    </row>
    <row r="1552" spans="1:18" x14ac:dyDescent="0.25">
      <c r="A1552" s="148">
        <v>45621</v>
      </c>
      <c r="B1552" s="107">
        <v>935.05</v>
      </c>
      <c r="C1552" s="107">
        <v>931.45</v>
      </c>
      <c r="D1552" s="107">
        <v>896.55</v>
      </c>
      <c r="E1552" s="107">
        <v>899</v>
      </c>
      <c r="F1552" s="107">
        <v>931.45</v>
      </c>
      <c r="G1552">
        <v>21914</v>
      </c>
      <c r="H1552" s="107"/>
      <c r="I1552" s="107"/>
      <c r="L1552" s="148">
        <v>45621</v>
      </c>
      <c r="M1552" s="107">
        <v>929.45</v>
      </c>
      <c r="N1552" s="107">
        <v>935</v>
      </c>
      <c r="O1552" s="107">
        <v>896.5</v>
      </c>
      <c r="P1552" s="107">
        <v>900.2</v>
      </c>
      <c r="Q1552" s="107">
        <v>929.45</v>
      </c>
      <c r="R1552">
        <v>260620</v>
      </c>
    </row>
    <row r="1553" spans="1:18" x14ac:dyDescent="0.25">
      <c r="A1553" s="148">
        <v>45622</v>
      </c>
      <c r="B1553" s="107">
        <v>987.2</v>
      </c>
      <c r="C1553" s="107">
        <v>976.8</v>
      </c>
      <c r="D1553" s="107">
        <v>929</v>
      </c>
      <c r="E1553" s="107">
        <v>931.45</v>
      </c>
      <c r="F1553" s="107">
        <v>976.8</v>
      </c>
      <c r="G1553">
        <v>31933</v>
      </c>
      <c r="H1553" s="107"/>
      <c r="I1553" s="107"/>
      <c r="L1553" s="148">
        <v>45622</v>
      </c>
      <c r="M1553" s="107">
        <v>973.15</v>
      </c>
      <c r="N1553" s="107">
        <v>983.65</v>
      </c>
      <c r="O1553" s="107">
        <v>930.35</v>
      </c>
      <c r="P1553" s="107">
        <v>935.45</v>
      </c>
      <c r="Q1553" s="107">
        <v>973.15</v>
      </c>
      <c r="R1553">
        <v>403026</v>
      </c>
    </row>
    <row r="1554" spans="1:18" x14ac:dyDescent="0.25">
      <c r="A1554" s="148">
        <v>45623</v>
      </c>
      <c r="B1554" s="107">
        <v>987</v>
      </c>
      <c r="C1554" s="107">
        <v>983.55</v>
      </c>
      <c r="D1554" s="107">
        <v>962.35</v>
      </c>
      <c r="E1554" s="107">
        <v>984.75</v>
      </c>
      <c r="F1554" s="107">
        <v>983.55</v>
      </c>
      <c r="G1554">
        <v>17335</v>
      </c>
      <c r="H1554" s="107"/>
      <c r="I1554" s="107"/>
      <c r="L1554" s="148">
        <v>45623</v>
      </c>
      <c r="M1554" s="107">
        <v>983.1</v>
      </c>
      <c r="N1554" s="107">
        <v>987</v>
      </c>
      <c r="O1554" s="107">
        <v>962.05</v>
      </c>
      <c r="P1554" s="107">
        <v>979.3</v>
      </c>
      <c r="Q1554" s="107">
        <v>983.1</v>
      </c>
      <c r="R1554">
        <v>383020</v>
      </c>
    </row>
    <row r="1555" spans="1:18" x14ac:dyDescent="0.25">
      <c r="A1555" s="148">
        <v>45624</v>
      </c>
      <c r="B1555" s="107">
        <v>1014.05</v>
      </c>
      <c r="C1555" s="107">
        <v>986.95</v>
      </c>
      <c r="D1555" s="107">
        <v>975.05</v>
      </c>
      <c r="E1555" s="107">
        <v>983.55</v>
      </c>
      <c r="F1555" s="107">
        <v>986.95</v>
      </c>
      <c r="G1555">
        <v>30872</v>
      </c>
      <c r="H1555" s="107"/>
      <c r="I1555" s="107"/>
      <c r="L1555" s="148">
        <v>45624</v>
      </c>
      <c r="M1555" s="107">
        <v>986.3</v>
      </c>
      <c r="N1555" s="107">
        <v>1015</v>
      </c>
      <c r="O1555" s="107">
        <v>975</v>
      </c>
      <c r="P1555" s="107">
        <v>986.5</v>
      </c>
      <c r="Q1555" s="107">
        <v>986.3</v>
      </c>
      <c r="R1555">
        <v>240973</v>
      </c>
    </row>
    <row r="1556" spans="1:18" x14ac:dyDescent="0.25">
      <c r="A1556" s="148">
        <v>45625</v>
      </c>
      <c r="B1556" s="107">
        <v>939</v>
      </c>
      <c r="C1556" s="107">
        <v>900.3</v>
      </c>
      <c r="D1556" s="107">
        <v>870</v>
      </c>
      <c r="E1556" s="107">
        <v>870</v>
      </c>
      <c r="F1556" s="107">
        <v>900.3</v>
      </c>
      <c r="G1556">
        <v>206710</v>
      </c>
      <c r="H1556" s="107"/>
      <c r="I1556" s="107"/>
      <c r="L1556" s="148">
        <v>45625</v>
      </c>
      <c r="M1556" s="107">
        <v>902</v>
      </c>
      <c r="N1556" s="107">
        <v>939.8</v>
      </c>
      <c r="O1556" s="107">
        <v>858.8</v>
      </c>
      <c r="P1556" s="107">
        <v>899</v>
      </c>
      <c r="Q1556" s="107">
        <v>902</v>
      </c>
      <c r="R1556">
        <v>3896967</v>
      </c>
    </row>
    <row r="1557" spans="1:18" x14ac:dyDescent="0.25">
      <c r="A1557" s="148">
        <v>45628</v>
      </c>
      <c r="B1557" s="107">
        <v>913.95</v>
      </c>
      <c r="C1557" s="107">
        <v>876.8</v>
      </c>
      <c r="D1557" s="107">
        <v>873.5</v>
      </c>
      <c r="E1557" s="107">
        <v>913.95</v>
      </c>
      <c r="F1557" s="107">
        <v>876.8</v>
      </c>
      <c r="G1557">
        <v>43594</v>
      </c>
      <c r="H1557" s="107"/>
      <c r="I1557" s="107"/>
      <c r="L1557" s="148">
        <v>45628</v>
      </c>
      <c r="M1557" s="107">
        <v>877.2</v>
      </c>
      <c r="N1557" s="107">
        <v>909</v>
      </c>
      <c r="O1557" s="107">
        <v>873</v>
      </c>
      <c r="P1557" s="107">
        <v>908.95</v>
      </c>
      <c r="Q1557" s="107">
        <v>877.2</v>
      </c>
      <c r="R1557">
        <v>816049</v>
      </c>
    </row>
    <row r="1558" spans="1:18" x14ac:dyDescent="0.25">
      <c r="A1558" s="148">
        <v>45629</v>
      </c>
      <c r="B1558" s="107">
        <v>904.75</v>
      </c>
      <c r="C1558" s="107">
        <v>886.35</v>
      </c>
      <c r="D1558" s="107">
        <v>873.45</v>
      </c>
      <c r="E1558" s="107">
        <v>882</v>
      </c>
      <c r="F1558" s="107">
        <v>886.35</v>
      </c>
      <c r="G1558">
        <v>39385</v>
      </c>
      <c r="H1558" s="107"/>
      <c r="I1558" s="107"/>
      <c r="L1558" s="148">
        <v>45629</v>
      </c>
      <c r="M1558" s="107">
        <v>886.45</v>
      </c>
      <c r="N1558" s="107">
        <v>904.95</v>
      </c>
      <c r="O1558" s="107">
        <v>877.6</v>
      </c>
      <c r="P1558" s="107">
        <v>885.65</v>
      </c>
      <c r="Q1558" s="107">
        <v>886.45</v>
      </c>
      <c r="R1558">
        <v>420604</v>
      </c>
    </row>
    <row r="1559" spans="1:18" x14ac:dyDescent="0.25">
      <c r="A1559" s="148">
        <v>45630</v>
      </c>
      <c r="B1559" s="107">
        <v>892.65</v>
      </c>
      <c r="C1559" s="107">
        <v>885.1</v>
      </c>
      <c r="D1559" s="107">
        <v>877</v>
      </c>
      <c r="E1559" s="107">
        <v>887.2</v>
      </c>
      <c r="F1559" s="107">
        <v>885.1</v>
      </c>
      <c r="G1559">
        <v>14663</v>
      </c>
      <c r="H1559" s="107"/>
      <c r="I1559" s="107"/>
      <c r="L1559" s="148">
        <v>45630</v>
      </c>
      <c r="M1559" s="107">
        <v>884.8</v>
      </c>
      <c r="N1559" s="107">
        <v>892.6</v>
      </c>
      <c r="O1559" s="107">
        <v>876</v>
      </c>
      <c r="P1559" s="107">
        <v>890</v>
      </c>
      <c r="Q1559" s="107">
        <v>884.8</v>
      </c>
      <c r="R1559">
        <v>434103</v>
      </c>
    </row>
    <row r="1560" spans="1:18" x14ac:dyDescent="0.25">
      <c r="A1560" s="148">
        <v>45631</v>
      </c>
      <c r="B1560" s="107">
        <v>946.4</v>
      </c>
      <c r="C1560" s="107">
        <v>937.8</v>
      </c>
      <c r="D1560" s="107">
        <v>877.95</v>
      </c>
      <c r="E1560" s="107">
        <v>885.1</v>
      </c>
      <c r="F1560" s="107">
        <v>937.8</v>
      </c>
      <c r="G1560">
        <v>89400</v>
      </c>
      <c r="H1560" s="107"/>
      <c r="I1560" s="107"/>
      <c r="L1560" s="148">
        <v>45631</v>
      </c>
      <c r="M1560" s="107">
        <v>938</v>
      </c>
      <c r="N1560" s="107">
        <v>944.4</v>
      </c>
      <c r="O1560" s="107">
        <v>877.2</v>
      </c>
      <c r="P1560" s="107">
        <v>884.8</v>
      </c>
      <c r="Q1560" s="107">
        <v>938</v>
      </c>
      <c r="R1560">
        <v>1209454</v>
      </c>
    </row>
    <row r="1561" spans="1:18" x14ac:dyDescent="0.25">
      <c r="A1561" s="148">
        <v>45632</v>
      </c>
      <c r="B1561" s="107">
        <v>946.75</v>
      </c>
      <c r="C1561" s="107">
        <v>931.75</v>
      </c>
      <c r="D1561" s="107">
        <v>926.25</v>
      </c>
      <c r="E1561" s="107">
        <v>938.05</v>
      </c>
      <c r="F1561" s="107">
        <v>931.75</v>
      </c>
      <c r="G1561">
        <v>16187</v>
      </c>
      <c r="H1561" s="107"/>
      <c r="I1561" s="107"/>
      <c r="L1561" s="148">
        <v>45632</v>
      </c>
      <c r="M1561" s="107">
        <v>933.3</v>
      </c>
      <c r="N1561" s="107">
        <v>946.9</v>
      </c>
      <c r="O1561" s="107">
        <v>926.55</v>
      </c>
      <c r="P1561" s="107">
        <v>938</v>
      </c>
      <c r="Q1561" s="107">
        <v>933.3</v>
      </c>
      <c r="R1561">
        <v>317628</v>
      </c>
    </row>
    <row r="1562" spans="1:18" x14ac:dyDescent="0.25">
      <c r="A1562" s="148">
        <v>45635</v>
      </c>
      <c r="B1562" s="107">
        <v>942.95</v>
      </c>
      <c r="C1562" s="107">
        <v>940.1</v>
      </c>
      <c r="D1562" s="107">
        <v>926.3</v>
      </c>
      <c r="E1562" s="107">
        <v>930.05</v>
      </c>
      <c r="F1562" s="107">
        <v>940.1</v>
      </c>
      <c r="G1562">
        <v>13294</v>
      </c>
      <c r="H1562" s="107"/>
      <c r="I1562" s="107"/>
      <c r="L1562" s="148">
        <v>45635</v>
      </c>
      <c r="M1562" s="107">
        <v>938.45</v>
      </c>
      <c r="N1562" s="107">
        <v>942</v>
      </c>
      <c r="O1562" s="107">
        <v>926.55</v>
      </c>
      <c r="P1562" s="107">
        <v>933</v>
      </c>
      <c r="Q1562" s="107">
        <v>938.45</v>
      </c>
      <c r="R1562">
        <v>152830</v>
      </c>
    </row>
    <row r="1563" spans="1:18" x14ac:dyDescent="0.25">
      <c r="A1563" s="148">
        <v>45636</v>
      </c>
      <c r="B1563" s="107">
        <v>940.15</v>
      </c>
      <c r="C1563" s="107">
        <v>918.65</v>
      </c>
      <c r="D1563" s="107">
        <v>910.3</v>
      </c>
      <c r="E1563" s="107">
        <v>930</v>
      </c>
      <c r="F1563" s="107">
        <v>918.65</v>
      </c>
      <c r="G1563">
        <v>18499</v>
      </c>
      <c r="H1563" s="107"/>
      <c r="I1563" s="107"/>
      <c r="L1563" s="148">
        <v>45636</v>
      </c>
      <c r="M1563" s="107">
        <v>916.6</v>
      </c>
      <c r="N1563" s="107">
        <v>939.95</v>
      </c>
      <c r="O1563" s="107">
        <v>900.55</v>
      </c>
      <c r="P1563" s="107">
        <v>934.4</v>
      </c>
      <c r="Q1563" s="107">
        <v>916.6</v>
      </c>
      <c r="R1563">
        <v>154935</v>
      </c>
    </row>
    <row r="1564" spans="1:18" x14ac:dyDescent="0.25">
      <c r="A1564" s="148">
        <v>45637</v>
      </c>
      <c r="B1564" s="107">
        <v>922</v>
      </c>
      <c r="C1564" s="107">
        <v>903.15</v>
      </c>
      <c r="D1564" s="107">
        <v>901.15</v>
      </c>
      <c r="E1564" s="107">
        <v>910.7</v>
      </c>
      <c r="F1564" s="107">
        <v>903.15</v>
      </c>
      <c r="G1564">
        <v>21500</v>
      </c>
      <c r="H1564" s="107"/>
      <c r="I1564" s="107"/>
      <c r="L1564" s="148">
        <v>45637</v>
      </c>
      <c r="M1564" s="107">
        <v>903.4</v>
      </c>
      <c r="N1564" s="107">
        <v>923</v>
      </c>
      <c r="O1564" s="107">
        <v>900.5</v>
      </c>
      <c r="P1564" s="107">
        <v>916.6</v>
      </c>
      <c r="Q1564" s="107">
        <v>903.4</v>
      </c>
      <c r="R1564">
        <v>205328</v>
      </c>
    </row>
    <row r="1565" spans="1:18" x14ac:dyDescent="0.25">
      <c r="A1565" s="148">
        <v>45638</v>
      </c>
      <c r="B1565" s="107">
        <v>910.55</v>
      </c>
      <c r="C1565" s="107">
        <v>893.85</v>
      </c>
      <c r="D1565" s="107">
        <v>883</v>
      </c>
      <c r="E1565" s="107">
        <v>908.2</v>
      </c>
      <c r="F1565" s="107">
        <v>893.85</v>
      </c>
      <c r="G1565">
        <v>14388</v>
      </c>
      <c r="H1565" s="107"/>
      <c r="I1565" s="107"/>
      <c r="L1565" s="148">
        <v>45638</v>
      </c>
      <c r="M1565" s="107">
        <v>893.8</v>
      </c>
      <c r="N1565" s="107">
        <v>910.5</v>
      </c>
      <c r="O1565" s="107">
        <v>882.05</v>
      </c>
      <c r="P1565" s="107">
        <v>903.45</v>
      </c>
      <c r="Q1565" s="107">
        <v>893.8</v>
      </c>
      <c r="R1565">
        <v>361963</v>
      </c>
    </row>
    <row r="1566" spans="1:18" x14ac:dyDescent="0.25">
      <c r="A1566" s="148">
        <v>45639</v>
      </c>
      <c r="B1566" s="107">
        <v>904</v>
      </c>
      <c r="C1566" s="107">
        <v>899.4</v>
      </c>
      <c r="D1566" s="107">
        <v>878.4</v>
      </c>
      <c r="E1566" s="107">
        <v>890.05</v>
      </c>
      <c r="F1566" s="107">
        <v>899.4</v>
      </c>
      <c r="G1566">
        <v>19522</v>
      </c>
      <c r="H1566" s="107"/>
      <c r="I1566" s="107"/>
      <c r="L1566" s="148">
        <v>45639</v>
      </c>
      <c r="M1566" s="107">
        <v>897.85</v>
      </c>
      <c r="N1566" s="107">
        <v>904.3</v>
      </c>
      <c r="O1566" s="107">
        <v>878.85</v>
      </c>
      <c r="P1566" s="107">
        <v>893</v>
      </c>
      <c r="Q1566" s="107">
        <v>897.85</v>
      </c>
      <c r="R1566">
        <v>213473</v>
      </c>
    </row>
    <row r="1567" spans="1:18" x14ac:dyDescent="0.25">
      <c r="A1567" s="148">
        <v>45642</v>
      </c>
      <c r="B1567" s="107">
        <v>906.15</v>
      </c>
      <c r="C1567" s="107">
        <v>894.05</v>
      </c>
      <c r="D1567" s="107">
        <v>888.35</v>
      </c>
      <c r="E1567" s="107">
        <v>904.65</v>
      </c>
      <c r="F1567" s="107">
        <v>894.05</v>
      </c>
      <c r="G1567">
        <v>21994</v>
      </c>
      <c r="H1567" s="107"/>
      <c r="I1567" s="107"/>
      <c r="L1567" s="148">
        <v>45642</v>
      </c>
      <c r="M1567" s="107">
        <v>894.5</v>
      </c>
      <c r="N1567" s="107">
        <v>907.55</v>
      </c>
      <c r="O1567" s="107">
        <v>887.8</v>
      </c>
      <c r="P1567" s="107">
        <v>900</v>
      </c>
      <c r="Q1567" s="107">
        <v>894.5</v>
      </c>
      <c r="R1567">
        <v>263157</v>
      </c>
    </row>
    <row r="1568" spans="1:18" x14ac:dyDescent="0.25">
      <c r="A1568" s="148">
        <v>45643</v>
      </c>
      <c r="B1568" s="107">
        <v>892.55</v>
      </c>
      <c r="C1568" s="107">
        <v>873.35</v>
      </c>
      <c r="D1568" s="107">
        <v>871.4</v>
      </c>
      <c r="E1568" s="107">
        <v>890.1</v>
      </c>
      <c r="F1568" s="107">
        <v>873.35</v>
      </c>
      <c r="G1568">
        <v>5916</v>
      </c>
      <c r="H1568" s="107"/>
      <c r="I1568" s="107"/>
      <c r="L1568" s="148">
        <v>45643</v>
      </c>
      <c r="M1568" s="107">
        <v>873</v>
      </c>
      <c r="N1568" s="107">
        <v>895.05</v>
      </c>
      <c r="O1568" s="107">
        <v>870</v>
      </c>
      <c r="P1568" s="107">
        <v>894.5</v>
      </c>
      <c r="Q1568" s="107">
        <v>873</v>
      </c>
      <c r="R1568">
        <v>251078</v>
      </c>
    </row>
    <row r="1569" spans="1:18" x14ac:dyDescent="0.25">
      <c r="A1569" s="148">
        <v>45644</v>
      </c>
      <c r="B1569" s="107">
        <v>877.6</v>
      </c>
      <c r="C1569" s="107">
        <v>860.7</v>
      </c>
      <c r="D1569" s="107">
        <v>855</v>
      </c>
      <c r="E1569" s="107">
        <v>870.55</v>
      </c>
      <c r="F1569" s="107">
        <v>860.7</v>
      </c>
      <c r="G1569">
        <v>17571</v>
      </c>
      <c r="H1569" s="107"/>
      <c r="I1569" s="107"/>
      <c r="L1569" s="148">
        <v>45644</v>
      </c>
      <c r="M1569" s="107">
        <v>859.85</v>
      </c>
      <c r="N1569" s="107">
        <v>876.85</v>
      </c>
      <c r="O1569" s="107">
        <v>855</v>
      </c>
      <c r="P1569" s="107">
        <v>875</v>
      </c>
      <c r="Q1569" s="107">
        <v>859.85</v>
      </c>
      <c r="R1569">
        <v>344014</v>
      </c>
    </row>
    <row r="1570" spans="1:18" x14ac:dyDescent="0.25">
      <c r="A1570" s="148">
        <v>45645</v>
      </c>
      <c r="B1570" s="107">
        <v>857.05</v>
      </c>
      <c r="C1570" s="107">
        <v>841.3</v>
      </c>
      <c r="D1570" s="107">
        <v>830.2</v>
      </c>
      <c r="E1570" s="107">
        <v>850.05</v>
      </c>
      <c r="F1570" s="107">
        <v>841.3</v>
      </c>
      <c r="G1570">
        <v>28192</v>
      </c>
      <c r="H1570" s="107"/>
      <c r="I1570" s="107"/>
      <c r="L1570" s="148">
        <v>45645</v>
      </c>
      <c r="M1570" s="107">
        <v>841.2</v>
      </c>
      <c r="N1570" s="107">
        <v>855.45</v>
      </c>
      <c r="O1570" s="107">
        <v>830</v>
      </c>
      <c r="P1570" s="107">
        <v>851.95</v>
      </c>
      <c r="Q1570" s="107">
        <v>841.2</v>
      </c>
      <c r="R1570">
        <v>464585</v>
      </c>
    </row>
    <row r="1571" spans="1:18" x14ac:dyDescent="0.25">
      <c r="A1571" s="148">
        <v>45646</v>
      </c>
      <c r="B1571" s="107">
        <v>849.7</v>
      </c>
      <c r="C1571" s="107">
        <v>813.25</v>
      </c>
      <c r="D1571" s="107">
        <v>810.1</v>
      </c>
      <c r="E1571" s="107">
        <v>849.7</v>
      </c>
      <c r="F1571" s="107">
        <v>813.25</v>
      </c>
      <c r="G1571">
        <v>39626</v>
      </c>
      <c r="H1571" s="107"/>
      <c r="I1571" s="107"/>
      <c r="L1571" s="148">
        <v>45646</v>
      </c>
      <c r="M1571" s="107">
        <v>813.9</v>
      </c>
      <c r="N1571" s="107">
        <v>842.85</v>
      </c>
      <c r="O1571" s="107">
        <v>810</v>
      </c>
      <c r="P1571" s="107">
        <v>840.15</v>
      </c>
      <c r="Q1571" s="107">
        <v>813.9</v>
      </c>
      <c r="R1571">
        <v>312966</v>
      </c>
    </row>
    <row r="1572" spans="1:18" x14ac:dyDescent="0.25">
      <c r="A1572" s="148">
        <v>45649</v>
      </c>
      <c r="B1572" s="107">
        <v>843.85</v>
      </c>
      <c r="C1572" s="107">
        <v>827.35</v>
      </c>
      <c r="D1572" s="107">
        <v>817.05</v>
      </c>
      <c r="E1572" s="107">
        <v>828.7</v>
      </c>
      <c r="F1572" s="107">
        <v>827.35</v>
      </c>
      <c r="G1572">
        <v>13063</v>
      </c>
      <c r="H1572" s="107"/>
      <c r="I1572" s="107"/>
      <c r="L1572" s="148">
        <v>45649</v>
      </c>
      <c r="M1572" s="107">
        <v>826.15</v>
      </c>
      <c r="N1572" s="107">
        <v>844.75</v>
      </c>
      <c r="O1572" s="107">
        <v>815.8</v>
      </c>
      <c r="P1572" s="107">
        <v>818.3</v>
      </c>
      <c r="Q1572" s="107">
        <v>826.15</v>
      </c>
      <c r="R1572">
        <v>286564</v>
      </c>
    </row>
    <row r="1573" spans="1:18" x14ac:dyDescent="0.25">
      <c r="A1573" s="148">
        <v>45650</v>
      </c>
      <c r="B1573" s="107">
        <v>829</v>
      </c>
      <c r="C1573" s="107">
        <v>826.35</v>
      </c>
      <c r="D1573" s="107">
        <v>815</v>
      </c>
      <c r="E1573" s="107">
        <v>824.7</v>
      </c>
      <c r="F1573" s="107">
        <v>826.35</v>
      </c>
      <c r="G1573">
        <v>15260</v>
      </c>
      <c r="H1573" s="107"/>
      <c r="I1573" s="107"/>
      <c r="L1573" s="148">
        <v>45650</v>
      </c>
      <c r="M1573" s="107">
        <v>826.6</v>
      </c>
      <c r="N1573" s="107">
        <v>828.95</v>
      </c>
      <c r="O1573" s="107">
        <v>814.8</v>
      </c>
      <c r="P1573" s="107">
        <v>821.15</v>
      </c>
      <c r="Q1573" s="107">
        <v>826.6</v>
      </c>
      <c r="R1573">
        <v>102828</v>
      </c>
    </row>
    <row r="1574" spans="1:18" x14ac:dyDescent="0.25">
      <c r="A1574" s="148">
        <v>45652</v>
      </c>
      <c r="B1574" s="107">
        <v>844</v>
      </c>
      <c r="C1574" s="107">
        <v>834.4</v>
      </c>
      <c r="D1574" s="107">
        <v>822.8</v>
      </c>
      <c r="E1574" s="107">
        <v>837.95</v>
      </c>
      <c r="F1574" s="107">
        <v>834.4</v>
      </c>
      <c r="G1574">
        <v>33676</v>
      </c>
      <c r="H1574" s="107"/>
      <c r="I1574" s="107"/>
      <c r="L1574" s="148">
        <v>45652</v>
      </c>
      <c r="M1574" s="107">
        <v>834.95</v>
      </c>
      <c r="N1574" s="107">
        <v>842.95</v>
      </c>
      <c r="O1574" s="107">
        <v>820.7</v>
      </c>
      <c r="P1574" s="107">
        <v>836</v>
      </c>
      <c r="Q1574" s="107">
        <v>834.95</v>
      </c>
      <c r="R1574">
        <v>153773</v>
      </c>
    </row>
    <row r="1575" spans="1:18" x14ac:dyDescent="0.25">
      <c r="A1575" s="148">
        <v>45653</v>
      </c>
      <c r="B1575" s="107">
        <v>842.8</v>
      </c>
      <c r="C1575" s="107">
        <v>839.7</v>
      </c>
      <c r="D1575" s="107">
        <v>829.15</v>
      </c>
      <c r="E1575" s="107">
        <v>829.15</v>
      </c>
      <c r="F1575" s="107">
        <v>839.7</v>
      </c>
      <c r="G1575">
        <v>2955</v>
      </c>
      <c r="H1575" s="107"/>
      <c r="I1575" s="107"/>
      <c r="L1575" s="148">
        <v>45653</v>
      </c>
      <c r="M1575" s="107">
        <v>839.65</v>
      </c>
      <c r="N1575" s="107">
        <v>843.25</v>
      </c>
      <c r="O1575" s="107">
        <v>831.1</v>
      </c>
      <c r="P1575" s="107">
        <v>831.1</v>
      </c>
      <c r="Q1575" s="107">
        <v>839.65</v>
      </c>
      <c r="R1575">
        <v>64915</v>
      </c>
    </row>
    <row r="1576" spans="1:18" x14ac:dyDescent="0.25">
      <c r="A1576" s="148">
        <v>45656</v>
      </c>
      <c r="B1576" s="107">
        <v>915</v>
      </c>
      <c r="C1576" s="107">
        <v>908.45</v>
      </c>
      <c r="D1576" s="107">
        <v>839</v>
      </c>
      <c r="E1576" s="107">
        <v>840</v>
      </c>
      <c r="F1576" s="107">
        <v>908.45</v>
      </c>
      <c r="G1576">
        <v>94934</v>
      </c>
      <c r="H1576" s="107"/>
      <c r="I1576" s="107"/>
      <c r="L1576" s="148">
        <v>45656</v>
      </c>
      <c r="M1576" s="107">
        <v>909.25</v>
      </c>
      <c r="N1576" s="107">
        <v>915.45</v>
      </c>
      <c r="O1576" s="107">
        <v>837.7</v>
      </c>
      <c r="P1576" s="107">
        <v>850</v>
      </c>
      <c r="Q1576" s="107">
        <v>909.25</v>
      </c>
      <c r="R1576">
        <v>2423079</v>
      </c>
    </row>
    <row r="1577" spans="1:18" x14ac:dyDescent="0.25">
      <c r="A1577" s="148">
        <v>45657</v>
      </c>
      <c r="B1577" s="107">
        <v>900</v>
      </c>
      <c r="C1577" s="107">
        <v>887.35</v>
      </c>
      <c r="D1577" s="107">
        <v>880.35</v>
      </c>
      <c r="E1577" s="107">
        <v>900</v>
      </c>
      <c r="F1577" s="107">
        <v>887.35</v>
      </c>
      <c r="G1577">
        <v>13359</v>
      </c>
      <c r="H1577" s="107"/>
      <c r="I1577" s="107"/>
      <c r="L1577" s="148">
        <v>45657</v>
      </c>
      <c r="M1577" s="107">
        <v>886.55</v>
      </c>
      <c r="N1577" s="107">
        <v>895.5</v>
      </c>
      <c r="O1577" s="107">
        <v>880.35</v>
      </c>
      <c r="P1577" s="107">
        <v>880.35</v>
      </c>
      <c r="Q1577" s="107">
        <v>886.55</v>
      </c>
      <c r="R1577">
        <v>312470</v>
      </c>
    </row>
    <row r="1578" spans="1:18" x14ac:dyDescent="0.25">
      <c r="A1578" s="148">
        <v>45658</v>
      </c>
      <c r="B1578" s="107">
        <v>894.75</v>
      </c>
      <c r="C1578" s="107">
        <v>890.95</v>
      </c>
      <c r="D1578" s="107">
        <v>880.05</v>
      </c>
      <c r="E1578" s="107">
        <v>884.05</v>
      </c>
      <c r="F1578" s="107">
        <v>890.95</v>
      </c>
      <c r="G1578">
        <v>12409</v>
      </c>
      <c r="H1578" s="107"/>
      <c r="I1578" s="107"/>
      <c r="L1578" s="148">
        <v>45658</v>
      </c>
      <c r="M1578" s="107">
        <v>890.9</v>
      </c>
      <c r="N1578" s="107">
        <v>895.1</v>
      </c>
      <c r="O1578" s="107">
        <v>880.05</v>
      </c>
      <c r="P1578" s="107">
        <v>886.55</v>
      </c>
      <c r="Q1578" s="107">
        <v>890.9</v>
      </c>
      <c r="R1578">
        <v>115229</v>
      </c>
    </row>
    <row r="1579" spans="1:18" x14ac:dyDescent="0.25">
      <c r="A1579" s="148">
        <v>45659</v>
      </c>
      <c r="B1579" s="107">
        <v>976.75</v>
      </c>
      <c r="C1579" s="107">
        <v>954.1</v>
      </c>
      <c r="D1579" s="107">
        <v>891</v>
      </c>
      <c r="E1579" s="107">
        <v>891</v>
      </c>
      <c r="F1579" s="107">
        <v>954.1</v>
      </c>
      <c r="G1579">
        <v>306086</v>
      </c>
      <c r="H1579" s="107"/>
      <c r="I1579" s="107"/>
      <c r="L1579" s="148">
        <v>45659</v>
      </c>
      <c r="M1579" s="107">
        <v>954.65</v>
      </c>
      <c r="N1579" s="107">
        <v>977</v>
      </c>
      <c r="O1579" s="107">
        <v>893.7</v>
      </c>
      <c r="P1579" s="107">
        <v>896.35</v>
      </c>
      <c r="Q1579" s="107">
        <v>954.65</v>
      </c>
      <c r="R1579">
        <v>9972074</v>
      </c>
    </row>
    <row r="1580" spans="1:18" x14ac:dyDescent="0.25">
      <c r="A1580" s="148">
        <v>45660</v>
      </c>
      <c r="B1580" s="107">
        <v>950</v>
      </c>
      <c r="C1580" s="107">
        <v>934.5</v>
      </c>
      <c r="D1580" s="107">
        <v>929.2</v>
      </c>
      <c r="E1580" s="107">
        <v>949.7</v>
      </c>
      <c r="F1580" s="107">
        <v>934.5</v>
      </c>
      <c r="G1580">
        <v>29903</v>
      </c>
      <c r="H1580" s="107"/>
      <c r="I1580" s="107"/>
      <c r="L1580" s="148">
        <v>45660</v>
      </c>
      <c r="M1580" s="107">
        <v>934.55</v>
      </c>
      <c r="N1580" s="107">
        <v>951.4</v>
      </c>
      <c r="O1580" s="107">
        <v>928.8</v>
      </c>
      <c r="P1580" s="107">
        <v>946.75</v>
      </c>
      <c r="Q1580" s="107">
        <v>934.55</v>
      </c>
      <c r="R1580">
        <v>771344</v>
      </c>
    </row>
    <row r="1581" spans="1:18" x14ac:dyDescent="0.25">
      <c r="A1581" s="148">
        <v>45663</v>
      </c>
      <c r="B1581" s="107">
        <v>939.95</v>
      </c>
      <c r="C1581" s="107">
        <v>910.45</v>
      </c>
      <c r="D1581" s="107">
        <v>901</v>
      </c>
      <c r="E1581" s="107">
        <v>939.95</v>
      </c>
      <c r="F1581" s="107">
        <v>910.45</v>
      </c>
      <c r="G1581">
        <v>27696</v>
      </c>
      <c r="H1581" s="107"/>
      <c r="I1581" s="107"/>
      <c r="L1581" s="148">
        <v>45663</v>
      </c>
      <c r="M1581" s="107">
        <v>911.25</v>
      </c>
      <c r="N1581" s="107">
        <v>934.6</v>
      </c>
      <c r="O1581" s="107">
        <v>900</v>
      </c>
      <c r="P1581" s="107">
        <v>934.55</v>
      </c>
      <c r="Q1581" s="107">
        <v>911.25</v>
      </c>
      <c r="R1581">
        <v>553721</v>
      </c>
    </row>
    <row r="1582" spans="1:18" x14ac:dyDescent="0.25">
      <c r="A1582" s="148">
        <v>45664</v>
      </c>
      <c r="B1582" s="107">
        <v>919.7</v>
      </c>
      <c r="C1582" s="107">
        <v>910.25</v>
      </c>
      <c r="D1582" s="107">
        <v>901.1</v>
      </c>
      <c r="E1582" s="107">
        <v>904.15</v>
      </c>
      <c r="F1582" s="107">
        <v>910.25</v>
      </c>
      <c r="G1582">
        <v>10027</v>
      </c>
      <c r="H1582" s="107"/>
      <c r="I1582" s="107"/>
      <c r="L1582" s="148">
        <v>45664</v>
      </c>
      <c r="M1582" s="107">
        <v>911.1</v>
      </c>
      <c r="N1582" s="107">
        <v>920.45</v>
      </c>
      <c r="O1582" s="107">
        <v>901</v>
      </c>
      <c r="P1582" s="107">
        <v>908.4</v>
      </c>
      <c r="Q1582" s="107">
        <v>911.1</v>
      </c>
      <c r="R1582">
        <v>231822</v>
      </c>
    </row>
    <row r="1583" spans="1:18" x14ac:dyDescent="0.25">
      <c r="A1583" s="148">
        <v>45665</v>
      </c>
      <c r="B1583" s="107">
        <v>1088</v>
      </c>
      <c r="C1583" s="107">
        <v>1025.9000000000001</v>
      </c>
      <c r="D1583" s="107">
        <v>902.9</v>
      </c>
      <c r="E1583" s="107">
        <v>927.65</v>
      </c>
      <c r="F1583" s="107">
        <v>1025.9000000000001</v>
      </c>
      <c r="G1583">
        <v>423428</v>
      </c>
      <c r="H1583" s="107"/>
      <c r="I1583" s="107"/>
      <c r="L1583" s="148">
        <v>45665</v>
      </c>
      <c r="M1583" s="107">
        <v>1029.0999999999999</v>
      </c>
      <c r="N1583" s="107">
        <v>1085</v>
      </c>
      <c r="O1583" s="107">
        <v>902.65</v>
      </c>
      <c r="P1583" s="107">
        <v>915</v>
      </c>
      <c r="Q1583" s="107">
        <v>1029.0999999999999</v>
      </c>
      <c r="R1583">
        <v>20711681</v>
      </c>
    </row>
    <row r="1584" spans="1:18" x14ac:dyDescent="0.25">
      <c r="A1584" s="148">
        <v>45666</v>
      </c>
      <c r="B1584" s="107">
        <v>1032.5</v>
      </c>
      <c r="C1584" s="107">
        <v>1000.6</v>
      </c>
      <c r="D1584" s="107">
        <v>991.75</v>
      </c>
      <c r="E1584" s="107">
        <v>1015.15</v>
      </c>
      <c r="F1584" s="107">
        <v>1000.6</v>
      </c>
      <c r="G1584">
        <v>70423</v>
      </c>
      <c r="H1584" s="107"/>
      <c r="I1584" s="107"/>
      <c r="L1584" s="148">
        <v>45666</v>
      </c>
      <c r="M1584" s="107">
        <v>999.55</v>
      </c>
      <c r="N1584" s="107">
        <v>1033.7</v>
      </c>
      <c r="O1584" s="107">
        <v>992.2</v>
      </c>
      <c r="P1584" s="107">
        <v>1018</v>
      </c>
      <c r="Q1584" s="107">
        <v>999.55</v>
      </c>
      <c r="R1584">
        <v>3343396</v>
      </c>
    </row>
    <row r="1585" spans="1:18" x14ac:dyDescent="0.25">
      <c r="A1585" s="148">
        <v>45667</v>
      </c>
      <c r="B1585" s="107">
        <v>992.85</v>
      </c>
      <c r="C1585" s="107">
        <v>975.5</v>
      </c>
      <c r="D1585" s="107">
        <v>951.65</v>
      </c>
      <c r="E1585" s="107">
        <v>992.85</v>
      </c>
      <c r="F1585" s="107">
        <v>975.5</v>
      </c>
      <c r="G1585">
        <v>80918</v>
      </c>
      <c r="H1585" s="107"/>
      <c r="I1585" s="107"/>
      <c r="L1585" s="148">
        <v>45667</v>
      </c>
      <c r="M1585" s="107">
        <v>976.2</v>
      </c>
      <c r="N1585" s="107">
        <v>990</v>
      </c>
      <c r="O1585" s="107">
        <v>951.1</v>
      </c>
      <c r="P1585" s="107">
        <v>990</v>
      </c>
      <c r="Q1585" s="107">
        <v>976.2</v>
      </c>
      <c r="R1585">
        <v>1029308</v>
      </c>
    </row>
    <row r="1586" spans="1:18" x14ac:dyDescent="0.25">
      <c r="A1586" s="148">
        <v>45670</v>
      </c>
      <c r="B1586" s="107">
        <v>1003.2</v>
      </c>
      <c r="C1586" s="107">
        <v>916.3</v>
      </c>
      <c r="D1586" s="107">
        <v>900.05</v>
      </c>
      <c r="E1586" s="107">
        <v>950.6</v>
      </c>
      <c r="F1586" s="107">
        <v>916.3</v>
      </c>
      <c r="G1586">
        <v>44875</v>
      </c>
      <c r="H1586" s="107"/>
      <c r="I1586" s="107"/>
      <c r="L1586" s="148">
        <v>45670</v>
      </c>
      <c r="M1586" s="107">
        <v>915.05</v>
      </c>
      <c r="N1586" s="107">
        <v>1005.2</v>
      </c>
      <c r="O1586" s="107">
        <v>900</v>
      </c>
      <c r="P1586" s="107">
        <v>955.65</v>
      </c>
      <c r="Q1586" s="107">
        <v>915.05</v>
      </c>
      <c r="R1586">
        <v>1194868</v>
      </c>
    </row>
    <row r="1587" spans="1:18" x14ac:dyDescent="0.25">
      <c r="A1587" s="148">
        <v>45671</v>
      </c>
      <c r="B1587" s="107">
        <v>962</v>
      </c>
      <c r="C1587" s="107">
        <v>958.95</v>
      </c>
      <c r="D1587" s="107">
        <v>907.55</v>
      </c>
      <c r="E1587" s="107">
        <v>920.9</v>
      </c>
      <c r="F1587" s="107">
        <v>958.95</v>
      </c>
      <c r="G1587">
        <v>47020</v>
      </c>
      <c r="H1587" s="107"/>
      <c r="I1587" s="107"/>
      <c r="L1587" s="148">
        <v>45671</v>
      </c>
      <c r="M1587" s="107">
        <v>959.05</v>
      </c>
      <c r="N1587" s="107">
        <v>962.4</v>
      </c>
      <c r="O1587" s="107">
        <v>907.5</v>
      </c>
      <c r="P1587" s="107">
        <v>931.95</v>
      </c>
      <c r="Q1587" s="107">
        <v>959.05</v>
      </c>
      <c r="R1587">
        <v>1228450</v>
      </c>
    </row>
    <row r="1588" spans="1:18" x14ac:dyDescent="0.25">
      <c r="A1588" s="148">
        <v>45672</v>
      </c>
      <c r="B1588" s="107">
        <v>952.85</v>
      </c>
      <c r="C1588" s="107">
        <v>899.9</v>
      </c>
      <c r="D1588" s="107">
        <v>892</v>
      </c>
      <c r="E1588" s="107">
        <v>930.95</v>
      </c>
      <c r="F1588" s="107">
        <v>899.9</v>
      </c>
      <c r="G1588">
        <v>39134</v>
      </c>
      <c r="H1588" s="107"/>
      <c r="I1588" s="107"/>
      <c r="L1588" s="148">
        <v>45672</v>
      </c>
      <c r="M1588" s="107">
        <v>900.6</v>
      </c>
      <c r="N1588" s="107">
        <v>955.8</v>
      </c>
      <c r="O1588" s="107">
        <v>891.7</v>
      </c>
      <c r="P1588" s="107">
        <v>920</v>
      </c>
      <c r="Q1588" s="107">
        <v>900.6</v>
      </c>
      <c r="R1588">
        <v>1357718</v>
      </c>
    </row>
    <row r="1589" spans="1:18" x14ac:dyDescent="0.25">
      <c r="A1589" s="148">
        <v>45673</v>
      </c>
      <c r="B1589" s="107">
        <v>923.6</v>
      </c>
      <c r="C1589" s="107">
        <v>904.85</v>
      </c>
      <c r="D1589" s="107">
        <v>886.75</v>
      </c>
      <c r="E1589" s="107">
        <v>901.2</v>
      </c>
      <c r="F1589" s="107">
        <v>904.85</v>
      </c>
      <c r="G1589">
        <v>35610</v>
      </c>
      <c r="H1589" s="107"/>
      <c r="I1589" s="107"/>
      <c r="L1589" s="148">
        <v>45673</v>
      </c>
      <c r="M1589" s="107">
        <v>906.05</v>
      </c>
      <c r="N1589" s="107">
        <v>924.2</v>
      </c>
      <c r="O1589" s="107">
        <v>885.4</v>
      </c>
      <c r="P1589" s="107">
        <v>906.8</v>
      </c>
      <c r="Q1589" s="107">
        <v>906.05</v>
      </c>
      <c r="R1589">
        <v>980306</v>
      </c>
    </row>
    <row r="1590" spans="1:18" x14ac:dyDescent="0.25">
      <c r="A1590" s="148">
        <v>45674</v>
      </c>
      <c r="B1590" s="107">
        <v>916</v>
      </c>
      <c r="C1590" s="107">
        <v>910.2</v>
      </c>
      <c r="D1590" s="107">
        <v>897.15</v>
      </c>
      <c r="E1590" s="107">
        <v>913.8</v>
      </c>
      <c r="F1590" s="107">
        <v>910.2</v>
      </c>
      <c r="G1590">
        <v>10075</v>
      </c>
      <c r="H1590" s="107"/>
      <c r="I1590" s="107"/>
      <c r="L1590" s="148">
        <v>45674</v>
      </c>
      <c r="M1590" s="107">
        <v>910.95</v>
      </c>
      <c r="N1590" s="107">
        <v>916.9</v>
      </c>
      <c r="O1590" s="107">
        <v>896.7</v>
      </c>
      <c r="P1590" s="107">
        <v>908.4</v>
      </c>
      <c r="Q1590" s="107">
        <v>910.95</v>
      </c>
      <c r="R1590">
        <v>290993</v>
      </c>
    </row>
    <row r="1591" spans="1:18" x14ac:dyDescent="0.25">
      <c r="A1591" s="148">
        <v>45677</v>
      </c>
      <c r="B1591" s="107">
        <v>1022.5</v>
      </c>
      <c r="C1591" s="107">
        <v>999.2</v>
      </c>
      <c r="D1591" s="107">
        <v>911.4</v>
      </c>
      <c r="E1591" s="107">
        <v>911.4</v>
      </c>
      <c r="F1591" s="107">
        <v>999.2</v>
      </c>
      <c r="G1591">
        <v>226754</v>
      </c>
      <c r="H1591" s="107"/>
      <c r="I1591" s="107"/>
      <c r="L1591" s="148">
        <v>45677</v>
      </c>
      <c r="M1591" s="107">
        <v>999.5</v>
      </c>
      <c r="N1591" s="107">
        <v>1023</v>
      </c>
      <c r="O1591" s="107">
        <v>910.95</v>
      </c>
      <c r="P1591" s="107">
        <v>914.05</v>
      </c>
      <c r="Q1591" s="107">
        <v>999.5</v>
      </c>
      <c r="R1591">
        <v>13446093</v>
      </c>
    </row>
    <row r="1592" spans="1:18" x14ac:dyDescent="0.25">
      <c r="A1592" s="148">
        <v>45678</v>
      </c>
      <c r="B1592" s="107">
        <v>1001.6</v>
      </c>
      <c r="C1592" s="107">
        <v>959.7</v>
      </c>
      <c r="D1592" s="107">
        <v>956.05</v>
      </c>
      <c r="E1592" s="107">
        <v>996.9</v>
      </c>
      <c r="F1592" s="107">
        <v>959.7</v>
      </c>
      <c r="G1592">
        <v>68041</v>
      </c>
      <c r="H1592" s="107"/>
      <c r="I1592" s="107"/>
      <c r="L1592" s="148">
        <v>45678</v>
      </c>
      <c r="M1592" s="107">
        <v>959.5</v>
      </c>
      <c r="N1592" s="107">
        <v>1001.45</v>
      </c>
      <c r="O1592" s="107">
        <v>956.5</v>
      </c>
      <c r="P1592" s="107">
        <v>993.9</v>
      </c>
      <c r="Q1592" s="107">
        <v>959.5</v>
      </c>
      <c r="R1592">
        <v>2112332</v>
      </c>
    </row>
    <row r="1593" spans="1:18" x14ac:dyDescent="0.25">
      <c r="A1593" s="148">
        <v>45679</v>
      </c>
      <c r="B1593" s="107">
        <v>973.7</v>
      </c>
      <c r="C1593" s="107">
        <v>961.65</v>
      </c>
      <c r="D1593" s="107">
        <v>919.1</v>
      </c>
      <c r="E1593" s="107">
        <v>950.25</v>
      </c>
      <c r="F1593" s="107">
        <v>961.65</v>
      </c>
      <c r="G1593">
        <v>90913</v>
      </c>
      <c r="H1593" s="107"/>
      <c r="I1593" s="107"/>
      <c r="L1593" s="148">
        <v>45679</v>
      </c>
      <c r="M1593" s="107">
        <v>959.7</v>
      </c>
      <c r="N1593" s="107">
        <v>983</v>
      </c>
      <c r="O1593" s="107">
        <v>919.2</v>
      </c>
      <c r="P1593" s="107">
        <v>959.9</v>
      </c>
      <c r="Q1593" s="107">
        <v>959.7</v>
      </c>
      <c r="R1593">
        <v>853731</v>
      </c>
    </row>
    <row r="1594" spans="1:18" x14ac:dyDescent="0.25">
      <c r="A1594" s="148">
        <v>45680</v>
      </c>
      <c r="B1594" s="107">
        <v>983.4</v>
      </c>
      <c r="C1594" s="107">
        <v>973</v>
      </c>
      <c r="D1594" s="107">
        <v>945.55</v>
      </c>
      <c r="E1594" s="107">
        <v>951.1</v>
      </c>
      <c r="F1594" s="107">
        <v>973</v>
      </c>
      <c r="G1594">
        <v>51770</v>
      </c>
      <c r="H1594" s="107"/>
      <c r="I1594" s="107"/>
      <c r="L1594" s="148">
        <v>45680</v>
      </c>
      <c r="M1594" s="107">
        <v>971.3</v>
      </c>
      <c r="N1594" s="107">
        <v>983.5</v>
      </c>
      <c r="O1594" s="107">
        <v>945.75</v>
      </c>
      <c r="P1594" s="107">
        <v>965</v>
      </c>
      <c r="Q1594" s="107">
        <v>971.3</v>
      </c>
      <c r="R1594">
        <v>693112</v>
      </c>
    </row>
    <row r="1595" spans="1:18" x14ac:dyDescent="0.25">
      <c r="A1595" s="148">
        <v>45681</v>
      </c>
      <c r="B1595" s="107">
        <v>971.95</v>
      </c>
      <c r="C1595" s="107">
        <v>913.9</v>
      </c>
      <c r="D1595" s="107">
        <v>909.25</v>
      </c>
      <c r="E1595" s="107">
        <v>971.95</v>
      </c>
      <c r="F1595" s="107">
        <v>913.9</v>
      </c>
      <c r="G1595">
        <v>49340</v>
      </c>
      <c r="H1595" s="107"/>
      <c r="I1595" s="107"/>
      <c r="L1595" s="148">
        <v>45681</v>
      </c>
      <c r="M1595" s="107">
        <v>916.6</v>
      </c>
      <c r="N1595" s="107">
        <v>982.45</v>
      </c>
      <c r="O1595" s="107">
        <v>910</v>
      </c>
      <c r="P1595" s="107">
        <v>961.05</v>
      </c>
      <c r="Q1595" s="107">
        <v>916.6</v>
      </c>
      <c r="R1595">
        <v>582590</v>
      </c>
    </row>
    <row r="1596" spans="1:18" x14ac:dyDescent="0.25">
      <c r="A1596" s="148">
        <v>45684</v>
      </c>
      <c r="B1596" s="107">
        <v>1010</v>
      </c>
      <c r="C1596" s="107">
        <v>932.85</v>
      </c>
      <c r="D1596" s="107">
        <v>750.05</v>
      </c>
      <c r="E1596" s="107">
        <v>851</v>
      </c>
      <c r="F1596" s="107">
        <v>932.85</v>
      </c>
      <c r="G1596">
        <v>330459</v>
      </c>
      <c r="H1596" s="107"/>
      <c r="I1596" s="107"/>
      <c r="L1596" s="148">
        <v>45684</v>
      </c>
      <c r="M1596" s="107">
        <v>923.8</v>
      </c>
      <c r="N1596" s="107">
        <v>1019.9</v>
      </c>
      <c r="O1596" s="107">
        <v>750.2</v>
      </c>
      <c r="P1596" s="107">
        <v>850</v>
      </c>
      <c r="Q1596" s="107">
        <v>923.8</v>
      </c>
      <c r="R1596">
        <v>9159928</v>
      </c>
    </row>
    <row r="1597" spans="1:18" x14ac:dyDescent="0.25">
      <c r="A1597" s="148">
        <v>45685</v>
      </c>
      <c r="B1597" s="107">
        <v>995.55</v>
      </c>
      <c r="C1597" s="107">
        <v>959.85</v>
      </c>
      <c r="D1597" s="107">
        <v>864.05</v>
      </c>
      <c r="E1597" s="107">
        <v>894.95</v>
      </c>
      <c r="F1597" s="107">
        <v>959.85</v>
      </c>
      <c r="G1597">
        <v>215822</v>
      </c>
      <c r="H1597" s="107"/>
      <c r="I1597" s="107"/>
      <c r="L1597" s="148">
        <v>45685</v>
      </c>
      <c r="M1597" s="107">
        <v>961</v>
      </c>
      <c r="N1597" s="107">
        <v>998.15</v>
      </c>
      <c r="O1597" s="107">
        <v>864.1</v>
      </c>
      <c r="P1597" s="107">
        <v>893</v>
      </c>
      <c r="Q1597" s="107">
        <v>961</v>
      </c>
      <c r="R1597">
        <v>6087895</v>
      </c>
    </row>
    <row r="1598" spans="1:18" x14ac:dyDescent="0.25">
      <c r="A1598" s="148">
        <v>45686</v>
      </c>
      <c r="B1598" s="107">
        <v>1084.45</v>
      </c>
      <c r="C1598" s="107">
        <v>1069.2</v>
      </c>
      <c r="D1598" s="107">
        <v>944.05</v>
      </c>
      <c r="E1598" s="107">
        <v>944.05</v>
      </c>
      <c r="F1598" s="107">
        <v>1069.2</v>
      </c>
      <c r="G1598">
        <v>249262</v>
      </c>
      <c r="H1598" s="107"/>
      <c r="I1598" s="107"/>
      <c r="L1598" s="148">
        <v>45686</v>
      </c>
      <c r="M1598" s="107">
        <v>1069.2</v>
      </c>
      <c r="N1598" s="107">
        <v>1084.05</v>
      </c>
      <c r="O1598" s="107">
        <v>959</v>
      </c>
      <c r="P1598" s="107">
        <v>961</v>
      </c>
      <c r="Q1598" s="107">
        <v>1069.2</v>
      </c>
      <c r="R1598">
        <v>9462573</v>
      </c>
    </row>
    <row r="1599" spans="1:18" x14ac:dyDescent="0.25">
      <c r="A1599" s="148">
        <v>45687</v>
      </c>
      <c r="B1599" s="107">
        <v>1082</v>
      </c>
      <c r="C1599" s="107">
        <v>1067.9000000000001</v>
      </c>
      <c r="D1599" s="107">
        <v>1038.1500000000001</v>
      </c>
      <c r="E1599" s="107">
        <v>1047.8</v>
      </c>
      <c r="F1599" s="107">
        <v>1067.9000000000001</v>
      </c>
      <c r="G1599">
        <v>102979</v>
      </c>
      <c r="H1599" s="107"/>
      <c r="I1599" s="107"/>
      <c r="L1599" s="148">
        <v>45687</v>
      </c>
      <c r="M1599" s="107">
        <v>1067.6500000000001</v>
      </c>
      <c r="N1599" s="107">
        <v>1082.6500000000001</v>
      </c>
      <c r="O1599" s="107">
        <v>1038.55</v>
      </c>
      <c r="P1599" s="107">
        <v>1038.55</v>
      </c>
      <c r="Q1599" s="107">
        <v>1067.6500000000001</v>
      </c>
      <c r="R1599">
        <v>1836743</v>
      </c>
    </row>
    <row r="1600" spans="1:18" x14ac:dyDescent="0.25">
      <c r="A1600" s="148">
        <v>45688</v>
      </c>
      <c r="B1600" s="107">
        <v>1118</v>
      </c>
      <c r="C1600" s="107">
        <v>1085.7</v>
      </c>
      <c r="D1600" s="107">
        <v>1016.55</v>
      </c>
      <c r="E1600" s="107">
        <v>1064.95</v>
      </c>
      <c r="F1600" s="107">
        <v>1085.7</v>
      </c>
      <c r="G1600">
        <v>186873</v>
      </c>
      <c r="H1600" s="107"/>
      <c r="I1600" s="107"/>
      <c r="L1600" s="148">
        <v>45688</v>
      </c>
      <c r="M1600" s="107">
        <v>1082.8499999999999</v>
      </c>
      <c r="N1600" s="107">
        <v>1119.55</v>
      </c>
      <c r="O1600" s="107">
        <v>1010.65</v>
      </c>
      <c r="P1600" s="107">
        <v>1010.65</v>
      </c>
      <c r="Q1600" s="107">
        <v>1082.8499999999999</v>
      </c>
      <c r="R1600">
        <v>2764715</v>
      </c>
    </row>
    <row r="1601" spans="1:18" x14ac:dyDescent="0.25">
      <c r="A1601" s="148">
        <v>45689</v>
      </c>
      <c r="B1601" s="107">
        <v>1079.7</v>
      </c>
      <c r="C1601" s="107">
        <v>1025.4000000000001</v>
      </c>
      <c r="D1601" s="107">
        <v>1008</v>
      </c>
      <c r="E1601" s="107">
        <v>1049.95</v>
      </c>
      <c r="F1601" s="107">
        <v>1025.4000000000001</v>
      </c>
      <c r="G1601">
        <v>95033</v>
      </c>
      <c r="H1601" s="107"/>
      <c r="I1601" s="107"/>
      <c r="L1601" s="148">
        <v>45689</v>
      </c>
      <c r="M1601" s="107">
        <v>1024.6500000000001</v>
      </c>
      <c r="N1601" s="107">
        <v>1080</v>
      </c>
      <c r="O1601" s="107">
        <v>1006.15</v>
      </c>
      <c r="P1601" s="107">
        <v>1052.45</v>
      </c>
      <c r="Q1601" s="107">
        <v>1024.6500000000001</v>
      </c>
      <c r="R1601">
        <v>1358084</v>
      </c>
    </row>
    <row r="1602" spans="1:18" x14ac:dyDescent="0.25">
      <c r="A1602" s="148">
        <v>45691</v>
      </c>
      <c r="B1602" s="107">
        <v>1035.3</v>
      </c>
      <c r="C1602" s="107">
        <v>1015.9</v>
      </c>
      <c r="D1602" s="107">
        <v>1000</v>
      </c>
      <c r="E1602" s="107">
        <v>1014.2</v>
      </c>
      <c r="F1602" s="107">
        <v>1015.9</v>
      </c>
      <c r="G1602">
        <v>41328</v>
      </c>
      <c r="H1602" s="107"/>
      <c r="I1602" s="107"/>
      <c r="L1602" s="148">
        <v>45691</v>
      </c>
      <c r="M1602" s="107">
        <v>1016.7</v>
      </c>
      <c r="N1602" s="107">
        <v>1034.6500000000001</v>
      </c>
      <c r="O1602" s="107">
        <v>998</v>
      </c>
      <c r="P1602" s="107">
        <v>1022</v>
      </c>
      <c r="Q1602" s="107">
        <v>1016.7</v>
      </c>
      <c r="R1602">
        <v>851487</v>
      </c>
    </row>
    <row r="1603" spans="1:18" x14ac:dyDescent="0.25">
      <c r="A1603" s="148">
        <v>45692</v>
      </c>
      <c r="B1603" s="107">
        <v>1030.5</v>
      </c>
      <c r="C1603" s="107">
        <v>1001.35</v>
      </c>
      <c r="D1603" s="107">
        <v>992.2</v>
      </c>
      <c r="E1603" s="107">
        <v>1004.75</v>
      </c>
      <c r="F1603" s="107">
        <v>1001.35</v>
      </c>
      <c r="G1603">
        <v>26468</v>
      </c>
      <c r="H1603" s="107"/>
      <c r="I1603" s="107"/>
      <c r="L1603" s="148">
        <v>45692</v>
      </c>
      <c r="M1603" s="107">
        <v>1002.2</v>
      </c>
      <c r="N1603" s="107">
        <v>1033.9000000000001</v>
      </c>
      <c r="O1603" s="107">
        <v>991.25</v>
      </c>
      <c r="P1603" s="107">
        <v>1001</v>
      </c>
      <c r="Q1603" s="107">
        <v>1002.2</v>
      </c>
      <c r="R1603">
        <v>760056</v>
      </c>
    </row>
    <row r="1604" spans="1:18" x14ac:dyDescent="0.25">
      <c r="A1604" s="148">
        <v>45693</v>
      </c>
      <c r="B1604" s="107">
        <v>1080</v>
      </c>
      <c r="C1604" s="107">
        <v>1068.8</v>
      </c>
      <c r="D1604" s="107">
        <v>1005</v>
      </c>
      <c r="E1604" s="107">
        <v>1005</v>
      </c>
      <c r="F1604" s="107">
        <v>1068.8</v>
      </c>
      <c r="G1604">
        <v>60566</v>
      </c>
      <c r="H1604" s="107"/>
      <c r="I1604" s="107"/>
      <c r="L1604" s="148">
        <v>45693</v>
      </c>
      <c r="M1604" s="107">
        <v>1067.7</v>
      </c>
      <c r="N1604" s="107">
        <v>1080</v>
      </c>
      <c r="O1604" s="107">
        <v>1011.25</v>
      </c>
      <c r="P1604" s="107">
        <v>1011.25</v>
      </c>
      <c r="Q1604" s="107">
        <v>1067.7</v>
      </c>
      <c r="R1604">
        <v>2236441</v>
      </c>
    </row>
    <row r="1605" spans="1:18" x14ac:dyDescent="0.25">
      <c r="A1605" s="148">
        <v>45694</v>
      </c>
      <c r="B1605" s="107">
        <v>1079.5999999999999</v>
      </c>
      <c r="C1605" s="107">
        <v>1076.5999999999999</v>
      </c>
      <c r="D1605" s="107">
        <v>1055.25</v>
      </c>
      <c r="E1605" s="107">
        <v>1076</v>
      </c>
      <c r="F1605" s="107">
        <v>1076.5999999999999</v>
      </c>
      <c r="G1605">
        <v>34777</v>
      </c>
      <c r="H1605" s="107"/>
      <c r="I1605" s="107"/>
      <c r="L1605" s="148">
        <v>45694</v>
      </c>
      <c r="M1605" s="107">
        <v>1077</v>
      </c>
      <c r="N1605" s="107">
        <v>1080.9000000000001</v>
      </c>
      <c r="O1605" s="107">
        <v>1055.55</v>
      </c>
      <c r="P1605" s="107">
        <v>1067.8</v>
      </c>
      <c r="Q1605" s="107">
        <v>1077</v>
      </c>
      <c r="R1605">
        <v>557611</v>
      </c>
    </row>
    <row r="1606" spans="1:18" x14ac:dyDescent="0.25">
      <c r="A1606" s="148">
        <v>45695</v>
      </c>
      <c r="B1606" s="107">
        <v>1102.7</v>
      </c>
      <c r="C1606" s="107">
        <v>1072.0999999999999</v>
      </c>
      <c r="D1606" s="107">
        <v>1056</v>
      </c>
      <c r="E1606" s="107">
        <v>1070.2</v>
      </c>
      <c r="F1606" s="107">
        <v>1072.0999999999999</v>
      </c>
      <c r="G1606">
        <v>33866</v>
      </c>
      <c r="H1606" s="107"/>
      <c r="I1606" s="107"/>
      <c r="L1606" s="148">
        <v>45695</v>
      </c>
      <c r="M1606" s="107">
        <v>1072.8</v>
      </c>
      <c r="N1606" s="107">
        <v>1103.95</v>
      </c>
      <c r="O1606" s="107">
        <v>1056.05</v>
      </c>
      <c r="P1606" s="107">
        <v>1070</v>
      </c>
      <c r="Q1606" s="107">
        <v>1072.8</v>
      </c>
      <c r="R1606">
        <v>724749</v>
      </c>
    </row>
    <row r="1607" spans="1:18" x14ac:dyDescent="0.25">
      <c r="A1607" s="148">
        <v>45698</v>
      </c>
      <c r="B1607" s="107">
        <v>1070.45</v>
      </c>
      <c r="C1607" s="107">
        <v>1056.4000000000001</v>
      </c>
      <c r="D1607" s="107">
        <v>1020.05</v>
      </c>
      <c r="E1607" s="107">
        <v>1052</v>
      </c>
      <c r="F1607" s="107">
        <v>1056.4000000000001</v>
      </c>
      <c r="G1607">
        <v>22669</v>
      </c>
      <c r="H1607" s="107"/>
      <c r="I1607" s="107"/>
      <c r="L1607" s="148">
        <v>45698</v>
      </c>
      <c r="M1607" s="107">
        <v>1055.05</v>
      </c>
      <c r="N1607" s="107">
        <v>1069.0999999999999</v>
      </c>
      <c r="O1607" s="107">
        <v>1018</v>
      </c>
      <c r="P1607" s="107">
        <v>1057.05</v>
      </c>
      <c r="Q1607" s="107">
        <v>1055.05</v>
      </c>
      <c r="R1607">
        <v>496474</v>
      </c>
    </row>
    <row r="1608" spans="1:18" x14ac:dyDescent="0.25">
      <c r="A1608" s="148">
        <v>45699</v>
      </c>
      <c r="B1608" s="107">
        <v>1044.5</v>
      </c>
      <c r="C1608" s="107">
        <v>995.3</v>
      </c>
      <c r="D1608" s="107">
        <v>982.1</v>
      </c>
      <c r="E1608" s="107">
        <v>1034.2</v>
      </c>
      <c r="F1608" s="107">
        <v>995.3</v>
      </c>
      <c r="G1608">
        <v>25268</v>
      </c>
      <c r="H1608" s="107"/>
      <c r="I1608" s="107"/>
      <c r="L1608" s="148">
        <v>45699</v>
      </c>
      <c r="M1608" s="107">
        <v>996.1</v>
      </c>
      <c r="N1608" s="107">
        <v>1046.45</v>
      </c>
      <c r="O1608" s="107">
        <v>982</v>
      </c>
      <c r="P1608" s="107">
        <v>1046</v>
      </c>
      <c r="Q1608" s="107">
        <v>996.1</v>
      </c>
      <c r="R1608">
        <v>416222</v>
      </c>
    </row>
    <row r="1609" spans="1:18" x14ac:dyDescent="0.25">
      <c r="A1609" s="148">
        <v>45700</v>
      </c>
      <c r="B1609" s="107">
        <v>1018.3</v>
      </c>
      <c r="C1609" s="107">
        <v>998.1</v>
      </c>
      <c r="D1609" s="107">
        <v>961.6</v>
      </c>
      <c r="E1609" s="107">
        <v>995.3</v>
      </c>
      <c r="F1609" s="107">
        <v>998.1</v>
      </c>
      <c r="G1609">
        <v>42076</v>
      </c>
      <c r="H1609" s="107"/>
      <c r="I1609" s="107"/>
      <c r="L1609" s="148">
        <v>45700</v>
      </c>
      <c r="M1609" s="107">
        <v>998.5</v>
      </c>
      <c r="N1609" s="107">
        <v>1018.35</v>
      </c>
      <c r="O1609" s="107">
        <v>961</v>
      </c>
      <c r="P1609" s="107">
        <v>996</v>
      </c>
      <c r="Q1609" s="107">
        <v>998.5</v>
      </c>
      <c r="R1609">
        <v>656294</v>
      </c>
    </row>
    <row r="1610" spans="1:18" x14ac:dyDescent="0.25">
      <c r="A1610" s="148">
        <v>45701</v>
      </c>
      <c r="B1610" s="107">
        <v>1086.3499999999999</v>
      </c>
      <c r="C1610" s="107">
        <v>1048.3499999999999</v>
      </c>
      <c r="D1610" s="107">
        <v>981</v>
      </c>
      <c r="E1610" s="107">
        <v>981</v>
      </c>
      <c r="F1610" s="107">
        <v>1048.3499999999999</v>
      </c>
      <c r="G1610">
        <v>63338</v>
      </c>
      <c r="H1610" s="107"/>
      <c r="I1610" s="107"/>
      <c r="L1610" s="148">
        <v>45701</v>
      </c>
      <c r="M1610" s="107">
        <v>1045.6500000000001</v>
      </c>
      <c r="N1610" s="107">
        <v>1100</v>
      </c>
      <c r="O1610" s="107">
        <v>988.05</v>
      </c>
      <c r="P1610" s="107">
        <v>990</v>
      </c>
      <c r="Q1610" s="107">
        <v>1045.6500000000001</v>
      </c>
      <c r="R1610">
        <v>771569</v>
      </c>
    </row>
    <row r="1611" spans="1:18" x14ac:dyDescent="0.25">
      <c r="A1611" s="148">
        <v>45702</v>
      </c>
      <c r="B1611" s="107">
        <v>1044.95</v>
      </c>
      <c r="C1611" s="107">
        <v>962.8</v>
      </c>
      <c r="D1611" s="107">
        <v>952.85</v>
      </c>
      <c r="E1611" s="107">
        <v>1044.95</v>
      </c>
      <c r="F1611" s="107">
        <v>962.8</v>
      </c>
      <c r="G1611">
        <v>37324</v>
      </c>
      <c r="H1611" s="107"/>
      <c r="I1611" s="107"/>
      <c r="L1611" s="148">
        <v>45702</v>
      </c>
      <c r="M1611" s="107">
        <v>966.1</v>
      </c>
      <c r="N1611" s="107">
        <v>1042.2</v>
      </c>
      <c r="O1611" s="107">
        <v>955</v>
      </c>
      <c r="P1611" s="107">
        <v>1033</v>
      </c>
      <c r="Q1611" s="107">
        <v>966.1</v>
      </c>
      <c r="R1611">
        <v>665280</v>
      </c>
    </row>
    <row r="1612" spans="1:18" x14ac:dyDescent="0.25">
      <c r="A1612" s="148">
        <v>45705</v>
      </c>
      <c r="B1612" s="107">
        <v>1022.75</v>
      </c>
      <c r="C1612" s="107">
        <v>1015.7</v>
      </c>
      <c r="D1612" s="107">
        <v>940.2</v>
      </c>
      <c r="E1612" s="107">
        <v>960.05</v>
      </c>
      <c r="F1612" s="107">
        <v>1015.7</v>
      </c>
      <c r="G1612">
        <v>35680</v>
      </c>
      <c r="H1612" s="107"/>
      <c r="I1612" s="107"/>
      <c r="L1612" s="148">
        <v>45705</v>
      </c>
      <c r="M1612" s="107">
        <v>1015.35</v>
      </c>
      <c r="N1612" s="107">
        <v>1023</v>
      </c>
      <c r="O1612" s="107">
        <v>939</v>
      </c>
      <c r="P1612" s="107">
        <v>960.65</v>
      </c>
      <c r="Q1612" s="107">
        <v>1015.35</v>
      </c>
      <c r="R1612">
        <v>877689</v>
      </c>
    </row>
    <row r="1613" spans="1:18" x14ac:dyDescent="0.25">
      <c r="A1613" s="148">
        <v>45706</v>
      </c>
      <c r="B1613" s="107">
        <v>1010.3</v>
      </c>
      <c r="C1613" s="107">
        <v>954.1</v>
      </c>
      <c r="D1613" s="107">
        <v>942</v>
      </c>
      <c r="E1613" s="107">
        <v>1004.95</v>
      </c>
      <c r="F1613" s="107">
        <v>954.1</v>
      </c>
      <c r="G1613">
        <v>28569</v>
      </c>
      <c r="H1613" s="107"/>
      <c r="I1613" s="107"/>
      <c r="L1613" s="148">
        <v>45706</v>
      </c>
      <c r="M1613" s="107">
        <v>962.9</v>
      </c>
      <c r="N1613" s="107">
        <v>1010.4</v>
      </c>
      <c r="O1613" s="107">
        <v>952.05</v>
      </c>
      <c r="P1613" s="107">
        <v>998.05</v>
      </c>
      <c r="Q1613" s="107">
        <v>962.9</v>
      </c>
      <c r="R1613">
        <v>400992</v>
      </c>
    </row>
    <row r="1614" spans="1:18" x14ac:dyDescent="0.25">
      <c r="A1614" s="148">
        <v>45707</v>
      </c>
      <c r="B1614" s="107">
        <v>957.7</v>
      </c>
      <c r="C1614" s="107">
        <v>892.95</v>
      </c>
      <c r="D1614" s="107">
        <v>883.5</v>
      </c>
      <c r="E1614" s="107">
        <v>954.65</v>
      </c>
      <c r="F1614" s="107">
        <v>892.95</v>
      </c>
      <c r="G1614">
        <v>35481</v>
      </c>
      <c r="H1614" s="107"/>
      <c r="I1614" s="107"/>
      <c r="L1614" s="148">
        <v>45707</v>
      </c>
      <c r="M1614" s="107">
        <v>893.1</v>
      </c>
      <c r="N1614" s="107">
        <v>966</v>
      </c>
      <c r="O1614" s="107">
        <v>882.6</v>
      </c>
      <c r="P1614" s="107">
        <v>953.3</v>
      </c>
      <c r="Q1614" s="107">
        <v>893.1</v>
      </c>
      <c r="R1614">
        <v>1254784</v>
      </c>
    </row>
    <row r="1615" spans="1:18" x14ac:dyDescent="0.25">
      <c r="A1615" s="148">
        <v>45708</v>
      </c>
      <c r="B1615" s="107">
        <v>905.45</v>
      </c>
      <c r="C1615" s="107">
        <v>876.05</v>
      </c>
      <c r="D1615" s="107">
        <v>849.25</v>
      </c>
      <c r="E1615" s="107">
        <v>894.9</v>
      </c>
      <c r="F1615" s="107">
        <v>876.05</v>
      </c>
      <c r="G1615">
        <v>44632</v>
      </c>
      <c r="H1615" s="107"/>
      <c r="I1615" s="107"/>
      <c r="L1615" s="148">
        <v>45708</v>
      </c>
      <c r="M1615" s="107">
        <v>875.1</v>
      </c>
      <c r="N1615" s="107">
        <v>907</v>
      </c>
      <c r="O1615" s="107">
        <v>848.9</v>
      </c>
      <c r="P1615" s="107">
        <v>893.1</v>
      </c>
      <c r="Q1615" s="107">
        <v>875.1</v>
      </c>
      <c r="R1615">
        <v>2142335</v>
      </c>
    </row>
    <row r="1616" spans="1:18" x14ac:dyDescent="0.25">
      <c r="A1616" s="148">
        <v>45709</v>
      </c>
      <c r="B1616" s="107">
        <v>937.6</v>
      </c>
      <c r="C1616" s="107">
        <v>865.65</v>
      </c>
      <c r="D1616" s="107">
        <v>858</v>
      </c>
      <c r="E1616" s="107">
        <v>888.75</v>
      </c>
      <c r="F1616" s="107">
        <v>865.65</v>
      </c>
      <c r="G1616">
        <v>201038</v>
      </c>
      <c r="H1616" s="107"/>
      <c r="I1616" s="107"/>
      <c r="L1616" s="148">
        <v>45709</v>
      </c>
      <c r="M1616" s="107">
        <v>866.35</v>
      </c>
      <c r="N1616" s="107">
        <v>938</v>
      </c>
      <c r="O1616" s="107">
        <v>856.85</v>
      </c>
      <c r="P1616" s="107">
        <v>878.8</v>
      </c>
      <c r="Q1616" s="107">
        <v>866.35</v>
      </c>
      <c r="R1616">
        <v>4016060</v>
      </c>
    </row>
    <row r="1617" spans="1:18" x14ac:dyDescent="0.25">
      <c r="A1617" s="148">
        <v>45712</v>
      </c>
      <c r="B1617" s="107">
        <v>873.2</v>
      </c>
      <c r="C1617" s="107">
        <v>853.4</v>
      </c>
      <c r="D1617" s="107">
        <v>848</v>
      </c>
      <c r="E1617" s="107">
        <v>866.65</v>
      </c>
      <c r="F1617" s="107">
        <v>853.4</v>
      </c>
      <c r="G1617">
        <v>18197</v>
      </c>
      <c r="H1617" s="107"/>
      <c r="I1617" s="107"/>
      <c r="L1617" s="148">
        <v>45712</v>
      </c>
      <c r="M1617" s="107">
        <v>853.5</v>
      </c>
      <c r="N1617" s="107">
        <v>872.45</v>
      </c>
      <c r="O1617" s="107">
        <v>847.8</v>
      </c>
      <c r="P1617" s="107">
        <v>866.3</v>
      </c>
      <c r="Q1617" s="107">
        <v>853.5</v>
      </c>
      <c r="R1617">
        <v>1037623</v>
      </c>
    </row>
    <row r="1618" spans="1:18" x14ac:dyDescent="0.25">
      <c r="A1618" s="148">
        <v>45713</v>
      </c>
      <c r="B1618" s="107">
        <v>916.2</v>
      </c>
      <c r="C1618" s="107">
        <v>865.95</v>
      </c>
      <c r="D1618" s="107">
        <v>858.9</v>
      </c>
      <c r="E1618" s="107">
        <v>858.9</v>
      </c>
      <c r="F1618" s="107">
        <v>865.95</v>
      </c>
      <c r="G1618">
        <v>250757</v>
      </c>
      <c r="H1618" s="107"/>
      <c r="I1618" s="107"/>
      <c r="L1618" s="148">
        <v>45713</v>
      </c>
      <c r="M1618" s="107">
        <v>866.45</v>
      </c>
      <c r="N1618" s="107">
        <v>917.3</v>
      </c>
      <c r="O1618" s="107">
        <v>858.05</v>
      </c>
      <c r="P1618" s="107">
        <v>861.2</v>
      </c>
      <c r="Q1618" s="107">
        <v>866.45</v>
      </c>
      <c r="R1618">
        <v>8408229</v>
      </c>
    </row>
    <row r="1619" spans="1:18" x14ac:dyDescent="0.25">
      <c r="A1619" s="148">
        <v>45715</v>
      </c>
      <c r="B1619" s="107">
        <v>1032.1500000000001</v>
      </c>
      <c r="C1619" s="107">
        <v>968.35</v>
      </c>
      <c r="D1619" s="107">
        <v>879</v>
      </c>
      <c r="E1619" s="107">
        <v>879</v>
      </c>
      <c r="F1619" s="107">
        <v>968.35</v>
      </c>
      <c r="G1619">
        <v>957870</v>
      </c>
      <c r="H1619" s="107"/>
      <c r="I1619" s="107"/>
      <c r="L1619" s="148">
        <v>45715</v>
      </c>
      <c r="M1619" s="107">
        <v>971.45</v>
      </c>
      <c r="N1619" s="107">
        <v>1031.4000000000001</v>
      </c>
      <c r="O1619" s="107">
        <v>879.3</v>
      </c>
      <c r="P1619" s="107">
        <v>879.3</v>
      </c>
      <c r="Q1619" s="107">
        <v>971.45</v>
      </c>
      <c r="R1619">
        <v>30810061</v>
      </c>
    </row>
    <row r="1620" spans="1:18" x14ac:dyDescent="0.25">
      <c r="A1620" s="148">
        <v>45716</v>
      </c>
      <c r="B1620" s="107">
        <v>957.5</v>
      </c>
      <c r="C1620" s="107">
        <v>920.35</v>
      </c>
      <c r="D1620" s="107">
        <v>897.9</v>
      </c>
      <c r="E1620" s="107">
        <v>938</v>
      </c>
      <c r="F1620" s="107">
        <v>920.35</v>
      </c>
      <c r="G1620">
        <v>291505</v>
      </c>
      <c r="H1620" s="107"/>
      <c r="I1620" s="107"/>
      <c r="L1620" s="148">
        <v>45716</v>
      </c>
      <c r="M1620" s="107">
        <v>919.1</v>
      </c>
      <c r="N1620" s="107">
        <v>960</v>
      </c>
      <c r="O1620" s="107">
        <v>898</v>
      </c>
      <c r="P1620" s="107">
        <v>939.8</v>
      </c>
      <c r="Q1620" s="107">
        <v>919.1</v>
      </c>
      <c r="R1620">
        <v>9603068</v>
      </c>
    </row>
    <row r="1621" spans="1:18" x14ac:dyDescent="0.25">
      <c r="A1621" s="148">
        <v>45719</v>
      </c>
      <c r="B1621" s="107">
        <v>961.95</v>
      </c>
      <c r="C1621" s="107">
        <v>896.5</v>
      </c>
      <c r="D1621" s="107">
        <v>890.55</v>
      </c>
      <c r="E1621" s="107">
        <v>930</v>
      </c>
      <c r="F1621" s="107">
        <v>896.5</v>
      </c>
      <c r="G1621">
        <v>187850</v>
      </c>
      <c r="H1621" s="107"/>
      <c r="I1621" s="107"/>
      <c r="L1621" s="148">
        <v>45719</v>
      </c>
      <c r="M1621" s="107">
        <v>897.15</v>
      </c>
      <c r="N1621" s="107">
        <v>962.8</v>
      </c>
      <c r="O1621" s="107">
        <v>890.25</v>
      </c>
      <c r="P1621" s="107">
        <v>932.55</v>
      </c>
      <c r="Q1621" s="107">
        <v>897.15</v>
      </c>
      <c r="R1621">
        <v>4463226</v>
      </c>
    </row>
    <row r="1622" spans="1:18" x14ac:dyDescent="0.25">
      <c r="A1622" s="148">
        <v>45720</v>
      </c>
      <c r="B1622" s="107">
        <v>935</v>
      </c>
      <c r="C1622" s="107">
        <v>902.75</v>
      </c>
      <c r="D1622" s="107">
        <v>882.55</v>
      </c>
      <c r="E1622" s="107">
        <v>895.05</v>
      </c>
      <c r="F1622" s="107">
        <v>902.75</v>
      </c>
      <c r="G1622">
        <v>93188</v>
      </c>
      <c r="H1622" s="107"/>
      <c r="I1622" s="107"/>
      <c r="L1622" s="148">
        <v>45720</v>
      </c>
      <c r="M1622" s="107">
        <v>902.55</v>
      </c>
      <c r="N1622" s="107">
        <v>935.5</v>
      </c>
      <c r="O1622" s="107">
        <v>882.15</v>
      </c>
      <c r="P1622" s="107">
        <v>897</v>
      </c>
      <c r="Q1622" s="107">
        <v>902.55</v>
      </c>
      <c r="R1622">
        <v>2159606</v>
      </c>
    </row>
    <row r="1623" spans="1:18" x14ac:dyDescent="0.25">
      <c r="A1623" s="148">
        <v>45721</v>
      </c>
      <c r="B1623" s="107">
        <v>932</v>
      </c>
      <c r="C1623" s="107">
        <v>920.6</v>
      </c>
      <c r="D1623" s="107">
        <v>908.1</v>
      </c>
      <c r="E1623" s="107">
        <v>909.1</v>
      </c>
      <c r="F1623" s="107">
        <v>920.6</v>
      </c>
      <c r="G1623">
        <v>58488</v>
      </c>
      <c r="H1623" s="107"/>
      <c r="I1623" s="107"/>
      <c r="L1623" s="148">
        <v>45721</v>
      </c>
      <c r="M1623" s="107">
        <v>920.25</v>
      </c>
      <c r="N1623" s="107">
        <v>932.8</v>
      </c>
      <c r="O1623" s="107">
        <v>907.6</v>
      </c>
      <c r="P1623" s="107">
        <v>911.25</v>
      </c>
      <c r="Q1623" s="107">
        <v>920.25</v>
      </c>
      <c r="R1623">
        <v>1207162</v>
      </c>
    </row>
    <row r="1624" spans="1:18" x14ac:dyDescent="0.25">
      <c r="A1624" s="148">
        <v>45722</v>
      </c>
      <c r="B1624" s="107">
        <v>1022.45</v>
      </c>
      <c r="C1624" s="107">
        <v>984.2</v>
      </c>
      <c r="D1624" s="107">
        <v>924.45</v>
      </c>
      <c r="E1624" s="107">
        <v>937</v>
      </c>
      <c r="F1624" s="107">
        <v>984.2</v>
      </c>
      <c r="G1624">
        <v>453154</v>
      </c>
      <c r="H1624" s="107"/>
      <c r="I1624" s="107"/>
      <c r="L1624" s="148">
        <v>45722</v>
      </c>
      <c r="M1624" s="107">
        <v>985</v>
      </c>
      <c r="N1624" s="107">
        <v>1021.95</v>
      </c>
      <c r="O1624" s="107">
        <v>923.85</v>
      </c>
      <c r="P1624" s="107">
        <v>940.25</v>
      </c>
      <c r="Q1624" s="107">
        <v>985</v>
      </c>
      <c r="R1624">
        <v>10877617</v>
      </c>
    </row>
    <row r="1625" spans="1:18" x14ac:dyDescent="0.25">
      <c r="A1625" s="148">
        <v>45723</v>
      </c>
      <c r="B1625" s="107">
        <v>992</v>
      </c>
      <c r="C1625" s="107">
        <v>964.8</v>
      </c>
      <c r="D1625" s="107">
        <v>960</v>
      </c>
      <c r="E1625" s="107">
        <v>983.55</v>
      </c>
      <c r="F1625" s="107">
        <v>964.8</v>
      </c>
      <c r="G1625">
        <v>139668</v>
      </c>
      <c r="H1625" s="107"/>
      <c r="I1625" s="107"/>
      <c r="L1625" s="148">
        <v>45723</v>
      </c>
      <c r="M1625" s="107">
        <v>964.75</v>
      </c>
      <c r="N1625" s="107">
        <v>992.4</v>
      </c>
      <c r="O1625" s="107">
        <v>959</v>
      </c>
      <c r="P1625" s="107">
        <v>982.55</v>
      </c>
      <c r="Q1625" s="107">
        <v>964.75</v>
      </c>
      <c r="R1625">
        <v>1641015</v>
      </c>
    </row>
    <row r="1626" spans="1:18" x14ac:dyDescent="0.25">
      <c r="A1626" s="148">
        <v>45726</v>
      </c>
      <c r="B1626" s="107">
        <v>993.8</v>
      </c>
      <c r="C1626" s="107">
        <v>936.1</v>
      </c>
      <c r="D1626" s="107">
        <v>925</v>
      </c>
      <c r="E1626" s="107">
        <v>970.05</v>
      </c>
      <c r="F1626" s="107">
        <v>936.1</v>
      </c>
      <c r="G1626">
        <v>57624</v>
      </c>
      <c r="H1626" s="107"/>
      <c r="I1626" s="107"/>
      <c r="L1626" s="148">
        <v>45726</v>
      </c>
      <c r="M1626" s="107">
        <v>936.75</v>
      </c>
      <c r="N1626" s="107">
        <v>995.7</v>
      </c>
      <c r="O1626" s="107">
        <v>925.75</v>
      </c>
      <c r="P1626" s="107">
        <v>968.75</v>
      </c>
      <c r="Q1626" s="107">
        <v>936.75</v>
      </c>
      <c r="R1626">
        <v>1055115</v>
      </c>
    </row>
    <row r="1627" spans="1:18" x14ac:dyDescent="0.25">
      <c r="A1627" s="148">
        <v>45727</v>
      </c>
      <c r="B1627" s="107">
        <v>941.65</v>
      </c>
      <c r="C1627" s="107">
        <v>930.25</v>
      </c>
      <c r="D1627" s="107">
        <v>904.4</v>
      </c>
      <c r="E1627" s="107">
        <v>926</v>
      </c>
      <c r="F1627" s="107">
        <v>930.25</v>
      </c>
      <c r="G1627">
        <v>50037</v>
      </c>
      <c r="H1627" s="107"/>
      <c r="I1627" s="107"/>
      <c r="L1627" s="148">
        <v>45727</v>
      </c>
      <c r="M1627" s="107">
        <v>929.75</v>
      </c>
      <c r="N1627" s="107">
        <v>941.6</v>
      </c>
      <c r="O1627" s="107">
        <v>905.5</v>
      </c>
      <c r="P1627" s="107">
        <v>925.8</v>
      </c>
      <c r="Q1627" s="107">
        <v>929.75</v>
      </c>
      <c r="R1627">
        <v>978272</v>
      </c>
    </row>
    <row r="1628" spans="1:18" x14ac:dyDescent="0.25">
      <c r="A1628" s="148">
        <v>45728</v>
      </c>
      <c r="B1628" s="107">
        <v>945.65</v>
      </c>
      <c r="C1628" s="107">
        <v>925.9</v>
      </c>
      <c r="D1628" s="107">
        <v>919</v>
      </c>
      <c r="E1628" s="107">
        <v>929.8</v>
      </c>
      <c r="F1628" s="107">
        <v>925.9</v>
      </c>
      <c r="G1628">
        <v>47585</v>
      </c>
      <c r="H1628" s="107"/>
      <c r="I1628" s="107"/>
      <c r="L1628" s="148">
        <v>45728</v>
      </c>
      <c r="M1628" s="107">
        <v>925.4</v>
      </c>
      <c r="N1628" s="107">
        <v>946.5</v>
      </c>
      <c r="O1628" s="107">
        <v>918.1</v>
      </c>
      <c r="P1628" s="107">
        <v>934.6</v>
      </c>
      <c r="Q1628" s="107">
        <v>925.4</v>
      </c>
      <c r="R1628">
        <v>611578</v>
      </c>
    </row>
    <row r="1629" spans="1:18" x14ac:dyDescent="0.25">
      <c r="A1629" s="148">
        <v>45729</v>
      </c>
      <c r="B1629" s="107">
        <v>953</v>
      </c>
      <c r="C1629" s="107">
        <v>923.1</v>
      </c>
      <c r="D1629" s="107">
        <v>917.25</v>
      </c>
      <c r="E1629" s="107">
        <v>931.35</v>
      </c>
      <c r="F1629" s="107">
        <v>923.1</v>
      </c>
      <c r="G1629">
        <v>60468</v>
      </c>
      <c r="H1629" s="107"/>
      <c r="I1629" s="107"/>
      <c r="L1629" s="148">
        <v>45729</v>
      </c>
      <c r="M1629" s="107">
        <v>923.25</v>
      </c>
      <c r="N1629" s="107">
        <v>953.5</v>
      </c>
      <c r="O1629" s="107">
        <v>916.6</v>
      </c>
      <c r="P1629" s="107">
        <v>932.3</v>
      </c>
      <c r="Q1629" s="107">
        <v>923.25</v>
      </c>
      <c r="R1629">
        <v>1066851</v>
      </c>
    </row>
    <row r="1630" spans="1:18" x14ac:dyDescent="0.25">
      <c r="A1630" s="148">
        <v>45733</v>
      </c>
      <c r="B1630" s="107">
        <v>934</v>
      </c>
      <c r="C1630" s="107">
        <v>918.9</v>
      </c>
      <c r="D1630" s="107">
        <v>912.85</v>
      </c>
      <c r="E1630" s="107">
        <v>925.5</v>
      </c>
      <c r="F1630" s="107">
        <v>918.9</v>
      </c>
      <c r="G1630">
        <v>17260</v>
      </c>
      <c r="H1630" s="107"/>
      <c r="I1630" s="107"/>
      <c r="L1630" s="148">
        <v>45733</v>
      </c>
      <c r="M1630" s="107">
        <v>919.55</v>
      </c>
      <c r="N1630" s="107">
        <v>932.2</v>
      </c>
      <c r="O1630" s="107">
        <v>914</v>
      </c>
      <c r="P1630" s="107">
        <v>929.95</v>
      </c>
      <c r="Q1630" s="107">
        <v>919.55</v>
      </c>
      <c r="R1630">
        <v>476891</v>
      </c>
    </row>
    <row r="1631" spans="1:18" x14ac:dyDescent="0.25">
      <c r="A1631" s="148">
        <v>45734</v>
      </c>
      <c r="B1631" s="107">
        <v>940.1</v>
      </c>
      <c r="C1631" s="107">
        <v>934.35</v>
      </c>
      <c r="D1631" s="107">
        <v>921.65</v>
      </c>
      <c r="E1631" s="107">
        <v>937.95</v>
      </c>
      <c r="F1631" s="107">
        <v>934.35</v>
      </c>
      <c r="G1631">
        <v>15212</v>
      </c>
      <c r="H1631" s="107"/>
      <c r="I1631" s="107"/>
      <c r="L1631" s="148">
        <v>45734</v>
      </c>
      <c r="M1631" s="107">
        <v>934.7</v>
      </c>
      <c r="N1631" s="107">
        <v>940.1</v>
      </c>
      <c r="O1631" s="107">
        <v>921.05</v>
      </c>
      <c r="P1631" s="107">
        <v>922</v>
      </c>
      <c r="Q1631" s="107">
        <v>934.7</v>
      </c>
      <c r="R1631">
        <v>402417</v>
      </c>
    </row>
    <row r="1632" spans="1:18" x14ac:dyDescent="0.25">
      <c r="A1632" s="148">
        <v>45735</v>
      </c>
      <c r="B1632" s="107">
        <v>977.45</v>
      </c>
      <c r="C1632" s="107">
        <v>942.9</v>
      </c>
      <c r="D1632" s="107">
        <v>932.5</v>
      </c>
      <c r="E1632" s="107">
        <v>941.85</v>
      </c>
      <c r="F1632" s="107">
        <v>942.9</v>
      </c>
      <c r="G1632">
        <v>42415</v>
      </c>
      <c r="H1632" s="107"/>
      <c r="I1632" s="107"/>
      <c r="L1632" s="148">
        <v>45735</v>
      </c>
      <c r="M1632" s="107">
        <v>943.8</v>
      </c>
      <c r="N1632" s="107">
        <v>977</v>
      </c>
      <c r="O1632" s="107">
        <v>931.4</v>
      </c>
      <c r="P1632" s="107">
        <v>945</v>
      </c>
      <c r="Q1632" s="107">
        <v>943.8</v>
      </c>
      <c r="R1632">
        <v>927948</v>
      </c>
    </row>
    <row r="1633" spans="1:18" x14ac:dyDescent="0.25">
      <c r="A1633" s="148">
        <v>45736</v>
      </c>
      <c r="B1633" s="107">
        <v>981.95</v>
      </c>
      <c r="C1633" s="107">
        <v>972.3</v>
      </c>
      <c r="D1633" s="107">
        <v>943.8</v>
      </c>
      <c r="E1633" s="107">
        <v>957.9</v>
      </c>
      <c r="F1633" s="107">
        <v>972.3</v>
      </c>
      <c r="G1633">
        <v>77084</v>
      </c>
      <c r="H1633" s="107"/>
      <c r="I1633" s="107"/>
      <c r="L1633" s="148">
        <v>45736</v>
      </c>
      <c r="M1633" s="107">
        <v>971.55</v>
      </c>
      <c r="N1633" s="107">
        <v>983.6</v>
      </c>
      <c r="O1633" s="107">
        <v>942.65</v>
      </c>
      <c r="P1633" s="107">
        <v>958.5</v>
      </c>
      <c r="Q1633" s="107">
        <v>971.55</v>
      </c>
      <c r="R1633">
        <v>858637</v>
      </c>
    </row>
    <row r="1634" spans="1:18" x14ac:dyDescent="0.25">
      <c r="A1634" s="148">
        <v>45737</v>
      </c>
      <c r="B1634" s="107">
        <v>1052.9000000000001</v>
      </c>
      <c r="C1634" s="107">
        <v>1009.35</v>
      </c>
      <c r="D1634" s="107">
        <v>964.5</v>
      </c>
      <c r="E1634" s="107">
        <v>969.65</v>
      </c>
      <c r="F1634" s="107">
        <v>1009.35</v>
      </c>
      <c r="G1634">
        <v>131265</v>
      </c>
      <c r="H1634" s="107"/>
      <c r="I1634" s="107"/>
      <c r="L1634" s="148">
        <v>45737</v>
      </c>
      <c r="M1634" s="107">
        <v>1009.5</v>
      </c>
      <c r="N1634" s="107">
        <v>1052.55</v>
      </c>
      <c r="O1634" s="107">
        <v>965.25</v>
      </c>
      <c r="P1634" s="107">
        <v>965.8</v>
      </c>
      <c r="Q1634" s="107">
        <v>1009.5</v>
      </c>
      <c r="R1634">
        <v>4374216</v>
      </c>
    </row>
    <row r="1635" spans="1:18" x14ac:dyDescent="0.25">
      <c r="A1635" s="148">
        <v>45740</v>
      </c>
      <c r="B1635" s="107">
        <v>1046.2</v>
      </c>
      <c r="C1635" s="107">
        <v>997.45</v>
      </c>
      <c r="D1635" s="107">
        <v>993.2</v>
      </c>
      <c r="E1635" s="107">
        <v>1020</v>
      </c>
      <c r="F1635" s="107">
        <v>997.45</v>
      </c>
      <c r="G1635">
        <v>23156</v>
      </c>
      <c r="H1635" s="107"/>
      <c r="I1635" s="107"/>
      <c r="L1635" s="148">
        <v>45740</v>
      </c>
      <c r="M1635" s="107">
        <v>995.85</v>
      </c>
      <c r="N1635" s="107">
        <v>1041.95</v>
      </c>
      <c r="O1635" s="107">
        <v>991.55</v>
      </c>
      <c r="P1635" s="107">
        <v>1039.3499999999999</v>
      </c>
      <c r="Q1635" s="107">
        <v>995.85</v>
      </c>
      <c r="R1635">
        <v>761946</v>
      </c>
    </row>
    <row r="1636" spans="1:18" x14ac:dyDescent="0.25">
      <c r="A1636" s="148">
        <v>45741</v>
      </c>
      <c r="B1636" s="107">
        <v>1023.45</v>
      </c>
      <c r="C1636" s="107">
        <v>967.2</v>
      </c>
      <c r="D1636" s="107">
        <v>957</v>
      </c>
      <c r="E1636" s="107">
        <v>1019.95</v>
      </c>
      <c r="F1636" s="107">
        <v>967.2</v>
      </c>
      <c r="G1636">
        <v>64526</v>
      </c>
      <c r="H1636" s="107"/>
      <c r="I1636" s="107"/>
      <c r="L1636" s="148">
        <v>45741</v>
      </c>
      <c r="M1636" s="107">
        <v>966.95</v>
      </c>
      <c r="N1636" s="107">
        <v>1022.5</v>
      </c>
      <c r="O1636" s="107">
        <v>956.45</v>
      </c>
      <c r="P1636" s="107">
        <v>1008.9</v>
      </c>
      <c r="Q1636" s="107">
        <v>966.95</v>
      </c>
      <c r="R1636">
        <v>562432</v>
      </c>
    </row>
    <row r="1637" spans="1:18" x14ac:dyDescent="0.25">
      <c r="A1637" s="148">
        <v>45742</v>
      </c>
      <c r="B1637" s="107">
        <v>975.9</v>
      </c>
      <c r="C1637" s="107">
        <v>921.55</v>
      </c>
      <c r="D1637" s="107">
        <v>918</v>
      </c>
      <c r="E1637" s="107">
        <v>970.45</v>
      </c>
      <c r="F1637" s="107">
        <v>921.55</v>
      </c>
      <c r="G1637">
        <v>43684</v>
      </c>
      <c r="H1637" s="107"/>
      <c r="I1637" s="107"/>
      <c r="L1637" s="148">
        <v>45742</v>
      </c>
      <c r="M1637" s="107">
        <v>921.55</v>
      </c>
      <c r="N1637" s="107">
        <v>974.35</v>
      </c>
      <c r="O1637" s="107">
        <v>917</v>
      </c>
      <c r="P1637" s="107">
        <v>973.8</v>
      </c>
      <c r="Q1637" s="107">
        <v>921.55</v>
      </c>
      <c r="R1637">
        <v>1025497</v>
      </c>
    </row>
    <row r="1638" spans="1:18" x14ac:dyDescent="0.25">
      <c r="A1638" s="148">
        <v>45743</v>
      </c>
      <c r="B1638" s="107">
        <v>1009</v>
      </c>
      <c r="C1638" s="107">
        <v>986.55</v>
      </c>
      <c r="D1638" s="107">
        <v>916.05</v>
      </c>
      <c r="E1638" s="107">
        <v>916.05</v>
      </c>
      <c r="F1638" s="107">
        <v>986.55</v>
      </c>
      <c r="G1638">
        <v>83120</v>
      </c>
      <c r="H1638" s="107"/>
      <c r="I1638" s="107"/>
      <c r="L1638" s="148">
        <v>45743</v>
      </c>
      <c r="M1638" s="107">
        <v>985.65</v>
      </c>
      <c r="N1638" s="107">
        <v>1010.95</v>
      </c>
      <c r="O1638" s="107">
        <v>918.95</v>
      </c>
      <c r="P1638" s="107">
        <v>921</v>
      </c>
      <c r="Q1638" s="107">
        <v>985.65</v>
      </c>
      <c r="R1638">
        <v>1103692</v>
      </c>
    </row>
    <row r="1639" spans="1:18" x14ac:dyDescent="0.25">
      <c r="A1639" s="148">
        <v>45744</v>
      </c>
      <c r="B1639" s="107">
        <v>995.2</v>
      </c>
      <c r="C1639" s="107">
        <v>952.55</v>
      </c>
      <c r="D1639" s="107">
        <v>943.3</v>
      </c>
      <c r="E1639" s="107">
        <v>983.5</v>
      </c>
      <c r="F1639" s="107">
        <v>952.55</v>
      </c>
      <c r="G1639">
        <v>60338</v>
      </c>
      <c r="H1639" s="107"/>
      <c r="I1639" s="107"/>
      <c r="L1639" s="148">
        <v>45744</v>
      </c>
      <c r="M1639" s="107">
        <v>951.95</v>
      </c>
      <c r="N1639" s="107">
        <v>992.8</v>
      </c>
      <c r="O1639" s="107">
        <v>940</v>
      </c>
      <c r="P1639" s="107">
        <v>985</v>
      </c>
      <c r="Q1639" s="107">
        <v>951.95</v>
      </c>
      <c r="R1639">
        <v>751798</v>
      </c>
    </row>
    <row r="1640" spans="1:18" x14ac:dyDescent="0.25">
      <c r="A1640" s="148">
        <v>45748</v>
      </c>
      <c r="B1640" s="107">
        <v>980</v>
      </c>
      <c r="C1640" s="107">
        <v>968.2</v>
      </c>
      <c r="D1640" s="107">
        <v>937.05</v>
      </c>
      <c r="E1640" s="107">
        <v>962.75</v>
      </c>
      <c r="F1640" s="107">
        <v>968.2</v>
      </c>
      <c r="G1640">
        <v>35588</v>
      </c>
      <c r="H1640" s="107"/>
      <c r="I1640" s="107"/>
      <c r="L1640" s="148">
        <v>45748</v>
      </c>
      <c r="M1640" s="107">
        <v>966.65</v>
      </c>
      <c r="N1640" s="107">
        <v>981.2</v>
      </c>
      <c r="O1640" s="107">
        <v>936.45</v>
      </c>
      <c r="P1640" s="107">
        <v>951.95</v>
      </c>
      <c r="Q1640" s="107">
        <v>966.65</v>
      </c>
      <c r="R1640">
        <v>495020</v>
      </c>
    </row>
    <row r="1641" spans="1:18" x14ac:dyDescent="0.25">
      <c r="A1641" s="148">
        <v>45749</v>
      </c>
      <c r="B1641" s="107">
        <v>1005.35</v>
      </c>
      <c r="C1641" s="107">
        <v>978.75</v>
      </c>
      <c r="D1641" s="107">
        <v>966.6</v>
      </c>
      <c r="E1641" s="107">
        <v>967.9</v>
      </c>
      <c r="F1641" s="107">
        <v>978.75</v>
      </c>
      <c r="G1641">
        <v>97558</v>
      </c>
      <c r="H1641" s="107"/>
      <c r="I1641" s="107"/>
      <c r="L1641" s="148">
        <v>45749</v>
      </c>
      <c r="M1641" s="107">
        <v>978.95</v>
      </c>
      <c r="N1641" s="107">
        <v>1005</v>
      </c>
      <c r="O1641" s="107">
        <v>963.35</v>
      </c>
      <c r="P1641" s="107">
        <v>968.8</v>
      </c>
      <c r="Q1641" s="107">
        <v>978.95</v>
      </c>
      <c r="R1641">
        <v>1210666</v>
      </c>
    </row>
    <row r="1642" spans="1:18" x14ac:dyDescent="0.25">
      <c r="A1642" s="148">
        <v>45750</v>
      </c>
      <c r="B1642" s="107">
        <v>1018.6</v>
      </c>
      <c r="C1642" s="107">
        <v>1011.8</v>
      </c>
      <c r="D1642" s="107">
        <v>970</v>
      </c>
      <c r="E1642" s="107">
        <v>974.55</v>
      </c>
      <c r="F1642" s="107">
        <v>1011.8</v>
      </c>
      <c r="G1642">
        <v>30863</v>
      </c>
      <c r="H1642" s="107"/>
      <c r="I1642" s="107"/>
      <c r="L1642" s="148">
        <v>45750</v>
      </c>
      <c r="M1642" s="107">
        <v>1011.35</v>
      </c>
      <c r="N1642" s="107">
        <v>1020</v>
      </c>
      <c r="O1642" s="107">
        <v>969.1</v>
      </c>
      <c r="P1642" s="107">
        <v>971.85</v>
      </c>
      <c r="Q1642" s="107">
        <v>1011.35</v>
      </c>
      <c r="R1642">
        <v>762537</v>
      </c>
    </row>
    <row r="1643" spans="1:18" x14ac:dyDescent="0.25">
      <c r="A1643" s="148">
        <v>45751</v>
      </c>
      <c r="B1643" s="107">
        <v>1013.2</v>
      </c>
      <c r="C1643" s="107">
        <v>1001.35</v>
      </c>
      <c r="D1643" s="107">
        <v>973.05</v>
      </c>
      <c r="E1643" s="107">
        <v>1012.05</v>
      </c>
      <c r="F1643" s="107">
        <v>1001.35</v>
      </c>
      <c r="G1643">
        <v>28360</v>
      </c>
      <c r="H1643" s="107"/>
      <c r="I1643" s="107"/>
      <c r="L1643" s="148">
        <v>45751</v>
      </c>
      <c r="M1643" s="107">
        <v>1001.5</v>
      </c>
      <c r="N1643" s="107">
        <v>1014.05</v>
      </c>
      <c r="O1643" s="107">
        <v>973.1</v>
      </c>
      <c r="P1643" s="107">
        <v>1013.5</v>
      </c>
      <c r="Q1643" s="107">
        <v>1001.5</v>
      </c>
      <c r="R1643">
        <v>555463</v>
      </c>
    </row>
    <row r="1644" spans="1:18" x14ac:dyDescent="0.25">
      <c r="A1644" s="148">
        <v>45754</v>
      </c>
      <c r="B1644" s="107">
        <v>963.55</v>
      </c>
      <c r="C1644" s="107">
        <v>956.65</v>
      </c>
      <c r="D1644" s="107">
        <v>860</v>
      </c>
      <c r="E1644" s="107">
        <v>860</v>
      </c>
      <c r="F1644" s="107">
        <v>956.65</v>
      </c>
      <c r="G1644">
        <v>17921</v>
      </c>
      <c r="H1644" s="107"/>
      <c r="I1644" s="107"/>
      <c r="L1644" s="148">
        <v>45754</v>
      </c>
      <c r="M1644" s="107">
        <v>956</v>
      </c>
      <c r="N1644" s="107">
        <v>964</v>
      </c>
      <c r="O1644" s="107">
        <v>920</v>
      </c>
      <c r="P1644" s="107">
        <v>930</v>
      </c>
      <c r="Q1644" s="107">
        <v>956</v>
      </c>
      <c r="R1644">
        <v>615970</v>
      </c>
    </row>
    <row r="1645" spans="1:18" x14ac:dyDescent="0.25">
      <c r="A1645" s="148">
        <v>45755</v>
      </c>
      <c r="B1645" s="107">
        <v>999.95</v>
      </c>
      <c r="C1645" s="107">
        <v>996.65</v>
      </c>
      <c r="D1645" s="107">
        <v>962.05</v>
      </c>
      <c r="E1645" s="107">
        <v>980</v>
      </c>
      <c r="F1645" s="107">
        <v>996.65</v>
      </c>
      <c r="G1645">
        <v>24984</v>
      </c>
      <c r="H1645" s="107"/>
      <c r="I1645" s="107"/>
      <c r="L1645" s="148">
        <v>45755</v>
      </c>
      <c r="M1645" s="107">
        <v>996.55</v>
      </c>
      <c r="N1645" s="107">
        <v>1000</v>
      </c>
      <c r="O1645" s="107">
        <v>962.5</v>
      </c>
      <c r="P1645" s="107">
        <v>995</v>
      </c>
      <c r="Q1645" s="107">
        <v>996.55</v>
      </c>
      <c r="R1645">
        <v>669023</v>
      </c>
    </row>
    <row r="1646" spans="1:18" x14ac:dyDescent="0.25">
      <c r="A1646" s="148">
        <v>45756</v>
      </c>
      <c r="B1646" s="107">
        <v>1029.55</v>
      </c>
      <c r="C1646" s="107">
        <v>1016.95</v>
      </c>
      <c r="D1646" s="107">
        <v>978.2</v>
      </c>
      <c r="E1646" s="107">
        <v>995</v>
      </c>
      <c r="F1646" s="107">
        <v>1016.95</v>
      </c>
      <c r="G1646">
        <v>57290</v>
      </c>
      <c r="H1646" s="107"/>
      <c r="I1646" s="107"/>
      <c r="L1646" s="148">
        <v>45756</v>
      </c>
      <c r="M1646" s="107">
        <v>1017.25</v>
      </c>
      <c r="N1646" s="107">
        <v>1029</v>
      </c>
      <c r="O1646" s="107">
        <v>978.85</v>
      </c>
      <c r="P1646" s="107">
        <v>996.55</v>
      </c>
      <c r="Q1646" s="107">
        <v>1017.25</v>
      </c>
      <c r="R1646">
        <v>1510746</v>
      </c>
    </row>
    <row r="1647" spans="1:18" x14ac:dyDescent="0.25">
      <c r="A1647" s="148">
        <v>45758</v>
      </c>
      <c r="B1647" s="107">
        <v>1033.0999999999999</v>
      </c>
      <c r="C1647" s="107">
        <v>1023.35</v>
      </c>
      <c r="D1647" s="107">
        <v>1000</v>
      </c>
      <c r="E1647" s="107">
        <v>1033.0999999999999</v>
      </c>
      <c r="F1647" s="107">
        <v>1023.35</v>
      </c>
      <c r="G1647">
        <v>16988</v>
      </c>
      <c r="H1647" s="107"/>
      <c r="I1647" s="107"/>
      <c r="L1647" s="148">
        <v>45758</v>
      </c>
      <c r="M1647" s="107">
        <v>1023.1</v>
      </c>
      <c r="N1647" s="107">
        <v>1030</v>
      </c>
      <c r="O1647" s="107">
        <v>996.55</v>
      </c>
      <c r="P1647" s="107">
        <v>1028</v>
      </c>
      <c r="Q1647" s="107">
        <v>1023.1</v>
      </c>
      <c r="R1647">
        <v>539817</v>
      </c>
    </row>
    <row r="1648" spans="1:18" x14ac:dyDescent="0.25">
      <c r="A1648" s="148">
        <v>45762</v>
      </c>
      <c r="B1648" s="107">
        <v>1061.3499999999999</v>
      </c>
      <c r="C1648" s="107">
        <v>1051.6500000000001</v>
      </c>
      <c r="D1648" s="107">
        <v>1018.85</v>
      </c>
      <c r="E1648" s="107">
        <v>1026.2</v>
      </c>
      <c r="F1648" s="107">
        <v>1051.6500000000001</v>
      </c>
      <c r="G1648">
        <v>45826</v>
      </c>
      <c r="H1648" s="107"/>
      <c r="I1648" s="107"/>
      <c r="L1648" s="148">
        <v>45762</v>
      </c>
      <c r="M1648" s="107">
        <v>1051.75</v>
      </c>
      <c r="N1648" s="107">
        <v>1061</v>
      </c>
      <c r="O1648" s="107">
        <v>1019.55</v>
      </c>
      <c r="P1648" s="107">
        <v>1035</v>
      </c>
      <c r="Q1648" s="107">
        <v>1051.75</v>
      </c>
      <c r="R1648">
        <v>548884</v>
      </c>
    </row>
    <row r="1649" spans="1:18" x14ac:dyDescent="0.25">
      <c r="A1649" s="148">
        <v>45763</v>
      </c>
      <c r="B1649" s="107">
        <v>1102.1500000000001</v>
      </c>
      <c r="C1649" s="107">
        <v>1081.1500000000001</v>
      </c>
      <c r="D1649" s="107">
        <v>1051.6500000000001</v>
      </c>
      <c r="E1649" s="107">
        <v>1051.6500000000001</v>
      </c>
      <c r="F1649" s="107">
        <v>1081.1500000000001</v>
      </c>
      <c r="G1649">
        <v>27776</v>
      </c>
      <c r="H1649" s="107"/>
      <c r="I1649" s="107"/>
      <c r="L1649" s="148">
        <v>45763</v>
      </c>
      <c r="M1649" s="107">
        <v>1082.1500000000001</v>
      </c>
      <c r="N1649" s="107">
        <v>1101.95</v>
      </c>
      <c r="O1649" s="107">
        <v>1050.2</v>
      </c>
      <c r="P1649" s="107">
        <v>1055</v>
      </c>
      <c r="Q1649" s="107">
        <v>1082.1500000000001</v>
      </c>
      <c r="R1649">
        <v>1026910</v>
      </c>
    </row>
    <row r="1650" spans="1:18" x14ac:dyDescent="0.25">
      <c r="A1650" s="148">
        <v>45764</v>
      </c>
      <c r="B1650" s="107">
        <v>1139</v>
      </c>
      <c r="C1650" s="107">
        <v>1122.45</v>
      </c>
      <c r="D1650" s="107">
        <v>1057.4000000000001</v>
      </c>
      <c r="E1650" s="107">
        <v>1071.05</v>
      </c>
      <c r="F1650" s="107">
        <v>1122.45</v>
      </c>
      <c r="G1650">
        <v>31423</v>
      </c>
      <c r="H1650" s="107"/>
      <c r="I1650" s="107"/>
      <c r="L1650" s="148">
        <v>45764</v>
      </c>
      <c r="M1650" s="107">
        <v>1120.5999999999999</v>
      </c>
      <c r="N1650" s="107">
        <v>1139.0999999999999</v>
      </c>
      <c r="O1650" s="107">
        <v>1056.05</v>
      </c>
      <c r="P1650" s="107">
        <v>1073.95</v>
      </c>
      <c r="Q1650" s="107">
        <v>1120.5999999999999</v>
      </c>
      <c r="R1650">
        <v>930944</v>
      </c>
    </row>
    <row r="1651" spans="1:18" x14ac:dyDescent="0.25">
      <c r="A1651" s="148">
        <v>45768</v>
      </c>
      <c r="B1651" s="107">
        <v>1173</v>
      </c>
      <c r="C1651" s="107">
        <v>1167.5999999999999</v>
      </c>
      <c r="D1651" s="107">
        <v>1107.05</v>
      </c>
      <c r="E1651" s="107">
        <v>1110.4000000000001</v>
      </c>
      <c r="F1651" s="107">
        <v>1167.5999999999999</v>
      </c>
      <c r="G1651">
        <v>55760</v>
      </c>
      <c r="H1651" s="107"/>
      <c r="I1651" s="107"/>
      <c r="L1651" s="148">
        <v>45768</v>
      </c>
      <c r="M1651" s="107">
        <v>1168</v>
      </c>
      <c r="N1651" s="107">
        <v>1173.9000000000001</v>
      </c>
      <c r="O1651" s="107">
        <v>1107.05</v>
      </c>
      <c r="P1651" s="107">
        <v>1110</v>
      </c>
      <c r="Q1651" s="107">
        <v>1168</v>
      </c>
      <c r="R1651">
        <v>817886</v>
      </c>
    </row>
    <row r="1652" spans="1:18" x14ac:dyDescent="0.25">
      <c r="A1652" s="148">
        <v>45769</v>
      </c>
      <c r="B1652" s="107">
        <v>1177.9000000000001</v>
      </c>
      <c r="C1652" s="107">
        <v>1142.95</v>
      </c>
      <c r="D1652" s="107">
        <v>1138</v>
      </c>
      <c r="E1652" s="107">
        <v>1159.95</v>
      </c>
      <c r="F1652" s="107">
        <v>1142.95</v>
      </c>
      <c r="G1652">
        <v>20669</v>
      </c>
      <c r="H1652" s="107"/>
      <c r="I1652" s="107"/>
      <c r="L1652" s="148">
        <v>45769</v>
      </c>
      <c r="M1652" s="107">
        <v>1145.25</v>
      </c>
      <c r="N1652" s="107">
        <v>1179.2</v>
      </c>
      <c r="O1652" s="107">
        <v>1137.0999999999999</v>
      </c>
      <c r="P1652" s="107">
        <v>1164.5999999999999</v>
      </c>
      <c r="Q1652" s="107">
        <v>1145.25</v>
      </c>
      <c r="R1652">
        <v>464708</v>
      </c>
    </row>
    <row r="1653" spans="1:18" x14ac:dyDescent="0.25">
      <c r="A1653" s="148">
        <v>45770</v>
      </c>
      <c r="B1653" s="107">
        <v>1163.75</v>
      </c>
      <c r="C1653" s="107">
        <v>1135.45</v>
      </c>
      <c r="D1653" s="107">
        <v>1117.7</v>
      </c>
      <c r="E1653" s="107">
        <v>1147.3499999999999</v>
      </c>
      <c r="F1653" s="107">
        <v>1135.45</v>
      </c>
      <c r="G1653">
        <v>13659</v>
      </c>
      <c r="H1653" s="107"/>
      <c r="I1653" s="107"/>
      <c r="L1653" s="148">
        <v>45770</v>
      </c>
      <c r="M1653" s="107">
        <v>1135.8499999999999</v>
      </c>
      <c r="N1653" s="107">
        <v>1166.6500000000001</v>
      </c>
      <c r="O1653" s="107">
        <v>1116.05</v>
      </c>
      <c r="P1653" s="107">
        <v>1150.9000000000001</v>
      </c>
      <c r="Q1653" s="107">
        <v>1135.8499999999999</v>
      </c>
      <c r="R1653">
        <v>377250</v>
      </c>
    </row>
    <row r="1654" spans="1:18" x14ac:dyDescent="0.25">
      <c r="A1654" s="148">
        <v>45771</v>
      </c>
      <c r="B1654" s="107">
        <v>1150.2</v>
      </c>
      <c r="C1654" s="107">
        <v>1148.45</v>
      </c>
      <c r="D1654" s="107">
        <v>1113.05</v>
      </c>
      <c r="E1654" s="107">
        <v>1113.05</v>
      </c>
      <c r="F1654" s="107">
        <v>1148.45</v>
      </c>
      <c r="G1654">
        <v>4906</v>
      </c>
      <c r="H1654" s="107"/>
      <c r="I1654" s="107"/>
      <c r="L1654" s="148">
        <v>45771</v>
      </c>
      <c r="M1654" s="107">
        <v>1148.6500000000001</v>
      </c>
      <c r="N1654" s="107">
        <v>1151</v>
      </c>
      <c r="O1654" s="107">
        <v>1128.8</v>
      </c>
      <c r="P1654" s="107">
        <v>1133.9000000000001</v>
      </c>
      <c r="Q1654" s="107">
        <v>1148.6500000000001</v>
      </c>
      <c r="R1654">
        <v>220818</v>
      </c>
    </row>
    <row r="1655" spans="1:18" x14ac:dyDescent="0.25">
      <c r="A1655" s="148">
        <v>45772</v>
      </c>
      <c r="B1655" s="107">
        <v>1177.2</v>
      </c>
      <c r="C1655" s="107">
        <v>1117.55</v>
      </c>
      <c r="D1655" s="107">
        <v>1108</v>
      </c>
      <c r="E1655" s="107">
        <v>1177.2</v>
      </c>
      <c r="F1655" s="107">
        <v>1117.55</v>
      </c>
      <c r="G1655">
        <v>11122</v>
      </c>
      <c r="H1655" s="107"/>
      <c r="I1655" s="107"/>
      <c r="L1655" s="148">
        <v>45772</v>
      </c>
      <c r="M1655" s="107">
        <v>1120.7</v>
      </c>
      <c r="N1655" s="107">
        <v>1149.1500000000001</v>
      </c>
      <c r="O1655" s="107">
        <v>1104.7</v>
      </c>
      <c r="P1655" s="107">
        <v>1148.6500000000001</v>
      </c>
      <c r="Q1655" s="107">
        <v>1120.7</v>
      </c>
      <c r="R1655">
        <v>420853</v>
      </c>
    </row>
    <row r="1656" spans="1:18" x14ac:dyDescent="0.25">
      <c r="A1656" s="148">
        <v>45775</v>
      </c>
      <c r="B1656" s="107">
        <v>1128.5999999999999</v>
      </c>
      <c r="C1656" s="107">
        <v>1096.05</v>
      </c>
      <c r="D1656" s="107">
        <v>1082.25</v>
      </c>
      <c r="E1656" s="107">
        <v>1100</v>
      </c>
      <c r="F1656" s="107">
        <v>1096.05</v>
      </c>
      <c r="G1656">
        <v>13532</v>
      </c>
      <c r="H1656" s="107"/>
      <c r="I1656" s="107"/>
      <c r="L1656" s="148">
        <v>45775</v>
      </c>
      <c r="M1656" s="107">
        <v>1095.0999999999999</v>
      </c>
      <c r="N1656" s="107">
        <v>1128.5999999999999</v>
      </c>
      <c r="O1656" s="107">
        <v>1081.05</v>
      </c>
      <c r="P1656" s="107">
        <v>1081.05</v>
      </c>
      <c r="Q1656" s="107">
        <v>1095.0999999999999</v>
      </c>
      <c r="R1656">
        <v>343173</v>
      </c>
    </row>
    <row r="1657" spans="1:18" x14ac:dyDescent="0.25">
      <c r="A1657" s="148">
        <v>45776</v>
      </c>
      <c r="B1657" s="107">
        <v>1151.25</v>
      </c>
      <c r="C1657" s="107">
        <v>1147.4000000000001</v>
      </c>
      <c r="D1657" s="107">
        <v>1094.6500000000001</v>
      </c>
      <c r="E1657" s="107">
        <v>1097.25</v>
      </c>
      <c r="F1657" s="107">
        <v>1147.4000000000001</v>
      </c>
      <c r="G1657">
        <v>30865</v>
      </c>
      <c r="H1657" s="107"/>
      <c r="I1657" s="107"/>
      <c r="L1657" s="148">
        <v>45776</v>
      </c>
      <c r="M1657" s="107">
        <v>1147.05</v>
      </c>
      <c r="N1657" s="107">
        <v>1153.2</v>
      </c>
      <c r="O1657" s="107">
        <v>1095.05</v>
      </c>
      <c r="P1657" s="107">
        <v>1102.45</v>
      </c>
      <c r="Q1657" s="107">
        <v>1147.05</v>
      </c>
      <c r="R1657">
        <v>549289</v>
      </c>
    </row>
    <row r="1658" spans="1:18" x14ac:dyDescent="0.25">
      <c r="A1658" s="148">
        <v>45777</v>
      </c>
      <c r="B1658" s="107">
        <v>1135.1500000000001</v>
      </c>
      <c r="C1658" s="107">
        <v>1084.95</v>
      </c>
      <c r="D1658" s="107">
        <v>1076</v>
      </c>
      <c r="E1658" s="107">
        <v>1124.95</v>
      </c>
      <c r="F1658" s="107">
        <v>1084.95</v>
      </c>
      <c r="G1658">
        <v>22132</v>
      </c>
      <c r="H1658" s="107"/>
      <c r="I1658" s="107"/>
      <c r="L1658" s="148">
        <v>45777</v>
      </c>
      <c r="M1658" s="107">
        <v>1088.55</v>
      </c>
      <c r="N1658" s="107">
        <v>1140</v>
      </c>
      <c r="O1658" s="107">
        <v>1073</v>
      </c>
      <c r="P1658" s="107">
        <v>1140</v>
      </c>
      <c r="Q1658" s="107">
        <v>1088.55</v>
      </c>
      <c r="R1658">
        <v>406379</v>
      </c>
    </row>
    <row r="1659" spans="1:18" x14ac:dyDescent="0.25">
      <c r="A1659" s="148">
        <v>45779</v>
      </c>
      <c r="B1659" s="107">
        <v>1187</v>
      </c>
      <c r="C1659" s="107">
        <v>1162.3</v>
      </c>
      <c r="D1659" s="107">
        <v>1066.5</v>
      </c>
      <c r="E1659" s="107">
        <v>1066.5</v>
      </c>
      <c r="F1659" s="107">
        <v>1162.3</v>
      </c>
      <c r="G1659">
        <v>114590</v>
      </c>
      <c r="H1659" s="107"/>
      <c r="I1659" s="107"/>
      <c r="L1659" s="148">
        <v>45779</v>
      </c>
      <c r="M1659" s="107">
        <v>1162.9000000000001</v>
      </c>
      <c r="N1659" s="107">
        <v>1187.9000000000001</v>
      </c>
      <c r="O1659" s="107">
        <v>1095</v>
      </c>
      <c r="P1659" s="107">
        <v>1095</v>
      </c>
      <c r="Q1659" s="107">
        <v>1162.9000000000001</v>
      </c>
      <c r="R1659">
        <v>4055645</v>
      </c>
    </row>
    <row r="1660" spans="1:18" x14ac:dyDescent="0.25">
      <c r="A1660" s="148">
        <v>45782</v>
      </c>
      <c r="B1660" s="107">
        <v>1179.45</v>
      </c>
      <c r="C1660" s="107">
        <v>1171.8</v>
      </c>
      <c r="D1660" s="107">
        <v>1141.55</v>
      </c>
      <c r="E1660" s="107">
        <v>1179.45</v>
      </c>
      <c r="F1660" s="107">
        <v>1171.8</v>
      </c>
      <c r="G1660">
        <v>21456</v>
      </c>
      <c r="H1660" s="107"/>
      <c r="I1660" s="107"/>
      <c r="L1660" s="148">
        <v>45782</v>
      </c>
      <c r="M1660" s="107">
        <v>1170.3</v>
      </c>
      <c r="N1660" s="107">
        <v>1177.8</v>
      </c>
      <c r="O1660" s="107">
        <v>1142</v>
      </c>
      <c r="P1660" s="107">
        <v>1172</v>
      </c>
      <c r="Q1660" s="107">
        <v>1170.3</v>
      </c>
      <c r="R1660">
        <v>473280</v>
      </c>
    </row>
    <row r="1661" spans="1:18" x14ac:dyDescent="0.25">
      <c r="A1661" s="148">
        <v>45783</v>
      </c>
      <c r="B1661" s="107">
        <v>1177.4000000000001</v>
      </c>
      <c r="C1661" s="107">
        <v>1100.9000000000001</v>
      </c>
      <c r="D1661" s="107">
        <v>1091.3499999999999</v>
      </c>
      <c r="E1661" s="107">
        <v>1136.2</v>
      </c>
      <c r="F1661" s="107">
        <v>1100.9000000000001</v>
      </c>
      <c r="G1661">
        <v>33812</v>
      </c>
      <c r="H1661" s="107"/>
      <c r="I1661" s="107"/>
      <c r="L1661" s="148">
        <v>45783</v>
      </c>
      <c r="M1661" s="107">
        <v>1104.3</v>
      </c>
      <c r="N1661" s="107">
        <v>1178.4000000000001</v>
      </c>
      <c r="O1661" s="107">
        <v>1086.7</v>
      </c>
      <c r="P1661" s="107">
        <v>1162.5</v>
      </c>
      <c r="Q1661" s="107">
        <v>1104.3</v>
      </c>
      <c r="R1661">
        <v>393297</v>
      </c>
    </row>
    <row r="1662" spans="1:18" x14ac:dyDescent="0.25">
      <c r="A1662" s="148">
        <v>45784</v>
      </c>
      <c r="B1662" s="107">
        <v>1143.95</v>
      </c>
      <c r="C1662" s="107">
        <v>1133.7</v>
      </c>
      <c r="D1662" s="107">
        <v>1082.95</v>
      </c>
      <c r="E1662" s="107">
        <v>1082.95</v>
      </c>
      <c r="F1662" s="107">
        <v>1133.7</v>
      </c>
      <c r="G1662">
        <v>22514</v>
      </c>
      <c r="H1662" s="107"/>
      <c r="I1662" s="107"/>
      <c r="L1662" s="148">
        <v>45784</v>
      </c>
      <c r="M1662" s="107">
        <v>1137</v>
      </c>
      <c r="N1662" s="107">
        <v>1144.0999999999999</v>
      </c>
      <c r="O1662" s="107">
        <v>1087.5999999999999</v>
      </c>
      <c r="P1662" s="107">
        <v>1095</v>
      </c>
      <c r="Q1662" s="107">
        <v>1137</v>
      </c>
      <c r="R1662">
        <v>455723</v>
      </c>
    </row>
    <row r="1663" spans="1:18" x14ac:dyDescent="0.25">
      <c r="A1663" s="148">
        <v>45785</v>
      </c>
      <c r="B1663" s="107">
        <v>1170</v>
      </c>
      <c r="C1663" s="107">
        <v>1141</v>
      </c>
      <c r="D1663" s="107">
        <v>1122</v>
      </c>
      <c r="E1663" s="107">
        <v>1169.95</v>
      </c>
      <c r="F1663" s="107">
        <v>1141</v>
      </c>
      <c r="G1663">
        <v>18503</v>
      </c>
      <c r="H1663" s="107"/>
      <c r="I1663" s="107"/>
      <c r="L1663" s="148">
        <v>45785</v>
      </c>
      <c r="M1663" s="107">
        <v>1138.4000000000001</v>
      </c>
      <c r="N1663" s="107">
        <v>1173</v>
      </c>
      <c r="O1663" s="107">
        <v>1121.0999999999999</v>
      </c>
      <c r="P1663" s="107">
        <v>1137</v>
      </c>
      <c r="Q1663" s="107">
        <v>1138.4000000000001</v>
      </c>
      <c r="R1663">
        <v>579727</v>
      </c>
    </row>
    <row r="1664" spans="1:18" x14ac:dyDescent="0.25">
      <c r="A1664" s="148">
        <v>45786</v>
      </c>
      <c r="B1664" s="107">
        <v>1150.45</v>
      </c>
      <c r="C1664" s="107">
        <v>1130.25</v>
      </c>
      <c r="D1664" s="107">
        <v>1073.5</v>
      </c>
      <c r="E1664" s="107">
        <v>1082.0999999999999</v>
      </c>
      <c r="F1664" s="107">
        <v>1130.25</v>
      </c>
      <c r="G1664">
        <v>41703</v>
      </c>
      <c r="H1664" s="107"/>
      <c r="I1664" s="107"/>
      <c r="L1664" s="148">
        <v>45786</v>
      </c>
      <c r="M1664" s="107">
        <v>1125.9000000000001</v>
      </c>
      <c r="N1664" s="107">
        <v>1152</v>
      </c>
      <c r="O1664" s="107">
        <v>1072.0999999999999</v>
      </c>
      <c r="P1664" s="107">
        <v>1095</v>
      </c>
      <c r="Q1664" s="107">
        <v>1125.9000000000001</v>
      </c>
      <c r="R1664">
        <v>706454</v>
      </c>
    </row>
    <row r="1665" spans="1:18" x14ac:dyDescent="0.25">
      <c r="A1665" s="148">
        <v>45789</v>
      </c>
      <c r="B1665" s="107">
        <v>1168</v>
      </c>
      <c r="C1665" s="107">
        <v>1162.05</v>
      </c>
      <c r="D1665" s="107">
        <v>1132.25</v>
      </c>
      <c r="E1665" s="107">
        <v>1149.95</v>
      </c>
      <c r="F1665" s="107">
        <v>1162.05</v>
      </c>
      <c r="G1665">
        <v>27173</v>
      </c>
      <c r="H1665" s="107"/>
      <c r="I1665" s="107"/>
      <c r="L1665" s="148">
        <v>45789</v>
      </c>
      <c r="M1665" s="107">
        <v>1162.5</v>
      </c>
      <c r="N1665" s="107">
        <v>1169</v>
      </c>
      <c r="O1665" s="107">
        <v>1132.8</v>
      </c>
      <c r="P1665" s="107">
        <v>1148.5999999999999</v>
      </c>
      <c r="Q1665" s="107">
        <v>1162.5</v>
      </c>
      <c r="R1665">
        <v>408627</v>
      </c>
    </row>
    <row r="1666" spans="1:18" x14ac:dyDescent="0.25">
      <c r="A1666" s="148">
        <v>45790</v>
      </c>
      <c r="B1666" s="107">
        <v>1195.95</v>
      </c>
      <c r="C1666" s="107">
        <v>1189</v>
      </c>
      <c r="D1666" s="107">
        <v>1153.7</v>
      </c>
      <c r="E1666" s="107">
        <v>1160</v>
      </c>
      <c r="F1666" s="107">
        <v>1189</v>
      </c>
      <c r="G1666">
        <v>17584</v>
      </c>
      <c r="H1666" s="107"/>
      <c r="I1666" s="107"/>
      <c r="L1666" s="148">
        <v>45790</v>
      </c>
      <c r="M1666" s="107">
        <v>1187.8</v>
      </c>
      <c r="N1666" s="107">
        <v>1197</v>
      </c>
      <c r="O1666" s="107">
        <v>1153.7</v>
      </c>
      <c r="P1666" s="107">
        <v>1158.5</v>
      </c>
      <c r="Q1666" s="107">
        <v>1187.8</v>
      </c>
      <c r="R1666">
        <v>491616</v>
      </c>
    </row>
    <row r="1667" spans="1:18" x14ac:dyDescent="0.25">
      <c r="A1667" s="148">
        <v>45791</v>
      </c>
      <c r="B1667" s="107">
        <v>1198.5</v>
      </c>
      <c r="C1667" s="107">
        <v>1189</v>
      </c>
      <c r="D1667" s="107">
        <v>1179.8499999999999</v>
      </c>
      <c r="E1667" s="107">
        <v>1185.55</v>
      </c>
      <c r="F1667" s="107">
        <v>1189</v>
      </c>
      <c r="G1667">
        <v>22021</v>
      </c>
      <c r="H1667" s="107"/>
      <c r="I1667" s="107"/>
      <c r="L1667" s="148">
        <v>45791</v>
      </c>
      <c r="M1667" s="107">
        <v>1190</v>
      </c>
      <c r="N1667" s="107">
        <v>1199</v>
      </c>
      <c r="O1667" s="107">
        <v>1178.9000000000001</v>
      </c>
      <c r="P1667" s="107">
        <v>1189.5</v>
      </c>
      <c r="Q1667" s="107">
        <v>1190</v>
      </c>
      <c r="R1667">
        <v>269366</v>
      </c>
    </row>
    <row r="1668" spans="1:18" x14ac:dyDescent="0.25">
      <c r="A1668" s="148">
        <v>45792</v>
      </c>
      <c r="B1668" s="107">
        <v>1226.3499999999999</v>
      </c>
      <c r="C1668" s="107">
        <v>1194.3</v>
      </c>
      <c r="D1668" s="107">
        <v>1181.05</v>
      </c>
      <c r="E1668" s="107">
        <v>1181.05</v>
      </c>
      <c r="F1668" s="107">
        <v>1194.3</v>
      </c>
      <c r="G1668">
        <v>16433</v>
      </c>
      <c r="H1668" s="107"/>
      <c r="I1668" s="107"/>
      <c r="L1668" s="148">
        <v>45792</v>
      </c>
      <c r="M1668" s="107">
        <v>1195.5</v>
      </c>
      <c r="N1668" s="107">
        <v>1225.5999999999999</v>
      </c>
      <c r="O1668" s="107">
        <v>1182.5</v>
      </c>
      <c r="P1668" s="107">
        <v>1200</v>
      </c>
      <c r="Q1668" s="107">
        <v>1195.5</v>
      </c>
      <c r="R1668">
        <v>389525</v>
      </c>
    </row>
    <row r="1669" spans="1:18" x14ac:dyDescent="0.25">
      <c r="A1669" s="148">
        <v>45793</v>
      </c>
      <c r="B1669" s="107">
        <v>1215</v>
      </c>
      <c r="C1669" s="107">
        <v>1204.9000000000001</v>
      </c>
      <c r="D1669" s="107">
        <v>1185</v>
      </c>
      <c r="E1669" s="107">
        <v>1198.2</v>
      </c>
      <c r="F1669" s="107">
        <v>1204.9000000000001</v>
      </c>
      <c r="G1669">
        <v>9396</v>
      </c>
      <c r="H1669" s="107"/>
      <c r="I1669" s="107"/>
      <c r="L1669" s="148">
        <v>45793</v>
      </c>
      <c r="M1669" s="107">
        <v>1204.7</v>
      </c>
      <c r="N1669" s="107">
        <v>1217</v>
      </c>
      <c r="O1669" s="107">
        <v>1184</v>
      </c>
      <c r="P1669" s="107">
        <v>1201.7</v>
      </c>
      <c r="Q1669" s="107">
        <v>1204.7</v>
      </c>
      <c r="R1669">
        <v>289353</v>
      </c>
    </row>
    <row r="1670" spans="1:18" x14ac:dyDescent="0.25">
      <c r="A1670" s="148">
        <v>45796</v>
      </c>
      <c r="B1670" s="107">
        <v>1173.95</v>
      </c>
      <c r="C1670" s="107">
        <v>1121.4000000000001</v>
      </c>
      <c r="D1670" s="107">
        <v>1114.0999999999999</v>
      </c>
      <c r="E1670" s="107">
        <v>1160.05</v>
      </c>
      <c r="F1670" s="107">
        <v>1121.4000000000001</v>
      </c>
      <c r="G1670">
        <v>157520</v>
      </c>
      <c r="H1670" s="107"/>
      <c r="I1670" s="107"/>
      <c r="L1670" s="148">
        <v>45796</v>
      </c>
      <c r="M1670" s="107">
        <v>1120.5</v>
      </c>
      <c r="N1670" s="107">
        <v>1176.0999999999999</v>
      </c>
      <c r="O1670" s="107">
        <v>1113.2</v>
      </c>
      <c r="P1670" s="107">
        <v>1149</v>
      </c>
      <c r="Q1670" s="107">
        <v>1120.5</v>
      </c>
      <c r="R1670">
        <v>1489607</v>
      </c>
    </row>
    <row r="1671" spans="1:18" x14ac:dyDescent="0.25">
      <c r="A1671" s="148">
        <v>45797</v>
      </c>
      <c r="B1671" s="107">
        <v>1132</v>
      </c>
      <c r="C1671" s="107">
        <v>1103.9000000000001</v>
      </c>
      <c r="D1671" s="107">
        <v>1088.55</v>
      </c>
      <c r="E1671" s="107">
        <v>1120.2</v>
      </c>
      <c r="F1671" s="107">
        <v>1103.9000000000001</v>
      </c>
      <c r="G1671">
        <v>34359</v>
      </c>
      <c r="H1671" s="107"/>
      <c r="I1671" s="107"/>
      <c r="L1671" s="148">
        <v>45797</v>
      </c>
      <c r="M1671" s="107">
        <v>1101.9000000000001</v>
      </c>
      <c r="N1671" s="107">
        <v>1131.3</v>
      </c>
      <c r="O1671" s="107">
        <v>1088.9000000000001</v>
      </c>
      <c r="P1671" s="107">
        <v>1121</v>
      </c>
      <c r="Q1671" s="107">
        <v>1101.9000000000001</v>
      </c>
      <c r="R1671">
        <v>421296</v>
      </c>
    </row>
    <row r="1672" spans="1:18" x14ac:dyDescent="0.25">
      <c r="A1672" s="148">
        <v>45798</v>
      </c>
      <c r="B1672" s="107">
        <v>1115</v>
      </c>
      <c r="C1672" s="107">
        <v>1102.9000000000001</v>
      </c>
      <c r="D1672" s="107">
        <v>1085</v>
      </c>
      <c r="E1672" s="107">
        <v>1091.0999999999999</v>
      </c>
      <c r="F1672" s="107">
        <v>1102.9000000000001</v>
      </c>
      <c r="G1672">
        <v>33570</v>
      </c>
      <c r="H1672" s="107"/>
      <c r="I1672" s="107"/>
      <c r="L1672" s="148">
        <v>45798</v>
      </c>
      <c r="M1672" s="107">
        <v>1101.2</v>
      </c>
      <c r="N1672" s="107">
        <v>1116</v>
      </c>
      <c r="O1672" s="107">
        <v>1083.9000000000001</v>
      </c>
      <c r="P1672" s="107">
        <v>1100</v>
      </c>
      <c r="Q1672" s="107">
        <v>1101.2</v>
      </c>
      <c r="R1672">
        <v>218574</v>
      </c>
    </row>
    <row r="1673" spans="1:18" x14ac:dyDescent="0.25">
      <c r="A1673" s="148">
        <v>45799</v>
      </c>
      <c r="B1673" s="107">
        <v>1137.95</v>
      </c>
      <c r="C1673" s="107">
        <v>1113.75</v>
      </c>
      <c r="D1673" s="107">
        <v>1099.6500000000001</v>
      </c>
      <c r="E1673" s="107">
        <v>1099.7</v>
      </c>
      <c r="F1673" s="107">
        <v>1113.75</v>
      </c>
      <c r="G1673">
        <v>30291</v>
      </c>
      <c r="H1673" s="107"/>
      <c r="I1673" s="107"/>
      <c r="L1673" s="148">
        <v>45799</v>
      </c>
      <c r="M1673" s="107">
        <v>1118.8</v>
      </c>
      <c r="N1673" s="107">
        <v>1138.2</v>
      </c>
      <c r="O1673" s="107">
        <v>1096.3</v>
      </c>
      <c r="P1673" s="107">
        <v>1099</v>
      </c>
      <c r="Q1673" s="107">
        <v>1118.8</v>
      </c>
      <c r="R1673">
        <v>346654</v>
      </c>
    </row>
    <row r="1674" spans="1:18" x14ac:dyDescent="0.25">
      <c r="A1674" s="148">
        <v>45800</v>
      </c>
      <c r="B1674" s="107">
        <v>1125.5</v>
      </c>
      <c r="C1674" s="107">
        <v>1117.25</v>
      </c>
      <c r="D1674" s="107">
        <v>1097.45</v>
      </c>
      <c r="E1674" s="107">
        <v>1097.45</v>
      </c>
      <c r="F1674" s="107">
        <v>1117.25</v>
      </c>
      <c r="G1674">
        <v>2808</v>
      </c>
      <c r="H1674" s="107"/>
      <c r="I1674" s="107"/>
      <c r="L1674" s="148">
        <v>45800</v>
      </c>
      <c r="M1674" s="107">
        <v>1117.4000000000001</v>
      </c>
      <c r="N1674" s="107">
        <v>1128.8</v>
      </c>
      <c r="O1674" s="107">
        <v>1110.3</v>
      </c>
      <c r="P1674" s="107">
        <v>1114.0999999999999</v>
      </c>
      <c r="Q1674" s="107">
        <v>1117.4000000000001</v>
      </c>
      <c r="R1674">
        <v>250848</v>
      </c>
    </row>
    <row r="1675" spans="1:18" x14ac:dyDescent="0.25">
      <c r="A1675" s="148">
        <v>45803</v>
      </c>
      <c r="B1675" s="107">
        <v>1174</v>
      </c>
      <c r="C1675" s="107">
        <v>1144</v>
      </c>
      <c r="D1675" s="107">
        <v>1096.25</v>
      </c>
      <c r="E1675" s="107">
        <v>1096.25</v>
      </c>
      <c r="F1675" s="107">
        <v>1144</v>
      </c>
      <c r="G1675">
        <v>27954</v>
      </c>
      <c r="H1675" s="107"/>
      <c r="I1675" s="107"/>
      <c r="L1675" s="148">
        <v>45803</v>
      </c>
      <c r="M1675" s="107">
        <v>1143.7</v>
      </c>
      <c r="N1675" s="107">
        <v>1175</v>
      </c>
      <c r="O1675" s="107">
        <v>1117.5999999999999</v>
      </c>
      <c r="P1675" s="107">
        <v>1117.5999999999999</v>
      </c>
      <c r="Q1675" s="107">
        <v>1143.7</v>
      </c>
      <c r="R1675">
        <v>794046</v>
      </c>
    </row>
    <row r="1676" spans="1:18" x14ac:dyDescent="0.25">
      <c r="A1676" s="148">
        <v>45804</v>
      </c>
      <c r="B1676" s="107">
        <v>1253.6500000000001</v>
      </c>
      <c r="C1676" s="107">
        <v>1174.9000000000001</v>
      </c>
      <c r="D1676" s="107">
        <v>1140</v>
      </c>
      <c r="E1676" s="107">
        <v>1144.25</v>
      </c>
      <c r="F1676" s="107">
        <v>1174.9000000000001</v>
      </c>
      <c r="G1676">
        <v>437121</v>
      </c>
      <c r="H1676" s="107"/>
      <c r="I1676" s="107"/>
      <c r="L1676" s="148">
        <v>45804</v>
      </c>
      <c r="M1676" s="107">
        <v>1173.8</v>
      </c>
      <c r="N1676" s="107">
        <v>1253.5999999999999</v>
      </c>
      <c r="O1676" s="107">
        <v>1147</v>
      </c>
      <c r="P1676" s="107">
        <v>1149.4000000000001</v>
      </c>
      <c r="Q1676" s="107">
        <v>1173.8</v>
      </c>
      <c r="R1676">
        <v>5852092</v>
      </c>
    </row>
    <row r="1677" spans="1:18" x14ac:dyDescent="0.25">
      <c r="A1677" s="148">
        <v>45805</v>
      </c>
      <c r="B1677" s="107">
        <v>1193</v>
      </c>
      <c r="C1677" s="107">
        <v>1186.3</v>
      </c>
      <c r="D1677" s="107">
        <v>1168.55</v>
      </c>
      <c r="E1677" s="107">
        <v>1168.55</v>
      </c>
      <c r="F1677" s="107">
        <v>1186.3</v>
      </c>
      <c r="G1677">
        <v>22449</v>
      </c>
      <c r="H1677" s="107"/>
      <c r="I1677" s="107"/>
      <c r="L1677" s="148">
        <v>45805</v>
      </c>
      <c r="M1677" s="107">
        <v>1185.9000000000001</v>
      </c>
      <c r="N1677" s="107">
        <v>1193.9000000000001</v>
      </c>
      <c r="O1677" s="107">
        <v>1169</v>
      </c>
      <c r="P1677" s="107">
        <v>1174.9000000000001</v>
      </c>
      <c r="Q1677" s="107">
        <v>1185.9000000000001</v>
      </c>
      <c r="R1677">
        <v>312912</v>
      </c>
    </row>
    <row r="1678" spans="1:18" x14ac:dyDescent="0.25">
      <c r="A1678" s="148">
        <v>45806</v>
      </c>
      <c r="B1678" s="107">
        <v>1186</v>
      </c>
      <c r="C1678" s="107">
        <v>1167.5</v>
      </c>
      <c r="D1678" s="107">
        <v>1161</v>
      </c>
      <c r="E1678" s="107">
        <v>1175</v>
      </c>
      <c r="F1678" s="107">
        <v>1167.5</v>
      </c>
      <c r="G1678">
        <v>19163</v>
      </c>
      <c r="H1678" s="107"/>
      <c r="I1678" s="107"/>
      <c r="L1678" s="148">
        <v>45806</v>
      </c>
      <c r="M1678" s="107">
        <v>1168.5999999999999</v>
      </c>
      <c r="N1678" s="107">
        <v>1185.7</v>
      </c>
      <c r="O1678" s="107">
        <v>1161</v>
      </c>
      <c r="P1678" s="107">
        <v>1185</v>
      </c>
      <c r="Q1678" s="107">
        <v>1168.5999999999999</v>
      </c>
      <c r="R1678">
        <v>215369</v>
      </c>
    </row>
    <row r="1679" spans="1:18" x14ac:dyDescent="0.25">
      <c r="A1679" s="148">
        <v>45807</v>
      </c>
      <c r="B1679" s="107">
        <v>1171.2</v>
      </c>
      <c r="C1679" s="107">
        <v>1144.95</v>
      </c>
      <c r="D1679" s="107">
        <v>1139.7</v>
      </c>
      <c r="E1679" s="107">
        <v>1168.8499999999999</v>
      </c>
      <c r="F1679" s="107">
        <v>1144.95</v>
      </c>
      <c r="G1679">
        <v>6689</v>
      </c>
      <c r="H1679" s="107"/>
      <c r="I1679" s="107"/>
      <c r="L1679" s="148">
        <v>45807</v>
      </c>
      <c r="M1679" s="107">
        <v>1144.5</v>
      </c>
      <c r="N1679" s="107">
        <v>1173.2</v>
      </c>
      <c r="O1679" s="107">
        <v>1140.0999999999999</v>
      </c>
      <c r="P1679" s="107">
        <v>1164</v>
      </c>
      <c r="Q1679" s="107">
        <v>1144.5</v>
      </c>
      <c r="R1679">
        <v>167223</v>
      </c>
    </row>
    <row r="1680" spans="1:18" x14ac:dyDescent="0.25">
      <c r="A1680" s="148">
        <v>45810</v>
      </c>
      <c r="B1680" s="107">
        <v>1163.75</v>
      </c>
      <c r="C1680" s="107">
        <v>1157.2</v>
      </c>
      <c r="D1680" s="107">
        <v>1105.0999999999999</v>
      </c>
      <c r="E1680" s="107">
        <v>1126.2</v>
      </c>
      <c r="F1680" s="107">
        <v>1157.2</v>
      </c>
      <c r="G1680">
        <v>24453</v>
      </c>
      <c r="H1680" s="107"/>
      <c r="I1680" s="107"/>
      <c r="L1680" s="148">
        <v>45810</v>
      </c>
      <c r="M1680" s="107">
        <v>1157.7</v>
      </c>
      <c r="N1680" s="107">
        <v>1165</v>
      </c>
      <c r="O1680" s="107">
        <v>1105</v>
      </c>
      <c r="P1680" s="107">
        <v>1140</v>
      </c>
      <c r="Q1680" s="107">
        <v>1157.7</v>
      </c>
      <c r="R1680">
        <v>427901</v>
      </c>
    </row>
    <row r="1681" spans="1:18" x14ac:dyDescent="0.25">
      <c r="A1681" s="148">
        <v>45811</v>
      </c>
      <c r="B1681" s="107">
        <v>1171.1500000000001</v>
      </c>
      <c r="C1681" s="107">
        <v>1165.05</v>
      </c>
      <c r="D1681" s="107">
        <v>1150.5</v>
      </c>
      <c r="E1681" s="107">
        <v>1150.5</v>
      </c>
      <c r="F1681" s="107">
        <v>1165.05</v>
      </c>
      <c r="G1681">
        <v>7038</v>
      </c>
      <c r="H1681" s="107"/>
      <c r="I1681" s="107"/>
      <c r="L1681" s="148">
        <v>45811</v>
      </c>
      <c r="M1681" s="107">
        <v>1164.0999999999999</v>
      </c>
      <c r="N1681" s="107">
        <v>1172</v>
      </c>
      <c r="O1681" s="107">
        <v>1150</v>
      </c>
      <c r="P1681" s="107">
        <v>1151.0999999999999</v>
      </c>
      <c r="Q1681" s="107">
        <v>1164.0999999999999</v>
      </c>
      <c r="R1681">
        <v>166234</v>
      </c>
    </row>
    <row r="1682" spans="1:18" x14ac:dyDescent="0.25">
      <c r="A1682" s="148">
        <v>45812</v>
      </c>
      <c r="B1682" s="107">
        <v>1180.3</v>
      </c>
      <c r="C1682" s="107">
        <v>1169.6500000000001</v>
      </c>
      <c r="D1682" s="107">
        <v>1147.05</v>
      </c>
      <c r="E1682" s="107">
        <v>1147.05</v>
      </c>
      <c r="F1682" s="107">
        <v>1169.6500000000001</v>
      </c>
      <c r="G1682">
        <v>10152</v>
      </c>
      <c r="H1682" s="107"/>
      <c r="I1682" s="107"/>
      <c r="L1682" s="148">
        <v>45812</v>
      </c>
      <c r="M1682" s="107">
        <v>1170.3</v>
      </c>
      <c r="N1682" s="107">
        <v>1180.7</v>
      </c>
      <c r="O1682" s="107">
        <v>1152.7</v>
      </c>
      <c r="P1682" s="107">
        <v>1164.0999999999999</v>
      </c>
      <c r="Q1682" s="107">
        <v>1170.3</v>
      </c>
      <c r="R1682">
        <v>187257</v>
      </c>
    </row>
    <row r="1683" spans="1:18" x14ac:dyDescent="0.25">
      <c r="A1683" s="148">
        <v>45813</v>
      </c>
      <c r="B1683" s="107">
        <v>1187.0999999999999</v>
      </c>
      <c r="C1683" s="107">
        <v>1182.25</v>
      </c>
      <c r="D1683" s="107">
        <v>1170.1500000000001</v>
      </c>
      <c r="E1683" s="107">
        <v>1170.8</v>
      </c>
      <c r="F1683" s="107">
        <v>1182.25</v>
      </c>
      <c r="G1683">
        <v>8243</v>
      </c>
      <c r="H1683" s="107"/>
      <c r="I1683" s="107"/>
      <c r="L1683" s="148">
        <v>45813</v>
      </c>
      <c r="M1683" s="107">
        <v>1182.8</v>
      </c>
      <c r="N1683" s="107">
        <v>1189.2</v>
      </c>
      <c r="O1683" s="107">
        <v>1168.4000000000001</v>
      </c>
      <c r="P1683" s="107">
        <v>1174.8</v>
      </c>
      <c r="Q1683" s="107">
        <v>1182.8</v>
      </c>
      <c r="R1683">
        <v>177709</v>
      </c>
    </row>
    <row r="1684" spans="1:18" x14ac:dyDescent="0.25">
      <c r="A1684" s="148">
        <v>45814</v>
      </c>
      <c r="B1684" s="107">
        <v>1252.1500000000001</v>
      </c>
      <c r="C1684" s="107">
        <v>1199.55</v>
      </c>
      <c r="D1684" s="107">
        <v>1175.05</v>
      </c>
      <c r="E1684" s="107">
        <v>1175.05</v>
      </c>
      <c r="F1684" s="107">
        <v>1199.55</v>
      </c>
      <c r="G1684">
        <v>31942</v>
      </c>
      <c r="H1684" s="107"/>
      <c r="I1684" s="107"/>
      <c r="L1684" s="148">
        <v>45814</v>
      </c>
      <c r="M1684" s="107">
        <v>1199.8</v>
      </c>
      <c r="N1684" s="107">
        <v>1250</v>
      </c>
      <c r="O1684" s="107">
        <v>1181.0999999999999</v>
      </c>
      <c r="P1684" s="107">
        <v>1182.8</v>
      </c>
      <c r="Q1684" s="107">
        <v>1199.8</v>
      </c>
      <c r="R1684">
        <v>976870</v>
      </c>
    </row>
    <row r="1685" spans="1:18" x14ac:dyDescent="0.25">
      <c r="A1685" s="148">
        <v>45817</v>
      </c>
      <c r="B1685" s="107">
        <v>1235.7</v>
      </c>
      <c r="C1685" s="107">
        <v>1205.25</v>
      </c>
      <c r="D1685" s="107">
        <v>1200.05</v>
      </c>
      <c r="E1685" s="107">
        <v>1200.05</v>
      </c>
      <c r="F1685" s="107">
        <v>1205.25</v>
      </c>
      <c r="G1685">
        <v>9667</v>
      </c>
      <c r="H1685" s="107"/>
      <c r="I1685" s="107"/>
      <c r="L1685" s="148">
        <v>45817</v>
      </c>
      <c r="M1685" s="107">
        <v>1205.0999999999999</v>
      </c>
      <c r="N1685" s="107">
        <v>1236.2</v>
      </c>
      <c r="O1685" s="107">
        <v>1199.9000000000001</v>
      </c>
      <c r="P1685" s="107">
        <v>1205.8</v>
      </c>
      <c r="Q1685" s="107">
        <v>1205.0999999999999</v>
      </c>
      <c r="R1685">
        <v>263151</v>
      </c>
    </row>
    <row r="1686" spans="1:18" x14ac:dyDescent="0.25">
      <c r="A1686" s="148">
        <v>45818</v>
      </c>
      <c r="B1686" s="107">
        <v>1210.25</v>
      </c>
      <c r="C1686" s="107">
        <v>1196.2</v>
      </c>
      <c r="D1686" s="107">
        <v>1189.55</v>
      </c>
      <c r="E1686" s="107">
        <v>1207</v>
      </c>
      <c r="F1686" s="107">
        <v>1196.2</v>
      </c>
      <c r="G1686">
        <v>11021</v>
      </c>
      <c r="H1686" s="107"/>
      <c r="I1686" s="107"/>
      <c r="L1686" s="148">
        <v>45818</v>
      </c>
      <c r="M1686" s="107">
        <v>1196.5999999999999</v>
      </c>
      <c r="N1686" s="107">
        <v>1210.5999999999999</v>
      </c>
      <c r="O1686" s="107">
        <v>1191</v>
      </c>
      <c r="P1686" s="107">
        <v>1206.8</v>
      </c>
      <c r="Q1686" s="107">
        <v>1196.5999999999999</v>
      </c>
      <c r="R1686">
        <v>145258</v>
      </c>
    </row>
    <row r="1687" spans="1:18" x14ac:dyDescent="0.25">
      <c r="A1687" s="148">
        <v>45819</v>
      </c>
      <c r="B1687" s="107">
        <v>1249.95</v>
      </c>
      <c r="C1687" s="107">
        <v>1220.7</v>
      </c>
      <c r="D1687" s="107">
        <v>1209.1500000000001</v>
      </c>
      <c r="E1687" s="107">
        <v>1236.45</v>
      </c>
      <c r="F1687" s="107">
        <v>1220.7</v>
      </c>
      <c r="G1687">
        <v>48180</v>
      </c>
      <c r="H1687" s="107"/>
      <c r="I1687" s="107"/>
      <c r="L1687" s="148">
        <v>45819</v>
      </c>
      <c r="M1687" s="107">
        <v>1221.8</v>
      </c>
      <c r="N1687" s="107">
        <v>1249</v>
      </c>
      <c r="O1687" s="107">
        <v>1205</v>
      </c>
      <c r="P1687" s="107">
        <v>1216.5999999999999</v>
      </c>
      <c r="Q1687" s="107">
        <v>1221.8</v>
      </c>
      <c r="R1687">
        <v>996883</v>
      </c>
    </row>
    <row r="1688" spans="1:18" x14ac:dyDescent="0.25">
      <c r="A1688" s="148">
        <v>45820</v>
      </c>
      <c r="B1688" s="107">
        <v>1234.8</v>
      </c>
      <c r="C1688" s="107">
        <v>1187.0999999999999</v>
      </c>
      <c r="D1688" s="107">
        <v>1178.45</v>
      </c>
      <c r="E1688" s="107">
        <v>1234.8</v>
      </c>
      <c r="F1688" s="107">
        <v>1187.0999999999999</v>
      </c>
      <c r="G1688">
        <v>9376</v>
      </c>
      <c r="H1688" s="107"/>
      <c r="I1688" s="107"/>
      <c r="L1688" s="148">
        <v>45820</v>
      </c>
      <c r="M1688" s="107">
        <v>1190.8</v>
      </c>
      <c r="N1688" s="107">
        <v>1219.9000000000001</v>
      </c>
      <c r="O1688" s="107">
        <v>1179.5</v>
      </c>
      <c r="P1688" s="107">
        <v>1219.9000000000001</v>
      </c>
      <c r="Q1688" s="107">
        <v>1190.8</v>
      </c>
      <c r="R1688">
        <v>217809</v>
      </c>
    </row>
    <row r="1689" spans="1:18" x14ac:dyDescent="0.25">
      <c r="A1689" s="148">
        <v>45821</v>
      </c>
      <c r="B1689" s="107">
        <v>1186.4000000000001</v>
      </c>
      <c r="C1689" s="107">
        <v>1180.3499999999999</v>
      </c>
      <c r="D1689" s="107">
        <v>1145.3499999999999</v>
      </c>
      <c r="E1689" s="107">
        <v>1145.3499999999999</v>
      </c>
      <c r="F1689" s="107">
        <v>1180.3499999999999</v>
      </c>
      <c r="G1689">
        <v>6469</v>
      </c>
      <c r="H1689" s="107"/>
      <c r="I1689" s="107"/>
      <c r="L1689" s="148">
        <v>45821</v>
      </c>
      <c r="M1689" s="107">
        <v>1181.4000000000001</v>
      </c>
      <c r="N1689" s="107">
        <v>1185.8</v>
      </c>
      <c r="O1689" s="107">
        <v>1148.5</v>
      </c>
      <c r="P1689" s="107">
        <v>1151</v>
      </c>
      <c r="Q1689" s="107">
        <v>1181.4000000000001</v>
      </c>
      <c r="R1689">
        <v>349040</v>
      </c>
    </row>
    <row r="1690" spans="1:18" x14ac:dyDescent="0.25">
      <c r="A1690" s="148">
        <v>45824</v>
      </c>
      <c r="B1690" s="107">
        <v>1198.5</v>
      </c>
      <c r="C1690" s="107">
        <v>1193.6500000000001</v>
      </c>
      <c r="D1690" s="107">
        <v>1165.05</v>
      </c>
      <c r="E1690" s="107">
        <v>1165.05</v>
      </c>
      <c r="F1690" s="107">
        <v>1193.6500000000001</v>
      </c>
      <c r="G1690">
        <v>4648</v>
      </c>
      <c r="H1690" s="107"/>
      <c r="I1690" s="107"/>
      <c r="L1690" s="148">
        <v>45824</v>
      </c>
      <c r="M1690" s="107">
        <v>1195.0999999999999</v>
      </c>
      <c r="N1690" s="107">
        <v>1200</v>
      </c>
      <c r="O1690" s="107">
        <v>1169.3</v>
      </c>
      <c r="P1690" s="107">
        <v>1181.4000000000001</v>
      </c>
      <c r="Q1690" s="107">
        <v>1195.0999999999999</v>
      </c>
      <c r="R1690">
        <v>136345</v>
      </c>
    </row>
    <row r="1691" spans="1:18" x14ac:dyDescent="0.25">
      <c r="A1691" s="148">
        <v>45825</v>
      </c>
      <c r="B1691" s="107">
        <v>1191.9000000000001</v>
      </c>
      <c r="C1691" s="107">
        <v>1153.0999999999999</v>
      </c>
      <c r="D1691" s="107">
        <v>1141.8</v>
      </c>
      <c r="E1691" s="107">
        <v>1190.95</v>
      </c>
      <c r="F1691" s="107">
        <v>1153.0999999999999</v>
      </c>
      <c r="G1691">
        <v>10180</v>
      </c>
      <c r="H1691" s="107"/>
      <c r="I1691" s="107"/>
      <c r="L1691" s="148">
        <v>45825</v>
      </c>
      <c r="M1691" s="107">
        <v>1149.3</v>
      </c>
      <c r="N1691" s="107">
        <v>1190.0999999999999</v>
      </c>
      <c r="O1691" s="107">
        <v>1138.5999999999999</v>
      </c>
      <c r="P1691" s="107">
        <v>1184.2</v>
      </c>
      <c r="Q1691" s="107">
        <v>1149.3</v>
      </c>
      <c r="R1691">
        <v>359900</v>
      </c>
    </row>
    <row r="1692" spans="1:18" x14ac:dyDescent="0.25">
      <c r="A1692" s="148">
        <v>45826</v>
      </c>
      <c r="B1692" s="107">
        <v>1158.8499999999999</v>
      </c>
      <c r="C1692" s="107">
        <v>1139.1500000000001</v>
      </c>
      <c r="D1692" s="107">
        <v>1125.05</v>
      </c>
      <c r="E1692" s="107">
        <v>1140.1500000000001</v>
      </c>
      <c r="F1692" s="107">
        <v>1139.1500000000001</v>
      </c>
      <c r="G1692">
        <v>9469</v>
      </c>
      <c r="H1692" s="107"/>
      <c r="I1692" s="107"/>
      <c r="L1692" s="148">
        <v>45826</v>
      </c>
      <c r="M1692" s="107">
        <v>1140</v>
      </c>
      <c r="N1692" s="107">
        <v>1154.5</v>
      </c>
      <c r="O1692" s="107">
        <v>1126</v>
      </c>
      <c r="P1692" s="107">
        <v>1149.4000000000001</v>
      </c>
      <c r="Q1692" s="107">
        <v>1140</v>
      </c>
      <c r="R1692">
        <v>185821</v>
      </c>
    </row>
    <row r="1693" spans="1:18" x14ac:dyDescent="0.25">
      <c r="A1693" s="148">
        <v>45827</v>
      </c>
      <c r="B1693" s="107">
        <v>1142</v>
      </c>
      <c r="C1693" s="107">
        <v>1118.3499999999999</v>
      </c>
      <c r="D1693" s="107">
        <v>1115.5</v>
      </c>
      <c r="E1693" s="107">
        <v>1142</v>
      </c>
      <c r="F1693" s="107">
        <v>1118.3499999999999</v>
      </c>
      <c r="G1693">
        <v>3525</v>
      </c>
      <c r="H1693" s="107"/>
      <c r="I1693" s="107"/>
      <c r="L1693" s="148">
        <v>45827</v>
      </c>
      <c r="M1693" s="107">
        <v>1119.7</v>
      </c>
      <c r="N1693" s="107">
        <v>1143</v>
      </c>
      <c r="O1693" s="107">
        <v>1115.4000000000001</v>
      </c>
      <c r="P1693" s="107">
        <v>1135</v>
      </c>
      <c r="Q1693" s="107">
        <v>1119.7</v>
      </c>
      <c r="R1693">
        <v>152270</v>
      </c>
    </row>
    <row r="1694" spans="1:18" x14ac:dyDescent="0.25">
      <c r="A1694" s="148">
        <v>45828</v>
      </c>
      <c r="B1694" s="107">
        <v>1139.1500000000001</v>
      </c>
      <c r="C1694" s="107">
        <v>1111.7</v>
      </c>
      <c r="D1694" s="107">
        <v>1101</v>
      </c>
      <c r="E1694" s="107">
        <v>1118.3499999999999</v>
      </c>
      <c r="F1694" s="107">
        <v>1111.7</v>
      </c>
      <c r="G1694">
        <v>5770</v>
      </c>
      <c r="H1694" s="107"/>
      <c r="I1694" s="107"/>
      <c r="L1694" s="148">
        <v>45828</v>
      </c>
      <c r="M1694" s="107">
        <v>1113.3</v>
      </c>
      <c r="N1694" s="107">
        <v>1153</v>
      </c>
      <c r="O1694" s="107">
        <v>1099.7</v>
      </c>
      <c r="P1694" s="107">
        <v>1119.7</v>
      </c>
      <c r="Q1694" s="107">
        <v>1113.3</v>
      </c>
      <c r="R1694">
        <v>295768</v>
      </c>
    </row>
    <row r="1695" spans="1:18" x14ac:dyDescent="0.25">
      <c r="A1695" s="148">
        <v>45831</v>
      </c>
      <c r="B1695" s="107">
        <v>1152.7</v>
      </c>
      <c r="C1695" s="107">
        <v>1128.3499999999999</v>
      </c>
      <c r="D1695" s="107">
        <v>1111</v>
      </c>
      <c r="E1695" s="107">
        <v>1111</v>
      </c>
      <c r="F1695" s="107">
        <v>1128.3499999999999</v>
      </c>
      <c r="G1695">
        <v>25520</v>
      </c>
      <c r="H1695" s="107"/>
      <c r="I1695" s="107"/>
      <c r="L1695" s="148">
        <v>45831</v>
      </c>
      <c r="M1695" s="107">
        <v>1126.5999999999999</v>
      </c>
      <c r="N1695" s="107">
        <v>1154</v>
      </c>
      <c r="O1695" s="107">
        <v>1113.5</v>
      </c>
      <c r="P1695" s="107">
        <v>1115</v>
      </c>
      <c r="Q1695" s="107">
        <v>1126.5999999999999</v>
      </c>
      <c r="R1695">
        <v>447872</v>
      </c>
    </row>
    <row r="1696" spans="1:18" x14ac:dyDescent="0.25">
      <c r="A1696" s="148">
        <v>45832</v>
      </c>
      <c r="B1696" s="107">
        <v>1179</v>
      </c>
      <c r="C1696" s="107">
        <v>1162.5999999999999</v>
      </c>
      <c r="D1696" s="107">
        <v>1130.4000000000001</v>
      </c>
      <c r="E1696" s="107">
        <v>1130.4000000000001</v>
      </c>
      <c r="F1696" s="107">
        <v>1162.5999999999999</v>
      </c>
      <c r="G1696">
        <v>23079</v>
      </c>
      <c r="H1696" s="107"/>
      <c r="I1696" s="107"/>
      <c r="L1696" s="148">
        <v>45832</v>
      </c>
      <c r="M1696" s="107">
        <v>1161.9000000000001</v>
      </c>
      <c r="N1696" s="107">
        <v>1178.8</v>
      </c>
      <c r="O1696" s="107">
        <v>1137</v>
      </c>
      <c r="P1696" s="107">
        <v>1148.8</v>
      </c>
      <c r="Q1696" s="107">
        <v>1161.9000000000001</v>
      </c>
      <c r="R1696">
        <v>344515</v>
      </c>
    </row>
    <row r="1697" spans="1:18" x14ac:dyDescent="0.25">
      <c r="A1697" s="148">
        <v>45833</v>
      </c>
      <c r="B1697" s="107">
        <v>1220.8499999999999</v>
      </c>
      <c r="C1697" s="107">
        <v>1205.55</v>
      </c>
      <c r="D1697" s="107">
        <v>1166.05</v>
      </c>
      <c r="E1697" s="107">
        <v>1166.05</v>
      </c>
      <c r="F1697" s="107">
        <v>1205.55</v>
      </c>
      <c r="G1697">
        <v>37801</v>
      </c>
      <c r="H1697" s="107"/>
      <c r="I1697" s="107"/>
      <c r="L1697" s="148">
        <v>45833</v>
      </c>
      <c r="M1697" s="107">
        <v>1202.9000000000001</v>
      </c>
      <c r="N1697" s="107">
        <v>1221</v>
      </c>
      <c r="O1697" s="107">
        <v>1163.0999999999999</v>
      </c>
      <c r="P1697" s="107">
        <v>1163.0999999999999</v>
      </c>
      <c r="Q1697" s="107">
        <v>1202.9000000000001</v>
      </c>
      <c r="R1697">
        <v>620031</v>
      </c>
    </row>
    <row r="1698" spans="1:18" x14ac:dyDescent="0.25">
      <c r="A1698" s="148">
        <v>45834</v>
      </c>
      <c r="B1698" s="107">
        <v>1210.3499999999999</v>
      </c>
      <c r="C1698" s="107">
        <v>1187.55</v>
      </c>
      <c r="D1698" s="107">
        <v>1183.3499999999999</v>
      </c>
      <c r="E1698" s="107">
        <v>1200.05</v>
      </c>
      <c r="F1698" s="107">
        <v>1187.55</v>
      </c>
      <c r="G1698">
        <v>6477</v>
      </c>
      <c r="H1698" s="107"/>
      <c r="I1698" s="107"/>
      <c r="L1698" s="148">
        <v>45834</v>
      </c>
      <c r="M1698" s="107">
        <v>1186.5999999999999</v>
      </c>
      <c r="N1698" s="107">
        <v>1211.9000000000001</v>
      </c>
      <c r="O1698" s="107">
        <v>1181.0999999999999</v>
      </c>
      <c r="P1698" s="107">
        <v>1202.9000000000001</v>
      </c>
      <c r="Q1698" s="107">
        <v>1186.5999999999999</v>
      </c>
      <c r="R1698">
        <v>138147</v>
      </c>
    </row>
    <row r="1699" spans="1:18" x14ac:dyDescent="0.25">
      <c r="A1699" s="148">
        <v>45835</v>
      </c>
      <c r="B1699" s="107">
        <v>1231.2</v>
      </c>
      <c r="C1699" s="107">
        <v>1218.95</v>
      </c>
      <c r="D1699" s="107">
        <v>1190</v>
      </c>
      <c r="E1699" s="107">
        <v>1190</v>
      </c>
      <c r="F1699" s="107">
        <v>1218.95</v>
      </c>
      <c r="G1699">
        <v>24004</v>
      </c>
      <c r="H1699" s="107"/>
      <c r="I1699" s="107"/>
      <c r="L1699" s="148">
        <v>45835</v>
      </c>
      <c r="M1699" s="107">
        <v>1218.4000000000001</v>
      </c>
      <c r="N1699" s="107">
        <v>1232.8</v>
      </c>
      <c r="O1699" s="107">
        <v>1190.2</v>
      </c>
      <c r="P1699" s="107">
        <v>1192.3</v>
      </c>
      <c r="Q1699" s="107">
        <v>1218.4000000000001</v>
      </c>
      <c r="R1699">
        <v>268999</v>
      </c>
    </row>
    <row r="1700" spans="1:18" x14ac:dyDescent="0.25">
      <c r="A1700" s="148">
        <v>45838</v>
      </c>
      <c r="B1700" s="107">
        <v>1230.5</v>
      </c>
      <c r="C1700" s="107">
        <v>1210.55</v>
      </c>
      <c r="D1700" s="107">
        <v>1201.6500000000001</v>
      </c>
      <c r="E1700" s="107">
        <v>1211.2</v>
      </c>
      <c r="F1700" s="107">
        <v>1210.55</v>
      </c>
      <c r="G1700">
        <v>7024</v>
      </c>
      <c r="H1700" s="107"/>
      <c r="I1700" s="107"/>
      <c r="L1700" s="148">
        <v>45838</v>
      </c>
      <c r="M1700" s="107">
        <v>1209.7</v>
      </c>
      <c r="N1700" s="107">
        <v>1231</v>
      </c>
      <c r="O1700" s="107">
        <v>1201.5999999999999</v>
      </c>
      <c r="P1700" s="107">
        <v>1213</v>
      </c>
      <c r="Q1700" s="107">
        <v>1209.7</v>
      </c>
      <c r="R1700">
        <v>146733</v>
      </c>
    </row>
    <row r="1701" spans="1:18" x14ac:dyDescent="0.25">
      <c r="A1701" s="148">
        <v>45839</v>
      </c>
      <c r="B1701" s="107">
        <v>1276.6500000000001</v>
      </c>
      <c r="C1701" s="107">
        <v>1256.05</v>
      </c>
      <c r="D1701" s="107">
        <v>1209</v>
      </c>
      <c r="E1701" s="107">
        <v>1209</v>
      </c>
      <c r="F1701" s="107">
        <v>1256.05</v>
      </c>
      <c r="G1701">
        <v>110343</v>
      </c>
      <c r="H1701" s="107"/>
      <c r="I1701" s="107"/>
      <c r="L1701" s="148">
        <v>45839</v>
      </c>
      <c r="M1701" s="107">
        <v>1257.3</v>
      </c>
      <c r="N1701" s="107">
        <v>1273.9000000000001</v>
      </c>
      <c r="O1701" s="107">
        <v>1210</v>
      </c>
      <c r="P1701" s="107">
        <v>1222</v>
      </c>
      <c r="Q1701" s="107">
        <v>1257.3</v>
      </c>
      <c r="R1701">
        <v>895406</v>
      </c>
    </row>
    <row r="1702" spans="1:18" x14ac:dyDescent="0.25">
      <c r="A1702" s="148">
        <v>45840</v>
      </c>
      <c r="B1702" s="107">
        <v>1275</v>
      </c>
      <c r="C1702" s="107">
        <v>1267.8499999999999</v>
      </c>
      <c r="D1702" s="107">
        <v>1232.05</v>
      </c>
      <c r="E1702" s="107">
        <v>1267.8</v>
      </c>
      <c r="F1702" s="107">
        <v>1267.8499999999999</v>
      </c>
      <c r="G1702">
        <v>17082</v>
      </c>
      <c r="H1702" s="107"/>
      <c r="I1702" s="107"/>
      <c r="L1702" s="148">
        <v>45840</v>
      </c>
      <c r="M1702" s="107">
        <v>1268.2</v>
      </c>
      <c r="N1702" s="107">
        <v>1276</v>
      </c>
      <c r="O1702" s="107">
        <v>1230.0999999999999</v>
      </c>
      <c r="P1702" s="107">
        <v>1261.3</v>
      </c>
      <c r="Q1702" s="107">
        <v>1268.2</v>
      </c>
      <c r="R1702">
        <v>425593</v>
      </c>
    </row>
    <row r="1703" spans="1:18" x14ac:dyDescent="0.25">
      <c r="A1703" s="148">
        <v>45841</v>
      </c>
      <c r="B1703" s="107">
        <v>1267</v>
      </c>
      <c r="C1703" s="107">
        <v>1241.4000000000001</v>
      </c>
      <c r="D1703" s="107">
        <v>1237.75</v>
      </c>
      <c r="E1703" s="107">
        <v>1264</v>
      </c>
      <c r="F1703" s="107">
        <v>1241.4000000000001</v>
      </c>
      <c r="G1703">
        <v>7466</v>
      </c>
      <c r="H1703" s="107"/>
      <c r="I1703" s="107"/>
      <c r="L1703" s="148">
        <v>45841</v>
      </c>
      <c r="M1703" s="107">
        <v>1241</v>
      </c>
      <c r="N1703" s="107">
        <v>1267.8</v>
      </c>
      <c r="O1703" s="107">
        <v>1238</v>
      </c>
      <c r="P1703" s="107">
        <v>1258</v>
      </c>
      <c r="Q1703" s="107">
        <v>1241</v>
      </c>
      <c r="R1703">
        <v>338771</v>
      </c>
    </row>
    <row r="1704" spans="1:18" x14ac:dyDescent="0.25">
      <c r="A1704" s="148">
        <v>45842</v>
      </c>
      <c r="B1704" s="107">
        <v>1355</v>
      </c>
      <c r="C1704" s="107">
        <v>1296.75</v>
      </c>
      <c r="D1704" s="107">
        <v>1250</v>
      </c>
      <c r="E1704" s="107">
        <v>1250</v>
      </c>
      <c r="F1704" s="107">
        <v>1296.75</v>
      </c>
      <c r="G1704">
        <v>558519</v>
      </c>
      <c r="H1704" s="107"/>
      <c r="I1704" s="107"/>
      <c r="L1704" s="148">
        <v>45842</v>
      </c>
      <c r="M1704" s="107">
        <v>1290.5</v>
      </c>
      <c r="N1704" s="107">
        <v>1354.8</v>
      </c>
      <c r="O1704" s="107">
        <v>1250.0999999999999</v>
      </c>
      <c r="P1704" s="107">
        <v>1258.8</v>
      </c>
      <c r="Q1704" s="107">
        <v>1290.5</v>
      </c>
      <c r="R1704">
        <v>7401040</v>
      </c>
    </row>
    <row r="1705" spans="1:18" x14ac:dyDescent="0.25">
      <c r="A1705" s="148">
        <v>45845</v>
      </c>
      <c r="B1705" s="107">
        <v>1295.5999999999999</v>
      </c>
      <c r="C1705" s="107">
        <v>1288</v>
      </c>
      <c r="D1705" s="107">
        <v>1255.6500000000001</v>
      </c>
      <c r="E1705" s="107">
        <v>1282.4000000000001</v>
      </c>
      <c r="F1705" s="107">
        <v>1288</v>
      </c>
      <c r="G1705">
        <v>31688</v>
      </c>
      <c r="H1705" s="107"/>
      <c r="I1705" s="107"/>
      <c r="L1705" s="148">
        <v>45845</v>
      </c>
      <c r="M1705" s="107">
        <v>1285.0999999999999</v>
      </c>
      <c r="N1705" s="107">
        <v>1294</v>
      </c>
      <c r="O1705" s="107">
        <v>1256</v>
      </c>
      <c r="P1705" s="107">
        <v>1281</v>
      </c>
      <c r="Q1705" s="107">
        <v>1285.0999999999999</v>
      </c>
      <c r="R1705">
        <v>494450</v>
      </c>
    </row>
    <row r="1706" spans="1:18" x14ac:dyDescent="0.25">
      <c r="A1706" s="148">
        <v>45846</v>
      </c>
      <c r="B1706" s="107">
        <v>1303.55</v>
      </c>
      <c r="C1706" s="107">
        <v>1294.9000000000001</v>
      </c>
      <c r="D1706" s="107">
        <v>1257</v>
      </c>
      <c r="E1706" s="107">
        <v>1268.8</v>
      </c>
      <c r="F1706" s="107">
        <v>1294.9000000000001</v>
      </c>
      <c r="G1706">
        <v>16495</v>
      </c>
      <c r="H1706" s="107"/>
      <c r="I1706" s="107"/>
      <c r="L1706" s="148">
        <v>45846</v>
      </c>
      <c r="M1706" s="107">
        <v>1297.7</v>
      </c>
      <c r="N1706" s="107">
        <v>1305.3</v>
      </c>
      <c r="O1706" s="107">
        <v>1257.0999999999999</v>
      </c>
      <c r="P1706" s="107">
        <v>1278.0999999999999</v>
      </c>
      <c r="Q1706" s="107">
        <v>1297.7</v>
      </c>
      <c r="R1706">
        <v>356020</v>
      </c>
    </row>
    <row r="1707" spans="1:18" x14ac:dyDescent="0.25">
      <c r="A1707" s="148">
        <v>45847</v>
      </c>
      <c r="B1707" s="107">
        <v>1307.55</v>
      </c>
      <c r="C1707" s="107">
        <v>1281.7</v>
      </c>
      <c r="D1707" s="107">
        <v>1275.25</v>
      </c>
      <c r="E1707" s="107">
        <v>1277.05</v>
      </c>
      <c r="F1707" s="107">
        <v>1281.7</v>
      </c>
      <c r="G1707">
        <v>4237</v>
      </c>
      <c r="H1707" s="107"/>
      <c r="I1707" s="107"/>
      <c r="L1707" s="148">
        <v>45847</v>
      </c>
      <c r="M1707" s="107">
        <v>1282.8</v>
      </c>
      <c r="N1707" s="107">
        <v>1309</v>
      </c>
      <c r="O1707" s="107">
        <v>1275.5</v>
      </c>
      <c r="P1707" s="107">
        <v>1294.9000000000001</v>
      </c>
      <c r="Q1707" s="107">
        <v>1282.8</v>
      </c>
      <c r="R1707">
        <v>205213</v>
      </c>
    </row>
    <row r="1708" spans="1:18" x14ac:dyDescent="0.25">
      <c r="A1708" s="148">
        <v>45848</v>
      </c>
      <c r="B1708" s="107">
        <v>1294.45</v>
      </c>
      <c r="C1708" s="107">
        <v>1280.5</v>
      </c>
      <c r="D1708" s="107">
        <v>1272.8</v>
      </c>
      <c r="E1708" s="107">
        <v>1282.8</v>
      </c>
      <c r="F1708" s="107">
        <v>1280.5</v>
      </c>
      <c r="G1708">
        <v>2741</v>
      </c>
      <c r="H1708" s="107"/>
      <c r="I1708" s="107"/>
      <c r="L1708" s="148">
        <v>45848</v>
      </c>
      <c r="M1708" s="107">
        <v>1280.2</v>
      </c>
      <c r="N1708" s="107">
        <v>1293.5999999999999</v>
      </c>
      <c r="O1708" s="107">
        <v>1272.5</v>
      </c>
      <c r="P1708" s="107">
        <v>1287</v>
      </c>
      <c r="Q1708" s="107">
        <v>1280.2</v>
      </c>
      <c r="R1708">
        <v>121004</v>
      </c>
    </row>
    <row r="1709" spans="1:18" x14ac:dyDescent="0.25">
      <c r="A1709" s="148">
        <v>45849</v>
      </c>
      <c r="B1709" s="107">
        <v>1336</v>
      </c>
      <c r="C1709" s="107">
        <v>1306</v>
      </c>
      <c r="D1709" s="107">
        <v>1261.55</v>
      </c>
      <c r="E1709" s="107">
        <v>1265.05</v>
      </c>
      <c r="F1709" s="107">
        <v>1306</v>
      </c>
      <c r="G1709">
        <v>48427</v>
      </c>
      <c r="H1709" s="107"/>
      <c r="I1709" s="107"/>
      <c r="L1709" s="148">
        <v>45849</v>
      </c>
      <c r="M1709" s="107">
        <v>1306.5</v>
      </c>
      <c r="N1709" s="107">
        <v>1336</v>
      </c>
      <c r="O1709" s="107">
        <v>1260.7</v>
      </c>
      <c r="P1709" s="107">
        <v>1277</v>
      </c>
      <c r="Q1709" s="107">
        <v>1306.5</v>
      </c>
      <c r="R1709">
        <v>819984</v>
      </c>
    </row>
    <row r="1710" spans="1:18" x14ac:dyDescent="0.25">
      <c r="A1710" s="148">
        <v>45852</v>
      </c>
      <c r="B1710" s="107">
        <v>1332</v>
      </c>
      <c r="C1710" s="107">
        <v>1323.3</v>
      </c>
      <c r="D1710" s="107">
        <v>1290.8499999999999</v>
      </c>
      <c r="E1710" s="107">
        <v>1305.95</v>
      </c>
      <c r="F1710" s="107">
        <v>1323.3</v>
      </c>
      <c r="G1710">
        <v>12039</v>
      </c>
      <c r="H1710" s="107"/>
      <c r="I1710" s="107"/>
      <c r="L1710" s="148">
        <v>45852</v>
      </c>
      <c r="M1710" s="107">
        <v>1323.8</v>
      </c>
      <c r="N1710" s="107">
        <v>1331.6</v>
      </c>
      <c r="O1710" s="107">
        <v>1289.8</v>
      </c>
      <c r="P1710" s="107">
        <v>1303</v>
      </c>
      <c r="Q1710" s="107">
        <v>1323.8</v>
      </c>
      <c r="R1710">
        <v>398634</v>
      </c>
    </row>
    <row r="1711" spans="1:18" x14ac:dyDescent="0.25">
      <c r="A1711" s="148">
        <v>45853</v>
      </c>
      <c r="B1711" s="107">
        <v>1334.85</v>
      </c>
      <c r="C1711" s="107">
        <v>1296.95</v>
      </c>
      <c r="D1711" s="107">
        <v>1294</v>
      </c>
      <c r="E1711" s="107">
        <v>1334.85</v>
      </c>
      <c r="F1711" s="107">
        <v>1296.95</v>
      </c>
      <c r="G1711">
        <v>4903</v>
      </c>
      <c r="H1711" s="107"/>
      <c r="I1711" s="107"/>
      <c r="L1711" s="148">
        <v>45853</v>
      </c>
      <c r="M1711" s="107">
        <v>1298.5999999999999</v>
      </c>
      <c r="N1711" s="107">
        <v>1330.8</v>
      </c>
      <c r="O1711" s="107">
        <v>1292.7</v>
      </c>
      <c r="P1711" s="107">
        <v>1330</v>
      </c>
      <c r="Q1711" s="107">
        <v>1298.5999999999999</v>
      </c>
      <c r="R1711">
        <v>216199</v>
      </c>
    </row>
    <row r="1712" spans="1:18" x14ac:dyDescent="0.25">
      <c r="A1712" s="148">
        <v>45854</v>
      </c>
      <c r="B1712" s="107">
        <v>1311.05</v>
      </c>
      <c r="C1712" s="107">
        <v>1297.45</v>
      </c>
      <c r="D1712" s="107">
        <v>1293.1500000000001</v>
      </c>
      <c r="E1712" s="107">
        <v>1293.95</v>
      </c>
      <c r="F1712" s="107">
        <v>1297.45</v>
      </c>
      <c r="G1712">
        <v>2738</v>
      </c>
      <c r="H1712" s="107"/>
      <c r="I1712" s="107"/>
      <c r="L1712" s="148">
        <v>45854</v>
      </c>
      <c r="M1712" s="107">
        <v>1297.2</v>
      </c>
      <c r="N1712" s="107">
        <v>1314.8</v>
      </c>
      <c r="O1712" s="107">
        <v>1292.5999999999999</v>
      </c>
      <c r="P1712" s="107">
        <v>1292.5999999999999</v>
      </c>
      <c r="Q1712" s="107">
        <v>1297.2</v>
      </c>
      <c r="R1712">
        <v>135421</v>
      </c>
    </row>
    <row r="1713" spans="1:18" x14ac:dyDescent="0.25">
      <c r="A1713" s="148">
        <v>45855</v>
      </c>
      <c r="B1713" s="107">
        <v>1343.9</v>
      </c>
      <c r="C1713" s="107">
        <v>1288.5</v>
      </c>
      <c r="D1713" s="107">
        <v>1285.55</v>
      </c>
      <c r="E1713" s="107">
        <v>1297.6500000000001</v>
      </c>
      <c r="F1713" s="107">
        <v>1288.5</v>
      </c>
      <c r="G1713">
        <v>21872</v>
      </c>
      <c r="H1713" s="107"/>
      <c r="I1713" s="107"/>
      <c r="L1713" s="148">
        <v>45855</v>
      </c>
      <c r="M1713" s="107">
        <v>1288.5999999999999</v>
      </c>
      <c r="N1713" s="107">
        <v>1344</v>
      </c>
      <c r="O1713" s="107">
        <v>1285.0999999999999</v>
      </c>
      <c r="P1713" s="107">
        <v>1302.8</v>
      </c>
      <c r="Q1713" s="107">
        <v>1288.5999999999999</v>
      </c>
      <c r="R1713">
        <v>386767</v>
      </c>
    </row>
    <row r="1714" spans="1:18" x14ac:dyDescent="0.25">
      <c r="A1714" s="148">
        <v>45856</v>
      </c>
      <c r="B1714" s="107">
        <v>1297.3</v>
      </c>
      <c r="C1714" s="107">
        <v>1267.55</v>
      </c>
      <c r="D1714" s="107">
        <v>1233.1500000000001</v>
      </c>
      <c r="E1714" s="107">
        <v>1288</v>
      </c>
      <c r="F1714" s="107">
        <v>1267.55</v>
      </c>
      <c r="G1714">
        <v>16189</v>
      </c>
      <c r="H1714" s="107"/>
      <c r="I1714" s="107"/>
      <c r="L1714" s="148">
        <v>45856</v>
      </c>
      <c r="M1714" s="107">
        <v>1269.7</v>
      </c>
      <c r="N1714" s="107">
        <v>1296.5</v>
      </c>
      <c r="O1714" s="107">
        <v>1233.5</v>
      </c>
      <c r="P1714" s="107">
        <v>1290.4000000000001</v>
      </c>
      <c r="Q1714" s="107">
        <v>1269.7</v>
      </c>
      <c r="R1714">
        <v>579288</v>
      </c>
    </row>
    <row r="1715" spans="1:18" x14ac:dyDescent="0.25">
      <c r="A1715" s="148">
        <v>45859</v>
      </c>
      <c r="B1715" s="107">
        <v>1299</v>
      </c>
      <c r="C1715" s="107">
        <v>1293.5</v>
      </c>
      <c r="D1715" s="107">
        <v>1251.5</v>
      </c>
      <c r="E1715" s="107">
        <v>1254.95</v>
      </c>
      <c r="F1715" s="107">
        <v>1293.5</v>
      </c>
      <c r="G1715">
        <v>4291</v>
      </c>
      <c r="H1715" s="107"/>
      <c r="I1715" s="107"/>
      <c r="L1715" s="148">
        <v>45859</v>
      </c>
      <c r="M1715" s="107">
        <v>1293.8</v>
      </c>
      <c r="N1715" s="107">
        <v>1299.9000000000001</v>
      </c>
      <c r="O1715" s="107">
        <v>1252.0999999999999</v>
      </c>
      <c r="P1715" s="107">
        <v>1261</v>
      </c>
      <c r="Q1715" s="107">
        <v>1293.8</v>
      </c>
      <c r="R1715">
        <v>194829</v>
      </c>
    </row>
    <row r="1716" spans="1:18" x14ac:dyDescent="0.25">
      <c r="A1716" s="148">
        <v>45860</v>
      </c>
      <c r="B1716" s="107">
        <v>1300</v>
      </c>
      <c r="C1716" s="107">
        <v>1280.2</v>
      </c>
      <c r="D1716" s="107">
        <v>1268.45</v>
      </c>
      <c r="E1716" s="107">
        <v>1293.55</v>
      </c>
      <c r="F1716" s="107">
        <v>1280.2</v>
      </c>
      <c r="G1716">
        <v>6548</v>
      </c>
      <c r="H1716" s="107"/>
      <c r="I1716" s="107"/>
      <c r="L1716" s="148">
        <v>45860</v>
      </c>
      <c r="M1716" s="107">
        <v>1279.7</v>
      </c>
      <c r="N1716" s="107">
        <v>1299</v>
      </c>
      <c r="O1716" s="107">
        <v>1269.0999999999999</v>
      </c>
      <c r="P1716" s="107">
        <v>1297</v>
      </c>
      <c r="Q1716" s="107">
        <v>1279.7</v>
      </c>
      <c r="R1716">
        <v>163989</v>
      </c>
    </row>
    <row r="1717" spans="1:18" x14ac:dyDescent="0.25">
      <c r="A1717" s="148">
        <v>45861</v>
      </c>
      <c r="B1717" s="107">
        <v>1374.6</v>
      </c>
      <c r="C1717" s="107">
        <v>1354.35</v>
      </c>
      <c r="D1717" s="107">
        <v>1250</v>
      </c>
      <c r="E1717" s="107">
        <v>1250</v>
      </c>
      <c r="F1717" s="107">
        <v>1354.35</v>
      </c>
      <c r="G1717">
        <v>334942</v>
      </c>
      <c r="H1717" s="107"/>
      <c r="I1717" s="107"/>
      <c r="L1717" s="148">
        <v>45861</v>
      </c>
      <c r="M1717" s="107">
        <v>1354.9</v>
      </c>
      <c r="N1717" s="107">
        <v>1374.5</v>
      </c>
      <c r="O1717" s="107">
        <v>1253.4000000000001</v>
      </c>
      <c r="P1717" s="107">
        <v>1261</v>
      </c>
      <c r="Q1717" s="107">
        <v>1354.9</v>
      </c>
      <c r="R1717">
        <v>6124371</v>
      </c>
    </row>
    <row r="1718" spans="1:18" x14ac:dyDescent="0.25">
      <c r="A1718" s="148">
        <v>45862</v>
      </c>
      <c r="B1718" s="107">
        <v>1400.4</v>
      </c>
      <c r="C1718" s="107">
        <v>1365</v>
      </c>
      <c r="D1718" s="107">
        <v>1350.1</v>
      </c>
      <c r="E1718" s="107">
        <v>1352.8</v>
      </c>
      <c r="F1718" s="107">
        <v>1365</v>
      </c>
      <c r="G1718">
        <v>71080</v>
      </c>
      <c r="H1718" s="107"/>
      <c r="I1718" s="107"/>
      <c r="L1718" s="148">
        <v>45862</v>
      </c>
      <c r="M1718" s="107">
        <v>1365.6</v>
      </c>
      <c r="N1718" s="107">
        <v>1401.3</v>
      </c>
      <c r="O1718" s="107">
        <v>1347.3</v>
      </c>
      <c r="P1718" s="107">
        <v>1350.1</v>
      </c>
      <c r="Q1718" s="107">
        <v>1365.6</v>
      </c>
      <c r="R1718">
        <v>1309013</v>
      </c>
    </row>
    <row r="1719" spans="1:18" x14ac:dyDescent="0.25">
      <c r="A1719" s="148">
        <v>45863</v>
      </c>
      <c r="B1719" s="107">
        <v>1359.95</v>
      </c>
      <c r="C1719" s="107">
        <v>1308.25</v>
      </c>
      <c r="D1719" s="107">
        <v>1299.2</v>
      </c>
      <c r="E1719" s="107">
        <v>1359.95</v>
      </c>
      <c r="F1719" s="107">
        <v>1308.25</v>
      </c>
      <c r="G1719">
        <v>24622</v>
      </c>
      <c r="H1719" s="107"/>
      <c r="I1719" s="107"/>
      <c r="L1719" s="148">
        <v>45863</v>
      </c>
      <c r="M1719" s="107">
        <v>1308.2</v>
      </c>
      <c r="N1719" s="107">
        <v>1357.1</v>
      </c>
      <c r="O1719" s="107">
        <v>1300.2</v>
      </c>
      <c r="P1719" s="107">
        <v>1356.4</v>
      </c>
      <c r="Q1719" s="107">
        <v>1308.2</v>
      </c>
      <c r="R1719">
        <v>301082</v>
      </c>
    </row>
    <row r="1720" spans="1:18" x14ac:dyDescent="0.25">
      <c r="A1720" s="148">
        <v>45866</v>
      </c>
      <c r="B1720" s="107">
        <v>1326.1</v>
      </c>
      <c r="C1720" s="107">
        <v>1273.3499999999999</v>
      </c>
      <c r="D1720" s="107">
        <v>1269.25</v>
      </c>
      <c r="E1720" s="107">
        <v>1315.25</v>
      </c>
      <c r="F1720" s="107">
        <v>1273.3499999999999</v>
      </c>
      <c r="G1720">
        <v>26065</v>
      </c>
      <c r="H1720" s="107"/>
      <c r="I1720" s="107"/>
      <c r="L1720" s="148">
        <v>45866</v>
      </c>
      <c r="M1720" s="107">
        <v>1273.7</v>
      </c>
      <c r="N1720" s="107">
        <v>1325.5</v>
      </c>
      <c r="O1720" s="107">
        <v>1268.4000000000001</v>
      </c>
      <c r="P1720" s="107">
        <v>1306</v>
      </c>
      <c r="Q1720" s="107">
        <v>1273.7</v>
      </c>
      <c r="R1720">
        <v>214005</v>
      </c>
    </row>
    <row r="1721" spans="1:18" x14ac:dyDescent="0.25">
      <c r="A1721" s="148">
        <v>45867</v>
      </c>
      <c r="B1721" s="107">
        <v>1293.75</v>
      </c>
      <c r="C1721" s="107">
        <v>1237.4000000000001</v>
      </c>
      <c r="D1721" s="107">
        <v>1232.9000000000001</v>
      </c>
      <c r="E1721" s="107">
        <v>1285.8</v>
      </c>
      <c r="F1721" s="107">
        <v>1237.4000000000001</v>
      </c>
      <c r="G1721">
        <v>13959</v>
      </c>
      <c r="H1721" s="107"/>
      <c r="I1721" s="107"/>
      <c r="L1721" s="148">
        <v>45867</v>
      </c>
      <c r="M1721" s="107">
        <v>1238</v>
      </c>
      <c r="N1721" s="107">
        <v>1292.8</v>
      </c>
      <c r="O1721" s="107">
        <v>1232</v>
      </c>
      <c r="P1721" s="107">
        <v>1273.7</v>
      </c>
      <c r="Q1721" s="107">
        <v>1238</v>
      </c>
      <c r="R1721">
        <v>335573</v>
      </c>
    </row>
    <row r="1722" spans="1:18" x14ac:dyDescent="0.25">
      <c r="A1722" s="148">
        <v>45868</v>
      </c>
      <c r="B1722" s="107">
        <v>1269.95</v>
      </c>
      <c r="C1722" s="107">
        <v>1240.0999999999999</v>
      </c>
      <c r="D1722" s="107">
        <v>1234.75</v>
      </c>
      <c r="E1722" s="107">
        <v>1269.95</v>
      </c>
      <c r="F1722" s="107">
        <v>1240.0999999999999</v>
      </c>
      <c r="G1722">
        <v>4501</v>
      </c>
      <c r="H1722" s="107"/>
      <c r="I1722" s="107"/>
      <c r="L1722" s="148">
        <v>45868</v>
      </c>
      <c r="M1722" s="107">
        <v>1239.8</v>
      </c>
      <c r="N1722" s="107">
        <v>1260</v>
      </c>
      <c r="O1722" s="107">
        <v>1235.4000000000001</v>
      </c>
      <c r="P1722" s="107">
        <v>1238.0999999999999</v>
      </c>
      <c r="Q1722" s="107">
        <v>1239.8</v>
      </c>
      <c r="R1722">
        <v>361319</v>
      </c>
    </row>
    <row r="1723" spans="1:18" x14ac:dyDescent="0.25">
      <c r="A1723" s="148">
        <v>45869</v>
      </c>
      <c r="B1723" s="107">
        <v>1271.95</v>
      </c>
      <c r="C1723" s="107">
        <v>1248.2</v>
      </c>
      <c r="D1723" s="107">
        <v>1200</v>
      </c>
      <c r="E1723" s="107">
        <v>1250.45</v>
      </c>
      <c r="F1723" s="107">
        <v>1248.2</v>
      </c>
      <c r="G1723">
        <v>22100</v>
      </c>
      <c r="H1723" s="107"/>
      <c r="I1723" s="107"/>
      <c r="L1723" s="148">
        <v>45869</v>
      </c>
      <c r="M1723" s="107">
        <v>1248.3</v>
      </c>
      <c r="N1723" s="107">
        <v>1272.8</v>
      </c>
      <c r="O1723" s="107">
        <v>1216.2</v>
      </c>
      <c r="P1723" s="107">
        <v>1239.8</v>
      </c>
      <c r="Q1723" s="107">
        <v>1248.3</v>
      </c>
      <c r="R1723">
        <v>302793</v>
      </c>
    </row>
    <row r="1724" spans="1:18" x14ac:dyDescent="0.25">
      <c r="A1724" s="148">
        <v>45870</v>
      </c>
      <c r="B1724" s="107">
        <v>1276.95</v>
      </c>
      <c r="C1724" s="107">
        <v>1245.6500000000001</v>
      </c>
      <c r="D1724" s="107">
        <v>1231.8499999999999</v>
      </c>
      <c r="E1724" s="107">
        <v>1231.8499999999999</v>
      </c>
      <c r="F1724" s="107">
        <v>1245.6500000000001</v>
      </c>
      <c r="G1724">
        <v>13282</v>
      </c>
      <c r="H1724" s="107"/>
      <c r="I1724" s="107"/>
      <c r="L1724" s="148">
        <v>45870</v>
      </c>
      <c r="M1724" s="107">
        <v>1246.3</v>
      </c>
      <c r="N1724" s="107">
        <v>1275.9000000000001</v>
      </c>
      <c r="O1724" s="107">
        <v>1240</v>
      </c>
      <c r="P1724" s="107">
        <v>1248</v>
      </c>
      <c r="Q1724" s="107">
        <v>1246.3</v>
      </c>
      <c r="R1724">
        <v>166931</v>
      </c>
    </row>
    <row r="1725" spans="1:18" x14ac:dyDescent="0.25">
      <c r="A1725" s="148">
        <v>45873</v>
      </c>
      <c r="B1725" s="107">
        <v>1251.25</v>
      </c>
      <c r="C1725" s="107">
        <v>1239.3499999999999</v>
      </c>
      <c r="D1725" s="107">
        <v>1223</v>
      </c>
      <c r="E1725" s="107">
        <v>1226.05</v>
      </c>
      <c r="F1725" s="107">
        <v>1239.3499999999999</v>
      </c>
      <c r="G1725">
        <v>7646</v>
      </c>
      <c r="H1725" s="107"/>
      <c r="I1725" s="107"/>
      <c r="L1725" s="148">
        <v>45873</v>
      </c>
      <c r="M1725" s="107">
        <v>1237.4000000000001</v>
      </c>
      <c r="N1725" s="107">
        <v>1250</v>
      </c>
      <c r="O1725" s="107">
        <v>1222.8</v>
      </c>
      <c r="P1725" s="107">
        <v>1244</v>
      </c>
      <c r="Q1725" s="107">
        <v>1237.4000000000001</v>
      </c>
      <c r="R1725">
        <v>233202</v>
      </c>
    </row>
    <row r="1726" spans="1:18" x14ac:dyDescent="0.25">
      <c r="A1726" s="148">
        <v>45874</v>
      </c>
      <c r="B1726" s="107">
        <v>1270</v>
      </c>
      <c r="C1726" s="107">
        <v>1242.1500000000001</v>
      </c>
      <c r="D1726" s="107">
        <v>1237.6500000000001</v>
      </c>
      <c r="E1726" s="107">
        <v>1270</v>
      </c>
      <c r="F1726" s="107">
        <v>1242.1500000000001</v>
      </c>
      <c r="G1726">
        <v>6410</v>
      </c>
      <c r="H1726" s="107"/>
      <c r="I1726" s="107"/>
      <c r="L1726" s="148">
        <v>45874</v>
      </c>
      <c r="M1726" s="107">
        <v>1242.5999999999999</v>
      </c>
      <c r="N1726" s="107">
        <v>1269</v>
      </c>
      <c r="O1726" s="107">
        <v>1236.9000000000001</v>
      </c>
      <c r="P1726" s="107">
        <v>1244</v>
      </c>
      <c r="Q1726" s="107">
        <v>1242.5999999999999</v>
      </c>
      <c r="R1726">
        <v>105824</v>
      </c>
    </row>
    <row r="1727" spans="1:18" x14ac:dyDescent="0.25">
      <c r="A1727" s="148">
        <v>45875</v>
      </c>
      <c r="B1727" s="107">
        <v>1247.75</v>
      </c>
      <c r="C1727" s="107">
        <v>1210.3</v>
      </c>
      <c r="D1727" s="107">
        <v>1199.8499999999999</v>
      </c>
      <c r="E1727" s="107">
        <v>1243</v>
      </c>
      <c r="F1727" s="107">
        <v>1210.3</v>
      </c>
      <c r="G1727">
        <v>9159</v>
      </c>
      <c r="H1727" s="107"/>
      <c r="I1727" s="107"/>
      <c r="L1727" s="148">
        <v>45875</v>
      </c>
      <c r="M1727" s="107">
        <v>1209.8</v>
      </c>
      <c r="N1727" s="107">
        <v>1248.4000000000001</v>
      </c>
      <c r="O1727" s="107">
        <v>1198</v>
      </c>
      <c r="P1727" s="107">
        <v>1244.5</v>
      </c>
      <c r="Q1727" s="107">
        <v>1209.8</v>
      </c>
      <c r="R1727">
        <v>232125</v>
      </c>
    </row>
    <row r="1728" spans="1:18" x14ac:dyDescent="0.25">
      <c r="A1728" s="148">
        <v>45876</v>
      </c>
      <c r="B1728" s="107">
        <v>1250</v>
      </c>
      <c r="C1728" s="107">
        <v>1244.6500000000001</v>
      </c>
      <c r="D1728" s="107">
        <v>1197.05</v>
      </c>
      <c r="E1728" s="107">
        <v>1197.05</v>
      </c>
      <c r="F1728" s="107">
        <v>1244.6500000000001</v>
      </c>
      <c r="G1728">
        <v>15708</v>
      </c>
      <c r="H1728" s="107"/>
      <c r="I1728" s="107"/>
      <c r="L1728" s="148">
        <v>45876</v>
      </c>
      <c r="M1728" s="107">
        <v>1244.5999999999999</v>
      </c>
      <c r="N1728" s="107">
        <v>1252</v>
      </c>
      <c r="O1728" s="107">
        <v>1199.8</v>
      </c>
      <c r="P1728" s="107">
        <v>1200</v>
      </c>
      <c r="Q1728" s="107">
        <v>1244.5999999999999</v>
      </c>
      <c r="R1728">
        <v>214124</v>
      </c>
    </row>
    <row r="1729" spans="1:18" x14ac:dyDescent="0.25">
      <c r="A1729" s="148">
        <v>45877</v>
      </c>
      <c r="B1729" s="107">
        <v>1252.8</v>
      </c>
      <c r="C1729" s="107">
        <v>1237</v>
      </c>
      <c r="D1729" s="107">
        <v>1221.75</v>
      </c>
      <c r="E1729" s="107">
        <v>1232.55</v>
      </c>
      <c r="F1729" s="107">
        <v>1237</v>
      </c>
      <c r="G1729">
        <v>9599</v>
      </c>
      <c r="H1729" s="107"/>
      <c r="I1729" s="107"/>
      <c r="L1729" s="148">
        <v>45877</v>
      </c>
      <c r="M1729" s="107">
        <v>1237.8</v>
      </c>
      <c r="N1729" s="107">
        <v>1253.4000000000001</v>
      </c>
      <c r="O1729" s="107">
        <v>1221</v>
      </c>
      <c r="P1729" s="107">
        <v>1233.9000000000001</v>
      </c>
      <c r="Q1729" s="107">
        <v>1237.8</v>
      </c>
      <c r="R1729">
        <v>153500</v>
      </c>
    </row>
    <row r="1730" spans="1:18" x14ac:dyDescent="0.25">
      <c r="A1730" s="148">
        <v>45880</v>
      </c>
      <c r="B1730" s="107">
        <v>1263</v>
      </c>
      <c r="C1730" s="107">
        <v>1256.95</v>
      </c>
      <c r="D1730" s="107">
        <v>1231.95</v>
      </c>
      <c r="E1730" s="107">
        <v>1246.45</v>
      </c>
      <c r="F1730" s="107">
        <v>1256.95</v>
      </c>
      <c r="G1730">
        <v>5714</v>
      </c>
      <c r="H1730" s="107"/>
      <c r="I1730" s="107"/>
      <c r="L1730" s="148">
        <v>45880</v>
      </c>
      <c r="M1730" s="107">
        <v>1259.0999999999999</v>
      </c>
      <c r="N1730" s="107">
        <v>1265</v>
      </c>
      <c r="O1730" s="107">
        <v>1229.5999999999999</v>
      </c>
      <c r="P1730" s="107">
        <v>1240.0999999999999</v>
      </c>
      <c r="Q1730" s="107">
        <v>1259.0999999999999</v>
      </c>
      <c r="R1730">
        <v>146989</v>
      </c>
    </row>
    <row r="1731" spans="1:18" x14ac:dyDescent="0.25">
      <c r="A1731" s="148">
        <v>45881</v>
      </c>
      <c r="B1731" s="107">
        <v>1310</v>
      </c>
      <c r="C1731" s="107">
        <v>1301.7</v>
      </c>
      <c r="D1731" s="107">
        <v>1239.05</v>
      </c>
      <c r="E1731" s="107">
        <v>1239.05</v>
      </c>
      <c r="F1731" s="107">
        <v>1301.7</v>
      </c>
      <c r="G1731">
        <v>25002</v>
      </c>
      <c r="H1731" s="107"/>
      <c r="I1731" s="107"/>
      <c r="L1731" s="148">
        <v>45881</v>
      </c>
      <c r="M1731" s="107">
        <v>1301.9000000000001</v>
      </c>
      <c r="N1731" s="107">
        <v>1313</v>
      </c>
      <c r="O1731" s="107">
        <v>1259</v>
      </c>
      <c r="P1731" s="107">
        <v>1259.0999999999999</v>
      </c>
      <c r="Q1731" s="107">
        <v>1301.9000000000001</v>
      </c>
      <c r="R1731">
        <v>484007</v>
      </c>
    </row>
    <row r="1732" spans="1:18" x14ac:dyDescent="0.25">
      <c r="A1732" s="148">
        <v>45882</v>
      </c>
      <c r="B1732" s="107">
        <v>1323</v>
      </c>
      <c r="C1732" s="107">
        <v>1293.05</v>
      </c>
      <c r="D1732" s="107">
        <v>1285.9000000000001</v>
      </c>
      <c r="E1732" s="107">
        <v>1297.95</v>
      </c>
      <c r="F1732" s="107">
        <v>1293.05</v>
      </c>
      <c r="G1732">
        <v>5957</v>
      </c>
      <c r="H1732" s="107"/>
      <c r="I1732" s="107"/>
      <c r="L1732" s="148">
        <v>45882</v>
      </c>
      <c r="M1732" s="107">
        <v>1296.8</v>
      </c>
      <c r="N1732" s="107">
        <v>1325</v>
      </c>
      <c r="O1732" s="107">
        <v>1285.2</v>
      </c>
      <c r="P1732" s="107">
        <v>1308.5</v>
      </c>
      <c r="Q1732" s="107">
        <v>1296.8</v>
      </c>
      <c r="R1732">
        <v>429004</v>
      </c>
    </row>
    <row r="1733" spans="1:18" x14ac:dyDescent="0.25">
      <c r="A1733" s="148">
        <v>45883</v>
      </c>
      <c r="B1733" s="107">
        <v>1343.95</v>
      </c>
      <c r="C1733" s="107">
        <v>1333.7</v>
      </c>
      <c r="D1733" s="107">
        <v>1289.05</v>
      </c>
      <c r="E1733" s="107">
        <v>1289.05</v>
      </c>
      <c r="F1733" s="107">
        <v>1333.7</v>
      </c>
      <c r="G1733">
        <v>98620</v>
      </c>
      <c r="H1733" s="107"/>
      <c r="I1733" s="107"/>
      <c r="L1733" s="148">
        <v>45883</v>
      </c>
      <c r="M1733" s="107">
        <v>1334.2</v>
      </c>
      <c r="N1733" s="107">
        <v>1344.4</v>
      </c>
      <c r="O1733" s="107">
        <v>1296.9000000000001</v>
      </c>
      <c r="P1733" s="107">
        <v>1307.7</v>
      </c>
      <c r="Q1733" s="107">
        <v>1334.2</v>
      </c>
      <c r="R1733">
        <v>608207</v>
      </c>
    </row>
    <row r="1734" spans="1:18" x14ac:dyDescent="0.25">
      <c r="A1734" s="148">
        <v>45887</v>
      </c>
      <c r="B1734" s="107">
        <v>1349.15</v>
      </c>
      <c r="C1734" s="107">
        <v>1345.8</v>
      </c>
      <c r="D1734" s="107">
        <v>1311.85</v>
      </c>
      <c r="E1734" s="107">
        <v>1334.05</v>
      </c>
      <c r="F1734" s="107">
        <v>1345.8</v>
      </c>
      <c r="G1734">
        <v>7507</v>
      </c>
      <c r="H1734" s="107"/>
      <c r="I1734" s="107"/>
      <c r="L1734" s="148">
        <v>45887</v>
      </c>
      <c r="M1734" s="107">
        <v>1346.5</v>
      </c>
      <c r="N1734" s="107">
        <v>1349.4</v>
      </c>
      <c r="O1734" s="107">
        <v>1310.2</v>
      </c>
      <c r="P1734" s="107">
        <v>1334.3</v>
      </c>
      <c r="Q1734" s="107">
        <v>1346.5</v>
      </c>
      <c r="R1734">
        <v>264301</v>
      </c>
    </row>
    <row r="1735" spans="1:18" x14ac:dyDescent="0.25">
      <c r="A1735" s="148">
        <v>45888</v>
      </c>
      <c r="B1735" s="107">
        <v>1351</v>
      </c>
      <c r="C1735" s="107">
        <v>1348.6</v>
      </c>
      <c r="D1735" s="107">
        <v>1320</v>
      </c>
      <c r="E1735" s="107">
        <v>1346</v>
      </c>
      <c r="F1735" s="107">
        <v>1348.6</v>
      </c>
      <c r="G1735">
        <v>7840</v>
      </c>
      <c r="H1735" s="107"/>
      <c r="I1735" s="107"/>
      <c r="L1735" s="148">
        <v>45888</v>
      </c>
      <c r="M1735" s="107">
        <v>1347.9</v>
      </c>
      <c r="N1735" s="107">
        <v>1355</v>
      </c>
      <c r="O1735" s="107">
        <v>1317</v>
      </c>
      <c r="P1735" s="107">
        <v>1345.5</v>
      </c>
      <c r="Q1735" s="107">
        <v>1347.9</v>
      </c>
      <c r="R1735">
        <v>222873</v>
      </c>
    </row>
    <row r="1736" spans="1:18" x14ac:dyDescent="0.25">
      <c r="A1736" s="148">
        <v>45889</v>
      </c>
      <c r="B1736" s="107">
        <v>1374.15</v>
      </c>
      <c r="C1736" s="107">
        <v>1362.65</v>
      </c>
      <c r="D1736" s="107">
        <v>1326.05</v>
      </c>
      <c r="E1736" s="107">
        <v>1326.05</v>
      </c>
      <c r="F1736" s="107">
        <v>1362.65</v>
      </c>
      <c r="G1736">
        <v>11526</v>
      </c>
      <c r="H1736" s="107"/>
      <c r="I1736" s="107"/>
      <c r="L1736" s="148">
        <v>45889</v>
      </c>
      <c r="M1736" s="107">
        <v>1363.4</v>
      </c>
      <c r="N1736" s="107">
        <v>1375</v>
      </c>
      <c r="O1736" s="107">
        <v>1333</v>
      </c>
      <c r="P1736" s="107">
        <v>1344.9</v>
      </c>
      <c r="Q1736" s="107">
        <v>1363.4</v>
      </c>
      <c r="R1736">
        <v>191543</v>
      </c>
    </row>
    <row r="1737" spans="1:18" x14ac:dyDescent="0.25">
      <c r="A1737" s="148">
        <v>45890</v>
      </c>
      <c r="B1737" s="107">
        <v>1402.05</v>
      </c>
      <c r="C1737" s="107">
        <v>1396.5</v>
      </c>
      <c r="D1737" s="107">
        <v>1340.05</v>
      </c>
      <c r="E1737" s="107">
        <v>1340.05</v>
      </c>
      <c r="F1737" s="107">
        <v>1396.5</v>
      </c>
      <c r="G1737">
        <v>11685</v>
      </c>
      <c r="H1737" s="107"/>
      <c r="I1737" s="107"/>
      <c r="L1737" s="148">
        <v>45890</v>
      </c>
      <c r="M1737" s="107">
        <v>1395.8</v>
      </c>
      <c r="N1737" s="107">
        <v>1401</v>
      </c>
      <c r="O1737" s="107">
        <v>1354</v>
      </c>
      <c r="P1737" s="107">
        <v>1361</v>
      </c>
      <c r="Q1737" s="107">
        <v>1395.8</v>
      </c>
      <c r="R1737">
        <v>255571</v>
      </c>
    </row>
    <row r="1738" spans="1:18" x14ac:dyDescent="0.25">
      <c r="A1738" s="148">
        <v>45891</v>
      </c>
      <c r="B1738" s="107">
        <v>1407.1</v>
      </c>
      <c r="C1738" s="107">
        <v>1398.45</v>
      </c>
      <c r="D1738" s="107">
        <v>1375</v>
      </c>
      <c r="E1738" s="107">
        <v>1395.9</v>
      </c>
      <c r="F1738" s="107">
        <v>1398.45</v>
      </c>
      <c r="G1738">
        <v>24092</v>
      </c>
      <c r="H1738" s="107"/>
      <c r="I1738" s="107"/>
      <c r="L1738" s="148">
        <v>45891</v>
      </c>
      <c r="M1738" s="107">
        <v>1398.6</v>
      </c>
      <c r="N1738" s="107">
        <v>1409</v>
      </c>
      <c r="O1738" s="107">
        <v>1374</v>
      </c>
      <c r="P1738" s="107">
        <v>1388</v>
      </c>
      <c r="Q1738" s="107">
        <v>1398.6</v>
      </c>
      <c r="R1738">
        <v>261810</v>
      </c>
    </row>
    <row r="1739" spans="1:18" x14ac:dyDescent="0.25">
      <c r="A1739" s="148">
        <v>45894</v>
      </c>
      <c r="B1739" s="107">
        <v>1402.45</v>
      </c>
      <c r="C1739" s="107">
        <v>1389.75</v>
      </c>
      <c r="D1739" s="107">
        <v>1380.25</v>
      </c>
      <c r="E1739" s="107">
        <v>1392</v>
      </c>
      <c r="F1739" s="107">
        <v>1389.75</v>
      </c>
      <c r="G1739">
        <v>6430</v>
      </c>
      <c r="H1739" s="107"/>
      <c r="I1739" s="107"/>
      <c r="L1739" s="148">
        <v>45894</v>
      </c>
      <c r="M1739" s="107">
        <v>1387.8</v>
      </c>
      <c r="N1739" s="107">
        <v>1403</v>
      </c>
      <c r="O1739" s="107">
        <v>1380.2</v>
      </c>
      <c r="P1739" s="107">
        <v>1392.9</v>
      </c>
      <c r="Q1739" s="107">
        <v>1387.8</v>
      </c>
      <c r="R1739">
        <v>149972</v>
      </c>
    </row>
    <row r="1740" spans="1:18" x14ac:dyDescent="0.25">
      <c r="A1740" s="148">
        <v>45895</v>
      </c>
      <c r="B1740" s="107">
        <v>1390</v>
      </c>
      <c r="C1740" s="107">
        <v>1363.25</v>
      </c>
      <c r="D1740" s="107">
        <v>1353.45</v>
      </c>
      <c r="E1740" s="107">
        <v>1365.65</v>
      </c>
      <c r="F1740" s="107">
        <v>1363.25</v>
      </c>
      <c r="G1740">
        <v>23525</v>
      </c>
      <c r="H1740" s="107"/>
      <c r="I1740" s="107"/>
      <c r="L1740" s="148">
        <v>45895</v>
      </c>
      <c r="M1740" s="107">
        <v>1363</v>
      </c>
      <c r="N1740" s="107">
        <v>1390</v>
      </c>
      <c r="O1740" s="107">
        <v>1352</v>
      </c>
      <c r="P1740" s="107">
        <v>1375.2</v>
      </c>
      <c r="Q1740" s="107">
        <v>1363</v>
      </c>
      <c r="R1740">
        <v>133573</v>
      </c>
    </row>
    <row r="1741" spans="1:18" x14ac:dyDescent="0.25">
      <c r="A1741" s="148">
        <v>45897</v>
      </c>
      <c r="B1741" s="107">
        <v>1359.4</v>
      </c>
      <c r="C1741" s="107">
        <v>1342.55</v>
      </c>
      <c r="D1741" s="107">
        <v>1331.95</v>
      </c>
      <c r="E1741" s="107">
        <v>1341.2</v>
      </c>
      <c r="F1741" s="107">
        <v>1342.55</v>
      </c>
      <c r="G1741">
        <v>15417</v>
      </c>
      <c r="H1741" s="107"/>
      <c r="I1741" s="107"/>
      <c r="L1741" s="148">
        <v>45897</v>
      </c>
      <c r="M1741" s="107">
        <v>1343</v>
      </c>
      <c r="N1741" s="107">
        <v>1361.7</v>
      </c>
      <c r="O1741" s="107">
        <v>1331.5</v>
      </c>
      <c r="P1741" s="107">
        <v>1350</v>
      </c>
      <c r="Q1741" s="107">
        <v>1343</v>
      </c>
      <c r="R1741">
        <v>107560</v>
      </c>
    </row>
    <row r="1742" spans="1:18" x14ac:dyDescent="0.25">
      <c r="A1742" s="148">
        <v>45898</v>
      </c>
      <c r="B1742" s="107">
        <v>1411.1</v>
      </c>
      <c r="C1742" s="107">
        <v>1399.6</v>
      </c>
      <c r="D1742" s="107">
        <v>1323.3</v>
      </c>
      <c r="E1742" s="107">
        <v>1330.95</v>
      </c>
      <c r="F1742" s="107">
        <v>1399.6</v>
      </c>
      <c r="G1742">
        <v>33310</v>
      </c>
      <c r="H1742" s="107"/>
      <c r="I1742" s="107"/>
      <c r="L1742" s="148">
        <v>45898</v>
      </c>
      <c r="M1742" s="107">
        <v>1399.9</v>
      </c>
      <c r="N1742" s="107">
        <v>1410.6</v>
      </c>
      <c r="O1742" s="107">
        <v>1323.1</v>
      </c>
      <c r="P1742" s="107">
        <v>1343</v>
      </c>
      <c r="Q1742" s="107">
        <v>1399.9</v>
      </c>
      <c r="R1742">
        <v>803591</v>
      </c>
    </row>
    <row r="1743" spans="1:18" x14ac:dyDescent="0.25">
      <c r="A1743" s="148">
        <v>45901</v>
      </c>
      <c r="B1743" s="107">
        <v>1425.5</v>
      </c>
      <c r="C1743" s="107">
        <v>1401.55</v>
      </c>
      <c r="D1743" s="107">
        <v>1388</v>
      </c>
      <c r="E1743" s="107">
        <v>1408.15</v>
      </c>
      <c r="F1743" s="107">
        <v>1401.55</v>
      </c>
      <c r="G1743">
        <v>16875</v>
      </c>
      <c r="H1743" s="107"/>
      <c r="I1743" s="107"/>
      <c r="L1743" s="148">
        <v>45901</v>
      </c>
      <c r="M1743" s="107">
        <v>1403.2</v>
      </c>
      <c r="N1743" s="107">
        <v>1425</v>
      </c>
      <c r="O1743" s="107">
        <v>1387</v>
      </c>
      <c r="P1743" s="107">
        <v>1399</v>
      </c>
      <c r="Q1743" s="107">
        <v>1403.2</v>
      </c>
      <c r="R1743">
        <v>496025</v>
      </c>
    </row>
    <row r="1744" spans="1:18" x14ac:dyDescent="0.25">
      <c r="A1744" s="148">
        <v>45902</v>
      </c>
      <c r="B1744" s="107">
        <v>1409.6</v>
      </c>
      <c r="C1744" s="107">
        <v>1387.75</v>
      </c>
      <c r="D1744" s="107">
        <v>1380.45</v>
      </c>
      <c r="E1744" s="107">
        <v>1409.6</v>
      </c>
      <c r="F1744" s="107">
        <v>1387.75</v>
      </c>
      <c r="G1744">
        <v>7102</v>
      </c>
      <c r="H1744" s="107"/>
      <c r="I1744" s="107"/>
      <c r="L1744" s="148">
        <v>45902</v>
      </c>
      <c r="M1744" s="107">
        <v>1391.9</v>
      </c>
      <c r="N1744" s="107">
        <v>1404</v>
      </c>
      <c r="O1744" s="107">
        <v>1381</v>
      </c>
      <c r="P1744" s="107">
        <v>1403.1</v>
      </c>
      <c r="Q1744" s="107">
        <v>1391.9</v>
      </c>
      <c r="R1744">
        <v>231740</v>
      </c>
    </row>
    <row r="1745" spans="1:18" x14ac:dyDescent="0.25">
      <c r="A1745" s="148">
        <v>45903</v>
      </c>
      <c r="B1745" s="107">
        <v>1409.95</v>
      </c>
      <c r="C1745" s="107">
        <v>1383.45</v>
      </c>
      <c r="D1745" s="107">
        <v>1372.2</v>
      </c>
      <c r="E1745" s="107">
        <v>1409.95</v>
      </c>
      <c r="F1745" s="107">
        <v>1383.45</v>
      </c>
      <c r="G1745">
        <v>6222</v>
      </c>
      <c r="H1745" s="107"/>
      <c r="I1745" s="107"/>
      <c r="L1745" s="148">
        <v>45903</v>
      </c>
      <c r="M1745" s="107">
        <v>1382.4</v>
      </c>
      <c r="N1745" s="107">
        <v>1398</v>
      </c>
      <c r="O1745" s="107">
        <v>1371</v>
      </c>
      <c r="P1745" s="107">
        <v>1388</v>
      </c>
      <c r="Q1745" s="107">
        <v>1382.4</v>
      </c>
      <c r="R1745">
        <v>202567</v>
      </c>
    </row>
    <row r="1746" spans="1:18" x14ac:dyDescent="0.25">
      <c r="A1746" s="148">
        <v>45904</v>
      </c>
      <c r="B1746" s="107">
        <v>1385.6</v>
      </c>
      <c r="C1746" s="107">
        <v>1352.4</v>
      </c>
      <c r="D1746" s="107">
        <v>1344.3</v>
      </c>
      <c r="E1746" s="107">
        <v>1376.55</v>
      </c>
      <c r="F1746" s="107">
        <v>1352.4</v>
      </c>
      <c r="G1746">
        <v>10246</v>
      </c>
      <c r="H1746" s="107"/>
      <c r="I1746" s="107"/>
      <c r="L1746" s="148">
        <v>45904</v>
      </c>
      <c r="M1746" s="107">
        <v>1356.8</v>
      </c>
      <c r="N1746" s="107">
        <v>1387</v>
      </c>
      <c r="O1746" s="107">
        <v>1345</v>
      </c>
      <c r="P1746" s="107">
        <v>1380</v>
      </c>
      <c r="Q1746" s="107">
        <v>1356.8</v>
      </c>
      <c r="R1746">
        <v>173849</v>
      </c>
    </row>
    <row r="1747" spans="1:18" x14ac:dyDescent="0.25">
      <c r="A1747" s="148">
        <v>45905</v>
      </c>
      <c r="B1747" s="107">
        <v>1363.85</v>
      </c>
      <c r="C1747" s="107">
        <v>1341</v>
      </c>
      <c r="D1747" s="107">
        <v>1335.25</v>
      </c>
      <c r="E1747" s="107">
        <v>1363.35</v>
      </c>
      <c r="F1747" s="107">
        <v>1341</v>
      </c>
      <c r="G1747">
        <v>4500</v>
      </c>
      <c r="H1747" s="107"/>
      <c r="I1747" s="107"/>
      <c r="L1747" s="148">
        <v>45905</v>
      </c>
      <c r="M1747" s="107">
        <v>1340</v>
      </c>
      <c r="N1747" s="107">
        <v>1363</v>
      </c>
      <c r="O1747" s="107">
        <v>1335.6</v>
      </c>
      <c r="P1747" s="107">
        <v>1355</v>
      </c>
      <c r="Q1747" s="107">
        <v>1340</v>
      </c>
      <c r="R1747">
        <v>61831</v>
      </c>
    </row>
    <row r="1748" spans="1:18" x14ac:dyDescent="0.25">
      <c r="A1748" s="148">
        <v>45908</v>
      </c>
      <c r="B1748" s="107">
        <v>1351.65</v>
      </c>
      <c r="C1748" s="107">
        <v>1335</v>
      </c>
      <c r="D1748" s="107">
        <v>1327.55</v>
      </c>
      <c r="E1748" s="107">
        <v>1335.1</v>
      </c>
      <c r="F1748" s="107">
        <v>1335</v>
      </c>
      <c r="G1748">
        <v>5345</v>
      </c>
      <c r="H1748" s="107"/>
      <c r="I1748" s="107"/>
      <c r="L1748" s="148">
        <v>45908</v>
      </c>
      <c r="M1748" s="107">
        <v>1336.7</v>
      </c>
      <c r="N1748" s="107">
        <v>1353</v>
      </c>
      <c r="O1748" s="107">
        <v>1328.1</v>
      </c>
      <c r="P1748" s="107">
        <v>1339.9</v>
      </c>
      <c r="Q1748" s="107">
        <v>1336.7</v>
      </c>
      <c r="R1748">
        <v>98288</v>
      </c>
    </row>
    <row r="1749" spans="1:18" x14ac:dyDescent="0.25">
      <c r="A1749" s="148">
        <v>45909</v>
      </c>
      <c r="B1749" s="107">
        <v>1350.1</v>
      </c>
      <c r="C1749" s="107">
        <v>1303.75</v>
      </c>
      <c r="D1749" s="107">
        <v>1300</v>
      </c>
      <c r="E1749" s="107">
        <v>1336</v>
      </c>
      <c r="F1749" s="107">
        <v>1303.75</v>
      </c>
      <c r="G1749">
        <v>3028</v>
      </c>
      <c r="H1749" s="107"/>
      <c r="I1749" s="107"/>
      <c r="L1749" s="148">
        <v>45909</v>
      </c>
      <c r="M1749" s="107">
        <v>1305.0999999999999</v>
      </c>
      <c r="N1749" s="107">
        <v>1351.5</v>
      </c>
      <c r="O1749" s="107">
        <v>1300.9000000000001</v>
      </c>
      <c r="P1749" s="107">
        <v>1340.9</v>
      </c>
      <c r="Q1749" s="107">
        <v>1305.0999999999999</v>
      </c>
      <c r="R1749">
        <v>314425</v>
      </c>
    </row>
    <row r="1750" spans="1:18" x14ac:dyDescent="0.25">
      <c r="A1750" s="148">
        <v>45910</v>
      </c>
      <c r="B1750" s="107">
        <v>1327.05</v>
      </c>
      <c r="C1750" s="107">
        <v>1296.8</v>
      </c>
      <c r="D1750" s="107">
        <v>1291.1500000000001</v>
      </c>
      <c r="E1750" s="107">
        <v>1306.1500000000001</v>
      </c>
      <c r="F1750" s="107">
        <v>1296.8</v>
      </c>
      <c r="G1750">
        <v>5023</v>
      </c>
      <c r="H1750" s="107"/>
      <c r="I1750" s="107"/>
      <c r="L1750" s="148">
        <v>45910</v>
      </c>
      <c r="M1750" s="107">
        <v>1296.7</v>
      </c>
      <c r="N1750" s="107">
        <v>1330</v>
      </c>
      <c r="O1750" s="107">
        <v>1291.4000000000001</v>
      </c>
      <c r="P1750" s="107">
        <v>1314.8</v>
      </c>
      <c r="Q1750" s="107">
        <v>1296.7</v>
      </c>
      <c r="R1750">
        <v>209128</v>
      </c>
    </row>
    <row r="1751" spans="1:18" x14ac:dyDescent="0.25">
      <c r="A1751" s="148">
        <v>45911</v>
      </c>
      <c r="B1751" s="107">
        <v>1329.95</v>
      </c>
      <c r="C1751" s="107">
        <v>1299.1500000000001</v>
      </c>
      <c r="D1751" s="107">
        <v>1296</v>
      </c>
      <c r="E1751" s="107">
        <v>1329.95</v>
      </c>
      <c r="F1751" s="107">
        <v>1299.1500000000001</v>
      </c>
      <c r="G1751">
        <v>4394</v>
      </c>
      <c r="H1751" s="107"/>
      <c r="I1751" s="107"/>
      <c r="L1751" s="148">
        <v>45911</v>
      </c>
      <c r="M1751" s="107">
        <v>1298.3</v>
      </c>
      <c r="N1751" s="107">
        <v>1315.8</v>
      </c>
      <c r="O1751" s="107">
        <v>1295</v>
      </c>
      <c r="P1751" s="107">
        <v>1296.7</v>
      </c>
      <c r="Q1751" s="107">
        <v>1298.3</v>
      </c>
      <c r="R1751">
        <v>78483</v>
      </c>
    </row>
    <row r="1752" spans="1:18" x14ac:dyDescent="0.25">
      <c r="A1752" s="148">
        <v>45912</v>
      </c>
      <c r="B1752" s="107">
        <v>1303.1500000000001</v>
      </c>
      <c r="C1752" s="107">
        <v>1293.2</v>
      </c>
      <c r="D1752" s="107">
        <v>1281.5999999999999</v>
      </c>
      <c r="E1752" s="107">
        <v>1297.1500000000001</v>
      </c>
      <c r="F1752" s="107">
        <v>1293.2</v>
      </c>
      <c r="G1752">
        <v>5229</v>
      </c>
      <c r="H1752" s="107"/>
      <c r="I1752" s="107"/>
      <c r="L1752" s="148">
        <v>45912</v>
      </c>
      <c r="M1752" s="107">
        <v>1292.5999999999999</v>
      </c>
      <c r="N1752" s="107">
        <v>1309.5</v>
      </c>
      <c r="O1752" s="107">
        <v>1282</v>
      </c>
      <c r="P1752" s="107">
        <v>1300</v>
      </c>
      <c r="Q1752" s="107">
        <v>1292.5999999999999</v>
      </c>
      <c r="R1752">
        <v>188446</v>
      </c>
    </row>
    <row r="1753" spans="1:18" x14ac:dyDescent="0.25">
      <c r="A1753" s="148">
        <v>45915</v>
      </c>
      <c r="B1753" s="107">
        <v>1328</v>
      </c>
      <c r="C1753" s="107">
        <v>1321.4</v>
      </c>
      <c r="D1753" s="107">
        <v>1264.9000000000001</v>
      </c>
      <c r="E1753" s="107">
        <v>1285.0999999999999</v>
      </c>
      <c r="F1753" s="107">
        <v>1321.4</v>
      </c>
      <c r="G1753">
        <v>15280</v>
      </c>
      <c r="H1753" s="107"/>
      <c r="I1753" s="107"/>
      <c r="L1753" s="148">
        <v>45915</v>
      </c>
      <c r="M1753" s="107">
        <v>1322.1</v>
      </c>
      <c r="N1753" s="107">
        <v>1328.2</v>
      </c>
      <c r="O1753" s="107">
        <v>1265</v>
      </c>
      <c r="P1753" s="107">
        <v>1290</v>
      </c>
      <c r="Q1753" s="107">
        <v>1322.1</v>
      </c>
      <c r="R1753">
        <v>394348</v>
      </c>
    </row>
    <row r="1754" spans="1:18" x14ac:dyDescent="0.25">
      <c r="A1754" s="148">
        <v>45916</v>
      </c>
      <c r="B1754" s="107">
        <v>1342.25</v>
      </c>
      <c r="C1754" s="107">
        <v>1324.6</v>
      </c>
      <c r="D1754" s="107">
        <v>1318</v>
      </c>
      <c r="E1754" s="107">
        <v>1323.05</v>
      </c>
      <c r="F1754" s="107">
        <v>1324.6</v>
      </c>
      <c r="G1754">
        <v>6787</v>
      </c>
      <c r="H1754" s="107"/>
      <c r="I1754" s="107"/>
      <c r="L1754" s="148">
        <v>45916</v>
      </c>
      <c r="M1754" s="107">
        <v>1323.6</v>
      </c>
      <c r="N1754" s="107">
        <v>1342</v>
      </c>
      <c r="O1754" s="107">
        <v>1317.5</v>
      </c>
      <c r="P1754" s="107">
        <v>1329.9</v>
      </c>
      <c r="Q1754" s="107">
        <v>1323.6</v>
      </c>
      <c r="R1754">
        <v>253191</v>
      </c>
    </row>
    <row r="1755" spans="1:18" x14ac:dyDescent="0.25">
      <c r="A1755" s="148">
        <v>45917</v>
      </c>
      <c r="B1755" s="107">
        <v>1389</v>
      </c>
      <c r="C1755" s="107">
        <v>1359.75</v>
      </c>
      <c r="D1755" s="107">
        <v>1339.5</v>
      </c>
      <c r="E1755" s="107">
        <v>1342.25</v>
      </c>
      <c r="F1755" s="107">
        <v>1359.75</v>
      </c>
      <c r="G1755">
        <v>29735</v>
      </c>
      <c r="H1755" s="107"/>
      <c r="I1755" s="107"/>
      <c r="L1755" s="148">
        <v>45917</v>
      </c>
      <c r="M1755" s="107">
        <v>1360.2</v>
      </c>
      <c r="N1755" s="107">
        <v>1388.8</v>
      </c>
      <c r="O1755" s="107">
        <v>1330</v>
      </c>
      <c r="P1755" s="107">
        <v>1330</v>
      </c>
      <c r="Q1755" s="107">
        <v>1360.2</v>
      </c>
      <c r="R1755">
        <v>551587</v>
      </c>
    </row>
    <row r="1756" spans="1:18" x14ac:dyDescent="0.25">
      <c r="A1756" s="148">
        <v>45918</v>
      </c>
      <c r="B1756" s="107">
        <v>1400</v>
      </c>
      <c r="C1756" s="107">
        <v>1388.25</v>
      </c>
      <c r="D1756" s="107">
        <v>1354.2</v>
      </c>
      <c r="E1756" s="107">
        <v>1354.2</v>
      </c>
      <c r="F1756" s="107">
        <v>1388.25</v>
      </c>
      <c r="G1756">
        <v>19921</v>
      </c>
      <c r="H1756" s="107"/>
      <c r="I1756" s="107"/>
      <c r="L1756" s="148">
        <v>45918</v>
      </c>
      <c r="M1756" s="107">
        <v>1388.7</v>
      </c>
      <c r="N1756" s="107">
        <v>1400</v>
      </c>
      <c r="O1756" s="107">
        <v>1360</v>
      </c>
      <c r="P1756" s="107">
        <v>1360</v>
      </c>
      <c r="Q1756" s="107">
        <v>1388.7</v>
      </c>
      <c r="R1756">
        <v>449063</v>
      </c>
    </row>
    <row r="1757" spans="1:18" x14ac:dyDescent="0.25">
      <c r="A1757" s="148">
        <v>45919</v>
      </c>
      <c r="B1757" s="107">
        <v>1387.95</v>
      </c>
      <c r="C1757" s="107">
        <v>1364.85</v>
      </c>
      <c r="D1757" s="107">
        <v>1348.5</v>
      </c>
      <c r="E1757" s="107">
        <v>1387.95</v>
      </c>
      <c r="F1757" s="107">
        <v>1364.85</v>
      </c>
      <c r="G1757">
        <v>9523</v>
      </c>
      <c r="H1757" s="107"/>
      <c r="I1757" s="107"/>
      <c r="L1757" s="148">
        <v>45919</v>
      </c>
      <c r="M1757" s="107">
        <v>1363.4</v>
      </c>
      <c r="N1757" s="107">
        <v>1385</v>
      </c>
      <c r="O1757" s="107">
        <v>1348</v>
      </c>
      <c r="P1757" s="107">
        <v>1385</v>
      </c>
      <c r="Q1757" s="107">
        <v>1363.4</v>
      </c>
      <c r="R1757">
        <v>203611</v>
      </c>
    </row>
    <row r="1758" spans="1:18" x14ac:dyDescent="0.25">
      <c r="A1758" s="148">
        <v>45922</v>
      </c>
      <c r="B1758" s="107">
        <v>1392.6</v>
      </c>
      <c r="C1758" s="107">
        <v>1348.7</v>
      </c>
      <c r="D1758" s="107">
        <v>1327.4</v>
      </c>
      <c r="E1758" s="107">
        <v>1340.05</v>
      </c>
      <c r="F1758" s="107">
        <v>1348.7</v>
      </c>
      <c r="G1758">
        <v>19226</v>
      </c>
      <c r="H1758" s="107"/>
      <c r="I1758" s="107"/>
      <c r="L1758" s="148">
        <v>45922</v>
      </c>
      <c r="M1758" s="107">
        <v>1360.6</v>
      </c>
      <c r="N1758" s="107">
        <v>1393</v>
      </c>
      <c r="O1758" s="107">
        <v>1353.1</v>
      </c>
      <c r="P1758" s="107">
        <v>1363</v>
      </c>
      <c r="Q1758" s="107">
        <v>1360.6</v>
      </c>
      <c r="R1758">
        <v>122729</v>
      </c>
    </row>
    <row r="1759" spans="1:18" x14ac:dyDescent="0.25">
      <c r="A1759" s="148">
        <v>45923</v>
      </c>
      <c r="B1759" s="107">
        <v>1364</v>
      </c>
      <c r="C1759" s="107">
        <v>1356.95</v>
      </c>
      <c r="D1759" s="107">
        <v>1344.7</v>
      </c>
      <c r="E1759" s="107">
        <v>1357.7</v>
      </c>
      <c r="F1759" s="107">
        <v>1356.95</v>
      </c>
      <c r="G1759">
        <v>3109</v>
      </c>
      <c r="H1759" s="107"/>
      <c r="I1759" s="107"/>
      <c r="L1759" s="148">
        <v>45923</v>
      </c>
      <c r="M1759" s="107">
        <v>1357.5</v>
      </c>
      <c r="N1759" s="107">
        <v>1365.2</v>
      </c>
      <c r="O1759" s="107">
        <v>1341.5</v>
      </c>
      <c r="P1759" s="107">
        <v>1351</v>
      </c>
      <c r="Q1759" s="107">
        <v>1357.5</v>
      </c>
      <c r="R1759">
        <v>96592</v>
      </c>
    </row>
    <row r="1760" spans="1:18" x14ac:dyDescent="0.25">
      <c r="A1760" s="148">
        <v>45924</v>
      </c>
      <c r="B1760" s="107">
        <v>1398.95</v>
      </c>
      <c r="C1760" s="107">
        <v>1391.45</v>
      </c>
      <c r="D1760" s="107">
        <v>1355.1</v>
      </c>
      <c r="E1760" s="107">
        <v>1360</v>
      </c>
      <c r="F1760" s="107">
        <v>1391.45</v>
      </c>
      <c r="G1760">
        <v>10157</v>
      </c>
      <c r="H1760" s="107"/>
      <c r="I1760" s="107"/>
      <c r="L1760" s="148">
        <v>45924</v>
      </c>
      <c r="M1760" s="107">
        <v>1391.2</v>
      </c>
      <c r="N1760" s="107">
        <v>1398</v>
      </c>
      <c r="O1760" s="107">
        <v>1354.2</v>
      </c>
      <c r="P1760" s="107">
        <v>1357.5</v>
      </c>
      <c r="Q1760" s="107">
        <v>1391.2</v>
      </c>
      <c r="R1760">
        <v>345602</v>
      </c>
    </row>
    <row r="1761" spans="1:18" x14ac:dyDescent="0.25">
      <c r="A1761" s="148">
        <v>45925</v>
      </c>
      <c r="B1761" s="107">
        <v>1431</v>
      </c>
      <c r="C1761" s="107">
        <v>1417.35</v>
      </c>
      <c r="D1761" s="107">
        <v>1382.55</v>
      </c>
      <c r="E1761" s="107">
        <v>1384.65</v>
      </c>
      <c r="F1761" s="107">
        <v>1417.35</v>
      </c>
      <c r="G1761">
        <v>28861</v>
      </c>
      <c r="H1761" s="107"/>
      <c r="I1761" s="107"/>
      <c r="L1761" s="148">
        <v>45925</v>
      </c>
      <c r="M1761" s="107">
        <v>1416.5</v>
      </c>
      <c r="N1761" s="107">
        <v>1430</v>
      </c>
      <c r="O1761" s="107">
        <v>1370</v>
      </c>
      <c r="P1761" s="107">
        <v>1389</v>
      </c>
      <c r="Q1761" s="107">
        <v>1416.5</v>
      </c>
      <c r="R1761">
        <v>444437</v>
      </c>
    </row>
    <row r="1762" spans="1:18" x14ac:dyDescent="0.25">
      <c r="A1762" s="148">
        <v>45926</v>
      </c>
      <c r="B1762" s="107">
        <v>1429.9</v>
      </c>
      <c r="C1762" s="107">
        <v>1381.3</v>
      </c>
      <c r="D1762" s="107">
        <v>1366.15</v>
      </c>
      <c r="E1762" s="107">
        <v>1413.05</v>
      </c>
      <c r="F1762" s="107">
        <v>1381.3</v>
      </c>
      <c r="G1762">
        <v>24427</v>
      </c>
      <c r="H1762" s="107"/>
      <c r="I1762" s="107"/>
      <c r="L1762" s="148">
        <v>45926</v>
      </c>
      <c r="M1762" s="107">
        <v>1377.5</v>
      </c>
      <c r="N1762" s="107">
        <v>1424</v>
      </c>
      <c r="O1762" s="107">
        <v>1366.9</v>
      </c>
      <c r="P1762" s="107">
        <v>1419.4</v>
      </c>
      <c r="Q1762" s="107">
        <v>1377.5</v>
      </c>
      <c r="R1762">
        <v>322484</v>
      </c>
    </row>
    <row r="1763" spans="1:18" x14ac:dyDescent="0.25">
      <c r="A1763" s="148">
        <v>45929</v>
      </c>
      <c r="B1763" s="107">
        <v>1393.25</v>
      </c>
      <c r="C1763" s="107">
        <v>1336.25</v>
      </c>
      <c r="D1763" s="107">
        <v>1330.35</v>
      </c>
      <c r="E1763" s="107">
        <v>1370.35</v>
      </c>
      <c r="F1763" s="107">
        <v>1336.25</v>
      </c>
      <c r="G1763">
        <v>14827</v>
      </c>
      <c r="H1763" s="107"/>
      <c r="I1763" s="107"/>
      <c r="L1763" s="148">
        <v>45929</v>
      </c>
      <c r="M1763" s="107">
        <v>1335.8</v>
      </c>
      <c r="N1763" s="107">
        <v>1396.6</v>
      </c>
      <c r="O1763" s="107">
        <v>1330</v>
      </c>
      <c r="P1763" s="107">
        <v>1376</v>
      </c>
      <c r="Q1763" s="107">
        <v>1335.8</v>
      </c>
      <c r="R1763">
        <v>202647</v>
      </c>
    </row>
    <row r="1764" spans="1:18" x14ac:dyDescent="0.25">
      <c r="A1764" s="148">
        <v>45930</v>
      </c>
      <c r="B1764" s="107">
        <v>1366.9</v>
      </c>
      <c r="C1764" s="107">
        <v>1354.3</v>
      </c>
      <c r="D1764" s="107">
        <v>1325.45</v>
      </c>
      <c r="E1764" s="107">
        <v>1325.45</v>
      </c>
      <c r="F1764" s="107">
        <v>1354.3</v>
      </c>
      <c r="G1764">
        <v>6838</v>
      </c>
      <c r="H1764" s="107"/>
      <c r="I1764" s="107"/>
      <c r="L1764" s="148">
        <v>45930</v>
      </c>
      <c r="M1764" s="107">
        <v>1353.2</v>
      </c>
      <c r="N1764" s="107">
        <v>1369.3</v>
      </c>
      <c r="O1764" s="107">
        <v>1330</v>
      </c>
      <c r="P1764" s="107">
        <v>1332.5</v>
      </c>
      <c r="Q1764" s="107">
        <v>1353.2</v>
      </c>
      <c r="R1764">
        <v>281341</v>
      </c>
    </row>
    <row r="1765" spans="1:18" x14ac:dyDescent="0.25">
      <c r="A1765" s="148">
        <v>45931</v>
      </c>
      <c r="B1765" s="107">
        <v>1404.4</v>
      </c>
      <c r="C1765" s="107">
        <v>1400.55</v>
      </c>
      <c r="D1765" s="107">
        <v>1325.5</v>
      </c>
      <c r="E1765" s="107">
        <v>1326.45</v>
      </c>
      <c r="F1765" s="107">
        <v>1400.55</v>
      </c>
      <c r="G1765">
        <v>10907</v>
      </c>
      <c r="H1765" s="107"/>
      <c r="I1765" s="107"/>
      <c r="L1765" s="148">
        <v>45931</v>
      </c>
      <c r="M1765" s="107">
        <v>1400.8</v>
      </c>
      <c r="N1765" s="107">
        <v>1404</v>
      </c>
      <c r="O1765" s="107">
        <v>1326</v>
      </c>
      <c r="P1765" s="107">
        <v>1345.7</v>
      </c>
      <c r="Q1765" s="107">
        <v>1400.8</v>
      </c>
      <c r="R1765">
        <v>229235</v>
      </c>
    </row>
    <row r="1766" spans="1:18" x14ac:dyDescent="0.25">
      <c r="A1766" s="148">
        <v>45933</v>
      </c>
      <c r="B1766" s="107">
        <v>1417</v>
      </c>
      <c r="C1766" s="107">
        <v>1411.1</v>
      </c>
      <c r="D1766" s="107">
        <v>1381</v>
      </c>
      <c r="E1766" s="107">
        <v>1400.55</v>
      </c>
      <c r="F1766" s="107">
        <v>1411.1</v>
      </c>
      <c r="G1766">
        <v>6765</v>
      </c>
      <c r="H1766" s="107"/>
      <c r="I1766" s="107"/>
      <c r="L1766" s="148">
        <v>45933</v>
      </c>
      <c r="M1766" s="107">
        <v>1410.9</v>
      </c>
      <c r="N1766" s="107">
        <v>1417.7</v>
      </c>
      <c r="O1766" s="107">
        <v>1380</v>
      </c>
      <c r="P1766" s="107">
        <v>1398</v>
      </c>
      <c r="Q1766" s="107">
        <v>1410.9</v>
      </c>
      <c r="R1766">
        <v>238288</v>
      </c>
    </row>
    <row r="1767" spans="1:18" x14ac:dyDescent="0.25">
      <c r="A1767" s="148">
        <v>45936</v>
      </c>
      <c r="B1767" s="107">
        <v>1401.35</v>
      </c>
      <c r="C1767" s="107">
        <v>1398.65</v>
      </c>
      <c r="D1767" s="107">
        <v>1383.85</v>
      </c>
      <c r="E1767" s="107">
        <v>1387.6</v>
      </c>
      <c r="F1767" s="107">
        <v>1398.65</v>
      </c>
      <c r="G1767">
        <v>5893</v>
      </c>
      <c r="H1767" s="107"/>
      <c r="I1767" s="107"/>
      <c r="L1767" s="148">
        <v>45936</v>
      </c>
      <c r="M1767" s="107">
        <v>1399.4</v>
      </c>
      <c r="N1767" s="107">
        <v>1400.4</v>
      </c>
      <c r="O1767" s="107">
        <v>1387.3</v>
      </c>
      <c r="P1767" s="107">
        <v>1400</v>
      </c>
      <c r="Q1767" s="107">
        <v>1399.4</v>
      </c>
      <c r="R1767">
        <v>91433</v>
      </c>
    </row>
    <row r="1768" spans="1:18" x14ac:dyDescent="0.25">
      <c r="A1768" s="148">
        <v>45937</v>
      </c>
      <c r="B1768" s="107">
        <v>1408.7</v>
      </c>
      <c r="C1768" s="107">
        <v>1391.05</v>
      </c>
      <c r="D1768" s="107">
        <v>1382.15</v>
      </c>
      <c r="E1768" s="107">
        <v>1386.15</v>
      </c>
      <c r="F1768" s="107">
        <v>1391.05</v>
      </c>
      <c r="G1768">
        <v>4277</v>
      </c>
      <c r="H1768" s="107"/>
      <c r="I1768" s="107"/>
      <c r="L1768" s="148">
        <v>45937</v>
      </c>
      <c r="M1768" s="107">
        <v>1392</v>
      </c>
      <c r="N1768" s="107">
        <v>1409.5</v>
      </c>
      <c r="O1768" s="107">
        <v>1380.8</v>
      </c>
      <c r="P1768" s="107">
        <v>1399.9</v>
      </c>
      <c r="Q1768" s="107">
        <v>1392</v>
      </c>
      <c r="R1768">
        <v>142625</v>
      </c>
    </row>
    <row r="1769" spans="1:18" x14ac:dyDescent="0.25">
      <c r="A1769" s="148">
        <v>45938</v>
      </c>
      <c r="B1769" s="107">
        <v>1399.1</v>
      </c>
      <c r="C1769" s="107">
        <v>1373</v>
      </c>
      <c r="D1769" s="107">
        <v>1365.2</v>
      </c>
      <c r="E1769" s="107">
        <v>1395</v>
      </c>
      <c r="F1769" s="107">
        <v>1373</v>
      </c>
      <c r="G1769">
        <v>2414</v>
      </c>
      <c r="H1769" s="107"/>
      <c r="I1769" s="107"/>
      <c r="L1769" s="148">
        <v>45938</v>
      </c>
      <c r="M1769" s="107">
        <v>1375.5</v>
      </c>
      <c r="N1769" s="107">
        <v>1400.6</v>
      </c>
      <c r="O1769" s="107">
        <v>1364.4</v>
      </c>
      <c r="P1769" s="107">
        <v>1392</v>
      </c>
      <c r="Q1769" s="107">
        <v>1375.5</v>
      </c>
      <c r="R1769">
        <v>60123</v>
      </c>
    </row>
    <row r="1770" spans="1:18" x14ac:dyDescent="0.25">
      <c r="A1770" s="148">
        <v>45939</v>
      </c>
      <c r="B1770" s="107">
        <v>1389.8</v>
      </c>
      <c r="C1770" s="107">
        <v>1380.65</v>
      </c>
      <c r="D1770" s="107">
        <v>1359.5</v>
      </c>
      <c r="E1770" s="107">
        <v>1359.5</v>
      </c>
      <c r="F1770" s="107">
        <v>1380.65</v>
      </c>
      <c r="G1770">
        <v>3407</v>
      </c>
      <c r="H1770" s="107"/>
      <c r="I1770" s="107"/>
      <c r="L1770" s="148">
        <v>45939</v>
      </c>
      <c r="M1770" s="107">
        <v>1381.7</v>
      </c>
      <c r="N1770" s="107">
        <v>1389.8</v>
      </c>
      <c r="O1770" s="107">
        <v>1365.8</v>
      </c>
      <c r="P1770" s="107">
        <v>1370.7</v>
      </c>
      <c r="Q1770" s="107">
        <v>1381.7</v>
      </c>
      <c r="R1770">
        <v>82643</v>
      </c>
    </row>
    <row r="1771" spans="1:18" x14ac:dyDescent="0.25">
      <c r="A1771" s="148">
        <v>45940</v>
      </c>
      <c r="B1771" s="107">
        <v>1386.35</v>
      </c>
      <c r="C1771" s="107">
        <v>1380.65</v>
      </c>
      <c r="D1771" s="107">
        <v>1365.45</v>
      </c>
      <c r="E1771" s="107">
        <v>1372.05</v>
      </c>
      <c r="F1771" s="107">
        <v>1380.65</v>
      </c>
      <c r="G1771">
        <v>1384</v>
      </c>
      <c r="H1771" s="107"/>
      <c r="I1771" s="107"/>
      <c r="L1771" s="148">
        <v>45940</v>
      </c>
      <c r="M1771" s="107">
        <v>1380.1</v>
      </c>
      <c r="N1771" s="107">
        <v>1388</v>
      </c>
      <c r="O1771" s="107">
        <v>1365.1</v>
      </c>
      <c r="P1771" s="107">
        <v>1380.3</v>
      </c>
      <c r="Q1771" s="107">
        <v>1380.1</v>
      </c>
      <c r="R1771">
        <v>59224</v>
      </c>
    </row>
    <row r="1772" spans="1:18" x14ac:dyDescent="0.25">
      <c r="A1772" s="148">
        <v>45943</v>
      </c>
      <c r="B1772" s="107">
        <v>1430</v>
      </c>
      <c r="C1772" s="107">
        <v>1407.95</v>
      </c>
      <c r="D1772" s="107">
        <v>1362</v>
      </c>
      <c r="E1772" s="107">
        <v>1362</v>
      </c>
      <c r="F1772" s="107">
        <v>1407.95</v>
      </c>
      <c r="G1772">
        <v>30720</v>
      </c>
      <c r="H1772" s="107"/>
      <c r="I1772" s="107"/>
      <c r="L1772" s="148">
        <v>45943</v>
      </c>
      <c r="M1772" s="107">
        <v>1407.8</v>
      </c>
      <c r="N1772" s="107">
        <v>1430</v>
      </c>
      <c r="O1772" s="107">
        <v>1360.2</v>
      </c>
      <c r="P1772" s="107">
        <v>1378.9</v>
      </c>
      <c r="Q1772" s="107">
        <v>1407.8</v>
      </c>
      <c r="R1772">
        <v>746062</v>
      </c>
    </row>
    <row r="1773" spans="1:18" x14ac:dyDescent="0.25">
      <c r="A1773" s="148">
        <v>45944</v>
      </c>
      <c r="B1773" s="107">
        <v>1407.95</v>
      </c>
      <c r="C1773" s="107">
        <v>1369.7</v>
      </c>
      <c r="D1773" s="107">
        <v>1366.45</v>
      </c>
      <c r="E1773" s="107">
        <v>1407.95</v>
      </c>
      <c r="F1773" s="107">
        <v>1369.7</v>
      </c>
      <c r="G1773">
        <v>17842</v>
      </c>
      <c r="H1773" s="107"/>
      <c r="I1773" s="107"/>
      <c r="L1773" s="148">
        <v>45944</v>
      </c>
      <c r="M1773" s="107">
        <v>1370.7</v>
      </c>
      <c r="N1773" s="107">
        <v>1409</v>
      </c>
      <c r="O1773" s="107">
        <v>1368</v>
      </c>
      <c r="P1773" s="107">
        <v>1409</v>
      </c>
      <c r="Q1773" s="107">
        <v>1370.7</v>
      </c>
      <c r="R1773">
        <v>138209</v>
      </c>
    </row>
    <row r="1774" spans="1:18" x14ac:dyDescent="0.25">
      <c r="A1774" s="148">
        <v>45945</v>
      </c>
      <c r="B1774" s="107">
        <v>1397.1</v>
      </c>
      <c r="C1774" s="107">
        <v>1389.55</v>
      </c>
      <c r="D1774" s="107">
        <v>1372.55</v>
      </c>
      <c r="E1774" s="107">
        <v>1397.1</v>
      </c>
      <c r="F1774" s="107">
        <v>1389.55</v>
      </c>
      <c r="G1774">
        <v>2279</v>
      </c>
      <c r="H1774" s="107"/>
      <c r="I1774" s="107"/>
      <c r="L1774" s="148">
        <v>45945</v>
      </c>
      <c r="M1774" s="107">
        <v>1390.4</v>
      </c>
      <c r="N1774" s="107">
        <v>1398.9</v>
      </c>
      <c r="O1774" s="107">
        <v>1370.3</v>
      </c>
      <c r="P1774" s="107">
        <v>1377</v>
      </c>
      <c r="Q1774" s="107">
        <v>1390.4</v>
      </c>
      <c r="R1774">
        <v>56985</v>
      </c>
    </row>
    <row r="1775" spans="1:18" x14ac:dyDescent="0.25">
      <c r="A1775" s="148">
        <v>45946</v>
      </c>
      <c r="B1775" s="107">
        <v>1402.6</v>
      </c>
      <c r="C1775" s="107">
        <v>1388.95</v>
      </c>
      <c r="D1775" s="107">
        <v>1380</v>
      </c>
      <c r="E1775" s="107">
        <v>1390</v>
      </c>
      <c r="F1775" s="107">
        <v>1388.95</v>
      </c>
      <c r="G1775">
        <v>5692</v>
      </c>
      <c r="H1775" s="107"/>
      <c r="I1775" s="107"/>
      <c r="L1775" s="148">
        <v>45946</v>
      </c>
      <c r="M1775" s="107">
        <v>1392.4</v>
      </c>
      <c r="N1775" s="107">
        <v>1401.9</v>
      </c>
      <c r="O1775" s="107">
        <v>1380.1</v>
      </c>
      <c r="P1775" s="107">
        <v>1390.4</v>
      </c>
      <c r="Q1775" s="107">
        <v>1392.4</v>
      </c>
      <c r="R1775">
        <v>89879</v>
      </c>
    </row>
    <row r="1776" spans="1:18" x14ac:dyDescent="0.25">
      <c r="A1776" s="148">
        <v>45947</v>
      </c>
      <c r="B1776" s="107">
        <v>1385.1</v>
      </c>
      <c r="C1776" s="107">
        <v>1286.95</v>
      </c>
      <c r="D1776" s="107">
        <v>1279</v>
      </c>
      <c r="E1776" s="107">
        <v>1385.05</v>
      </c>
      <c r="F1776" s="107">
        <v>1286.95</v>
      </c>
      <c r="G1776">
        <v>22820</v>
      </c>
      <c r="H1776" s="107"/>
      <c r="I1776" s="107"/>
      <c r="L1776" s="148">
        <v>45947</v>
      </c>
      <c r="M1776" s="107">
        <v>1288.9000000000001</v>
      </c>
      <c r="N1776" s="107">
        <v>1385.9</v>
      </c>
      <c r="O1776" s="107">
        <v>1281.2</v>
      </c>
      <c r="P1776" s="107">
        <v>1385.9</v>
      </c>
      <c r="Q1776" s="107">
        <v>1288.9000000000001</v>
      </c>
      <c r="R1776">
        <v>630802</v>
      </c>
    </row>
    <row r="1777" spans="1:18" x14ac:dyDescent="0.25">
      <c r="A1777" s="148">
        <v>45950</v>
      </c>
      <c r="B1777" s="107">
        <v>1298.05</v>
      </c>
      <c r="C1777" s="107">
        <v>1289.4000000000001</v>
      </c>
      <c r="D1777" s="107">
        <v>1265</v>
      </c>
      <c r="E1777" s="107">
        <v>1297.95</v>
      </c>
      <c r="F1777" s="107">
        <v>1289.4000000000001</v>
      </c>
      <c r="G1777">
        <v>8519</v>
      </c>
      <c r="H1777" s="107"/>
      <c r="I1777" s="107"/>
      <c r="L1777" s="148">
        <v>45950</v>
      </c>
      <c r="M1777" s="107">
        <v>1286.8</v>
      </c>
      <c r="N1777" s="107">
        <v>1299.5999999999999</v>
      </c>
      <c r="O1777" s="107">
        <v>1265</v>
      </c>
      <c r="P1777" s="107">
        <v>1288.9000000000001</v>
      </c>
      <c r="Q1777" s="107">
        <v>1286.8</v>
      </c>
      <c r="R1777">
        <v>409377</v>
      </c>
    </row>
    <row r="1778" spans="1:18" x14ac:dyDescent="0.25">
      <c r="A1778" s="148">
        <v>45951</v>
      </c>
      <c r="B1778" s="107">
        <v>1299.95</v>
      </c>
      <c r="C1778" s="107">
        <v>1295.45</v>
      </c>
      <c r="D1778" s="107">
        <v>1292.45</v>
      </c>
      <c r="E1778" s="107">
        <v>1299.95</v>
      </c>
      <c r="F1778" s="107">
        <v>1295.45</v>
      </c>
      <c r="G1778">
        <v>3783</v>
      </c>
      <c r="H1778" s="107"/>
      <c r="I1778" s="107"/>
      <c r="L1778" s="148">
        <v>45951</v>
      </c>
      <c r="M1778" s="107">
        <v>1295.7</v>
      </c>
      <c r="N1778" s="107">
        <v>1300.3</v>
      </c>
      <c r="O1778" s="107">
        <v>1290.8</v>
      </c>
      <c r="P1778" s="107">
        <v>1294.9000000000001</v>
      </c>
      <c r="Q1778" s="107">
        <v>1295.7</v>
      </c>
      <c r="R1778">
        <v>20687</v>
      </c>
    </row>
    <row r="1779" spans="1:18" x14ac:dyDescent="0.25">
      <c r="A1779" s="148">
        <v>45953</v>
      </c>
      <c r="B1779" s="107">
        <v>1346.95</v>
      </c>
      <c r="C1779" s="107">
        <v>1339.25</v>
      </c>
      <c r="D1779" s="107">
        <v>1281.5999999999999</v>
      </c>
      <c r="E1779" s="107">
        <v>1299.95</v>
      </c>
      <c r="F1779" s="107">
        <v>1339.25</v>
      </c>
      <c r="G1779">
        <v>13729</v>
      </c>
      <c r="H1779" s="107"/>
      <c r="I1779" s="107"/>
      <c r="L1779" s="148">
        <v>45953</v>
      </c>
      <c r="M1779" s="107">
        <v>1333.9</v>
      </c>
      <c r="N1779" s="107">
        <v>1345</v>
      </c>
      <c r="O1779" s="107">
        <v>1280</v>
      </c>
      <c r="P1779" s="107">
        <v>1296.3</v>
      </c>
      <c r="Q1779" s="107">
        <v>1333.9</v>
      </c>
      <c r="R1779">
        <v>511949</v>
      </c>
    </row>
    <row r="1780" spans="1:18" x14ac:dyDescent="0.25">
      <c r="A1780" s="148">
        <v>45954</v>
      </c>
      <c r="B1780" s="107">
        <v>1429.8</v>
      </c>
      <c r="C1780" s="107">
        <v>1422.8</v>
      </c>
      <c r="D1780" s="107">
        <v>1325</v>
      </c>
      <c r="E1780" s="107">
        <v>1325</v>
      </c>
      <c r="F1780" s="107">
        <v>1422.8</v>
      </c>
      <c r="G1780">
        <v>108018</v>
      </c>
      <c r="H1780" s="107"/>
      <c r="I1780" s="107"/>
      <c r="L1780" s="148">
        <v>45954</v>
      </c>
      <c r="M1780" s="107">
        <v>1422.5</v>
      </c>
      <c r="N1780" s="107">
        <v>1430</v>
      </c>
      <c r="O1780" s="107">
        <v>1328.5</v>
      </c>
      <c r="P1780" s="107">
        <v>1332.3</v>
      </c>
      <c r="Q1780" s="107">
        <v>1422.5</v>
      </c>
      <c r="R1780">
        <v>2746423</v>
      </c>
    </row>
    <row r="1781" spans="1:18" x14ac:dyDescent="0.25">
      <c r="A1781" s="148">
        <v>45957</v>
      </c>
      <c r="B1781" s="107">
        <v>1489.1</v>
      </c>
      <c r="C1781" s="107">
        <v>1471.8</v>
      </c>
      <c r="D1781" s="107">
        <v>1414.8</v>
      </c>
      <c r="E1781" s="107">
        <v>1422.5</v>
      </c>
      <c r="F1781" s="107">
        <v>1471.8</v>
      </c>
      <c r="G1781">
        <v>91167</v>
      </c>
      <c r="H1781" s="107"/>
      <c r="I1781" s="107"/>
      <c r="L1781" s="148">
        <v>45957</v>
      </c>
      <c r="M1781" s="107">
        <v>1472.2</v>
      </c>
      <c r="N1781" s="107">
        <v>1490.1</v>
      </c>
      <c r="O1781" s="107">
        <v>1415.5</v>
      </c>
      <c r="P1781" s="107">
        <v>1422.5</v>
      </c>
      <c r="Q1781" s="107">
        <v>1472.2</v>
      </c>
      <c r="R1781">
        <v>1865447</v>
      </c>
    </row>
    <row r="1782" spans="1:18" x14ac:dyDescent="0.25">
      <c r="A1782" s="148">
        <v>45958</v>
      </c>
      <c r="B1782" s="107">
        <v>1483.6</v>
      </c>
      <c r="C1782" s="107">
        <v>1474.6</v>
      </c>
      <c r="D1782" s="107">
        <v>1431.65</v>
      </c>
      <c r="E1782" s="107">
        <v>1478.1</v>
      </c>
      <c r="F1782" s="107">
        <v>1474.6</v>
      </c>
      <c r="G1782">
        <v>29666</v>
      </c>
      <c r="H1782" s="107"/>
      <c r="I1782" s="107"/>
      <c r="L1782" s="148">
        <v>45958</v>
      </c>
      <c r="M1782" s="107">
        <v>1477.1</v>
      </c>
      <c r="N1782" s="107">
        <v>1490</v>
      </c>
      <c r="O1782" s="107">
        <v>1431.9</v>
      </c>
      <c r="P1782" s="107">
        <v>1472.2</v>
      </c>
      <c r="Q1782" s="107">
        <v>1477.1</v>
      </c>
      <c r="R1782">
        <v>1144513</v>
      </c>
    </row>
    <row r="1783" spans="1:18" x14ac:dyDescent="0.25">
      <c r="A1783" s="148">
        <v>45959</v>
      </c>
      <c r="B1783" s="107">
        <v>1460.65</v>
      </c>
      <c r="C1783" s="107">
        <v>1401.65</v>
      </c>
      <c r="D1783" s="107">
        <v>1373.85</v>
      </c>
      <c r="E1783" s="107">
        <v>1399.3</v>
      </c>
      <c r="F1783" s="107">
        <v>1401.65</v>
      </c>
      <c r="G1783">
        <v>50084</v>
      </c>
      <c r="H1783" s="107"/>
      <c r="I1783" s="107"/>
      <c r="L1783" s="148">
        <v>45959</v>
      </c>
      <c r="M1783" s="107">
        <v>1403.7</v>
      </c>
      <c r="N1783" s="107">
        <v>1460</v>
      </c>
      <c r="O1783" s="107">
        <v>1370</v>
      </c>
      <c r="P1783" s="107">
        <v>1384.1</v>
      </c>
      <c r="Q1783" s="107">
        <v>1403.7</v>
      </c>
      <c r="R1783">
        <v>1608232</v>
      </c>
    </row>
    <row r="1784" spans="1:18" x14ac:dyDescent="0.25">
      <c r="A1784" s="148">
        <v>45960</v>
      </c>
      <c r="B1784" s="107">
        <v>1483</v>
      </c>
      <c r="C1784" s="107">
        <v>1469.25</v>
      </c>
      <c r="D1784" s="107">
        <v>1392</v>
      </c>
      <c r="E1784" s="107">
        <v>1401.8</v>
      </c>
      <c r="F1784" s="107">
        <v>1469.25</v>
      </c>
      <c r="G1784">
        <v>123857</v>
      </c>
      <c r="H1784" s="107"/>
      <c r="I1784" s="107"/>
      <c r="L1784" s="148">
        <v>45960</v>
      </c>
      <c r="M1784" s="107">
        <v>1472</v>
      </c>
      <c r="N1784" s="107">
        <v>1483.8</v>
      </c>
      <c r="O1784" s="107">
        <v>1390.3</v>
      </c>
      <c r="P1784" s="107">
        <v>1404</v>
      </c>
      <c r="Q1784" s="107">
        <v>1472</v>
      </c>
      <c r="R1784">
        <v>1455294</v>
      </c>
    </row>
    <row r="1785" spans="1:18" x14ac:dyDescent="0.25">
      <c r="A1785" s="148">
        <v>45961</v>
      </c>
      <c r="B1785" s="107">
        <v>1484.95</v>
      </c>
      <c r="C1785" s="107">
        <v>1416.25</v>
      </c>
      <c r="D1785" s="107">
        <v>1407.15</v>
      </c>
      <c r="E1785" s="107">
        <v>1484.95</v>
      </c>
      <c r="F1785" s="107">
        <v>1416.25</v>
      </c>
      <c r="G1785">
        <v>12988</v>
      </c>
      <c r="H1785" s="107"/>
      <c r="I1785" s="107"/>
      <c r="L1785" s="148">
        <v>45961</v>
      </c>
      <c r="M1785" s="107">
        <v>1423.6</v>
      </c>
      <c r="N1785" s="107">
        <v>1481.7</v>
      </c>
      <c r="O1785" s="107">
        <v>1406</v>
      </c>
      <c r="P1785" s="107">
        <v>1479</v>
      </c>
      <c r="Q1785" s="107">
        <v>1423.6</v>
      </c>
      <c r="R1785">
        <v>536676</v>
      </c>
    </row>
    <row r="1786" spans="1:18" x14ac:dyDescent="0.25">
      <c r="A1786" s="148">
        <v>45964</v>
      </c>
      <c r="B1786" s="107">
        <v>1454.2</v>
      </c>
      <c r="C1786" s="107">
        <v>1407.75</v>
      </c>
      <c r="D1786" s="107">
        <v>1399.4</v>
      </c>
      <c r="E1786" s="107">
        <v>1413</v>
      </c>
      <c r="F1786" s="107">
        <v>1407.75</v>
      </c>
      <c r="G1786">
        <v>13004</v>
      </c>
      <c r="H1786" s="107"/>
      <c r="I1786" s="107"/>
      <c r="L1786" s="148">
        <v>45964</v>
      </c>
      <c r="M1786" s="107">
        <v>1409.2</v>
      </c>
      <c r="N1786" s="107">
        <v>1456.4</v>
      </c>
      <c r="O1786" s="107">
        <v>1399.3</v>
      </c>
      <c r="P1786" s="107">
        <v>1412.7</v>
      </c>
      <c r="Q1786" s="107">
        <v>1409.2</v>
      </c>
      <c r="R1786">
        <v>171173</v>
      </c>
    </row>
    <row r="1787" spans="1:18" x14ac:dyDescent="0.25">
      <c r="A1787" s="148">
        <v>45965</v>
      </c>
      <c r="B1787" s="107">
        <v>1453.9</v>
      </c>
      <c r="C1787" s="107">
        <v>1378.15</v>
      </c>
      <c r="D1787" s="107">
        <v>1375.1</v>
      </c>
      <c r="E1787" s="107">
        <v>1453.9</v>
      </c>
      <c r="F1787" s="107">
        <v>1378.15</v>
      </c>
      <c r="G1787">
        <v>7194</v>
      </c>
      <c r="H1787" s="107"/>
      <c r="I1787" s="107"/>
      <c r="L1787" s="148">
        <v>45965</v>
      </c>
      <c r="M1787" s="107">
        <v>1377.9</v>
      </c>
      <c r="N1787" s="107">
        <v>1424.5</v>
      </c>
      <c r="O1787" s="107">
        <v>1375.1</v>
      </c>
      <c r="P1787" s="107">
        <v>1416</v>
      </c>
      <c r="Q1787" s="107">
        <v>1377.9</v>
      </c>
      <c r="R1787">
        <v>273581</v>
      </c>
    </row>
    <row r="1788" spans="1:18" x14ac:dyDescent="0.25">
      <c r="A1788" s="148">
        <v>45967</v>
      </c>
      <c r="B1788" s="107">
        <v>1390</v>
      </c>
      <c r="C1788" s="107">
        <v>1337.9</v>
      </c>
      <c r="D1788" s="107">
        <v>1334.4</v>
      </c>
      <c r="E1788" s="107">
        <v>1374.25</v>
      </c>
      <c r="F1788" s="107">
        <v>1337.9</v>
      </c>
      <c r="G1788">
        <v>10498</v>
      </c>
      <c r="H1788" s="107"/>
      <c r="I1788" s="107"/>
      <c r="L1788" s="148">
        <v>45967</v>
      </c>
      <c r="M1788" s="107">
        <v>1337.5</v>
      </c>
      <c r="N1788" s="107">
        <v>1390.9</v>
      </c>
      <c r="O1788" s="107">
        <v>1333.7</v>
      </c>
      <c r="P1788" s="107">
        <v>1379.1</v>
      </c>
      <c r="Q1788" s="107">
        <v>1337.5</v>
      </c>
      <c r="R1788">
        <v>118585</v>
      </c>
    </row>
    <row r="1789" spans="1:18" x14ac:dyDescent="0.25">
      <c r="A1789" s="148">
        <v>45968</v>
      </c>
      <c r="B1789" s="107">
        <v>1370</v>
      </c>
      <c r="C1789" s="107">
        <v>1348.05</v>
      </c>
      <c r="D1789" s="107">
        <v>1291.4000000000001</v>
      </c>
      <c r="E1789" s="107">
        <v>1339.45</v>
      </c>
      <c r="F1789" s="107">
        <v>1348.05</v>
      </c>
      <c r="G1789">
        <v>24518</v>
      </c>
      <c r="H1789" s="107"/>
      <c r="I1789" s="107"/>
      <c r="L1789" s="148">
        <v>45968</v>
      </c>
      <c r="M1789" s="107">
        <v>1346.9</v>
      </c>
      <c r="N1789" s="107">
        <v>1365</v>
      </c>
      <c r="O1789" s="107">
        <v>1291</v>
      </c>
      <c r="P1789" s="107">
        <v>1335</v>
      </c>
      <c r="Q1789" s="107">
        <v>1346.9</v>
      </c>
      <c r="R1789">
        <v>550597</v>
      </c>
    </row>
    <row r="1790" spans="1:18" x14ac:dyDescent="0.25">
      <c r="A1790" s="148">
        <v>45971</v>
      </c>
      <c r="B1790" s="107">
        <v>1412.65</v>
      </c>
      <c r="C1790" s="107">
        <v>1408.1</v>
      </c>
      <c r="D1790" s="107">
        <v>1340.2</v>
      </c>
      <c r="E1790" s="107">
        <v>1346.35</v>
      </c>
      <c r="F1790" s="107">
        <v>1408.1</v>
      </c>
      <c r="G1790">
        <v>24785</v>
      </c>
      <c r="H1790" s="107"/>
      <c r="I1790" s="107"/>
      <c r="L1790" s="148">
        <v>45971</v>
      </c>
      <c r="M1790" s="107">
        <v>1407.8</v>
      </c>
      <c r="N1790" s="107">
        <v>1414</v>
      </c>
      <c r="O1790" s="107">
        <v>1341</v>
      </c>
      <c r="P1790" s="107">
        <v>1356</v>
      </c>
      <c r="Q1790" s="107">
        <v>1407.8</v>
      </c>
      <c r="R1790">
        <v>362437</v>
      </c>
    </row>
    <row r="1791" spans="1:18" x14ac:dyDescent="0.25">
      <c r="A1791" s="148">
        <v>45972</v>
      </c>
      <c r="B1791" s="107">
        <v>1441</v>
      </c>
      <c r="C1791" s="107">
        <v>1369.25</v>
      </c>
      <c r="D1791" s="107">
        <v>1367.25</v>
      </c>
      <c r="E1791" s="107">
        <v>1385.25</v>
      </c>
      <c r="F1791" s="107">
        <v>1369.25</v>
      </c>
      <c r="G1791">
        <v>18390</v>
      </c>
      <c r="H1791" s="107"/>
      <c r="I1791" s="107"/>
      <c r="L1791" s="148">
        <v>45972</v>
      </c>
      <c r="M1791" s="107">
        <v>1369.2</v>
      </c>
      <c r="N1791" s="107">
        <v>1442</v>
      </c>
      <c r="O1791" s="107">
        <v>1365</v>
      </c>
      <c r="P1791" s="107">
        <v>1400</v>
      </c>
      <c r="Q1791" s="107">
        <v>1369.2</v>
      </c>
      <c r="R1791">
        <v>599031</v>
      </c>
    </row>
    <row r="1792" spans="1:18" x14ac:dyDescent="0.25">
      <c r="A1792" s="148">
        <v>45973</v>
      </c>
      <c r="B1792" s="107">
        <v>1396</v>
      </c>
      <c r="C1792" s="107">
        <v>1367.3</v>
      </c>
      <c r="D1792" s="107">
        <v>1362.5</v>
      </c>
      <c r="E1792" s="107">
        <v>1379</v>
      </c>
      <c r="F1792" s="107">
        <v>1367.3</v>
      </c>
      <c r="G1792">
        <v>6319</v>
      </c>
      <c r="H1792" s="107"/>
      <c r="I1792" s="107"/>
      <c r="L1792" s="148">
        <v>45973</v>
      </c>
      <c r="M1792" s="107">
        <v>1367.8</v>
      </c>
      <c r="N1792" s="107">
        <v>1397</v>
      </c>
      <c r="O1792" s="107">
        <v>1362.9</v>
      </c>
      <c r="P1792" s="107">
        <v>1375.6</v>
      </c>
      <c r="Q1792" s="107">
        <v>1367.8</v>
      </c>
      <c r="R1792">
        <v>136342</v>
      </c>
    </row>
    <row r="1793" spans="1:18" x14ac:dyDescent="0.25">
      <c r="A1793" s="148">
        <v>45974</v>
      </c>
      <c r="B1793" s="107">
        <v>1375.55</v>
      </c>
      <c r="C1793" s="107">
        <v>1354.85</v>
      </c>
      <c r="D1793" s="107">
        <v>1350.95</v>
      </c>
      <c r="E1793" s="107">
        <v>1375.45</v>
      </c>
      <c r="F1793" s="107">
        <v>1354.85</v>
      </c>
      <c r="G1793">
        <v>4038</v>
      </c>
      <c r="H1793" s="107"/>
      <c r="I1793" s="107"/>
      <c r="L1793" s="148">
        <v>45974</v>
      </c>
      <c r="M1793" s="107">
        <v>1355.8</v>
      </c>
      <c r="N1793" s="107">
        <v>1379.9</v>
      </c>
      <c r="O1793" s="107">
        <v>1350.1</v>
      </c>
      <c r="P1793" s="107">
        <v>1369.9</v>
      </c>
      <c r="Q1793" s="107">
        <v>1355.8</v>
      </c>
      <c r="R1793">
        <v>116166</v>
      </c>
    </row>
    <row r="1794" spans="1:18" x14ac:dyDescent="0.25">
      <c r="A1794" s="148">
        <v>45975</v>
      </c>
      <c r="B1794" s="107">
        <v>1376.2</v>
      </c>
      <c r="C1794" s="107">
        <v>1370.3</v>
      </c>
      <c r="D1794" s="107">
        <v>1346.5</v>
      </c>
      <c r="E1794" s="107">
        <v>1354.85</v>
      </c>
      <c r="F1794" s="107">
        <v>1370.3</v>
      </c>
      <c r="G1794">
        <v>6342</v>
      </c>
      <c r="H1794" s="107"/>
      <c r="I1794" s="107"/>
      <c r="L1794" s="148">
        <v>45975</v>
      </c>
      <c r="M1794" s="107">
        <v>1366.7</v>
      </c>
      <c r="N1794" s="107">
        <v>1374.5</v>
      </c>
      <c r="O1794" s="107">
        <v>1343</v>
      </c>
      <c r="P1794" s="107">
        <v>1343</v>
      </c>
      <c r="Q1794" s="107">
        <v>1366.7</v>
      </c>
      <c r="R1794">
        <v>649022</v>
      </c>
    </row>
    <row r="1795" spans="1:18" x14ac:dyDescent="0.25">
      <c r="A1795" s="148">
        <v>45978</v>
      </c>
      <c r="B1795" s="107">
        <v>1378.15</v>
      </c>
      <c r="C1795" s="107">
        <v>1355.25</v>
      </c>
      <c r="D1795" s="107">
        <v>1351.1</v>
      </c>
      <c r="E1795" s="107">
        <v>1363.95</v>
      </c>
      <c r="F1795" s="107">
        <v>1355.25</v>
      </c>
      <c r="G1795">
        <v>7393</v>
      </c>
      <c r="H1795" s="107"/>
      <c r="I1795" s="107"/>
      <c r="L1795" s="148">
        <v>45978</v>
      </c>
      <c r="M1795" s="107">
        <v>1356</v>
      </c>
      <c r="N1795" s="107">
        <v>1380</v>
      </c>
      <c r="O1795" s="107">
        <v>1351</v>
      </c>
      <c r="P1795" s="107">
        <v>1370</v>
      </c>
      <c r="Q1795" s="107">
        <v>1356</v>
      </c>
      <c r="R1795">
        <v>125144</v>
      </c>
    </row>
    <row r="1796" spans="1:18" x14ac:dyDescent="0.25">
      <c r="A1796" s="148">
        <v>45979</v>
      </c>
      <c r="B1796" s="107">
        <v>1355.6</v>
      </c>
      <c r="C1796" s="107">
        <v>1332.15</v>
      </c>
      <c r="D1796" s="107">
        <v>1312.2</v>
      </c>
      <c r="E1796" s="107">
        <v>1339.15</v>
      </c>
      <c r="F1796" s="107">
        <v>1332.15</v>
      </c>
      <c r="G1796">
        <v>9735</v>
      </c>
      <c r="H1796" s="107"/>
      <c r="I1796" s="107"/>
      <c r="L1796" s="148">
        <v>45979</v>
      </c>
      <c r="M1796" s="107">
        <v>1328.5</v>
      </c>
      <c r="N1796" s="107">
        <v>1356</v>
      </c>
      <c r="O1796" s="107">
        <v>1310.0999999999999</v>
      </c>
      <c r="P1796" s="107">
        <v>1341</v>
      </c>
      <c r="Q1796" s="107">
        <v>1328.5</v>
      </c>
      <c r="R1796">
        <v>225027</v>
      </c>
    </row>
    <row r="1797" spans="1:18" x14ac:dyDescent="0.25">
      <c r="A1797" s="148">
        <v>45980</v>
      </c>
      <c r="B1797" s="107">
        <v>1326.95</v>
      </c>
      <c r="C1797" s="107">
        <v>1319.7</v>
      </c>
      <c r="D1797" s="107">
        <v>1309.8</v>
      </c>
      <c r="E1797" s="107">
        <v>1326.95</v>
      </c>
      <c r="F1797" s="107">
        <v>1319.7</v>
      </c>
      <c r="G1797">
        <v>5852</v>
      </c>
      <c r="H1797" s="107"/>
      <c r="I1797" s="107"/>
      <c r="L1797" s="148">
        <v>45980</v>
      </c>
      <c r="M1797" s="107">
        <v>1321.2</v>
      </c>
      <c r="N1797" s="107">
        <v>1327.2</v>
      </c>
      <c r="O1797" s="107">
        <v>1308.0999999999999</v>
      </c>
      <c r="P1797" s="107">
        <v>1321</v>
      </c>
      <c r="Q1797" s="107">
        <v>1321.2</v>
      </c>
      <c r="R1797">
        <v>84063</v>
      </c>
    </row>
    <row r="1798" spans="1:18" x14ac:dyDescent="0.25">
      <c r="A1798" s="148">
        <v>45981</v>
      </c>
      <c r="B1798" s="107">
        <v>1337.05</v>
      </c>
      <c r="C1798" s="107">
        <v>1331.55</v>
      </c>
      <c r="D1798" s="107">
        <v>1308.2</v>
      </c>
      <c r="E1798" s="107">
        <v>1323</v>
      </c>
      <c r="F1798" s="107">
        <v>1331.55</v>
      </c>
      <c r="G1798">
        <v>4263</v>
      </c>
      <c r="H1798" s="107"/>
      <c r="I1798" s="107"/>
      <c r="L1798" s="148">
        <v>45981</v>
      </c>
      <c r="M1798" s="107">
        <v>1328.3</v>
      </c>
      <c r="N1798" s="107">
        <v>1337.5</v>
      </c>
      <c r="O1798" s="107">
        <v>1306.5999999999999</v>
      </c>
      <c r="P1798" s="107">
        <v>1321</v>
      </c>
      <c r="Q1798" s="107">
        <v>1328.3</v>
      </c>
      <c r="R1798">
        <v>121617</v>
      </c>
    </row>
    <row r="1799" spans="1:18" x14ac:dyDescent="0.25">
      <c r="A1799" s="148">
        <v>45982</v>
      </c>
      <c r="B1799" s="107">
        <v>1369.5</v>
      </c>
      <c r="C1799" s="107">
        <v>1358.65</v>
      </c>
      <c r="D1799" s="107">
        <v>1324</v>
      </c>
      <c r="E1799" s="107">
        <v>1369.5</v>
      </c>
      <c r="F1799" s="107">
        <v>1358.65</v>
      </c>
      <c r="G1799">
        <v>203931</v>
      </c>
      <c r="H1799" s="107"/>
      <c r="I1799" s="107"/>
      <c r="L1799" s="148">
        <v>45982</v>
      </c>
      <c r="M1799" s="107">
        <v>1359.2</v>
      </c>
      <c r="N1799" s="107">
        <v>1363</v>
      </c>
      <c r="O1799" s="107">
        <v>1324.1</v>
      </c>
      <c r="P1799" s="107">
        <v>1328.3</v>
      </c>
      <c r="Q1799" s="107">
        <v>1359.2</v>
      </c>
      <c r="R1799">
        <v>513808</v>
      </c>
    </row>
    <row r="1800" spans="1:18" x14ac:dyDescent="0.25">
      <c r="A1800" s="148">
        <v>45985</v>
      </c>
      <c r="B1800" s="107">
        <v>1395.7</v>
      </c>
      <c r="C1800" s="107">
        <v>1391.75</v>
      </c>
      <c r="D1800" s="107">
        <v>1356</v>
      </c>
      <c r="E1800" s="107">
        <v>1358.5</v>
      </c>
      <c r="F1800" s="107">
        <v>1391.75</v>
      </c>
      <c r="G1800">
        <v>10759</v>
      </c>
      <c r="H1800" s="107"/>
      <c r="I1800" s="107"/>
      <c r="L1800" s="148">
        <v>45985</v>
      </c>
      <c r="M1800" s="107">
        <v>1392.3</v>
      </c>
      <c r="N1800" s="107">
        <v>1396</v>
      </c>
      <c r="O1800" s="107">
        <v>1353.7</v>
      </c>
      <c r="P1800" s="107">
        <v>1358.1</v>
      </c>
      <c r="Q1800" s="107">
        <v>1392.3</v>
      </c>
      <c r="R1800">
        <v>730590</v>
      </c>
    </row>
    <row r="1801" spans="1:18" x14ac:dyDescent="0.25">
      <c r="A1801" s="148">
        <v>45986</v>
      </c>
      <c r="B1801" s="107">
        <v>1399.9</v>
      </c>
      <c r="C1801" s="107">
        <v>1391.7</v>
      </c>
      <c r="D1801" s="107">
        <v>1380.25</v>
      </c>
      <c r="E1801" s="107">
        <v>1380.25</v>
      </c>
      <c r="F1801" s="107">
        <v>1391.7</v>
      </c>
      <c r="G1801">
        <v>3700</v>
      </c>
      <c r="H1801" s="107"/>
      <c r="I1801" s="107"/>
      <c r="L1801" s="148">
        <v>45986</v>
      </c>
      <c r="M1801" s="107">
        <v>1389.2</v>
      </c>
      <c r="N1801" s="107">
        <v>1399.8</v>
      </c>
      <c r="O1801" s="107">
        <v>1378.3</v>
      </c>
      <c r="P1801" s="107">
        <v>1393</v>
      </c>
      <c r="Q1801" s="107">
        <v>1389.2</v>
      </c>
      <c r="R1801">
        <v>152389</v>
      </c>
    </row>
    <row r="1802" spans="1:18" x14ac:dyDescent="0.25">
      <c r="A1802" s="148">
        <v>45987</v>
      </c>
      <c r="B1802" s="107">
        <v>1391.7</v>
      </c>
      <c r="C1802" s="107">
        <v>1369.45</v>
      </c>
      <c r="D1802" s="107">
        <v>1355.1</v>
      </c>
      <c r="E1802" s="107">
        <v>1383</v>
      </c>
      <c r="F1802" s="107">
        <v>1369.45</v>
      </c>
      <c r="G1802">
        <v>10062</v>
      </c>
      <c r="H1802" s="107"/>
      <c r="I1802" s="107"/>
      <c r="L1802" s="148">
        <v>45987</v>
      </c>
      <c r="M1802" s="107">
        <v>1370</v>
      </c>
      <c r="N1802" s="107">
        <v>1392.5</v>
      </c>
      <c r="O1802" s="107">
        <v>1354.8</v>
      </c>
      <c r="P1802" s="107">
        <v>1387</v>
      </c>
      <c r="Q1802" s="107">
        <v>1370</v>
      </c>
      <c r="R1802">
        <v>146205</v>
      </c>
    </row>
    <row r="1803" spans="1:18" x14ac:dyDescent="0.25">
      <c r="A1803" s="148">
        <v>45988</v>
      </c>
      <c r="B1803" s="107">
        <v>1389.05</v>
      </c>
      <c r="C1803" s="107">
        <v>1372.3</v>
      </c>
      <c r="D1803" s="107">
        <v>1350.1</v>
      </c>
      <c r="E1803" s="107">
        <v>1389.05</v>
      </c>
      <c r="F1803" s="107">
        <v>1372.3</v>
      </c>
      <c r="G1803">
        <v>3506</v>
      </c>
      <c r="H1803" s="107"/>
      <c r="I1803" s="107"/>
      <c r="L1803" s="148">
        <v>45988</v>
      </c>
      <c r="M1803" s="107">
        <v>1372</v>
      </c>
      <c r="N1803" s="107">
        <v>1377</v>
      </c>
      <c r="O1803" s="107">
        <v>1350.1</v>
      </c>
      <c r="P1803" s="107">
        <v>1370</v>
      </c>
      <c r="Q1803" s="107">
        <v>1372</v>
      </c>
      <c r="R1803">
        <v>131703</v>
      </c>
    </row>
    <row r="1804" spans="1:18" x14ac:dyDescent="0.25">
      <c r="A1804" s="148">
        <v>45989</v>
      </c>
      <c r="B1804" s="107">
        <v>1366.2</v>
      </c>
      <c r="C1804" s="107">
        <v>1335.75</v>
      </c>
      <c r="D1804" s="107">
        <v>1323.2</v>
      </c>
      <c r="E1804" s="107">
        <v>1360.05</v>
      </c>
      <c r="F1804" s="107">
        <v>1335.75</v>
      </c>
      <c r="G1804">
        <v>12196</v>
      </c>
      <c r="H1804" s="107"/>
      <c r="I1804" s="107"/>
      <c r="L1804" s="148">
        <v>45989</v>
      </c>
      <c r="M1804" s="107">
        <v>1337.1</v>
      </c>
      <c r="N1804" s="107">
        <v>1368</v>
      </c>
      <c r="O1804" s="107">
        <v>1324</v>
      </c>
      <c r="P1804" s="107">
        <v>1367.9</v>
      </c>
      <c r="Q1804" s="107">
        <v>1337.1</v>
      </c>
      <c r="R1804">
        <v>247273</v>
      </c>
    </row>
    <row r="1805" spans="1:18" x14ac:dyDescent="0.25">
      <c r="A1805" s="148">
        <v>45992</v>
      </c>
      <c r="B1805" s="107">
        <v>1354.45</v>
      </c>
      <c r="C1805" s="107">
        <v>1343.15</v>
      </c>
      <c r="D1805" s="107">
        <v>1335</v>
      </c>
      <c r="E1805" s="107">
        <v>1335</v>
      </c>
      <c r="F1805" s="107">
        <v>1343.15</v>
      </c>
      <c r="G1805">
        <v>3011</v>
      </c>
      <c r="H1805" s="107"/>
      <c r="I1805" s="107"/>
      <c r="L1805" s="148">
        <v>45992</v>
      </c>
      <c r="M1805" s="107">
        <v>1344</v>
      </c>
      <c r="N1805" s="107">
        <v>1354.7</v>
      </c>
      <c r="O1805" s="107">
        <v>1333.7</v>
      </c>
      <c r="P1805" s="107">
        <v>1334.9</v>
      </c>
      <c r="Q1805" s="107">
        <v>1344</v>
      </c>
      <c r="R1805">
        <v>102641</v>
      </c>
    </row>
    <row r="1806" spans="1:18" x14ac:dyDescent="0.25">
      <c r="A1806" s="148">
        <v>45993</v>
      </c>
      <c r="B1806" s="107">
        <v>1347.95</v>
      </c>
      <c r="C1806" s="107">
        <v>1329.05</v>
      </c>
      <c r="D1806" s="107">
        <v>1317.65</v>
      </c>
      <c r="E1806" s="107">
        <v>1344</v>
      </c>
      <c r="F1806" s="107">
        <v>1329.05</v>
      </c>
      <c r="G1806">
        <v>4019</v>
      </c>
      <c r="H1806" s="107"/>
      <c r="I1806" s="107"/>
      <c r="L1806" s="148">
        <v>45993</v>
      </c>
      <c r="M1806" s="107">
        <v>1324.8</v>
      </c>
      <c r="N1806" s="107">
        <v>1350</v>
      </c>
      <c r="O1806" s="107">
        <v>1317.3</v>
      </c>
      <c r="P1806" s="107">
        <v>1330.6</v>
      </c>
      <c r="Q1806" s="107">
        <v>1324.8</v>
      </c>
      <c r="R1806">
        <v>127347</v>
      </c>
    </row>
    <row r="1807" spans="1:18" x14ac:dyDescent="0.25">
      <c r="A1807" s="148">
        <v>45994</v>
      </c>
      <c r="B1807" s="107">
        <v>1336.15</v>
      </c>
      <c r="C1807" s="107">
        <v>1333.2</v>
      </c>
      <c r="D1807" s="107">
        <v>1311.1</v>
      </c>
      <c r="E1807" s="107">
        <v>1319.05</v>
      </c>
      <c r="F1807" s="107">
        <v>1333.2</v>
      </c>
      <c r="G1807">
        <v>6159</v>
      </c>
      <c r="H1807" s="107"/>
      <c r="I1807" s="107"/>
      <c r="L1807" s="148">
        <v>45994</v>
      </c>
      <c r="M1807" s="107">
        <v>1334.1</v>
      </c>
      <c r="N1807" s="107">
        <v>1337.9</v>
      </c>
      <c r="O1807" s="107">
        <v>1311.6</v>
      </c>
      <c r="P1807" s="107">
        <v>1331.4</v>
      </c>
      <c r="Q1807" s="107">
        <v>1334.1</v>
      </c>
      <c r="R1807">
        <v>141771</v>
      </c>
    </row>
    <row r="1808" spans="1:18" x14ac:dyDescent="0.25">
      <c r="A1808" s="148">
        <v>45995</v>
      </c>
      <c r="B1808" s="107">
        <v>1354.2</v>
      </c>
      <c r="C1808" s="107">
        <v>1340.9</v>
      </c>
      <c r="D1808" s="107">
        <v>1315</v>
      </c>
      <c r="E1808" s="107">
        <v>1317.95</v>
      </c>
      <c r="F1808" s="107">
        <v>1340.9</v>
      </c>
      <c r="G1808">
        <v>2840</v>
      </c>
      <c r="H1808" s="107"/>
      <c r="I1808" s="107"/>
      <c r="L1808" s="148">
        <v>45995</v>
      </c>
      <c r="M1808" s="107">
        <v>1347</v>
      </c>
      <c r="N1808" s="107">
        <v>1353.5</v>
      </c>
      <c r="O1808" s="107">
        <v>1313.7</v>
      </c>
      <c r="P1808" s="107">
        <v>1334.1</v>
      </c>
      <c r="Q1808" s="107">
        <v>1347</v>
      </c>
      <c r="R1808">
        <v>99054</v>
      </c>
    </row>
    <row r="1809" spans="1:18" x14ac:dyDescent="0.25">
      <c r="A1809" s="148">
        <v>45996</v>
      </c>
      <c r="B1809" s="107">
        <v>1333.8</v>
      </c>
      <c r="C1809" s="107">
        <v>1288.5</v>
      </c>
      <c r="D1809" s="107">
        <v>1286</v>
      </c>
      <c r="E1809" s="107">
        <v>1325.1</v>
      </c>
      <c r="F1809" s="107">
        <v>1288.5</v>
      </c>
      <c r="G1809">
        <v>9370</v>
      </c>
      <c r="H1809" s="107"/>
      <c r="I1809" s="107"/>
      <c r="L1809" s="148">
        <v>45996</v>
      </c>
      <c r="M1809" s="107">
        <v>1290.7</v>
      </c>
      <c r="N1809" s="107">
        <v>1346</v>
      </c>
      <c r="O1809" s="107">
        <v>1284.2</v>
      </c>
      <c r="P1809" s="107">
        <v>1346</v>
      </c>
      <c r="Q1809" s="107">
        <v>1290.7</v>
      </c>
      <c r="R1809">
        <v>304196</v>
      </c>
    </row>
    <row r="1810" spans="1:18" x14ac:dyDescent="0.25">
      <c r="A1810" s="148">
        <v>45999</v>
      </c>
      <c r="B1810" s="107">
        <v>1289.05</v>
      </c>
      <c r="C1810" s="107">
        <v>1248.8499999999999</v>
      </c>
      <c r="D1810" s="107">
        <v>1245.3499999999999</v>
      </c>
      <c r="E1810" s="107">
        <v>1289.05</v>
      </c>
      <c r="F1810" s="107">
        <v>1248.8499999999999</v>
      </c>
      <c r="G1810">
        <v>5126</v>
      </c>
      <c r="H1810" s="107"/>
      <c r="I1810" s="107"/>
      <c r="L1810" s="148">
        <v>45999</v>
      </c>
      <c r="M1810" s="107">
        <v>1250.3</v>
      </c>
      <c r="N1810" s="107">
        <v>1297.3</v>
      </c>
      <c r="O1810" s="107">
        <v>1245.8</v>
      </c>
      <c r="P1810" s="107">
        <v>1297.3</v>
      </c>
      <c r="Q1810" s="107">
        <v>1250.3</v>
      </c>
      <c r="R1810">
        <v>250530</v>
      </c>
    </row>
    <row r="1811" spans="1:18" x14ac:dyDescent="0.25">
      <c r="A1811" s="148">
        <v>46000</v>
      </c>
      <c r="B1811" s="107">
        <v>1276.75</v>
      </c>
      <c r="C1811" s="107">
        <v>1268.4000000000001</v>
      </c>
      <c r="D1811" s="107">
        <v>1232.75</v>
      </c>
      <c r="E1811" s="107">
        <v>1232.75</v>
      </c>
      <c r="F1811" s="107">
        <v>1268.4000000000001</v>
      </c>
      <c r="G1811">
        <v>2416</v>
      </c>
      <c r="H1811" s="107"/>
      <c r="I1811" s="107"/>
      <c r="L1811" s="148">
        <v>46000</v>
      </c>
      <c r="M1811" s="107">
        <v>1268.4000000000001</v>
      </c>
      <c r="N1811" s="107">
        <v>1275</v>
      </c>
      <c r="O1811" s="107">
        <v>1232.8</v>
      </c>
      <c r="P1811" s="107">
        <v>1240.3</v>
      </c>
      <c r="Q1811" s="107">
        <v>1268.4000000000001</v>
      </c>
      <c r="R1811">
        <v>127738</v>
      </c>
    </row>
    <row r="1812" spans="1:18" x14ac:dyDescent="0.25">
      <c r="A1812" s="148">
        <v>46001</v>
      </c>
      <c r="B1812" s="107">
        <v>1290</v>
      </c>
      <c r="C1812" s="107">
        <v>1268.55</v>
      </c>
      <c r="D1812" s="107">
        <v>1255.25</v>
      </c>
      <c r="E1812" s="107">
        <v>1255.25</v>
      </c>
      <c r="F1812" s="107">
        <v>1268.55</v>
      </c>
      <c r="G1812">
        <v>4427</v>
      </c>
      <c r="H1812" s="107"/>
      <c r="I1812" s="107"/>
      <c r="L1812" s="148">
        <v>46001</v>
      </c>
      <c r="M1812" s="107">
        <v>1269.8</v>
      </c>
      <c r="N1812" s="107">
        <v>1293.8</v>
      </c>
      <c r="O1812" s="107">
        <v>1259.8</v>
      </c>
      <c r="P1812" s="107">
        <v>1265</v>
      </c>
      <c r="Q1812" s="107">
        <v>1269.8</v>
      </c>
      <c r="R1812">
        <v>130575</v>
      </c>
    </row>
    <row r="1813" spans="1:18" x14ac:dyDescent="0.25">
      <c r="A1813" s="148">
        <v>46002</v>
      </c>
      <c r="B1813" s="107">
        <v>1281.8499999999999</v>
      </c>
      <c r="C1813" s="107">
        <v>1276</v>
      </c>
      <c r="D1813" s="107">
        <v>1251.55</v>
      </c>
      <c r="E1813" s="107">
        <v>1265.3</v>
      </c>
      <c r="F1813" s="107">
        <v>1276</v>
      </c>
      <c r="G1813">
        <v>1597</v>
      </c>
      <c r="H1813" s="107"/>
      <c r="I1813" s="107"/>
      <c r="L1813" s="148">
        <v>46002</v>
      </c>
      <c r="M1813" s="107">
        <v>1277.3</v>
      </c>
      <c r="N1813" s="107">
        <v>1286.9000000000001</v>
      </c>
      <c r="O1813" s="107">
        <v>1251</v>
      </c>
      <c r="P1813" s="107">
        <v>1277</v>
      </c>
      <c r="Q1813" s="107">
        <v>1277.3</v>
      </c>
      <c r="R1813">
        <v>71453</v>
      </c>
    </row>
    <row r="1814" spans="1:18" x14ac:dyDescent="0.25">
      <c r="A1814" s="148">
        <v>46003</v>
      </c>
      <c r="B1814" s="107">
        <v>1297.3499999999999</v>
      </c>
      <c r="C1814" s="107">
        <v>1293.8</v>
      </c>
      <c r="D1814" s="107">
        <v>1275</v>
      </c>
      <c r="E1814" s="107">
        <v>1284.2</v>
      </c>
      <c r="F1814" s="107">
        <v>1293.8</v>
      </c>
      <c r="G1814">
        <v>1396</v>
      </c>
      <c r="H1814" s="107"/>
      <c r="I1814" s="107"/>
      <c r="L1814" s="148">
        <v>46003</v>
      </c>
      <c r="M1814" s="107">
        <v>1288.4000000000001</v>
      </c>
      <c r="N1814" s="107">
        <v>1297.3</v>
      </c>
      <c r="O1814" s="107">
        <v>1275</v>
      </c>
      <c r="P1814" s="107">
        <v>1277.3</v>
      </c>
      <c r="Q1814" s="107">
        <v>1288.4000000000001</v>
      </c>
      <c r="R1814">
        <v>72779</v>
      </c>
    </row>
    <row r="1815" spans="1:18" x14ac:dyDescent="0.25">
      <c r="A1815" s="148">
        <v>46006</v>
      </c>
      <c r="B1815" s="107">
        <v>1293.55</v>
      </c>
      <c r="C1815" s="107">
        <v>1278.6500000000001</v>
      </c>
      <c r="D1815" s="107">
        <v>1251</v>
      </c>
      <c r="E1815" s="107">
        <v>1293.55</v>
      </c>
      <c r="F1815" s="107">
        <v>1278.6500000000001</v>
      </c>
      <c r="G1815">
        <v>4873</v>
      </c>
      <c r="H1815" s="107"/>
      <c r="I1815" s="107"/>
      <c r="L1815" s="148">
        <v>46006</v>
      </c>
      <c r="M1815" s="107">
        <v>1279.9000000000001</v>
      </c>
      <c r="N1815" s="107">
        <v>1290.5999999999999</v>
      </c>
      <c r="O1815" s="107">
        <v>1250.8</v>
      </c>
      <c r="P1815" s="107">
        <v>1276.8</v>
      </c>
      <c r="Q1815" s="107">
        <v>1279.9000000000001</v>
      </c>
      <c r="R1815">
        <v>195952</v>
      </c>
    </row>
    <row r="1816" spans="1:18" x14ac:dyDescent="0.25">
      <c r="A1816" s="148">
        <v>46007</v>
      </c>
      <c r="B1816" s="107">
        <v>1290.3</v>
      </c>
      <c r="C1816" s="107">
        <v>1255.5</v>
      </c>
      <c r="D1816" s="107">
        <v>1251.05</v>
      </c>
      <c r="E1816" s="107">
        <v>1278.1500000000001</v>
      </c>
      <c r="F1816" s="107">
        <v>1255.5</v>
      </c>
      <c r="G1816">
        <v>2324</v>
      </c>
      <c r="H1816" s="107"/>
      <c r="I1816" s="107"/>
      <c r="L1816" s="148">
        <v>46007</v>
      </c>
      <c r="M1816" s="107">
        <v>1257.9000000000001</v>
      </c>
      <c r="N1816" s="107">
        <v>1292.2</v>
      </c>
      <c r="O1816" s="107">
        <v>1232.8</v>
      </c>
      <c r="P1816" s="107">
        <v>1285.5999999999999</v>
      </c>
      <c r="Q1816" s="107">
        <v>1257.9000000000001</v>
      </c>
      <c r="R1816">
        <v>128870</v>
      </c>
    </row>
    <row r="1817" spans="1:18" x14ac:dyDescent="0.25">
      <c r="A1817" s="148">
        <v>46008</v>
      </c>
      <c r="B1817" s="107">
        <v>1288.45</v>
      </c>
      <c r="C1817" s="107">
        <v>1278.0999999999999</v>
      </c>
      <c r="D1817" s="107">
        <v>1246.3</v>
      </c>
      <c r="E1817" s="107">
        <v>1250</v>
      </c>
      <c r="F1817" s="107">
        <v>1278.0999999999999</v>
      </c>
      <c r="G1817">
        <v>2941</v>
      </c>
      <c r="H1817" s="107"/>
      <c r="I1817" s="107"/>
      <c r="L1817" s="148">
        <v>46008</v>
      </c>
      <c r="M1817" s="107">
        <v>1278.2</v>
      </c>
      <c r="N1817" s="107">
        <v>1290.5</v>
      </c>
      <c r="O1817" s="107">
        <v>1246.8</v>
      </c>
      <c r="P1817" s="107">
        <v>1261.9000000000001</v>
      </c>
      <c r="Q1817" s="107">
        <v>1278.2</v>
      </c>
      <c r="R1817">
        <v>223989</v>
      </c>
    </row>
    <row r="1818" spans="1:18" x14ac:dyDescent="0.25">
      <c r="A1818" s="148">
        <v>46009</v>
      </c>
      <c r="B1818" s="107">
        <v>1270.7</v>
      </c>
      <c r="C1818" s="107">
        <v>1264.6500000000001</v>
      </c>
      <c r="D1818" s="107">
        <v>1250.05</v>
      </c>
      <c r="E1818" s="107">
        <v>1250.05</v>
      </c>
      <c r="F1818" s="107">
        <v>1264.6500000000001</v>
      </c>
      <c r="G1818">
        <v>2626</v>
      </c>
      <c r="H1818" s="107"/>
      <c r="I1818" s="107"/>
      <c r="L1818" s="148">
        <v>46009</v>
      </c>
      <c r="M1818" s="107">
        <v>1264.8</v>
      </c>
      <c r="N1818" s="107">
        <v>1278</v>
      </c>
      <c r="O1818" s="107">
        <v>1255.0999999999999</v>
      </c>
      <c r="P1818" s="107">
        <v>1278</v>
      </c>
      <c r="Q1818" s="107">
        <v>1264.8</v>
      </c>
      <c r="R1818">
        <v>52205</v>
      </c>
    </row>
    <row r="1819" spans="1:18" x14ac:dyDescent="0.25">
      <c r="A1819" s="148">
        <v>46010</v>
      </c>
      <c r="B1819" s="107">
        <v>1285.2</v>
      </c>
      <c r="C1819" s="107">
        <v>1277.6500000000001</v>
      </c>
      <c r="D1819" s="107">
        <v>1257.1500000000001</v>
      </c>
      <c r="E1819" s="107">
        <v>1264.7</v>
      </c>
      <c r="F1819" s="107">
        <v>1277.6500000000001</v>
      </c>
      <c r="G1819">
        <v>2086</v>
      </c>
      <c r="H1819" s="107"/>
      <c r="I1819" s="107"/>
      <c r="L1819" s="148">
        <v>46010</v>
      </c>
      <c r="M1819" s="107">
        <v>1279.9000000000001</v>
      </c>
      <c r="N1819" s="107">
        <v>1286.5999999999999</v>
      </c>
      <c r="O1819" s="107">
        <v>1255</v>
      </c>
      <c r="P1819" s="107">
        <v>1268</v>
      </c>
      <c r="Q1819" s="107">
        <v>1279.9000000000001</v>
      </c>
      <c r="R1819">
        <v>155355</v>
      </c>
    </row>
    <row r="1820" spans="1:18" x14ac:dyDescent="0.25">
      <c r="A1820" s="148">
        <v>46013</v>
      </c>
      <c r="B1820" s="107">
        <v>1303.0999999999999</v>
      </c>
      <c r="C1820" s="107">
        <v>1300.6500000000001</v>
      </c>
      <c r="D1820" s="107">
        <v>1261.8</v>
      </c>
      <c r="E1820" s="107">
        <v>1263.1500000000001</v>
      </c>
      <c r="F1820" s="107">
        <v>1300.6500000000001</v>
      </c>
      <c r="G1820">
        <v>2402</v>
      </c>
      <c r="H1820" s="107"/>
      <c r="I1820" s="107"/>
      <c r="L1820" s="148">
        <v>46013</v>
      </c>
      <c r="M1820" s="107">
        <v>1300.3</v>
      </c>
      <c r="N1820" s="107">
        <v>1303.5999999999999</v>
      </c>
      <c r="O1820" s="107">
        <v>1260.3</v>
      </c>
      <c r="P1820" s="107">
        <v>1279</v>
      </c>
      <c r="Q1820" s="107">
        <v>1300.3</v>
      </c>
      <c r="R1820">
        <v>189489</v>
      </c>
    </row>
    <row r="1821" spans="1:18" x14ac:dyDescent="0.25">
      <c r="A1821" s="148">
        <v>46014</v>
      </c>
      <c r="B1821" s="107">
        <v>1313.35</v>
      </c>
      <c r="C1821" s="107">
        <v>1302.5999999999999</v>
      </c>
      <c r="D1821" s="107">
        <v>1286</v>
      </c>
      <c r="E1821" s="107">
        <v>1294.6500000000001</v>
      </c>
      <c r="F1821" s="107">
        <v>1302.5999999999999</v>
      </c>
      <c r="G1821">
        <v>3480</v>
      </c>
      <c r="H1821" s="107"/>
      <c r="I1821" s="107"/>
      <c r="L1821" s="148">
        <v>46014</v>
      </c>
      <c r="M1821" s="107">
        <v>1301.7</v>
      </c>
      <c r="N1821" s="107">
        <v>1313.8</v>
      </c>
      <c r="O1821" s="107">
        <v>1281.7</v>
      </c>
      <c r="P1821" s="107">
        <v>1300.3</v>
      </c>
      <c r="Q1821" s="107">
        <v>1301.7</v>
      </c>
      <c r="R1821">
        <v>93782</v>
      </c>
    </row>
    <row r="1822" spans="1:18" x14ac:dyDescent="0.25">
      <c r="A1822" s="148">
        <v>46015</v>
      </c>
      <c r="B1822" s="107">
        <v>1317</v>
      </c>
      <c r="C1822" s="107">
        <v>1301.8</v>
      </c>
      <c r="D1822" s="107">
        <v>1285.25</v>
      </c>
      <c r="E1822" s="107">
        <v>1285.25</v>
      </c>
      <c r="F1822" s="107">
        <v>1301.8</v>
      </c>
      <c r="G1822">
        <v>4055</v>
      </c>
      <c r="H1822" s="107"/>
      <c r="I1822" s="107"/>
      <c r="L1822" s="148">
        <v>46015</v>
      </c>
      <c r="M1822" s="107">
        <v>1303.0999999999999</v>
      </c>
      <c r="N1822" s="107">
        <v>1317.8</v>
      </c>
      <c r="O1822" s="107">
        <v>1294.0999999999999</v>
      </c>
      <c r="P1822" s="107">
        <v>1299</v>
      </c>
      <c r="Q1822" s="107">
        <v>1303.0999999999999</v>
      </c>
      <c r="R1822">
        <v>102202</v>
      </c>
    </row>
    <row r="1823" spans="1:18" x14ac:dyDescent="0.25">
      <c r="A1823" s="148">
        <v>46017</v>
      </c>
      <c r="B1823" s="107">
        <v>1319.95</v>
      </c>
      <c r="C1823" s="107">
        <v>1260.0999999999999</v>
      </c>
      <c r="D1823" s="107">
        <v>1251</v>
      </c>
      <c r="E1823" s="107">
        <v>1301.8</v>
      </c>
      <c r="F1823" s="107">
        <v>1260.0999999999999</v>
      </c>
      <c r="G1823">
        <v>8524</v>
      </c>
      <c r="H1823" s="107"/>
      <c r="I1823" s="107"/>
      <c r="L1823" s="148">
        <v>46017</v>
      </c>
      <c r="M1823" s="107">
        <v>1261.5999999999999</v>
      </c>
      <c r="N1823" s="107">
        <v>1317.8</v>
      </c>
      <c r="O1823" s="107">
        <v>1248.7</v>
      </c>
      <c r="P1823" s="107">
        <v>1303.0999999999999</v>
      </c>
      <c r="Q1823" s="107">
        <v>1261.5999999999999</v>
      </c>
      <c r="R1823">
        <v>330781</v>
      </c>
    </row>
    <row r="1824" spans="1:18" x14ac:dyDescent="0.25">
      <c r="A1824" s="148">
        <v>46020</v>
      </c>
      <c r="B1824" s="107">
        <v>1291.9000000000001</v>
      </c>
      <c r="C1824" s="107">
        <v>1278.8</v>
      </c>
      <c r="D1824" s="107">
        <v>1247</v>
      </c>
      <c r="E1824" s="107">
        <v>1247</v>
      </c>
      <c r="F1824" s="107">
        <v>1278.8</v>
      </c>
      <c r="G1824">
        <v>5987</v>
      </c>
      <c r="H1824" s="107"/>
      <c r="I1824" s="107"/>
      <c r="L1824" s="148">
        <v>46020</v>
      </c>
      <c r="M1824" s="107">
        <v>1281.4000000000001</v>
      </c>
      <c r="N1824" s="107">
        <v>1294</v>
      </c>
      <c r="O1824" s="107">
        <v>1263</v>
      </c>
      <c r="P1824" s="107">
        <v>1263</v>
      </c>
      <c r="Q1824" s="107">
        <v>1281.4000000000001</v>
      </c>
      <c r="R1824">
        <v>394239</v>
      </c>
    </row>
    <row r="1825" spans="1:18" x14ac:dyDescent="0.25">
      <c r="A1825" s="148">
        <v>46021</v>
      </c>
      <c r="B1825" s="107">
        <v>1282.2</v>
      </c>
      <c r="C1825" s="107">
        <v>1235.5</v>
      </c>
      <c r="D1825" s="107">
        <v>1231</v>
      </c>
      <c r="E1825" s="107">
        <v>1275.05</v>
      </c>
      <c r="F1825" s="107">
        <v>1235.5</v>
      </c>
      <c r="G1825">
        <v>8511</v>
      </c>
      <c r="H1825" s="107"/>
      <c r="I1825" s="107"/>
      <c r="L1825" s="148">
        <v>46021</v>
      </c>
      <c r="M1825" s="107">
        <v>1235.7</v>
      </c>
      <c r="N1825" s="107">
        <v>1309</v>
      </c>
      <c r="O1825" s="107">
        <v>1228.9000000000001</v>
      </c>
      <c r="P1825" s="107">
        <v>1274</v>
      </c>
      <c r="Q1825" s="107">
        <v>1235.7</v>
      </c>
      <c r="R1825">
        <v>538901</v>
      </c>
    </row>
    <row r="1826" spans="1:18" x14ac:dyDescent="0.25">
      <c r="A1826" s="148">
        <v>46022</v>
      </c>
      <c r="B1826" s="107">
        <v>1278.9000000000001</v>
      </c>
      <c r="C1826" s="107">
        <v>1273.8499999999999</v>
      </c>
      <c r="D1826" s="107">
        <v>1240.45</v>
      </c>
      <c r="E1826" s="107">
        <v>1254.05</v>
      </c>
      <c r="F1826" s="107">
        <v>1273.8499999999999</v>
      </c>
      <c r="G1826">
        <v>3166</v>
      </c>
      <c r="H1826" s="107"/>
      <c r="I1826" s="107"/>
      <c r="L1826" s="148">
        <v>46022</v>
      </c>
      <c r="M1826" s="107">
        <v>1273.5999999999999</v>
      </c>
      <c r="N1826" s="107">
        <v>1280</v>
      </c>
      <c r="O1826" s="107">
        <v>1237.9000000000001</v>
      </c>
      <c r="P1826" s="107">
        <v>1244.3</v>
      </c>
      <c r="Q1826" s="107">
        <v>1273.5999999999999</v>
      </c>
      <c r="R1826">
        <v>172376</v>
      </c>
    </row>
    <row r="1827" spans="1:18" x14ac:dyDescent="0.25">
      <c r="A1827" s="148">
        <v>46023</v>
      </c>
      <c r="B1827" s="107">
        <v>1280.95</v>
      </c>
      <c r="C1827" s="107">
        <v>1260.9000000000001</v>
      </c>
      <c r="D1827" s="107">
        <v>1250.2</v>
      </c>
      <c r="E1827" s="107">
        <v>1270.5</v>
      </c>
      <c r="F1827" s="107">
        <v>1260.9000000000001</v>
      </c>
      <c r="G1827">
        <v>11716</v>
      </c>
      <c r="H1827" s="107"/>
      <c r="I1827" s="107"/>
      <c r="L1827" s="148">
        <v>46023</v>
      </c>
      <c r="M1827" s="107">
        <v>1259.0999999999999</v>
      </c>
      <c r="N1827" s="107">
        <v>1280</v>
      </c>
      <c r="O1827" s="107">
        <v>1251.0999999999999</v>
      </c>
      <c r="P1827" s="107">
        <v>1267.3</v>
      </c>
      <c r="Q1827" s="107">
        <v>1259.0999999999999</v>
      </c>
      <c r="R1827">
        <v>274086</v>
      </c>
    </row>
    <row r="1828" spans="1:18" x14ac:dyDescent="0.25">
      <c r="A1828" s="148">
        <v>46024</v>
      </c>
      <c r="B1828" s="107">
        <v>1307.25</v>
      </c>
      <c r="C1828" s="107">
        <v>1287.6500000000001</v>
      </c>
      <c r="D1828" s="107">
        <v>1257.8</v>
      </c>
      <c r="E1828" s="107">
        <v>1257.8</v>
      </c>
      <c r="F1828" s="107">
        <v>1287.6500000000001</v>
      </c>
      <c r="G1828">
        <v>11064</v>
      </c>
      <c r="H1828" s="107"/>
      <c r="I1828" s="107"/>
      <c r="L1828" s="148">
        <v>46024</v>
      </c>
      <c r="M1828" s="107">
        <v>1287.7</v>
      </c>
      <c r="N1828" s="107">
        <v>1308.5</v>
      </c>
      <c r="O1828" s="107">
        <v>1259</v>
      </c>
      <c r="P1828" s="107">
        <v>1261.5999999999999</v>
      </c>
      <c r="Q1828" s="107">
        <v>1287.7</v>
      </c>
      <c r="R1828">
        <v>291572</v>
      </c>
    </row>
    <row r="1829" spans="1:18" x14ac:dyDescent="0.25">
      <c r="A1829" s="148">
        <v>46027</v>
      </c>
      <c r="B1829" s="107">
        <v>1346.8</v>
      </c>
      <c r="C1829" s="107">
        <v>1332.7</v>
      </c>
      <c r="D1829" s="107">
        <v>1280.2</v>
      </c>
      <c r="E1829" s="107">
        <v>1280.2</v>
      </c>
      <c r="F1829" s="107">
        <v>1332.7</v>
      </c>
      <c r="G1829">
        <v>283912</v>
      </c>
      <c r="H1829" s="107"/>
      <c r="I1829" s="107"/>
      <c r="L1829" s="148">
        <v>46027</v>
      </c>
      <c r="M1829" s="107">
        <v>1331.3</v>
      </c>
      <c r="N1829" s="107">
        <v>1345</v>
      </c>
      <c r="O1829" s="107">
        <v>1295</v>
      </c>
      <c r="P1829" s="107">
        <v>1295</v>
      </c>
      <c r="Q1829" s="107">
        <v>1331.3</v>
      </c>
      <c r="R1829">
        <v>596293</v>
      </c>
    </row>
    <row r="1830" spans="1:18" x14ac:dyDescent="0.25">
      <c r="A1830" s="148">
        <v>46028</v>
      </c>
      <c r="B1830" s="107">
        <v>1337.6</v>
      </c>
      <c r="C1830" s="107">
        <v>1329.55</v>
      </c>
      <c r="D1830" s="107">
        <v>1296.4000000000001</v>
      </c>
      <c r="E1830" s="107">
        <v>1333.1</v>
      </c>
      <c r="F1830" s="107">
        <v>1329.55</v>
      </c>
      <c r="G1830">
        <v>16675</v>
      </c>
      <c r="H1830" s="107"/>
      <c r="I1830" s="107"/>
      <c r="L1830" s="148">
        <v>46028</v>
      </c>
      <c r="M1830" s="107">
        <v>1327.5</v>
      </c>
      <c r="N1830" s="107">
        <v>1339.9</v>
      </c>
      <c r="O1830" s="107">
        <v>1296</v>
      </c>
      <c r="P1830" s="107">
        <v>1334.9</v>
      </c>
      <c r="Q1830" s="107">
        <v>1327.5</v>
      </c>
      <c r="R1830">
        <v>571845</v>
      </c>
    </row>
    <row r="1831" spans="1:18" x14ac:dyDescent="0.25">
      <c r="A1831" s="148">
        <v>46029</v>
      </c>
      <c r="B1831" s="107">
        <v>1368.2</v>
      </c>
      <c r="C1831" s="107">
        <v>1337.9</v>
      </c>
      <c r="D1831" s="107">
        <v>1297</v>
      </c>
      <c r="E1831" s="107">
        <v>1335.05</v>
      </c>
      <c r="F1831" s="107">
        <v>1337.9</v>
      </c>
      <c r="G1831">
        <v>22886</v>
      </c>
      <c r="H1831" s="107"/>
      <c r="I1831" s="107"/>
      <c r="L1831" s="148">
        <v>46029</v>
      </c>
      <c r="M1831" s="107">
        <v>1340</v>
      </c>
      <c r="N1831" s="107">
        <v>1369</v>
      </c>
      <c r="O1831" s="107">
        <v>1297.2</v>
      </c>
      <c r="P1831" s="107">
        <v>1339.5</v>
      </c>
      <c r="Q1831" s="107">
        <v>1340</v>
      </c>
      <c r="R1831">
        <v>791073</v>
      </c>
    </row>
    <row r="1832" spans="1:18" x14ac:dyDescent="0.25">
      <c r="A1832" s="148">
        <v>46030</v>
      </c>
      <c r="B1832" s="107">
        <v>1348.3</v>
      </c>
      <c r="C1832" s="107">
        <v>1334.75</v>
      </c>
      <c r="D1832" s="107">
        <v>1319.2</v>
      </c>
      <c r="E1832" s="107">
        <v>1321.75</v>
      </c>
      <c r="F1832" s="107">
        <v>1334.75</v>
      </c>
      <c r="G1832">
        <v>5539</v>
      </c>
      <c r="H1832" s="107"/>
      <c r="I1832" s="107"/>
      <c r="L1832" s="148">
        <v>46030</v>
      </c>
      <c r="M1832" s="107">
        <v>1336.7</v>
      </c>
      <c r="N1832" s="107">
        <v>1349.4</v>
      </c>
      <c r="O1832" s="107">
        <v>1325</v>
      </c>
      <c r="P1832" s="107">
        <v>1340</v>
      </c>
      <c r="Q1832" s="107">
        <v>1336.7</v>
      </c>
      <c r="R1832">
        <v>308462</v>
      </c>
    </row>
    <row r="1833" spans="1:18" x14ac:dyDescent="0.25">
      <c r="A1833" s="148">
        <v>46031</v>
      </c>
      <c r="B1833" s="107">
        <v>1342</v>
      </c>
      <c r="C1833" s="107">
        <v>1328.9</v>
      </c>
      <c r="D1833" s="107">
        <v>1319.05</v>
      </c>
      <c r="E1833" s="107">
        <v>1326</v>
      </c>
      <c r="F1833" s="107">
        <v>1328.9</v>
      </c>
      <c r="G1833">
        <v>7990</v>
      </c>
      <c r="H1833" s="107"/>
      <c r="I1833" s="107"/>
      <c r="L1833" s="148">
        <v>46031</v>
      </c>
      <c r="M1833" s="107">
        <v>1325</v>
      </c>
      <c r="N1833" s="107">
        <v>1343</v>
      </c>
      <c r="O1833" s="107">
        <v>1318.2</v>
      </c>
      <c r="P1833" s="107">
        <v>1329</v>
      </c>
      <c r="Q1833" s="107">
        <v>1325</v>
      </c>
      <c r="R1833">
        <v>265517</v>
      </c>
    </row>
    <row r="1834" spans="1:18" x14ac:dyDescent="0.25">
      <c r="A1834" s="148">
        <v>46034</v>
      </c>
      <c r="B1834" s="107">
        <v>1322.35</v>
      </c>
      <c r="C1834" s="107">
        <v>1290.6500000000001</v>
      </c>
      <c r="D1834" s="107">
        <v>1287.3499999999999</v>
      </c>
      <c r="E1834" s="107">
        <v>1304.95</v>
      </c>
      <c r="F1834" s="107">
        <v>1290.6500000000001</v>
      </c>
      <c r="G1834">
        <v>7709</v>
      </c>
      <c r="H1834" s="107"/>
      <c r="I1834" s="107"/>
      <c r="L1834" s="148">
        <v>46034</v>
      </c>
      <c r="M1834" s="107">
        <v>1291.2</v>
      </c>
      <c r="N1834" s="107">
        <v>1325.7</v>
      </c>
      <c r="O1834" s="107">
        <v>1288.4000000000001</v>
      </c>
      <c r="P1834" s="107">
        <v>1318.5</v>
      </c>
      <c r="Q1834" s="107">
        <v>1291.2</v>
      </c>
      <c r="R1834">
        <v>239179</v>
      </c>
    </row>
    <row r="1835" spans="1:18" x14ac:dyDescent="0.25">
      <c r="A1835" s="148">
        <v>46035</v>
      </c>
      <c r="B1835" s="107">
        <v>1315.5</v>
      </c>
      <c r="C1835" s="107">
        <v>1290.75</v>
      </c>
      <c r="D1835" s="107">
        <v>1274.45</v>
      </c>
      <c r="E1835" s="107">
        <v>1291.1500000000001</v>
      </c>
      <c r="F1835" s="107">
        <v>1290.75</v>
      </c>
      <c r="G1835">
        <v>5279</v>
      </c>
      <c r="H1835" s="107"/>
      <c r="I1835" s="107"/>
      <c r="L1835" s="148">
        <v>46035</v>
      </c>
      <c r="M1835" s="107">
        <v>1288.7</v>
      </c>
      <c r="N1835" s="107">
        <v>1317.5</v>
      </c>
      <c r="O1835" s="107">
        <v>1275.0999999999999</v>
      </c>
      <c r="P1835" s="107">
        <v>1307</v>
      </c>
      <c r="Q1835" s="107">
        <v>1288.7</v>
      </c>
      <c r="R1835">
        <v>325026</v>
      </c>
    </row>
    <row r="1836" spans="1:18" x14ac:dyDescent="0.25">
      <c r="A1836" s="148">
        <v>46036</v>
      </c>
      <c r="B1836" s="107">
        <v>1323.8</v>
      </c>
      <c r="C1836" s="107">
        <v>1285</v>
      </c>
      <c r="D1836" s="107">
        <v>1278.7</v>
      </c>
      <c r="E1836" s="107">
        <v>1312</v>
      </c>
      <c r="F1836" s="107">
        <v>1285</v>
      </c>
      <c r="G1836">
        <v>6602</v>
      </c>
      <c r="H1836" s="107"/>
      <c r="I1836" s="107"/>
      <c r="L1836" s="148">
        <v>46036</v>
      </c>
      <c r="M1836" s="107">
        <v>1284.0999999999999</v>
      </c>
      <c r="N1836" s="107">
        <v>1324.4</v>
      </c>
      <c r="O1836" s="107">
        <v>1278.9000000000001</v>
      </c>
      <c r="P1836" s="107">
        <v>1295.3</v>
      </c>
      <c r="Q1836" s="107">
        <v>1284.0999999999999</v>
      </c>
      <c r="R1836">
        <v>272566</v>
      </c>
    </row>
    <row r="1837" spans="1:18" x14ac:dyDescent="0.25">
      <c r="A1837" s="148">
        <v>46038</v>
      </c>
      <c r="B1837" s="107">
        <v>1306.2</v>
      </c>
      <c r="C1837" s="107">
        <v>1299.1500000000001</v>
      </c>
      <c r="D1837" s="107">
        <v>1281.55</v>
      </c>
      <c r="E1837" s="107">
        <v>1281.55</v>
      </c>
      <c r="F1837" s="107">
        <v>1299.1500000000001</v>
      </c>
      <c r="G1837">
        <v>5462</v>
      </c>
      <c r="H1837" s="107"/>
      <c r="I1837" s="107"/>
      <c r="L1837" s="148">
        <v>46038</v>
      </c>
      <c r="M1837" s="107">
        <v>1299.4000000000001</v>
      </c>
      <c r="N1837" s="107">
        <v>1306.9000000000001</v>
      </c>
      <c r="O1837" s="107">
        <v>1284.0999999999999</v>
      </c>
      <c r="P1837" s="107">
        <v>1284.0999999999999</v>
      </c>
      <c r="Q1837" s="107">
        <v>1299.4000000000001</v>
      </c>
      <c r="R1837">
        <v>149824</v>
      </c>
    </row>
    <row r="1838" spans="1:18" x14ac:dyDescent="0.25">
      <c r="A1838" s="148">
        <v>46041</v>
      </c>
      <c r="B1838" s="107">
        <v>1314.7</v>
      </c>
      <c r="C1838" s="107">
        <v>1283.05</v>
      </c>
      <c r="D1838" s="107">
        <v>1274</v>
      </c>
      <c r="E1838" s="107">
        <v>1288.45</v>
      </c>
      <c r="F1838" s="107">
        <v>1283.05</v>
      </c>
      <c r="G1838">
        <v>5872</v>
      </c>
      <c r="H1838" s="107"/>
      <c r="I1838" s="107"/>
      <c r="L1838" s="148">
        <v>46041</v>
      </c>
      <c r="M1838" s="107">
        <v>1282.0999999999999</v>
      </c>
      <c r="N1838" s="107">
        <v>1315.6</v>
      </c>
      <c r="O1838" s="107">
        <v>1273.2</v>
      </c>
      <c r="P1838" s="107">
        <v>1304.4000000000001</v>
      </c>
      <c r="Q1838" s="107">
        <v>1282.0999999999999</v>
      </c>
      <c r="R1838">
        <v>301767</v>
      </c>
    </row>
    <row r="1839" spans="1:18" x14ac:dyDescent="0.25">
      <c r="A1839" s="148">
        <v>46042</v>
      </c>
      <c r="B1839" s="107">
        <v>1282</v>
      </c>
      <c r="C1839" s="107">
        <v>1240.3</v>
      </c>
      <c r="D1839" s="107">
        <v>1213.3</v>
      </c>
      <c r="E1839" s="107">
        <v>1282</v>
      </c>
      <c r="F1839" s="107">
        <v>1240.3</v>
      </c>
      <c r="G1839">
        <v>11155</v>
      </c>
      <c r="H1839" s="107"/>
      <c r="I1839" s="107"/>
      <c r="L1839" s="148">
        <v>46042</v>
      </c>
      <c r="M1839" s="107">
        <v>1242.5999999999999</v>
      </c>
      <c r="N1839" s="107">
        <v>1285</v>
      </c>
      <c r="O1839" s="107">
        <v>1207.9000000000001</v>
      </c>
      <c r="P1839" s="107">
        <v>1285</v>
      </c>
      <c r="Q1839" s="107">
        <v>1242.5999999999999</v>
      </c>
      <c r="R1839">
        <v>288675</v>
      </c>
    </row>
    <row r="1840" spans="1:18" x14ac:dyDescent="0.25">
      <c r="A1840" s="148">
        <v>46043</v>
      </c>
      <c r="B1840" s="107">
        <v>1422.1</v>
      </c>
      <c r="C1840" s="107">
        <v>1351.9</v>
      </c>
      <c r="D1840" s="107">
        <v>1282</v>
      </c>
      <c r="E1840" s="107">
        <v>1284.5999999999999</v>
      </c>
      <c r="F1840" s="107">
        <v>1351.9</v>
      </c>
      <c r="G1840">
        <v>1759454</v>
      </c>
      <c r="H1840" s="107"/>
      <c r="I1840" s="107"/>
      <c r="L1840" s="148">
        <v>46043</v>
      </c>
      <c r="M1840" s="107">
        <v>1355.2</v>
      </c>
      <c r="N1840" s="107">
        <v>1422.3</v>
      </c>
      <c r="O1840" s="107">
        <v>1280.0999999999999</v>
      </c>
      <c r="P1840" s="107">
        <v>1309</v>
      </c>
      <c r="Q1840" s="107">
        <v>1355.2</v>
      </c>
      <c r="R1840">
        <v>19755353</v>
      </c>
    </row>
    <row r="1841" spans="1:18" x14ac:dyDescent="0.25">
      <c r="A1841" s="148">
        <v>46044</v>
      </c>
      <c r="B1841" s="107">
        <v>1496.6</v>
      </c>
      <c r="C1841" s="107">
        <v>1450.25</v>
      </c>
      <c r="D1841" s="107">
        <v>1363.15</v>
      </c>
      <c r="E1841" s="107">
        <v>1368.6</v>
      </c>
      <c r="F1841" s="107">
        <v>1450.25</v>
      </c>
      <c r="G1841">
        <v>1038657</v>
      </c>
      <c r="H1841" s="107"/>
      <c r="I1841" s="107"/>
      <c r="L1841" s="148">
        <v>46044</v>
      </c>
      <c r="M1841" s="107">
        <v>1449.8</v>
      </c>
      <c r="N1841" s="107">
        <v>1496.7</v>
      </c>
      <c r="O1841" s="107">
        <v>1360.3</v>
      </c>
      <c r="P1841" s="107">
        <v>1369</v>
      </c>
      <c r="Q1841" s="107">
        <v>1449.8</v>
      </c>
      <c r="R1841">
        <v>10684729</v>
      </c>
    </row>
    <row r="1842" spans="1:18" x14ac:dyDescent="0.25">
      <c r="A1842" s="148">
        <v>46045</v>
      </c>
      <c r="B1842" s="107">
        <v>1463.25</v>
      </c>
      <c r="C1842" s="107">
        <v>1391.7</v>
      </c>
      <c r="D1842" s="107">
        <v>1377.2</v>
      </c>
      <c r="E1842" s="107">
        <v>1435</v>
      </c>
      <c r="F1842" s="107">
        <v>1391.7</v>
      </c>
      <c r="G1842">
        <v>251895</v>
      </c>
      <c r="H1842" s="107"/>
      <c r="I1842" s="107"/>
      <c r="L1842" s="148">
        <v>46045</v>
      </c>
      <c r="M1842" s="107">
        <v>1392.7</v>
      </c>
      <c r="N1842" s="107">
        <v>1463.8</v>
      </c>
      <c r="O1842" s="107">
        <v>1373.7</v>
      </c>
      <c r="P1842" s="107">
        <v>1435</v>
      </c>
      <c r="Q1842" s="107">
        <v>1392.7</v>
      </c>
      <c r="R1842">
        <v>4522919</v>
      </c>
    </row>
    <row r="1843" spans="1:18" x14ac:dyDescent="0.25">
      <c r="A1843" s="148">
        <v>46049</v>
      </c>
      <c r="B1843" s="107">
        <v>1400.85</v>
      </c>
      <c r="C1843" s="107">
        <v>1321.5</v>
      </c>
      <c r="D1843" s="107">
        <v>1315</v>
      </c>
      <c r="E1843" s="107">
        <v>1391.65</v>
      </c>
      <c r="F1843" s="107">
        <v>1321.5</v>
      </c>
      <c r="G1843">
        <v>104564</v>
      </c>
      <c r="H1843" s="107"/>
      <c r="I1843" s="107"/>
      <c r="L1843" s="148">
        <v>46049</v>
      </c>
      <c r="M1843" s="107">
        <v>1320.6</v>
      </c>
      <c r="N1843" s="107">
        <v>1402.6</v>
      </c>
      <c r="O1843" s="107">
        <v>1313.6</v>
      </c>
      <c r="P1843" s="107">
        <v>1390</v>
      </c>
      <c r="Q1843" s="107">
        <v>1320.6</v>
      </c>
      <c r="R1843">
        <v>1160480</v>
      </c>
    </row>
    <row r="1844" spans="1:18" x14ac:dyDescent="0.25">
      <c r="A1844" s="148">
        <v>46050</v>
      </c>
      <c r="B1844" s="107">
        <v>1336.1</v>
      </c>
      <c r="C1844" s="107">
        <v>1291.8499999999999</v>
      </c>
      <c r="D1844" s="107">
        <v>1285.5</v>
      </c>
      <c r="E1844" s="107">
        <v>1315.5</v>
      </c>
      <c r="F1844" s="107">
        <v>1291.8499999999999</v>
      </c>
      <c r="G1844">
        <v>99596</v>
      </c>
      <c r="H1844" s="107"/>
      <c r="I1844" s="107"/>
      <c r="L1844" s="148">
        <v>46050</v>
      </c>
      <c r="M1844" s="107">
        <v>1292.3</v>
      </c>
      <c r="N1844" s="107">
        <v>1338.1</v>
      </c>
      <c r="O1844" s="107">
        <v>1284.4000000000001</v>
      </c>
      <c r="P1844" s="107">
        <v>1329.9</v>
      </c>
      <c r="Q1844" s="107">
        <v>1292.3</v>
      </c>
      <c r="R1844">
        <v>614510</v>
      </c>
    </row>
    <row r="1845" spans="1:18" x14ac:dyDescent="0.25">
      <c r="A1845" s="148">
        <v>46051</v>
      </c>
      <c r="B1845" s="107">
        <v>1294.55</v>
      </c>
      <c r="C1845" s="107">
        <v>1267.8</v>
      </c>
      <c r="D1845" s="107">
        <v>1241</v>
      </c>
      <c r="E1845" s="107">
        <v>1294.55</v>
      </c>
      <c r="F1845" s="107">
        <v>1267.8</v>
      </c>
      <c r="G1845">
        <v>15891</v>
      </c>
      <c r="H1845" s="107"/>
      <c r="I1845" s="107"/>
      <c r="L1845" s="148">
        <v>46051</v>
      </c>
      <c r="M1845" s="107">
        <v>1268</v>
      </c>
      <c r="N1845" s="107">
        <v>1300</v>
      </c>
      <c r="O1845" s="107">
        <v>1240.2</v>
      </c>
      <c r="P1845" s="107">
        <v>1300</v>
      </c>
      <c r="Q1845" s="107">
        <v>1268</v>
      </c>
      <c r="R1845">
        <v>407550</v>
      </c>
    </row>
    <row r="1846" spans="1:18" x14ac:dyDescent="0.25">
      <c r="A1846" s="148">
        <v>46052</v>
      </c>
      <c r="B1846" s="107">
        <v>1357.35</v>
      </c>
      <c r="C1846" s="107">
        <v>1324.4</v>
      </c>
      <c r="D1846" s="107">
        <v>1267.9000000000001</v>
      </c>
      <c r="E1846" s="107">
        <v>1267.9000000000001</v>
      </c>
      <c r="F1846" s="107">
        <v>1324.4</v>
      </c>
      <c r="G1846">
        <v>131836</v>
      </c>
      <c r="H1846" s="107"/>
      <c r="I1846" s="107"/>
      <c r="L1846" s="148">
        <v>46052</v>
      </c>
      <c r="M1846" s="107">
        <v>1326.5</v>
      </c>
      <c r="N1846" s="107">
        <v>1357.9</v>
      </c>
      <c r="O1846" s="107">
        <v>1268</v>
      </c>
      <c r="P1846" s="107">
        <v>1268</v>
      </c>
      <c r="Q1846" s="107">
        <v>1326.5</v>
      </c>
      <c r="R1846">
        <v>1878383</v>
      </c>
    </row>
    <row r="1847" spans="1:18" x14ac:dyDescent="0.25">
      <c r="A1847" s="148">
        <v>46054</v>
      </c>
      <c r="B1847" s="107">
        <v>1344.4</v>
      </c>
      <c r="C1847" s="107">
        <v>1272.95</v>
      </c>
      <c r="D1847" s="107">
        <v>1267</v>
      </c>
      <c r="E1847" s="107">
        <v>1344.4</v>
      </c>
      <c r="F1847" s="107">
        <v>1272.95</v>
      </c>
      <c r="G1847">
        <v>11634</v>
      </c>
      <c r="H1847" s="107"/>
      <c r="I1847" s="107"/>
      <c r="L1847" s="148">
        <v>46054</v>
      </c>
      <c r="M1847" s="107">
        <v>1273.3</v>
      </c>
      <c r="N1847" s="107">
        <v>1326.4</v>
      </c>
      <c r="O1847" s="107">
        <v>1263.5</v>
      </c>
      <c r="P1847" s="107">
        <v>1326.4</v>
      </c>
      <c r="Q1847" s="107">
        <v>1273.3</v>
      </c>
      <c r="R1847">
        <v>166849</v>
      </c>
    </row>
    <row r="1848" spans="1:18" x14ac:dyDescent="0.25">
      <c r="A1848" s="148">
        <v>46055</v>
      </c>
      <c r="B1848" s="107">
        <v>1298.95</v>
      </c>
      <c r="C1848" s="107">
        <v>1245.75</v>
      </c>
      <c r="D1848" s="107">
        <v>1225</v>
      </c>
      <c r="E1848" s="107">
        <v>1298.3499999999999</v>
      </c>
      <c r="F1848" s="107">
        <v>1245.75</v>
      </c>
      <c r="G1848">
        <v>38179</v>
      </c>
      <c r="H1848" s="107"/>
      <c r="I1848" s="107"/>
      <c r="L1848" s="148">
        <v>46055</v>
      </c>
      <c r="M1848" s="107">
        <v>1245</v>
      </c>
      <c r="N1848" s="107">
        <v>1299</v>
      </c>
      <c r="O1848" s="107">
        <v>1225.5999999999999</v>
      </c>
      <c r="P1848" s="107">
        <v>1273.3</v>
      </c>
      <c r="Q1848" s="107">
        <v>1245</v>
      </c>
      <c r="R1848">
        <v>403927</v>
      </c>
    </row>
    <row r="1849" spans="1:18" x14ac:dyDescent="0.25">
      <c r="A1849" s="148">
        <v>46056</v>
      </c>
      <c r="B1849" s="107">
        <v>1394.75</v>
      </c>
      <c r="C1849" s="107">
        <v>1320.95</v>
      </c>
      <c r="D1849" s="107">
        <v>1286.2</v>
      </c>
      <c r="E1849" s="107">
        <v>1308.6500000000001</v>
      </c>
      <c r="F1849" s="107">
        <v>1320.95</v>
      </c>
      <c r="G1849">
        <v>33642</v>
      </c>
      <c r="H1849" s="107"/>
      <c r="I1849" s="107"/>
      <c r="L1849" s="148">
        <v>46056</v>
      </c>
      <c r="M1849" s="107">
        <v>1321.4</v>
      </c>
      <c r="N1849" s="107">
        <v>1400.5</v>
      </c>
      <c r="O1849" s="107">
        <v>1285</v>
      </c>
      <c r="P1849" s="107">
        <v>1290</v>
      </c>
      <c r="Q1849" s="107">
        <v>1321.4</v>
      </c>
      <c r="R1849">
        <v>484099</v>
      </c>
    </row>
    <row r="1850" spans="1:18" x14ac:dyDescent="0.25">
      <c r="A1850" s="148">
        <v>46057</v>
      </c>
      <c r="B1850" s="107">
        <v>1355.2</v>
      </c>
      <c r="C1850" s="107">
        <v>1335.1</v>
      </c>
      <c r="D1850" s="107">
        <v>1320</v>
      </c>
      <c r="E1850" s="107">
        <v>1342.9</v>
      </c>
      <c r="F1850" s="107">
        <v>1335.1</v>
      </c>
      <c r="G1850">
        <v>24070</v>
      </c>
      <c r="H1850" s="107"/>
      <c r="I1850" s="107"/>
      <c r="L1850" s="148">
        <v>46057</v>
      </c>
      <c r="M1850" s="107">
        <v>1334.9</v>
      </c>
      <c r="N1850" s="107">
        <v>1359</v>
      </c>
      <c r="O1850" s="107">
        <v>1318.7</v>
      </c>
      <c r="P1850" s="107">
        <v>1322</v>
      </c>
      <c r="Q1850" s="107">
        <v>1334.9</v>
      </c>
      <c r="R1850">
        <v>385089</v>
      </c>
    </row>
    <row r="1851" spans="1:18" x14ac:dyDescent="0.25">
      <c r="A1851" s="148">
        <v>46058</v>
      </c>
      <c r="B1851" s="107">
        <v>1353.05</v>
      </c>
      <c r="C1851" s="107">
        <v>1290</v>
      </c>
      <c r="D1851" s="107">
        <v>1286.95</v>
      </c>
      <c r="E1851" s="107">
        <v>1347.4</v>
      </c>
      <c r="F1851" s="107">
        <v>1290</v>
      </c>
      <c r="G1851">
        <v>175741</v>
      </c>
      <c r="H1851" s="107"/>
      <c r="I1851" s="107"/>
      <c r="L1851" s="148">
        <v>46058</v>
      </c>
      <c r="M1851" s="107">
        <v>1290.9000000000001</v>
      </c>
      <c r="N1851" s="107">
        <v>1355</v>
      </c>
      <c r="O1851" s="107">
        <v>1286.2</v>
      </c>
      <c r="P1851" s="107">
        <v>1342</v>
      </c>
      <c r="Q1851" s="107">
        <v>1290.9000000000001</v>
      </c>
      <c r="R1851">
        <v>213333</v>
      </c>
    </row>
    <row r="1852" spans="1:18" x14ac:dyDescent="0.25">
      <c r="A1852" s="148">
        <v>46059</v>
      </c>
      <c r="B1852" s="107">
        <v>1328</v>
      </c>
      <c r="C1852" s="107">
        <v>1289.05</v>
      </c>
      <c r="D1852" s="107">
        <v>1283.1500000000001</v>
      </c>
      <c r="E1852" s="107">
        <v>1290.4000000000001</v>
      </c>
      <c r="F1852" s="107">
        <v>1289.05</v>
      </c>
      <c r="G1852">
        <v>12851</v>
      </c>
      <c r="H1852" s="107"/>
      <c r="I1852" s="107"/>
      <c r="L1852" s="148">
        <v>46059</v>
      </c>
      <c r="M1852" s="107">
        <v>1289.9000000000001</v>
      </c>
      <c r="N1852" s="107">
        <v>1326.9</v>
      </c>
      <c r="O1852" s="107">
        <v>1281.5999999999999</v>
      </c>
      <c r="P1852" s="107">
        <v>1295.8</v>
      </c>
      <c r="Q1852" s="107">
        <v>1289.9000000000001</v>
      </c>
      <c r="R1852">
        <v>234617</v>
      </c>
    </row>
    <row r="1853" spans="1:18" x14ac:dyDescent="0.25">
      <c r="A1853" s="148">
        <v>46062</v>
      </c>
      <c r="B1853" s="107">
        <v>1298.6500000000001</v>
      </c>
      <c r="C1853" s="107">
        <v>1282.55</v>
      </c>
      <c r="D1853" s="107">
        <v>1275</v>
      </c>
      <c r="E1853" s="107">
        <v>1289.2</v>
      </c>
      <c r="F1853" s="107">
        <v>1282.55</v>
      </c>
      <c r="G1853">
        <v>7880</v>
      </c>
      <c r="H1853" s="107"/>
      <c r="I1853" s="107"/>
      <c r="L1853" s="148">
        <v>46062</v>
      </c>
      <c r="M1853" s="107">
        <v>1282.3</v>
      </c>
      <c r="N1853" s="107">
        <v>1303</v>
      </c>
      <c r="O1853" s="107">
        <v>1274.8</v>
      </c>
      <c r="P1853" s="107">
        <v>1295.4000000000001</v>
      </c>
      <c r="Q1853" s="107">
        <v>1282.3</v>
      </c>
      <c r="R1853">
        <v>170949</v>
      </c>
    </row>
    <row r="1854" spans="1:18" x14ac:dyDescent="0.25">
      <c r="A1854" s="148">
        <v>46063</v>
      </c>
      <c r="B1854" s="107">
        <v>1299</v>
      </c>
      <c r="C1854" s="107">
        <v>1284.0999999999999</v>
      </c>
      <c r="D1854" s="107">
        <v>1262.75</v>
      </c>
      <c r="E1854" s="107">
        <v>1293.3499999999999</v>
      </c>
      <c r="F1854" s="107">
        <v>1284.0999999999999</v>
      </c>
      <c r="G1854">
        <v>10876</v>
      </c>
      <c r="H1854" s="107"/>
      <c r="I1854" s="107"/>
      <c r="L1854" s="148">
        <v>46063</v>
      </c>
      <c r="M1854" s="107">
        <v>1284.5999999999999</v>
      </c>
      <c r="N1854" s="107">
        <v>1299.9000000000001</v>
      </c>
      <c r="O1854" s="107">
        <v>1262.5999999999999</v>
      </c>
      <c r="P1854" s="107">
        <v>1290</v>
      </c>
      <c r="Q1854" s="107">
        <v>1284.5999999999999</v>
      </c>
      <c r="R1854">
        <v>210499</v>
      </c>
    </row>
    <row r="1855" spans="1:18" x14ac:dyDescent="0.25">
      <c r="A1855" s="148">
        <v>46064</v>
      </c>
      <c r="B1855" s="107">
        <v>1289.95</v>
      </c>
      <c r="C1855" s="107">
        <v>1271.3499999999999</v>
      </c>
      <c r="D1855" s="107">
        <v>1267.75</v>
      </c>
      <c r="E1855" s="107">
        <v>1286</v>
      </c>
      <c r="F1855" s="107">
        <v>1271.3499999999999</v>
      </c>
      <c r="G1855">
        <v>19281</v>
      </c>
      <c r="H1855" s="107"/>
      <c r="I1855" s="107"/>
      <c r="L1855" s="148">
        <v>46064</v>
      </c>
      <c r="M1855" s="107">
        <v>1272.2</v>
      </c>
      <c r="N1855" s="107">
        <v>1295</v>
      </c>
      <c r="O1855" s="107">
        <v>1267</v>
      </c>
      <c r="P1855" s="107">
        <v>1290</v>
      </c>
      <c r="Q1855" s="107">
        <v>1272.2</v>
      </c>
      <c r="R1855">
        <v>136844</v>
      </c>
    </row>
    <row r="1856" spans="1:18" x14ac:dyDescent="0.25">
      <c r="A1856" s="148">
        <v>46065</v>
      </c>
      <c r="B1856" s="107">
        <v>1277.4000000000001</v>
      </c>
      <c r="C1856" s="107">
        <v>1267.05</v>
      </c>
      <c r="D1856" s="107">
        <v>1249</v>
      </c>
      <c r="E1856" s="107">
        <v>1251.3499999999999</v>
      </c>
      <c r="F1856" s="107">
        <v>1267.05</v>
      </c>
      <c r="G1856">
        <v>51041</v>
      </c>
      <c r="H1856" s="107"/>
      <c r="I1856" s="107"/>
      <c r="L1856" s="148">
        <v>46065</v>
      </c>
      <c r="M1856" s="107">
        <v>1267.8</v>
      </c>
      <c r="N1856" s="107">
        <v>1279.2</v>
      </c>
      <c r="O1856" s="107">
        <v>1248.0999999999999</v>
      </c>
      <c r="P1856" s="107">
        <v>1272.2</v>
      </c>
      <c r="Q1856" s="107">
        <v>1267.8</v>
      </c>
      <c r="R1856">
        <v>157439</v>
      </c>
    </row>
    <row r="1857" spans="1:18" x14ac:dyDescent="0.25">
      <c r="A1857" s="148">
        <v>46066</v>
      </c>
      <c r="B1857" s="107">
        <v>1273.5</v>
      </c>
      <c r="C1857" s="107">
        <v>1269.3</v>
      </c>
      <c r="D1857" s="107">
        <v>1243.55</v>
      </c>
      <c r="E1857" s="107">
        <v>1252.45</v>
      </c>
      <c r="F1857" s="107">
        <v>1269.3</v>
      </c>
      <c r="G1857">
        <v>5089</v>
      </c>
      <c r="H1857" s="107"/>
      <c r="I1857" s="107"/>
      <c r="L1857" s="148">
        <v>46066</v>
      </c>
      <c r="M1857" s="107">
        <v>1270</v>
      </c>
      <c r="N1857" s="107">
        <v>1272.8</v>
      </c>
      <c r="O1857" s="107">
        <v>1245</v>
      </c>
      <c r="P1857" s="107">
        <v>1267.5</v>
      </c>
      <c r="Q1857" s="107">
        <v>1270</v>
      </c>
      <c r="R1857">
        <v>113560</v>
      </c>
    </row>
    <row r="1858" spans="1:18" x14ac:dyDescent="0.25">
      <c r="A1858" s="148">
        <v>46069</v>
      </c>
      <c r="B1858" s="107">
        <v>1271.3</v>
      </c>
      <c r="C1858" s="107">
        <v>1254.05</v>
      </c>
      <c r="D1858" s="107">
        <v>1247.25</v>
      </c>
      <c r="E1858" s="107">
        <v>1260.05</v>
      </c>
      <c r="F1858" s="107">
        <v>1254.05</v>
      </c>
      <c r="G1858">
        <v>7752</v>
      </c>
      <c r="H1858" s="107"/>
      <c r="I1858" s="107"/>
      <c r="L1858" s="148">
        <v>46069</v>
      </c>
      <c r="M1858" s="107">
        <v>1253.7</v>
      </c>
      <c r="N1858" s="107">
        <v>1273.0999999999999</v>
      </c>
      <c r="O1858" s="107">
        <v>1247</v>
      </c>
      <c r="P1858" s="107">
        <v>1262</v>
      </c>
      <c r="Q1858" s="107">
        <v>1253.7</v>
      </c>
      <c r="R1858">
        <v>126369</v>
      </c>
    </row>
    <row r="1859" spans="1:18" x14ac:dyDescent="0.25">
      <c r="A1859" s="148">
        <v>46070</v>
      </c>
      <c r="B1859" s="107">
        <v>1270</v>
      </c>
      <c r="C1859" s="107">
        <v>1257.55</v>
      </c>
      <c r="D1859" s="107">
        <v>1246.7</v>
      </c>
      <c r="E1859" s="107">
        <v>1255.3499999999999</v>
      </c>
      <c r="F1859" s="107">
        <v>1257.55</v>
      </c>
      <c r="G1859">
        <v>7792</v>
      </c>
      <c r="H1859" s="107"/>
      <c r="I1859" s="107"/>
      <c r="L1859" s="148">
        <v>46070</v>
      </c>
      <c r="M1859" s="107">
        <v>1257.7</v>
      </c>
      <c r="N1859" s="107">
        <v>1270</v>
      </c>
      <c r="O1859" s="107">
        <v>1245.8</v>
      </c>
      <c r="P1859" s="107">
        <v>1259</v>
      </c>
      <c r="Q1859" s="107">
        <v>1257.7</v>
      </c>
      <c r="R1859">
        <v>96457</v>
      </c>
    </row>
    <row r="1860" spans="1:18" x14ac:dyDescent="0.25">
      <c r="A1860" s="148">
        <v>46071</v>
      </c>
      <c r="B1860" s="107">
        <v>1290.8</v>
      </c>
      <c r="C1860" s="107">
        <v>1274.8</v>
      </c>
      <c r="D1860" s="107">
        <v>1255</v>
      </c>
      <c r="E1860" s="107">
        <v>1255</v>
      </c>
      <c r="F1860" s="107">
        <v>1274.8</v>
      </c>
      <c r="G1860">
        <v>18215</v>
      </c>
      <c r="H1860" s="107"/>
      <c r="I1860" s="107"/>
      <c r="L1860" s="148">
        <v>46071</v>
      </c>
      <c r="M1860" s="107">
        <v>1276.5999999999999</v>
      </c>
      <c r="N1860" s="107">
        <v>1291</v>
      </c>
      <c r="O1860" s="107">
        <v>1257.8</v>
      </c>
      <c r="P1860" s="107">
        <v>1257.8</v>
      </c>
      <c r="Q1860" s="107">
        <v>1276.5999999999999</v>
      </c>
      <c r="R1860">
        <v>285902</v>
      </c>
    </row>
    <row r="1861" spans="1:18" x14ac:dyDescent="0.25">
      <c r="A1861" s="148">
        <v>46072</v>
      </c>
      <c r="B1861" s="107">
        <v>1286.3499999999999</v>
      </c>
      <c r="C1861" s="107">
        <v>1279.3499999999999</v>
      </c>
      <c r="D1861" s="107">
        <v>1269.4000000000001</v>
      </c>
      <c r="E1861" s="107">
        <v>1280.95</v>
      </c>
      <c r="F1861" s="107">
        <v>1279.3499999999999</v>
      </c>
      <c r="G1861">
        <v>5974</v>
      </c>
      <c r="H1861" s="107"/>
      <c r="I1861" s="107"/>
      <c r="L1861" s="148">
        <v>46072</v>
      </c>
      <c r="M1861" s="107">
        <v>1280.2</v>
      </c>
      <c r="N1861" s="107">
        <v>1286.8</v>
      </c>
      <c r="O1861" s="107">
        <v>1269.2</v>
      </c>
      <c r="P1861" s="107">
        <v>1276.5999999999999</v>
      </c>
      <c r="Q1861" s="107">
        <v>1280.2</v>
      </c>
      <c r="R1861">
        <v>192044</v>
      </c>
    </row>
    <row r="1862" spans="1:18" x14ac:dyDescent="0.25">
      <c r="A1862" s="148">
        <v>46073</v>
      </c>
      <c r="B1862" s="107">
        <v>1290</v>
      </c>
      <c r="C1862" s="107">
        <v>1286</v>
      </c>
      <c r="D1862" s="107">
        <v>1267.8</v>
      </c>
      <c r="E1862" s="107">
        <v>1275.5999999999999</v>
      </c>
      <c r="F1862" s="107">
        <v>1286</v>
      </c>
      <c r="G1862">
        <v>5606</v>
      </c>
      <c r="H1862" s="107"/>
      <c r="I1862" s="107"/>
      <c r="L1862" s="148">
        <v>46073</v>
      </c>
      <c r="M1862" s="107">
        <v>1285.9000000000001</v>
      </c>
      <c r="N1862" s="107">
        <v>1291.9000000000001</v>
      </c>
      <c r="O1862" s="107">
        <v>1267</v>
      </c>
      <c r="P1862" s="107">
        <v>1280.2</v>
      </c>
      <c r="Q1862" s="107">
        <v>1285.9000000000001</v>
      </c>
      <c r="R1862">
        <v>140736</v>
      </c>
    </row>
    <row r="1863" spans="1:18" x14ac:dyDescent="0.25">
      <c r="A1863" s="148">
        <v>46076</v>
      </c>
      <c r="B1863" s="107">
        <v>1331.95</v>
      </c>
      <c r="C1863" s="107">
        <v>1292.8</v>
      </c>
      <c r="D1863" s="107">
        <v>1285</v>
      </c>
      <c r="E1863" s="107">
        <v>1287.3</v>
      </c>
      <c r="F1863" s="107">
        <v>1292.8</v>
      </c>
      <c r="G1863">
        <v>24912</v>
      </c>
      <c r="H1863" s="107"/>
      <c r="I1863" s="107"/>
      <c r="L1863" s="148">
        <v>46076</v>
      </c>
      <c r="M1863" s="107">
        <v>1294.3</v>
      </c>
      <c r="N1863" s="107">
        <v>1333.8</v>
      </c>
      <c r="O1863" s="107">
        <v>1280</v>
      </c>
      <c r="P1863" s="107">
        <v>1295.9000000000001</v>
      </c>
      <c r="Q1863" s="107">
        <v>1294.3</v>
      </c>
      <c r="R1863">
        <v>354667</v>
      </c>
    </row>
    <row r="1864" spans="1:18" x14ac:dyDescent="0.25">
      <c r="A1864" s="148">
        <v>46077</v>
      </c>
      <c r="B1864" s="107">
        <v>1298.75</v>
      </c>
      <c r="C1864" s="107">
        <v>1279.6500000000001</v>
      </c>
      <c r="D1864" s="107">
        <v>1274.5999999999999</v>
      </c>
      <c r="E1864" s="107">
        <v>1298.75</v>
      </c>
      <c r="F1864" s="107">
        <v>1279.6500000000001</v>
      </c>
      <c r="G1864">
        <v>8435</v>
      </c>
      <c r="H1864" s="107"/>
      <c r="I1864" s="107"/>
      <c r="L1864" s="148">
        <v>46077</v>
      </c>
      <c r="M1864" s="107">
        <v>1279.3</v>
      </c>
      <c r="N1864" s="107">
        <v>1295</v>
      </c>
      <c r="O1864" s="107">
        <v>1275.7</v>
      </c>
      <c r="P1864" s="107">
        <v>1285</v>
      </c>
      <c r="Q1864" s="107">
        <v>1279.3</v>
      </c>
      <c r="R1864">
        <v>147554</v>
      </c>
    </row>
    <row r="1865" spans="1:18" x14ac:dyDescent="0.25">
      <c r="A1865" s="148">
        <v>46078</v>
      </c>
      <c r="B1865" s="107">
        <v>1309.7</v>
      </c>
      <c r="C1865" s="107">
        <v>1305.2</v>
      </c>
      <c r="D1865" s="107">
        <v>1257.1500000000001</v>
      </c>
      <c r="E1865" s="107">
        <v>1257.1500000000001</v>
      </c>
      <c r="F1865" s="107">
        <v>1305.2</v>
      </c>
      <c r="G1865">
        <v>13949</v>
      </c>
      <c r="H1865" s="107"/>
      <c r="I1865" s="107"/>
      <c r="L1865" s="148">
        <v>46078</v>
      </c>
      <c r="M1865" s="107">
        <v>1306.3</v>
      </c>
      <c r="N1865" s="107">
        <v>1310</v>
      </c>
      <c r="O1865" s="107">
        <v>1274</v>
      </c>
      <c r="P1865" s="107">
        <v>1279.2</v>
      </c>
      <c r="Q1865" s="107">
        <v>1306.3</v>
      </c>
      <c r="R1865">
        <v>268714</v>
      </c>
    </row>
    <row r="1866" spans="1:18" x14ac:dyDescent="0.25">
      <c r="A1866" s="148">
        <v>46079</v>
      </c>
      <c r="B1866" s="107">
        <v>1347.85</v>
      </c>
      <c r="C1866" s="107">
        <v>1339.05</v>
      </c>
      <c r="D1866" s="107">
        <v>1300.05</v>
      </c>
      <c r="E1866" s="107">
        <v>1318.75</v>
      </c>
      <c r="F1866" s="107">
        <v>1339.05</v>
      </c>
      <c r="G1866">
        <v>13964</v>
      </c>
      <c r="H1866" s="107"/>
      <c r="I1866" s="107"/>
      <c r="L1866" s="148">
        <v>46079</v>
      </c>
      <c r="M1866" s="107">
        <v>1338.8</v>
      </c>
      <c r="N1866" s="107">
        <v>1349</v>
      </c>
      <c r="O1866" s="107">
        <v>1300</v>
      </c>
      <c r="P1866" s="107">
        <v>1310</v>
      </c>
      <c r="Q1866" s="107">
        <v>1338.8</v>
      </c>
      <c r="R1866">
        <v>352011</v>
      </c>
    </row>
    <row r="1867" spans="1:18" x14ac:dyDescent="0.25">
      <c r="A1867" s="148">
        <v>46080</v>
      </c>
      <c r="B1867" s="107">
        <v>1326.5</v>
      </c>
      <c r="C1867" s="107">
        <v>1264.75</v>
      </c>
      <c r="D1867" s="107">
        <v>1239.9000000000001</v>
      </c>
      <c r="E1867" s="107">
        <v>1325</v>
      </c>
      <c r="F1867" s="107">
        <v>1264.75</v>
      </c>
      <c r="G1867">
        <v>353944</v>
      </c>
      <c r="H1867" s="107"/>
      <c r="I1867" s="107"/>
      <c r="L1867" s="148">
        <v>46080</v>
      </c>
      <c r="M1867" s="107">
        <v>1265.2</v>
      </c>
      <c r="N1867" s="107">
        <v>1327.8</v>
      </c>
      <c r="O1867" s="107">
        <v>1239.5</v>
      </c>
      <c r="P1867" s="107">
        <v>1316.3</v>
      </c>
      <c r="Q1867" s="107">
        <v>1265.2</v>
      </c>
      <c r="R1867">
        <v>865829</v>
      </c>
    </row>
    <row r="1868" spans="1:18" x14ac:dyDescent="0.25">
      <c r="A1868" s="148">
        <v>46083</v>
      </c>
      <c r="B1868" s="107">
        <v>1239.5</v>
      </c>
      <c r="C1868" s="107">
        <v>1211.45</v>
      </c>
      <c r="D1868" s="107">
        <v>1173.6500000000001</v>
      </c>
      <c r="E1868" s="107">
        <v>1173.6500000000001</v>
      </c>
      <c r="F1868" s="107">
        <v>1211.45</v>
      </c>
      <c r="G1868">
        <v>9653</v>
      </c>
      <c r="H1868" s="107"/>
      <c r="I1868" s="107"/>
      <c r="L1868" s="148">
        <v>46083</v>
      </c>
      <c r="M1868" s="107">
        <v>1210.9000000000001</v>
      </c>
      <c r="N1868" s="107">
        <v>1238.9000000000001</v>
      </c>
      <c r="O1868" s="107">
        <v>1188.4000000000001</v>
      </c>
      <c r="P1868" s="107">
        <v>1226</v>
      </c>
      <c r="Q1868" s="107">
        <v>1210.9000000000001</v>
      </c>
      <c r="R1868">
        <v>362947</v>
      </c>
    </row>
    <row r="1869" spans="1:18" x14ac:dyDescent="0.25">
      <c r="A1869" s="148">
        <v>46085</v>
      </c>
      <c r="B1869" s="107">
        <v>1268.6500000000001</v>
      </c>
      <c r="C1869" s="107">
        <v>1225.8</v>
      </c>
      <c r="D1869" s="107">
        <v>1189.55</v>
      </c>
      <c r="E1869" s="107">
        <v>1189.55</v>
      </c>
      <c r="F1869" s="107">
        <v>1225.8</v>
      </c>
      <c r="G1869">
        <v>33896</v>
      </c>
      <c r="H1869" s="107"/>
      <c r="I1869" s="107"/>
      <c r="L1869" s="148">
        <v>46085</v>
      </c>
      <c r="M1869" s="107">
        <v>1225.5</v>
      </c>
      <c r="N1869" s="107">
        <v>1269</v>
      </c>
      <c r="O1869" s="107">
        <v>1194</v>
      </c>
      <c r="P1869" s="107">
        <v>1200</v>
      </c>
      <c r="Q1869" s="107">
        <v>1225.5</v>
      </c>
      <c r="R1869">
        <v>659171</v>
      </c>
    </row>
    <row r="1870" spans="1:18" x14ac:dyDescent="0.25">
      <c r="A1870" s="148">
        <v>46086</v>
      </c>
      <c r="B1870" s="107">
        <v>1244.8</v>
      </c>
      <c r="C1870" s="107">
        <v>1210.05</v>
      </c>
      <c r="D1870" s="107">
        <v>1192.45</v>
      </c>
      <c r="E1870" s="107">
        <v>1214.55</v>
      </c>
      <c r="F1870" s="107">
        <v>1210.05</v>
      </c>
      <c r="G1870">
        <v>12625</v>
      </c>
      <c r="H1870" s="107"/>
      <c r="I1870" s="107"/>
      <c r="L1870" s="148">
        <v>46086</v>
      </c>
      <c r="M1870" s="107">
        <v>1210.8</v>
      </c>
      <c r="N1870" s="107">
        <v>1250</v>
      </c>
      <c r="O1870" s="107">
        <v>1193.0999999999999</v>
      </c>
      <c r="P1870" s="107">
        <v>1225.9000000000001</v>
      </c>
      <c r="Q1870" s="107">
        <v>1210.8</v>
      </c>
      <c r="R1870">
        <v>361456</v>
      </c>
    </row>
    <row r="1871" spans="1:18" x14ac:dyDescent="0.25">
      <c r="A1871" s="148">
        <v>46087</v>
      </c>
      <c r="B1871" s="107">
        <v>1228.8499999999999</v>
      </c>
      <c r="C1871" s="107">
        <v>1204.5999999999999</v>
      </c>
      <c r="D1871" s="107">
        <v>1192</v>
      </c>
      <c r="E1871" s="107">
        <v>1210.0999999999999</v>
      </c>
      <c r="F1871" s="107">
        <v>1204.5999999999999</v>
      </c>
      <c r="G1871">
        <v>339896</v>
      </c>
      <c r="H1871" s="107"/>
      <c r="I1871" s="107"/>
      <c r="L1871" s="148">
        <v>46087</v>
      </c>
      <c r="M1871" s="107">
        <v>1202.8</v>
      </c>
      <c r="N1871" s="107">
        <v>1230</v>
      </c>
      <c r="O1871" s="107">
        <v>1191</v>
      </c>
      <c r="P1871" s="107">
        <v>1208</v>
      </c>
      <c r="Q1871" s="107">
        <v>1202.8</v>
      </c>
      <c r="R1871">
        <v>186477</v>
      </c>
    </row>
    <row r="1872" spans="1:18" x14ac:dyDescent="0.25">
      <c r="A1872" s="148">
        <v>46090</v>
      </c>
      <c r="B1872" s="107">
        <v>1190</v>
      </c>
      <c r="C1872" s="107">
        <v>1154.6500000000001</v>
      </c>
      <c r="D1872" s="107">
        <v>1131</v>
      </c>
      <c r="E1872" s="107">
        <v>1182</v>
      </c>
      <c r="F1872" s="107">
        <v>1154.6500000000001</v>
      </c>
      <c r="G1872">
        <v>18033</v>
      </c>
      <c r="H1872" s="107"/>
      <c r="I1872" s="107"/>
      <c r="L1872" s="148">
        <v>46090</v>
      </c>
      <c r="M1872" s="107">
        <v>1154.2</v>
      </c>
      <c r="N1872" s="107">
        <v>1189</v>
      </c>
      <c r="O1872" s="107">
        <v>1131</v>
      </c>
      <c r="P1872" s="107">
        <v>1182.8</v>
      </c>
      <c r="Q1872" s="107">
        <v>1154.2</v>
      </c>
      <c r="R1872">
        <v>211645</v>
      </c>
    </row>
    <row r="1873" spans="1:18" x14ac:dyDescent="0.25">
      <c r="A1873" s="148">
        <v>46091</v>
      </c>
      <c r="B1873" s="107">
        <v>1224.5</v>
      </c>
      <c r="C1873" s="107">
        <v>1217.6500000000001</v>
      </c>
      <c r="D1873" s="107">
        <v>1174.75</v>
      </c>
      <c r="E1873" s="107">
        <v>1177.05</v>
      </c>
      <c r="F1873" s="107">
        <v>1217.6500000000001</v>
      </c>
      <c r="G1873">
        <v>15167</v>
      </c>
      <c r="H1873" s="107"/>
      <c r="I1873" s="107"/>
      <c r="L1873" s="148">
        <v>46091</v>
      </c>
      <c r="M1873" s="107">
        <v>1216.8</v>
      </c>
      <c r="N1873" s="107">
        <v>1225.7</v>
      </c>
      <c r="O1873" s="107">
        <v>1171.2</v>
      </c>
      <c r="P1873" s="107">
        <v>1184.5999999999999</v>
      </c>
      <c r="Q1873" s="107">
        <v>1216.8</v>
      </c>
      <c r="R1873">
        <v>317396</v>
      </c>
    </row>
    <row r="1874" spans="1:18" x14ac:dyDescent="0.25">
      <c r="A1874" s="148">
        <v>46092</v>
      </c>
      <c r="B1874" s="107">
        <v>1227.75</v>
      </c>
      <c r="C1874" s="107">
        <v>1196.75</v>
      </c>
      <c r="D1874" s="107">
        <v>1189.05</v>
      </c>
      <c r="E1874" s="107">
        <v>1214.9000000000001</v>
      </c>
      <c r="F1874" s="107">
        <v>1196.75</v>
      </c>
      <c r="G1874">
        <v>9839</v>
      </c>
      <c r="H1874" s="107"/>
      <c r="I1874" s="107"/>
      <c r="L1874" s="148">
        <v>46092</v>
      </c>
      <c r="M1874" s="107">
        <v>1195.3</v>
      </c>
      <c r="N1874" s="107">
        <v>1228.5</v>
      </c>
      <c r="O1874" s="107">
        <v>1188</v>
      </c>
      <c r="P1874" s="107">
        <v>1213</v>
      </c>
      <c r="Q1874" s="107">
        <v>1195.3</v>
      </c>
      <c r="R1874">
        <v>101695</v>
      </c>
    </row>
    <row r="1875" spans="1:18" x14ac:dyDescent="0.25">
      <c r="A1875" s="148">
        <v>46093</v>
      </c>
      <c r="B1875" s="107">
        <v>1195.1500000000001</v>
      </c>
      <c r="C1875" s="107">
        <v>1176.8</v>
      </c>
      <c r="D1875" s="107">
        <v>1153.3</v>
      </c>
      <c r="E1875" s="107">
        <v>1189.95</v>
      </c>
      <c r="F1875" s="107">
        <v>1176.8</v>
      </c>
      <c r="G1875">
        <v>10871</v>
      </c>
      <c r="H1875" s="107"/>
      <c r="I1875" s="107"/>
      <c r="L1875" s="148">
        <v>46093</v>
      </c>
      <c r="M1875" s="107">
        <v>1177.2</v>
      </c>
      <c r="N1875" s="107">
        <v>1198.3</v>
      </c>
      <c r="O1875" s="107">
        <v>1151</v>
      </c>
      <c r="P1875" s="107">
        <v>1189.4000000000001</v>
      </c>
      <c r="Q1875" s="107">
        <v>1177.2</v>
      </c>
      <c r="R1875">
        <v>216950</v>
      </c>
    </row>
    <row r="1876" spans="1:18" x14ac:dyDescent="0.25">
      <c r="A1876" s="148">
        <v>46094</v>
      </c>
      <c r="B1876" s="107">
        <v>1169.6500000000001</v>
      </c>
      <c r="C1876" s="107">
        <v>1159.55</v>
      </c>
      <c r="D1876" s="107">
        <v>1146.1500000000001</v>
      </c>
      <c r="E1876" s="107">
        <v>1160.7</v>
      </c>
      <c r="F1876" s="107">
        <v>1159.55</v>
      </c>
      <c r="G1876">
        <v>56303</v>
      </c>
      <c r="H1876" s="107"/>
      <c r="I1876" s="107"/>
      <c r="L1876" s="148">
        <v>46094</v>
      </c>
      <c r="M1876" s="107">
        <v>1160.9000000000001</v>
      </c>
      <c r="N1876" s="107">
        <v>1172.5</v>
      </c>
      <c r="O1876" s="107">
        <v>1147</v>
      </c>
      <c r="P1876" s="107">
        <v>1170</v>
      </c>
      <c r="Q1876" s="107">
        <v>1160.9000000000001</v>
      </c>
      <c r="R1876">
        <v>203150</v>
      </c>
    </row>
    <row r="1877" spans="1:18" x14ac:dyDescent="0.25">
      <c r="A1877" s="148">
        <v>46097</v>
      </c>
      <c r="B1877" s="107">
        <v>1183.5999999999999</v>
      </c>
      <c r="C1877" s="107">
        <v>1175.9000000000001</v>
      </c>
      <c r="D1877" s="107">
        <v>1147.3499999999999</v>
      </c>
      <c r="E1877" s="107">
        <v>1157.7</v>
      </c>
      <c r="F1877" s="107">
        <v>1175.9000000000001</v>
      </c>
      <c r="G1877">
        <v>6534</v>
      </c>
      <c r="H1877" s="107"/>
      <c r="I1877" s="107"/>
      <c r="L1877" s="148">
        <v>46097</v>
      </c>
      <c r="M1877" s="107">
        <v>1177.3</v>
      </c>
      <c r="N1877" s="107">
        <v>1182</v>
      </c>
      <c r="O1877" s="107">
        <v>1147.8</v>
      </c>
      <c r="P1877" s="107">
        <v>1160.9000000000001</v>
      </c>
      <c r="Q1877" s="107">
        <v>1177.3</v>
      </c>
      <c r="R1877">
        <v>245164</v>
      </c>
    </row>
    <row r="1878" spans="1:18" x14ac:dyDescent="0.25">
      <c r="A1878" s="148">
        <v>46098</v>
      </c>
      <c r="B1878" s="107">
        <v>1177</v>
      </c>
      <c r="C1878" s="107">
        <v>1169</v>
      </c>
      <c r="D1878" s="107">
        <v>1154.45</v>
      </c>
      <c r="E1878" s="107">
        <v>1176.95</v>
      </c>
      <c r="F1878" s="107">
        <v>1169</v>
      </c>
      <c r="G1878">
        <v>4674</v>
      </c>
      <c r="H1878" s="107"/>
      <c r="I1878" s="107"/>
      <c r="L1878" s="148">
        <v>46098</v>
      </c>
      <c r="M1878" s="107">
        <v>1168.9000000000001</v>
      </c>
      <c r="N1878" s="107">
        <v>1176.0999999999999</v>
      </c>
      <c r="O1878" s="107">
        <v>1155.4000000000001</v>
      </c>
      <c r="P1878" s="107">
        <v>1170</v>
      </c>
      <c r="Q1878" s="107">
        <v>1168.9000000000001</v>
      </c>
      <c r="R1878">
        <v>239255</v>
      </c>
    </row>
    <row r="1879" spans="1:18" x14ac:dyDescent="0.25">
      <c r="A1879" s="148">
        <v>46099</v>
      </c>
      <c r="B1879" s="107">
        <v>1210.0999999999999</v>
      </c>
      <c r="C1879" s="107">
        <v>1185.05</v>
      </c>
      <c r="D1879" s="107">
        <v>1163.5</v>
      </c>
      <c r="E1879" s="107">
        <v>1169</v>
      </c>
      <c r="F1879" s="107">
        <v>1185.05</v>
      </c>
      <c r="G1879">
        <v>7385</v>
      </c>
      <c r="H1879" s="107"/>
      <c r="I1879" s="107"/>
      <c r="L1879" s="148">
        <v>46099</v>
      </c>
      <c r="M1879" s="107">
        <v>1188.2</v>
      </c>
      <c r="N1879" s="107">
        <v>1210.8</v>
      </c>
      <c r="O1879" s="107">
        <v>1164.5</v>
      </c>
      <c r="P1879" s="107">
        <v>1169</v>
      </c>
      <c r="Q1879" s="107">
        <v>1188.2</v>
      </c>
      <c r="R1879">
        <v>331672</v>
      </c>
    </row>
    <row r="1880" spans="1:18" x14ac:dyDescent="0.25">
      <c r="A1880" s="148">
        <v>46100</v>
      </c>
      <c r="B1880" s="107">
        <v>1174.0999999999999</v>
      </c>
      <c r="C1880" s="107">
        <v>1152.7</v>
      </c>
      <c r="D1880" s="107">
        <v>1151</v>
      </c>
      <c r="E1880" s="107">
        <v>1168</v>
      </c>
      <c r="F1880" s="107">
        <v>1152.7</v>
      </c>
      <c r="G1880">
        <v>3618</v>
      </c>
      <c r="H1880" s="107"/>
      <c r="I1880" s="107"/>
      <c r="L1880" s="148">
        <v>46100</v>
      </c>
      <c r="M1880" s="107">
        <v>1153.8</v>
      </c>
      <c r="N1880" s="107">
        <v>1179.9000000000001</v>
      </c>
      <c r="O1880" s="107">
        <v>1150.4000000000001</v>
      </c>
      <c r="P1880" s="107">
        <v>1165</v>
      </c>
      <c r="Q1880" s="107">
        <v>1153.8</v>
      </c>
      <c r="R1880">
        <v>121215</v>
      </c>
    </row>
    <row r="1881" spans="1:18" x14ac:dyDescent="0.25">
      <c r="A1881" s="148">
        <v>46101</v>
      </c>
      <c r="B1881" s="107">
        <v>1175.5999999999999</v>
      </c>
      <c r="C1881" s="107">
        <v>1157.4000000000001</v>
      </c>
      <c r="D1881" s="107">
        <v>1148.5999999999999</v>
      </c>
      <c r="E1881" s="107">
        <v>1156.05</v>
      </c>
      <c r="F1881" s="107">
        <v>1157.4000000000001</v>
      </c>
      <c r="G1881">
        <v>13446</v>
      </c>
      <c r="H1881" s="107"/>
      <c r="I1881" s="107"/>
      <c r="L1881" s="148">
        <v>46101</v>
      </c>
      <c r="M1881" s="107">
        <v>1156.9000000000001</v>
      </c>
      <c r="N1881" s="107">
        <v>1179.9000000000001</v>
      </c>
      <c r="O1881" s="107">
        <v>1144.4000000000001</v>
      </c>
      <c r="P1881" s="107">
        <v>1165.3</v>
      </c>
      <c r="Q1881" s="107">
        <v>1156.9000000000001</v>
      </c>
      <c r="R1881">
        <v>262900</v>
      </c>
    </row>
    <row r="1882" spans="1:18" x14ac:dyDescent="0.25">
      <c r="A1882" s="148">
        <v>46104</v>
      </c>
      <c r="B1882" s="107">
        <v>1164.2</v>
      </c>
      <c r="C1882" s="107">
        <v>1134.45</v>
      </c>
      <c r="D1882" s="107">
        <v>1112.9000000000001</v>
      </c>
      <c r="E1882" s="107">
        <v>1157.45</v>
      </c>
      <c r="F1882" s="107">
        <v>1134.45</v>
      </c>
      <c r="G1882">
        <v>17248</v>
      </c>
      <c r="H1882" s="107"/>
      <c r="I1882" s="107"/>
      <c r="L1882" s="148">
        <v>46104</v>
      </c>
      <c r="M1882" s="107">
        <v>1134.9000000000001</v>
      </c>
      <c r="N1882" s="107">
        <v>1164</v>
      </c>
      <c r="O1882" s="107">
        <v>1113</v>
      </c>
      <c r="P1882" s="107">
        <v>1159.5999999999999</v>
      </c>
      <c r="Q1882" s="107">
        <v>1134.9000000000001</v>
      </c>
      <c r="R1882">
        <v>331410</v>
      </c>
    </row>
    <row r="1883" spans="1:18" x14ac:dyDescent="0.25">
      <c r="A1883" s="148">
        <v>46105</v>
      </c>
      <c r="B1883" s="107">
        <v>1158.0999999999999</v>
      </c>
      <c r="C1883" s="107">
        <v>1151.3</v>
      </c>
      <c r="D1883" s="107">
        <v>1131.75</v>
      </c>
      <c r="E1883" s="107">
        <v>1137.2</v>
      </c>
      <c r="F1883" s="107">
        <v>1151.3</v>
      </c>
      <c r="G1883">
        <v>7242</v>
      </c>
      <c r="H1883" s="107"/>
      <c r="I1883" s="107"/>
      <c r="L1883" s="148">
        <v>46105</v>
      </c>
      <c r="M1883" s="107">
        <v>1150.4000000000001</v>
      </c>
      <c r="N1883" s="107">
        <v>1158.5999999999999</v>
      </c>
      <c r="O1883" s="107">
        <v>1130.8</v>
      </c>
      <c r="P1883" s="107">
        <v>1145</v>
      </c>
      <c r="Q1883" s="107">
        <v>1150.4000000000001</v>
      </c>
      <c r="R1883">
        <v>217347</v>
      </c>
    </row>
    <row r="1884" spans="1:18" x14ac:dyDescent="0.25">
      <c r="A1884" s="148">
        <v>46106</v>
      </c>
      <c r="B1884" s="107">
        <v>1186.5999999999999</v>
      </c>
      <c r="C1884" s="107">
        <v>1168.5</v>
      </c>
      <c r="D1884" s="107">
        <v>1148.55</v>
      </c>
      <c r="E1884" s="107">
        <v>1148.55</v>
      </c>
      <c r="F1884" s="107">
        <v>1168.5</v>
      </c>
      <c r="G1884">
        <v>11147</v>
      </c>
      <c r="H1884" s="107"/>
      <c r="I1884" s="107"/>
      <c r="L1884" s="148">
        <v>46106</v>
      </c>
      <c r="M1884" s="107">
        <v>1171.8</v>
      </c>
      <c r="N1884" s="107">
        <v>1187.2</v>
      </c>
      <c r="O1884" s="107">
        <v>1151.9000000000001</v>
      </c>
      <c r="P1884" s="107">
        <v>1151.9000000000001</v>
      </c>
      <c r="Q1884" s="107">
        <v>1171.8</v>
      </c>
      <c r="R1884">
        <v>223255</v>
      </c>
    </row>
    <row r="1885" spans="1:18" x14ac:dyDescent="0.25">
      <c r="A1885" s="148">
        <v>46108</v>
      </c>
      <c r="B1885" s="107">
        <v>1174.3</v>
      </c>
      <c r="C1885" s="107">
        <v>1165.55</v>
      </c>
      <c r="D1885" s="107">
        <v>1151.95</v>
      </c>
      <c r="E1885" s="107">
        <v>1151.95</v>
      </c>
      <c r="F1885" s="107">
        <v>1165.55</v>
      </c>
      <c r="G1885">
        <v>6327</v>
      </c>
      <c r="H1885" s="107"/>
      <c r="I1885" s="107"/>
      <c r="L1885" s="148">
        <v>46108</v>
      </c>
      <c r="M1885" s="107">
        <v>1167.2</v>
      </c>
      <c r="N1885" s="107">
        <v>1176</v>
      </c>
      <c r="O1885" s="107">
        <v>1152.9000000000001</v>
      </c>
      <c r="P1885" s="107">
        <v>1164</v>
      </c>
      <c r="Q1885" s="107">
        <v>1167.2</v>
      </c>
      <c r="R1885">
        <v>203838</v>
      </c>
    </row>
    <row r="1886" spans="1:18" x14ac:dyDescent="0.25">
      <c r="A1886" s="148">
        <v>46111</v>
      </c>
      <c r="B1886" s="107">
        <v>1185</v>
      </c>
      <c r="C1886" s="107">
        <v>1155.3499999999999</v>
      </c>
      <c r="D1886" s="107">
        <v>1142.5999999999999</v>
      </c>
      <c r="E1886" s="107">
        <v>1142.5999999999999</v>
      </c>
      <c r="F1886" s="107">
        <v>1155.3499999999999</v>
      </c>
      <c r="G1886">
        <v>5394</v>
      </c>
      <c r="H1886" s="107"/>
      <c r="I1886" s="107"/>
      <c r="L1886" s="148">
        <v>46111</v>
      </c>
      <c r="M1886" s="107">
        <v>1158</v>
      </c>
      <c r="N1886" s="107">
        <v>1186</v>
      </c>
      <c r="O1886" s="107">
        <v>1144.0999999999999</v>
      </c>
      <c r="P1886" s="107">
        <v>1148.8</v>
      </c>
      <c r="Q1886" s="107">
        <v>1158</v>
      </c>
      <c r="R1886">
        <v>287081</v>
      </c>
    </row>
    <row r="1887" spans="1:18" x14ac:dyDescent="0.25">
      <c r="A1887" s="148">
        <v>46113</v>
      </c>
      <c r="B1887" s="107">
        <v>1209.4000000000001</v>
      </c>
      <c r="C1887" s="107">
        <v>1190.2</v>
      </c>
      <c r="D1887" s="107">
        <v>1162.5999999999999</v>
      </c>
      <c r="E1887" s="107">
        <v>1162.5999999999999</v>
      </c>
      <c r="F1887" s="107">
        <v>1190.2</v>
      </c>
      <c r="G1887">
        <v>4707</v>
      </c>
      <c r="H1887" s="107"/>
      <c r="I1887" s="107"/>
      <c r="L1887" s="148">
        <v>46113</v>
      </c>
      <c r="M1887" s="107">
        <v>1192</v>
      </c>
      <c r="N1887" s="107">
        <v>1209.9000000000001</v>
      </c>
      <c r="O1887" s="107">
        <v>1162.0999999999999</v>
      </c>
      <c r="P1887" s="107">
        <v>1174</v>
      </c>
      <c r="Q1887" s="107">
        <v>1192</v>
      </c>
      <c r="R1887">
        <v>137170</v>
      </c>
    </row>
    <row r="1888" spans="1:18" x14ac:dyDescent="0.25">
      <c r="A1888" s="148">
        <v>46114</v>
      </c>
      <c r="B1888" s="107">
        <v>1186.75</v>
      </c>
      <c r="C1888" s="107">
        <v>1179.55</v>
      </c>
      <c r="D1888" s="107">
        <v>1157.3499999999999</v>
      </c>
      <c r="E1888" s="107">
        <v>1166.5999999999999</v>
      </c>
      <c r="F1888" s="107">
        <v>1179.55</v>
      </c>
      <c r="G1888">
        <v>6144</v>
      </c>
      <c r="H1888" s="107"/>
      <c r="I1888" s="107"/>
      <c r="L1888" s="148">
        <v>46114</v>
      </c>
      <c r="M1888" s="107">
        <v>1177.9000000000001</v>
      </c>
      <c r="N1888" s="107">
        <v>1189</v>
      </c>
      <c r="O1888" s="107">
        <v>1158.0999999999999</v>
      </c>
      <c r="P1888" s="107">
        <v>1168</v>
      </c>
      <c r="Q1888" s="107">
        <v>1177.9000000000001</v>
      </c>
      <c r="R1888">
        <v>216183</v>
      </c>
    </row>
    <row r="1889" spans="1:18" x14ac:dyDescent="0.25">
      <c r="A1889" s="148">
        <v>46118</v>
      </c>
      <c r="B1889" s="107">
        <v>1191</v>
      </c>
      <c r="C1889" s="107">
        <v>1178.75</v>
      </c>
      <c r="D1889" s="107">
        <v>1164.95</v>
      </c>
      <c r="E1889" s="107">
        <v>1164.95</v>
      </c>
      <c r="F1889" s="107">
        <v>1178.75</v>
      </c>
      <c r="G1889">
        <v>11529</v>
      </c>
      <c r="H1889" s="107"/>
      <c r="I1889" s="107"/>
      <c r="L1889" s="148">
        <v>46118</v>
      </c>
      <c r="M1889" s="107">
        <v>1180.5999999999999</v>
      </c>
      <c r="N1889" s="107">
        <v>1193.9000000000001</v>
      </c>
      <c r="O1889" s="107">
        <v>1164.3</v>
      </c>
      <c r="P1889" s="107">
        <v>1183</v>
      </c>
      <c r="Q1889" s="107">
        <v>1180.5999999999999</v>
      </c>
      <c r="R1889">
        <v>244895</v>
      </c>
    </row>
    <row r="1890" spans="1:18" x14ac:dyDescent="0.25">
      <c r="A1890" s="148">
        <v>46119</v>
      </c>
      <c r="B1890" s="107">
        <v>1301.5999999999999</v>
      </c>
      <c r="C1890" s="107">
        <v>1224.2</v>
      </c>
      <c r="D1890" s="107">
        <v>1206.05</v>
      </c>
      <c r="E1890" s="107">
        <v>1231.75</v>
      </c>
      <c r="F1890" s="107">
        <v>1224.2</v>
      </c>
      <c r="G1890">
        <v>248074</v>
      </c>
      <c r="H1890" s="107"/>
      <c r="I1890" s="107"/>
      <c r="L1890" s="148">
        <v>46119</v>
      </c>
      <c r="M1890" s="107">
        <v>1222.7</v>
      </c>
      <c r="N1890" s="107">
        <v>1298</v>
      </c>
      <c r="O1890" s="107">
        <v>1205.5999999999999</v>
      </c>
      <c r="P1890" s="107">
        <v>1226</v>
      </c>
      <c r="Q1890" s="107">
        <v>1222.7</v>
      </c>
      <c r="R1890">
        <v>3815731</v>
      </c>
    </row>
    <row r="1891" spans="1:18" x14ac:dyDescent="0.25">
      <c r="A1891" s="148">
        <v>46120</v>
      </c>
      <c r="B1891" s="107">
        <v>1274</v>
      </c>
      <c r="C1891" s="107">
        <v>1234.25</v>
      </c>
      <c r="D1891" s="107">
        <v>1230</v>
      </c>
      <c r="E1891" s="107">
        <v>1260.0999999999999</v>
      </c>
      <c r="F1891" s="107">
        <v>1234.25</v>
      </c>
      <c r="G1891">
        <v>34295</v>
      </c>
      <c r="H1891" s="107"/>
      <c r="I1891" s="107"/>
      <c r="L1891" s="148">
        <v>46120</v>
      </c>
      <c r="M1891" s="107">
        <v>1235.4000000000001</v>
      </c>
      <c r="N1891" s="107">
        <v>1274.2</v>
      </c>
      <c r="O1891" s="107">
        <v>1228</v>
      </c>
      <c r="P1891" s="107">
        <v>1263</v>
      </c>
      <c r="Q1891" s="107">
        <v>1235.4000000000001</v>
      </c>
      <c r="R1891">
        <v>974286</v>
      </c>
    </row>
    <row r="1892" spans="1:18" x14ac:dyDescent="0.25">
      <c r="A1892" s="148">
        <v>46121</v>
      </c>
      <c r="B1892" s="107">
        <v>1254.4000000000001</v>
      </c>
      <c r="C1892" s="107">
        <v>1234.8</v>
      </c>
      <c r="D1892" s="107">
        <v>1226.4000000000001</v>
      </c>
      <c r="E1892" s="107">
        <v>1234.25</v>
      </c>
      <c r="F1892" s="107">
        <v>1234.8</v>
      </c>
      <c r="G1892">
        <v>8042</v>
      </c>
      <c r="H1892" s="107"/>
      <c r="I1892" s="107"/>
      <c r="L1892" s="148">
        <v>46121</v>
      </c>
      <c r="M1892" s="107">
        <v>1235.5999999999999</v>
      </c>
      <c r="N1892" s="107">
        <v>1254.3</v>
      </c>
      <c r="O1892" s="107">
        <v>1224.0999999999999</v>
      </c>
      <c r="P1892" s="107">
        <v>1235</v>
      </c>
      <c r="Q1892" s="107">
        <v>1235.5999999999999</v>
      </c>
      <c r="R1892">
        <v>150248</v>
      </c>
    </row>
    <row r="1893" spans="1:18" x14ac:dyDescent="0.25">
      <c r="A1893" s="148">
        <v>46122</v>
      </c>
      <c r="B1893" s="107">
        <v>1258.95</v>
      </c>
      <c r="C1893" s="107">
        <v>1222.4000000000001</v>
      </c>
      <c r="D1893" s="107">
        <v>1219.8</v>
      </c>
      <c r="E1893" s="107">
        <v>1258.95</v>
      </c>
      <c r="F1893" s="107">
        <v>1222.4000000000001</v>
      </c>
      <c r="G1893">
        <v>6060</v>
      </c>
      <c r="H1893" s="107"/>
      <c r="I1893" s="107"/>
      <c r="L1893" s="148">
        <v>46122</v>
      </c>
      <c r="M1893" s="107">
        <v>1222.9000000000001</v>
      </c>
      <c r="N1893" s="107">
        <v>1255.0999999999999</v>
      </c>
      <c r="O1893" s="107">
        <v>1220</v>
      </c>
      <c r="P1893" s="107">
        <v>1252.9000000000001</v>
      </c>
      <c r="Q1893" s="107">
        <v>1222.9000000000001</v>
      </c>
      <c r="R1893">
        <v>208952</v>
      </c>
    </row>
    <row r="1894" spans="1:18" x14ac:dyDescent="0.25">
      <c r="A1894" s="148">
        <v>46125</v>
      </c>
      <c r="B1894" s="107">
        <v>1244.3</v>
      </c>
      <c r="C1894" s="107">
        <v>1224.2</v>
      </c>
      <c r="D1894" s="107">
        <v>1195.5999999999999</v>
      </c>
      <c r="E1894" s="107">
        <v>1220</v>
      </c>
      <c r="F1894" s="107">
        <v>1224.2</v>
      </c>
      <c r="G1894">
        <v>5970</v>
      </c>
      <c r="H1894" s="107"/>
      <c r="I1894" s="107"/>
      <c r="L1894" s="148">
        <v>46125</v>
      </c>
      <c r="M1894" s="107">
        <v>1220.5</v>
      </c>
      <c r="N1894" s="107">
        <v>1243.9000000000001</v>
      </c>
      <c r="O1894" s="107">
        <v>1196</v>
      </c>
      <c r="P1894" s="107">
        <v>1221</v>
      </c>
      <c r="Q1894" s="107">
        <v>1220.5</v>
      </c>
      <c r="R1894">
        <v>166083</v>
      </c>
    </row>
    <row r="1895" spans="1:18" x14ac:dyDescent="0.25">
      <c r="A1895" s="148">
        <v>46127</v>
      </c>
      <c r="B1895" s="107">
        <v>1242</v>
      </c>
      <c r="C1895" s="107">
        <v>1234.2</v>
      </c>
      <c r="D1895" s="107">
        <v>1222.45</v>
      </c>
      <c r="E1895" s="107">
        <v>1222.45</v>
      </c>
      <c r="F1895" s="107">
        <v>1234.2</v>
      </c>
      <c r="G1895">
        <v>9733</v>
      </c>
      <c r="H1895" s="107"/>
      <c r="I1895" s="107"/>
      <c r="L1895" s="148">
        <v>46127</v>
      </c>
      <c r="M1895" s="107">
        <v>1234.5999999999999</v>
      </c>
      <c r="N1895" s="107">
        <v>1243.4000000000001</v>
      </c>
      <c r="O1895" s="107">
        <v>1223.0999999999999</v>
      </c>
      <c r="P1895" s="107">
        <v>1235</v>
      </c>
      <c r="Q1895" s="107">
        <v>1234.5999999999999</v>
      </c>
      <c r="R1895">
        <v>154983</v>
      </c>
    </row>
    <row r="1896" spans="1:18" x14ac:dyDescent="0.25">
      <c r="A1896" s="148">
        <v>46128</v>
      </c>
      <c r="B1896" s="107">
        <v>1267</v>
      </c>
      <c r="C1896" s="107">
        <v>1236.25</v>
      </c>
      <c r="D1896" s="107">
        <v>1222.55</v>
      </c>
      <c r="E1896" s="107">
        <v>1253.3</v>
      </c>
      <c r="F1896" s="107">
        <v>1236.25</v>
      </c>
      <c r="G1896">
        <v>6528</v>
      </c>
      <c r="H1896" s="107"/>
      <c r="I1896" s="107"/>
      <c r="L1896" s="148">
        <v>46128</v>
      </c>
      <c r="M1896" s="107">
        <v>1238.7</v>
      </c>
      <c r="N1896" s="107">
        <v>1267</v>
      </c>
      <c r="O1896" s="107">
        <v>1221.7</v>
      </c>
      <c r="P1896" s="107">
        <v>1248</v>
      </c>
      <c r="Q1896" s="107">
        <v>1238.7</v>
      </c>
      <c r="R1896">
        <v>385445</v>
      </c>
    </row>
    <row r="1897" spans="1:18" x14ac:dyDescent="0.25">
      <c r="A1897" s="148">
        <v>46129</v>
      </c>
      <c r="B1897" s="107">
        <v>1285</v>
      </c>
      <c r="C1897" s="107">
        <v>1264.2</v>
      </c>
      <c r="D1897" s="107">
        <v>1225</v>
      </c>
      <c r="E1897" s="107">
        <v>1237.45</v>
      </c>
      <c r="F1897" s="107">
        <v>1264.2</v>
      </c>
      <c r="G1897">
        <v>6802</v>
      </c>
      <c r="H1897" s="107"/>
      <c r="I1897" s="107"/>
      <c r="L1897" s="148">
        <v>46129</v>
      </c>
      <c r="M1897" s="107">
        <v>1264.8</v>
      </c>
      <c r="N1897" s="107">
        <v>1285.3</v>
      </c>
      <c r="O1897" s="107">
        <v>1225</v>
      </c>
      <c r="P1897" s="107">
        <v>1228.7</v>
      </c>
      <c r="Q1897" s="107">
        <v>1264.8</v>
      </c>
      <c r="R1897">
        <v>274662</v>
      </c>
    </row>
    <row r="1898" spans="1:18" x14ac:dyDescent="0.25">
      <c r="A1898" s="148">
        <v>46132</v>
      </c>
      <c r="B1898" s="107">
        <v>1286.25</v>
      </c>
      <c r="C1898" s="107">
        <v>1252.8499999999999</v>
      </c>
      <c r="D1898" s="107">
        <v>1250.95</v>
      </c>
      <c r="E1898" s="107">
        <v>1270.05</v>
      </c>
      <c r="F1898" s="107">
        <v>1252.8499999999999</v>
      </c>
      <c r="G1898">
        <v>10327</v>
      </c>
      <c r="H1898" s="107"/>
      <c r="I1898" s="107"/>
      <c r="L1898" s="148">
        <v>46132</v>
      </c>
      <c r="M1898" s="107">
        <v>1253.8</v>
      </c>
      <c r="N1898" s="107">
        <v>1286.7</v>
      </c>
      <c r="O1898" s="107">
        <v>1250.0999999999999</v>
      </c>
      <c r="P1898" s="107">
        <v>1256</v>
      </c>
      <c r="Q1898" s="107">
        <v>1253.8</v>
      </c>
      <c r="R1898">
        <v>310663</v>
      </c>
    </row>
    <row r="1899" spans="1:18" x14ac:dyDescent="0.25">
      <c r="A1899" s="148">
        <v>46133</v>
      </c>
      <c r="B1899" s="107">
        <v>1286.5</v>
      </c>
      <c r="C1899" s="107">
        <v>1266.05</v>
      </c>
      <c r="D1899" s="107">
        <v>1257.9000000000001</v>
      </c>
      <c r="E1899" s="107">
        <v>1269.7</v>
      </c>
      <c r="F1899" s="107">
        <v>1266.05</v>
      </c>
      <c r="G1899">
        <v>3266</v>
      </c>
      <c r="H1899" s="107"/>
      <c r="I1899" s="107"/>
      <c r="L1899" s="148">
        <v>46133</v>
      </c>
      <c r="M1899" s="107">
        <v>1263.4000000000001</v>
      </c>
      <c r="N1899" s="107">
        <v>1288</v>
      </c>
      <c r="O1899" s="107">
        <v>1252.0999999999999</v>
      </c>
      <c r="P1899" s="107">
        <v>1253.8</v>
      </c>
      <c r="Q1899" s="107">
        <v>1263.4000000000001</v>
      </c>
      <c r="R1899">
        <v>211376</v>
      </c>
    </row>
    <row r="1900" spans="1:18" x14ac:dyDescent="0.25">
      <c r="A1900" s="148">
        <v>46134</v>
      </c>
      <c r="B1900" s="107">
        <v>1270</v>
      </c>
      <c r="C1900" s="107">
        <v>1262.25</v>
      </c>
      <c r="D1900" s="107">
        <v>1245.8</v>
      </c>
      <c r="E1900" s="107">
        <v>1258</v>
      </c>
      <c r="F1900" s="107">
        <v>1262.25</v>
      </c>
      <c r="G1900">
        <v>3938</v>
      </c>
      <c r="H1900" s="107"/>
      <c r="I1900" s="107"/>
      <c r="L1900" s="148">
        <v>46134</v>
      </c>
      <c r="M1900" s="107">
        <v>1260.8</v>
      </c>
      <c r="N1900" s="107">
        <v>1270.2</v>
      </c>
      <c r="O1900" s="107">
        <v>1246.4000000000001</v>
      </c>
      <c r="P1900" s="107">
        <v>1263.4000000000001</v>
      </c>
      <c r="Q1900" s="107">
        <v>1260.8</v>
      </c>
      <c r="R1900">
        <v>195537</v>
      </c>
    </row>
    <row r="1901" spans="1:18" x14ac:dyDescent="0.25">
      <c r="A1901" s="148">
        <v>46135</v>
      </c>
      <c r="B1901" s="107">
        <v>1272.7</v>
      </c>
      <c r="C1901" s="107">
        <v>1243.3</v>
      </c>
      <c r="D1901" s="107">
        <v>1238</v>
      </c>
      <c r="E1901" s="107">
        <v>1262.25</v>
      </c>
      <c r="F1901" s="107">
        <v>1243.3</v>
      </c>
      <c r="G1901">
        <v>4189</v>
      </c>
      <c r="H1901" s="107"/>
      <c r="I1901" s="107"/>
      <c r="L1901" s="148">
        <v>46135</v>
      </c>
      <c r="M1901" s="107">
        <v>1241.9000000000001</v>
      </c>
      <c r="N1901" s="107">
        <v>1272</v>
      </c>
      <c r="O1901" s="107">
        <v>1237.2</v>
      </c>
      <c r="P1901" s="107">
        <v>1252</v>
      </c>
      <c r="Q1901" s="107">
        <v>1241.9000000000001</v>
      </c>
      <c r="R1901">
        <v>107004</v>
      </c>
    </row>
    <row r="1902" spans="1:18" x14ac:dyDescent="0.25">
      <c r="A1902" s="148">
        <v>46136</v>
      </c>
      <c r="B1902" s="107">
        <v>1249.5999999999999</v>
      </c>
      <c r="C1902" s="107">
        <v>1235.8</v>
      </c>
      <c r="D1902" s="107">
        <v>1215.9000000000001</v>
      </c>
      <c r="E1902" s="107">
        <v>1249.5999999999999</v>
      </c>
      <c r="F1902" s="107">
        <v>1235.8</v>
      </c>
      <c r="G1902">
        <v>14636</v>
      </c>
      <c r="H1902" s="107"/>
      <c r="I1902" s="107"/>
      <c r="L1902" s="148">
        <v>46136</v>
      </c>
      <c r="M1902" s="107">
        <v>1236.5</v>
      </c>
      <c r="N1902" s="107">
        <v>1253.0999999999999</v>
      </c>
      <c r="O1902" s="107">
        <v>1215</v>
      </c>
      <c r="P1902" s="107">
        <v>1243.3</v>
      </c>
      <c r="Q1902" s="107">
        <v>1236.5</v>
      </c>
      <c r="R1902">
        <v>205953</v>
      </c>
    </row>
    <row r="1903" spans="1:18" x14ac:dyDescent="0.25">
      <c r="A1903" s="148">
        <v>46139</v>
      </c>
      <c r="B1903" s="107">
        <v>1255</v>
      </c>
      <c r="C1903" s="107">
        <v>1240.8499999999999</v>
      </c>
      <c r="D1903" s="107">
        <v>1236.95</v>
      </c>
      <c r="E1903" s="107">
        <v>1241</v>
      </c>
      <c r="F1903" s="107">
        <v>1240.8499999999999</v>
      </c>
      <c r="G1903">
        <v>3909</v>
      </c>
      <c r="H1903" s="107"/>
      <c r="I1903" s="107"/>
      <c r="L1903" s="148">
        <v>46139</v>
      </c>
      <c r="M1903" s="107">
        <v>1241.5</v>
      </c>
      <c r="N1903" s="107">
        <v>1255.8</v>
      </c>
      <c r="O1903" s="107">
        <v>1231</v>
      </c>
      <c r="P1903" s="107">
        <v>1231</v>
      </c>
      <c r="Q1903" s="107">
        <v>1241.5</v>
      </c>
      <c r="R1903">
        <v>235945</v>
      </c>
    </row>
    <row r="1904" spans="1:18" x14ac:dyDescent="0.25">
      <c r="A1904" s="148">
        <v>46140</v>
      </c>
      <c r="B1904" s="107">
        <v>1277</v>
      </c>
      <c r="C1904" s="107">
        <v>1251.5999999999999</v>
      </c>
      <c r="D1904" s="107">
        <v>1240</v>
      </c>
      <c r="E1904" s="107">
        <v>1242.9000000000001</v>
      </c>
      <c r="F1904" s="107">
        <v>1251.5999999999999</v>
      </c>
      <c r="G1904">
        <v>4272</v>
      </c>
      <c r="H1904" s="107"/>
      <c r="I1904" s="107"/>
      <c r="L1904" s="148">
        <v>46140</v>
      </c>
      <c r="M1904" s="107">
        <v>1251.2</v>
      </c>
      <c r="N1904" s="107">
        <v>1280</v>
      </c>
      <c r="O1904" s="107">
        <v>1237.0999999999999</v>
      </c>
      <c r="P1904" s="107">
        <v>1241.5</v>
      </c>
      <c r="Q1904" s="107">
        <v>1251.2</v>
      </c>
      <c r="R1904">
        <v>389961</v>
      </c>
    </row>
    <row r="1905" spans="1:18" x14ac:dyDescent="0.25">
      <c r="A1905" s="148">
        <v>46141</v>
      </c>
      <c r="B1905" s="107">
        <v>1296</v>
      </c>
      <c r="C1905" s="107">
        <v>1288.5</v>
      </c>
      <c r="D1905" s="107">
        <v>1250.2</v>
      </c>
      <c r="E1905" s="107">
        <v>1250.2</v>
      </c>
      <c r="F1905" s="107">
        <v>1288.5</v>
      </c>
      <c r="G1905">
        <v>22791</v>
      </c>
      <c r="H1905" s="107"/>
      <c r="I1905" s="107"/>
      <c r="L1905" s="148">
        <v>46141</v>
      </c>
      <c r="M1905" s="107">
        <v>1289.2</v>
      </c>
      <c r="N1905" s="107">
        <v>1297</v>
      </c>
      <c r="O1905" s="107">
        <v>1259.4000000000001</v>
      </c>
      <c r="P1905" s="107">
        <v>1267</v>
      </c>
      <c r="Q1905" s="107">
        <v>1289.2</v>
      </c>
      <c r="R1905">
        <v>268360</v>
      </c>
    </row>
    <row r="1906" spans="1:18" x14ac:dyDescent="0.25">
      <c r="A1906" s="148">
        <v>46142</v>
      </c>
      <c r="B1906" s="107">
        <v>1330</v>
      </c>
      <c r="C1906" s="107">
        <v>1299</v>
      </c>
      <c r="D1906" s="107">
        <v>1277.4000000000001</v>
      </c>
      <c r="E1906" s="107">
        <v>1290.75</v>
      </c>
      <c r="F1906" s="107">
        <v>1299</v>
      </c>
      <c r="G1906">
        <v>13780</v>
      </c>
      <c r="H1906" s="107"/>
      <c r="I1906" s="107"/>
      <c r="L1906" s="148">
        <v>46142</v>
      </c>
      <c r="M1906" s="107">
        <v>1300.0999999999999</v>
      </c>
      <c r="N1906" s="107">
        <v>1330.8</v>
      </c>
      <c r="O1906" s="107">
        <v>1278.0999999999999</v>
      </c>
      <c r="P1906" s="107">
        <v>1295</v>
      </c>
      <c r="Q1906" s="107">
        <v>1300.0999999999999</v>
      </c>
      <c r="R1906">
        <v>510019</v>
      </c>
    </row>
    <row r="1907" spans="1:18" x14ac:dyDescent="0.25">
      <c r="A1907" s="148">
        <v>46146</v>
      </c>
      <c r="B1907" s="107">
        <v>1344.95</v>
      </c>
      <c r="C1907" s="107">
        <v>1319.25</v>
      </c>
      <c r="D1907" s="107">
        <v>1307.8499999999999</v>
      </c>
      <c r="E1907" s="107">
        <v>1329.15</v>
      </c>
      <c r="F1907" s="107">
        <v>1319.25</v>
      </c>
      <c r="G1907">
        <v>3574</v>
      </c>
      <c r="H1907" s="107"/>
      <c r="I1907" s="107"/>
      <c r="L1907" s="148">
        <v>46146</v>
      </c>
      <c r="M1907" s="107">
        <v>1320.3</v>
      </c>
      <c r="N1907" s="107">
        <v>1345</v>
      </c>
      <c r="O1907" s="107">
        <v>1305.9000000000001</v>
      </c>
      <c r="P1907" s="107">
        <v>1310</v>
      </c>
      <c r="Q1907" s="107">
        <v>1320.3</v>
      </c>
      <c r="R1907">
        <v>160661</v>
      </c>
    </row>
    <row r="1908" spans="1:18" x14ac:dyDescent="0.25">
      <c r="A1908" s="148">
        <v>46147</v>
      </c>
      <c r="B1908" s="107">
        <v>1566</v>
      </c>
      <c r="C1908" s="107">
        <v>1539.1</v>
      </c>
      <c r="D1908" s="107">
        <v>1320.65</v>
      </c>
      <c r="E1908" s="107">
        <v>1335.05</v>
      </c>
      <c r="F1908" s="107">
        <v>1539.1</v>
      </c>
      <c r="G1908">
        <v>1051982</v>
      </c>
      <c r="H1908" s="107"/>
      <c r="I1908" s="107"/>
      <c r="L1908" s="148">
        <v>46147</v>
      </c>
      <c r="M1908" s="107">
        <v>1523.7</v>
      </c>
      <c r="N1908" s="107">
        <v>1568</v>
      </c>
      <c r="O1908" s="107">
        <v>1319.3</v>
      </c>
      <c r="P1908" s="107">
        <v>1332.9</v>
      </c>
      <c r="Q1908" s="107">
        <v>1523.7</v>
      </c>
      <c r="R1908">
        <v>13498884</v>
      </c>
    </row>
    <row r="1909" spans="1:18" x14ac:dyDescent="0.25">
      <c r="A1909" s="148">
        <v>46148</v>
      </c>
      <c r="B1909" s="107">
        <v>1510.7</v>
      </c>
      <c r="C1909" s="107">
        <v>1471.1</v>
      </c>
      <c r="D1909" s="107">
        <v>1464.45</v>
      </c>
      <c r="E1909" s="107">
        <v>1492.05</v>
      </c>
      <c r="F1909" s="107">
        <v>1471.1</v>
      </c>
      <c r="G1909">
        <v>154833</v>
      </c>
      <c r="H1909" s="107"/>
      <c r="I1909" s="107"/>
      <c r="L1909" s="148">
        <v>46148</v>
      </c>
      <c r="M1909" s="107">
        <v>1471.6</v>
      </c>
      <c r="N1909" s="107">
        <v>1511.7</v>
      </c>
      <c r="O1909" s="107">
        <v>1461.2</v>
      </c>
      <c r="P1909" s="107">
        <v>1489.7</v>
      </c>
      <c r="Q1909" s="107">
        <v>1471.6</v>
      </c>
      <c r="R1909">
        <v>1556913</v>
      </c>
    </row>
    <row r="1910" spans="1:18" x14ac:dyDescent="0.25">
      <c r="A1910" s="148">
        <v>46149</v>
      </c>
      <c r="B1910" s="107">
        <v>1495.85</v>
      </c>
      <c r="C1910" s="107">
        <v>1488.55</v>
      </c>
      <c r="D1910" s="107">
        <v>1446</v>
      </c>
      <c r="E1910" s="107">
        <v>1487.1</v>
      </c>
      <c r="F1910" s="107">
        <v>1488.55</v>
      </c>
      <c r="G1910">
        <v>29717</v>
      </c>
      <c r="H1910" s="107"/>
      <c r="I1910" s="107"/>
      <c r="L1910" s="148">
        <v>46149</v>
      </c>
      <c r="M1910" s="107">
        <v>1490.4</v>
      </c>
      <c r="N1910" s="107">
        <v>1496.8</v>
      </c>
      <c r="O1910" s="107">
        <v>1445.1</v>
      </c>
      <c r="P1910" s="107">
        <v>1475</v>
      </c>
      <c r="Q1910" s="107">
        <v>1490.4</v>
      </c>
      <c r="R1910">
        <v>405221</v>
      </c>
    </row>
    <row r="1911" spans="1:18" x14ac:dyDescent="0.25">
      <c r="A1911" s="148">
        <v>46150</v>
      </c>
      <c r="B1911" s="107">
        <v>1522.7</v>
      </c>
      <c r="C1911" s="107">
        <v>1496.25</v>
      </c>
      <c r="D1911" s="107">
        <v>1482.45</v>
      </c>
      <c r="E1911" s="107">
        <v>1522.7</v>
      </c>
      <c r="F1911" s="107">
        <v>1496.25</v>
      </c>
      <c r="G1911">
        <v>19148</v>
      </c>
      <c r="H1911" s="107"/>
      <c r="I1911" s="107"/>
      <c r="L1911" s="148">
        <v>46150</v>
      </c>
      <c r="M1911" s="107">
        <v>1497</v>
      </c>
      <c r="N1911" s="107">
        <v>1514.1</v>
      </c>
      <c r="O1911" s="107">
        <v>1482.1</v>
      </c>
      <c r="P1911" s="107">
        <v>1488</v>
      </c>
      <c r="Q1911" s="107">
        <v>1497</v>
      </c>
      <c r="R1911">
        <v>277518</v>
      </c>
    </row>
    <row r="1912" spans="1:18" x14ac:dyDescent="0.25">
      <c r="A1912" s="148">
        <v>46153</v>
      </c>
      <c r="B1912" s="107">
        <v>1563.5</v>
      </c>
      <c r="C1912" s="107">
        <v>1480.35</v>
      </c>
      <c r="D1912" s="107">
        <v>1471.5</v>
      </c>
      <c r="E1912" s="107">
        <v>1563.5</v>
      </c>
      <c r="F1912" s="107">
        <v>1480.35</v>
      </c>
      <c r="G1912">
        <v>105842</v>
      </c>
      <c r="H1912" s="107"/>
      <c r="I1912" s="107"/>
      <c r="L1912" s="148">
        <v>46153</v>
      </c>
      <c r="M1912" s="107">
        <v>1480.8</v>
      </c>
      <c r="N1912" s="107">
        <v>1552</v>
      </c>
      <c r="O1912" s="107">
        <v>1471.4</v>
      </c>
      <c r="P1912" s="107">
        <v>1515</v>
      </c>
      <c r="Q1912" s="107">
        <v>1480.8</v>
      </c>
      <c r="R1912">
        <v>1368159</v>
      </c>
    </row>
    <row r="1913" spans="1:18" x14ac:dyDescent="0.25">
      <c r="A1913" s="148">
        <v>46154</v>
      </c>
      <c r="B1913" s="107">
        <v>1509.75</v>
      </c>
      <c r="C1913" s="107">
        <v>1391.55</v>
      </c>
      <c r="D1913" s="107">
        <v>1387.1</v>
      </c>
      <c r="E1913" s="107">
        <v>1509.75</v>
      </c>
      <c r="F1913" s="107">
        <v>1391.55</v>
      </c>
      <c r="G1913">
        <v>13897</v>
      </c>
      <c r="H1913" s="107"/>
      <c r="I1913" s="107"/>
      <c r="L1913" s="148">
        <v>46154</v>
      </c>
      <c r="M1913" s="107">
        <v>1390.8</v>
      </c>
      <c r="N1913" s="107">
        <v>1496.7</v>
      </c>
      <c r="O1913" s="107">
        <v>1384.9</v>
      </c>
      <c r="P1913" s="107">
        <v>1492</v>
      </c>
      <c r="Q1913" s="107">
        <v>1390.8</v>
      </c>
      <c r="R1913">
        <v>454954</v>
      </c>
    </row>
    <row r="1914" spans="1:18" x14ac:dyDescent="0.25">
      <c r="A1914" s="148">
        <v>46155</v>
      </c>
      <c r="B1914" s="107">
        <v>1407.45</v>
      </c>
      <c r="C1914" s="107">
        <v>1333.75</v>
      </c>
      <c r="D1914" s="107">
        <v>1329</v>
      </c>
      <c r="E1914" s="107">
        <v>1385.4</v>
      </c>
      <c r="F1914" s="107">
        <v>1333.75</v>
      </c>
      <c r="G1914">
        <v>22794</v>
      </c>
      <c r="H1914" s="107"/>
      <c r="I1914" s="107"/>
      <c r="L1914" s="148">
        <v>46155</v>
      </c>
      <c r="M1914" s="107">
        <v>1334.5</v>
      </c>
      <c r="N1914" s="107">
        <v>1406.9</v>
      </c>
      <c r="O1914" s="107">
        <v>1330</v>
      </c>
      <c r="P1914" s="107">
        <v>1390.8</v>
      </c>
      <c r="Q1914" s="107">
        <v>1334.5</v>
      </c>
      <c r="R1914">
        <v>290618</v>
      </c>
    </row>
    <row r="1915" spans="1:18" x14ac:dyDescent="0.25">
      <c r="A1915" s="148">
        <v>46156</v>
      </c>
      <c r="B1915" s="107">
        <v>1365</v>
      </c>
      <c r="C1915" s="107">
        <v>1325.45</v>
      </c>
      <c r="D1915" s="107">
        <v>1319.8</v>
      </c>
      <c r="E1915" s="107">
        <v>1355.55</v>
      </c>
      <c r="F1915" s="107">
        <v>1325.45</v>
      </c>
      <c r="G1915">
        <v>14224</v>
      </c>
      <c r="H1915" s="107"/>
      <c r="I1915" s="107"/>
      <c r="L1915" s="148">
        <v>46156</v>
      </c>
      <c r="M1915" s="107">
        <v>1326.7</v>
      </c>
      <c r="N1915" s="107">
        <v>1366.4</v>
      </c>
      <c r="O1915" s="107">
        <v>1320.9</v>
      </c>
      <c r="P1915" s="107">
        <v>1348</v>
      </c>
      <c r="Q1915" s="107">
        <v>1326.7</v>
      </c>
      <c r="R1915">
        <v>293157</v>
      </c>
    </row>
    <row r="1916" spans="1:18" x14ac:dyDescent="0.25">
      <c r="A1916" s="148">
        <v>46157</v>
      </c>
      <c r="B1916" s="107">
        <v>1340.5</v>
      </c>
      <c r="C1916" s="107">
        <v>1314.95</v>
      </c>
      <c r="D1916" s="107">
        <v>1310.5999999999999</v>
      </c>
      <c r="E1916" s="107">
        <v>1331.2</v>
      </c>
      <c r="F1916" s="107">
        <v>1314.95</v>
      </c>
      <c r="G1916">
        <v>209537</v>
      </c>
      <c r="H1916" s="107"/>
      <c r="I1916" s="107"/>
      <c r="L1916" s="148">
        <v>46157</v>
      </c>
      <c r="M1916" s="107">
        <v>1315.2</v>
      </c>
      <c r="N1916" s="107">
        <v>1342.7</v>
      </c>
      <c r="O1916" s="107">
        <v>1310</v>
      </c>
      <c r="P1916" s="107">
        <v>1320</v>
      </c>
      <c r="Q1916" s="107">
        <v>1315.2</v>
      </c>
      <c r="R1916">
        <v>237006</v>
      </c>
    </row>
    <row r="1917" spans="1:18" x14ac:dyDescent="0.25">
      <c r="A1917" s="148">
        <v>46160</v>
      </c>
      <c r="B1917" s="107">
        <v>1316.1</v>
      </c>
      <c r="C1917" s="107">
        <v>1298.1500000000001</v>
      </c>
      <c r="D1917" s="107">
        <v>1289.8</v>
      </c>
      <c r="E1917" s="107">
        <v>1300.05</v>
      </c>
      <c r="F1917" s="107">
        <v>1298.1500000000001</v>
      </c>
      <c r="G1917">
        <v>6407</v>
      </c>
      <c r="H1917" s="107"/>
      <c r="I1917" s="107"/>
      <c r="L1917" s="148">
        <v>46160</v>
      </c>
      <c r="M1917" s="107">
        <v>1298.8</v>
      </c>
      <c r="N1917" s="107">
        <v>1317.9</v>
      </c>
      <c r="O1917" s="107">
        <v>1288.5</v>
      </c>
      <c r="P1917" s="107">
        <v>1299.9000000000001</v>
      </c>
      <c r="Q1917" s="107">
        <v>1298.8</v>
      </c>
      <c r="R1917">
        <v>168175</v>
      </c>
    </row>
    <row r="1918" spans="1:18" x14ac:dyDescent="0.25">
      <c r="A1918" s="148">
        <v>46161</v>
      </c>
      <c r="B1918" s="107">
        <v>1323</v>
      </c>
      <c r="C1918" s="107">
        <v>1311.15</v>
      </c>
      <c r="D1918" s="107">
        <v>1287.3</v>
      </c>
      <c r="E1918" s="107">
        <v>1323</v>
      </c>
      <c r="F1918" s="107">
        <v>1311.15</v>
      </c>
      <c r="G1918">
        <v>4048</v>
      </c>
      <c r="H1918" s="107"/>
      <c r="I1918" s="107"/>
      <c r="L1918" s="148">
        <v>46161</v>
      </c>
      <c r="M1918" s="107">
        <v>1310</v>
      </c>
      <c r="N1918" s="107">
        <v>1318</v>
      </c>
      <c r="O1918" s="107">
        <v>1289.0999999999999</v>
      </c>
      <c r="P1918" s="107">
        <v>1290</v>
      </c>
      <c r="Q1918" s="107">
        <v>1310</v>
      </c>
      <c r="R1918">
        <v>106697</v>
      </c>
    </row>
    <row r="1919" spans="1:18" x14ac:dyDescent="0.25">
      <c r="A1919" s="148">
        <v>46162</v>
      </c>
      <c r="B1919" s="107">
        <v>1309.25</v>
      </c>
      <c r="C1919" s="107">
        <v>1292.6500000000001</v>
      </c>
      <c r="D1919" s="107">
        <v>1281.6500000000001</v>
      </c>
      <c r="E1919" s="107">
        <v>1309.25</v>
      </c>
      <c r="F1919" s="107">
        <v>1292.6500000000001</v>
      </c>
      <c r="G1919">
        <v>7328</v>
      </c>
      <c r="H1919" s="107"/>
      <c r="I1919" s="107"/>
      <c r="L1919" s="148">
        <v>46162</v>
      </c>
      <c r="M1919" s="107">
        <v>1293.9000000000001</v>
      </c>
      <c r="N1919" s="107">
        <v>1303.4000000000001</v>
      </c>
      <c r="O1919" s="107">
        <v>1281</v>
      </c>
      <c r="P1919" s="107">
        <v>1300</v>
      </c>
      <c r="Q1919" s="107">
        <v>1293.9000000000001</v>
      </c>
      <c r="R1919">
        <v>145892</v>
      </c>
    </row>
    <row r="1920" spans="1:18" x14ac:dyDescent="0.25">
      <c r="A1920" s="148">
        <v>46163</v>
      </c>
      <c r="B1920" s="107">
        <v>1325.6</v>
      </c>
      <c r="C1920" s="107">
        <v>1290.3</v>
      </c>
      <c r="D1920" s="107">
        <v>1285.95</v>
      </c>
      <c r="E1920" s="107">
        <v>1316.95</v>
      </c>
      <c r="F1920" s="107">
        <v>1290.3</v>
      </c>
      <c r="G1920">
        <v>7078</v>
      </c>
      <c r="H1920" s="107"/>
      <c r="I1920" s="107"/>
      <c r="L1920" s="148">
        <v>46163</v>
      </c>
      <c r="M1920" s="107">
        <v>1289.0999999999999</v>
      </c>
      <c r="N1920" s="107">
        <v>1326.6</v>
      </c>
      <c r="O1920" s="107">
        <v>1284.0999999999999</v>
      </c>
      <c r="P1920" s="107">
        <v>1301.5</v>
      </c>
      <c r="Q1920" s="107">
        <v>1289.0999999999999</v>
      </c>
      <c r="R1920">
        <v>253261</v>
      </c>
    </row>
    <row r="1921" spans="1:18" x14ac:dyDescent="0.25">
      <c r="A1921" s="148">
        <v>46164</v>
      </c>
      <c r="B1921" s="107">
        <v>1295.75</v>
      </c>
      <c r="C1921" s="107">
        <v>1274.45</v>
      </c>
      <c r="D1921" s="107">
        <v>1271</v>
      </c>
      <c r="E1921" s="107">
        <v>1287.9000000000001</v>
      </c>
      <c r="F1921" s="107">
        <v>1274.45</v>
      </c>
      <c r="G1921">
        <v>112606</v>
      </c>
      <c r="H1921" s="107"/>
      <c r="I1921" s="107"/>
      <c r="L1921" s="148">
        <v>46164</v>
      </c>
      <c r="M1921" s="107">
        <v>1274.5999999999999</v>
      </c>
      <c r="N1921" s="107">
        <v>1299.2</v>
      </c>
      <c r="O1921" s="107">
        <v>1271</v>
      </c>
      <c r="P1921" s="107">
        <v>1284.3</v>
      </c>
      <c r="Q1921" s="107">
        <v>1274.5999999999999</v>
      </c>
      <c r="R1921">
        <v>78289</v>
      </c>
    </row>
    <row r="1922" spans="1:18" x14ac:dyDescent="0.25">
      <c r="A1922" s="148">
        <v>46167</v>
      </c>
      <c r="B1922" s="107">
        <v>1324.6</v>
      </c>
      <c r="C1922" s="107">
        <v>1304.9000000000001</v>
      </c>
      <c r="D1922" s="107">
        <v>1290</v>
      </c>
      <c r="E1922" s="107">
        <v>1291.6500000000001</v>
      </c>
      <c r="F1922" s="107">
        <v>1304.9000000000001</v>
      </c>
      <c r="G1922">
        <v>8584</v>
      </c>
      <c r="H1922" s="107"/>
      <c r="I1922" s="107"/>
      <c r="L1922" s="148">
        <v>46167</v>
      </c>
      <c r="M1922" s="107">
        <v>1303.8</v>
      </c>
      <c r="N1922" s="107">
        <v>1325</v>
      </c>
      <c r="O1922" s="107">
        <v>1284.7</v>
      </c>
      <c r="P1922" s="107">
        <v>1288</v>
      </c>
      <c r="Q1922" s="107">
        <v>1303.8</v>
      </c>
      <c r="R1922">
        <v>298522</v>
      </c>
    </row>
    <row r="1923" spans="1:18" x14ac:dyDescent="0.25">
      <c r="A1923" s="148">
        <v>46168</v>
      </c>
      <c r="B1923" s="107">
        <v>1322</v>
      </c>
      <c r="C1923" s="107">
        <v>1298.25</v>
      </c>
      <c r="D1923" s="107">
        <v>1296</v>
      </c>
      <c r="E1923" s="107">
        <v>1302.7</v>
      </c>
      <c r="F1923" s="107">
        <v>1298.25</v>
      </c>
      <c r="G1923">
        <v>8162</v>
      </c>
      <c r="H1923" s="107"/>
      <c r="I1923" s="107"/>
      <c r="L1923" s="148">
        <v>46168</v>
      </c>
      <c r="M1923" s="107">
        <v>1298.3</v>
      </c>
      <c r="N1923" s="107">
        <v>1322.6</v>
      </c>
      <c r="O1923" s="107">
        <v>1295.8</v>
      </c>
      <c r="P1923" s="107">
        <v>1309.7</v>
      </c>
      <c r="Q1923" s="107">
        <v>1298.3</v>
      </c>
      <c r="R1923">
        <v>101487</v>
      </c>
    </row>
    <row r="1924" spans="1:18" x14ac:dyDescent="0.25">
      <c r="A1924" s="148">
        <v>46169</v>
      </c>
      <c r="B1924" s="107">
        <v>1303.8</v>
      </c>
      <c r="C1924" s="107">
        <v>1289.4000000000001</v>
      </c>
      <c r="D1924" s="107">
        <v>1270.2</v>
      </c>
      <c r="E1924" s="107">
        <v>1298.25</v>
      </c>
      <c r="F1924" s="107">
        <v>1289.4000000000001</v>
      </c>
      <c r="G1924">
        <v>8513</v>
      </c>
      <c r="H1924" s="107"/>
      <c r="I1924" s="107"/>
      <c r="L1924" s="148">
        <v>46169</v>
      </c>
      <c r="M1924" s="107">
        <v>1288.4000000000001</v>
      </c>
      <c r="N1924" s="107">
        <v>1308.8</v>
      </c>
      <c r="O1924" s="107">
        <v>1270</v>
      </c>
      <c r="P1924" s="107">
        <v>1290.0999999999999</v>
      </c>
      <c r="Q1924" s="107">
        <v>1288.4000000000001</v>
      </c>
      <c r="R1924">
        <v>652276</v>
      </c>
    </row>
    <row r="1925" spans="1:18" x14ac:dyDescent="0.25">
      <c r="A1925" s="148">
        <v>46171</v>
      </c>
      <c r="B1925" s="107">
        <v>1329.75</v>
      </c>
      <c r="C1925" s="107">
        <v>1293.3</v>
      </c>
      <c r="D1925" s="107">
        <v>1289.2</v>
      </c>
      <c r="E1925" s="107">
        <v>1290.0999999999999</v>
      </c>
      <c r="F1925" s="107">
        <v>1293.3</v>
      </c>
      <c r="G1925">
        <v>227316</v>
      </c>
      <c r="H1925" s="107"/>
      <c r="I1925" s="107"/>
      <c r="L1925" s="148">
        <v>46171</v>
      </c>
      <c r="M1925" s="107">
        <v>1295.5</v>
      </c>
      <c r="N1925" s="107">
        <v>1328.7</v>
      </c>
      <c r="O1925" s="107">
        <v>1290.7</v>
      </c>
      <c r="P1925" s="107">
        <v>1294.7</v>
      </c>
      <c r="Q1925" s="107">
        <v>1295.5</v>
      </c>
      <c r="R1925">
        <v>214487</v>
      </c>
    </row>
    <row r="1926" spans="1:18" x14ac:dyDescent="0.25">
      <c r="A1926" s="148">
        <v>46174</v>
      </c>
      <c r="B1926" s="107">
        <v>1331.6</v>
      </c>
      <c r="C1926" s="107">
        <v>1315.35</v>
      </c>
      <c r="D1926" s="107">
        <v>1297.1500000000001</v>
      </c>
      <c r="E1926" s="107">
        <v>1297.1500000000001</v>
      </c>
      <c r="F1926" s="107">
        <v>1315.35</v>
      </c>
      <c r="G1926">
        <v>10959</v>
      </c>
      <c r="H1926" s="107"/>
      <c r="I1926" s="107"/>
      <c r="L1926" s="148">
        <v>46174</v>
      </c>
      <c r="M1926" s="107">
        <v>1313.9</v>
      </c>
      <c r="N1926" s="107">
        <v>1332.7</v>
      </c>
      <c r="O1926" s="107">
        <v>1295.5</v>
      </c>
      <c r="P1926" s="107">
        <v>1295.5</v>
      </c>
      <c r="Q1926" s="107">
        <v>1313.9</v>
      </c>
      <c r="R1926">
        <v>204636</v>
      </c>
    </row>
    <row r="1927" spans="1:18" x14ac:dyDescent="0.25">
      <c r="A1927" s="148">
        <v>46175</v>
      </c>
      <c r="B1927" s="107">
        <v>1330</v>
      </c>
      <c r="C1927" s="107">
        <v>1313.95</v>
      </c>
      <c r="D1927" s="107">
        <v>1307.3</v>
      </c>
      <c r="E1927" s="107">
        <v>1315.4</v>
      </c>
      <c r="F1927" s="107">
        <v>1313.95</v>
      </c>
      <c r="G1927">
        <v>7287</v>
      </c>
      <c r="H1927" s="107"/>
      <c r="I1927" s="107"/>
      <c r="L1927" s="148">
        <v>46175</v>
      </c>
      <c r="M1927" s="107">
        <v>1315.4</v>
      </c>
      <c r="N1927" s="107">
        <v>1332</v>
      </c>
      <c r="O1927" s="107">
        <v>1307</v>
      </c>
      <c r="P1927" s="107">
        <v>1318</v>
      </c>
      <c r="Q1927" s="107">
        <v>1315.4</v>
      </c>
      <c r="R1927">
        <v>182983</v>
      </c>
    </row>
    <row r="1928" spans="1:18" x14ac:dyDescent="0.25">
      <c r="A1928" s="148">
        <v>46176</v>
      </c>
      <c r="B1928" s="107">
        <v>1316.5</v>
      </c>
      <c r="C1928" s="107">
        <v>1269.7</v>
      </c>
      <c r="D1928" s="107">
        <v>1261.25</v>
      </c>
      <c r="E1928" s="107">
        <v>1310</v>
      </c>
      <c r="F1928" s="107">
        <v>1269.7</v>
      </c>
      <c r="G1928">
        <v>7447</v>
      </c>
      <c r="H1928" s="107"/>
      <c r="I1928" s="107"/>
      <c r="L1928" s="148">
        <v>46176</v>
      </c>
      <c r="M1928" s="107">
        <v>1269.2</v>
      </c>
      <c r="N1928" s="107">
        <v>1326</v>
      </c>
      <c r="O1928" s="107">
        <v>1261.0999999999999</v>
      </c>
      <c r="P1928" s="107">
        <v>1326</v>
      </c>
      <c r="Q1928" s="107">
        <v>1269.2</v>
      </c>
      <c r="R1928">
        <v>216115</v>
      </c>
    </row>
    <row r="1929" spans="1:18" x14ac:dyDescent="0.25">
      <c r="A1929" s="148">
        <v>46177</v>
      </c>
      <c r="B1929" s="107">
        <v>1291.9000000000001</v>
      </c>
      <c r="C1929" s="107">
        <v>1272.45</v>
      </c>
      <c r="D1929" s="107">
        <v>1252.0999999999999</v>
      </c>
      <c r="E1929" s="107">
        <v>1269.7</v>
      </c>
      <c r="F1929" s="107">
        <v>1272.45</v>
      </c>
      <c r="G1929">
        <v>10480</v>
      </c>
      <c r="H1929" s="107"/>
      <c r="I1929" s="107"/>
      <c r="L1929" s="148">
        <v>46177</v>
      </c>
      <c r="M1929" s="107">
        <v>1273.8</v>
      </c>
      <c r="N1929" s="107">
        <v>1299.9000000000001</v>
      </c>
      <c r="O1929" s="107">
        <v>1253</v>
      </c>
      <c r="P1929" s="107">
        <v>1267</v>
      </c>
      <c r="Q1929" s="107">
        <v>1273.8</v>
      </c>
      <c r="R1929">
        <v>157643</v>
      </c>
    </row>
    <row r="1930" spans="1:18" x14ac:dyDescent="0.25">
      <c r="A1930" s="148">
        <v>46178</v>
      </c>
      <c r="B1930" s="107">
        <v>1299.7</v>
      </c>
      <c r="C1930" s="107">
        <v>1264.7</v>
      </c>
      <c r="D1930" s="107">
        <v>1261.3499999999999</v>
      </c>
      <c r="E1930" s="107">
        <v>1273.8499999999999</v>
      </c>
      <c r="F1930" s="107">
        <v>1264.7</v>
      </c>
      <c r="G1930">
        <v>6516</v>
      </c>
      <c r="H1930" s="107"/>
      <c r="I1930" s="107"/>
      <c r="L1930" s="148">
        <v>46178</v>
      </c>
      <c r="M1930" s="107">
        <v>1264</v>
      </c>
      <c r="N1930" s="107">
        <v>1300</v>
      </c>
      <c r="O1930" s="107">
        <v>1261</v>
      </c>
      <c r="P1930" s="107">
        <v>1289</v>
      </c>
      <c r="Q1930" s="107">
        <v>1264</v>
      </c>
      <c r="R1930">
        <v>163055</v>
      </c>
    </row>
    <row r="1931" spans="1:18" x14ac:dyDescent="0.25">
      <c r="A1931" s="148">
        <v>46181</v>
      </c>
      <c r="B1931" s="107">
        <v>1272.45</v>
      </c>
      <c r="C1931" s="107">
        <v>1245</v>
      </c>
      <c r="D1931" s="107">
        <v>1232.5</v>
      </c>
      <c r="E1931" s="107">
        <v>1245.75</v>
      </c>
      <c r="F1931" s="107">
        <v>1245</v>
      </c>
      <c r="G1931">
        <v>6937</v>
      </c>
      <c r="H1931" s="107"/>
      <c r="I1931" s="107"/>
      <c r="L1931" s="148">
        <v>46181</v>
      </c>
      <c r="M1931" s="107">
        <v>1243.2</v>
      </c>
      <c r="N1931" s="107">
        <v>1274.3</v>
      </c>
      <c r="O1931" s="107">
        <v>1229.0999999999999</v>
      </c>
      <c r="P1931" s="107">
        <v>1251.3</v>
      </c>
      <c r="Q1931" s="107">
        <v>1243.2</v>
      </c>
      <c r="R1931">
        <v>88627</v>
      </c>
    </row>
    <row r="1932" spans="1:18" x14ac:dyDescent="0.25">
      <c r="A1932" s="148">
        <v>46182</v>
      </c>
      <c r="B1932" s="107">
        <v>1273.5</v>
      </c>
      <c r="C1932" s="107">
        <v>1271.5</v>
      </c>
      <c r="D1932" s="107">
        <v>1247</v>
      </c>
      <c r="E1932" s="107">
        <v>1263.8499999999999</v>
      </c>
      <c r="F1932" s="107">
        <v>1271.5</v>
      </c>
      <c r="G1932">
        <v>8300</v>
      </c>
      <c r="H1932" s="107"/>
      <c r="I1932" s="107"/>
      <c r="L1932" s="148">
        <v>46182</v>
      </c>
      <c r="M1932" s="107">
        <v>1270.4000000000001</v>
      </c>
      <c r="N1932" s="107">
        <v>1274.9000000000001</v>
      </c>
      <c r="O1932" s="107">
        <v>1246.0999999999999</v>
      </c>
      <c r="P1932" s="107">
        <v>1253.2</v>
      </c>
      <c r="Q1932" s="107">
        <v>1270.4000000000001</v>
      </c>
      <c r="R1932">
        <v>202950</v>
      </c>
    </row>
    <row r="1933" spans="1:18" x14ac:dyDescent="0.25">
      <c r="A1933" s="148">
        <v>46183</v>
      </c>
      <c r="B1933" s="107">
        <v>1273.0999999999999</v>
      </c>
      <c r="C1933" s="107">
        <v>1265.55</v>
      </c>
      <c r="D1933" s="107">
        <v>1263.25</v>
      </c>
      <c r="E1933" s="107">
        <v>1265.05</v>
      </c>
      <c r="F1933" s="107">
        <v>1265.55</v>
      </c>
      <c r="G1933">
        <v>4094</v>
      </c>
      <c r="H1933" s="107"/>
      <c r="I1933" s="107"/>
      <c r="L1933" s="148">
        <v>46183</v>
      </c>
      <c r="M1933" s="107">
        <v>1267.8</v>
      </c>
      <c r="N1933" s="107">
        <v>1273.9000000000001</v>
      </c>
      <c r="O1933" s="107">
        <v>1263</v>
      </c>
      <c r="P1933" s="107">
        <v>1268.0999999999999</v>
      </c>
      <c r="Q1933" s="107">
        <v>1267.8</v>
      </c>
      <c r="R1933">
        <v>96747</v>
      </c>
    </row>
    <row r="1934" spans="1:18" x14ac:dyDescent="0.25">
      <c r="A1934" s="148">
        <v>46184</v>
      </c>
      <c r="B1934" s="107">
        <v>1286</v>
      </c>
      <c r="C1934" s="107">
        <v>1265.2</v>
      </c>
      <c r="D1934" s="107">
        <v>1246.3499999999999</v>
      </c>
      <c r="E1934" s="107">
        <v>1282.95</v>
      </c>
      <c r="F1934" s="107">
        <v>1265.2</v>
      </c>
      <c r="G1934">
        <v>16588</v>
      </c>
      <c r="H1934" s="107"/>
      <c r="I1934" s="107"/>
      <c r="L1934" s="148">
        <v>46184</v>
      </c>
      <c r="M1934" s="107">
        <v>1266.4000000000001</v>
      </c>
      <c r="N1934" s="107">
        <v>1290</v>
      </c>
      <c r="O1934" s="107">
        <v>1247</v>
      </c>
      <c r="P1934" s="107">
        <v>1277</v>
      </c>
      <c r="Q1934" s="107">
        <v>1266.4000000000001</v>
      </c>
      <c r="R1934">
        <v>506499</v>
      </c>
    </row>
    <row r="1935" spans="1:18" x14ac:dyDescent="0.25">
      <c r="A1935" s="148">
        <v>46185</v>
      </c>
      <c r="B1935" s="107">
        <v>1315</v>
      </c>
      <c r="C1935" s="107">
        <v>1307.55</v>
      </c>
      <c r="D1935" s="107">
        <v>1266.25</v>
      </c>
      <c r="E1935" s="107">
        <v>1272.4000000000001</v>
      </c>
      <c r="F1935" s="107">
        <v>1307.55</v>
      </c>
      <c r="G1935">
        <v>6785</v>
      </c>
      <c r="H1935" s="107"/>
      <c r="I1935" s="107"/>
      <c r="L1935" s="148">
        <v>46185</v>
      </c>
      <c r="M1935" s="107">
        <v>1310.4000000000001</v>
      </c>
      <c r="N1935" s="107">
        <v>1315.7</v>
      </c>
      <c r="O1935" s="107">
        <v>1265</v>
      </c>
      <c r="P1935" s="107">
        <v>1283</v>
      </c>
      <c r="Q1935" s="107">
        <v>1310.4000000000001</v>
      </c>
      <c r="R1935">
        <v>191339</v>
      </c>
    </row>
    <row r="1936" spans="1:18" x14ac:dyDescent="0.25">
      <c r="A1936" s="148">
        <v>46188</v>
      </c>
      <c r="B1936" s="107">
        <v>1384.7</v>
      </c>
      <c r="C1936" s="107">
        <v>1373.9</v>
      </c>
      <c r="D1936" s="107">
        <v>1318.25</v>
      </c>
      <c r="E1936" s="107">
        <v>1318.25</v>
      </c>
      <c r="F1936" s="107">
        <v>1373.9</v>
      </c>
      <c r="G1936">
        <v>11881</v>
      </c>
      <c r="H1936" s="107"/>
      <c r="I1936" s="107"/>
      <c r="L1936" s="148">
        <v>46188</v>
      </c>
      <c r="M1936" s="107">
        <v>1375</v>
      </c>
      <c r="N1936" s="107">
        <v>1385.4</v>
      </c>
      <c r="O1936" s="107">
        <v>1322.2</v>
      </c>
      <c r="P1936" s="107">
        <v>1322.2</v>
      </c>
      <c r="Q1936" s="107">
        <v>1375</v>
      </c>
      <c r="R1936">
        <v>290020</v>
      </c>
    </row>
    <row r="1937" spans="1:18" x14ac:dyDescent="0.25">
      <c r="A1937" s="148">
        <v>46189</v>
      </c>
      <c r="B1937" s="107">
        <v>1415</v>
      </c>
      <c r="C1937" s="107">
        <v>1407.3</v>
      </c>
      <c r="D1937" s="107">
        <v>1380</v>
      </c>
      <c r="E1937" s="107">
        <v>1384.85</v>
      </c>
      <c r="F1937" s="107">
        <v>1407.3</v>
      </c>
      <c r="G1937">
        <v>7015</v>
      </c>
      <c r="H1937" s="107"/>
      <c r="I1937" s="107"/>
      <c r="L1937" s="148">
        <v>46189</v>
      </c>
      <c r="M1937" s="107">
        <v>1407.5</v>
      </c>
      <c r="N1937" s="107">
        <v>1412.2</v>
      </c>
      <c r="O1937" s="107">
        <v>1378.4</v>
      </c>
      <c r="P1937" s="107">
        <v>1380</v>
      </c>
      <c r="Q1937" s="107">
        <v>1407.5</v>
      </c>
      <c r="R1937">
        <v>275118</v>
      </c>
    </row>
    <row r="1938" spans="1:18" x14ac:dyDescent="0.25">
      <c r="A1938" s="148">
        <v>46190</v>
      </c>
      <c r="B1938" s="107">
        <v>1440.55</v>
      </c>
      <c r="C1938" s="107">
        <v>1432.75</v>
      </c>
      <c r="D1938" s="107">
        <v>1407.3</v>
      </c>
      <c r="E1938" s="107">
        <v>1407.3</v>
      </c>
      <c r="F1938" s="107">
        <v>1432.75</v>
      </c>
      <c r="G1938">
        <v>12664</v>
      </c>
      <c r="H1938" s="107"/>
      <c r="I1938" s="107"/>
      <c r="L1938" s="148">
        <v>46190</v>
      </c>
      <c r="M1938" s="107">
        <v>1434.9</v>
      </c>
      <c r="N1938" s="107">
        <v>1442</v>
      </c>
      <c r="O1938" s="107">
        <v>1407.6</v>
      </c>
      <c r="P1938" s="107">
        <v>1407.6</v>
      </c>
      <c r="Q1938" s="107">
        <v>1434.9</v>
      </c>
      <c r="R1938">
        <v>303130</v>
      </c>
    </row>
    <row r="1939" spans="1:18" x14ac:dyDescent="0.25">
      <c r="A1939" s="148"/>
      <c r="B1939" s="107"/>
      <c r="C1939" s="107"/>
      <c r="D1939" s="107"/>
      <c r="E1939" s="107"/>
      <c r="F1939" s="107"/>
      <c r="H1939" s="107"/>
      <c r="I1939" s="107"/>
      <c r="L1939" s="148"/>
    </row>
    <row r="1940" spans="1:18" x14ac:dyDescent="0.25">
      <c r="A1940" s="148"/>
      <c r="B1940" s="107"/>
      <c r="C1940" s="107"/>
      <c r="D1940" s="107"/>
      <c r="E1940" s="107"/>
      <c r="F1940" s="107"/>
      <c r="H1940" s="107"/>
      <c r="I1940" s="107"/>
      <c r="L1940" s="148"/>
    </row>
    <row r="1941" spans="1:18" x14ac:dyDescent="0.25">
      <c r="A1941" s="148"/>
      <c r="B1941" s="107"/>
      <c r="C1941" s="107"/>
      <c r="D1941" s="107"/>
      <c r="E1941" s="107"/>
      <c r="F1941" s="107"/>
      <c r="H1941" s="107"/>
      <c r="I1941" s="107"/>
      <c r="L1941" s="148"/>
    </row>
    <row r="1942" spans="1:18" x14ac:dyDescent="0.25">
      <c r="A1942" s="148"/>
      <c r="B1942" s="107"/>
      <c r="C1942" s="107"/>
      <c r="D1942" s="107"/>
      <c r="E1942" s="107"/>
      <c r="F1942" s="107"/>
      <c r="H1942" s="107"/>
      <c r="I1942" s="107"/>
      <c r="L1942" s="148"/>
    </row>
    <row r="1943" spans="1:18" x14ac:dyDescent="0.25">
      <c r="A1943" s="148"/>
      <c r="B1943" s="107"/>
      <c r="C1943" s="107"/>
      <c r="D1943" s="107"/>
      <c r="E1943" s="107"/>
      <c r="F1943" s="107"/>
      <c r="H1943" s="107"/>
      <c r="I1943" s="107"/>
      <c r="L1943" s="148"/>
    </row>
    <row r="1944" spans="1:18" x14ac:dyDescent="0.25">
      <c r="A1944" s="148"/>
      <c r="B1944" s="107"/>
      <c r="C1944" s="107"/>
      <c r="D1944" s="107"/>
      <c r="E1944" s="107"/>
      <c r="F1944" s="107"/>
      <c r="H1944" s="107"/>
      <c r="I1944" s="107"/>
      <c r="L1944" s="148"/>
    </row>
    <row r="1945" spans="1:18" x14ac:dyDescent="0.25">
      <c r="A1945" s="148"/>
      <c r="B1945" s="107"/>
      <c r="C1945" s="107"/>
      <c r="D1945" s="107"/>
      <c r="E1945" s="107"/>
      <c r="F1945" s="107"/>
      <c r="H1945" s="107"/>
      <c r="I1945" s="107"/>
      <c r="L1945" s="148"/>
    </row>
    <row r="1946" spans="1:18" x14ac:dyDescent="0.25">
      <c r="A1946" s="148"/>
      <c r="B1946" s="107"/>
      <c r="C1946" s="107"/>
      <c r="D1946" s="107"/>
      <c r="E1946" s="107"/>
      <c r="F1946" s="107"/>
      <c r="H1946" s="107"/>
      <c r="I1946" s="107"/>
      <c r="L1946" s="148"/>
    </row>
    <row r="1947" spans="1:18" x14ac:dyDescent="0.25">
      <c r="A1947" s="148"/>
      <c r="B1947" s="107"/>
      <c r="C1947" s="107"/>
      <c r="D1947" s="107"/>
      <c r="E1947" s="107"/>
      <c r="F1947" s="107"/>
      <c r="H1947" s="107"/>
      <c r="I1947" s="107"/>
      <c r="L1947" s="148"/>
    </row>
    <row r="1948" spans="1:18" x14ac:dyDescent="0.25">
      <c r="A1948" s="148"/>
      <c r="B1948" s="107"/>
      <c r="C1948" s="107"/>
      <c r="D1948" s="107"/>
      <c r="E1948" s="107"/>
      <c r="F1948" s="107"/>
      <c r="H1948" s="107"/>
      <c r="I1948" s="107"/>
      <c r="L1948" s="148"/>
    </row>
    <row r="1949" spans="1:18" x14ac:dyDescent="0.25">
      <c r="A1949" s="148"/>
      <c r="B1949" s="107"/>
      <c r="C1949" s="107"/>
      <c r="D1949" s="107"/>
      <c r="E1949" s="107"/>
      <c r="F1949" s="107"/>
      <c r="H1949" s="107"/>
      <c r="I1949" s="107"/>
      <c r="L1949" s="148"/>
    </row>
    <row r="1950" spans="1:18" x14ac:dyDescent="0.25">
      <c r="A1950" s="148"/>
      <c r="B1950" s="107"/>
      <c r="C1950" s="107"/>
      <c r="D1950" s="107"/>
      <c r="E1950" s="107"/>
      <c r="F1950" s="107"/>
      <c r="H1950" s="107"/>
      <c r="I1950" s="107"/>
      <c r="L1950" s="148"/>
    </row>
    <row r="1951" spans="1:18" x14ac:dyDescent="0.25">
      <c r="A1951" s="148"/>
      <c r="B1951" s="107"/>
      <c r="C1951" s="107"/>
      <c r="D1951" s="107"/>
      <c r="E1951" s="107"/>
      <c r="F1951" s="107"/>
      <c r="H1951" s="107"/>
      <c r="I1951" s="107"/>
      <c r="L1951" s="148"/>
    </row>
    <row r="1952" spans="1:18" x14ac:dyDescent="0.25">
      <c r="A1952" s="148"/>
      <c r="B1952" s="107"/>
      <c r="C1952" s="107"/>
      <c r="D1952" s="107"/>
      <c r="E1952" s="107"/>
      <c r="F1952" s="107"/>
      <c r="H1952" s="107"/>
      <c r="I1952" s="107"/>
      <c r="L1952" s="148"/>
    </row>
    <row r="1953" spans="1:12" x14ac:dyDescent="0.25">
      <c r="A1953" s="148"/>
      <c r="B1953" s="107"/>
      <c r="C1953" s="107"/>
      <c r="D1953" s="107"/>
      <c r="E1953" s="107"/>
      <c r="F1953" s="107"/>
      <c r="H1953" s="107"/>
      <c r="I1953" s="107"/>
      <c r="L1953" s="148"/>
    </row>
    <row r="1954" spans="1:12" x14ac:dyDescent="0.25">
      <c r="A1954" s="148"/>
      <c r="B1954" s="107"/>
      <c r="C1954" s="107"/>
      <c r="D1954" s="107"/>
      <c r="E1954" s="107"/>
      <c r="F1954" s="107"/>
      <c r="H1954" s="107"/>
      <c r="I1954" s="107"/>
      <c r="L1954" s="148"/>
    </row>
    <row r="1955" spans="1:12" x14ac:dyDescent="0.25">
      <c r="A1955" s="148"/>
      <c r="B1955" s="107"/>
      <c r="C1955" s="107"/>
      <c r="D1955" s="107"/>
      <c r="E1955" s="107"/>
      <c r="F1955" s="107"/>
      <c r="H1955" s="107"/>
      <c r="I1955" s="107"/>
      <c r="L1955" s="148"/>
    </row>
    <row r="1956" spans="1:12" x14ac:dyDescent="0.25">
      <c r="A1956" s="148"/>
      <c r="B1956" s="107"/>
      <c r="C1956" s="107"/>
      <c r="D1956" s="107"/>
      <c r="E1956" s="107"/>
      <c r="F1956" s="107"/>
      <c r="H1956" s="107"/>
      <c r="I1956" s="107"/>
      <c r="L1956" s="148"/>
    </row>
    <row r="1957" spans="1:12" x14ac:dyDescent="0.25">
      <c r="A1957" s="148"/>
      <c r="B1957" s="107"/>
      <c r="C1957" s="107"/>
      <c r="D1957" s="107"/>
      <c r="E1957" s="107"/>
      <c r="F1957" s="107"/>
      <c r="H1957" s="107"/>
      <c r="I1957" s="107"/>
      <c r="L1957" s="148"/>
    </row>
    <row r="1958" spans="1:12" x14ac:dyDescent="0.25">
      <c r="A1958" s="148"/>
      <c r="B1958" s="107"/>
      <c r="C1958" s="107"/>
      <c r="D1958" s="107"/>
      <c r="E1958" s="107"/>
      <c r="F1958" s="107"/>
      <c r="H1958" s="107"/>
      <c r="I1958" s="107"/>
      <c r="L1958" s="148"/>
    </row>
    <row r="1959" spans="1:12" x14ac:dyDescent="0.25">
      <c r="A1959" s="148"/>
      <c r="B1959" s="107"/>
      <c r="C1959" s="107"/>
      <c r="D1959" s="107"/>
      <c r="E1959" s="107"/>
      <c r="F1959" s="107"/>
      <c r="H1959" s="107"/>
      <c r="I1959" s="107"/>
      <c r="L1959" s="148"/>
    </row>
    <row r="1960" spans="1:12" x14ac:dyDescent="0.25">
      <c r="A1960" s="148"/>
      <c r="B1960" s="107"/>
      <c r="C1960" s="107"/>
      <c r="D1960" s="107"/>
      <c r="E1960" s="107"/>
      <c r="F1960" s="107"/>
      <c r="H1960" s="107"/>
      <c r="I1960" s="107"/>
      <c r="L1960" s="148"/>
    </row>
    <row r="1961" spans="1:12" x14ac:dyDescent="0.25">
      <c r="A1961" s="148"/>
      <c r="B1961" s="107"/>
      <c r="C1961" s="107"/>
      <c r="D1961" s="107"/>
      <c r="E1961" s="107"/>
      <c r="F1961" s="107"/>
      <c r="H1961" s="107"/>
      <c r="I1961" s="107"/>
      <c r="L1961" s="148"/>
    </row>
    <row r="1962" spans="1:12" x14ac:dyDescent="0.25">
      <c r="A1962" s="148"/>
      <c r="B1962" s="107"/>
      <c r="C1962" s="107"/>
      <c r="D1962" s="107"/>
      <c r="E1962" s="107"/>
      <c r="F1962" s="107"/>
      <c r="H1962" s="107"/>
      <c r="I1962" s="107"/>
      <c r="L1962" s="148"/>
    </row>
    <row r="1963" spans="1:12" x14ac:dyDescent="0.25">
      <c r="A1963" s="148"/>
      <c r="B1963" s="107"/>
      <c r="C1963" s="107"/>
      <c r="D1963" s="107"/>
      <c r="E1963" s="107"/>
      <c r="F1963" s="107"/>
      <c r="H1963" s="107"/>
      <c r="I1963" s="107"/>
      <c r="L1963" s="148"/>
    </row>
    <row r="1964" spans="1:12" x14ac:dyDescent="0.25">
      <c r="A1964" s="148"/>
      <c r="B1964" s="107"/>
      <c r="C1964" s="107"/>
      <c r="D1964" s="107"/>
      <c r="E1964" s="107"/>
      <c r="F1964" s="107"/>
      <c r="H1964" s="107"/>
      <c r="I1964" s="107"/>
      <c r="L1964" s="148"/>
    </row>
    <row r="1965" spans="1:12" x14ac:dyDescent="0.25">
      <c r="A1965" s="148"/>
      <c r="B1965" s="107"/>
      <c r="C1965" s="107"/>
      <c r="D1965" s="107"/>
      <c r="E1965" s="107"/>
      <c r="F1965" s="107"/>
      <c r="H1965" s="107"/>
      <c r="I1965" s="107"/>
      <c r="L1965" s="148"/>
    </row>
    <row r="1966" spans="1:12" x14ac:dyDescent="0.25">
      <c r="A1966" s="148"/>
      <c r="B1966" s="107"/>
      <c r="C1966" s="107"/>
      <c r="D1966" s="107"/>
      <c r="E1966" s="107"/>
      <c r="F1966" s="107"/>
      <c r="H1966" s="107"/>
      <c r="I1966" s="107"/>
      <c r="L1966" s="148"/>
    </row>
    <row r="1967" spans="1:12" x14ac:dyDescent="0.25">
      <c r="A1967" s="148"/>
      <c r="B1967" s="107"/>
      <c r="C1967" s="107"/>
      <c r="D1967" s="107"/>
      <c r="E1967" s="107"/>
      <c r="F1967" s="107"/>
      <c r="H1967" s="107"/>
      <c r="I1967" s="107"/>
      <c r="L1967" s="148"/>
    </row>
    <row r="1968" spans="1:12" x14ac:dyDescent="0.25">
      <c r="A1968" s="148"/>
      <c r="B1968" s="107"/>
      <c r="C1968" s="107"/>
      <c r="D1968" s="107"/>
      <c r="E1968" s="107"/>
      <c r="F1968" s="107"/>
      <c r="H1968" s="107"/>
      <c r="I1968" s="107"/>
      <c r="L1968" s="148"/>
    </row>
    <row r="1969" spans="1:12" x14ac:dyDescent="0.25">
      <c r="A1969" s="148"/>
      <c r="B1969" s="107"/>
      <c r="C1969" s="107"/>
      <c r="D1969" s="107"/>
      <c r="E1969" s="107"/>
      <c r="F1969" s="107"/>
      <c r="H1969" s="107"/>
      <c r="I1969" s="107"/>
      <c r="L1969" s="148"/>
    </row>
    <row r="1970" spans="1:12" x14ac:dyDescent="0.25">
      <c r="A1970" s="148"/>
      <c r="B1970" s="107"/>
      <c r="C1970" s="107"/>
      <c r="D1970" s="107"/>
      <c r="E1970" s="107"/>
      <c r="F1970" s="107"/>
      <c r="H1970" s="107"/>
      <c r="I1970" s="107"/>
      <c r="L1970" s="148"/>
    </row>
    <row r="1971" spans="1:12" x14ac:dyDescent="0.25">
      <c r="A1971" s="148"/>
      <c r="B1971" s="107"/>
      <c r="C1971" s="107"/>
      <c r="D1971" s="107"/>
      <c r="E1971" s="107"/>
      <c r="F1971" s="107"/>
      <c r="H1971" s="107"/>
      <c r="I1971" s="107"/>
      <c r="L1971" s="148"/>
    </row>
    <row r="1972" spans="1:12" x14ac:dyDescent="0.25">
      <c r="A1972" s="148"/>
      <c r="B1972" s="107"/>
      <c r="C1972" s="107"/>
      <c r="D1972" s="107"/>
      <c r="E1972" s="107"/>
      <c r="F1972" s="107"/>
      <c r="H1972" s="107"/>
      <c r="I1972" s="107"/>
      <c r="L1972" s="148"/>
    </row>
    <row r="1973" spans="1:12" x14ac:dyDescent="0.25">
      <c r="A1973" s="148"/>
      <c r="B1973" s="107"/>
      <c r="C1973" s="107"/>
      <c r="D1973" s="107"/>
      <c r="E1973" s="107"/>
      <c r="F1973" s="107"/>
      <c r="H1973" s="107"/>
      <c r="I1973" s="107"/>
      <c r="L1973" s="148"/>
    </row>
    <row r="1974" spans="1:12" x14ac:dyDescent="0.25">
      <c r="A1974" s="148"/>
      <c r="B1974" s="107"/>
      <c r="C1974" s="107"/>
      <c r="D1974" s="107"/>
      <c r="E1974" s="107"/>
      <c r="F1974" s="107"/>
      <c r="H1974" s="107"/>
      <c r="I1974" s="107"/>
      <c r="L1974" s="148"/>
    </row>
    <row r="1975" spans="1:12" x14ac:dyDescent="0.25">
      <c r="A1975" s="148"/>
      <c r="B1975" s="107"/>
      <c r="C1975" s="107"/>
      <c r="D1975" s="107"/>
      <c r="E1975" s="107"/>
      <c r="F1975" s="107"/>
      <c r="H1975" s="107"/>
      <c r="I1975" s="107"/>
      <c r="L1975" s="148"/>
    </row>
    <row r="1976" spans="1:12" x14ac:dyDescent="0.25">
      <c r="A1976" s="148"/>
      <c r="B1976" s="107"/>
      <c r="C1976" s="107"/>
      <c r="D1976" s="107"/>
      <c r="E1976" s="107"/>
      <c r="F1976" s="107"/>
      <c r="H1976" s="107"/>
      <c r="I1976" s="107"/>
      <c r="L1976" s="148"/>
    </row>
    <row r="1977" spans="1:12" x14ac:dyDescent="0.25">
      <c r="A1977" s="148"/>
      <c r="B1977" s="107"/>
      <c r="C1977" s="107"/>
      <c r="D1977" s="107"/>
      <c r="E1977" s="107"/>
      <c r="F1977" s="107"/>
      <c r="H1977" s="107"/>
      <c r="I1977" s="107"/>
      <c r="L1977" s="148"/>
    </row>
    <row r="1978" spans="1:12" x14ac:dyDescent="0.25">
      <c r="A1978" s="148"/>
      <c r="B1978" s="107"/>
      <c r="C1978" s="107"/>
      <c r="D1978" s="107"/>
      <c r="E1978" s="107"/>
      <c r="F1978" s="107"/>
      <c r="H1978" s="107"/>
      <c r="I1978" s="107"/>
      <c r="L1978" s="148"/>
    </row>
    <row r="1979" spans="1:12" x14ac:dyDescent="0.25">
      <c r="A1979" s="148"/>
      <c r="B1979" s="107"/>
      <c r="C1979" s="107"/>
      <c r="D1979" s="107"/>
      <c r="E1979" s="107"/>
      <c r="F1979" s="107"/>
      <c r="H1979" s="107"/>
      <c r="I1979" s="107"/>
      <c r="L1979" s="148"/>
    </row>
    <row r="1980" spans="1:12" x14ac:dyDescent="0.25">
      <c r="A1980" s="148"/>
      <c r="B1980" s="107"/>
      <c r="C1980" s="107"/>
      <c r="D1980" s="107"/>
      <c r="E1980" s="107"/>
      <c r="F1980" s="107"/>
      <c r="H1980" s="107"/>
      <c r="I1980" s="107"/>
      <c r="L1980" s="148"/>
    </row>
    <row r="1981" spans="1:12" x14ac:dyDescent="0.25">
      <c r="A1981" s="148"/>
      <c r="B1981" s="107"/>
      <c r="C1981" s="107"/>
      <c r="D1981" s="107"/>
      <c r="E1981" s="107"/>
      <c r="F1981" s="107"/>
      <c r="H1981" s="107"/>
      <c r="I1981" s="107"/>
      <c r="L1981" s="148"/>
    </row>
    <row r="1982" spans="1:12" x14ac:dyDescent="0.25">
      <c r="A1982" s="148"/>
      <c r="B1982" s="107"/>
      <c r="C1982" s="107"/>
      <c r="D1982" s="107"/>
      <c r="E1982" s="107"/>
      <c r="F1982" s="107"/>
      <c r="H1982" s="107"/>
      <c r="I1982" s="107"/>
      <c r="L1982" s="148"/>
    </row>
    <row r="1983" spans="1:12" x14ac:dyDescent="0.25">
      <c r="A1983" s="148"/>
      <c r="B1983" s="107"/>
      <c r="C1983" s="107"/>
      <c r="D1983" s="107"/>
      <c r="E1983" s="107"/>
      <c r="F1983" s="107"/>
      <c r="H1983" s="107"/>
      <c r="I1983" s="107"/>
      <c r="L1983" s="148"/>
    </row>
    <row r="1984" spans="1:12" x14ac:dyDescent="0.25">
      <c r="A1984" s="148"/>
      <c r="B1984" s="107"/>
      <c r="C1984" s="107"/>
      <c r="D1984" s="107"/>
      <c r="E1984" s="107"/>
      <c r="F1984" s="107"/>
      <c r="H1984" s="107"/>
      <c r="I1984" s="107"/>
      <c r="L1984" s="148"/>
    </row>
    <row r="1985" spans="1:12" x14ac:dyDescent="0.25">
      <c r="A1985" s="148"/>
      <c r="B1985" s="107"/>
      <c r="C1985" s="107"/>
      <c r="D1985" s="107"/>
      <c r="E1985" s="107"/>
      <c r="F1985" s="107"/>
      <c r="H1985" s="107"/>
      <c r="I1985" s="107"/>
      <c r="L1985" s="148"/>
    </row>
    <row r="1986" spans="1:12" x14ac:dyDescent="0.25">
      <c r="A1986" s="148"/>
      <c r="B1986" s="107"/>
      <c r="C1986" s="107"/>
      <c r="D1986" s="107"/>
      <c r="E1986" s="107"/>
      <c r="F1986" s="107"/>
      <c r="H1986" s="107"/>
      <c r="I1986" s="107"/>
      <c r="L1986" s="148"/>
    </row>
    <row r="1987" spans="1:12" x14ac:dyDescent="0.25">
      <c r="A1987" s="148"/>
      <c r="B1987" s="107"/>
      <c r="C1987" s="107"/>
      <c r="D1987" s="107"/>
      <c r="E1987" s="107"/>
      <c r="F1987" s="107"/>
      <c r="H1987" s="107"/>
      <c r="I1987" s="107"/>
      <c r="L1987" s="148"/>
    </row>
    <row r="1988" spans="1:12" x14ac:dyDescent="0.25">
      <c r="A1988" s="148"/>
      <c r="B1988" s="107"/>
      <c r="C1988" s="107"/>
      <c r="D1988" s="107"/>
      <c r="E1988" s="107"/>
      <c r="F1988" s="107"/>
      <c r="H1988" s="107"/>
      <c r="I1988" s="107"/>
      <c r="L1988" s="148"/>
    </row>
    <row r="1989" spans="1:12" x14ac:dyDescent="0.25">
      <c r="A1989" s="148"/>
      <c r="B1989" s="107"/>
      <c r="C1989" s="107"/>
      <c r="D1989" s="107"/>
      <c r="E1989" s="107"/>
      <c r="F1989" s="107"/>
      <c r="H1989" s="107"/>
      <c r="I1989" s="107"/>
      <c r="L1989" s="148"/>
    </row>
    <row r="1990" spans="1:12" x14ac:dyDescent="0.25">
      <c r="A1990" s="148"/>
      <c r="B1990" s="107"/>
      <c r="C1990" s="107"/>
      <c r="D1990" s="107"/>
      <c r="E1990" s="107"/>
      <c r="F1990" s="107"/>
      <c r="H1990" s="107"/>
      <c r="I1990" s="107"/>
      <c r="L1990" s="148"/>
    </row>
    <row r="1991" spans="1:12" x14ac:dyDescent="0.25">
      <c r="A1991" s="148"/>
      <c r="B1991" s="107"/>
      <c r="C1991" s="107"/>
      <c r="D1991" s="107"/>
      <c r="E1991" s="107"/>
      <c r="F1991" s="107"/>
      <c r="H1991" s="107"/>
      <c r="I1991" s="107"/>
      <c r="L1991" s="148"/>
    </row>
    <row r="1992" spans="1:12" x14ac:dyDescent="0.25">
      <c r="A1992" s="148"/>
      <c r="B1992" s="107"/>
      <c r="C1992" s="107"/>
      <c r="D1992" s="107"/>
      <c r="E1992" s="107"/>
      <c r="F1992" s="107"/>
      <c r="H1992" s="107"/>
      <c r="I1992" s="107"/>
      <c r="L1992" s="148"/>
    </row>
    <row r="1993" spans="1:12" x14ac:dyDescent="0.25">
      <c r="A1993" s="148"/>
      <c r="B1993" s="107"/>
      <c r="C1993" s="107"/>
      <c r="D1993" s="107"/>
      <c r="E1993" s="107"/>
      <c r="F1993" s="107"/>
      <c r="H1993" s="107"/>
      <c r="I1993" s="107"/>
      <c r="L1993" s="148"/>
    </row>
    <row r="1994" spans="1:12" x14ac:dyDescent="0.25">
      <c r="A1994" s="148"/>
      <c r="B1994" s="107"/>
      <c r="C1994" s="107"/>
      <c r="D1994" s="107"/>
      <c r="E1994" s="107"/>
      <c r="F1994" s="107"/>
      <c r="H1994" s="107"/>
      <c r="I1994" s="107"/>
      <c r="L1994" s="148"/>
    </row>
    <row r="1995" spans="1:12" x14ac:dyDescent="0.25">
      <c r="A1995" s="148"/>
      <c r="B1995" s="107"/>
      <c r="C1995" s="107"/>
      <c r="D1995" s="107"/>
      <c r="E1995" s="107"/>
      <c r="F1995" s="107"/>
      <c r="H1995" s="107"/>
      <c r="I1995" s="107"/>
      <c r="L1995" s="148"/>
    </row>
    <row r="1996" spans="1:12" x14ac:dyDescent="0.25">
      <c r="A1996" s="148"/>
      <c r="B1996" s="107"/>
      <c r="C1996" s="107"/>
      <c r="D1996" s="107"/>
      <c r="E1996" s="107"/>
      <c r="F1996" s="107"/>
      <c r="H1996" s="107"/>
      <c r="I1996" s="107"/>
      <c r="L1996" s="148"/>
    </row>
    <row r="1997" spans="1:12" x14ac:dyDescent="0.25">
      <c r="A1997" s="148"/>
      <c r="B1997" s="107"/>
      <c r="C1997" s="107"/>
      <c r="D1997" s="107"/>
      <c r="E1997" s="107"/>
      <c r="F1997" s="107"/>
      <c r="H1997" s="107"/>
      <c r="I1997" s="107"/>
      <c r="L1997" s="148"/>
    </row>
    <row r="1998" spans="1:12" x14ac:dyDescent="0.25">
      <c r="A1998" s="148"/>
      <c r="B1998" s="107"/>
      <c r="C1998" s="107"/>
      <c r="D1998" s="107"/>
      <c r="E1998" s="107"/>
      <c r="F1998" s="107"/>
      <c r="H1998" s="107"/>
      <c r="I1998" s="107"/>
      <c r="L1998" s="148"/>
    </row>
    <row r="1999" spans="1:12" x14ac:dyDescent="0.25">
      <c r="A1999" s="148"/>
      <c r="B1999" s="107"/>
      <c r="C1999" s="107"/>
      <c r="D1999" s="107"/>
      <c r="E1999" s="107"/>
      <c r="F1999" s="107"/>
      <c r="H1999" s="107"/>
      <c r="I1999" s="107"/>
      <c r="L1999" s="148"/>
    </row>
    <row r="2000" spans="1:12" x14ac:dyDescent="0.25">
      <c r="A2000" s="148"/>
      <c r="B2000" s="107"/>
      <c r="C2000" s="107"/>
      <c r="D2000" s="107"/>
      <c r="E2000" s="107"/>
      <c r="F2000" s="107"/>
      <c r="H2000" s="107"/>
      <c r="I2000" s="107"/>
      <c r="L2000" s="148"/>
    </row>
    <row r="2001" spans="1:12" x14ac:dyDescent="0.25">
      <c r="A2001" s="148"/>
      <c r="B2001" s="107"/>
      <c r="C2001" s="107"/>
      <c r="D2001" s="107"/>
      <c r="E2001" s="107"/>
      <c r="F2001" s="107"/>
      <c r="H2001" s="107"/>
      <c r="I2001" s="107"/>
      <c r="L2001" s="148"/>
    </row>
    <row r="2002" spans="1:12" x14ac:dyDescent="0.25">
      <c r="A2002" s="148"/>
      <c r="B2002" s="107"/>
      <c r="C2002" s="107"/>
      <c r="D2002" s="107"/>
      <c r="E2002" s="107"/>
      <c r="F2002" s="107"/>
      <c r="H2002" s="107"/>
      <c r="I2002" s="107"/>
      <c r="L2002" s="148"/>
    </row>
    <row r="2003" spans="1:12" x14ac:dyDescent="0.25">
      <c r="A2003" s="148"/>
      <c r="B2003" s="107"/>
      <c r="C2003" s="107"/>
      <c r="D2003" s="107"/>
      <c r="E2003" s="107"/>
      <c r="F2003" s="107"/>
      <c r="H2003" s="107"/>
      <c r="I2003" s="107"/>
      <c r="L2003" s="148"/>
    </row>
    <row r="2004" spans="1:12" x14ac:dyDescent="0.25">
      <c r="A2004" s="148"/>
      <c r="B2004" s="107"/>
      <c r="C2004" s="107"/>
      <c r="D2004" s="107"/>
      <c r="E2004" s="107"/>
      <c r="F2004" s="107"/>
      <c r="H2004" s="107"/>
      <c r="I2004" s="107"/>
      <c r="L2004" s="148"/>
    </row>
    <row r="2005" spans="1:12" x14ac:dyDescent="0.25">
      <c r="A2005" s="148"/>
      <c r="B2005" s="107"/>
      <c r="C2005" s="107"/>
      <c r="D2005" s="107"/>
      <c r="E2005" s="107"/>
      <c r="F2005" s="107"/>
      <c r="H2005" s="107"/>
      <c r="I2005" s="107"/>
      <c r="L2005" s="148"/>
    </row>
    <row r="2006" spans="1:12" x14ac:dyDescent="0.25">
      <c r="A2006" s="148"/>
      <c r="B2006" s="107"/>
      <c r="C2006" s="107"/>
      <c r="D2006" s="107"/>
      <c r="E2006" s="107"/>
      <c r="F2006" s="107"/>
      <c r="H2006" s="107"/>
      <c r="I2006" s="107"/>
      <c r="L2006" s="148"/>
    </row>
    <row r="2007" spans="1:12" x14ac:dyDescent="0.25">
      <c r="A2007" s="148"/>
      <c r="B2007" s="107"/>
      <c r="C2007" s="107"/>
      <c r="D2007" s="107"/>
      <c r="E2007" s="107"/>
      <c r="F2007" s="107"/>
      <c r="H2007" s="107"/>
      <c r="I2007" s="107"/>
      <c r="L2007" s="148"/>
    </row>
    <row r="2008" spans="1:12" x14ac:dyDescent="0.25">
      <c r="A2008" s="148"/>
      <c r="B2008" s="107"/>
      <c r="C2008" s="107"/>
      <c r="D2008" s="107"/>
      <c r="E2008" s="107"/>
      <c r="F2008" s="107"/>
      <c r="H2008" s="107"/>
      <c r="I2008" s="107"/>
      <c r="L2008" s="148"/>
    </row>
    <row r="2009" spans="1:12" x14ac:dyDescent="0.25">
      <c r="A2009" s="148"/>
      <c r="B2009" s="107"/>
      <c r="C2009" s="107"/>
      <c r="D2009" s="107"/>
      <c r="E2009" s="107"/>
      <c r="F2009" s="107"/>
      <c r="H2009" s="107"/>
      <c r="I2009" s="107"/>
      <c r="L2009" s="148"/>
    </row>
    <row r="2010" spans="1:12" x14ac:dyDescent="0.25">
      <c r="A2010" s="148"/>
      <c r="B2010" s="107"/>
      <c r="C2010" s="107"/>
      <c r="D2010" s="107"/>
      <c r="E2010" s="107"/>
      <c r="F2010" s="107"/>
      <c r="H2010" s="107"/>
      <c r="I2010" s="107"/>
      <c r="L2010" s="148"/>
    </row>
    <row r="2011" spans="1:12" x14ac:dyDescent="0.25">
      <c r="A2011" s="148"/>
      <c r="B2011" s="107"/>
      <c r="C2011" s="107"/>
      <c r="D2011" s="107"/>
      <c r="E2011" s="107"/>
      <c r="F2011" s="107"/>
      <c r="H2011" s="107"/>
      <c r="I2011" s="107"/>
      <c r="L2011" s="148"/>
    </row>
    <row r="2012" spans="1:12" x14ac:dyDescent="0.25">
      <c r="A2012" s="148"/>
      <c r="B2012" s="107"/>
      <c r="C2012" s="107"/>
      <c r="D2012" s="107"/>
      <c r="E2012" s="107"/>
      <c r="F2012" s="107"/>
      <c r="H2012" s="107"/>
      <c r="I2012" s="107"/>
      <c r="L2012" s="148"/>
    </row>
    <row r="2013" spans="1:12" x14ac:dyDescent="0.25">
      <c r="A2013" s="148"/>
      <c r="B2013" s="107"/>
      <c r="C2013" s="107"/>
      <c r="D2013" s="107"/>
      <c r="E2013" s="107"/>
      <c r="F2013" s="107"/>
      <c r="H2013" s="107"/>
      <c r="I2013" s="107"/>
      <c r="L2013" s="148"/>
    </row>
    <row r="2014" spans="1:12" x14ac:dyDescent="0.25">
      <c r="A2014" s="148"/>
      <c r="B2014" s="107"/>
      <c r="C2014" s="107"/>
      <c r="D2014" s="107"/>
      <c r="E2014" s="107"/>
      <c r="F2014" s="107"/>
      <c r="H2014" s="107"/>
      <c r="I2014" s="107"/>
      <c r="L2014" s="148"/>
    </row>
    <row r="2015" spans="1:12" x14ac:dyDescent="0.25">
      <c r="A2015" s="148"/>
      <c r="B2015" s="107"/>
      <c r="C2015" s="107"/>
      <c r="D2015" s="107"/>
      <c r="E2015" s="107"/>
      <c r="F2015" s="107"/>
      <c r="H2015" s="107"/>
      <c r="I2015" s="107"/>
      <c r="L2015" s="148"/>
    </row>
    <row r="2016" spans="1:12" x14ac:dyDescent="0.25">
      <c r="A2016" s="148"/>
      <c r="B2016" s="107"/>
      <c r="C2016" s="107"/>
      <c r="D2016" s="107"/>
      <c r="E2016" s="107"/>
      <c r="F2016" s="107"/>
      <c r="H2016" s="107"/>
      <c r="I2016" s="107"/>
      <c r="L2016" s="148"/>
    </row>
    <row r="2017" spans="1:12" x14ac:dyDescent="0.25">
      <c r="A2017" s="148"/>
      <c r="B2017" s="107"/>
      <c r="C2017" s="107"/>
      <c r="D2017" s="107"/>
      <c r="E2017" s="107"/>
      <c r="F2017" s="107"/>
      <c r="H2017" s="107"/>
      <c r="I2017" s="107"/>
      <c r="L2017" s="148"/>
    </row>
    <row r="2018" spans="1:12" x14ac:dyDescent="0.25">
      <c r="A2018" s="148"/>
      <c r="B2018" s="107"/>
      <c r="C2018" s="107"/>
      <c r="D2018" s="107"/>
      <c r="E2018" s="107"/>
      <c r="F2018" s="107"/>
      <c r="H2018" s="107"/>
      <c r="I2018" s="107"/>
      <c r="L2018" s="148"/>
    </row>
    <row r="2019" spans="1:12" x14ac:dyDescent="0.25">
      <c r="A2019" s="148"/>
      <c r="B2019" s="107"/>
      <c r="C2019" s="107"/>
      <c r="D2019" s="107"/>
      <c r="E2019" s="107"/>
      <c r="F2019" s="107"/>
      <c r="H2019" s="107"/>
      <c r="I2019" s="107"/>
      <c r="L2019" s="148"/>
    </row>
    <row r="2020" spans="1:12" x14ac:dyDescent="0.25">
      <c r="A2020" s="148"/>
      <c r="B2020" s="107"/>
      <c r="C2020" s="107"/>
      <c r="D2020" s="107"/>
      <c r="E2020" s="107"/>
      <c r="F2020" s="107"/>
      <c r="H2020" s="107"/>
      <c r="I2020" s="107"/>
      <c r="L2020" s="148"/>
    </row>
    <row r="2021" spans="1:12" x14ac:dyDescent="0.25">
      <c r="A2021" s="148"/>
      <c r="B2021" s="107"/>
      <c r="C2021" s="107"/>
      <c r="D2021" s="107"/>
      <c r="E2021" s="107"/>
      <c r="F2021" s="107"/>
      <c r="H2021" s="107"/>
      <c r="I2021" s="107"/>
      <c r="L2021" s="148"/>
    </row>
    <row r="2022" spans="1:12" x14ac:dyDescent="0.25">
      <c r="A2022" s="148"/>
      <c r="B2022" s="107"/>
      <c r="C2022" s="107"/>
      <c r="D2022" s="107"/>
      <c r="E2022" s="107"/>
      <c r="F2022" s="107"/>
      <c r="H2022" s="107"/>
      <c r="I2022" s="107"/>
      <c r="L2022" s="148"/>
    </row>
    <row r="2023" spans="1:12" x14ac:dyDescent="0.25">
      <c r="A2023" s="148"/>
      <c r="B2023" s="107"/>
      <c r="C2023" s="107"/>
      <c r="D2023" s="107"/>
      <c r="E2023" s="107"/>
      <c r="F2023" s="107"/>
      <c r="H2023" s="107"/>
      <c r="I2023" s="107"/>
      <c r="L2023" s="148"/>
    </row>
    <row r="2024" spans="1:12" x14ac:dyDescent="0.25">
      <c r="A2024" s="148"/>
      <c r="B2024" s="107"/>
      <c r="C2024" s="107"/>
      <c r="D2024" s="107"/>
      <c r="E2024" s="107"/>
      <c r="F2024" s="107"/>
      <c r="H2024" s="107"/>
      <c r="I2024" s="107"/>
      <c r="L2024" s="148"/>
    </row>
    <row r="2025" spans="1:12" x14ac:dyDescent="0.25">
      <c r="A2025" s="148"/>
      <c r="B2025" s="107"/>
      <c r="C2025" s="107"/>
      <c r="D2025" s="107"/>
      <c r="E2025" s="107"/>
      <c r="F2025" s="107"/>
      <c r="H2025" s="107"/>
      <c r="I2025" s="107"/>
      <c r="L2025" s="148"/>
    </row>
    <row r="2026" spans="1:12" x14ac:dyDescent="0.25">
      <c r="A2026" s="148"/>
      <c r="B2026" s="107"/>
      <c r="C2026" s="107"/>
      <c r="D2026" s="107"/>
      <c r="E2026" s="107"/>
      <c r="F2026" s="107"/>
      <c r="H2026" s="107"/>
      <c r="I2026" s="107"/>
      <c r="L2026" s="148"/>
    </row>
    <row r="2027" spans="1:12" x14ac:dyDescent="0.25">
      <c r="A2027" s="148"/>
      <c r="B2027" s="107"/>
      <c r="C2027" s="107"/>
      <c r="D2027" s="107"/>
      <c r="E2027" s="107"/>
      <c r="F2027" s="107"/>
      <c r="H2027" s="107"/>
      <c r="I2027" s="107"/>
      <c r="L2027" s="148"/>
    </row>
    <row r="2028" spans="1:12" x14ac:dyDescent="0.25">
      <c r="A2028" s="148"/>
      <c r="B2028" s="107"/>
      <c r="C2028" s="107"/>
      <c r="D2028" s="107"/>
      <c r="E2028" s="107"/>
      <c r="F2028" s="107"/>
      <c r="H2028" s="107"/>
      <c r="I2028" s="107"/>
      <c r="L2028" s="148"/>
    </row>
    <row r="2029" spans="1:12" x14ac:dyDescent="0.25">
      <c r="A2029" s="148"/>
      <c r="B2029" s="107"/>
      <c r="C2029" s="107"/>
      <c r="D2029" s="107"/>
      <c r="E2029" s="107"/>
      <c r="F2029" s="107"/>
      <c r="H2029" s="107"/>
      <c r="I2029" s="107"/>
      <c r="L2029" s="148"/>
    </row>
    <row r="2030" spans="1:12" x14ac:dyDescent="0.25">
      <c r="A2030" s="148"/>
      <c r="B2030" s="107"/>
      <c r="C2030" s="107"/>
      <c r="D2030" s="107"/>
      <c r="E2030" s="107"/>
      <c r="F2030" s="107"/>
      <c r="H2030" s="107"/>
      <c r="I2030" s="107"/>
      <c r="L2030" s="148"/>
    </row>
    <row r="2031" spans="1:12" x14ac:dyDescent="0.25">
      <c r="A2031" s="148"/>
      <c r="B2031" s="107"/>
      <c r="C2031" s="107"/>
      <c r="D2031" s="107"/>
      <c r="E2031" s="107"/>
      <c r="F2031" s="107"/>
      <c r="H2031" s="107"/>
      <c r="I2031" s="107"/>
      <c r="L2031" s="148"/>
    </row>
    <row r="2032" spans="1:12" x14ac:dyDescent="0.25">
      <c r="A2032" s="148"/>
      <c r="B2032" s="107"/>
      <c r="C2032" s="107"/>
      <c r="D2032" s="107"/>
      <c r="E2032" s="107"/>
      <c r="F2032" s="107"/>
      <c r="H2032" s="107"/>
      <c r="I2032" s="107"/>
      <c r="L2032" s="148"/>
    </row>
    <row r="2033" spans="1:12" x14ac:dyDescent="0.25">
      <c r="A2033" s="148"/>
      <c r="B2033" s="107"/>
      <c r="C2033" s="107"/>
      <c r="D2033" s="107"/>
      <c r="E2033" s="107"/>
      <c r="F2033" s="107"/>
      <c r="H2033" s="107"/>
      <c r="I2033" s="107"/>
      <c r="L2033" s="148"/>
    </row>
    <row r="2034" spans="1:12" x14ac:dyDescent="0.25">
      <c r="A2034" s="148"/>
      <c r="B2034" s="107"/>
      <c r="C2034" s="107"/>
      <c r="D2034" s="107"/>
      <c r="E2034" s="107"/>
      <c r="F2034" s="107"/>
      <c r="H2034" s="107"/>
      <c r="I2034" s="107"/>
      <c r="L2034" s="148"/>
    </row>
    <row r="2035" spans="1:12" x14ac:dyDescent="0.25">
      <c r="A2035" s="148"/>
      <c r="B2035" s="107"/>
      <c r="C2035" s="107"/>
      <c r="D2035" s="107"/>
      <c r="E2035" s="107"/>
      <c r="F2035" s="107"/>
      <c r="H2035" s="107"/>
      <c r="I2035" s="107"/>
      <c r="L2035" s="148"/>
    </row>
    <row r="2036" spans="1:12" x14ac:dyDescent="0.25">
      <c r="A2036" s="148"/>
      <c r="B2036" s="107"/>
      <c r="C2036" s="107"/>
      <c r="D2036" s="107"/>
      <c r="E2036" s="107"/>
      <c r="F2036" s="107"/>
      <c r="H2036" s="107"/>
      <c r="I2036" s="107"/>
      <c r="L2036" s="148"/>
    </row>
    <row r="2037" spans="1:12" x14ac:dyDescent="0.25">
      <c r="A2037" s="148"/>
      <c r="B2037" s="107"/>
      <c r="C2037" s="107"/>
      <c r="D2037" s="107"/>
      <c r="E2037" s="107"/>
      <c r="F2037" s="107"/>
      <c r="H2037" s="107"/>
      <c r="I2037" s="107"/>
      <c r="L2037" s="148"/>
    </row>
    <row r="2038" spans="1:12" x14ac:dyDescent="0.25">
      <c r="A2038" s="148"/>
      <c r="B2038" s="107"/>
      <c r="C2038" s="107"/>
      <c r="D2038" s="107"/>
      <c r="E2038" s="107"/>
      <c r="F2038" s="107"/>
      <c r="H2038" s="107"/>
      <c r="I2038" s="107"/>
      <c r="L2038" s="148"/>
    </row>
    <row r="2039" spans="1:12" x14ac:dyDescent="0.25">
      <c r="A2039" s="148"/>
      <c r="B2039" s="107"/>
      <c r="C2039" s="107"/>
      <c r="D2039" s="107"/>
      <c r="E2039" s="107"/>
      <c r="F2039" s="107"/>
      <c r="H2039" s="107"/>
      <c r="I2039" s="107"/>
      <c r="L2039" s="148"/>
    </row>
    <row r="2040" spans="1:12" x14ac:dyDescent="0.25">
      <c r="A2040" s="148"/>
      <c r="B2040" s="107"/>
      <c r="C2040" s="107"/>
      <c r="D2040" s="107"/>
      <c r="E2040" s="107"/>
      <c r="F2040" s="107"/>
      <c r="H2040" s="107"/>
      <c r="I2040" s="107"/>
      <c r="L2040" s="148"/>
    </row>
    <row r="2041" spans="1:12" x14ac:dyDescent="0.25">
      <c r="A2041" s="148"/>
      <c r="B2041" s="107"/>
      <c r="C2041" s="107"/>
      <c r="D2041" s="107"/>
      <c r="E2041" s="107"/>
      <c r="F2041" s="107"/>
      <c r="H2041" s="107"/>
      <c r="I2041" s="107"/>
      <c r="L2041" s="148"/>
    </row>
    <row r="2042" spans="1:12" x14ac:dyDescent="0.25">
      <c r="A2042" s="148"/>
      <c r="B2042" s="107"/>
      <c r="C2042" s="107"/>
      <c r="D2042" s="107"/>
      <c r="E2042" s="107"/>
      <c r="F2042" s="107"/>
      <c r="H2042" s="107"/>
      <c r="I2042" s="107"/>
      <c r="L2042" s="148"/>
    </row>
    <row r="2043" spans="1:12" x14ac:dyDescent="0.25">
      <c r="A2043" s="148"/>
      <c r="B2043" s="107"/>
      <c r="C2043" s="107"/>
      <c r="D2043" s="107"/>
      <c r="E2043" s="107"/>
      <c r="F2043" s="107"/>
      <c r="H2043" s="107"/>
      <c r="I2043" s="107"/>
      <c r="L2043" s="148"/>
    </row>
    <row r="2044" spans="1:12" x14ac:dyDescent="0.25">
      <c r="A2044" s="148"/>
      <c r="B2044" s="107"/>
      <c r="C2044" s="107"/>
      <c r="D2044" s="107"/>
      <c r="E2044" s="107"/>
      <c r="F2044" s="107"/>
      <c r="H2044" s="107"/>
      <c r="I2044" s="107"/>
      <c r="L2044" s="148"/>
    </row>
    <row r="2045" spans="1:12" x14ac:dyDescent="0.25">
      <c r="A2045" s="148"/>
      <c r="B2045" s="107"/>
      <c r="C2045" s="107"/>
      <c r="D2045" s="107"/>
      <c r="E2045" s="107"/>
      <c r="F2045" s="107"/>
      <c r="H2045" s="107"/>
      <c r="I2045" s="107"/>
      <c r="L2045" s="148"/>
    </row>
    <row r="2046" spans="1:12" x14ac:dyDescent="0.25">
      <c r="A2046" s="148"/>
      <c r="B2046" s="107"/>
      <c r="C2046" s="107"/>
      <c r="D2046" s="107"/>
      <c r="E2046" s="107"/>
      <c r="F2046" s="107"/>
      <c r="H2046" s="107"/>
      <c r="I2046" s="107"/>
      <c r="L2046" s="148"/>
    </row>
    <row r="2047" spans="1:12" x14ac:dyDescent="0.25">
      <c r="A2047" s="148"/>
      <c r="B2047" s="107"/>
      <c r="C2047" s="107"/>
      <c r="D2047" s="107"/>
      <c r="E2047" s="107"/>
      <c r="F2047" s="107"/>
      <c r="H2047" s="107"/>
      <c r="I2047" s="107"/>
      <c r="L2047" s="148"/>
    </row>
    <row r="2048" spans="1:12" x14ac:dyDescent="0.25">
      <c r="A2048" s="148"/>
      <c r="B2048" s="107"/>
      <c r="C2048" s="107"/>
      <c r="D2048" s="107"/>
      <c r="E2048" s="107"/>
      <c r="F2048" s="107"/>
      <c r="H2048" s="107"/>
      <c r="I2048" s="107"/>
      <c r="L2048" s="148"/>
    </row>
    <row r="2049" spans="1:12" x14ac:dyDescent="0.25">
      <c r="A2049" s="148"/>
      <c r="B2049" s="107"/>
      <c r="C2049" s="107"/>
      <c r="D2049" s="107"/>
      <c r="E2049" s="107"/>
      <c r="F2049" s="107"/>
      <c r="H2049" s="107"/>
      <c r="I2049" s="107"/>
      <c r="L2049" s="148"/>
    </row>
    <row r="2050" spans="1:12" x14ac:dyDescent="0.25">
      <c r="A2050" s="148"/>
      <c r="B2050" s="107"/>
      <c r="C2050" s="107"/>
      <c r="D2050" s="107"/>
      <c r="E2050" s="107"/>
      <c r="F2050" s="107"/>
      <c r="H2050" s="107"/>
      <c r="I2050" s="107"/>
      <c r="L2050" s="148"/>
    </row>
    <row r="2051" spans="1:12" x14ac:dyDescent="0.25">
      <c r="A2051" s="148"/>
      <c r="B2051" s="107"/>
      <c r="C2051" s="107"/>
      <c r="D2051" s="107"/>
      <c r="E2051" s="107"/>
      <c r="F2051" s="107"/>
      <c r="H2051" s="107"/>
      <c r="I2051" s="107"/>
      <c r="L2051" s="148"/>
    </row>
    <row r="2052" spans="1:12" x14ac:dyDescent="0.25">
      <c r="A2052" s="148"/>
      <c r="B2052" s="107"/>
      <c r="C2052" s="107"/>
      <c r="D2052" s="107"/>
      <c r="E2052" s="107"/>
      <c r="F2052" s="107"/>
      <c r="H2052" s="107"/>
      <c r="I2052" s="107"/>
      <c r="L2052" s="148"/>
    </row>
    <row r="2053" spans="1:12" x14ac:dyDescent="0.25">
      <c r="A2053" s="148"/>
      <c r="B2053" s="107"/>
      <c r="C2053" s="107"/>
      <c r="D2053" s="107"/>
      <c r="E2053" s="107"/>
      <c r="F2053" s="107"/>
      <c r="H2053" s="107"/>
      <c r="I2053" s="107"/>
      <c r="L2053" s="148"/>
    </row>
    <row r="2054" spans="1:12" x14ac:dyDescent="0.25">
      <c r="A2054" s="148"/>
      <c r="B2054" s="107"/>
      <c r="C2054" s="107"/>
      <c r="D2054" s="107"/>
      <c r="E2054" s="107"/>
      <c r="F2054" s="107"/>
      <c r="H2054" s="107"/>
      <c r="I2054" s="107"/>
      <c r="L2054" s="148"/>
    </row>
    <row r="2055" spans="1:12" x14ac:dyDescent="0.25">
      <c r="A2055" s="148"/>
      <c r="B2055" s="107"/>
      <c r="C2055" s="107"/>
      <c r="D2055" s="107"/>
      <c r="E2055" s="107"/>
      <c r="F2055" s="107"/>
      <c r="H2055" s="107"/>
      <c r="I2055" s="107"/>
      <c r="L2055" s="148"/>
    </row>
    <row r="2056" spans="1:12" x14ac:dyDescent="0.25">
      <c r="A2056" s="148"/>
      <c r="B2056" s="107"/>
      <c r="C2056" s="107"/>
      <c r="D2056" s="107"/>
      <c r="E2056" s="107"/>
      <c r="F2056" s="107"/>
      <c r="H2056" s="107"/>
      <c r="I2056" s="107"/>
      <c r="L2056" s="148"/>
    </row>
    <row r="2057" spans="1:12" x14ac:dyDescent="0.25">
      <c r="A2057" s="148"/>
      <c r="B2057" s="107"/>
      <c r="C2057" s="107"/>
      <c r="D2057" s="107"/>
      <c r="E2057" s="107"/>
      <c r="F2057" s="107"/>
      <c r="H2057" s="107"/>
      <c r="I2057" s="107"/>
      <c r="L2057" s="148"/>
    </row>
    <row r="2058" spans="1:12" x14ac:dyDescent="0.25">
      <c r="A2058" s="148"/>
      <c r="B2058" s="107"/>
      <c r="C2058" s="107"/>
      <c r="D2058" s="107"/>
      <c r="E2058" s="107"/>
      <c r="F2058" s="107"/>
      <c r="H2058" s="107"/>
      <c r="I2058" s="107"/>
      <c r="L2058" s="148"/>
    </row>
    <row r="2059" spans="1:12" x14ac:dyDescent="0.25">
      <c r="A2059" s="148"/>
      <c r="B2059" s="107"/>
      <c r="C2059" s="107"/>
      <c r="D2059" s="107"/>
      <c r="E2059" s="107"/>
      <c r="F2059" s="107"/>
      <c r="H2059" s="107"/>
      <c r="I2059" s="107"/>
      <c r="L2059" s="148"/>
    </row>
    <row r="2060" spans="1:12" x14ac:dyDescent="0.25">
      <c r="A2060" s="148"/>
      <c r="B2060" s="107"/>
      <c r="C2060" s="107"/>
      <c r="D2060" s="107"/>
      <c r="E2060" s="107"/>
      <c r="F2060" s="107"/>
      <c r="H2060" s="107"/>
      <c r="I2060" s="107"/>
      <c r="L2060" s="148"/>
    </row>
    <row r="2061" spans="1:12" x14ac:dyDescent="0.25">
      <c r="A2061" s="148"/>
      <c r="B2061" s="107"/>
      <c r="C2061" s="107"/>
      <c r="D2061" s="107"/>
      <c r="E2061" s="107"/>
      <c r="F2061" s="107"/>
      <c r="H2061" s="107"/>
      <c r="I2061" s="107"/>
      <c r="L2061" s="148"/>
    </row>
    <row r="2062" spans="1:12" x14ac:dyDescent="0.25">
      <c r="A2062" s="148"/>
      <c r="B2062" s="107"/>
      <c r="C2062" s="107"/>
      <c r="D2062" s="107"/>
      <c r="E2062" s="107"/>
      <c r="F2062" s="107"/>
      <c r="H2062" s="107"/>
      <c r="I2062" s="107"/>
      <c r="L2062" s="148"/>
    </row>
    <row r="2063" spans="1:12" x14ac:dyDescent="0.25">
      <c r="A2063" s="148"/>
      <c r="B2063" s="107"/>
      <c r="C2063" s="107"/>
      <c r="D2063" s="107"/>
      <c r="E2063" s="107"/>
      <c r="F2063" s="107"/>
      <c r="H2063" s="107"/>
      <c r="I2063" s="107"/>
      <c r="L2063" s="148"/>
    </row>
    <row r="2064" spans="1:12" x14ac:dyDescent="0.25">
      <c r="A2064" s="148"/>
      <c r="B2064" s="107"/>
      <c r="C2064" s="107"/>
      <c r="D2064" s="107"/>
      <c r="E2064" s="107"/>
      <c r="F2064" s="107"/>
      <c r="H2064" s="107"/>
      <c r="I2064" s="107"/>
      <c r="L2064" s="148"/>
    </row>
    <row r="2065" spans="1:12" x14ac:dyDescent="0.25">
      <c r="A2065" s="148"/>
      <c r="B2065" s="107"/>
      <c r="C2065" s="107"/>
      <c r="D2065" s="107"/>
      <c r="E2065" s="107"/>
      <c r="F2065" s="107"/>
      <c r="H2065" s="107"/>
      <c r="I2065" s="107"/>
      <c r="L2065" s="148"/>
    </row>
    <row r="2066" spans="1:12" x14ac:dyDescent="0.25">
      <c r="A2066" s="148"/>
      <c r="B2066" s="107"/>
      <c r="C2066" s="107"/>
      <c r="D2066" s="107"/>
      <c r="E2066" s="107"/>
      <c r="F2066" s="107"/>
      <c r="H2066" s="107"/>
      <c r="I2066" s="107"/>
      <c r="L2066" s="148"/>
    </row>
    <row r="2067" spans="1:12" x14ac:dyDescent="0.25">
      <c r="A2067" s="148"/>
      <c r="B2067" s="107"/>
      <c r="C2067" s="107"/>
      <c r="D2067" s="107"/>
      <c r="E2067" s="107"/>
      <c r="F2067" s="107"/>
      <c r="H2067" s="107"/>
      <c r="I2067" s="107"/>
      <c r="L2067" s="148"/>
    </row>
    <row r="2068" spans="1:12" x14ac:dyDescent="0.25">
      <c r="A2068" s="148"/>
      <c r="B2068" s="107"/>
      <c r="C2068" s="107"/>
      <c r="D2068" s="107"/>
      <c r="E2068" s="107"/>
      <c r="F2068" s="107"/>
      <c r="H2068" s="107"/>
      <c r="I2068" s="107"/>
      <c r="L2068" s="148"/>
    </row>
    <row r="2069" spans="1:12" x14ac:dyDescent="0.25">
      <c r="A2069" s="148"/>
      <c r="B2069" s="107"/>
      <c r="C2069" s="107"/>
      <c r="D2069" s="107"/>
      <c r="E2069" s="107"/>
      <c r="F2069" s="107"/>
      <c r="H2069" s="107"/>
      <c r="I2069" s="107"/>
      <c r="L2069" s="148"/>
    </row>
    <row r="2070" spans="1:12" x14ac:dyDescent="0.25">
      <c r="A2070" s="148"/>
      <c r="B2070" s="107"/>
      <c r="C2070" s="107"/>
      <c r="D2070" s="107"/>
      <c r="E2070" s="107"/>
      <c r="F2070" s="107"/>
      <c r="H2070" s="107"/>
      <c r="I2070" s="107"/>
      <c r="L2070" s="148"/>
    </row>
    <row r="2071" spans="1:12" x14ac:dyDescent="0.25">
      <c r="A2071" s="148"/>
      <c r="B2071" s="107"/>
      <c r="C2071" s="107"/>
      <c r="D2071" s="107"/>
      <c r="E2071" s="107"/>
      <c r="F2071" s="107"/>
      <c r="H2071" s="107"/>
      <c r="I2071" s="107"/>
      <c r="L2071" s="148"/>
    </row>
    <row r="2072" spans="1:12" x14ac:dyDescent="0.25">
      <c r="A2072" s="148"/>
      <c r="B2072" s="107"/>
      <c r="C2072" s="107"/>
      <c r="D2072" s="107"/>
      <c r="E2072" s="107"/>
      <c r="F2072" s="107"/>
      <c r="H2072" s="107"/>
      <c r="I2072" s="107"/>
      <c r="L2072" s="148"/>
    </row>
    <row r="2073" spans="1:12" x14ac:dyDescent="0.25">
      <c r="A2073" s="148"/>
      <c r="B2073" s="107"/>
      <c r="C2073" s="107"/>
      <c r="D2073" s="107"/>
      <c r="E2073" s="107"/>
      <c r="F2073" s="107"/>
      <c r="H2073" s="107"/>
      <c r="I2073" s="107"/>
      <c r="L2073" s="148"/>
    </row>
    <row r="2074" spans="1:12" x14ac:dyDescent="0.25">
      <c r="A2074" s="148"/>
      <c r="B2074" s="107"/>
      <c r="C2074" s="107"/>
      <c r="D2074" s="107"/>
      <c r="E2074" s="107"/>
      <c r="F2074" s="107"/>
      <c r="H2074" s="107"/>
      <c r="I2074" s="107"/>
      <c r="L2074" s="148"/>
    </row>
    <row r="2075" spans="1:12" x14ac:dyDescent="0.25">
      <c r="A2075" s="148"/>
      <c r="B2075" s="107"/>
      <c r="C2075" s="107"/>
      <c r="D2075" s="107"/>
      <c r="E2075" s="107"/>
      <c r="F2075" s="107"/>
      <c r="H2075" s="107"/>
      <c r="I2075" s="107"/>
      <c r="L2075" s="148"/>
    </row>
    <row r="2076" spans="1:12" x14ac:dyDescent="0.25">
      <c r="A2076" s="148"/>
      <c r="B2076" s="107"/>
      <c r="C2076" s="107"/>
      <c r="D2076" s="107"/>
      <c r="E2076" s="107"/>
      <c r="F2076" s="107"/>
      <c r="H2076" s="107"/>
      <c r="I2076" s="107"/>
      <c r="L2076" s="148"/>
    </row>
    <row r="2077" spans="1:12" x14ac:dyDescent="0.25">
      <c r="A2077" s="148"/>
      <c r="B2077" s="107"/>
      <c r="C2077" s="107"/>
      <c r="D2077" s="107"/>
      <c r="E2077" s="107"/>
      <c r="F2077" s="107"/>
      <c r="H2077" s="107"/>
      <c r="I2077" s="107"/>
      <c r="L2077" s="148"/>
    </row>
    <row r="2078" spans="1:12" x14ac:dyDescent="0.25">
      <c r="A2078" s="148"/>
      <c r="B2078" s="107"/>
      <c r="C2078" s="107"/>
      <c r="D2078" s="107"/>
      <c r="E2078" s="107"/>
      <c r="F2078" s="107"/>
      <c r="H2078" s="107"/>
      <c r="I2078" s="107"/>
      <c r="L2078" s="148"/>
    </row>
    <row r="2079" spans="1:12" x14ac:dyDescent="0.25">
      <c r="A2079" s="148"/>
      <c r="B2079" s="107"/>
      <c r="C2079" s="107"/>
      <c r="D2079" s="107"/>
      <c r="E2079" s="107"/>
      <c r="F2079" s="107"/>
      <c r="H2079" s="107"/>
      <c r="I2079" s="107"/>
      <c r="L2079" s="148"/>
    </row>
    <row r="2080" spans="1:12" x14ac:dyDescent="0.25">
      <c r="A2080" s="148"/>
      <c r="B2080" s="107"/>
      <c r="C2080" s="107"/>
      <c r="D2080" s="107"/>
      <c r="E2080" s="107"/>
      <c r="F2080" s="107"/>
      <c r="H2080" s="107"/>
      <c r="I2080" s="107"/>
      <c r="L2080" s="148"/>
    </row>
    <row r="2081" spans="1:18" x14ac:dyDescent="0.25">
      <c r="A2081" s="148"/>
      <c r="B2081" s="107"/>
      <c r="C2081" s="107"/>
      <c r="D2081" s="107"/>
      <c r="E2081" s="107"/>
      <c r="F2081" s="107"/>
      <c r="H2081" s="107"/>
      <c r="I2081" s="107"/>
      <c r="L2081" s="148"/>
    </row>
    <row r="2082" spans="1:18" x14ac:dyDescent="0.25">
      <c r="A2082" s="148"/>
      <c r="B2082" s="107"/>
      <c r="C2082" s="107"/>
      <c r="D2082" s="107"/>
      <c r="E2082" s="107"/>
      <c r="F2082" s="107"/>
      <c r="H2082" s="107"/>
      <c r="I2082" s="107"/>
      <c r="L2082" s="148"/>
    </row>
    <row r="2083" spans="1:18" x14ac:dyDescent="0.25">
      <c r="A2083" s="148"/>
      <c r="B2083" s="107"/>
      <c r="C2083" s="107"/>
      <c r="D2083" s="107"/>
      <c r="E2083" s="107"/>
      <c r="F2083" s="107"/>
      <c r="H2083" s="107"/>
      <c r="I2083" s="107"/>
      <c r="L2083" s="148"/>
    </row>
    <row r="2084" spans="1:18" x14ac:dyDescent="0.25">
      <c r="A2084" s="148"/>
      <c r="B2084" s="107"/>
      <c r="C2084" s="107"/>
      <c r="D2084" s="107"/>
      <c r="E2084" s="107"/>
      <c r="F2084" s="107"/>
      <c r="H2084" s="107"/>
      <c r="I2084" s="107"/>
      <c r="L2084" s="148"/>
    </row>
    <row r="2085" spans="1:18" x14ac:dyDescent="0.25">
      <c r="A2085" s="148"/>
      <c r="B2085" s="107"/>
      <c r="C2085" s="107"/>
      <c r="D2085" s="107"/>
      <c r="E2085" s="107"/>
      <c r="F2085" s="107"/>
      <c r="H2085" s="107"/>
      <c r="I2085" s="107"/>
      <c r="L2085" s="148"/>
    </row>
    <row r="2086" spans="1:18" x14ac:dyDescent="0.25">
      <c r="A2086" s="148"/>
      <c r="B2086" s="107"/>
      <c r="C2086" s="107"/>
      <c r="D2086" s="107"/>
      <c r="E2086" s="107"/>
      <c r="F2086" s="107"/>
      <c r="H2086" s="107"/>
      <c r="I2086" s="107"/>
      <c r="L2086" s="148"/>
    </row>
    <row r="2087" spans="1:18" x14ac:dyDescent="0.25">
      <c r="A2087" s="148"/>
      <c r="B2087" s="107"/>
      <c r="C2087" s="107"/>
      <c r="D2087" s="107"/>
      <c r="E2087" s="107"/>
      <c r="F2087" s="107"/>
      <c r="H2087" s="107"/>
      <c r="I2087" s="107"/>
      <c r="L2087" s="148"/>
    </row>
    <row r="2088" spans="1:18" x14ac:dyDescent="0.25">
      <c r="A2088" s="148"/>
      <c r="B2088" s="107"/>
      <c r="C2088" s="107"/>
      <c r="D2088" s="107"/>
      <c r="E2088" s="107"/>
      <c r="F2088" s="107"/>
      <c r="H2088" s="107"/>
      <c r="I2088" s="107"/>
      <c r="L2088" s="148"/>
    </row>
    <row r="2089" spans="1:18" x14ac:dyDescent="0.25">
      <c r="A2089" s="148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8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8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8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8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8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8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8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8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8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8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8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8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8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8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8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8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8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8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8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8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8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8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8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8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8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8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8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8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8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8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8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8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8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8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8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8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8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8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8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8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8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8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8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8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8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8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8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8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8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8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8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8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8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8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8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8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8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8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8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8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8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8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8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8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8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8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8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8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8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8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8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8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8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8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8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8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8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8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8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8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8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8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8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8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8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8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8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8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8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8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8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8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8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8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8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8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8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8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8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8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8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8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8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8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8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8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8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8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8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8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8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8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8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8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8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8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8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8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8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8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8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8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8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8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8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8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8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8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8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8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8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8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8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8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8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8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8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8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8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8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8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8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8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8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8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8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8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8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8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8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8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8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8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8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8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8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8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8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8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8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8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8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8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8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8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8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8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8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8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8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8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8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8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8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8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8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8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8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8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8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8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8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8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8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8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8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8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8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8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8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8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8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8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8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8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8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8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8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8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8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8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8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8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8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8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8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8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8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8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8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8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8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8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8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8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8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8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8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8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8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8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8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8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8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8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8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8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8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8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8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8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8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8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8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8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8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8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8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8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8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8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8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8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8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8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8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8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8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8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8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8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8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8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8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8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8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8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8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8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8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8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8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8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8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8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8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8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8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8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8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8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8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8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8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8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8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8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8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8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8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8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8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8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8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8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8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8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8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8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8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8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8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8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8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8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8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8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8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8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8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8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8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8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8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8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8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8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8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8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8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8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8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8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8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8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8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8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8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8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8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8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8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8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8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8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8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8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8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8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8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8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8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8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8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8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8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8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8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8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8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8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8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8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8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8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8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8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8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8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8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8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8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8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8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8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8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8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8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8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8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8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8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8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8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8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8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8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8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8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8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8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8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8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8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8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8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8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8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8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8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8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8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8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8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8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8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8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8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8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8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8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8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8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8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8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8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8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8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8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8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8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8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8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8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8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8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8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8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8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8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8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8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8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8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8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8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8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8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8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8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8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8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8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8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8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8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8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8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8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8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8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8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8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8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8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8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8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8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8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8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8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8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8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8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8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8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8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8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8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8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8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8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8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8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8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8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8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8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8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8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8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8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8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8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8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8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8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8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8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8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8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8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8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8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8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8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8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8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8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8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8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8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8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8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8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8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8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8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8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8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8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8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8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8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8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8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8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8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8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8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8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8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8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8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8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8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8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8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8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8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8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8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8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8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8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8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8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8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8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8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8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8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8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8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8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8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8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8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8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8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8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8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8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8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8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8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8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8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8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8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8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8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8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8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8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8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8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8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8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8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8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8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8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8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8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8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8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8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8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8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8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8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8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8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8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8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8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8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8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8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8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8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8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8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8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8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8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8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8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8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8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8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8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8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8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8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8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8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8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8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8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8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8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8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8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8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8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8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8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8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8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8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8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8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8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8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8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8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8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8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8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8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8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8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8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8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8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8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8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8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8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8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8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8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8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8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8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8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8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8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8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8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8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8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8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8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8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8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8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8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8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8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8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8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8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8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8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8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8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8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8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8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8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8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8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8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8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8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8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8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8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8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8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8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8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8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8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8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8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8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8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8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8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8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8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8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8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8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8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8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8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8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8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8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8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8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8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8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8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8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8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8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8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8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8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8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8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8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8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8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8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8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8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8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8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8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8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8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8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8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8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8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8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8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8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8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8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8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8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8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8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8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8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8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8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8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8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8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8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8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8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8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8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8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8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8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8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8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8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8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8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8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8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8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8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8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8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8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8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8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8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8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8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8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8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8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8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8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8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8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8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8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8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8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8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8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8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8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8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8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8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8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8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8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8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8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8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8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8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8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8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8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8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8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8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8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8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8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8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8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8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8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8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8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8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8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8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8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8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8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8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8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8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8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8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8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8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8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8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8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8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8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8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8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8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8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8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8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8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8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8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8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8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8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8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8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8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8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8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8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8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8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8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8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8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8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8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8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8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8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8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8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8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8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8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8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8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8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8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8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8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8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8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8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8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8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8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8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8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8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8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8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8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8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8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8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8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8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8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8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8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8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8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8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8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8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8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8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8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8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8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8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8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8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8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8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8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8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8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8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8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8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8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8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8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8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8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8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8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8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8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8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8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8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8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8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8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8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8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8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8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8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8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8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8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8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8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8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8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8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8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8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8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8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8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8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8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8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8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8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8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8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8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8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8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8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8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8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8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8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8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8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8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8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8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8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8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8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8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8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8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8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8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8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8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8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8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8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8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8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8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8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8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8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8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8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8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8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8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8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8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8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8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8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8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8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8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8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8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8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8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8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8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8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8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8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8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8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8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8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8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8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8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8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8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8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8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8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8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8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8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8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8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8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8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8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8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8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8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8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8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8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8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8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8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8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8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8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8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8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8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8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8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8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8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8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8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8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8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8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8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8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8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8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8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8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8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8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8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8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8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8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8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8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8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8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8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8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8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8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8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8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8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8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8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8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8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8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8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8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8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8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8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8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8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8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8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8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8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8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8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8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8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8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8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8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8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8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8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8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8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8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8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8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8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8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8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8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8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8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8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8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8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8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8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8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8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8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8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8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8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8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8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8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8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8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8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8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8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8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8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8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8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8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8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8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8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8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8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8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8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8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8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8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8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8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8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8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8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8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8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8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8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8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8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8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8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8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8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8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8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8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8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8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8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8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8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8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8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8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8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8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8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8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8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8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8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8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8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8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8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8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8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8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8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8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8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8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8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8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8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8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8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8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8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8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8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8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8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8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8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8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8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8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8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8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8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8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8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8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8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8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8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8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8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8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8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8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8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8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8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8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8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8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8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8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8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8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8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8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8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8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8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8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8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8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8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8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8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8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8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8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8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8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8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8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8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8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8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8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8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8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8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8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8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8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8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8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8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8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8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8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8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8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8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8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8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8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8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8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8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8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8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8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8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8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8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8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8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8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8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8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8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8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8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8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8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8">
        <v>221842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CreditAccess Grameen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5" cm="1">
        <f t="array" ref="C5">_xll.EQNXTDZ($A$1,$B5,C$1,$B$1)</f>
        <v>0</v>
      </c>
      <c r="D5" s="125" cm="1">
        <f t="array" ref="D5">_xll.EQNXTDZ($A$1,$B5,D$1,$B$1)</f>
        <v>0</v>
      </c>
      <c r="E5" s="125" cm="1">
        <f t="array" ref="E5">_xll.EQNXTDZ($A$1,$B5,E$1,$B$1)</f>
        <v>0</v>
      </c>
      <c r="F5" s="125" cm="1">
        <f t="array" ref="F5">_xll.EQNXTDZ($A$1,$B5,F$1,$B$1)</f>
        <v>0</v>
      </c>
      <c r="G5" s="125" cm="1">
        <f t="array" ref="G5">_xll.EQNXTDZ($A$1,$B5,G$1,$B$1)</f>
        <v>0</v>
      </c>
      <c r="H5" s="125" cm="1">
        <f t="array" ref="H5">_xll.EQNXTDZ($A$1,$B5,H$1,$B$1)</f>
        <v>0</v>
      </c>
      <c r="I5" s="125" cm="1">
        <f t="array" ref="I5">_xll.EQNXTDZ($A$1,$B5,I$1,$B$1)</f>
        <v>0</v>
      </c>
      <c r="J5" s="125" cm="1">
        <f t="array" ref="J5">_xll.EQNXTDZ($A$1,$B5,J$1,$B$1)</f>
        <v>0</v>
      </c>
      <c r="K5" s="125" cm="1">
        <f t="array" ref="K5">_xll.EQNXTDZ($A$1,$B5,K$1,$B$1)</f>
        <v>12</v>
      </c>
      <c r="L5" s="125" cm="1">
        <f t="array" ref="L5">_xll.EQNXTDZ($A$1,$B5,L$1,$B$1)</f>
        <v>12</v>
      </c>
      <c r="M5" s="125" cm="1">
        <f t="array" ref="M5">_xll.EQNXTDZ($A$1,$B5,M$1,$B$1)</f>
        <v>12</v>
      </c>
      <c r="N5" s="125" cm="1">
        <f t="array" ref="N5">_xll.EQNXTDZ($A$1,$B5,N$1,$B$1)</f>
        <v>12</v>
      </c>
      <c r="O5" s="125" cm="1">
        <f t="array" ref="O5">_xll.EQNXTDZ($A$1,$B5,O$1,$B$1)</f>
        <v>12</v>
      </c>
      <c r="P5" s="125" cm="1">
        <f t="array" ref="P5">_xll.EQNXTDZ($A$1,$B5,P$1,$B$1)</f>
        <v>12</v>
      </c>
      <c r="Q5" s="125" cm="1">
        <f t="array" ref="Q5">_xll.EQNXTDZ($A$1,$B5,Q$1,$B$1)</f>
        <v>12</v>
      </c>
      <c r="R5" s="125" cm="1">
        <f t="array" ref="R5">_xll.EQNXTDZ($A$1,$B5,R$1,$B$1)</f>
        <v>12</v>
      </c>
      <c r="S5" s="125" cm="1">
        <f t="array" ref="S5">_xll.EQNXTDZ($A$1,$B5,S$1,$B$1)</f>
        <v>12</v>
      </c>
      <c r="T5" s="125" cm="1">
        <f t="array" ref="T5">_xll.EQNXTDZ($A$1,$B5,T$1,$B$1)</f>
        <v>12</v>
      </c>
      <c r="U5" s="125" cm="1">
        <f t="array" ref="U5">_xll.EQNXTDZ($A$1,$B5,U$1,$B$1)</f>
        <v>12</v>
      </c>
      <c r="V5" s="125" cm="1">
        <f t="array" ref="V5">_xll.EQNXTDZ($A$1,$B5,V$1,$B$1)</f>
        <v>12</v>
      </c>
      <c r="W5" s="125" cm="1">
        <f t="array" ref="W5">_xll.EQNXTDZ($A$1,$B5,W$1,$B$1)</f>
        <v>12</v>
      </c>
      <c r="X5" s="125" cm="1">
        <f t="array" ref="X5">_xll.EQNXTDZ($A$1,$B5,X$1,$B$1)</f>
        <v>12</v>
      </c>
      <c r="Y5" s="125" cm="1">
        <f t="array" ref="Y5">_xll.EQNXTDZ($A$1,$B5,Y$1,$B$1)</f>
        <v>12</v>
      </c>
      <c r="Z5" s="125" cm="1">
        <f t="array" ref="Z5">_xll.EQNXTDZ($A$1,$B5,Z$1,$B$1)</f>
        <v>12</v>
      </c>
      <c r="AA5" s="125" cm="1">
        <f t="array" ref="AA5">_xll.EQNXTDZ($A$1,$B5,AA$1,$B$1)</f>
        <v>12</v>
      </c>
      <c r="AB5" s="125" cm="1">
        <f t="array" ref="AB5">_xll.EQNXTDZ($A$1,$B5,AB$1,$B$1)</f>
        <v>12</v>
      </c>
      <c r="AC5" s="125" cm="1">
        <f t="array" ref="AC5">_xll.EQNXTDZ($A$1,$B5,AC$1,$B$1)</f>
        <v>0</v>
      </c>
      <c r="AD5" s="125" cm="1">
        <f t="array" ref="AD5">_xll.EQNXTDZ($A$1,$B5,AD$1,$B$1)</f>
        <v>0</v>
      </c>
      <c r="AE5" s="125" cm="1">
        <f t="array" ref="AE5">_xll.EQNXTDZ($A$1,$B5,AE$1,$B$1)</f>
        <v>0</v>
      </c>
      <c r="AF5" s="125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5" cm="1">
        <f t="array" ref="C6">_xll.EQNXTDZ($A$1,$B6,C$1,$B$1)</f>
        <v>0</v>
      </c>
      <c r="D6" s="125" cm="1">
        <f t="array" ref="D6">_xll.EQNXTDZ($A$1,$B6,D$1,$B$1)</f>
        <v>0</v>
      </c>
      <c r="E6" s="125" cm="1">
        <f t="array" ref="E6">_xll.EQNXTDZ($A$1,$B6,E$1,$B$1)</f>
        <v>0</v>
      </c>
      <c r="F6" s="125" cm="1">
        <f t="array" ref="F6">_xll.EQNXTDZ($A$1,$B6,F$1,$B$1)</f>
        <v>0</v>
      </c>
      <c r="G6" s="125" cm="1">
        <f t="array" ref="G6">_xll.EQNXTDZ($A$1,$B6,G$1,$B$1)</f>
        <v>0</v>
      </c>
      <c r="H6" s="125" cm="1">
        <f t="array" ref="H6">_xll.EQNXTDZ($A$1,$B6,H$1,$B$1)</f>
        <v>0</v>
      </c>
      <c r="I6" s="125" cm="1">
        <f t="array" ref="I6">_xll.EQNXTDZ($A$1,$B6,I$1,$B$1)</f>
        <v>0</v>
      </c>
      <c r="J6" s="125" cm="1">
        <f t="array" ref="J6">_xll.EQNXTDZ($A$1,$B6,J$1,$B$1)</f>
        <v>0</v>
      </c>
      <c r="K6" s="125" cm="1">
        <f t="array" ref="K6">_xll.EQNXTDZ($A$1,$B6,K$1,$B$1)</f>
        <v>39903</v>
      </c>
      <c r="L6" s="125" cm="1">
        <f t="array" ref="L6">_xll.EQNXTDZ($A$1,$B6,L$1,$B$1)</f>
        <v>40268</v>
      </c>
      <c r="M6" s="125" cm="1">
        <f t="array" ref="M6">_xll.EQNXTDZ($A$1,$B6,M$1,$B$1)</f>
        <v>40633</v>
      </c>
      <c r="N6" s="125" cm="1">
        <f t="array" ref="N6">_xll.EQNXTDZ($A$1,$B6,N$1,$B$1)</f>
        <v>40999</v>
      </c>
      <c r="O6" s="125" cm="1">
        <f t="array" ref="O6">_xll.EQNXTDZ($A$1,$B6,O$1,$B$1)</f>
        <v>41364</v>
      </c>
      <c r="P6" s="125" cm="1">
        <f t="array" ref="P6">_xll.EQNXTDZ($A$1,$B6,P$1,$B$1)</f>
        <v>41729</v>
      </c>
      <c r="Q6" s="125" cm="1">
        <f t="array" ref="Q6">_xll.EQNXTDZ($A$1,$B6,Q$1,$B$1)</f>
        <v>42094</v>
      </c>
      <c r="R6" s="125" cm="1">
        <f t="array" ref="R6">_xll.EQNXTDZ($A$1,$B6,R$1,$B$1)</f>
        <v>42460</v>
      </c>
      <c r="S6" s="125" cm="1">
        <f t="array" ref="S6">_xll.EQNXTDZ($A$1,$B6,S$1,$B$1)</f>
        <v>42825</v>
      </c>
      <c r="T6" s="125" cm="1">
        <f t="array" ref="T6">_xll.EQNXTDZ($A$1,$B6,T$1,$B$1)</f>
        <v>43190</v>
      </c>
      <c r="U6" s="125" cm="1">
        <f t="array" ref="U6">_xll.EQNXTDZ($A$1,$B6,U$1,$B$1)</f>
        <v>43555</v>
      </c>
      <c r="V6" s="125" cm="1">
        <f t="array" ref="V6">_xll.EQNXTDZ($A$1,$B6,V$1,$B$1)</f>
        <v>43921</v>
      </c>
      <c r="W6" s="125" cm="1">
        <f t="array" ref="W6">_xll.EQNXTDZ($A$1,$B6,W$1,$B$1)</f>
        <v>44286</v>
      </c>
      <c r="X6" s="125" cm="1">
        <f t="array" ref="X6">_xll.EQNXTDZ($A$1,$B6,X$1,$B$1)</f>
        <v>44651</v>
      </c>
      <c r="Y6" s="125" cm="1">
        <f t="array" ref="Y6">_xll.EQNXTDZ($A$1,$B6,Y$1,$B$1)</f>
        <v>45016</v>
      </c>
      <c r="Z6" s="125" cm="1">
        <f t="array" ref="Z6">_xll.EQNXTDZ($A$1,$B6,Z$1,$B$1)</f>
        <v>45382</v>
      </c>
      <c r="AA6" s="125" cm="1">
        <f t="array" ref="AA6">_xll.EQNXTDZ($A$1,$B6,AA$1,$B$1)</f>
        <v>45747</v>
      </c>
      <c r="AB6" s="125" cm="1">
        <f t="array" ref="AB6">_xll.EQNXTDZ($A$1,$B6,AB$1,$B$1)</f>
        <v>46112</v>
      </c>
      <c r="AC6" s="125" cm="1">
        <f t="array" ref="AC6">_xll.EQNXTDZ($A$1,$B6,AC$1,$B$1)</f>
        <v>0</v>
      </c>
      <c r="AD6" s="125" cm="1">
        <f t="array" ref="AD6">_xll.EQNXTDZ($A$1,$B6,AD$1,$B$1)</f>
        <v>0</v>
      </c>
      <c r="AE6" s="125" cm="1">
        <f t="array" ref="AE6">_xll.EQNXTDZ($A$1,$B6,AE$1,$B$1)</f>
        <v>0</v>
      </c>
      <c r="AF6" s="125" cm="1">
        <f t="array" ref="AF6">_xll.EQNXTDZ($A$1,$B6,AF$1,$B$1)</f>
        <v>0</v>
      </c>
    </row>
    <row r="7" spans="1:32" s="107" customFormat="1" x14ac:dyDescent="0.25"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</row>
    <row r="8" spans="1:32" s="107" customFormat="1" x14ac:dyDescent="0.25">
      <c r="A8" s="107" t="s">
        <v>53</v>
      </c>
      <c r="B8" s="107" t="s">
        <v>54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</row>
    <row r="9" spans="1:32" s="107" customFormat="1" x14ac:dyDescent="0.25">
      <c r="A9" s="107" t="s">
        <v>92</v>
      </c>
      <c r="B9" s="107" t="s">
        <v>368</v>
      </c>
      <c r="C9" s="125" cm="1">
        <f t="array" ref="C9">_xll.EQNXTDZ($A$1,$B9,C$1,$B$1)</f>
        <v>0</v>
      </c>
      <c r="D9" s="125" cm="1">
        <f t="array" ref="D9">_xll.EQNXTDZ($A$1,$B9,D$1,$B$1)</f>
        <v>0</v>
      </c>
      <c r="E9" s="125" cm="1">
        <f t="array" ref="E9">_xll.EQNXTDZ($A$1,$B9,E$1,$B$1)</f>
        <v>0</v>
      </c>
      <c r="F9" s="125" cm="1">
        <f t="array" ref="F9">_xll.EQNXTDZ($A$1,$B9,F$1,$B$1)</f>
        <v>0</v>
      </c>
      <c r="G9" s="125" cm="1">
        <f t="array" ref="G9">_xll.EQNXTDZ($A$1,$B9,G$1,$B$1)</f>
        <v>0</v>
      </c>
      <c r="H9" s="125" cm="1">
        <f t="array" ref="H9">_xll.EQNXTDZ($A$1,$B9,H$1,$B$1)</f>
        <v>0</v>
      </c>
      <c r="I9" s="125" cm="1">
        <f t="array" ref="I9">_xll.EQNXTDZ($A$1,$B9,I$1,$B$1)</f>
        <v>0</v>
      </c>
      <c r="J9" s="125" cm="1">
        <f t="array" ref="J9">_xll.EQNXTDZ($A$1,$B9,J$1,$B$1)</f>
        <v>0</v>
      </c>
      <c r="K9" s="125" cm="1">
        <f t="array" ref="K9">_xll.EQNXTDZ($A$1,$B9,K$1,$B$1)</f>
        <v>200903</v>
      </c>
      <c r="L9" s="125" cm="1">
        <f t="array" ref="L9">_xll.EQNXTDZ($A$1,$B9,L$1,$B$1)</f>
        <v>201003</v>
      </c>
      <c r="M9" s="125" cm="1">
        <f t="array" ref="M9">_xll.EQNXTDZ($A$1,$B9,M$1,$B$1)</f>
        <v>201103</v>
      </c>
      <c r="N9" s="125" cm="1">
        <f t="array" ref="N9">_xll.EQNXTDZ($A$1,$B9,N$1,$B$1)</f>
        <v>201203</v>
      </c>
      <c r="O9" s="125" cm="1">
        <f t="array" ref="O9">_xll.EQNXTDZ($A$1,$B9,O$1,$B$1)</f>
        <v>201303</v>
      </c>
      <c r="P9" s="125" cm="1">
        <f t="array" ref="P9">_xll.EQNXTDZ($A$1,$B9,P$1,$B$1)</f>
        <v>201403</v>
      </c>
      <c r="Q9" s="125" cm="1">
        <f t="array" ref="Q9">_xll.EQNXTDZ($A$1,$B9,Q$1,$B$1)</f>
        <v>201503</v>
      </c>
      <c r="R9" s="125" cm="1">
        <f t="array" ref="R9">_xll.EQNXTDZ($A$1,$B9,R$1,$B$1)</f>
        <v>201603</v>
      </c>
      <c r="S9" s="125" cm="1">
        <f t="array" ref="S9">_xll.EQNXTDZ($A$1,$B9,S$1,$B$1)</f>
        <v>201703</v>
      </c>
      <c r="T9" s="125" cm="1">
        <f t="array" ref="T9">_xll.EQNXTDZ($A$1,$B9,T$1,$B$1)</f>
        <v>201803</v>
      </c>
      <c r="U9" s="125" cm="1">
        <f t="array" ref="U9">_xll.EQNXTDZ($A$1,$B9,U$1,$B$1)</f>
        <v>201903</v>
      </c>
      <c r="V9" s="125" cm="1">
        <f t="array" ref="V9">_xll.EQNXTDZ($A$1,$B9,V$1,$B$1)</f>
        <v>202003</v>
      </c>
      <c r="W9" s="125" cm="1">
        <f t="array" ref="W9">_xll.EQNXTDZ($A$1,$B9,W$1,$B$1)</f>
        <v>202103</v>
      </c>
      <c r="X9" s="125" cm="1">
        <f t="array" ref="X9">_xll.EQNXTDZ($A$1,$B9,X$1,$B$1)</f>
        <v>202203</v>
      </c>
      <c r="Y9" s="125" cm="1">
        <f t="array" ref="Y9">_xll.EQNXTDZ($A$1,$B9,Y$1,$B$1)</f>
        <v>202303</v>
      </c>
      <c r="Z9" s="125" cm="1">
        <f t="array" ref="Z9">_xll.EQNXTDZ($A$1,$B9,Z$1,$B$1)</f>
        <v>202403</v>
      </c>
      <c r="AA9" s="125" cm="1">
        <f t="array" ref="AA9">_xll.EQNXTDZ($A$1,$B9,AA$1,$B$1)</f>
        <v>202503</v>
      </c>
      <c r="AB9" s="125" cm="1">
        <f t="array" ref="AB9">_xll.EQNXTDZ($A$1,$B9,AB$1,$B$1)</f>
        <v>202603</v>
      </c>
      <c r="AC9" s="125" cm="1">
        <f t="array" ref="AC9">_xll.EQNXTDZ($A$1,$B9,AC$1,$B$1)</f>
        <v>0</v>
      </c>
      <c r="AD9" s="125" cm="1">
        <f t="array" ref="AD9">_xll.EQNXTDZ($A$1,$B9,AD$1,$B$1)</f>
        <v>0</v>
      </c>
      <c r="AE9" s="125" cm="1">
        <f t="array" ref="AE9">_xll.EQNXTDZ($A$1,$B9,AE$1,$B$1)</f>
        <v>0</v>
      </c>
      <c r="AF9" s="125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5" cm="1">
        <f t="array" ref="C10">_xll.EQNXTDZ($A$1,$B10,C$1,$B$1)</f>
        <v>0</v>
      </c>
      <c r="D10" s="125" cm="1">
        <f t="array" ref="D10">_xll.EQNXTDZ($A$1,$B10,D$1,$B$1)</f>
        <v>0</v>
      </c>
      <c r="E10" s="125" cm="1">
        <f t="array" ref="E10">_xll.EQNXTDZ($A$1,$B10,E$1,$B$1)</f>
        <v>0</v>
      </c>
      <c r="F10" s="125" cm="1">
        <f t="array" ref="F10">_xll.EQNXTDZ($A$1,$B10,F$1,$B$1)</f>
        <v>0</v>
      </c>
      <c r="G10" s="125" cm="1">
        <f t="array" ref="G10">_xll.EQNXTDZ($A$1,$B10,G$1,$B$1)</f>
        <v>0</v>
      </c>
      <c r="H10" s="125" cm="1">
        <f t="array" ref="H10">_xll.EQNXTDZ($A$1,$B10,H$1,$B$1)</f>
        <v>0</v>
      </c>
      <c r="I10" s="125" cm="1">
        <f t="array" ref="I10">_xll.EQNXTDZ($A$1,$B10,I$1,$B$1)</f>
        <v>0</v>
      </c>
      <c r="J10" s="125" cm="1">
        <f t="array" ref="J10">_xll.EQNXTDZ($A$1,$B10,J$1,$B$1)</f>
        <v>0</v>
      </c>
      <c r="K10" s="125" t="str" cm="1">
        <f t="array" ref="K10">_xll.EQNXTDZ($A$1,$B10,K$1,$B$1)</f>
        <v>2009</v>
      </c>
      <c r="L10" s="125" t="str" cm="1">
        <f t="array" ref="L10">_xll.EQNXTDZ($A$1,$B10,L$1,$B$1)</f>
        <v>2010</v>
      </c>
      <c r="M10" s="125" t="str" cm="1">
        <f t="array" ref="M10">_xll.EQNXTDZ($A$1,$B10,M$1,$B$1)</f>
        <v>2011</v>
      </c>
      <c r="N10" s="125" t="str" cm="1">
        <f t="array" ref="N10">_xll.EQNXTDZ($A$1,$B10,N$1,$B$1)</f>
        <v>2012</v>
      </c>
      <c r="O10" s="125" t="str" cm="1">
        <f t="array" ref="O10">_xll.EQNXTDZ($A$1,$B10,O$1,$B$1)</f>
        <v>2013</v>
      </c>
      <c r="P10" s="125" t="str" cm="1">
        <f t="array" ref="P10">_xll.EQNXTDZ($A$1,$B10,P$1,$B$1)</f>
        <v>2014</v>
      </c>
      <c r="Q10" s="125" t="str" cm="1">
        <f t="array" ref="Q10">_xll.EQNXTDZ($A$1,$B10,Q$1,$B$1)</f>
        <v>2015</v>
      </c>
      <c r="R10" s="125" t="str" cm="1">
        <f t="array" ref="R10">_xll.EQNXTDZ($A$1,$B10,R$1,$B$1)</f>
        <v>2016</v>
      </c>
      <c r="S10" s="125" t="str" cm="1">
        <f t="array" ref="S10">_xll.EQNXTDZ($A$1,$B10,S$1,$B$1)</f>
        <v>2017</v>
      </c>
      <c r="T10" s="125" t="str" cm="1">
        <f t="array" ref="T10">_xll.EQNXTDZ($A$1,$B10,T$1,$B$1)</f>
        <v>2018</v>
      </c>
      <c r="U10" s="125" t="str" cm="1">
        <f t="array" ref="U10">_xll.EQNXTDZ($A$1,$B10,U$1,$B$1)</f>
        <v>2019</v>
      </c>
      <c r="V10" s="125" t="str" cm="1">
        <f t="array" ref="V10">_xll.EQNXTDZ($A$1,$B10,V$1,$B$1)</f>
        <v>2020</v>
      </c>
      <c r="W10" s="125" t="str" cm="1">
        <f t="array" ref="W10">_xll.EQNXTDZ($A$1,$B10,W$1,$B$1)</f>
        <v>2021</v>
      </c>
      <c r="X10" s="125" t="str" cm="1">
        <f t="array" ref="X10">_xll.EQNXTDZ($A$1,$B10,X$1,$B$1)</f>
        <v>2022</v>
      </c>
      <c r="Y10" s="125" t="str" cm="1">
        <f t="array" ref="Y10">_xll.EQNXTDZ($A$1,$B10,Y$1,$B$1)</f>
        <v>2023</v>
      </c>
      <c r="Z10" s="125" t="str" cm="1">
        <f t="array" ref="Z10">_xll.EQNXTDZ($A$1,$B10,Z$1,$B$1)</f>
        <v>2024</v>
      </c>
      <c r="AA10" s="125" t="str" cm="1">
        <f t="array" ref="AA10">_xll.EQNXTDZ($A$1,$B10,AA$1,$B$1)</f>
        <v>2025</v>
      </c>
      <c r="AB10" s="125" t="str" cm="1">
        <f t="array" ref="AB10">_xll.EQNXTDZ($A$1,$B10,AB$1,$B$1)</f>
        <v>2026</v>
      </c>
      <c r="AC10" s="125" cm="1">
        <f t="array" ref="AC10">_xll.EQNXTDZ($A$1,$B10,AC$1,$B$1)</f>
        <v>0</v>
      </c>
      <c r="AD10" s="125" cm="1">
        <f t="array" ref="AD10">_xll.EQNXTDZ($A$1,$B10,AD$1,$B$1)</f>
        <v>0</v>
      </c>
      <c r="AE10" s="125" cm="1">
        <f t="array" ref="AE10">_xll.EQNXTDZ($A$1,$B10,AE$1,$B$1)</f>
        <v>0</v>
      </c>
      <c r="AF10" s="125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5" cm="1">
        <f t="array" ref="C11">_xll.EQNXTDZ($A$1,$B11,C$1,$B$1)</f>
        <v>0</v>
      </c>
      <c r="D11" s="125" cm="1">
        <f t="array" ref="D11">_xll.EQNXTDZ($A$1,$B11,D$1,$B$1)</f>
        <v>0</v>
      </c>
      <c r="E11" s="125" cm="1">
        <f t="array" ref="E11">_xll.EQNXTDZ($A$1,$B11,E$1,$B$1)</f>
        <v>0</v>
      </c>
      <c r="F11" s="125" cm="1">
        <f t="array" ref="F11">_xll.EQNXTDZ($A$1,$B11,F$1,$B$1)</f>
        <v>0</v>
      </c>
      <c r="G11" s="125" cm="1">
        <f t="array" ref="G11">_xll.EQNXTDZ($A$1,$B11,G$1,$B$1)</f>
        <v>0</v>
      </c>
      <c r="H11" s="125" cm="1">
        <f t="array" ref="H11">_xll.EQNXTDZ($A$1,$B11,H$1,$B$1)</f>
        <v>0</v>
      </c>
      <c r="I11" s="125" cm="1">
        <f t="array" ref="I11">_xll.EQNXTDZ($A$1,$B11,I$1,$B$1)</f>
        <v>0</v>
      </c>
      <c r="J11" s="125" cm="1">
        <f t="array" ref="J11">_xll.EQNXTDZ($A$1,$B11,J$1,$B$1)</f>
        <v>0</v>
      </c>
      <c r="K11" s="125" cm="1">
        <f t="array" ref="K11">_xll.EQNXTDZ($A$1,$B11,K$1,$B$1)</f>
        <v>39903</v>
      </c>
      <c r="L11" s="125" cm="1">
        <f t="array" ref="L11">_xll.EQNXTDZ($A$1,$B11,L$1,$B$1)</f>
        <v>40268</v>
      </c>
      <c r="M11" s="125" cm="1">
        <f t="array" ref="M11">_xll.EQNXTDZ($A$1,$B11,M$1,$B$1)</f>
        <v>40633</v>
      </c>
      <c r="N11" s="125" cm="1">
        <f t="array" ref="N11">_xll.EQNXTDZ($A$1,$B11,N$1,$B$1)</f>
        <v>40999</v>
      </c>
      <c r="O11" s="125" cm="1">
        <f t="array" ref="O11">_xll.EQNXTDZ($A$1,$B11,O$1,$B$1)</f>
        <v>41364</v>
      </c>
      <c r="P11" s="125" cm="1">
        <f t="array" ref="P11">_xll.EQNXTDZ($A$1,$B11,P$1,$B$1)</f>
        <v>41729</v>
      </c>
      <c r="Q11" s="125" cm="1">
        <f t="array" ref="Q11">_xll.EQNXTDZ($A$1,$B11,Q$1,$B$1)</f>
        <v>42094</v>
      </c>
      <c r="R11" s="125" cm="1">
        <f t="array" ref="R11">_xll.EQNXTDZ($A$1,$B11,R$1,$B$1)</f>
        <v>42460</v>
      </c>
      <c r="S11" s="125" cm="1">
        <f t="array" ref="S11">_xll.EQNXTDZ($A$1,$B11,S$1,$B$1)</f>
        <v>42825</v>
      </c>
      <c r="T11" s="125" cm="1">
        <f t="array" ref="T11">_xll.EQNXTDZ($A$1,$B11,T$1,$B$1)</f>
        <v>43190</v>
      </c>
      <c r="U11" s="125" cm="1">
        <f t="array" ref="U11">_xll.EQNXTDZ($A$1,$B11,U$1,$B$1)</f>
        <v>43555</v>
      </c>
      <c r="V11" s="125" cm="1">
        <f t="array" ref="V11">_xll.EQNXTDZ($A$1,$B11,V$1,$B$1)</f>
        <v>43921</v>
      </c>
      <c r="W11" s="125" cm="1">
        <f t="array" ref="W11">_xll.EQNXTDZ($A$1,$B11,W$1,$B$1)</f>
        <v>44286</v>
      </c>
      <c r="X11" s="125" cm="1">
        <f t="array" ref="X11">_xll.EQNXTDZ($A$1,$B11,X$1,$B$1)</f>
        <v>44651</v>
      </c>
      <c r="Y11" s="125" cm="1">
        <f t="array" ref="Y11">_xll.EQNXTDZ($A$1,$B11,Y$1,$B$1)</f>
        <v>45016</v>
      </c>
      <c r="Z11" s="125" cm="1">
        <f t="array" ref="Z11">_xll.EQNXTDZ($A$1,$B11,Z$1,$B$1)</f>
        <v>45382</v>
      </c>
      <c r="AA11" s="125" cm="1">
        <f t="array" ref="AA11">_xll.EQNXTDZ($A$1,$B11,AA$1,$B$1)</f>
        <v>45747</v>
      </c>
      <c r="AB11" s="125" cm="1">
        <f t="array" ref="AB11">_xll.EQNXTDZ($A$1,$B11,AB$1,$B$1)</f>
        <v>46112</v>
      </c>
      <c r="AC11" s="125" cm="1">
        <f t="array" ref="AC11">_xll.EQNXTDZ($A$1,$B11,AC$1,$B$1)</f>
        <v>0</v>
      </c>
      <c r="AD11" s="125" cm="1">
        <f t="array" ref="AD11">_xll.EQNXTDZ($A$1,$B11,AD$1,$B$1)</f>
        <v>0</v>
      </c>
      <c r="AE11" s="125" cm="1">
        <f t="array" ref="AE11">_xll.EQNXTDZ($A$1,$B11,AE$1,$B$1)</f>
        <v>0</v>
      </c>
      <c r="AF11" s="125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5" cm="1">
        <f t="array" ref="C12">_xll.EQNXTDZ($A$1,$B12,C$1,$B$1)</f>
        <v>0</v>
      </c>
      <c r="D12" s="125" cm="1">
        <f t="array" ref="D12">_xll.EQNXTDZ($A$1,$B12,D$1,$B$1)</f>
        <v>0</v>
      </c>
      <c r="E12" s="125" cm="1">
        <f t="array" ref="E12">_xll.EQNXTDZ($A$1,$B12,E$1,$B$1)</f>
        <v>0</v>
      </c>
      <c r="F12" s="125" cm="1">
        <f t="array" ref="F12">_xll.EQNXTDZ($A$1,$B12,F$1,$B$1)</f>
        <v>0</v>
      </c>
      <c r="G12" s="125" cm="1">
        <f t="array" ref="G12">_xll.EQNXTDZ($A$1,$B12,G$1,$B$1)</f>
        <v>0</v>
      </c>
      <c r="H12" s="125" cm="1">
        <f t="array" ref="H12">_xll.EQNXTDZ($A$1,$B12,H$1,$B$1)</f>
        <v>0</v>
      </c>
      <c r="I12" s="125" cm="1">
        <f t="array" ref="I12">_xll.EQNXTDZ($A$1,$B12,I$1,$B$1)</f>
        <v>0</v>
      </c>
      <c r="J12" s="125" cm="1">
        <f t="array" ref="J12">_xll.EQNXTDZ($A$1,$B12,J$1,$B$1)</f>
        <v>0</v>
      </c>
      <c r="K12" s="125" cm="1">
        <f t="array" ref="K12">_xll.EQNXTDZ($A$1,$B12,K$1,$B$1)</f>
        <v>12</v>
      </c>
      <c r="L12" s="125" cm="1">
        <f t="array" ref="L12">_xll.EQNXTDZ($A$1,$B12,L$1,$B$1)</f>
        <v>12</v>
      </c>
      <c r="M12" s="125" cm="1">
        <f t="array" ref="M12">_xll.EQNXTDZ($A$1,$B12,M$1,$B$1)</f>
        <v>12</v>
      </c>
      <c r="N12" s="125" cm="1">
        <f t="array" ref="N12">_xll.EQNXTDZ($A$1,$B12,N$1,$B$1)</f>
        <v>12</v>
      </c>
      <c r="O12" s="125" cm="1">
        <f t="array" ref="O12">_xll.EQNXTDZ($A$1,$B12,O$1,$B$1)</f>
        <v>12</v>
      </c>
      <c r="P12" s="125" cm="1">
        <f t="array" ref="P12">_xll.EQNXTDZ($A$1,$B12,P$1,$B$1)</f>
        <v>12</v>
      </c>
      <c r="Q12" s="125" cm="1">
        <f t="array" ref="Q12">_xll.EQNXTDZ($A$1,$B12,Q$1,$B$1)</f>
        <v>12</v>
      </c>
      <c r="R12" s="125" cm="1">
        <f t="array" ref="R12">_xll.EQNXTDZ($A$1,$B12,R$1,$B$1)</f>
        <v>12</v>
      </c>
      <c r="S12" s="125" cm="1">
        <f t="array" ref="S12">_xll.EQNXTDZ($A$1,$B12,S$1,$B$1)</f>
        <v>12</v>
      </c>
      <c r="T12" s="125" cm="1">
        <f t="array" ref="T12">_xll.EQNXTDZ($A$1,$B12,T$1,$B$1)</f>
        <v>12</v>
      </c>
      <c r="U12" s="125" cm="1">
        <f t="array" ref="U12">_xll.EQNXTDZ($A$1,$B12,U$1,$B$1)</f>
        <v>12</v>
      </c>
      <c r="V12" s="125" cm="1">
        <f t="array" ref="V12">_xll.EQNXTDZ($A$1,$B12,V$1,$B$1)</f>
        <v>12</v>
      </c>
      <c r="W12" s="125" cm="1">
        <f t="array" ref="W12">_xll.EQNXTDZ($A$1,$B12,W$1,$B$1)</f>
        <v>12</v>
      </c>
      <c r="X12" s="125" cm="1">
        <f t="array" ref="X12">_xll.EQNXTDZ($A$1,$B12,X$1,$B$1)</f>
        <v>12</v>
      </c>
      <c r="Y12" s="125" cm="1">
        <f t="array" ref="Y12">_xll.EQNXTDZ($A$1,$B12,Y$1,$B$1)</f>
        <v>12</v>
      </c>
      <c r="Z12" s="125" cm="1">
        <f t="array" ref="Z12">_xll.EQNXTDZ($A$1,$B12,Z$1,$B$1)</f>
        <v>12</v>
      </c>
      <c r="AA12" s="125" cm="1">
        <f t="array" ref="AA12">_xll.EQNXTDZ($A$1,$B12,AA$1,$B$1)</f>
        <v>12</v>
      </c>
      <c r="AB12" s="125" cm="1">
        <f t="array" ref="AB12">_xll.EQNXTDZ($A$1,$B12,AB$1,$B$1)</f>
        <v>12</v>
      </c>
      <c r="AC12" s="125" cm="1">
        <f t="array" ref="AC12">_xll.EQNXTDZ($A$1,$B12,AC$1,$B$1)</f>
        <v>0</v>
      </c>
      <c r="AD12" s="125" cm="1">
        <f t="array" ref="AD12">_xll.EQNXTDZ($A$1,$B12,AD$1,$B$1)</f>
        <v>0</v>
      </c>
      <c r="AE12" s="125" cm="1">
        <f t="array" ref="AE12">_xll.EQNXTDZ($A$1,$B12,AE$1,$B$1)</f>
        <v>0</v>
      </c>
      <c r="AF12" s="125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5" cm="1">
        <f t="array" ref="C13">_xll.EQNXTDZ($A$1,$B13,C$1,$B$1)</f>
        <v>0</v>
      </c>
      <c r="D13" s="125" cm="1">
        <f t="array" ref="D13">_xll.EQNXTDZ($A$1,$B13,D$1,$B$1)</f>
        <v>0</v>
      </c>
      <c r="E13" s="125" cm="1">
        <f t="array" ref="E13">_xll.EQNXTDZ($A$1,$B13,E$1,$B$1)</f>
        <v>0</v>
      </c>
      <c r="F13" s="125" cm="1">
        <f t="array" ref="F13">_xll.EQNXTDZ($A$1,$B13,F$1,$B$1)</f>
        <v>0</v>
      </c>
      <c r="G13" s="125" cm="1">
        <f t="array" ref="G13">_xll.EQNXTDZ($A$1,$B13,G$1,$B$1)</f>
        <v>0</v>
      </c>
      <c r="H13" s="125" cm="1">
        <f t="array" ref="H13">_xll.EQNXTDZ($A$1,$B13,H$1,$B$1)</f>
        <v>0</v>
      </c>
      <c r="I13" s="125" cm="1">
        <f t="array" ref="I13">_xll.EQNXTDZ($A$1,$B13,I$1,$B$1)</f>
        <v>0</v>
      </c>
      <c r="J13" s="125" cm="1">
        <f t="array" ref="J13">_xll.EQNXTDZ($A$1,$B13,J$1,$B$1)</f>
        <v>0</v>
      </c>
      <c r="K13" s="125" cm="1">
        <f t="array" ref="K13">_xll.EQNXTDZ($A$1,$B13,K$1,$B$1)</f>
        <v>33.7400576</v>
      </c>
      <c r="L13" s="125" cm="1">
        <f t="array" ref="L13">_xll.EQNXTDZ($A$1,$B13,L$1,$B$1)</f>
        <v>48.708705500000001</v>
      </c>
      <c r="M13" s="125" cm="1">
        <f t="array" ref="M13">_xll.EQNXTDZ($A$1,$B13,M$1,$B$1)</f>
        <v>80.243770100000006</v>
      </c>
      <c r="N13" s="125" cm="1">
        <f t="array" ref="N13">_xll.EQNXTDZ($A$1,$B13,N$1,$B$1)</f>
        <v>59.527734199999998</v>
      </c>
      <c r="O13" s="125" cm="1">
        <f t="array" ref="O13">_xll.EQNXTDZ($A$1,$B13,O$1,$B$1)</f>
        <v>86.697148400000003</v>
      </c>
      <c r="P13" s="125" cm="1">
        <f t="array" ref="P13">_xll.EQNXTDZ($A$1,$B13,P$1,$B$1)</f>
        <v>142.3360955</v>
      </c>
      <c r="Q13" s="125" cm="1">
        <f t="array" ref="Q13">_xll.EQNXTDZ($A$1,$B13,Q$1,$B$1)</f>
        <v>268.16033670000002</v>
      </c>
      <c r="R13" s="125" cm="1">
        <f t="array" ref="R13">_xll.EQNXTDZ($A$1,$B13,R$1,$B$1)</f>
        <v>456.95006699999999</v>
      </c>
      <c r="S13" s="125" cm="1">
        <f t="array" ref="S13">_xll.EQNXTDZ($A$1,$B13,S$1,$B$1)</f>
        <v>701.7450202</v>
      </c>
      <c r="T13" s="125" cm="1">
        <f t="array" ref="T13">_xll.EQNXTDZ($A$1,$B13,T$1,$B$1)</f>
        <v>870.58</v>
      </c>
      <c r="U13" s="125" cm="1">
        <f t="array" ref="U13">_xll.EQNXTDZ($A$1,$B13,U$1,$B$1)</f>
        <v>1282.26</v>
      </c>
      <c r="V13" s="125" cm="1">
        <f t="array" ref="V13">_xll.EQNXTDZ($A$1,$B13,V$1,$B$1)</f>
        <v>1683.49</v>
      </c>
      <c r="W13" s="125" cm="1">
        <f t="array" ref="W13">_xll.EQNXTDZ($A$1,$B13,W$1,$B$1)</f>
        <v>2027.79</v>
      </c>
      <c r="X13" s="125" cm="1">
        <f t="array" ref="X13">_xll.EQNXTDZ($A$1,$B13,X$1,$B$1)</f>
        <v>2742.75</v>
      </c>
      <c r="Y13" s="125" cm="1">
        <f t="array" ref="Y13">_xll.EQNXTDZ($A$1,$B13,Y$1,$B$1)</f>
        <v>3545.12</v>
      </c>
      <c r="Z13" s="125" cm="1">
        <f t="array" ref="Z13">_xll.EQNXTDZ($A$1,$B13,Z$1,$B$1)</f>
        <v>5166.67</v>
      </c>
      <c r="AA13" s="125" cm="1">
        <f t="array" ref="AA13">_xll.EQNXTDZ($A$1,$B13,AA$1,$B$1)</f>
        <v>5752.33</v>
      </c>
      <c r="AB13" s="125" cm="1">
        <f t="array" ref="AB13">_xll.EQNXTDZ($A$1,$B13,AB$1,$B$1)</f>
        <v>6058.92</v>
      </c>
      <c r="AC13" s="125" cm="1">
        <f t="array" ref="AC13">_xll.EQNXTDZ($A$1,$B13,AC$1,$B$1)</f>
        <v>0</v>
      </c>
      <c r="AD13" s="125" cm="1">
        <f t="array" ref="AD13">_xll.EQNXTDZ($A$1,$B13,AD$1,$B$1)</f>
        <v>0</v>
      </c>
      <c r="AE13" s="125" cm="1">
        <f t="array" ref="AE13">_xll.EQNXTDZ($A$1,$B13,AE$1,$B$1)</f>
        <v>0</v>
      </c>
      <c r="AF13" s="125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5" cm="1">
        <f t="array" ref="C14">_xll.EQNXTDZ($A$1,$B14,C$1,$B$1)</f>
        <v>0</v>
      </c>
      <c r="D14" s="125" cm="1">
        <f t="array" ref="D14">_xll.EQNXTDZ($A$1,$B14,D$1,$B$1)</f>
        <v>0</v>
      </c>
      <c r="E14" s="125" cm="1">
        <f t="array" ref="E14">_xll.EQNXTDZ($A$1,$B14,E$1,$B$1)</f>
        <v>0</v>
      </c>
      <c r="F14" s="125" cm="1">
        <f t="array" ref="F14">_xll.EQNXTDZ($A$1,$B14,F$1,$B$1)</f>
        <v>0</v>
      </c>
      <c r="G14" s="125" cm="1">
        <f t="array" ref="G14">_xll.EQNXTDZ($A$1,$B14,G$1,$B$1)</f>
        <v>0</v>
      </c>
      <c r="H14" s="125" cm="1">
        <f t="array" ref="H14">_xll.EQNXTDZ($A$1,$B14,H$1,$B$1)</f>
        <v>0</v>
      </c>
      <c r="I14" s="125" cm="1">
        <f t="array" ref="I14">_xll.EQNXTDZ($A$1,$B14,I$1,$B$1)</f>
        <v>0</v>
      </c>
      <c r="J14" s="125" cm="1">
        <f t="array" ref="J14">_xll.EQNXTDZ($A$1,$B14,J$1,$B$1)</f>
        <v>0</v>
      </c>
      <c r="K14" s="125" cm="1">
        <f t="array" ref="K14">_xll.EQNXTDZ($A$1,$B14,K$1,$B$1)</f>
        <v>33.7400576</v>
      </c>
      <c r="L14" s="125" cm="1">
        <f t="array" ref="L14">_xll.EQNXTDZ($A$1,$B14,L$1,$B$1)</f>
        <v>48.708705500000001</v>
      </c>
      <c r="M14" s="125" cm="1">
        <f t="array" ref="M14">_xll.EQNXTDZ($A$1,$B14,M$1,$B$1)</f>
        <v>80.243770100000006</v>
      </c>
      <c r="N14" s="125" cm="1">
        <f t="array" ref="N14">_xll.EQNXTDZ($A$1,$B14,N$1,$B$1)</f>
        <v>59.527734199999998</v>
      </c>
      <c r="O14" s="125" cm="1">
        <f t="array" ref="O14">_xll.EQNXTDZ($A$1,$B14,O$1,$B$1)</f>
        <v>86.697148400000003</v>
      </c>
      <c r="P14" s="125" cm="1">
        <f t="array" ref="P14">_xll.EQNXTDZ($A$1,$B14,P$1,$B$1)</f>
        <v>142.3360955</v>
      </c>
      <c r="Q14" s="125" cm="1">
        <f t="array" ref="Q14">_xll.EQNXTDZ($A$1,$B14,Q$1,$B$1)</f>
        <v>268.16033670000002</v>
      </c>
      <c r="R14" s="125" cm="1">
        <f t="array" ref="R14">_xll.EQNXTDZ($A$1,$B14,R$1,$B$1)</f>
        <v>456.95006699999999</v>
      </c>
      <c r="S14" s="125" cm="1">
        <f t="array" ref="S14">_xll.EQNXTDZ($A$1,$B14,S$1,$B$1)</f>
        <v>701.7450202</v>
      </c>
      <c r="T14" s="125" cm="1">
        <f t="array" ref="T14">_xll.EQNXTDZ($A$1,$B14,T$1,$B$1)</f>
        <v>870.58</v>
      </c>
      <c r="U14" s="125" cm="1">
        <f t="array" ref="U14">_xll.EQNXTDZ($A$1,$B14,U$1,$B$1)</f>
        <v>1282.26</v>
      </c>
      <c r="V14" s="125" cm="1">
        <f t="array" ref="V14">_xll.EQNXTDZ($A$1,$B14,V$1,$B$1)</f>
        <v>1683.49</v>
      </c>
      <c r="W14" s="125" cm="1">
        <f t="array" ref="W14">_xll.EQNXTDZ($A$1,$B14,W$1,$B$1)</f>
        <v>2027.79</v>
      </c>
      <c r="X14" s="125" cm="1">
        <f t="array" ref="X14">_xll.EQNXTDZ($A$1,$B14,X$1,$B$1)</f>
        <v>2742.75</v>
      </c>
      <c r="Y14" s="125" cm="1">
        <f t="array" ref="Y14">_xll.EQNXTDZ($A$1,$B14,Y$1,$B$1)</f>
        <v>3545.12</v>
      </c>
      <c r="Z14" s="125" cm="1">
        <f t="array" ref="Z14">_xll.EQNXTDZ($A$1,$B14,Z$1,$B$1)</f>
        <v>5166.67</v>
      </c>
      <c r="AA14" s="125" cm="1">
        <f t="array" ref="AA14">_xll.EQNXTDZ($A$1,$B14,AA$1,$B$1)</f>
        <v>5752.33</v>
      </c>
      <c r="AB14" s="125" cm="1">
        <f t="array" ref="AB14">_xll.EQNXTDZ($A$1,$B14,AB$1,$B$1)</f>
        <v>6058.92</v>
      </c>
      <c r="AC14" s="125" cm="1">
        <f t="array" ref="AC14">_xll.EQNXTDZ($A$1,$B14,AC$1,$B$1)</f>
        <v>0</v>
      </c>
      <c r="AD14" s="125" cm="1">
        <f t="array" ref="AD14">_xll.EQNXTDZ($A$1,$B14,AD$1,$B$1)</f>
        <v>0</v>
      </c>
      <c r="AE14" s="125" cm="1">
        <f t="array" ref="AE14">_xll.EQNXTDZ($A$1,$B14,AE$1,$B$1)</f>
        <v>0</v>
      </c>
      <c r="AF14" s="125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5" cm="1">
        <f t="array" ref="C15">_xll.EQNXTDZ($A$1,$B15,C$1,$B$1)</f>
        <v>0</v>
      </c>
      <c r="D15" s="125" cm="1">
        <f t="array" ref="D15">_xll.EQNXTDZ($A$1,$B15,D$1,$B$1)</f>
        <v>0</v>
      </c>
      <c r="E15" s="125" cm="1">
        <f t="array" ref="E15">_xll.EQNXTDZ($A$1,$B15,E$1,$B$1)</f>
        <v>0</v>
      </c>
      <c r="F15" s="125" cm="1">
        <f t="array" ref="F15">_xll.EQNXTDZ($A$1,$B15,F$1,$B$1)</f>
        <v>0</v>
      </c>
      <c r="G15" s="125" cm="1">
        <f t="array" ref="G15">_xll.EQNXTDZ($A$1,$B15,G$1,$B$1)</f>
        <v>0</v>
      </c>
      <c r="H15" s="125" cm="1">
        <f t="array" ref="H15">_xll.EQNXTDZ($A$1,$B15,H$1,$B$1)</f>
        <v>0</v>
      </c>
      <c r="I15" s="125" cm="1">
        <f t="array" ref="I15">_xll.EQNXTDZ($A$1,$B15,I$1,$B$1)</f>
        <v>0</v>
      </c>
      <c r="J15" s="125" cm="1">
        <f t="array" ref="J15">_xll.EQNXTDZ($A$1,$B15,J$1,$B$1)</f>
        <v>0</v>
      </c>
      <c r="K15" s="125" cm="1">
        <f t="array" ref="K15">_xll.EQNXTDZ($A$1,$B15,K$1,$B$1)</f>
        <v>0</v>
      </c>
      <c r="L15" s="125" cm="1">
        <f t="array" ref="L15">_xll.EQNXTDZ($A$1,$B15,L$1,$B$1)</f>
        <v>0</v>
      </c>
      <c r="M15" s="125" cm="1">
        <f t="array" ref="M15">_xll.EQNXTDZ($A$1,$B15,M$1,$B$1)</f>
        <v>0</v>
      </c>
      <c r="N15" s="125" cm="1">
        <f t="array" ref="N15">_xll.EQNXTDZ($A$1,$B15,N$1,$B$1)</f>
        <v>0</v>
      </c>
      <c r="O15" s="125" cm="1">
        <f t="array" ref="O15">_xll.EQNXTDZ($A$1,$B15,O$1,$B$1)</f>
        <v>0</v>
      </c>
      <c r="P15" s="125" cm="1">
        <f t="array" ref="P15">_xll.EQNXTDZ($A$1,$B15,P$1,$B$1)</f>
        <v>0</v>
      </c>
      <c r="Q15" s="125" cm="1">
        <f t="array" ref="Q15">_xll.EQNXTDZ($A$1,$B15,Q$1,$B$1)</f>
        <v>0</v>
      </c>
      <c r="R15" s="125" cm="1">
        <f t="array" ref="R15">_xll.EQNXTDZ($A$1,$B15,R$1,$B$1)</f>
        <v>0</v>
      </c>
      <c r="S15" s="125" cm="1">
        <f t="array" ref="S15">_xll.EQNXTDZ($A$1,$B15,S$1,$B$1)</f>
        <v>0</v>
      </c>
      <c r="T15" s="125" cm="1">
        <f t="array" ref="T15">_xll.EQNXTDZ($A$1,$B15,T$1,$B$1)</f>
        <v>0</v>
      </c>
      <c r="U15" s="125" cm="1">
        <f t="array" ref="U15">_xll.EQNXTDZ($A$1,$B15,U$1,$B$1)</f>
        <v>0</v>
      </c>
      <c r="V15" s="125" cm="1">
        <f t="array" ref="V15">_xll.EQNXTDZ($A$1,$B15,V$1,$B$1)</f>
        <v>0</v>
      </c>
      <c r="W15" s="125" cm="1">
        <f t="array" ref="W15">_xll.EQNXTDZ($A$1,$B15,W$1,$B$1)</f>
        <v>0</v>
      </c>
      <c r="X15" s="125" cm="1">
        <f t="array" ref="X15">_xll.EQNXTDZ($A$1,$B15,X$1,$B$1)</f>
        <v>0</v>
      </c>
      <c r="Y15" s="125" cm="1">
        <f t="array" ref="Y15">_xll.EQNXTDZ($A$1,$B15,Y$1,$B$1)</f>
        <v>0</v>
      </c>
      <c r="Z15" s="125" cm="1">
        <f t="array" ref="Z15">_xll.EQNXTDZ($A$1,$B15,Z$1,$B$1)</f>
        <v>0</v>
      </c>
      <c r="AA15" s="125" cm="1">
        <f t="array" ref="AA15">_xll.EQNXTDZ($A$1,$B15,AA$1,$B$1)</f>
        <v>0</v>
      </c>
      <c r="AB15" s="125" cm="1">
        <f t="array" ref="AB15">_xll.EQNXTDZ($A$1,$B15,AB$1,$B$1)</f>
        <v>0</v>
      </c>
      <c r="AC15" s="125" cm="1">
        <f t="array" ref="AC15">_xll.EQNXTDZ($A$1,$B15,AC$1,$B$1)</f>
        <v>0</v>
      </c>
      <c r="AD15" s="125" cm="1">
        <f t="array" ref="AD15">_xll.EQNXTDZ($A$1,$B15,AD$1,$B$1)</f>
        <v>0</v>
      </c>
      <c r="AE15" s="125" cm="1">
        <f t="array" ref="AE15">_xll.EQNXTDZ($A$1,$B15,AE$1,$B$1)</f>
        <v>0</v>
      </c>
      <c r="AF15" s="125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5" cm="1">
        <f t="array" ref="C16">_xll.EQNXTDZ($A$1,$B16,C$1,$B$1)</f>
        <v>0</v>
      </c>
      <c r="D16" s="125" cm="1">
        <f t="array" ref="D16">_xll.EQNXTDZ($A$1,$B16,D$1,$B$1)</f>
        <v>0</v>
      </c>
      <c r="E16" s="125" cm="1">
        <f t="array" ref="E16">_xll.EQNXTDZ($A$1,$B16,E$1,$B$1)</f>
        <v>0</v>
      </c>
      <c r="F16" s="125" cm="1">
        <f t="array" ref="F16">_xll.EQNXTDZ($A$1,$B16,F$1,$B$1)</f>
        <v>0</v>
      </c>
      <c r="G16" s="125" cm="1">
        <f t="array" ref="G16">_xll.EQNXTDZ($A$1,$B16,G$1,$B$1)</f>
        <v>0</v>
      </c>
      <c r="H16" s="125" cm="1">
        <f t="array" ref="H16">_xll.EQNXTDZ($A$1,$B16,H$1,$B$1)</f>
        <v>0</v>
      </c>
      <c r="I16" s="125" cm="1">
        <f t="array" ref="I16">_xll.EQNXTDZ($A$1,$B16,I$1,$B$1)</f>
        <v>0</v>
      </c>
      <c r="J16" s="125" cm="1">
        <f t="array" ref="J16">_xll.EQNXTDZ($A$1,$B16,J$1,$B$1)</f>
        <v>0</v>
      </c>
      <c r="K16" s="125" cm="1">
        <f t="array" ref="K16">_xll.EQNXTDZ($A$1,$B16,K$1,$B$1)</f>
        <v>0</v>
      </c>
      <c r="L16" s="125" cm="1">
        <f t="array" ref="L16">_xll.EQNXTDZ($A$1,$B16,L$1,$B$1)</f>
        <v>0</v>
      </c>
      <c r="M16" s="125" cm="1">
        <f t="array" ref="M16">_xll.EQNXTDZ($A$1,$B16,M$1,$B$1)</f>
        <v>0</v>
      </c>
      <c r="N16" s="125" cm="1">
        <f t="array" ref="N16">_xll.EQNXTDZ($A$1,$B16,N$1,$B$1)</f>
        <v>0</v>
      </c>
      <c r="O16" s="125" cm="1">
        <f t="array" ref="O16">_xll.EQNXTDZ($A$1,$B16,O$1,$B$1)</f>
        <v>0</v>
      </c>
      <c r="P16" s="125" cm="1">
        <f t="array" ref="P16">_xll.EQNXTDZ($A$1,$B16,P$1,$B$1)</f>
        <v>0</v>
      </c>
      <c r="Q16" s="125" cm="1">
        <f t="array" ref="Q16">_xll.EQNXTDZ($A$1,$B16,Q$1,$B$1)</f>
        <v>0</v>
      </c>
      <c r="R16" s="125" cm="1">
        <f t="array" ref="R16">_xll.EQNXTDZ($A$1,$B16,R$1,$B$1)</f>
        <v>0</v>
      </c>
      <c r="S16" s="125" cm="1">
        <f t="array" ref="S16">_xll.EQNXTDZ($A$1,$B16,S$1,$B$1)</f>
        <v>0</v>
      </c>
      <c r="T16" s="125" cm="1">
        <f t="array" ref="T16">_xll.EQNXTDZ($A$1,$B16,T$1,$B$1)</f>
        <v>0</v>
      </c>
      <c r="U16" s="125" cm="1">
        <f t="array" ref="U16">_xll.EQNXTDZ($A$1,$B16,U$1,$B$1)</f>
        <v>0</v>
      </c>
      <c r="V16" s="125" cm="1">
        <f t="array" ref="V16">_xll.EQNXTDZ($A$1,$B16,V$1,$B$1)</f>
        <v>0</v>
      </c>
      <c r="W16" s="125" cm="1">
        <f t="array" ref="W16">_xll.EQNXTDZ($A$1,$B16,W$1,$B$1)</f>
        <v>0</v>
      </c>
      <c r="X16" s="125" cm="1">
        <f t="array" ref="X16">_xll.EQNXTDZ($A$1,$B16,X$1,$B$1)</f>
        <v>0</v>
      </c>
      <c r="Y16" s="125" cm="1">
        <f t="array" ref="Y16">_xll.EQNXTDZ($A$1,$B16,Y$1,$B$1)</f>
        <v>0</v>
      </c>
      <c r="Z16" s="125" cm="1">
        <f t="array" ref="Z16">_xll.EQNXTDZ($A$1,$B16,Z$1,$B$1)</f>
        <v>0</v>
      </c>
      <c r="AA16" s="125" cm="1">
        <f t="array" ref="AA16">_xll.EQNXTDZ($A$1,$B16,AA$1,$B$1)</f>
        <v>0</v>
      </c>
      <c r="AB16" s="125" cm="1">
        <f t="array" ref="AB16">_xll.EQNXTDZ($A$1,$B16,AB$1,$B$1)</f>
        <v>0</v>
      </c>
      <c r="AC16" s="125" cm="1">
        <f t="array" ref="AC16">_xll.EQNXTDZ($A$1,$B16,AC$1,$B$1)</f>
        <v>0</v>
      </c>
      <c r="AD16" s="125" cm="1">
        <f t="array" ref="AD16">_xll.EQNXTDZ($A$1,$B16,AD$1,$B$1)</f>
        <v>0</v>
      </c>
      <c r="AE16" s="125" cm="1">
        <f t="array" ref="AE16">_xll.EQNXTDZ($A$1,$B16,AE$1,$B$1)</f>
        <v>0</v>
      </c>
      <c r="AF16" s="125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5" cm="1">
        <f t="array" ref="C17">_xll.EQNXTDZ($A$1,$B17,C$1,$B$1)</f>
        <v>0</v>
      </c>
      <c r="D17" s="125" cm="1">
        <f t="array" ref="D17">_xll.EQNXTDZ($A$1,$B17,D$1,$B$1)</f>
        <v>0</v>
      </c>
      <c r="E17" s="125" cm="1">
        <f t="array" ref="E17">_xll.EQNXTDZ($A$1,$B17,E$1,$B$1)</f>
        <v>0</v>
      </c>
      <c r="F17" s="125" cm="1">
        <f t="array" ref="F17">_xll.EQNXTDZ($A$1,$B17,F$1,$B$1)</f>
        <v>0</v>
      </c>
      <c r="G17" s="125" cm="1">
        <f t="array" ref="G17">_xll.EQNXTDZ($A$1,$B17,G$1,$B$1)</f>
        <v>0</v>
      </c>
      <c r="H17" s="125" cm="1">
        <f t="array" ref="H17">_xll.EQNXTDZ($A$1,$B17,H$1,$B$1)</f>
        <v>0</v>
      </c>
      <c r="I17" s="125" cm="1">
        <f t="array" ref="I17">_xll.EQNXTDZ($A$1,$B17,I$1,$B$1)</f>
        <v>0</v>
      </c>
      <c r="J17" s="125" cm="1">
        <f t="array" ref="J17">_xll.EQNXTDZ($A$1,$B17,J$1,$B$1)</f>
        <v>0</v>
      </c>
      <c r="K17" s="125" cm="1">
        <f t="array" ref="K17">_xll.EQNXTDZ($A$1,$B17,K$1,$B$1)</f>
        <v>0</v>
      </c>
      <c r="L17" s="125" cm="1">
        <f t="array" ref="L17">_xll.EQNXTDZ($A$1,$B17,L$1,$B$1)</f>
        <v>0.14848339999999999</v>
      </c>
      <c r="M17" s="125" cm="1">
        <f t="array" ref="M17">_xll.EQNXTDZ($A$1,$B17,M$1,$B$1)</f>
        <v>0.2642195</v>
      </c>
      <c r="N17" s="125" cm="1">
        <f t="array" ref="N17">_xll.EQNXTDZ($A$1,$B17,N$1,$B$1)</f>
        <v>0.27213739999999997</v>
      </c>
      <c r="O17" s="125" cm="1">
        <f t="array" ref="O17">_xll.EQNXTDZ($A$1,$B17,O$1,$B$1)</f>
        <v>0.24103720000000001</v>
      </c>
      <c r="P17" s="125" cm="1">
        <f t="array" ref="P17">_xll.EQNXTDZ($A$1,$B17,P$1,$B$1)</f>
        <v>0.29148170000000001</v>
      </c>
      <c r="Q17" s="125" cm="1">
        <f t="array" ref="Q17">_xll.EQNXTDZ($A$1,$B17,Q$1,$B$1)</f>
        <v>0.42296400000000001</v>
      </c>
      <c r="R17" s="125" cm="1">
        <f t="array" ref="R17">_xll.EQNXTDZ($A$1,$B17,R$1,$B$1)</f>
        <v>0.70472729999999995</v>
      </c>
      <c r="S17" s="125" cm="1">
        <f t="array" ref="S17">_xll.EQNXTDZ($A$1,$B17,S$1,$B$1)</f>
        <v>1.0437863000000001</v>
      </c>
      <c r="T17" s="125" cm="1">
        <f t="array" ref="T17">_xll.EQNXTDZ($A$1,$B17,T$1,$B$1)</f>
        <v>1.43</v>
      </c>
      <c r="U17" s="125" cm="1">
        <f t="array" ref="U17">_xll.EQNXTDZ($A$1,$B17,U$1,$B$1)</f>
        <v>1.96</v>
      </c>
      <c r="V17" s="125" cm="1">
        <f t="array" ref="V17">_xll.EQNXTDZ($A$1,$B17,V$1,$B$1)</f>
        <v>2.81</v>
      </c>
      <c r="W17" s="125" cm="1">
        <f t="array" ref="W17">_xll.EQNXTDZ($A$1,$B17,W$1,$B$1)</f>
        <v>2.99</v>
      </c>
      <c r="X17" s="125" cm="1">
        <f t="array" ref="X17">_xll.EQNXTDZ($A$1,$B17,X$1,$B$1)</f>
        <v>4.2300000000000004</v>
      </c>
      <c r="Y17" s="125" cm="1">
        <f t="array" ref="Y17">_xll.EQNXTDZ($A$1,$B17,Y$1,$B$1)</f>
        <v>5.43</v>
      </c>
      <c r="Z17" s="125" cm="1">
        <f t="array" ref="Z17">_xll.EQNXTDZ($A$1,$B17,Z$1,$B$1)</f>
        <v>6.68</v>
      </c>
      <c r="AA17" s="125" cm="1">
        <f t="array" ref="AA17">_xll.EQNXTDZ($A$1,$B17,AA$1,$B$1)</f>
        <v>7.15</v>
      </c>
      <c r="AB17" s="125" cm="1">
        <f t="array" ref="AB17">_xll.EQNXTDZ($A$1,$B17,AB$1,$B$1)</f>
        <v>7.83</v>
      </c>
      <c r="AC17" s="125" cm="1">
        <f t="array" ref="AC17">_xll.EQNXTDZ($A$1,$B17,AC$1,$B$1)</f>
        <v>0</v>
      </c>
      <c r="AD17" s="125" cm="1">
        <f t="array" ref="AD17">_xll.EQNXTDZ($A$1,$B17,AD$1,$B$1)</f>
        <v>0</v>
      </c>
      <c r="AE17" s="125" cm="1">
        <f t="array" ref="AE17">_xll.EQNXTDZ($A$1,$B17,AE$1,$B$1)</f>
        <v>0</v>
      </c>
      <c r="AF17" s="125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5" cm="1">
        <f t="array" ref="C18">_xll.EQNXTDZ($A$1,$B18,C$1,$B$1)</f>
        <v>0</v>
      </c>
      <c r="D18" s="125" cm="1">
        <f t="array" ref="D18">_xll.EQNXTDZ($A$1,$B18,D$1,$B$1)</f>
        <v>0</v>
      </c>
      <c r="E18" s="125" cm="1">
        <f t="array" ref="E18">_xll.EQNXTDZ($A$1,$B18,E$1,$B$1)</f>
        <v>0</v>
      </c>
      <c r="F18" s="125" cm="1">
        <f t="array" ref="F18">_xll.EQNXTDZ($A$1,$B18,F$1,$B$1)</f>
        <v>0</v>
      </c>
      <c r="G18" s="125" cm="1">
        <f t="array" ref="G18">_xll.EQNXTDZ($A$1,$B18,G$1,$B$1)</f>
        <v>0</v>
      </c>
      <c r="H18" s="125" cm="1">
        <f t="array" ref="H18">_xll.EQNXTDZ($A$1,$B18,H$1,$B$1)</f>
        <v>0</v>
      </c>
      <c r="I18" s="125" cm="1">
        <f t="array" ref="I18">_xll.EQNXTDZ($A$1,$B18,I$1,$B$1)</f>
        <v>0</v>
      </c>
      <c r="J18" s="125" cm="1">
        <f t="array" ref="J18">_xll.EQNXTDZ($A$1,$B18,J$1,$B$1)</f>
        <v>0</v>
      </c>
      <c r="K18" s="125" cm="1">
        <f t="array" ref="K18">_xll.EQNXTDZ($A$1,$B18,K$1,$B$1)</f>
        <v>7.4530022999999996</v>
      </c>
      <c r="L18" s="125" cm="1">
        <f t="array" ref="L18">_xll.EQNXTDZ($A$1,$B18,L$1,$B$1)</f>
        <v>12.966241800000001</v>
      </c>
      <c r="M18" s="125" cm="1">
        <f t="array" ref="M18">_xll.EQNXTDZ($A$1,$B18,M$1,$B$1)</f>
        <v>23.194130999999999</v>
      </c>
      <c r="N18" s="125" cm="1">
        <f t="array" ref="N18">_xll.EQNXTDZ($A$1,$B18,N$1,$B$1)</f>
        <v>21.797751999999999</v>
      </c>
      <c r="O18" s="125" cm="1">
        <f t="array" ref="O18">_xll.EQNXTDZ($A$1,$B18,O$1,$B$1)</f>
        <v>22.450525500000001</v>
      </c>
      <c r="P18" s="125" cm="1">
        <f t="array" ref="P18">_xll.EQNXTDZ($A$1,$B18,P$1,$B$1)</f>
        <v>29.253943199999998</v>
      </c>
      <c r="Q18" s="125" cm="1">
        <f t="array" ref="Q18">_xll.EQNXTDZ($A$1,$B18,Q$1,$B$1)</f>
        <v>43.637554399999999</v>
      </c>
      <c r="R18" s="125" cm="1">
        <f t="array" ref="R18">_xll.EQNXTDZ($A$1,$B18,R$1,$B$1)</f>
        <v>70.671589699999998</v>
      </c>
      <c r="S18" s="125" cm="1">
        <f t="array" ref="S18">_xll.EQNXTDZ($A$1,$B18,S$1,$B$1)</f>
        <v>104.6846826</v>
      </c>
      <c r="T18" s="125" cm="1">
        <f t="array" ref="T18">_xll.EQNXTDZ($A$1,$B18,T$1,$B$1)</f>
        <v>130.44</v>
      </c>
      <c r="U18" s="125" cm="1">
        <f t="array" ref="U18">_xll.EQNXTDZ($A$1,$B18,U$1,$B$1)</f>
        <v>186.05</v>
      </c>
      <c r="V18" s="125" cm="1">
        <f t="array" ref="V18">_xll.EQNXTDZ($A$1,$B18,V$1,$B$1)</f>
        <v>259.64</v>
      </c>
      <c r="W18" s="125" cm="1">
        <f t="array" ref="W18">_xll.EQNXTDZ($A$1,$B18,W$1,$B$1)</f>
        <v>299.60000000000002</v>
      </c>
      <c r="X18" s="125" cm="1">
        <f t="array" ref="X18">_xll.EQNXTDZ($A$1,$B18,X$1,$B$1)</f>
        <v>437.62</v>
      </c>
      <c r="Y18" s="125" cm="1">
        <f t="array" ref="Y18">_xll.EQNXTDZ($A$1,$B18,Y$1,$B$1)</f>
        <v>515.24</v>
      </c>
      <c r="Z18" s="125" cm="1">
        <f t="array" ref="Z18">_xll.EQNXTDZ($A$1,$B18,Z$1,$B$1)</f>
        <v>669.43</v>
      </c>
      <c r="AA18" s="125" cm="1">
        <f t="array" ref="AA18">_xll.EQNXTDZ($A$1,$B18,AA$1,$B$1)</f>
        <v>730.36</v>
      </c>
      <c r="AB18" s="125" cm="1">
        <f t="array" ref="AB18">_xll.EQNXTDZ($A$1,$B18,AB$1,$B$1)</f>
        <v>879.09</v>
      </c>
      <c r="AC18" s="125" cm="1">
        <f t="array" ref="AC18">_xll.EQNXTDZ($A$1,$B18,AC$1,$B$1)</f>
        <v>0</v>
      </c>
      <c r="AD18" s="125" cm="1">
        <f t="array" ref="AD18">_xll.EQNXTDZ($A$1,$B18,AD$1,$B$1)</f>
        <v>0</v>
      </c>
      <c r="AE18" s="125" cm="1">
        <f t="array" ref="AE18">_xll.EQNXTDZ($A$1,$B18,AE$1,$B$1)</f>
        <v>0</v>
      </c>
      <c r="AF18" s="125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5" cm="1">
        <f t="array" ref="C19">_xll.EQNXTDZ($A$1,$B19,C$1,$B$1)</f>
        <v>0</v>
      </c>
      <c r="D19" s="125" cm="1">
        <f t="array" ref="D19">_xll.EQNXTDZ($A$1,$B19,D$1,$B$1)</f>
        <v>0</v>
      </c>
      <c r="E19" s="125" cm="1">
        <f t="array" ref="E19">_xll.EQNXTDZ($A$1,$B19,E$1,$B$1)</f>
        <v>0</v>
      </c>
      <c r="F19" s="125" cm="1">
        <f t="array" ref="F19">_xll.EQNXTDZ($A$1,$B19,F$1,$B$1)</f>
        <v>0</v>
      </c>
      <c r="G19" s="125" cm="1">
        <f t="array" ref="G19">_xll.EQNXTDZ($A$1,$B19,G$1,$B$1)</f>
        <v>0</v>
      </c>
      <c r="H19" s="125" cm="1">
        <f t="array" ref="H19">_xll.EQNXTDZ($A$1,$B19,H$1,$B$1)</f>
        <v>0</v>
      </c>
      <c r="I19" s="125" cm="1">
        <f t="array" ref="I19">_xll.EQNXTDZ($A$1,$B19,I$1,$B$1)</f>
        <v>0</v>
      </c>
      <c r="J19" s="125" cm="1">
        <f t="array" ref="J19">_xll.EQNXTDZ($A$1,$B19,J$1,$B$1)</f>
        <v>0</v>
      </c>
      <c r="K19" s="125" cm="1">
        <f t="array" ref="K19">_xll.EQNXTDZ($A$1,$B19,K$1,$B$1)</f>
        <v>1.398139</v>
      </c>
      <c r="L19" s="125" cm="1">
        <f t="array" ref="L19">_xll.EQNXTDZ($A$1,$B19,L$1,$B$1)</f>
        <v>2.1496211000000001</v>
      </c>
      <c r="M19" s="125" cm="1">
        <f t="array" ref="M19">_xll.EQNXTDZ($A$1,$B19,M$1,$B$1)</f>
        <v>3.2263286</v>
      </c>
      <c r="N19" s="125" cm="1">
        <f t="array" ref="N19">_xll.EQNXTDZ($A$1,$B19,N$1,$B$1)</f>
        <v>3.0436239</v>
      </c>
      <c r="O19" s="125" cm="1">
        <f t="array" ref="O19">_xll.EQNXTDZ($A$1,$B19,O$1,$B$1)</f>
        <v>3.1319908000000001</v>
      </c>
      <c r="P19" s="125" cm="1">
        <f t="array" ref="P19">_xll.EQNXTDZ($A$1,$B19,P$1,$B$1)</f>
        <v>2.6715743999999999</v>
      </c>
      <c r="Q19" s="125" cm="1">
        <f t="array" ref="Q19">_xll.EQNXTDZ($A$1,$B19,Q$1,$B$1)</f>
        <v>4.4766254999999999</v>
      </c>
      <c r="R19" s="125" cm="1">
        <f t="array" ref="R19">_xll.EQNXTDZ($A$1,$B19,R$1,$B$1)</f>
        <v>8.0331091000000008</v>
      </c>
      <c r="S19" s="125" cm="1">
        <f t="array" ref="S19">_xll.EQNXTDZ($A$1,$B19,S$1,$B$1)</f>
        <v>10.886402199999999</v>
      </c>
      <c r="T19" s="125" cm="1">
        <f t="array" ref="T19">_xll.EQNXTDZ($A$1,$B19,T$1,$B$1)</f>
        <v>15.56</v>
      </c>
      <c r="U19" s="125" cm="1">
        <f t="array" ref="U19">_xll.EQNXTDZ($A$1,$B19,U$1,$B$1)</f>
        <v>21.95</v>
      </c>
      <c r="V19" s="125" cm="1">
        <f t="array" ref="V19">_xll.EQNXTDZ($A$1,$B19,V$1,$B$1)</f>
        <v>25.28</v>
      </c>
      <c r="W19" s="125" cm="1">
        <f t="array" ref="W19">_xll.EQNXTDZ($A$1,$B19,W$1,$B$1)</f>
        <v>31.33</v>
      </c>
      <c r="X19" s="125" cm="1">
        <f t="array" ref="X19">_xll.EQNXTDZ($A$1,$B19,X$1,$B$1)</f>
        <v>55.14</v>
      </c>
      <c r="Y19" s="125" cm="1">
        <f t="array" ref="Y19">_xll.EQNXTDZ($A$1,$B19,Y$1,$B$1)</f>
        <v>75.03</v>
      </c>
      <c r="Z19" s="125" cm="1">
        <f t="array" ref="Z19">_xll.EQNXTDZ($A$1,$B19,Z$1,$B$1)</f>
        <v>93.39</v>
      </c>
      <c r="AA19" s="125" cm="1">
        <f t="array" ref="AA19">_xll.EQNXTDZ($A$1,$B19,AA$1,$B$1)</f>
        <v>115.65</v>
      </c>
      <c r="AB19" s="125" cm="1">
        <f t="array" ref="AB19">_xll.EQNXTDZ($A$1,$B19,AB$1,$B$1)</f>
        <v>128.9</v>
      </c>
      <c r="AC19" s="125" cm="1">
        <f t="array" ref="AC19">_xll.EQNXTDZ($A$1,$B19,AC$1,$B$1)</f>
        <v>0</v>
      </c>
      <c r="AD19" s="125" cm="1">
        <f t="array" ref="AD19">_xll.EQNXTDZ($A$1,$B19,AD$1,$B$1)</f>
        <v>0</v>
      </c>
      <c r="AE19" s="125" cm="1">
        <f t="array" ref="AE19">_xll.EQNXTDZ($A$1,$B19,AE$1,$B$1)</f>
        <v>0</v>
      </c>
      <c r="AF19" s="125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5" cm="1">
        <f t="array" ref="C20">_xll.EQNXTDZ($A$1,$B20,C$1,$B$1)</f>
        <v>0</v>
      </c>
      <c r="D20" s="125" cm="1">
        <f t="array" ref="D20">_xll.EQNXTDZ($A$1,$B20,D$1,$B$1)</f>
        <v>0</v>
      </c>
      <c r="E20" s="125" cm="1">
        <f t="array" ref="E20">_xll.EQNXTDZ($A$1,$B20,E$1,$B$1)</f>
        <v>0</v>
      </c>
      <c r="F20" s="125" cm="1">
        <f t="array" ref="F20">_xll.EQNXTDZ($A$1,$B20,F$1,$B$1)</f>
        <v>0</v>
      </c>
      <c r="G20" s="125" cm="1">
        <f t="array" ref="G20">_xll.EQNXTDZ($A$1,$B20,G$1,$B$1)</f>
        <v>0</v>
      </c>
      <c r="H20" s="125" cm="1">
        <f t="array" ref="H20">_xll.EQNXTDZ($A$1,$B20,H$1,$B$1)</f>
        <v>0</v>
      </c>
      <c r="I20" s="125" cm="1">
        <f t="array" ref="I20">_xll.EQNXTDZ($A$1,$B20,I$1,$B$1)</f>
        <v>0</v>
      </c>
      <c r="J20" s="125" cm="1">
        <f t="array" ref="J20">_xll.EQNXTDZ($A$1,$B20,J$1,$B$1)</f>
        <v>0</v>
      </c>
      <c r="K20" s="125" cm="1">
        <f t="array" ref="K20">_xll.EQNXTDZ($A$1,$B20,K$1,$B$1)</f>
        <v>0</v>
      </c>
      <c r="L20" s="125" cm="1">
        <f t="array" ref="L20">_xll.EQNXTDZ($A$1,$B20,L$1,$B$1)</f>
        <v>0</v>
      </c>
      <c r="M20" s="125" cm="1">
        <f t="array" ref="M20">_xll.EQNXTDZ($A$1,$B20,M$1,$B$1)</f>
        <v>0</v>
      </c>
      <c r="N20" s="125" cm="1">
        <f t="array" ref="N20">_xll.EQNXTDZ($A$1,$B20,N$1,$B$1)</f>
        <v>0</v>
      </c>
      <c r="O20" s="125" cm="1">
        <f t="array" ref="O20">_xll.EQNXTDZ($A$1,$B20,O$1,$B$1)</f>
        <v>0</v>
      </c>
      <c r="P20" s="125" cm="1">
        <f t="array" ref="P20">_xll.EQNXTDZ($A$1,$B20,P$1,$B$1)</f>
        <v>0</v>
      </c>
      <c r="Q20" s="125" cm="1">
        <f t="array" ref="Q20">_xll.EQNXTDZ($A$1,$B20,Q$1,$B$1)</f>
        <v>0</v>
      </c>
      <c r="R20" s="125" cm="1">
        <f t="array" ref="R20">_xll.EQNXTDZ($A$1,$B20,R$1,$B$1)</f>
        <v>0</v>
      </c>
      <c r="S20" s="125" cm="1">
        <f t="array" ref="S20">_xll.EQNXTDZ($A$1,$B20,S$1,$B$1)</f>
        <v>0</v>
      </c>
      <c r="T20" s="125" cm="1">
        <f t="array" ref="T20">_xll.EQNXTDZ($A$1,$B20,T$1,$B$1)</f>
        <v>0</v>
      </c>
      <c r="U20" s="125" cm="1">
        <f t="array" ref="U20">_xll.EQNXTDZ($A$1,$B20,U$1,$B$1)</f>
        <v>0</v>
      </c>
      <c r="V20" s="125" cm="1">
        <f t="array" ref="V20">_xll.EQNXTDZ($A$1,$B20,V$1,$B$1)</f>
        <v>0</v>
      </c>
      <c r="W20" s="125" cm="1">
        <f t="array" ref="W20">_xll.EQNXTDZ($A$1,$B20,W$1,$B$1)</f>
        <v>0</v>
      </c>
      <c r="X20" s="125" cm="1">
        <f t="array" ref="X20">_xll.EQNXTDZ($A$1,$B20,X$1,$B$1)</f>
        <v>0</v>
      </c>
      <c r="Y20" s="125" cm="1">
        <f t="array" ref="Y20">_xll.EQNXTDZ($A$1,$B20,Y$1,$B$1)</f>
        <v>0</v>
      </c>
      <c r="Z20" s="125" cm="1">
        <f t="array" ref="Z20">_xll.EQNXTDZ($A$1,$B20,Z$1,$B$1)</f>
        <v>0</v>
      </c>
      <c r="AA20" s="125" cm="1">
        <f t="array" ref="AA20">_xll.EQNXTDZ($A$1,$B20,AA$1,$B$1)</f>
        <v>0</v>
      </c>
      <c r="AB20" s="125" cm="1">
        <f t="array" ref="AB20">_xll.EQNXTDZ($A$1,$B20,AB$1,$B$1)</f>
        <v>0</v>
      </c>
      <c r="AC20" s="125" cm="1">
        <f t="array" ref="AC20">_xll.EQNXTDZ($A$1,$B20,AC$1,$B$1)</f>
        <v>0</v>
      </c>
      <c r="AD20" s="125" cm="1">
        <f t="array" ref="AD20">_xll.EQNXTDZ($A$1,$B20,AD$1,$B$1)</f>
        <v>0</v>
      </c>
      <c r="AE20" s="125" cm="1">
        <f t="array" ref="AE20">_xll.EQNXTDZ($A$1,$B20,AE$1,$B$1)</f>
        <v>0</v>
      </c>
      <c r="AF20" s="125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5" cm="1">
        <f t="array" ref="C21">_xll.EQNXTDZ($A$1,$B21,C$1,$B$1)</f>
        <v>0</v>
      </c>
      <c r="D21" s="125" cm="1">
        <f t="array" ref="D21">_xll.EQNXTDZ($A$1,$B21,D$1,$B$1)</f>
        <v>0</v>
      </c>
      <c r="E21" s="125" cm="1">
        <f t="array" ref="E21">_xll.EQNXTDZ($A$1,$B21,E$1,$B$1)</f>
        <v>0</v>
      </c>
      <c r="F21" s="125" cm="1">
        <f t="array" ref="F21">_xll.EQNXTDZ($A$1,$B21,F$1,$B$1)</f>
        <v>0</v>
      </c>
      <c r="G21" s="125" cm="1">
        <f t="array" ref="G21">_xll.EQNXTDZ($A$1,$B21,G$1,$B$1)</f>
        <v>0</v>
      </c>
      <c r="H21" s="125" cm="1">
        <f t="array" ref="H21">_xll.EQNXTDZ($A$1,$B21,H$1,$B$1)</f>
        <v>0</v>
      </c>
      <c r="I21" s="125" cm="1">
        <f t="array" ref="I21">_xll.EQNXTDZ($A$1,$B21,I$1,$B$1)</f>
        <v>0</v>
      </c>
      <c r="J21" s="125" cm="1">
        <f t="array" ref="J21">_xll.EQNXTDZ($A$1,$B21,J$1,$B$1)</f>
        <v>0</v>
      </c>
      <c r="K21" s="125" cm="1">
        <f t="array" ref="K21">_xll.EQNXTDZ($A$1,$B21,K$1,$B$1)</f>
        <v>6.7639111999999999</v>
      </c>
      <c r="L21" s="125" cm="1">
        <f t="array" ref="L21">_xll.EQNXTDZ($A$1,$B21,L$1,$B$1)</f>
        <v>6.4952306000000002</v>
      </c>
      <c r="M21" s="125" cm="1">
        <f t="array" ref="M21">_xll.EQNXTDZ($A$1,$B21,M$1,$B$1)</f>
        <v>9.8540354000000008</v>
      </c>
      <c r="N21" s="125" cm="1">
        <f t="array" ref="N21">_xll.EQNXTDZ($A$1,$B21,N$1,$B$1)</f>
        <v>7.9356023000000002</v>
      </c>
      <c r="O21" s="125" cm="1">
        <f t="array" ref="O21">_xll.EQNXTDZ($A$1,$B21,O$1,$B$1)</f>
        <v>8.1461959999999998</v>
      </c>
      <c r="P21" s="125" cm="1">
        <f t="array" ref="P21">_xll.EQNXTDZ($A$1,$B21,P$1,$B$1)</f>
        <v>10.6055218</v>
      </c>
      <c r="Q21" s="125" cm="1">
        <f t="array" ref="Q21">_xll.EQNXTDZ($A$1,$B21,Q$1,$B$1)</f>
        <v>18.278161999999998</v>
      </c>
      <c r="R21" s="125" cm="1">
        <f t="array" ref="R21">_xll.EQNXTDZ($A$1,$B21,R$1,$B$1)</f>
        <v>26.915118100000001</v>
      </c>
      <c r="S21" s="125" cm="1">
        <f t="array" ref="S21">_xll.EQNXTDZ($A$1,$B21,S$1,$B$1)</f>
        <v>35.397511899999998</v>
      </c>
      <c r="T21" s="125" cm="1">
        <f t="array" ref="T21">_xll.EQNXTDZ($A$1,$B21,T$1,$B$1)</f>
        <v>40.36</v>
      </c>
      <c r="U21" s="125" cm="1">
        <f t="array" ref="U21">_xll.EQNXTDZ($A$1,$B21,U$1,$B$1)</f>
        <v>64.27</v>
      </c>
      <c r="V21" s="125" cm="1">
        <f t="array" ref="V21">_xll.EQNXTDZ($A$1,$B21,V$1,$B$1)</f>
        <v>95.22</v>
      </c>
      <c r="W21" s="125" cm="1">
        <f t="array" ref="W21">_xll.EQNXTDZ($A$1,$B21,W$1,$B$1)</f>
        <v>69.67</v>
      </c>
      <c r="X21" s="125" cm="1">
        <f t="array" ref="X21">_xll.EQNXTDZ($A$1,$B21,X$1,$B$1)</f>
        <v>117.95</v>
      </c>
      <c r="Y21" s="125" cm="1">
        <f t="array" ref="Y21">_xll.EQNXTDZ($A$1,$B21,Y$1,$B$1)</f>
        <v>165.65</v>
      </c>
      <c r="Z21" s="125" cm="1">
        <f t="array" ref="Z21">_xll.EQNXTDZ($A$1,$B21,Z$1,$B$1)</f>
        <v>201.18</v>
      </c>
      <c r="AA21" s="125" cm="1">
        <f t="array" ref="AA21">_xll.EQNXTDZ($A$1,$B21,AA$1,$B$1)</f>
        <v>217.95</v>
      </c>
      <c r="AB21" s="125" cm="1">
        <f t="array" ref="AB21">_xll.EQNXTDZ($A$1,$B21,AB$1,$B$1)</f>
        <v>236.38</v>
      </c>
      <c r="AC21" s="125" cm="1">
        <f t="array" ref="AC21">_xll.EQNXTDZ($A$1,$B21,AC$1,$B$1)</f>
        <v>0</v>
      </c>
      <c r="AD21" s="125" cm="1">
        <f t="array" ref="AD21">_xll.EQNXTDZ($A$1,$B21,AD$1,$B$1)</f>
        <v>0</v>
      </c>
      <c r="AE21" s="125" cm="1">
        <f t="array" ref="AE21">_xll.EQNXTDZ($A$1,$B21,AE$1,$B$1)</f>
        <v>0</v>
      </c>
      <c r="AF21" s="125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5" cm="1">
        <f t="array" ref="C22">_xll.EQNXTDZ($A$1,$B22,C$1,$B$1)</f>
        <v>0</v>
      </c>
      <c r="D22" s="125" cm="1">
        <f t="array" ref="D22">_xll.EQNXTDZ($A$1,$B22,D$1,$B$1)</f>
        <v>0</v>
      </c>
      <c r="E22" s="125" cm="1">
        <f t="array" ref="E22">_xll.EQNXTDZ($A$1,$B22,E$1,$B$1)</f>
        <v>0</v>
      </c>
      <c r="F22" s="125" cm="1">
        <f t="array" ref="F22">_xll.EQNXTDZ($A$1,$B22,F$1,$B$1)</f>
        <v>0</v>
      </c>
      <c r="G22" s="125" cm="1">
        <f t="array" ref="G22">_xll.EQNXTDZ($A$1,$B22,G$1,$B$1)</f>
        <v>0</v>
      </c>
      <c r="H22" s="125" cm="1">
        <f t="array" ref="H22">_xll.EQNXTDZ($A$1,$B22,H$1,$B$1)</f>
        <v>0</v>
      </c>
      <c r="I22" s="125" cm="1">
        <f t="array" ref="I22">_xll.EQNXTDZ($A$1,$B22,I$1,$B$1)</f>
        <v>0</v>
      </c>
      <c r="J22" s="125" cm="1">
        <f t="array" ref="J22">_xll.EQNXTDZ($A$1,$B22,J$1,$B$1)</f>
        <v>0</v>
      </c>
      <c r="K22" s="125" cm="1">
        <f t="array" ref="K22">_xll.EQNXTDZ($A$1,$B22,K$1,$B$1)</f>
        <v>0</v>
      </c>
      <c r="L22" s="125" cm="1">
        <f t="array" ref="L22">_xll.EQNXTDZ($A$1,$B22,L$1,$B$1)</f>
        <v>0</v>
      </c>
      <c r="M22" s="125" cm="1">
        <f t="array" ref="M22">_xll.EQNXTDZ($A$1,$B22,M$1,$B$1)</f>
        <v>0</v>
      </c>
      <c r="N22" s="125" cm="1">
        <f t="array" ref="N22">_xll.EQNXTDZ($A$1,$B22,N$1,$B$1)</f>
        <v>0</v>
      </c>
      <c r="O22" s="125" cm="1">
        <f t="array" ref="O22">_xll.EQNXTDZ($A$1,$B22,O$1,$B$1)</f>
        <v>0</v>
      </c>
      <c r="P22" s="125" cm="1">
        <f t="array" ref="P22">_xll.EQNXTDZ($A$1,$B22,P$1,$B$1)</f>
        <v>0</v>
      </c>
      <c r="Q22" s="125" cm="1">
        <f t="array" ref="Q22">_xll.EQNXTDZ($A$1,$B22,Q$1,$B$1)</f>
        <v>0</v>
      </c>
      <c r="R22" s="125" cm="1">
        <f t="array" ref="R22">_xll.EQNXTDZ($A$1,$B22,R$1,$B$1)</f>
        <v>0</v>
      </c>
      <c r="S22" s="125" cm="1">
        <f t="array" ref="S22">_xll.EQNXTDZ($A$1,$B22,S$1,$B$1)</f>
        <v>0</v>
      </c>
      <c r="T22" s="125" cm="1">
        <f t="array" ref="T22">_xll.EQNXTDZ($A$1,$B22,T$1,$B$1)</f>
        <v>0</v>
      </c>
      <c r="U22" s="125" cm="1">
        <f t="array" ref="U22">_xll.EQNXTDZ($A$1,$B22,U$1,$B$1)</f>
        <v>0</v>
      </c>
      <c r="V22" s="125" cm="1">
        <f t="array" ref="V22">_xll.EQNXTDZ($A$1,$B22,V$1,$B$1)</f>
        <v>1.18</v>
      </c>
      <c r="W22" s="125" cm="1">
        <f t="array" ref="W22">_xll.EQNXTDZ($A$1,$B22,W$1,$B$1)</f>
        <v>3.01</v>
      </c>
      <c r="X22" s="125" cm="1">
        <f t="array" ref="X22">_xll.EQNXTDZ($A$1,$B22,X$1,$B$1)</f>
        <v>2.96</v>
      </c>
      <c r="Y22" s="125" cm="1">
        <f t="array" ref="Y22">_xll.EQNXTDZ($A$1,$B22,Y$1,$B$1)</f>
        <v>1.8</v>
      </c>
      <c r="Z22" s="125" cm="1">
        <f t="array" ref="Z22">_xll.EQNXTDZ($A$1,$B22,Z$1,$B$1)</f>
        <v>3.9</v>
      </c>
      <c r="AA22" s="125" cm="1">
        <f t="array" ref="AA22">_xll.EQNXTDZ($A$1,$B22,AA$1,$B$1)</f>
        <v>1.1000000000000001</v>
      </c>
      <c r="AB22" s="125" cm="1">
        <f t="array" ref="AB22">_xll.EQNXTDZ($A$1,$B22,AB$1,$B$1)</f>
        <v>3.2</v>
      </c>
      <c r="AC22" s="125" cm="1">
        <f t="array" ref="AC22">_xll.EQNXTDZ($A$1,$B22,AC$1,$B$1)</f>
        <v>0</v>
      </c>
      <c r="AD22" s="125" cm="1">
        <f t="array" ref="AD22">_xll.EQNXTDZ($A$1,$B22,AD$1,$B$1)</f>
        <v>0</v>
      </c>
      <c r="AE22" s="125" cm="1">
        <f t="array" ref="AE22">_xll.EQNXTDZ($A$1,$B22,AE$1,$B$1)</f>
        <v>0</v>
      </c>
      <c r="AF22" s="125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5" cm="1">
        <f t="array" ref="C23">_xll.EQNXTDZ($A$1,$B23,C$1,$B$1)</f>
        <v>0</v>
      </c>
      <c r="D23" s="125" cm="1">
        <f t="array" ref="D23">_xll.EQNXTDZ($A$1,$B23,D$1,$B$1)</f>
        <v>0</v>
      </c>
      <c r="E23" s="125" cm="1">
        <f t="array" ref="E23">_xll.EQNXTDZ($A$1,$B23,E$1,$B$1)</f>
        <v>0</v>
      </c>
      <c r="F23" s="125" cm="1">
        <f t="array" ref="F23">_xll.EQNXTDZ($A$1,$B23,F$1,$B$1)</f>
        <v>0</v>
      </c>
      <c r="G23" s="125" cm="1">
        <f t="array" ref="G23">_xll.EQNXTDZ($A$1,$B23,G$1,$B$1)</f>
        <v>0</v>
      </c>
      <c r="H23" s="125" cm="1">
        <f t="array" ref="H23">_xll.EQNXTDZ($A$1,$B23,H$1,$B$1)</f>
        <v>0</v>
      </c>
      <c r="I23" s="125" cm="1">
        <f t="array" ref="I23">_xll.EQNXTDZ($A$1,$B23,I$1,$B$1)</f>
        <v>0</v>
      </c>
      <c r="J23" s="125" cm="1">
        <f t="array" ref="J23">_xll.EQNXTDZ($A$1,$B23,J$1,$B$1)</f>
        <v>0</v>
      </c>
      <c r="K23" s="125" cm="1">
        <f t="array" ref="K23">_xll.EQNXTDZ($A$1,$B23,K$1,$B$1)</f>
        <v>0.42136109999999999</v>
      </c>
      <c r="L23" s="125" cm="1">
        <f t="array" ref="L23">_xll.EQNXTDZ($A$1,$B23,L$1,$B$1)</f>
        <v>4.6817432999999999</v>
      </c>
      <c r="M23" s="125" cm="1">
        <f t="array" ref="M23">_xll.EQNXTDZ($A$1,$B23,M$1,$B$1)</f>
        <v>4.9490314</v>
      </c>
      <c r="N23" s="125" cm="1">
        <f t="array" ref="N23">_xll.EQNXTDZ($A$1,$B23,N$1,$B$1)</f>
        <v>0.71329010000000004</v>
      </c>
      <c r="O23" s="125" cm="1">
        <f t="array" ref="O23">_xll.EQNXTDZ($A$1,$B23,O$1,$B$1)</f>
        <v>5.3446835000000004</v>
      </c>
      <c r="P23" s="125" cm="1">
        <f t="array" ref="P23">_xll.EQNXTDZ($A$1,$B23,P$1,$B$1)</f>
        <v>11.8201795</v>
      </c>
      <c r="Q23" s="125" cm="1">
        <f t="array" ref="Q23">_xll.EQNXTDZ($A$1,$B23,Q$1,$B$1)</f>
        <v>8.7177193000000006</v>
      </c>
      <c r="R23" s="125" cm="1">
        <f t="array" ref="R23">_xll.EQNXTDZ($A$1,$B23,R$1,$B$1)</f>
        <v>19.999550599999999</v>
      </c>
      <c r="S23" s="125" cm="1">
        <f t="array" ref="S23">_xll.EQNXTDZ($A$1,$B23,S$1,$B$1)</f>
        <v>111.9763524</v>
      </c>
      <c r="T23" s="125" cm="1">
        <f t="array" ref="T23">_xll.EQNXTDZ($A$1,$B23,T$1,$B$1)</f>
        <v>126.5</v>
      </c>
      <c r="U23" s="125" cm="1">
        <f t="array" ref="U23">_xll.EQNXTDZ($A$1,$B23,U$1,$B$1)</f>
        <v>86.46</v>
      </c>
      <c r="V23" s="125" cm="1">
        <f t="array" ref="V23">_xll.EQNXTDZ($A$1,$B23,V$1,$B$1)</f>
        <v>254.91</v>
      </c>
      <c r="W23" s="125" cm="1">
        <f t="array" ref="W23">_xll.EQNXTDZ($A$1,$B23,W$1,$B$1)</f>
        <v>662.16</v>
      </c>
      <c r="X23" s="125" cm="1">
        <f t="array" ref="X23">_xll.EQNXTDZ($A$1,$B23,X$1,$B$1)</f>
        <v>616.71</v>
      </c>
      <c r="Y23" s="125" cm="1">
        <f t="array" ref="Y23">_xll.EQNXTDZ($A$1,$B23,Y$1,$B$1)</f>
        <v>417.75</v>
      </c>
      <c r="Z23" s="125" cm="1">
        <f t="array" ref="Z23">_xll.EQNXTDZ($A$1,$B23,Z$1,$B$1)</f>
        <v>469.38</v>
      </c>
      <c r="AA23" s="125" cm="1">
        <f t="array" ref="AA23">_xll.EQNXTDZ($A$1,$B23,AA$1,$B$1)</f>
        <v>1957.86</v>
      </c>
      <c r="AB23" s="125" cm="1">
        <f t="array" ref="AB23">_xll.EQNXTDZ($A$1,$B23,AB$1,$B$1)</f>
        <v>1805.73</v>
      </c>
      <c r="AC23" s="125" cm="1">
        <f t="array" ref="AC23">_xll.EQNXTDZ($A$1,$B23,AC$1,$B$1)</f>
        <v>0</v>
      </c>
      <c r="AD23" s="125" cm="1">
        <f t="array" ref="AD23">_xll.EQNXTDZ($A$1,$B23,AD$1,$B$1)</f>
        <v>0</v>
      </c>
      <c r="AE23" s="125" cm="1">
        <f t="array" ref="AE23">_xll.EQNXTDZ($A$1,$B23,AE$1,$B$1)</f>
        <v>0</v>
      </c>
      <c r="AF23" s="125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5" cm="1">
        <f t="array" ref="C24">_xll.EQNXTDZ($A$1,$B24,C$1,$B$1)</f>
        <v>0</v>
      </c>
      <c r="D24" s="125" cm="1">
        <f t="array" ref="D24">_xll.EQNXTDZ($A$1,$B24,D$1,$B$1)</f>
        <v>0</v>
      </c>
      <c r="E24" s="125" cm="1">
        <f t="array" ref="E24">_xll.EQNXTDZ($A$1,$B24,E$1,$B$1)</f>
        <v>0</v>
      </c>
      <c r="F24" s="125" cm="1">
        <f t="array" ref="F24">_xll.EQNXTDZ($A$1,$B24,F$1,$B$1)</f>
        <v>0</v>
      </c>
      <c r="G24" s="125" cm="1">
        <f t="array" ref="G24">_xll.EQNXTDZ($A$1,$B24,G$1,$B$1)</f>
        <v>0</v>
      </c>
      <c r="H24" s="125" cm="1">
        <f t="array" ref="H24">_xll.EQNXTDZ($A$1,$B24,H$1,$B$1)</f>
        <v>0</v>
      </c>
      <c r="I24" s="125" cm="1">
        <f t="array" ref="I24">_xll.EQNXTDZ($A$1,$B24,I$1,$B$1)</f>
        <v>0</v>
      </c>
      <c r="J24" s="125" cm="1">
        <f t="array" ref="J24">_xll.EQNXTDZ($A$1,$B24,J$1,$B$1)</f>
        <v>0</v>
      </c>
      <c r="K24" s="125" cm="1">
        <f t="array" ref="K24">_xll.EQNXTDZ($A$1,$B24,K$1,$B$1)</f>
        <v>0</v>
      </c>
      <c r="L24" s="125" cm="1">
        <f t="array" ref="L24">_xll.EQNXTDZ($A$1,$B24,L$1,$B$1)</f>
        <v>0</v>
      </c>
      <c r="M24" s="125" cm="1">
        <f t="array" ref="M24">_xll.EQNXTDZ($A$1,$B24,M$1,$B$1)</f>
        <v>0</v>
      </c>
      <c r="N24" s="125" cm="1">
        <f t="array" ref="N24">_xll.EQNXTDZ($A$1,$B24,N$1,$B$1)</f>
        <v>0</v>
      </c>
      <c r="O24" s="125" cm="1">
        <f t="array" ref="O24">_xll.EQNXTDZ($A$1,$B24,O$1,$B$1)</f>
        <v>0</v>
      </c>
      <c r="P24" s="125" cm="1">
        <f t="array" ref="P24">_xll.EQNXTDZ($A$1,$B24,P$1,$B$1)</f>
        <v>0</v>
      </c>
      <c r="Q24" s="125" cm="1">
        <f t="array" ref="Q24">_xll.EQNXTDZ($A$1,$B24,Q$1,$B$1)</f>
        <v>0</v>
      </c>
      <c r="R24" s="125" cm="1">
        <f t="array" ref="R24">_xll.EQNXTDZ($A$1,$B24,R$1,$B$1)</f>
        <v>0</v>
      </c>
      <c r="S24" s="125" cm="1">
        <f t="array" ref="S24">_xll.EQNXTDZ($A$1,$B24,S$1,$B$1)</f>
        <v>0</v>
      </c>
      <c r="T24" s="125" cm="1">
        <f t="array" ref="T24">_xll.EQNXTDZ($A$1,$B24,T$1,$B$1)</f>
        <v>0</v>
      </c>
      <c r="U24" s="125" cm="1">
        <f t="array" ref="U24">_xll.EQNXTDZ($A$1,$B24,U$1,$B$1)</f>
        <v>0</v>
      </c>
      <c r="V24" s="125" cm="1">
        <f t="array" ref="V24">_xll.EQNXTDZ($A$1,$B24,V$1,$B$1)</f>
        <v>0</v>
      </c>
      <c r="W24" s="125" cm="1">
        <f t="array" ref="W24">_xll.EQNXTDZ($A$1,$B24,W$1,$B$1)</f>
        <v>0</v>
      </c>
      <c r="X24" s="125" cm="1">
        <f t="array" ref="X24">_xll.EQNXTDZ($A$1,$B24,X$1,$B$1)</f>
        <v>0</v>
      </c>
      <c r="Y24" s="125" cm="1">
        <f t="array" ref="Y24">_xll.EQNXTDZ($A$1,$B24,Y$1,$B$1)</f>
        <v>0</v>
      </c>
      <c r="Z24" s="125" cm="1">
        <f t="array" ref="Z24">_xll.EQNXTDZ($A$1,$B24,Z$1,$B$1)</f>
        <v>0</v>
      </c>
      <c r="AA24" s="125" cm="1">
        <f t="array" ref="AA24">_xll.EQNXTDZ($A$1,$B24,AA$1,$B$1)</f>
        <v>0</v>
      </c>
      <c r="AB24" s="125" cm="1">
        <f t="array" ref="AB24">_xll.EQNXTDZ($A$1,$B24,AB$1,$B$1)</f>
        <v>0</v>
      </c>
      <c r="AC24" s="125" cm="1">
        <f t="array" ref="AC24">_xll.EQNXTDZ($A$1,$B24,AC$1,$B$1)</f>
        <v>0</v>
      </c>
      <c r="AD24" s="125" cm="1">
        <f t="array" ref="AD24">_xll.EQNXTDZ($A$1,$B24,AD$1,$B$1)</f>
        <v>0</v>
      </c>
      <c r="AE24" s="125" cm="1">
        <f t="array" ref="AE24">_xll.EQNXTDZ($A$1,$B24,AE$1,$B$1)</f>
        <v>0</v>
      </c>
      <c r="AF24" s="125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5" cm="1">
        <f t="array" ref="C25">_xll.EQNXTDZ($A$1,$B25,C$1,$B$1)</f>
        <v>0</v>
      </c>
      <c r="D25" s="125" cm="1">
        <f t="array" ref="D25">_xll.EQNXTDZ($A$1,$B25,D$1,$B$1)</f>
        <v>0</v>
      </c>
      <c r="E25" s="125" cm="1">
        <f t="array" ref="E25">_xll.EQNXTDZ($A$1,$B25,E$1,$B$1)</f>
        <v>0</v>
      </c>
      <c r="F25" s="125" cm="1">
        <f t="array" ref="F25">_xll.EQNXTDZ($A$1,$B25,F$1,$B$1)</f>
        <v>0</v>
      </c>
      <c r="G25" s="125" cm="1">
        <f t="array" ref="G25">_xll.EQNXTDZ($A$1,$B25,G$1,$B$1)</f>
        <v>0</v>
      </c>
      <c r="H25" s="125" cm="1">
        <f t="array" ref="H25">_xll.EQNXTDZ($A$1,$B25,H$1,$B$1)</f>
        <v>0</v>
      </c>
      <c r="I25" s="125" cm="1">
        <f t="array" ref="I25">_xll.EQNXTDZ($A$1,$B25,I$1,$B$1)</f>
        <v>0</v>
      </c>
      <c r="J25" s="125" cm="1">
        <f t="array" ref="J25">_xll.EQNXTDZ($A$1,$B25,J$1,$B$1)</f>
        <v>0</v>
      </c>
      <c r="K25" s="125" cm="1">
        <f t="array" ref="K25">_xll.EQNXTDZ($A$1,$B25,K$1,$B$1)</f>
        <v>16.036413599999999</v>
      </c>
      <c r="L25" s="125" cm="1">
        <f t="array" ref="L25">_xll.EQNXTDZ($A$1,$B25,L$1,$B$1)</f>
        <v>26.4413202</v>
      </c>
      <c r="M25" s="125" cm="1">
        <f t="array" ref="M25">_xll.EQNXTDZ($A$1,$B25,M$1,$B$1)</f>
        <v>41.4877459</v>
      </c>
      <c r="N25" s="125" cm="1">
        <f t="array" ref="N25">_xll.EQNXTDZ($A$1,$B25,N$1,$B$1)</f>
        <v>33.762405700000002</v>
      </c>
      <c r="O25" s="125" cm="1">
        <f t="array" ref="O25">_xll.EQNXTDZ($A$1,$B25,O$1,$B$1)</f>
        <v>39.314433000000001</v>
      </c>
      <c r="P25" s="125" cm="1">
        <f t="array" ref="P25">_xll.EQNXTDZ($A$1,$B25,P$1,$B$1)</f>
        <v>54.642700599999998</v>
      </c>
      <c r="Q25" s="125" cm="1">
        <f t="array" ref="Q25">_xll.EQNXTDZ($A$1,$B25,Q$1,$B$1)</f>
        <v>75.533025199999997</v>
      </c>
      <c r="R25" s="125" cm="1">
        <f t="array" ref="R25">_xll.EQNXTDZ($A$1,$B25,R$1,$B$1)</f>
        <v>126.3240948</v>
      </c>
      <c r="S25" s="125" cm="1">
        <f t="array" ref="S25">_xll.EQNXTDZ($A$1,$B25,S$1,$B$1)</f>
        <v>263.9887354</v>
      </c>
      <c r="T25" s="125" cm="1">
        <f t="array" ref="T25">_xll.EQNXTDZ($A$1,$B25,T$1,$B$1)</f>
        <v>314.29000000000002</v>
      </c>
      <c r="U25" s="125" cm="1">
        <f t="array" ref="U25">_xll.EQNXTDZ($A$1,$B25,U$1,$B$1)</f>
        <v>360.69</v>
      </c>
      <c r="V25" s="125" cm="1">
        <f t="array" ref="V25">_xll.EQNXTDZ($A$1,$B25,V$1,$B$1)</f>
        <v>639.04</v>
      </c>
      <c r="W25" s="125" cm="1">
        <f t="array" ref="W25">_xll.EQNXTDZ($A$1,$B25,W$1,$B$1)</f>
        <v>1068.76</v>
      </c>
      <c r="X25" s="125" cm="1">
        <f t="array" ref="X25">_xll.EQNXTDZ($A$1,$B25,X$1,$B$1)</f>
        <v>1234.6099999999999</v>
      </c>
      <c r="Y25" s="125" cm="1">
        <f t="array" ref="Y25">_xll.EQNXTDZ($A$1,$B25,Y$1,$B$1)</f>
        <v>1180.9000000000001</v>
      </c>
      <c r="Z25" s="125" cm="1">
        <f t="array" ref="Z25">_xll.EQNXTDZ($A$1,$B25,Z$1,$B$1)</f>
        <v>1443.96</v>
      </c>
      <c r="AA25" s="125" cm="1">
        <f t="array" ref="AA25">_xll.EQNXTDZ($A$1,$B25,AA$1,$B$1)</f>
        <v>3030.07</v>
      </c>
      <c r="AB25" s="125" cm="1">
        <f t="array" ref="AB25">_xll.EQNXTDZ($A$1,$B25,AB$1,$B$1)</f>
        <v>3061.13</v>
      </c>
      <c r="AC25" s="125" cm="1">
        <f t="array" ref="AC25">_xll.EQNXTDZ($A$1,$B25,AC$1,$B$1)</f>
        <v>0</v>
      </c>
      <c r="AD25" s="125" cm="1">
        <f t="array" ref="AD25">_xll.EQNXTDZ($A$1,$B25,AD$1,$B$1)</f>
        <v>0</v>
      </c>
      <c r="AE25" s="125" cm="1">
        <f t="array" ref="AE25">_xll.EQNXTDZ($A$1,$B25,AE$1,$B$1)</f>
        <v>0</v>
      </c>
      <c r="AF25" s="125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5" cm="1">
        <f t="array" ref="C26">_xll.EQNXTDZ($A$1,$B26,C$1,$B$1)</f>
        <v>0</v>
      </c>
      <c r="D26" s="125" cm="1">
        <f t="array" ref="D26">_xll.EQNXTDZ($A$1,$B26,D$1,$B$1)</f>
        <v>0</v>
      </c>
      <c r="E26" s="125" cm="1">
        <f t="array" ref="E26">_xll.EQNXTDZ($A$1,$B26,E$1,$B$1)</f>
        <v>0</v>
      </c>
      <c r="F26" s="125" cm="1">
        <f t="array" ref="F26">_xll.EQNXTDZ($A$1,$B26,F$1,$B$1)</f>
        <v>0</v>
      </c>
      <c r="G26" s="125" cm="1">
        <f t="array" ref="G26">_xll.EQNXTDZ($A$1,$B26,G$1,$B$1)</f>
        <v>0</v>
      </c>
      <c r="H26" s="125" cm="1">
        <f t="array" ref="H26">_xll.EQNXTDZ($A$1,$B26,H$1,$B$1)</f>
        <v>0</v>
      </c>
      <c r="I26" s="125" cm="1">
        <f t="array" ref="I26">_xll.EQNXTDZ($A$1,$B26,I$1,$B$1)</f>
        <v>0</v>
      </c>
      <c r="J26" s="125" cm="1">
        <f t="array" ref="J26">_xll.EQNXTDZ($A$1,$B26,J$1,$B$1)</f>
        <v>0</v>
      </c>
      <c r="K26" s="125" cm="1">
        <f t="array" ref="K26">_xll.EQNXTDZ($A$1,$B26,K$1,$B$1)</f>
        <v>17.703644000000001</v>
      </c>
      <c r="L26" s="125" cm="1">
        <f t="array" ref="L26">_xll.EQNXTDZ($A$1,$B26,L$1,$B$1)</f>
        <v>22.267385300000001</v>
      </c>
      <c r="M26" s="125" cm="1">
        <f t="array" ref="M26">_xll.EQNXTDZ($A$1,$B26,M$1,$B$1)</f>
        <v>38.756024199999999</v>
      </c>
      <c r="N26" s="125" cm="1">
        <f t="array" ref="N26">_xll.EQNXTDZ($A$1,$B26,N$1,$B$1)</f>
        <v>25.765328499999999</v>
      </c>
      <c r="O26" s="125" cm="1">
        <f t="array" ref="O26">_xll.EQNXTDZ($A$1,$B26,O$1,$B$1)</f>
        <v>47.382715400000002</v>
      </c>
      <c r="P26" s="125" cm="1">
        <f t="array" ref="P26">_xll.EQNXTDZ($A$1,$B26,P$1,$B$1)</f>
        <v>87.693394900000001</v>
      </c>
      <c r="Q26" s="125" cm="1">
        <f t="array" ref="Q26">_xll.EQNXTDZ($A$1,$B26,Q$1,$B$1)</f>
        <v>192.62731149999999</v>
      </c>
      <c r="R26" s="125" cm="1">
        <f t="array" ref="R26">_xll.EQNXTDZ($A$1,$B26,R$1,$B$1)</f>
        <v>330.62597219999998</v>
      </c>
      <c r="S26" s="125" cm="1">
        <f t="array" ref="S26">_xll.EQNXTDZ($A$1,$B26,S$1,$B$1)</f>
        <v>437.7562848</v>
      </c>
      <c r="T26" s="125" cm="1">
        <f t="array" ref="T26">_xll.EQNXTDZ($A$1,$B26,T$1,$B$1)</f>
        <v>556.29</v>
      </c>
      <c r="U26" s="125" cm="1">
        <f t="array" ref="U26">_xll.EQNXTDZ($A$1,$B26,U$1,$B$1)</f>
        <v>921.57</v>
      </c>
      <c r="V26" s="125" cm="1">
        <f t="array" ref="V26">_xll.EQNXTDZ($A$1,$B26,V$1,$B$1)</f>
        <v>1044.45</v>
      </c>
      <c r="W26" s="125" cm="1">
        <f t="array" ref="W26">_xll.EQNXTDZ($A$1,$B26,W$1,$B$1)</f>
        <v>959.03</v>
      </c>
      <c r="X26" s="125" cm="1">
        <f t="array" ref="X26">_xll.EQNXTDZ($A$1,$B26,X$1,$B$1)</f>
        <v>1508.14</v>
      </c>
      <c r="Y26" s="125" cm="1">
        <f t="array" ref="Y26">_xll.EQNXTDZ($A$1,$B26,Y$1,$B$1)</f>
        <v>2364.2199999999998</v>
      </c>
      <c r="Z26" s="125" cm="1">
        <f t="array" ref="Z26">_xll.EQNXTDZ($A$1,$B26,Z$1,$B$1)</f>
        <v>3722.71</v>
      </c>
      <c r="AA26" s="125" cm="1">
        <f t="array" ref="AA26">_xll.EQNXTDZ($A$1,$B26,AA$1,$B$1)</f>
        <v>2722.26</v>
      </c>
      <c r="AB26" s="125" cm="1">
        <f t="array" ref="AB26">_xll.EQNXTDZ($A$1,$B26,AB$1,$B$1)</f>
        <v>2997.79</v>
      </c>
      <c r="AC26" s="125" cm="1">
        <f t="array" ref="AC26">_xll.EQNXTDZ($A$1,$B26,AC$1,$B$1)</f>
        <v>0</v>
      </c>
      <c r="AD26" s="125" cm="1">
        <f t="array" ref="AD26">_xll.EQNXTDZ($A$1,$B26,AD$1,$B$1)</f>
        <v>0</v>
      </c>
      <c r="AE26" s="125" cm="1">
        <f t="array" ref="AE26">_xll.EQNXTDZ($A$1,$B26,AE$1,$B$1)</f>
        <v>0</v>
      </c>
      <c r="AF26" s="125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5" cm="1">
        <f t="array" ref="C27">_xll.EQNXTDZ($A$1,$B27,C$1,$B$1)</f>
        <v>0</v>
      </c>
      <c r="D27" s="125" cm="1">
        <f t="array" ref="D27">_xll.EQNXTDZ($A$1,$B27,D$1,$B$1)</f>
        <v>0</v>
      </c>
      <c r="E27" s="125" cm="1">
        <f t="array" ref="E27">_xll.EQNXTDZ($A$1,$B27,E$1,$B$1)</f>
        <v>0</v>
      </c>
      <c r="F27" s="125" cm="1">
        <f t="array" ref="F27">_xll.EQNXTDZ($A$1,$B27,F$1,$B$1)</f>
        <v>0</v>
      </c>
      <c r="G27" s="125" cm="1">
        <f t="array" ref="G27">_xll.EQNXTDZ($A$1,$B27,G$1,$B$1)</f>
        <v>0</v>
      </c>
      <c r="H27" s="125" cm="1">
        <f t="array" ref="H27">_xll.EQNXTDZ($A$1,$B27,H$1,$B$1)</f>
        <v>0</v>
      </c>
      <c r="I27" s="125" cm="1">
        <f t="array" ref="I27">_xll.EQNXTDZ($A$1,$B27,I$1,$B$1)</f>
        <v>0</v>
      </c>
      <c r="J27" s="125" cm="1">
        <f t="array" ref="J27">_xll.EQNXTDZ($A$1,$B27,J$1,$B$1)</f>
        <v>0</v>
      </c>
      <c r="K27" s="125" cm="1">
        <f t="array" ref="K27">_xll.EQNXTDZ($A$1,$B27,K$1,$B$1)</f>
        <v>0.30968190000000001</v>
      </c>
      <c r="L27" s="125" cm="1">
        <f t="array" ref="L27">_xll.EQNXTDZ($A$1,$B27,L$1,$B$1)</f>
        <v>1.0783502</v>
      </c>
      <c r="M27" s="125" cm="1">
        <f t="array" ref="M27">_xll.EQNXTDZ($A$1,$B27,M$1,$B$1)</f>
        <v>2.0898856000000001</v>
      </c>
      <c r="N27" s="125" cm="1">
        <f t="array" ref="N27">_xll.EQNXTDZ($A$1,$B27,N$1,$B$1)</f>
        <v>4.1130015999999996</v>
      </c>
      <c r="O27" s="125" cm="1">
        <f t="array" ref="O27">_xll.EQNXTDZ($A$1,$B27,O$1,$B$1)</f>
        <v>2.5412669000000001</v>
      </c>
      <c r="P27" s="125" cm="1">
        <f t="array" ref="P27">_xll.EQNXTDZ($A$1,$B27,P$1,$B$1)</f>
        <v>9.8859448000000008</v>
      </c>
      <c r="Q27" s="125" cm="1">
        <f t="array" ref="Q27">_xll.EQNXTDZ($A$1,$B27,Q$1,$B$1)</f>
        <v>13.267740099999999</v>
      </c>
      <c r="R27" s="125" cm="1">
        <f t="array" ref="R27">_xll.EQNXTDZ($A$1,$B27,R$1,$B$1)</f>
        <v>9.7685413000000008</v>
      </c>
      <c r="S27" s="125" cm="1">
        <f t="array" ref="S27">_xll.EQNXTDZ($A$1,$B27,S$1,$B$1)</f>
        <v>7.5161701000000001</v>
      </c>
      <c r="T27" s="125" cm="1">
        <f t="array" ref="T27">_xll.EQNXTDZ($A$1,$B27,T$1,$B$1)</f>
        <v>131.49</v>
      </c>
      <c r="U27" s="125" cm="1">
        <f t="array" ref="U27">_xll.EQNXTDZ($A$1,$B27,U$1,$B$1)</f>
        <v>1.18</v>
      </c>
      <c r="V27" s="125" cm="1">
        <f t="array" ref="V27">_xll.EQNXTDZ($A$1,$B27,V$1,$B$1)</f>
        <v>0.9</v>
      </c>
      <c r="W27" s="125" cm="1">
        <f t="array" ref="W27">_xll.EQNXTDZ($A$1,$B27,W$1,$B$1)</f>
        <v>3.36</v>
      </c>
      <c r="X27" s="125" cm="1">
        <f t="array" ref="X27">_xll.EQNXTDZ($A$1,$B27,X$1,$B$1)</f>
        <v>7.31</v>
      </c>
      <c r="Y27" s="125" cm="1">
        <f t="array" ref="Y27">_xll.EQNXTDZ($A$1,$B27,Y$1,$B$1)</f>
        <v>7.13</v>
      </c>
      <c r="Z27" s="125" cm="1">
        <f t="array" ref="Z27">_xll.EQNXTDZ($A$1,$B27,Z$1,$B$1)</f>
        <v>5.98</v>
      </c>
      <c r="AA27" s="125" cm="1">
        <f t="array" ref="AA27">_xll.EQNXTDZ($A$1,$B27,AA$1,$B$1)</f>
        <v>3.81</v>
      </c>
      <c r="AB27" s="125" cm="1">
        <f t="array" ref="AB27">_xll.EQNXTDZ($A$1,$B27,AB$1,$B$1)</f>
        <v>3.62</v>
      </c>
      <c r="AC27" s="125" cm="1">
        <f t="array" ref="AC27">_xll.EQNXTDZ($A$1,$B27,AC$1,$B$1)</f>
        <v>0</v>
      </c>
      <c r="AD27" s="125" cm="1">
        <f t="array" ref="AD27">_xll.EQNXTDZ($A$1,$B27,AD$1,$B$1)</f>
        <v>0</v>
      </c>
      <c r="AE27" s="125" cm="1">
        <f t="array" ref="AE27">_xll.EQNXTDZ($A$1,$B27,AE$1,$B$1)</f>
        <v>0</v>
      </c>
      <c r="AF27" s="125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5" cm="1">
        <f t="array" ref="C28">_xll.EQNXTDZ($A$1,$B28,C$1,$B$1)</f>
        <v>0</v>
      </c>
      <c r="D28" s="125" cm="1">
        <f t="array" ref="D28">_xll.EQNXTDZ($A$1,$B28,D$1,$B$1)</f>
        <v>0</v>
      </c>
      <c r="E28" s="125" cm="1">
        <f t="array" ref="E28">_xll.EQNXTDZ($A$1,$B28,E$1,$B$1)</f>
        <v>0</v>
      </c>
      <c r="F28" s="125" cm="1">
        <f t="array" ref="F28">_xll.EQNXTDZ($A$1,$B28,F$1,$B$1)</f>
        <v>0</v>
      </c>
      <c r="G28" s="125" cm="1">
        <f t="array" ref="G28">_xll.EQNXTDZ($A$1,$B28,G$1,$B$1)</f>
        <v>0</v>
      </c>
      <c r="H28" s="125" cm="1">
        <f t="array" ref="H28">_xll.EQNXTDZ($A$1,$B28,H$1,$B$1)</f>
        <v>0</v>
      </c>
      <c r="I28" s="125" cm="1">
        <f t="array" ref="I28">_xll.EQNXTDZ($A$1,$B28,I$1,$B$1)</f>
        <v>0</v>
      </c>
      <c r="J28" s="125" cm="1">
        <f t="array" ref="J28">_xll.EQNXTDZ($A$1,$B28,J$1,$B$1)</f>
        <v>0</v>
      </c>
      <c r="K28" s="125" cm="1">
        <f t="array" ref="K28">_xll.EQNXTDZ($A$1,$B28,K$1,$B$1)</f>
        <v>18.013325900000002</v>
      </c>
      <c r="L28" s="125" cm="1">
        <f t="array" ref="L28">_xll.EQNXTDZ($A$1,$B28,L$1,$B$1)</f>
        <v>23.3457355</v>
      </c>
      <c r="M28" s="125" cm="1">
        <f t="array" ref="M28">_xll.EQNXTDZ($A$1,$B28,M$1,$B$1)</f>
        <v>40.845909800000001</v>
      </c>
      <c r="N28" s="125" cm="1">
        <f t="array" ref="N28">_xll.EQNXTDZ($A$1,$B28,N$1,$B$1)</f>
        <v>29.878330099999999</v>
      </c>
      <c r="O28" s="125" cm="1">
        <f t="array" ref="O28">_xll.EQNXTDZ($A$1,$B28,O$1,$B$1)</f>
        <v>49.923982299999999</v>
      </c>
      <c r="P28" s="125" cm="1">
        <f t="array" ref="P28">_xll.EQNXTDZ($A$1,$B28,P$1,$B$1)</f>
        <v>97.579339700000006</v>
      </c>
      <c r="Q28" s="125" cm="1">
        <f t="array" ref="Q28">_xll.EQNXTDZ($A$1,$B28,Q$1,$B$1)</f>
        <v>205.89505159999999</v>
      </c>
      <c r="R28" s="125" cm="1">
        <f t="array" ref="R28">_xll.EQNXTDZ($A$1,$B28,R$1,$B$1)</f>
        <v>340.39451350000002</v>
      </c>
      <c r="S28" s="125" cm="1">
        <f t="array" ref="S28">_xll.EQNXTDZ($A$1,$B28,S$1,$B$1)</f>
        <v>445.27245490000001</v>
      </c>
      <c r="T28" s="125" cm="1">
        <f t="array" ref="T28">_xll.EQNXTDZ($A$1,$B28,T$1,$B$1)</f>
        <v>687.78</v>
      </c>
      <c r="U28" s="125" cm="1">
        <f t="array" ref="U28">_xll.EQNXTDZ($A$1,$B28,U$1,$B$1)</f>
        <v>922.75</v>
      </c>
      <c r="V28" s="125" cm="1">
        <f t="array" ref="V28">_xll.EQNXTDZ($A$1,$B28,V$1,$B$1)</f>
        <v>1045.3499999999999</v>
      </c>
      <c r="W28" s="125" cm="1">
        <f t="array" ref="W28">_xll.EQNXTDZ($A$1,$B28,W$1,$B$1)</f>
        <v>962.39</v>
      </c>
      <c r="X28" s="125" cm="1">
        <f t="array" ref="X28">_xll.EQNXTDZ($A$1,$B28,X$1,$B$1)</f>
        <v>1515.45</v>
      </c>
      <c r="Y28" s="125" cm="1">
        <f t="array" ref="Y28">_xll.EQNXTDZ($A$1,$B28,Y$1,$B$1)</f>
        <v>2371.35</v>
      </c>
      <c r="Z28" s="125" cm="1">
        <f t="array" ref="Z28">_xll.EQNXTDZ($A$1,$B28,Z$1,$B$1)</f>
        <v>3728.69</v>
      </c>
      <c r="AA28" s="125" cm="1">
        <f t="array" ref="AA28">_xll.EQNXTDZ($A$1,$B28,AA$1,$B$1)</f>
        <v>2726.07</v>
      </c>
      <c r="AB28" s="125" cm="1">
        <f t="array" ref="AB28">_xll.EQNXTDZ($A$1,$B28,AB$1,$B$1)</f>
        <v>3001.41</v>
      </c>
      <c r="AC28" s="125" cm="1">
        <f t="array" ref="AC28">_xll.EQNXTDZ($A$1,$B28,AC$1,$B$1)</f>
        <v>0</v>
      </c>
      <c r="AD28" s="125" cm="1">
        <f t="array" ref="AD28">_xll.EQNXTDZ($A$1,$B28,AD$1,$B$1)</f>
        <v>0</v>
      </c>
      <c r="AE28" s="125" cm="1">
        <f t="array" ref="AE28">_xll.EQNXTDZ($A$1,$B28,AE$1,$B$1)</f>
        <v>0</v>
      </c>
      <c r="AF28" s="125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5" cm="1">
        <f t="array" ref="C29">_xll.EQNXTDZ($A$1,$B29,C$1,$B$1)</f>
        <v>0</v>
      </c>
      <c r="D29" s="125" cm="1">
        <f t="array" ref="D29">_xll.EQNXTDZ($A$1,$B29,D$1,$B$1)</f>
        <v>0</v>
      </c>
      <c r="E29" s="125" cm="1">
        <f t="array" ref="E29">_xll.EQNXTDZ($A$1,$B29,E$1,$B$1)</f>
        <v>0</v>
      </c>
      <c r="F29" s="125" cm="1">
        <f t="array" ref="F29">_xll.EQNXTDZ($A$1,$B29,F$1,$B$1)</f>
        <v>0</v>
      </c>
      <c r="G29" s="125" cm="1">
        <f t="array" ref="G29">_xll.EQNXTDZ($A$1,$B29,G$1,$B$1)</f>
        <v>0</v>
      </c>
      <c r="H29" s="125" cm="1">
        <f t="array" ref="H29">_xll.EQNXTDZ($A$1,$B29,H$1,$B$1)</f>
        <v>0</v>
      </c>
      <c r="I29" s="125" cm="1">
        <f t="array" ref="I29">_xll.EQNXTDZ($A$1,$B29,I$1,$B$1)</f>
        <v>0</v>
      </c>
      <c r="J29" s="125" cm="1">
        <f t="array" ref="J29">_xll.EQNXTDZ($A$1,$B29,J$1,$B$1)</f>
        <v>0</v>
      </c>
      <c r="K29" s="125" cm="1">
        <f t="array" ref="K29">_xll.EQNXTDZ($A$1,$B29,K$1,$B$1)</f>
        <v>16.809224700000001</v>
      </c>
      <c r="L29" s="125" cm="1">
        <f t="array" ref="L29">_xll.EQNXTDZ($A$1,$B29,L$1,$B$1)</f>
        <v>18.907731900000002</v>
      </c>
      <c r="M29" s="125" cm="1">
        <f t="array" ref="M29">_xll.EQNXTDZ($A$1,$B29,M$1,$B$1)</f>
        <v>34.316549199999997</v>
      </c>
      <c r="N29" s="125" cm="1">
        <f t="array" ref="N29">_xll.EQNXTDZ($A$1,$B29,N$1,$B$1)</f>
        <v>30.2754522</v>
      </c>
      <c r="O29" s="125" cm="1">
        <f t="array" ref="O29">_xll.EQNXTDZ($A$1,$B29,O$1,$B$1)</f>
        <v>40.271636700000002</v>
      </c>
      <c r="P29" s="125" cm="1">
        <f t="array" ref="P29">_xll.EQNXTDZ($A$1,$B29,P$1,$B$1)</f>
        <v>69.400163000000006</v>
      </c>
      <c r="Q29" s="125" cm="1">
        <f t="array" ref="Q29">_xll.EQNXTDZ($A$1,$B29,Q$1,$B$1)</f>
        <v>127.8927632</v>
      </c>
      <c r="R29" s="125" cm="1">
        <f t="array" ref="R29">_xll.EQNXTDZ($A$1,$B29,R$1,$B$1)</f>
        <v>207.4278377</v>
      </c>
      <c r="S29" s="125" cm="1">
        <f t="array" ref="S29">_xll.EQNXTDZ($A$1,$B29,S$1,$B$1)</f>
        <v>324.25327329999999</v>
      </c>
      <c r="T29" s="125" cm="1">
        <f t="array" ref="T29">_xll.EQNXTDZ($A$1,$B29,T$1,$B$1)</f>
        <v>354.39</v>
      </c>
      <c r="U29" s="125" cm="1">
        <f t="array" ref="U29">_xll.EQNXTDZ($A$1,$B29,U$1,$B$1)</f>
        <v>417.22</v>
      </c>
      <c r="V29" s="125" cm="1">
        <f t="array" ref="V29">_xll.EQNXTDZ($A$1,$B29,V$1,$B$1)</f>
        <v>574.82000000000005</v>
      </c>
      <c r="W29" s="125" cm="1">
        <f t="array" ref="W29">_xll.EQNXTDZ($A$1,$B29,W$1,$B$1)</f>
        <v>744.67</v>
      </c>
      <c r="X29" s="125" cm="1">
        <f t="array" ref="X29">_xll.EQNXTDZ($A$1,$B29,X$1,$B$1)</f>
        <v>987.42</v>
      </c>
      <c r="Y29" s="125" cm="1">
        <f t="array" ref="Y29">_xll.EQNXTDZ($A$1,$B29,Y$1,$B$1)</f>
        <v>1216.1199999999999</v>
      </c>
      <c r="Z29" s="125" cm="1">
        <f t="array" ref="Z29">_xll.EQNXTDZ($A$1,$B29,Z$1,$B$1)</f>
        <v>1738.36</v>
      </c>
      <c r="AA29" s="125" cm="1">
        <f t="array" ref="AA29">_xll.EQNXTDZ($A$1,$B29,AA$1,$B$1)</f>
        <v>1954.98</v>
      </c>
      <c r="AB29" s="125" cm="1">
        <f t="array" ref="AB29">_xll.EQNXTDZ($A$1,$B29,AB$1,$B$1)</f>
        <v>1905.13</v>
      </c>
      <c r="AC29" s="125" cm="1">
        <f t="array" ref="AC29">_xll.EQNXTDZ($A$1,$B29,AC$1,$B$1)</f>
        <v>0</v>
      </c>
      <c r="AD29" s="125" cm="1">
        <f t="array" ref="AD29">_xll.EQNXTDZ($A$1,$B29,AD$1,$B$1)</f>
        <v>0</v>
      </c>
      <c r="AE29" s="125" cm="1">
        <f t="array" ref="AE29">_xll.EQNXTDZ($A$1,$B29,AE$1,$B$1)</f>
        <v>0</v>
      </c>
      <c r="AF29" s="125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5" cm="1">
        <f t="array" ref="C30">_xll.EQNXTDZ($A$1,$B30,C$1,$B$1)</f>
        <v>0</v>
      </c>
      <c r="D30" s="125" cm="1">
        <f t="array" ref="D30">_xll.EQNXTDZ($A$1,$B30,D$1,$B$1)</f>
        <v>0</v>
      </c>
      <c r="E30" s="125" cm="1">
        <f t="array" ref="E30">_xll.EQNXTDZ($A$1,$B30,E$1,$B$1)</f>
        <v>0</v>
      </c>
      <c r="F30" s="125" cm="1">
        <f t="array" ref="F30">_xll.EQNXTDZ($A$1,$B30,F$1,$B$1)</f>
        <v>0</v>
      </c>
      <c r="G30" s="125" cm="1">
        <f t="array" ref="G30">_xll.EQNXTDZ($A$1,$B30,G$1,$B$1)</f>
        <v>0</v>
      </c>
      <c r="H30" s="125" cm="1">
        <f t="array" ref="H30">_xll.EQNXTDZ($A$1,$B30,H$1,$B$1)</f>
        <v>0</v>
      </c>
      <c r="I30" s="125" cm="1">
        <f t="array" ref="I30">_xll.EQNXTDZ($A$1,$B30,I$1,$B$1)</f>
        <v>0</v>
      </c>
      <c r="J30" s="125" cm="1">
        <f t="array" ref="J30">_xll.EQNXTDZ($A$1,$B30,J$1,$B$1)</f>
        <v>0</v>
      </c>
      <c r="K30" s="125" cm="1">
        <f t="array" ref="K30">_xll.EQNXTDZ($A$1,$B30,K$1,$B$1)</f>
        <v>1.2041012</v>
      </c>
      <c r="L30" s="125" cm="1">
        <f t="array" ref="L30">_xll.EQNXTDZ($A$1,$B30,L$1,$B$1)</f>
        <v>4.4380036</v>
      </c>
      <c r="M30" s="125" cm="1">
        <f t="array" ref="M30">_xll.EQNXTDZ($A$1,$B30,M$1,$B$1)</f>
        <v>6.5293606000000004</v>
      </c>
      <c r="N30" s="125" cm="1">
        <f t="array" ref="N30">_xll.EQNXTDZ($A$1,$B30,N$1,$B$1)</f>
        <v>-0.39712209999999998</v>
      </c>
      <c r="O30" s="125" cm="1">
        <f t="array" ref="O30">_xll.EQNXTDZ($A$1,$B30,O$1,$B$1)</f>
        <v>9.6523456000000003</v>
      </c>
      <c r="P30" s="125" cm="1">
        <f t="array" ref="P30">_xll.EQNXTDZ($A$1,$B30,P$1,$B$1)</f>
        <v>28.179176699999999</v>
      </c>
      <c r="Q30" s="125" cm="1">
        <f t="array" ref="Q30">_xll.EQNXTDZ($A$1,$B30,Q$1,$B$1)</f>
        <v>78.002288399999998</v>
      </c>
      <c r="R30" s="125" cm="1">
        <f t="array" ref="R30">_xll.EQNXTDZ($A$1,$B30,R$1,$B$1)</f>
        <v>132.96667579999999</v>
      </c>
      <c r="S30" s="125" cm="1">
        <f t="array" ref="S30">_xll.EQNXTDZ($A$1,$B30,S$1,$B$1)</f>
        <v>121.0191816</v>
      </c>
      <c r="T30" s="125" cm="1">
        <f t="array" ref="T30">_xll.EQNXTDZ($A$1,$B30,T$1,$B$1)</f>
        <v>333.39</v>
      </c>
      <c r="U30" s="125" cm="1">
        <f t="array" ref="U30">_xll.EQNXTDZ($A$1,$B30,U$1,$B$1)</f>
        <v>505.53</v>
      </c>
      <c r="V30" s="125" cm="1">
        <f t="array" ref="V30">_xll.EQNXTDZ($A$1,$B30,V$1,$B$1)</f>
        <v>470.53</v>
      </c>
      <c r="W30" s="125" cm="1">
        <f t="array" ref="W30">_xll.EQNXTDZ($A$1,$B30,W$1,$B$1)</f>
        <v>217.72</v>
      </c>
      <c r="X30" s="125" cm="1">
        <f t="array" ref="X30">_xll.EQNXTDZ($A$1,$B30,X$1,$B$1)</f>
        <v>528.03</v>
      </c>
      <c r="Y30" s="125" cm="1">
        <f t="array" ref="Y30">_xll.EQNXTDZ($A$1,$B30,Y$1,$B$1)</f>
        <v>1155.23</v>
      </c>
      <c r="Z30" s="125" cm="1">
        <f t="array" ref="Z30">_xll.EQNXTDZ($A$1,$B30,Z$1,$B$1)</f>
        <v>1990.33</v>
      </c>
      <c r="AA30" s="125" cm="1">
        <f t="array" ref="AA30">_xll.EQNXTDZ($A$1,$B30,AA$1,$B$1)</f>
        <v>771.09</v>
      </c>
      <c r="AB30" s="125" cm="1">
        <f t="array" ref="AB30">_xll.EQNXTDZ($A$1,$B30,AB$1,$B$1)</f>
        <v>1096.28</v>
      </c>
      <c r="AC30" s="125" cm="1">
        <f t="array" ref="AC30">_xll.EQNXTDZ($A$1,$B30,AC$1,$B$1)</f>
        <v>0</v>
      </c>
      <c r="AD30" s="125" cm="1">
        <f t="array" ref="AD30">_xll.EQNXTDZ($A$1,$B30,AD$1,$B$1)</f>
        <v>0</v>
      </c>
      <c r="AE30" s="125" cm="1">
        <f t="array" ref="AE30">_xll.EQNXTDZ($A$1,$B30,AE$1,$B$1)</f>
        <v>0</v>
      </c>
      <c r="AF30" s="125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5" cm="1">
        <f t="array" ref="C31">_xll.EQNXTDZ($A$1,$B31,C$1,$B$1)</f>
        <v>0</v>
      </c>
      <c r="D31" s="125" cm="1">
        <f t="array" ref="D31">_xll.EQNXTDZ($A$1,$B31,D$1,$B$1)</f>
        <v>0</v>
      </c>
      <c r="E31" s="125" cm="1">
        <f t="array" ref="E31">_xll.EQNXTDZ($A$1,$B31,E$1,$B$1)</f>
        <v>0</v>
      </c>
      <c r="F31" s="125" cm="1">
        <f t="array" ref="F31">_xll.EQNXTDZ($A$1,$B31,F$1,$B$1)</f>
        <v>0</v>
      </c>
      <c r="G31" s="125" cm="1">
        <f t="array" ref="G31">_xll.EQNXTDZ($A$1,$B31,G$1,$B$1)</f>
        <v>0</v>
      </c>
      <c r="H31" s="125" cm="1">
        <f t="array" ref="H31">_xll.EQNXTDZ($A$1,$B31,H$1,$B$1)</f>
        <v>0</v>
      </c>
      <c r="I31" s="125" cm="1">
        <f t="array" ref="I31">_xll.EQNXTDZ($A$1,$B31,I$1,$B$1)</f>
        <v>0</v>
      </c>
      <c r="J31" s="125" cm="1">
        <f t="array" ref="J31">_xll.EQNXTDZ($A$1,$B31,J$1,$B$1)</f>
        <v>0</v>
      </c>
      <c r="K31" s="125" cm="1">
        <f t="array" ref="K31">_xll.EQNXTDZ($A$1,$B31,K$1,$B$1)</f>
        <v>0.30324830000000003</v>
      </c>
      <c r="L31" s="125" cm="1">
        <f t="array" ref="L31">_xll.EQNXTDZ($A$1,$B31,L$1,$B$1)</f>
        <v>2.5566715000000002</v>
      </c>
      <c r="M31" s="125" cm="1">
        <f t="array" ref="M31">_xll.EQNXTDZ($A$1,$B31,M$1,$B$1)</f>
        <v>2.7372410999999999</v>
      </c>
      <c r="N31" s="125" cm="1">
        <f t="array" ref="N31">_xll.EQNXTDZ($A$1,$B31,N$1,$B$1)</f>
        <v>1.3103271000000001</v>
      </c>
      <c r="O31" s="125" cm="1">
        <f t="array" ref="O31">_xll.EQNXTDZ($A$1,$B31,O$1,$B$1)</f>
        <v>0.60516130000000001</v>
      </c>
      <c r="P31" s="125" cm="1">
        <f t="array" ref="P31">_xll.EQNXTDZ($A$1,$B31,P$1,$B$1)</f>
        <v>0.52694669999999999</v>
      </c>
      <c r="Q31" s="125" cm="1">
        <f t="array" ref="Q31">_xll.EQNXTDZ($A$1,$B31,Q$1,$B$1)</f>
        <v>1.9228099000000001</v>
      </c>
      <c r="R31" s="125" cm="1">
        <f t="array" ref="R31">_xll.EQNXTDZ($A$1,$B31,R$1,$B$1)</f>
        <v>2.6056846999999999</v>
      </c>
      <c r="S31" s="125" cm="1">
        <f t="array" ref="S31">_xll.EQNXTDZ($A$1,$B31,S$1,$B$1)</f>
        <v>4.4326457000000001</v>
      </c>
      <c r="T31" s="125" cm="1">
        <f t="array" ref="T31">_xll.EQNXTDZ($A$1,$B31,T$1,$B$1)</f>
        <v>5.17</v>
      </c>
      <c r="U31" s="125" cm="1">
        <f t="array" ref="U31">_xll.EQNXTDZ($A$1,$B31,U$1,$B$1)</f>
        <v>7.79</v>
      </c>
      <c r="V31" s="125" cm="1">
        <f t="array" ref="V31">_xll.EQNXTDZ($A$1,$B31,V$1,$B$1)</f>
        <v>19.64</v>
      </c>
      <c r="W31" s="125" cm="1">
        <f t="array" ref="W31">_xll.EQNXTDZ($A$1,$B31,W$1,$B$1)</f>
        <v>23.43</v>
      </c>
      <c r="X31" s="125" cm="1">
        <f t="array" ref="X31">_xll.EQNXTDZ($A$1,$B31,X$1,$B$1)</f>
        <v>47.23</v>
      </c>
      <c r="Y31" s="125" cm="1">
        <f t="array" ref="Y31">_xll.EQNXTDZ($A$1,$B31,Y$1,$B$1)</f>
        <v>49.84</v>
      </c>
      <c r="Z31" s="125" cm="1">
        <f t="array" ref="Z31">_xll.EQNXTDZ($A$1,$B31,Z$1,$B$1)</f>
        <v>51.15</v>
      </c>
      <c r="AA31" s="125" cm="1">
        <f t="array" ref="AA31">_xll.EQNXTDZ($A$1,$B31,AA$1,$B$1)</f>
        <v>62.22</v>
      </c>
      <c r="AB31" s="125" cm="1">
        <f t="array" ref="AB31">_xll.EQNXTDZ($A$1,$B31,AB$1,$B$1)</f>
        <v>63.08</v>
      </c>
      <c r="AC31" s="125" cm="1">
        <f t="array" ref="AC31">_xll.EQNXTDZ($A$1,$B31,AC$1,$B$1)</f>
        <v>0</v>
      </c>
      <c r="AD31" s="125" cm="1">
        <f t="array" ref="AD31">_xll.EQNXTDZ($A$1,$B31,AD$1,$B$1)</f>
        <v>0</v>
      </c>
      <c r="AE31" s="125" cm="1">
        <f t="array" ref="AE31">_xll.EQNXTDZ($A$1,$B31,AE$1,$B$1)</f>
        <v>0</v>
      </c>
      <c r="AF31" s="125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5" cm="1">
        <f t="array" ref="C32">_xll.EQNXTDZ($A$1,$B32,C$1,$B$1)</f>
        <v>0</v>
      </c>
      <c r="D32" s="125" cm="1">
        <f t="array" ref="D32">_xll.EQNXTDZ($A$1,$B32,D$1,$B$1)</f>
        <v>0</v>
      </c>
      <c r="E32" s="125" cm="1">
        <f t="array" ref="E32">_xll.EQNXTDZ($A$1,$B32,E$1,$B$1)</f>
        <v>0</v>
      </c>
      <c r="F32" s="125" cm="1">
        <f t="array" ref="F32">_xll.EQNXTDZ($A$1,$B32,F$1,$B$1)</f>
        <v>0</v>
      </c>
      <c r="G32" s="125" cm="1">
        <f t="array" ref="G32">_xll.EQNXTDZ($A$1,$B32,G$1,$B$1)</f>
        <v>0</v>
      </c>
      <c r="H32" s="125" cm="1">
        <f t="array" ref="H32">_xll.EQNXTDZ($A$1,$B32,H$1,$B$1)</f>
        <v>0</v>
      </c>
      <c r="I32" s="125" cm="1">
        <f t="array" ref="I32">_xll.EQNXTDZ($A$1,$B32,I$1,$B$1)</f>
        <v>0</v>
      </c>
      <c r="J32" s="125" cm="1">
        <f t="array" ref="J32">_xll.EQNXTDZ($A$1,$B32,J$1,$B$1)</f>
        <v>0</v>
      </c>
      <c r="K32" s="125" cm="1">
        <f t="array" ref="K32">_xll.EQNXTDZ($A$1,$B32,K$1,$B$1)</f>
        <v>0.90085289999999996</v>
      </c>
      <c r="L32" s="125" cm="1">
        <f t="array" ref="L32">_xll.EQNXTDZ($A$1,$B32,L$1,$B$1)</f>
        <v>1.8813321000000001</v>
      </c>
      <c r="M32" s="125" cm="1">
        <f t="array" ref="M32">_xll.EQNXTDZ($A$1,$B32,M$1,$B$1)</f>
        <v>3.7921195000000001</v>
      </c>
      <c r="N32" s="125" cm="1">
        <f t="array" ref="N32">_xll.EQNXTDZ($A$1,$B32,N$1,$B$1)</f>
        <v>-1.7074491999999999</v>
      </c>
      <c r="O32" s="125" cm="1">
        <f t="array" ref="O32">_xll.EQNXTDZ($A$1,$B32,O$1,$B$1)</f>
        <v>9.0471842999999996</v>
      </c>
      <c r="P32" s="125" cm="1">
        <f t="array" ref="P32">_xll.EQNXTDZ($A$1,$B32,P$1,$B$1)</f>
        <v>27.652229999999999</v>
      </c>
      <c r="Q32" s="125" cm="1">
        <f t="array" ref="Q32">_xll.EQNXTDZ($A$1,$B32,Q$1,$B$1)</f>
        <v>76.079478499999993</v>
      </c>
      <c r="R32" s="125" cm="1">
        <f t="array" ref="R32">_xll.EQNXTDZ($A$1,$B32,R$1,$B$1)</f>
        <v>130.36099110000001</v>
      </c>
      <c r="S32" s="125" cm="1">
        <f t="array" ref="S32">_xll.EQNXTDZ($A$1,$B32,S$1,$B$1)</f>
        <v>116.5865359</v>
      </c>
      <c r="T32" s="125" cm="1">
        <f t="array" ref="T32">_xll.EQNXTDZ($A$1,$B32,T$1,$B$1)</f>
        <v>328.22</v>
      </c>
      <c r="U32" s="125" cm="1">
        <f t="array" ref="U32">_xll.EQNXTDZ($A$1,$B32,U$1,$B$1)</f>
        <v>497.74</v>
      </c>
      <c r="V32" s="125" cm="1">
        <f t="array" ref="V32">_xll.EQNXTDZ($A$1,$B32,V$1,$B$1)</f>
        <v>450.89</v>
      </c>
      <c r="W32" s="125" cm="1">
        <f t="array" ref="W32">_xll.EQNXTDZ($A$1,$B32,W$1,$B$1)</f>
        <v>194.29</v>
      </c>
      <c r="X32" s="125" cm="1">
        <f t="array" ref="X32">_xll.EQNXTDZ($A$1,$B32,X$1,$B$1)</f>
        <v>480.8</v>
      </c>
      <c r="Y32" s="125" cm="1">
        <f t="array" ref="Y32">_xll.EQNXTDZ($A$1,$B32,Y$1,$B$1)</f>
        <v>1105.3900000000001</v>
      </c>
      <c r="Z32" s="125" cm="1">
        <f t="array" ref="Z32">_xll.EQNXTDZ($A$1,$B32,Z$1,$B$1)</f>
        <v>1939.18</v>
      </c>
      <c r="AA32" s="125" cm="1">
        <f t="array" ref="AA32">_xll.EQNXTDZ($A$1,$B32,AA$1,$B$1)</f>
        <v>708.87</v>
      </c>
      <c r="AB32" s="125" cm="1">
        <f t="array" ref="AB32">_xll.EQNXTDZ($A$1,$B32,AB$1,$B$1)</f>
        <v>1033.2</v>
      </c>
      <c r="AC32" s="125" cm="1">
        <f t="array" ref="AC32">_xll.EQNXTDZ($A$1,$B32,AC$1,$B$1)</f>
        <v>0</v>
      </c>
      <c r="AD32" s="125" cm="1">
        <f t="array" ref="AD32">_xll.EQNXTDZ($A$1,$B32,AD$1,$B$1)</f>
        <v>0</v>
      </c>
      <c r="AE32" s="125" cm="1">
        <f t="array" ref="AE32">_xll.EQNXTDZ($A$1,$B32,AE$1,$B$1)</f>
        <v>0</v>
      </c>
      <c r="AF32" s="125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5" cm="1">
        <f t="array" ref="C33">_xll.EQNXTDZ($A$1,$B33,C$1,$B$1)</f>
        <v>0</v>
      </c>
      <c r="D33" s="125" cm="1">
        <f t="array" ref="D33">_xll.EQNXTDZ($A$1,$B33,D$1,$B$1)</f>
        <v>0</v>
      </c>
      <c r="E33" s="125" cm="1">
        <f t="array" ref="E33">_xll.EQNXTDZ($A$1,$B33,E$1,$B$1)</f>
        <v>0</v>
      </c>
      <c r="F33" s="125" cm="1">
        <f t="array" ref="F33">_xll.EQNXTDZ($A$1,$B33,F$1,$B$1)</f>
        <v>0</v>
      </c>
      <c r="G33" s="125" cm="1">
        <f t="array" ref="G33">_xll.EQNXTDZ($A$1,$B33,G$1,$B$1)</f>
        <v>0</v>
      </c>
      <c r="H33" s="125" cm="1">
        <f t="array" ref="H33">_xll.EQNXTDZ($A$1,$B33,H$1,$B$1)</f>
        <v>0</v>
      </c>
      <c r="I33" s="125" cm="1">
        <f t="array" ref="I33">_xll.EQNXTDZ($A$1,$B33,I$1,$B$1)</f>
        <v>0</v>
      </c>
      <c r="J33" s="125" cm="1">
        <f t="array" ref="J33">_xll.EQNXTDZ($A$1,$B33,J$1,$B$1)</f>
        <v>0</v>
      </c>
      <c r="K33" s="125" cm="1">
        <f t="array" ref="K33">_xll.EQNXTDZ($A$1,$B33,K$1,$B$1)</f>
        <v>0</v>
      </c>
      <c r="L33" s="125" cm="1">
        <f t="array" ref="L33">_xll.EQNXTDZ($A$1,$B33,L$1,$B$1)</f>
        <v>0</v>
      </c>
      <c r="M33" s="125" cm="1">
        <f t="array" ref="M33">_xll.EQNXTDZ($A$1,$B33,M$1,$B$1)</f>
        <v>0</v>
      </c>
      <c r="N33" s="125" cm="1">
        <f t="array" ref="N33">_xll.EQNXTDZ($A$1,$B33,N$1,$B$1)</f>
        <v>0</v>
      </c>
      <c r="O33" s="125" cm="1">
        <f t="array" ref="O33">_xll.EQNXTDZ($A$1,$B33,O$1,$B$1)</f>
        <v>0</v>
      </c>
      <c r="P33" s="125" cm="1">
        <f t="array" ref="P33">_xll.EQNXTDZ($A$1,$B33,P$1,$B$1)</f>
        <v>0</v>
      </c>
      <c r="Q33" s="125" cm="1">
        <f t="array" ref="Q33">_xll.EQNXTDZ($A$1,$B33,Q$1,$B$1)</f>
        <v>0</v>
      </c>
      <c r="R33" s="125" cm="1">
        <f t="array" ref="R33">_xll.EQNXTDZ($A$1,$B33,R$1,$B$1)</f>
        <v>0</v>
      </c>
      <c r="S33" s="125" cm="1">
        <f t="array" ref="S33">_xll.EQNXTDZ($A$1,$B33,S$1,$B$1)</f>
        <v>0</v>
      </c>
      <c r="T33" s="125" cm="1">
        <f t="array" ref="T33">_xll.EQNXTDZ($A$1,$B33,T$1,$B$1)</f>
        <v>0</v>
      </c>
      <c r="U33" s="125" cm="1">
        <f t="array" ref="U33">_xll.EQNXTDZ($A$1,$B33,U$1,$B$1)</f>
        <v>0</v>
      </c>
      <c r="V33" s="125" cm="1">
        <f t="array" ref="V33">_xll.EQNXTDZ($A$1,$B33,V$1,$B$1)</f>
        <v>0</v>
      </c>
      <c r="W33" s="125" cm="1">
        <f t="array" ref="W33">_xll.EQNXTDZ($A$1,$B33,W$1,$B$1)</f>
        <v>0</v>
      </c>
      <c r="X33" s="125" cm="1">
        <f t="array" ref="X33">_xll.EQNXTDZ($A$1,$B33,X$1,$B$1)</f>
        <v>0</v>
      </c>
      <c r="Y33" s="125" cm="1">
        <f t="array" ref="Y33">_xll.EQNXTDZ($A$1,$B33,Y$1,$B$1)</f>
        <v>0</v>
      </c>
      <c r="Z33" s="125" cm="1">
        <f t="array" ref="Z33">_xll.EQNXTDZ($A$1,$B33,Z$1,$B$1)</f>
        <v>0</v>
      </c>
      <c r="AA33" s="125" cm="1">
        <f t="array" ref="AA33">_xll.EQNXTDZ($A$1,$B33,AA$1,$B$1)</f>
        <v>0</v>
      </c>
      <c r="AB33" s="125" cm="1">
        <f t="array" ref="AB33">_xll.EQNXTDZ($A$1,$B33,AB$1,$B$1)</f>
        <v>0</v>
      </c>
      <c r="AC33" s="125" cm="1">
        <f t="array" ref="AC33">_xll.EQNXTDZ($A$1,$B33,AC$1,$B$1)</f>
        <v>0</v>
      </c>
      <c r="AD33" s="125" cm="1">
        <f t="array" ref="AD33">_xll.EQNXTDZ($A$1,$B33,AD$1,$B$1)</f>
        <v>0</v>
      </c>
      <c r="AE33" s="125" cm="1">
        <f t="array" ref="AE33">_xll.EQNXTDZ($A$1,$B33,AE$1,$B$1)</f>
        <v>0</v>
      </c>
      <c r="AF33" s="125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5" cm="1">
        <f t="array" ref="C34">_xll.EQNXTDZ($A$1,$B34,C$1,$B$1)</f>
        <v>0</v>
      </c>
      <c r="D34" s="125" cm="1">
        <f t="array" ref="D34">_xll.EQNXTDZ($A$1,$B34,D$1,$B$1)</f>
        <v>0</v>
      </c>
      <c r="E34" s="125" cm="1">
        <f t="array" ref="E34">_xll.EQNXTDZ($A$1,$B34,E$1,$B$1)</f>
        <v>0</v>
      </c>
      <c r="F34" s="125" cm="1">
        <f t="array" ref="F34">_xll.EQNXTDZ($A$1,$B34,F$1,$B$1)</f>
        <v>0</v>
      </c>
      <c r="G34" s="125" cm="1">
        <f t="array" ref="G34">_xll.EQNXTDZ($A$1,$B34,G$1,$B$1)</f>
        <v>0</v>
      </c>
      <c r="H34" s="125" cm="1">
        <f t="array" ref="H34">_xll.EQNXTDZ($A$1,$B34,H$1,$B$1)</f>
        <v>0</v>
      </c>
      <c r="I34" s="125" cm="1">
        <f t="array" ref="I34">_xll.EQNXTDZ($A$1,$B34,I$1,$B$1)</f>
        <v>0</v>
      </c>
      <c r="J34" s="125" cm="1">
        <f t="array" ref="J34">_xll.EQNXTDZ($A$1,$B34,J$1,$B$1)</f>
        <v>0</v>
      </c>
      <c r="K34" s="125" cm="1">
        <f t="array" ref="K34">_xll.EQNXTDZ($A$1,$B34,K$1,$B$1)</f>
        <v>0</v>
      </c>
      <c r="L34" s="125" cm="1">
        <f t="array" ref="L34">_xll.EQNXTDZ($A$1,$B34,L$1,$B$1)</f>
        <v>0</v>
      </c>
      <c r="M34" s="125" cm="1">
        <f t="array" ref="M34">_xll.EQNXTDZ($A$1,$B34,M$1,$B$1)</f>
        <v>0</v>
      </c>
      <c r="N34" s="125" cm="1">
        <f t="array" ref="N34">_xll.EQNXTDZ($A$1,$B34,N$1,$B$1)</f>
        <v>0</v>
      </c>
      <c r="O34" s="125" cm="1">
        <f t="array" ref="O34">_xll.EQNXTDZ($A$1,$B34,O$1,$B$1)</f>
        <v>0</v>
      </c>
      <c r="P34" s="125" cm="1">
        <f t="array" ref="P34">_xll.EQNXTDZ($A$1,$B34,P$1,$B$1)</f>
        <v>0</v>
      </c>
      <c r="Q34" s="125" cm="1">
        <f t="array" ref="Q34">_xll.EQNXTDZ($A$1,$B34,Q$1,$B$1)</f>
        <v>0</v>
      </c>
      <c r="R34" s="125" cm="1">
        <f t="array" ref="R34">_xll.EQNXTDZ($A$1,$B34,R$1,$B$1)</f>
        <v>0</v>
      </c>
      <c r="S34" s="125" cm="1">
        <f t="array" ref="S34">_xll.EQNXTDZ($A$1,$B34,S$1,$B$1)</f>
        <v>0</v>
      </c>
      <c r="T34" s="125" cm="1">
        <f t="array" ref="T34">_xll.EQNXTDZ($A$1,$B34,T$1,$B$1)</f>
        <v>0</v>
      </c>
      <c r="U34" s="125" cm="1">
        <f t="array" ref="U34">_xll.EQNXTDZ($A$1,$B34,U$1,$B$1)</f>
        <v>0</v>
      </c>
      <c r="V34" s="125" cm="1">
        <f t="array" ref="V34">_xll.EQNXTDZ($A$1,$B34,V$1,$B$1)</f>
        <v>0</v>
      </c>
      <c r="W34" s="125" cm="1">
        <f t="array" ref="W34">_xll.EQNXTDZ($A$1,$B34,W$1,$B$1)</f>
        <v>0</v>
      </c>
      <c r="X34" s="125" cm="1">
        <f t="array" ref="X34">_xll.EQNXTDZ($A$1,$B34,X$1,$B$1)</f>
        <v>0</v>
      </c>
      <c r="Y34" s="125" cm="1">
        <f t="array" ref="Y34">_xll.EQNXTDZ($A$1,$B34,Y$1,$B$1)</f>
        <v>0</v>
      </c>
      <c r="Z34" s="125" cm="1">
        <f t="array" ref="Z34">_xll.EQNXTDZ($A$1,$B34,Z$1,$B$1)</f>
        <v>0</v>
      </c>
      <c r="AA34" s="125" cm="1">
        <f t="array" ref="AA34">_xll.EQNXTDZ($A$1,$B34,AA$1,$B$1)</f>
        <v>0</v>
      </c>
      <c r="AB34" s="125" cm="1">
        <f t="array" ref="AB34">_xll.EQNXTDZ($A$1,$B34,AB$1,$B$1)</f>
        <v>0</v>
      </c>
      <c r="AC34" s="125" cm="1">
        <f t="array" ref="AC34">_xll.EQNXTDZ($A$1,$B34,AC$1,$B$1)</f>
        <v>0</v>
      </c>
      <c r="AD34" s="125" cm="1">
        <f t="array" ref="AD34">_xll.EQNXTDZ($A$1,$B34,AD$1,$B$1)</f>
        <v>0</v>
      </c>
      <c r="AE34" s="125" cm="1">
        <f t="array" ref="AE34">_xll.EQNXTDZ($A$1,$B34,AE$1,$B$1)</f>
        <v>0</v>
      </c>
      <c r="AF34" s="125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5" cm="1">
        <f t="array" ref="C35">_xll.EQNXTDZ($A$1,$B35,C$1,$B$1)</f>
        <v>0</v>
      </c>
      <c r="D35" s="125" cm="1">
        <f t="array" ref="D35">_xll.EQNXTDZ($A$1,$B35,D$1,$B$1)</f>
        <v>0</v>
      </c>
      <c r="E35" s="125" cm="1">
        <f t="array" ref="E35">_xll.EQNXTDZ($A$1,$B35,E$1,$B$1)</f>
        <v>0</v>
      </c>
      <c r="F35" s="125" cm="1">
        <f t="array" ref="F35">_xll.EQNXTDZ($A$1,$B35,F$1,$B$1)</f>
        <v>0</v>
      </c>
      <c r="G35" s="125" cm="1">
        <f t="array" ref="G35">_xll.EQNXTDZ($A$1,$B35,G$1,$B$1)</f>
        <v>0</v>
      </c>
      <c r="H35" s="125" cm="1">
        <f t="array" ref="H35">_xll.EQNXTDZ($A$1,$B35,H$1,$B$1)</f>
        <v>0</v>
      </c>
      <c r="I35" s="125" cm="1">
        <f t="array" ref="I35">_xll.EQNXTDZ($A$1,$B35,I$1,$B$1)</f>
        <v>0</v>
      </c>
      <c r="J35" s="125" cm="1">
        <f t="array" ref="J35">_xll.EQNXTDZ($A$1,$B35,J$1,$B$1)</f>
        <v>0</v>
      </c>
      <c r="K35" s="125" cm="1">
        <f t="array" ref="K35">_xll.EQNXTDZ($A$1,$B35,K$1,$B$1)</f>
        <v>0.90085289999999996</v>
      </c>
      <c r="L35" s="125" cm="1">
        <f t="array" ref="L35">_xll.EQNXTDZ($A$1,$B35,L$1,$B$1)</f>
        <v>1.8813321000000001</v>
      </c>
      <c r="M35" s="125" cm="1">
        <f t="array" ref="M35">_xll.EQNXTDZ($A$1,$B35,M$1,$B$1)</f>
        <v>3.7921195000000001</v>
      </c>
      <c r="N35" s="125" cm="1">
        <f t="array" ref="N35">_xll.EQNXTDZ($A$1,$B35,N$1,$B$1)</f>
        <v>-1.7074491999999999</v>
      </c>
      <c r="O35" s="125" cm="1">
        <f t="array" ref="O35">_xll.EQNXTDZ($A$1,$B35,O$1,$B$1)</f>
        <v>9.0471842999999996</v>
      </c>
      <c r="P35" s="125" cm="1">
        <f t="array" ref="P35">_xll.EQNXTDZ($A$1,$B35,P$1,$B$1)</f>
        <v>27.652229999999999</v>
      </c>
      <c r="Q35" s="125" cm="1">
        <f t="array" ref="Q35">_xll.EQNXTDZ($A$1,$B35,Q$1,$B$1)</f>
        <v>76.079478499999993</v>
      </c>
      <c r="R35" s="125" cm="1">
        <f t="array" ref="R35">_xll.EQNXTDZ($A$1,$B35,R$1,$B$1)</f>
        <v>130.36099110000001</v>
      </c>
      <c r="S35" s="125" cm="1">
        <f t="array" ref="S35">_xll.EQNXTDZ($A$1,$B35,S$1,$B$1)</f>
        <v>116.5865359</v>
      </c>
      <c r="T35" s="125" cm="1">
        <f t="array" ref="T35">_xll.EQNXTDZ($A$1,$B35,T$1,$B$1)</f>
        <v>328.22</v>
      </c>
      <c r="U35" s="125" cm="1">
        <f t="array" ref="U35">_xll.EQNXTDZ($A$1,$B35,U$1,$B$1)</f>
        <v>497.74</v>
      </c>
      <c r="V35" s="125" cm="1">
        <f t="array" ref="V35">_xll.EQNXTDZ($A$1,$B35,V$1,$B$1)</f>
        <v>450.89</v>
      </c>
      <c r="W35" s="125" cm="1">
        <f t="array" ref="W35">_xll.EQNXTDZ($A$1,$B35,W$1,$B$1)</f>
        <v>194.29</v>
      </c>
      <c r="X35" s="125" cm="1">
        <f t="array" ref="X35">_xll.EQNXTDZ($A$1,$B35,X$1,$B$1)</f>
        <v>480.8</v>
      </c>
      <c r="Y35" s="125" cm="1">
        <f t="array" ref="Y35">_xll.EQNXTDZ($A$1,$B35,Y$1,$B$1)</f>
        <v>1105.3900000000001</v>
      </c>
      <c r="Z35" s="125" cm="1">
        <f t="array" ref="Z35">_xll.EQNXTDZ($A$1,$B35,Z$1,$B$1)</f>
        <v>1939.18</v>
      </c>
      <c r="AA35" s="125" cm="1">
        <f t="array" ref="AA35">_xll.EQNXTDZ($A$1,$B35,AA$1,$B$1)</f>
        <v>708.87</v>
      </c>
      <c r="AB35" s="125" cm="1">
        <f t="array" ref="AB35">_xll.EQNXTDZ($A$1,$B35,AB$1,$B$1)</f>
        <v>1033.2</v>
      </c>
      <c r="AC35" s="125" cm="1">
        <f t="array" ref="AC35">_xll.EQNXTDZ($A$1,$B35,AC$1,$B$1)</f>
        <v>0</v>
      </c>
      <c r="AD35" s="125" cm="1">
        <f t="array" ref="AD35">_xll.EQNXTDZ($A$1,$B35,AD$1,$B$1)</f>
        <v>0</v>
      </c>
      <c r="AE35" s="125" cm="1">
        <f t="array" ref="AE35">_xll.EQNXTDZ($A$1,$B35,AE$1,$B$1)</f>
        <v>0</v>
      </c>
      <c r="AF35" s="125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5" cm="1">
        <f t="array" ref="C36">_xll.EQNXTDZ($A$1,$B36,C$1,$B$1)</f>
        <v>0</v>
      </c>
      <c r="D36" s="125" cm="1">
        <f t="array" ref="D36">_xll.EQNXTDZ($A$1,$B36,D$1,$B$1)</f>
        <v>0</v>
      </c>
      <c r="E36" s="125" cm="1">
        <f t="array" ref="E36">_xll.EQNXTDZ($A$1,$B36,E$1,$B$1)</f>
        <v>0</v>
      </c>
      <c r="F36" s="125" cm="1">
        <f t="array" ref="F36">_xll.EQNXTDZ($A$1,$B36,F$1,$B$1)</f>
        <v>0</v>
      </c>
      <c r="G36" s="125" cm="1">
        <f t="array" ref="G36">_xll.EQNXTDZ($A$1,$B36,G$1,$B$1)</f>
        <v>0</v>
      </c>
      <c r="H36" s="125" cm="1">
        <f t="array" ref="H36">_xll.EQNXTDZ($A$1,$B36,H$1,$B$1)</f>
        <v>0</v>
      </c>
      <c r="I36" s="125" cm="1">
        <f t="array" ref="I36">_xll.EQNXTDZ($A$1,$B36,I$1,$B$1)</f>
        <v>0</v>
      </c>
      <c r="J36" s="125" cm="1">
        <f t="array" ref="J36">_xll.EQNXTDZ($A$1,$B36,J$1,$B$1)</f>
        <v>0</v>
      </c>
      <c r="K36" s="125" cm="1">
        <f t="array" ref="K36">_xll.EQNXTDZ($A$1,$B36,K$1,$B$1)</f>
        <v>0.41645159999999998</v>
      </c>
      <c r="L36" s="125" cm="1">
        <f t="array" ref="L36">_xll.EQNXTDZ($A$1,$B36,L$1,$B$1)</f>
        <v>0.93568580000000001</v>
      </c>
      <c r="M36" s="125" cm="1">
        <f t="array" ref="M36">_xll.EQNXTDZ($A$1,$B36,M$1,$B$1)</f>
        <v>0.2819448</v>
      </c>
      <c r="N36" s="125" cm="1">
        <f t="array" ref="N36">_xll.EQNXTDZ($A$1,$B36,N$1,$B$1)</f>
        <v>1.1951919</v>
      </c>
      <c r="O36" s="125" cm="1">
        <f t="array" ref="O36">_xll.EQNXTDZ($A$1,$B36,O$1,$B$1)</f>
        <v>0.58925479999999997</v>
      </c>
      <c r="P36" s="125" cm="1">
        <f t="array" ref="P36">_xll.EQNXTDZ($A$1,$B36,P$1,$B$1)</f>
        <v>9.1432403999999998</v>
      </c>
      <c r="Q36" s="125" cm="1">
        <f t="array" ref="Q36">_xll.EQNXTDZ($A$1,$B36,Q$1,$B$1)</f>
        <v>26.623669</v>
      </c>
      <c r="R36" s="125" cm="1">
        <f t="array" ref="R36">_xll.EQNXTDZ($A$1,$B36,R$1,$B$1)</f>
        <v>46.584870100000003</v>
      </c>
      <c r="S36" s="125" cm="1">
        <f t="array" ref="S36">_xll.EQNXTDZ($A$1,$B36,S$1,$B$1)</f>
        <v>41.331508900000003</v>
      </c>
      <c r="T36" s="125" cm="1">
        <f t="array" ref="T36">_xll.EQNXTDZ($A$1,$B36,T$1,$B$1)</f>
        <v>115.74</v>
      </c>
      <c r="U36" s="125" cm="1">
        <f t="array" ref="U36">_xll.EQNXTDZ($A$1,$B36,U$1,$B$1)</f>
        <v>175.98</v>
      </c>
      <c r="V36" s="125" cm="1">
        <f t="array" ref="V36">_xll.EQNXTDZ($A$1,$B36,V$1,$B$1)</f>
        <v>123.39</v>
      </c>
      <c r="W36" s="125" cm="1">
        <f t="array" ref="W36">_xll.EQNXTDZ($A$1,$B36,W$1,$B$1)</f>
        <v>51.9</v>
      </c>
      <c r="X36" s="125" cm="1">
        <f t="array" ref="X36">_xll.EQNXTDZ($A$1,$B36,X$1,$B$1)</f>
        <v>127.72</v>
      </c>
      <c r="Y36" s="125" cm="1">
        <f t="array" ref="Y36">_xll.EQNXTDZ($A$1,$B36,Y$1,$B$1)</f>
        <v>279.36</v>
      </c>
      <c r="Z36" s="125" cm="1">
        <f t="array" ref="Z36">_xll.EQNXTDZ($A$1,$B36,Z$1,$B$1)</f>
        <v>493.25</v>
      </c>
      <c r="AA36" s="125" cm="1">
        <f t="array" ref="AA36">_xll.EQNXTDZ($A$1,$B36,AA$1,$B$1)</f>
        <v>177.47</v>
      </c>
      <c r="AB36" s="125" cm="1">
        <f t="array" ref="AB36">_xll.EQNXTDZ($A$1,$B36,AB$1,$B$1)</f>
        <v>255.56</v>
      </c>
      <c r="AC36" s="125" cm="1">
        <f t="array" ref="AC36">_xll.EQNXTDZ($A$1,$B36,AC$1,$B$1)</f>
        <v>0</v>
      </c>
      <c r="AD36" s="125" cm="1">
        <f t="array" ref="AD36">_xll.EQNXTDZ($A$1,$B36,AD$1,$B$1)</f>
        <v>0</v>
      </c>
      <c r="AE36" s="125" cm="1">
        <f t="array" ref="AE36">_xll.EQNXTDZ($A$1,$B36,AE$1,$B$1)</f>
        <v>0</v>
      </c>
      <c r="AF36" s="125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5" cm="1">
        <f t="array" ref="C37">_xll.EQNXTDZ($A$1,$B37,C$1,$B$1)</f>
        <v>0</v>
      </c>
      <c r="D37" s="125" cm="1">
        <f t="array" ref="D37">_xll.EQNXTDZ($A$1,$B37,D$1,$B$1)</f>
        <v>0</v>
      </c>
      <c r="E37" s="125" cm="1">
        <f t="array" ref="E37">_xll.EQNXTDZ($A$1,$B37,E$1,$B$1)</f>
        <v>0</v>
      </c>
      <c r="F37" s="125" cm="1">
        <f t="array" ref="F37">_xll.EQNXTDZ($A$1,$B37,F$1,$B$1)</f>
        <v>0</v>
      </c>
      <c r="G37" s="125" cm="1">
        <f t="array" ref="G37">_xll.EQNXTDZ($A$1,$B37,G$1,$B$1)</f>
        <v>0</v>
      </c>
      <c r="H37" s="125" cm="1">
        <f t="array" ref="H37">_xll.EQNXTDZ($A$1,$B37,H$1,$B$1)</f>
        <v>0</v>
      </c>
      <c r="I37" s="125" cm="1">
        <f t="array" ref="I37">_xll.EQNXTDZ($A$1,$B37,I$1,$B$1)</f>
        <v>0</v>
      </c>
      <c r="J37" s="125" cm="1">
        <f t="array" ref="J37">_xll.EQNXTDZ($A$1,$B37,J$1,$B$1)</f>
        <v>0</v>
      </c>
      <c r="K37" s="125" cm="1">
        <f t="array" ref="K37">_xll.EQNXTDZ($A$1,$B37,K$1,$B$1)</f>
        <v>0.48440129999999998</v>
      </c>
      <c r="L37" s="125" cm="1">
        <f t="array" ref="L37">_xll.EQNXTDZ($A$1,$B37,L$1,$B$1)</f>
        <v>0.94564630000000005</v>
      </c>
      <c r="M37" s="125" cm="1">
        <f t="array" ref="M37">_xll.EQNXTDZ($A$1,$B37,M$1,$B$1)</f>
        <v>3.5101746999999999</v>
      </c>
      <c r="N37" s="125" cm="1">
        <f t="array" ref="N37">_xll.EQNXTDZ($A$1,$B37,N$1,$B$1)</f>
        <v>-2.9026410999999999</v>
      </c>
      <c r="O37" s="125" cm="1">
        <f t="array" ref="O37">_xll.EQNXTDZ($A$1,$B37,O$1,$B$1)</f>
        <v>8.4579295000000005</v>
      </c>
      <c r="P37" s="125" cm="1">
        <f t="array" ref="P37">_xll.EQNXTDZ($A$1,$B37,P$1,$B$1)</f>
        <v>18.5089896</v>
      </c>
      <c r="Q37" s="125" cm="1">
        <f t="array" ref="Q37">_xll.EQNXTDZ($A$1,$B37,Q$1,$B$1)</f>
        <v>49.455809500000001</v>
      </c>
      <c r="R37" s="125" cm="1">
        <f t="array" ref="R37">_xll.EQNXTDZ($A$1,$B37,R$1,$B$1)</f>
        <v>83.776121000000003</v>
      </c>
      <c r="S37" s="125" cm="1">
        <f t="array" ref="S37">_xll.EQNXTDZ($A$1,$B37,S$1,$B$1)</f>
        <v>75.255026999999998</v>
      </c>
      <c r="T37" s="125" cm="1">
        <f t="array" ref="T37">_xll.EQNXTDZ($A$1,$B37,T$1,$B$1)</f>
        <v>212.48</v>
      </c>
      <c r="U37" s="125" cm="1">
        <f t="array" ref="U37">_xll.EQNXTDZ($A$1,$B37,U$1,$B$1)</f>
        <v>321.76</v>
      </c>
      <c r="V37" s="125" cm="1">
        <f t="array" ref="V37">_xll.EQNXTDZ($A$1,$B37,V$1,$B$1)</f>
        <v>327.5</v>
      </c>
      <c r="W37" s="125" cm="1">
        <f t="array" ref="W37">_xll.EQNXTDZ($A$1,$B37,W$1,$B$1)</f>
        <v>142.38999999999999</v>
      </c>
      <c r="X37" s="125" cm="1">
        <f t="array" ref="X37">_xll.EQNXTDZ($A$1,$B37,X$1,$B$1)</f>
        <v>353.08</v>
      </c>
      <c r="Y37" s="125" cm="1">
        <f t="array" ref="Y37">_xll.EQNXTDZ($A$1,$B37,Y$1,$B$1)</f>
        <v>826.03</v>
      </c>
      <c r="Z37" s="125" cm="1">
        <f t="array" ref="Z37">_xll.EQNXTDZ($A$1,$B37,Z$1,$B$1)</f>
        <v>1445.93</v>
      </c>
      <c r="AA37" s="125" cm="1">
        <f t="array" ref="AA37">_xll.EQNXTDZ($A$1,$B37,AA$1,$B$1)</f>
        <v>531.4</v>
      </c>
      <c r="AB37" s="125" cm="1">
        <f t="array" ref="AB37">_xll.EQNXTDZ($A$1,$B37,AB$1,$B$1)</f>
        <v>777.64</v>
      </c>
      <c r="AC37" s="125" cm="1">
        <f t="array" ref="AC37">_xll.EQNXTDZ($A$1,$B37,AC$1,$B$1)</f>
        <v>0</v>
      </c>
      <c r="AD37" s="125" cm="1">
        <f t="array" ref="AD37">_xll.EQNXTDZ($A$1,$B37,AD$1,$B$1)</f>
        <v>0</v>
      </c>
      <c r="AE37" s="125" cm="1">
        <f t="array" ref="AE37">_xll.EQNXTDZ($A$1,$B37,AE$1,$B$1)</f>
        <v>0</v>
      </c>
      <c r="AF37" s="125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5" cm="1">
        <f t="array" ref="C38">_xll.EQNXTDZ($A$1,$B38,C$1,$B$1)</f>
        <v>0</v>
      </c>
      <c r="D38" s="125" cm="1">
        <f t="array" ref="D38">_xll.EQNXTDZ($A$1,$B38,D$1,$B$1)</f>
        <v>0</v>
      </c>
      <c r="E38" s="125" cm="1">
        <f t="array" ref="E38">_xll.EQNXTDZ($A$1,$B38,E$1,$B$1)</f>
        <v>0</v>
      </c>
      <c r="F38" s="125" cm="1">
        <f t="array" ref="F38">_xll.EQNXTDZ($A$1,$B38,F$1,$B$1)</f>
        <v>0</v>
      </c>
      <c r="G38" s="125" cm="1">
        <f t="array" ref="G38">_xll.EQNXTDZ($A$1,$B38,G$1,$B$1)</f>
        <v>0</v>
      </c>
      <c r="H38" s="125" cm="1">
        <f t="array" ref="H38">_xll.EQNXTDZ($A$1,$B38,H$1,$B$1)</f>
        <v>0</v>
      </c>
      <c r="I38" s="125" cm="1">
        <f t="array" ref="I38">_xll.EQNXTDZ($A$1,$B38,I$1,$B$1)</f>
        <v>0</v>
      </c>
      <c r="J38" s="125" cm="1">
        <f t="array" ref="J38">_xll.EQNXTDZ($A$1,$B38,J$1,$B$1)</f>
        <v>0</v>
      </c>
      <c r="K38" s="125" cm="1">
        <f t="array" ref="K38">_xll.EQNXTDZ($A$1,$B38,K$1,$B$1)</f>
        <v>0</v>
      </c>
      <c r="L38" s="125" cm="1">
        <f t="array" ref="L38">_xll.EQNXTDZ($A$1,$B38,L$1,$B$1)</f>
        <v>0</v>
      </c>
      <c r="M38" s="125" cm="1">
        <f t="array" ref="M38">_xll.EQNXTDZ($A$1,$B38,M$1,$B$1)</f>
        <v>0</v>
      </c>
      <c r="N38" s="125" cm="1">
        <f t="array" ref="N38">_xll.EQNXTDZ($A$1,$B38,N$1,$B$1)</f>
        <v>0</v>
      </c>
      <c r="O38" s="125" cm="1">
        <f t="array" ref="O38">_xll.EQNXTDZ($A$1,$B38,O$1,$B$1)</f>
        <v>0</v>
      </c>
      <c r="P38" s="125" cm="1">
        <f t="array" ref="P38">_xll.EQNXTDZ($A$1,$B38,P$1,$B$1)</f>
        <v>0</v>
      </c>
      <c r="Q38" s="125" cm="1">
        <f t="array" ref="Q38">_xll.EQNXTDZ($A$1,$B38,Q$1,$B$1)</f>
        <v>0</v>
      </c>
      <c r="R38" s="125" cm="1">
        <f t="array" ref="R38">_xll.EQNXTDZ($A$1,$B38,R$1,$B$1)</f>
        <v>0</v>
      </c>
      <c r="S38" s="125" cm="1">
        <f t="array" ref="S38">_xll.EQNXTDZ($A$1,$B38,S$1,$B$1)</f>
        <v>0</v>
      </c>
      <c r="T38" s="125" cm="1">
        <f t="array" ref="T38">_xll.EQNXTDZ($A$1,$B38,T$1,$B$1)</f>
        <v>0</v>
      </c>
      <c r="U38" s="125" cm="1">
        <f t="array" ref="U38">_xll.EQNXTDZ($A$1,$B38,U$1,$B$1)</f>
        <v>0</v>
      </c>
      <c r="V38" s="125" cm="1">
        <f t="array" ref="V38">_xll.EQNXTDZ($A$1,$B38,V$1,$B$1)</f>
        <v>0</v>
      </c>
      <c r="W38" s="125" cm="1">
        <f t="array" ref="W38">_xll.EQNXTDZ($A$1,$B38,W$1,$B$1)</f>
        <v>0</v>
      </c>
      <c r="X38" s="125" cm="1">
        <f t="array" ref="X38">_xll.EQNXTDZ($A$1,$B38,X$1,$B$1)</f>
        <v>0</v>
      </c>
      <c r="Y38" s="125" cm="1">
        <f t="array" ref="Y38">_xll.EQNXTDZ($A$1,$B38,Y$1,$B$1)</f>
        <v>0</v>
      </c>
      <c r="Z38" s="125" cm="1">
        <f t="array" ref="Z38">_xll.EQNXTDZ($A$1,$B38,Z$1,$B$1)</f>
        <v>0</v>
      </c>
      <c r="AA38" s="125" cm="1">
        <f t="array" ref="AA38">_xll.EQNXTDZ($A$1,$B38,AA$1,$B$1)</f>
        <v>0</v>
      </c>
      <c r="AB38" s="125" cm="1">
        <f t="array" ref="AB38">_xll.EQNXTDZ($A$1,$B38,AB$1,$B$1)</f>
        <v>0</v>
      </c>
      <c r="AC38" s="125" cm="1">
        <f t="array" ref="AC38">_xll.EQNXTDZ($A$1,$B38,AC$1,$B$1)</f>
        <v>0</v>
      </c>
      <c r="AD38" s="125" cm="1">
        <f t="array" ref="AD38">_xll.EQNXTDZ($A$1,$B38,AD$1,$B$1)</f>
        <v>0</v>
      </c>
      <c r="AE38" s="125" cm="1">
        <f t="array" ref="AE38">_xll.EQNXTDZ($A$1,$B38,AE$1,$B$1)</f>
        <v>0</v>
      </c>
      <c r="AF38" s="125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5" cm="1">
        <f t="array" ref="C39">_xll.EQNXTDZ($A$1,$B39,C$1,$B$1)</f>
        <v>0</v>
      </c>
      <c r="D39" s="125" cm="1">
        <f t="array" ref="D39">_xll.EQNXTDZ($A$1,$B39,D$1,$B$1)</f>
        <v>0</v>
      </c>
      <c r="E39" s="125" cm="1">
        <f t="array" ref="E39">_xll.EQNXTDZ($A$1,$B39,E$1,$B$1)</f>
        <v>0</v>
      </c>
      <c r="F39" s="125" cm="1">
        <f t="array" ref="F39">_xll.EQNXTDZ($A$1,$B39,F$1,$B$1)</f>
        <v>0</v>
      </c>
      <c r="G39" s="125" cm="1">
        <f t="array" ref="G39">_xll.EQNXTDZ($A$1,$B39,G$1,$B$1)</f>
        <v>0</v>
      </c>
      <c r="H39" s="125" cm="1">
        <f t="array" ref="H39">_xll.EQNXTDZ($A$1,$B39,H$1,$B$1)</f>
        <v>0</v>
      </c>
      <c r="I39" s="125" cm="1">
        <f t="array" ref="I39">_xll.EQNXTDZ($A$1,$B39,I$1,$B$1)</f>
        <v>0</v>
      </c>
      <c r="J39" s="125" cm="1">
        <f t="array" ref="J39">_xll.EQNXTDZ($A$1,$B39,J$1,$B$1)</f>
        <v>0</v>
      </c>
      <c r="K39" s="125" cm="1">
        <f t="array" ref="K39">_xll.EQNXTDZ($A$1,$B39,K$1,$B$1)</f>
        <v>0</v>
      </c>
      <c r="L39" s="125" cm="1">
        <f t="array" ref="L39">_xll.EQNXTDZ($A$1,$B39,L$1,$B$1)</f>
        <v>0</v>
      </c>
      <c r="M39" s="125" cm="1">
        <f t="array" ref="M39">_xll.EQNXTDZ($A$1,$B39,M$1,$B$1)</f>
        <v>0</v>
      </c>
      <c r="N39" s="125" cm="1">
        <f t="array" ref="N39">_xll.EQNXTDZ($A$1,$B39,N$1,$B$1)</f>
        <v>0</v>
      </c>
      <c r="O39" s="125" cm="1">
        <f t="array" ref="O39">_xll.EQNXTDZ($A$1,$B39,O$1,$B$1)</f>
        <v>0</v>
      </c>
      <c r="P39" s="125" cm="1">
        <f t="array" ref="P39">_xll.EQNXTDZ($A$1,$B39,P$1,$B$1)</f>
        <v>0</v>
      </c>
      <c r="Q39" s="125" cm="1">
        <f t="array" ref="Q39">_xll.EQNXTDZ($A$1,$B39,Q$1,$B$1)</f>
        <v>0</v>
      </c>
      <c r="R39" s="125" cm="1">
        <f t="array" ref="R39">_xll.EQNXTDZ($A$1,$B39,R$1,$B$1)</f>
        <v>0</v>
      </c>
      <c r="S39" s="125" cm="1">
        <f t="array" ref="S39">_xll.EQNXTDZ($A$1,$B39,S$1,$B$1)</f>
        <v>0</v>
      </c>
      <c r="T39" s="125" cm="1">
        <f t="array" ref="T39">_xll.EQNXTDZ($A$1,$B39,T$1,$B$1)</f>
        <v>0</v>
      </c>
      <c r="U39" s="125" cm="1">
        <f t="array" ref="U39">_xll.EQNXTDZ($A$1,$B39,U$1,$B$1)</f>
        <v>0</v>
      </c>
      <c r="V39" s="125" cm="1">
        <f t="array" ref="V39">_xll.EQNXTDZ($A$1,$B39,V$1,$B$1)</f>
        <v>0</v>
      </c>
      <c r="W39" s="125" cm="1">
        <f t="array" ref="W39">_xll.EQNXTDZ($A$1,$B39,W$1,$B$1)</f>
        <v>0</v>
      </c>
      <c r="X39" s="125" cm="1">
        <f t="array" ref="X39">_xll.EQNXTDZ($A$1,$B39,X$1,$B$1)</f>
        <v>0</v>
      </c>
      <c r="Y39" s="125" cm="1">
        <f t="array" ref="Y39">_xll.EQNXTDZ($A$1,$B39,Y$1,$B$1)</f>
        <v>0</v>
      </c>
      <c r="Z39" s="125" cm="1">
        <f t="array" ref="Z39">_xll.EQNXTDZ($A$1,$B39,Z$1,$B$1)</f>
        <v>0</v>
      </c>
      <c r="AA39" s="125" cm="1">
        <f t="array" ref="AA39">_xll.EQNXTDZ($A$1,$B39,AA$1,$B$1)</f>
        <v>0</v>
      </c>
      <c r="AB39" s="125" cm="1">
        <f t="array" ref="AB39">_xll.EQNXTDZ($A$1,$B39,AB$1,$B$1)</f>
        <v>0</v>
      </c>
      <c r="AC39" s="125" cm="1">
        <f t="array" ref="AC39">_xll.EQNXTDZ($A$1,$B39,AC$1,$B$1)</f>
        <v>0</v>
      </c>
      <c r="AD39" s="125" cm="1">
        <f t="array" ref="AD39">_xll.EQNXTDZ($A$1,$B39,AD$1,$B$1)</f>
        <v>0</v>
      </c>
      <c r="AE39" s="125" cm="1">
        <f t="array" ref="AE39">_xll.EQNXTDZ($A$1,$B39,AE$1,$B$1)</f>
        <v>0</v>
      </c>
      <c r="AF39" s="125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5" cm="1">
        <f t="array" ref="C40">_xll.EQNXTDZ($A$1,$B40,C$1,$B$1)</f>
        <v>0</v>
      </c>
      <c r="D40" s="125" cm="1">
        <f t="array" ref="D40">_xll.EQNXTDZ($A$1,$B40,D$1,$B$1)</f>
        <v>0</v>
      </c>
      <c r="E40" s="125" cm="1">
        <f t="array" ref="E40">_xll.EQNXTDZ($A$1,$B40,E$1,$B$1)</f>
        <v>0</v>
      </c>
      <c r="F40" s="125" cm="1">
        <f t="array" ref="F40">_xll.EQNXTDZ($A$1,$B40,F$1,$B$1)</f>
        <v>0</v>
      </c>
      <c r="G40" s="125" cm="1">
        <f t="array" ref="G40">_xll.EQNXTDZ($A$1,$B40,G$1,$B$1)</f>
        <v>0</v>
      </c>
      <c r="H40" s="125" cm="1">
        <f t="array" ref="H40">_xll.EQNXTDZ($A$1,$B40,H$1,$B$1)</f>
        <v>0</v>
      </c>
      <c r="I40" s="125" cm="1">
        <f t="array" ref="I40">_xll.EQNXTDZ($A$1,$B40,I$1,$B$1)</f>
        <v>0</v>
      </c>
      <c r="J40" s="125" cm="1">
        <f t="array" ref="J40">_xll.EQNXTDZ($A$1,$B40,J$1,$B$1)</f>
        <v>0</v>
      </c>
      <c r="K40" s="125" cm="1">
        <f t="array" ref="K40">_xll.EQNXTDZ($A$1,$B40,K$1,$B$1)</f>
        <v>0</v>
      </c>
      <c r="L40" s="125" cm="1">
        <f t="array" ref="L40">_xll.EQNXTDZ($A$1,$B40,L$1,$B$1)</f>
        <v>0</v>
      </c>
      <c r="M40" s="125" cm="1">
        <f t="array" ref="M40">_xll.EQNXTDZ($A$1,$B40,M$1,$B$1)</f>
        <v>0</v>
      </c>
      <c r="N40" s="125" cm="1">
        <f t="array" ref="N40">_xll.EQNXTDZ($A$1,$B40,N$1,$B$1)</f>
        <v>0</v>
      </c>
      <c r="O40" s="125" cm="1">
        <f t="array" ref="O40">_xll.EQNXTDZ($A$1,$B40,O$1,$B$1)</f>
        <v>0</v>
      </c>
      <c r="P40" s="125" cm="1">
        <f t="array" ref="P40">_xll.EQNXTDZ($A$1,$B40,P$1,$B$1)</f>
        <v>0</v>
      </c>
      <c r="Q40" s="125" cm="1">
        <f t="array" ref="Q40">_xll.EQNXTDZ($A$1,$B40,Q$1,$B$1)</f>
        <v>0</v>
      </c>
      <c r="R40" s="125" cm="1">
        <f t="array" ref="R40">_xll.EQNXTDZ($A$1,$B40,R$1,$B$1)</f>
        <v>0</v>
      </c>
      <c r="S40" s="125" cm="1">
        <f t="array" ref="S40">_xll.EQNXTDZ($A$1,$B40,S$1,$B$1)</f>
        <v>0</v>
      </c>
      <c r="T40" s="125" cm="1">
        <f t="array" ref="T40">_xll.EQNXTDZ($A$1,$B40,T$1,$B$1)</f>
        <v>0</v>
      </c>
      <c r="U40" s="125" cm="1">
        <f t="array" ref="U40">_xll.EQNXTDZ($A$1,$B40,U$1,$B$1)</f>
        <v>0</v>
      </c>
      <c r="V40" s="125" cm="1">
        <f t="array" ref="V40">_xll.EQNXTDZ($A$1,$B40,V$1,$B$1)</f>
        <v>0</v>
      </c>
      <c r="W40" s="125" cm="1">
        <f t="array" ref="W40">_xll.EQNXTDZ($A$1,$B40,W$1,$B$1)</f>
        <v>0</v>
      </c>
      <c r="X40" s="125" cm="1">
        <f t="array" ref="X40">_xll.EQNXTDZ($A$1,$B40,X$1,$B$1)</f>
        <v>0</v>
      </c>
      <c r="Y40" s="125" cm="1">
        <f t="array" ref="Y40">_xll.EQNXTDZ($A$1,$B40,Y$1,$B$1)</f>
        <v>0</v>
      </c>
      <c r="Z40" s="125" cm="1">
        <f t="array" ref="Z40">_xll.EQNXTDZ($A$1,$B40,Z$1,$B$1)</f>
        <v>0</v>
      </c>
      <c r="AA40" s="125" cm="1">
        <f t="array" ref="AA40">_xll.EQNXTDZ($A$1,$B40,AA$1,$B$1)</f>
        <v>0</v>
      </c>
      <c r="AB40" s="125" cm="1">
        <f t="array" ref="AB40">_xll.EQNXTDZ($A$1,$B40,AB$1,$B$1)</f>
        <v>0</v>
      </c>
      <c r="AC40" s="125" cm="1">
        <f t="array" ref="AC40">_xll.EQNXTDZ($A$1,$B40,AC$1,$B$1)</f>
        <v>0</v>
      </c>
      <c r="AD40" s="125" cm="1">
        <f t="array" ref="AD40">_xll.EQNXTDZ($A$1,$B40,AD$1,$B$1)</f>
        <v>0</v>
      </c>
      <c r="AE40" s="125" cm="1">
        <f t="array" ref="AE40">_xll.EQNXTDZ($A$1,$B40,AE$1,$B$1)</f>
        <v>0</v>
      </c>
      <c r="AF40" s="125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5" cm="1">
        <f t="array" ref="C41">_xll.EQNXTDZ($A$1,$B41,C$1,$B$1)</f>
        <v>0</v>
      </c>
      <c r="D41" s="125" cm="1">
        <f t="array" ref="D41">_xll.EQNXTDZ($A$1,$B41,D$1,$B$1)</f>
        <v>0</v>
      </c>
      <c r="E41" s="125" cm="1">
        <f t="array" ref="E41">_xll.EQNXTDZ($A$1,$B41,E$1,$B$1)</f>
        <v>0</v>
      </c>
      <c r="F41" s="125" cm="1">
        <f t="array" ref="F41">_xll.EQNXTDZ($A$1,$B41,F$1,$B$1)</f>
        <v>0</v>
      </c>
      <c r="G41" s="125" cm="1">
        <f t="array" ref="G41">_xll.EQNXTDZ($A$1,$B41,G$1,$B$1)</f>
        <v>0</v>
      </c>
      <c r="H41" s="125" cm="1">
        <f t="array" ref="H41">_xll.EQNXTDZ($A$1,$B41,H$1,$B$1)</f>
        <v>0</v>
      </c>
      <c r="I41" s="125" cm="1">
        <f t="array" ref="I41">_xll.EQNXTDZ($A$1,$B41,I$1,$B$1)</f>
        <v>0</v>
      </c>
      <c r="J41" s="125" cm="1">
        <f t="array" ref="J41">_xll.EQNXTDZ($A$1,$B41,J$1,$B$1)</f>
        <v>0</v>
      </c>
      <c r="K41" s="125" cm="1">
        <f t="array" ref="K41">_xll.EQNXTDZ($A$1,$B41,K$1,$B$1)</f>
        <v>0</v>
      </c>
      <c r="L41" s="125" cm="1">
        <f t="array" ref="L41">_xll.EQNXTDZ($A$1,$B41,L$1,$B$1)</f>
        <v>0</v>
      </c>
      <c r="M41" s="125" cm="1">
        <f t="array" ref="M41">_xll.EQNXTDZ($A$1,$B41,M$1,$B$1)</f>
        <v>0</v>
      </c>
      <c r="N41" s="125" cm="1">
        <f t="array" ref="N41">_xll.EQNXTDZ($A$1,$B41,N$1,$B$1)</f>
        <v>0</v>
      </c>
      <c r="O41" s="125" cm="1">
        <f t="array" ref="O41">_xll.EQNXTDZ($A$1,$B41,O$1,$B$1)</f>
        <v>0</v>
      </c>
      <c r="P41" s="125" cm="1">
        <f t="array" ref="P41">_xll.EQNXTDZ($A$1,$B41,P$1,$B$1)</f>
        <v>0</v>
      </c>
      <c r="Q41" s="125" cm="1">
        <f t="array" ref="Q41">_xll.EQNXTDZ($A$1,$B41,Q$1,$B$1)</f>
        <v>0</v>
      </c>
      <c r="R41" s="125" cm="1">
        <f t="array" ref="R41">_xll.EQNXTDZ($A$1,$B41,R$1,$B$1)</f>
        <v>0</v>
      </c>
      <c r="S41" s="125" cm="1">
        <f t="array" ref="S41">_xll.EQNXTDZ($A$1,$B41,S$1,$B$1)</f>
        <v>0</v>
      </c>
      <c r="T41" s="125" cm="1">
        <f t="array" ref="T41">_xll.EQNXTDZ($A$1,$B41,T$1,$B$1)</f>
        <v>0</v>
      </c>
      <c r="U41" s="125" cm="1">
        <f t="array" ref="U41">_xll.EQNXTDZ($A$1,$B41,U$1,$B$1)</f>
        <v>0</v>
      </c>
      <c r="V41" s="125" cm="1">
        <f t="array" ref="V41">_xll.EQNXTDZ($A$1,$B41,V$1,$B$1)</f>
        <v>0</v>
      </c>
      <c r="W41" s="125" cm="1">
        <f t="array" ref="W41">_xll.EQNXTDZ($A$1,$B41,W$1,$B$1)</f>
        <v>0</v>
      </c>
      <c r="X41" s="125" cm="1">
        <f t="array" ref="X41">_xll.EQNXTDZ($A$1,$B41,X$1,$B$1)</f>
        <v>0</v>
      </c>
      <c r="Y41" s="125" cm="1">
        <f t="array" ref="Y41">_xll.EQNXTDZ($A$1,$B41,Y$1,$B$1)</f>
        <v>0</v>
      </c>
      <c r="Z41" s="125" cm="1">
        <f t="array" ref="Z41">_xll.EQNXTDZ($A$1,$B41,Z$1,$B$1)</f>
        <v>0</v>
      </c>
      <c r="AA41" s="125" cm="1">
        <f t="array" ref="AA41">_xll.EQNXTDZ($A$1,$B41,AA$1,$B$1)</f>
        <v>0</v>
      </c>
      <c r="AB41" s="125" cm="1">
        <f t="array" ref="AB41">_xll.EQNXTDZ($A$1,$B41,AB$1,$B$1)</f>
        <v>0</v>
      </c>
      <c r="AC41" s="125" cm="1">
        <f t="array" ref="AC41">_xll.EQNXTDZ($A$1,$B41,AC$1,$B$1)</f>
        <v>0</v>
      </c>
      <c r="AD41" s="125" cm="1">
        <f t="array" ref="AD41">_xll.EQNXTDZ($A$1,$B41,AD$1,$B$1)</f>
        <v>0</v>
      </c>
      <c r="AE41" s="125" cm="1">
        <f t="array" ref="AE41">_xll.EQNXTDZ($A$1,$B41,AE$1,$B$1)</f>
        <v>0</v>
      </c>
      <c r="AF41" s="125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5" cm="1">
        <f t="array" ref="C42">_xll.EQNXTDZ($A$1,$B42,C$1,$B$1)</f>
        <v>0</v>
      </c>
      <c r="D42" s="125" cm="1">
        <f t="array" ref="D42">_xll.EQNXTDZ($A$1,$B42,D$1,$B$1)</f>
        <v>0</v>
      </c>
      <c r="E42" s="125" cm="1">
        <f t="array" ref="E42">_xll.EQNXTDZ($A$1,$B42,E$1,$B$1)</f>
        <v>0</v>
      </c>
      <c r="F42" s="125" cm="1">
        <f t="array" ref="F42">_xll.EQNXTDZ($A$1,$B42,F$1,$B$1)</f>
        <v>0</v>
      </c>
      <c r="G42" s="125" cm="1">
        <f t="array" ref="G42">_xll.EQNXTDZ($A$1,$B42,G$1,$B$1)</f>
        <v>0</v>
      </c>
      <c r="H42" s="125" cm="1">
        <f t="array" ref="H42">_xll.EQNXTDZ($A$1,$B42,H$1,$B$1)</f>
        <v>0</v>
      </c>
      <c r="I42" s="125" cm="1">
        <f t="array" ref="I42">_xll.EQNXTDZ($A$1,$B42,I$1,$B$1)</f>
        <v>0</v>
      </c>
      <c r="J42" s="125" cm="1">
        <f t="array" ref="J42">_xll.EQNXTDZ($A$1,$B42,J$1,$B$1)</f>
        <v>0</v>
      </c>
      <c r="K42" s="125" cm="1">
        <f t="array" ref="K42">_xll.EQNXTDZ($A$1,$B42,K$1,$B$1)</f>
        <v>0</v>
      </c>
      <c r="L42" s="125" cm="1">
        <f t="array" ref="L42">_xll.EQNXTDZ($A$1,$B42,L$1,$B$1)</f>
        <v>0</v>
      </c>
      <c r="M42" s="125" cm="1">
        <f t="array" ref="M42">_xll.EQNXTDZ($A$1,$B42,M$1,$B$1)</f>
        <v>0</v>
      </c>
      <c r="N42" s="125" cm="1">
        <f t="array" ref="N42">_xll.EQNXTDZ($A$1,$B42,N$1,$B$1)</f>
        <v>0</v>
      </c>
      <c r="O42" s="125" cm="1">
        <f t="array" ref="O42">_xll.EQNXTDZ($A$1,$B42,O$1,$B$1)</f>
        <v>0</v>
      </c>
      <c r="P42" s="125" cm="1">
        <f t="array" ref="P42">_xll.EQNXTDZ($A$1,$B42,P$1,$B$1)</f>
        <v>0</v>
      </c>
      <c r="Q42" s="125" cm="1">
        <f t="array" ref="Q42">_xll.EQNXTDZ($A$1,$B42,Q$1,$B$1)</f>
        <v>0</v>
      </c>
      <c r="R42" s="125" cm="1">
        <f t="array" ref="R42">_xll.EQNXTDZ($A$1,$B42,R$1,$B$1)</f>
        <v>0</v>
      </c>
      <c r="S42" s="125" cm="1">
        <f t="array" ref="S42">_xll.EQNXTDZ($A$1,$B42,S$1,$B$1)</f>
        <v>0</v>
      </c>
      <c r="T42" s="125" cm="1">
        <f t="array" ref="T42">_xll.EQNXTDZ($A$1,$B42,T$1,$B$1)</f>
        <v>0</v>
      </c>
      <c r="U42" s="125" cm="1">
        <f t="array" ref="U42">_xll.EQNXTDZ($A$1,$B42,U$1,$B$1)</f>
        <v>0</v>
      </c>
      <c r="V42" s="125" cm="1">
        <f t="array" ref="V42">_xll.EQNXTDZ($A$1,$B42,V$1,$B$1)</f>
        <v>0</v>
      </c>
      <c r="W42" s="125" cm="1">
        <f t="array" ref="W42">_xll.EQNXTDZ($A$1,$B42,W$1,$B$1)</f>
        <v>0</v>
      </c>
      <c r="X42" s="125" cm="1">
        <f t="array" ref="X42">_xll.EQNXTDZ($A$1,$B42,X$1,$B$1)</f>
        <v>0</v>
      </c>
      <c r="Y42" s="125" cm="1">
        <f t="array" ref="Y42">_xll.EQNXTDZ($A$1,$B42,Y$1,$B$1)</f>
        <v>0</v>
      </c>
      <c r="Z42" s="125" cm="1">
        <f t="array" ref="Z42">_xll.EQNXTDZ($A$1,$B42,Z$1,$B$1)</f>
        <v>0</v>
      </c>
      <c r="AA42" s="125" cm="1">
        <f t="array" ref="AA42">_xll.EQNXTDZ($A$1,$B42,AA$1,$B$1)</f>
        <v>0</v>
      </c>
      <c r="AB42" s="125" cm="1">
        <f t="array" ref="AB42">_xll.EQNXTDZ($A$1,$B42,AB$1,$B$1)</f>
        <v>0</v>
      </c>
      <c r="AC42" s="125" cm="1">
        <f t="array" ref="AC42">_xll.EQNXTDZ($A$1,$B42,AC$1,$B$1)</f>
        <v>0</v>
      </c>
      <c r="AD42" s="125" cm="1">
        <f t="array" ref="AD42">_xll.EQNXTDZ($A$1,$B42,AD$1,$B$1)</f>
        <v>0</v>
      </c>
      <c r="AE42" s="125" cm="1">
        <f t="array" ref="AE42">_xll.EQNXTDZ($A$1,$B42,AE$1,$B$1)</f>
        <v>0</v>
      </c>
      <c r="AF42" s="125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5" cm="1">
        <f t="array" ref="C43">_xll.EQNXTDZ($A$1,$B43,C$1,$B$1)</f>
        <v>0</v>
      </c>
      <c r="D43" s="125" cm="1">
        <f t="array" ref="D43">_xll.EQNXTDZ($A$1,$B43,D$1,$B$1)</f>
        <v>0</v>
      </c>
      <c r="E43" s="125" cm="1">
        <f t="array" ref="E43">_xll.EQNXTDZ($A$1,$B43,E$1,$B$1)</f>
        <v>0</v>
      </c>
      <c r="F43" s="125" cm="1">
        <f t="array" ref="F43">_xll.EQNXTDZ($A$1,$B43,F$1,$B$1)</f>
        <v>0</v>
      </c>
      <c r="G43" s="125" cm="1">
        <f t="array" ref="G43">_xll.EQNXTDZ($A$1,$B43,G$1,$B$1)</f>
        <v>0</v>
      </c>
      <c r="H43" s="125" cm="1">
        <f t="array" ref="H43">_xll.EQNXTDZ($A$1,$B43,H$1,$B$1)</f>
        <v>0</v>
      </c>
      <c r="I43" s="125" cm="1">
        <f t="array" ref="I43">_xll.EQNXTDZ($A$1,$B43,I$1,$B$1)</f>
        <v>0</v>
      </c>
      <c r="J43" s="125" cm="1">
        <f t="array" ref="J43">_xll.EQNXTDZ($A$1,$B43,J$1,$B$1)</f>
        <v>0</v>
      </c>
      <c r="K43" s="125" cm="1">
        <f t="array" ref="K43">_xll.EQNXTDZ($A$1,$B43,K$1,$B$1)</f>
        <v>0</v>
      </c>
      <c r="L43" s="125" cm="1">
        <f t="array" ref="L43">_xll.EQNXTDZ($A$1,$B43,L$1,$B$1)</f>
        <v>0</v>
      </c>
      <c r="M43" s="125" cm="1">
        <f t="array" ref="M43">_xll.EQNXTDZ($A$1,$B43,M$1,$B$1)</f>
        <v>0</v>
      </c>
      <c r="N43" s="125" cm="1">
        <f t="array" ref="N43">_xll.EQNXTDZ($A$1,$B43,N$1,$B$1)</f>
        <v>0</v>
      </c>
      <c r="O43" s="125" cm="1">
        <f t="array" ref="O43">_xll.EQNXTDZ($A$1,$B43,O$1,$B$1)</f>
        <v>0</v>
      </c>
      <c r="P43" s="125" cm="1">
        <f t="array" ref="P43">_xll.EQNXTDZ($A$1,$B43,P$1,$B$1)</f>
        <v>0</v>
      </c>
      <c r="Q43" s="125" cm="1">
        <f t="array" ref="Q43">_xll.EQNXTDZ($A$1,$B43,Q$1,$B$1)</f>
        <v>0</v>
      </c>
      <c r="R43" s="125" cm="1">
        <f t="array" ref="R43">_xll.EQNXTDZ($A$1,$B43,R$1,$B$1)</f>
        <v>0</v>
      </c>
      <c r="S43" s="125" cm="1">
        <f t="array" ref="S43">_xll.EQNXTDZ($A$1,$B43,S$1,$B$1)</f>
        <v>0</v>
      </c>
      <c r="T43" s="125" cm="1">
        <f t="array" ref="T43">_xll.EQNXTDZ($A$1,$B43,T$1,$B$1)</f>
        <v>0</v>
      </c>
      <c r="U43" s="125" cm="1">
        <f t="array" ref="U43">_xll.EQNXTDZ($A$1,$B43,U$1,$B$1)</f>
        <v>0</v>
      </c>
      <c r="V43" s="125" cm="1">
        <f t="array" ref="V43">_xll.EQNXTDZ($A$1,$B43,V$1,$B$1)</f>
        <v>0</v>
      </c>
      <c r="W43" s="125" cm="1">
        <f t="array" ref="W43">_xll.EQNXTDZ($A$1,$B43,W$1,$B$1)</f>
        <v>0</v>
      </c>
      <c r="X43" s="125" cm="1">
        <f t="array" ref="X43">_xll.EQNXTDZ($A$1,$B43,X$1,$B$1)</f>
        <v>0</v>
      </c>
      <c r="Y43" s="125" cm="1">
        <f t="array" ref="Y43">_xll.EQNXTDZ($A$1,$B43,Y$1,$B$1)</f>
        <v>0</v>
      </c>
      <c r="Z43" s="125" cm="1">
        <f t="array" ref="Z43">_xll.EQNXTDZ($A$1,$B43,Z$1,$B$1)</f>
        <v>0</v>
      </c>
      <c r="AA43" s="125" cm="1">
        <f t="array" ref="AA43">_xll.EQNXTDZ($A$1,$B43,AA$1,$B$1)</f>
        <v>0</v>
      </c>
      <c r="AB43" s="125" cm="1">
        <f t="array" ref="AB43">_xll.EQNXTDZ($A$1,$B43,AB$1,$B$1)</f>
        <v>0</v>
      </c>
      <c r="AC43" s="125" cm="1">
        <f t="array" ref="AC43">_xll.EQNXTDZ($A$1,$B43,AC$1,$B$1)</f>
        <v>0</v>
      </c>
      <c r="AD43" s="125" cm="1">
        <f t="array" ref="AD43">_xll.EQNXTDZ($A$1,$B43,AD$1,$B$1)</f>
        <v>0</v>
      </c>
      <c r="AE43" s="125" cm="1">
        <f t="array" ref="AE43">_xll.EQNXTDZ($A$1,$B43,AE$1,$B$1)</f>
        <v>0</v>
      </c>
      <c r="AF43" s="125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5" cm="1">
        <f t="array" ref="C44">_xll.EQNXTDZ($A$1,$B44,C$1,$B$1)</f>
        <v>0</v>
      </c>
      <c r="D44" s="125" cm="1">
        <f t="array" ref="D44">_xll.EQNXTDZ($A$1,$B44,D$1,$B$1)</f>
        <v>0</v>
      </c>
      <c r="E44" s="125" cm="1">
        <f t="array" ref="E44">_xll.EQNXTDZ($A$1,$B44,E$1,$B$1)</f>
        <v>0</v>
      </c>
      <c r="F44" s="125" cm="1">
        <f t="array" ref="F44">_xll.EQNXTDZ($A$1,$B44,F$1,$B$1)</f>
        <v>0</v>
      </c>
      <c r="G44" s="125" cm="1">
        <f t="array" ref="G44">_xll.EQNXTDZ($A$1,$B44,G$1,$B$1)</f>
        <v>0</v>
      </c>
      <c r="H44" s="125" cm="1">
        <f t="array" ref="H44">_xll.EQNXTDZ($A$1,$B44,H$1,$B$1)</f>
        <v>0</v>
      </c>
      <c r="I44" s="125" cm="1">
        <f t="array" ref="I44">_xll.EQNXTDZ($A$1,$B44,I$1,$B$1)</f>
        <v>0</v>
      </c>
      <c r="J44" s="125" cm="1">
        <f t="array" ref="J44">_xll.EQNXTDZ($A$1,$B44,J$1,$B$1)</f>
        <v>0</v>
      </c>
      <c r="K44" s="125" cm="1">
        <f t="array" ref="K44">_xll.EQNXTDZ($A$1,$B44,K$1,$B$1)</f>
        <v>0</v>
      </c>
      <c r="L44" s="125" cm="1">
        <f t="array" ref="L44">_xll.EQNXTDZ($A$1,$B44,L$1,$B$1)</f>
        <v>0</v>
      </c>
      <c r="M44" s="125" cm="1">
        <f t="array" ref="M44">_xll.EQNXTDZ($A$1,$B44,M$1,$B$1)</f>
        <v>0</v>
      </c>
      <c r="N44" s="125" cm="1">
        <f t="array" ref="N44">_xll.EQNXTDZ($A$1,$B44,N$1,$B$1)</f>
        <v>0</v>
      </c>
      <c r="O44" s="125" cm="1">
        <f t="array" ref="O44">_xll.EQNXTDZ($A$1,$B44,O$1,$B$1)</f>
        <v>0</v>
      </c>
      <c r="P44" s="125" cm="1">
        <f t="array" ref="P44">_xll.EQNXTDZ($A$1,$B44,P$1,$B$1)</f>
        <v>0</v>
      </c>
      <c r="Q44" s="125" cm="1">
        <f t="array" ref="Q44">_xll.EQNXTDZ($A$1,$B44,Q$1,$B$1)</f>
        <v>0</v>
      </c>
      <c r="R44" s="125" cm="1">
        <f t="array" ref="R44">_xll.EQNXTDZ($A$1,$B44,R$1,$B$1)</f>
        <v>0</v>
      </c>
      <c r="S44" s="125" cm="1">
        <f t="array" ref="S44">_xll.EQNXTDZ($A$1,$B44,S$1,$B$1)</f>
        <v>0</v>
      </c>
      <c r="T44" s="125" cm="1">
        <f t="array" ref="T44">_xll.EQNXTDZ($A$1,$B44,T$1,$B$1)</f>
        <v>0</v>
      </c>
      <c r="U44" s="125" cm="1">
        <f t="array" ref="U44">_xll.EQNXTDZ($A$1,$B44,U$1,$B$1)</f>
        <v>0</v>
      </c>
      <c r="V44" s="125" cm="1">
        <f t="array" ref="V44">_xll.EQNXTDZ($A$1,$B44,V$1,$B$1)</f>
        <v>0</v>
      </c>
      <c r="W44" s="125" cm="1">
        <f t="array" ref="W44">_xll.EQNXTDZ($A$1,$B44,W$1,$B$1)</f>
        <v>0</v>
      </c>
      <c r="X44" s="125" cm="1">
        <f t="array" ref="X44">_xll.EQNXTDZ($A$1,$B44,X$1,$B$1)</f>
        <v>0</v>
      </c>
      <c r="Y44" s="125" cm="1">
        <f t="array" ref="Y44">_xll.EQNXTDZ($A$1,$B44,Y$1,$B$1)</f>
        <v>0</v>
      </c>
      <c r="Z44" s="125" cm="1">
        <f t="array" ref="Z44">_xll.EQNXTDZ($A$1,$B44,Z$1,$B$1)</f>
        <v>0</v>
      </c>
      <c r="AA44" s="125" cm="1">
        <f t="array" ref="AA44">_xll.EQNXTDZ($A$1,$B44,AA$1,$B$1)</f>
        <v>0</v>
      </c>
      <c r="AB44" s="125" cm="1">
        <f t="array" ref="AB44">_xll.EQNXTDZ($A$1,$B44,AB$1,$B$1)</f>
        <v>0</v>
      </c>
      <c r="AC44" s="125" cm="1">
        <f t="array" ref="AC44">_xll.EQNXTDZ($A$1,$B44,AC$1,$B$1)</f>
        <v>0</v>
      </c>
      <c r="AD44" s="125" cm="1">
        <f t="array" ref="AD44">_xll.EQNXTDZ($A$1,$B44,AD$1,$B$1)</f>
        <v>0</v>
      </c>
      <c r="AE44" s="125" cm="1">
        <f t="array" ref="AE44">_xll.EQNXTDZ($A$1,$B44,AE$1,$B$1)</f>
        <v>0</v>
      </c>
      <c r="AF44" s="125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5" cm="1">
        <f t="array" ref="C45">_xll.EQNXTDZ($A$1,$B45,C$1,$B$1)</f>
        <v>0</v>
      </c>
      <c r="D45" s="125" cm="1">
        <f t="array" ref="D45">_xll.EQNXTDZ($A$1,$B45,D$1,$B$1)</f>
        <v>0</v>
      </c>
      <c r="E45" s="125" cm="1">
        <f t="array" ref="E45">_xll.EQNXTDZ($A$1,$B45,E$1,$B$1)</f>
        <v>0</v>
      </c>
      <c r="F45" s="125" cm="1">
        <f t="array" ref="F45">_xll.EQNXTDZ($A$1,$B45,F$1,$B$1)</f>
        <v>0</v>
      </c>
      <c r="G45" s="125" cm="1">
        <f t="array" ref="G45">_xll.EQNXTDZ($A$1,$B45,G$1,$B$1)</f>
        <v>0</v>
      </c>
      <c r="H45" s="125" cm="1">
        <f t="array" ref="H45">_xll.EQNXTDZ($A$1,$B45,H$1,$B$1)</f>
        <v>0</v>
      </c>
      <c r="I45" s="125" cm="1">
        <f t="array" ref="I45">_xll.EQNXTDZ($A$1,$B45,I$1,$B$1)</f>
        <v>0</v>
      </c>
      <c r="J45" s="125" cm="1">
        <f t="array" ref="J45">_xll.EQNXTDZ($A$1,$B45,J$1,$B$1)</f>
        <v>0</v>
      </c>
      <c r="K45" s="125" cm="1">
        <f t="array" ref="K45">_xll.EQNXTDZ($A$1,$B45,K$1,$B$1)</f>
        <v>0.48440129999999998</v>
      </c>
      <c r="L45" s="125" cm="1">
        <f t="array" ref="L45">_xll.EQNXTDZ($A$1,$B45,L$1,$B$1)</f>
        <v>0.94564630000000005</v>
      </c>
      <c r="M45" s="125" cm="1">
        <f t="array" ref="M45">_xll.EQNXTDZ($A$1,$B45,M$1,$B$1)</f>
        <v>3.5101746999999999</v>
      </c>
      <c r="N45" s="125" cm="1">
        <f t="array" ref="N45">_xll.EQNXTDZ($A$1,$B45,N$1,$B$1)</f>
        <v>-2.9026410999999999</v>
      </c>
      <c r="O45" s="125" cm="1">
        <f t="array" ref="O45">_xll.EQNXTDZ($A$1,$B45,O$1,$B$1)</f>
        <v>8.4579295000000005</v>
      </c>
      <c r="P45" s="125" cm="1">
        <f t="array" ref="P45">_xll.EQNXTDZ($A$1,$B45,P$1,$B$1)</f>
        <v>18.5089896</v>
      </c>
      <c r="Q45" s="125" cm="1">
        <f t="array" ref="Q45">_xll.EQNXTDZ($A$1,$B45,Q$1,$B$1)</f>
        <v>49.455809500000001</v>
      </c>
      <c r="R45" s="125" cm="1">
        <f t="array" ref="R45">_xll.EQNXTDZ($A$1,$B45,R$1,$B$1)</f>
        <v>83.776121000000003</v>
      </c>
      <c r="S45" s="125" cm="1">
        <f t="array" ref="S45">_xll.EQNXTDZ($A$1,$B45,S$1,$B$1)</f>
        <v>75.255026999999998</v>
      </c>
      <c r="T45" s="125" cm="1">
        <f t="array" ref="T45">_xll.EQNXTDZ($A$1,$B45,T$1,$B$1)</f>
        <v>212.48</v>
      </c>
      <c r="U45" s="125" cm="1">
        <f t="array" ref="U45">_xll.EQNXTDZ($A$1,$B45,U$1,$B$1)</f>
        <v>321.76</v>
      </c>
      <c r="V45" s="125" cm="1">
        <f t="array" ref="V45">_xll.EQNXTDZ($A$1,$B45,V$1,$B$1)</f>
        <v>327.5</v>
      </c>
      <c r="W45" s="125" cm="1">
        <f t="array" ref="W45">_xll.EQNXTDZ($A$1,$B45,W$1,$B$1)</f>
        <v>142.38999999999999</v>
      </c>
      <c r="X45" s="125" cm="1">
        <f t="array" ref="X45">_xll.EQNXTDZ($A$1,$B45,X$1,$B$1)</f>
        <v>353.08</v>
      </c>
      <c r="Y45" s="125" cm="1">
        <f t="array" ref="Y45">_xll.EQNXTDZ($A$1,$B45,Y$1,$B$1)</f>
        <v>826.03</v>
      </c>
      <c r="Z45" s="125" cm="1">
        <f t="array" ref="Z45">_xll.EQNXTDZ($A$1,$B45,Z$1,$B$1)</f>
        <v>1445.93</v>
      </c>
      <c r="AA45" s="125" cm="1">
        <f t="array" ref="AA45">_xll.EQNXTDZ($A$1,$B45,AA$1,$B$1)</f>
        <v>531.4</v>
      </c>
      <c r="AB45" s="125" cm="1">
        <f t="array" ref="AB45">_xll.EQNXTDZ($A$1,$B45,AB$1,$B$1)</f>
        <v>777.64</v>
      </c>
      <c r="AC45" s="125" cm="1">
        <f t="array" ref="AC45">_xll.EQNXTDZ($A$1,$B45,AC$1,$B$1)</f>
        <v>0</v>
      </c>
      <c r="AD45" s="125" cm="1">
        <f t="array" ref="AD45">_xll.EQNXTDZ($A$1,$B45,AD$1,$B$1)</f>
        <v>0</v>
      </c>
      <c r="AE45" s="125" cm="1">
        <f t="array" ref="AE45">_xll.EQNXTDZ($A$1,$B45,AE$1,$B$1)</f>
        <v>0</v>
      </c>
      <c r="AF45" s="125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5" cm="1">
        <f t="array" ref="C46">_xll.EQNXTDZ($A$1,$B46,C$1,$B$1)</f>
        <v>0</v>
      </c>
      <c r="D46" s="125" cm="1">
        <f t="array" ref="D46">_xll.EQNXTDZ($A$1,$B46,D$1,$B$1)</f>
        <v>0</v>
      </c>
      <c r="E46" s="125" cm="1">
        <f t="array" ref="E46">_xll.EQNXTDZ($A$1,$B46,E$1,$B$1)</f>
        <v>0</v>
      </c>
      <c r="F46" s="125" cm="1">
        <f t="array" ref="F46">_xll.EQNXTDZ($A$1,$B46,F$1,$B$1)</f>
        <v>0</v>
      </c>
      <c r="G46" s="125" cm="1">
        <f t="array" ref="G46">_xll.EQNXTDZ($A$1,$B46,G$1,$B$1)</f>
        <v>0</v>
      </c>
      <c r="H46" s="125" cm="1">
        <f t="array" ref="H46">_xll.EQNXTDZ($A$1,$B46,H$1,$B$1)</f>
        <v>0</v>
      </c>
      <c r="I46" s="125" cm="1">
        <f t="array" ref="I46">_xll.EQNXTDZ($A$1,$B46,I$1,$B$1)</f>
        <v>0</v>
      </c>
      <c r="J46" s="125" cm="1">
        <f t="array" ref="J46">_xll.EQNXTDZ($A$1,$B46,J$1,$B$1)</f>
        <v>0</v>
      </c>
      <c r="K46" s="125" cm="1">
        <f t="array" ref="K46">_xll.EQNXTDZ($A$1,$B46,K$1,$B$1)</f>
        <v>0</v>
      </c>
      <c r="L46" s="125" cm="1">
        <f t="array" ref="L46">_xll.EQNXTDZ($A$1,$B46,L$1,$B$1)</f>
        <v>0</v>
      </c>
      <c r="M46" s="125" cm="1">
        <f t="array" ref="M46">_xll.EQNXTDZ($A$1,$B46,M$1,$B$1)</f>
        <v>0</v>
      </c>
      <c r="N46" s="125" cm="1">
        <f t="array" ref="N46">_xll.EQNXTDZ($A$1,$B46,N$1,$B$1)</f>
        <v>0</v>
      </c>
      <c r="O46" s="125" cm="1">
        <f t="array" ref="O46">_xll.EQNXTDZ($A$1,$B46,O$1,$B$1)</f>
        <v>0</v>
      </c>
      <c r="P46" s="125" cm="1">
        <f t="array" ref="P46">_xll.EQNXTDZ($A$1,$B46,P$1,$B$1)</f>
        <v>0</v>
      </c>
      <c r="Q46" s="125" cm="1">
        <f t="array" ref="Q46">_xll.EQNXTDZ($A$1,$B46,Q$1,$B$1)</f>
        <v>0</v>
      </c>
      <c r="R46" s="125" cm="1">
        <f t="array" ref="R46">_xll.EQNXTDZ($A$1,$B46,R$1,$B$1)</f>
        <v>0</v>
      </c>
      <c r="S46" s="125" cm="1">
        <f t="array" ref="S46">_xll.EQNXTDZ($A$1,$B46,S$1,$B$1)</f>
        <v>0</v>
      </c>
      <c r="T46" s="125" cm="1">
        <f t="array" ref="T46">_xll.EQNXTDZ($A$1,$B46,T$1,$B$1)</f>
        <v>0</v>
      </c>
      <c r="U46" s="125" cm="1">
        <f t="array" ref="U46">_xll.EQNXTDZ($A$1,$B46,U$1,$B$1)</f>
        <v>0</v>
      </c>
      <c r="V46" s="125" cm="1">
        <f t="array" ref="V46">_xll.EQNXTDZ($A$1,$B46,V$1,$B$1)</f>
        <v>0</v>
      </c>
      <c r="W46" s="125" cm="1">
        <f t="array" ref="W46">_xll.EQNXTDZ($A$1,$B46,W$1,$B$1)</f>
        <v>0</v>
      </c>
      <c r="X46" s="125" cm="1">
        <f t="array" ref="X46">_xll.EQNXTDZ($A$1,$B46,X$1,$B$1)</f>
        <v>0</v>
      </c>
      <c r="Y46" s="125" cm="1">
        <f t="array" ref="Y46">_xll.EQNXTDZ($A$1,$B46,Y$1,$B$1)</f>
        <v>0</v>
      </c>
      <c r="Z46" s="125" cm="1">
        <f t="array" ref="Z46">_xll.EQNXTDZ($A$1,$B46,Z$1,$B$1)</f>
        <v>0</v>
      </c>
      <c r="AA46" s="125" cm="1">
        <f t="array" ref="AA46">_xll.EQNXTDZ($A$1,$B46,AA$1,$B$1)</f>
        <v>0</v>
      </c>
      <c r="AB46" s="125" cm="1">
        <f t="array" ref="AB46">_xll.EQNXTDZ($A$1,$B46,AB$1,$B$1)</f>
        <v>0</v>
      </c>
      <c r="AC46" s="125" cm="1">
        <f t="array" ref="AC46">_xll.EQNXTDZ($A$1,$B46,AC$1,$B$1)</f>
        <v>0</v>
      </c>
      <c r="AD46" s="125" cm="1">
        <f t="array" ref="AD46">_xll.EQNXTDZ($A$1,$B46,AD$1,$B$1)</f>
        <v>0</v>
      </c>
      <c r="AE46" s="125" cm="1">
        <f t="array" ref="AE46">_xll.EQNXTDZ($A$1,$B46,AE$1,$B$1)</f>
        <v>0</v>
      </c>
      <c r="AF46" s="125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5" cm="1">
        <f t="array" ref="C47">_xll.EQNXTDZ($A$1,$B47,C$1,$B$1)</f>
        <v>0</v>
      </c>
      <c r="D47" s="125" cm="1">
        <f t="array" ref="D47">_xll.EQNXTDZ($A$1,$B47,D$1,$B$1)</f>
        <v>0</v>
      </c>
      <c r="E47" s="125" cm="1">
        <f t="array" ref="E47">_xll.EQNXTDZ($A$1,$B47,E$1,$B$1)</f>
        <v>0</v>
      </c>
      <c r="F47" s="125" cm="1">
        <f t="array" ref="F47">_xll.EQNXTDZ($A$1,$B47,F$1,$B$1)</f>
        <v>0</v>
      </c>
      <c r="G47" s="125" cm="1">
        <f t="array" ref="G47">_xll.EQNXTDZ($A$1,$B47,G$1,$B$1)</f>
        <v>0</v>
      </c>
      <c r="H47" s="125" cm="1">
        <f t="array" ref="H47">_xll.EQNXTDZ($A$1,$B47,H$1,$B$1)</f>
        <v>0</v>
      </c>
      <c r="I47" s="125" cm="1">
        <f t="array" ref="I47">_xll.EQNXTDZ($A$1,$B47,I$1,$B$1)</f>
        <v>0</v>
      </c>
      <c r="J47" s="125" cm="1">
        <f t="array" ref="J47">_xll.EQNXTDZ($A$1,$B47,J$1,$B$1)</f>
        <v>0</v>
      </c>
      <c r="K47" s="125" cm="1">
        <f t="array" ref="K47">_xll.EQNXTDZ($A$1,$B47,K$1,$B$1)</f>
        <v>0.35657440000000001</v>
      </c>
      <c r="L47" s="125" cm="1">
        <f t="array" ref="L47">_xll.EQNXTDZ($A$1,$B47,L$1,$B$1)</f>
        <v>0.74409539999999996</v>
      </c>
      <c r="M47" s="125" cm="1">
        <f t="array" ref="M47">_xll.EQNXTDZ($A$1,$B47,M$1,$B$1)</f>
        <v>1.4068619</v>
      </c>
      <c r="N47" s="125" cm="1">
        <f t="array" ref="N47">_xll.EQNXTDZ($A$1,$B47,N$1,$B$1)</f>
        <v>4.1970017000000004</v>
      </c>
      <c r="O47" s="125" cm="1">
        <f t="array" ref="O47">_xll.EQNXTDZ($A$1,$B47,O$1,$B$1)</f>
        <v>1.2942704</v>
      </c>
      <c r="P47" s="125" cm="1">
        <f t="array" ref="P47">_xll.EQNXTDZ($A$1,$B47,P$1,$B$1)</f>
        <v>8.0606139999999993</v>
      </c>
      <c r="Q47" s="125" cm="1">
        <f t="array" ref="Q47">_xll.EQNXTDZ($A$1,$B47,Q$1,$B$1)</f>
        <v>22.867805700000002</v>
      </c>
      <c r="R47" s="125" cm="1">
        <f t="array" ref="R47">_xll.EQNXTDZ($A$1,$B47,R$1,$B$1)</f>
        <v>62.432453299999999</v>
      </c>
      <c r="S47" s="125" cm="1">
        <f t="array" ref="S47">_xll.EQNXTDZ($A$1,$B47,S$1,$B$1)</f>
        <v>129.45335009999999</v>
      </c>
      <c r="T47" s="125" cm="1">
        <f t="array" ref="T47">_xll.EQNXTDZ($A$1,$B47,T$1,$B$1)</f>
        <v>108.43</v>
      </c>
      <c r="U47" s="125" cm="1">
        <f t="array" ref="U47">_xll.EQNXTDZ($A$1,$B47,U$1,$B$1)</f>
        <v>297.38</v>
      </c>
      <c r="V47" s="125" cm="1">
        <f t="array" ref="V47">_xll.EQNXTDZ($A$1,$B47,V$1,$B$1)</f>
        <v>553.54999999999995</v>
      </c>
      <c r="W47" s="125" cm="1">
        <f t="array" ref="W47">_xll.EQNXTDZ($A$1,$B47,W$1,$B$1)</f>
        <v>815.59</v>
      </c>
      <c r="X47" s="125" cm="1">
        <f t="array" ref="X47">_xll.EQNXTDZ($A$1,$B47,X$1,$B$1)</f>
        <v>917.55</v>
      </c>
      <c r="Y47" s="125" cm="1">
        <f t="array" ref="Y47">_xll.EQNXTDZ($A$1,$B47,Y$1,$B$1)</f>
        <v>1194.73</v>
      </c>
      <c r="Z47" s="125" cm="1">
        <f t="array" ref="Z47">_xll.EQNXTDZ($A$1,$B47,Z$1,$B$1)</f>
        <v>1855.1</v>
      </c>
      <c r="AA47" s="125" cm="1">
        <f t="array" ref="AA47">_xll.EQNXTDZ($A$1,$B47,AA$1,$B$1)</f>
        <v>3011.04</v>
      </c>
      <c r="AB47" s="125" cm="1">
        <f t="array" ref="AB47">_xll.EQNXTDZ($A$1,$B47,AB$1,$B$1)</f>
        <v>3271.95</v>
      </c>
      <c r="AC47" s="125" cm="1">
        <f t="array" ref="AC47">_xll.EQNXTDZ($A$1,$B47,AC$1,$B$1)</f>
        <v>0</v>
      </c>
      <c r="AD47" s="125" cm="1">
        <f t="array" ref="AD47">_xll.EQNXTDZ($A$1,$B47,AD$1,$B$1)</f>
        <v>0</v>
      </c>
      <c r="AE47" s="125" cm="1">
        <f t="array" ref="AE47">_xll.EQNXTDZ($A$1,$B47,AE$1,$B$1)</f>
        <v>0</v>
      </c>
      <c r="AF47" s="125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5" cm="1">
        <f t="array" ref="C48">_xll.EQNXTDZ($A$1,$B48,C$1,$B$1)</f>
        <v>0</v>
      </c>
      <c r="D48" s="125" cm="1">
        <f t="array" ref="D48">_xll.EQNXTDZ($A$1,$B48,D$1,$B$1)</f>
        <v>0</v>
      </c>
      <c r="E48" s="125" cm="1">
        <f t="array" ref="E48">_xll.EQNXTDZ($A$1,$B48,E$1,$B$1)</f>
        <v>0</v>
      </c>
      <c r="F48" s="125" cm="1">
        <f t="array" ref="F48">_xll.EQNXTDZ($A$1,$B48,F$1,$B$1)</f>
        <v>0</v>
      </c>
      <c r="G48" s="125" cm="1">
        <f t="array" ref="G48">_xll.EQNXTDZ($A$1,$B48,G$1,$B$1)</f>
        <v>0</v>
      </c>
      <c r="H48" s="125" cm="1">
        <f t="array" ref="H48">_xll.EQNXTDZ($A$1,$B48,H$1,$B$1)</f>
        <v>0</v>
      </c>
      <c r="I48" s="125" cm="1">
        <f t="array" ref="I48">_xll.EQNXTDZ($A$1,$B48,I$1,$B$1)</f>
        <v>0</v>
      </c>
      <c r="J48" s="125" cm="1">
        <f t="array" ref="J48">_xll.EQNXTDZ($A$1,$B48,J$1,$B$1)</f>
        <v>0</v>
      </c>
      <c r="K48" s="125" cm="1">
        <f t="array" ref="K48">_xll.EQNXTDZ($A$1,$B48,K$1,$B$1)</f>
        <v>0</v>
      </c>
      <c r="L48" s="125" cm="1">
        <f t="array" ref="L48">_xll.EQNXTDZ($A$1,$B48,L$1,$B$1)</f>
        <v>0</v>
      </c>
      <c r="M48" s="125" cm="1">
        <f t="array" ref="M48">_xll.EQNXTDZ($A$1,$B48,M$1,$B$1)</f>
        <v>0</v>
      </c>
      <c r="N48" s="125" cm="1">
        <f t="array" ref="N48">_xll.EQNXTDZ($A$1,$B48,N$1,$B$1)</f>
        <v>0</v>
      </c>
      <c r="O48" s="125" cm="1">
        <f t="array" ref="O48">_xll.EQNXTDZ($A$1,$B48,O$1,$B$1)</f>
        <v>0</v>
      </c>
      <c r="P48" s="125" cm="1">
        <f t="array" ref="P48">_xll.EQNXTDZ($A$1,$B48,P$1,$B$1)</f>
        <v>0</v>
      </c>
      <c r="Q48" s="125" cm="1">
        <f t="array" ref="Q48">_xll.EQNXTDZ($A$1,$B48,Q$1,$B$1)</f>
        <v>0</v>
      </c>
      <c r="R48" s="125" cm="1">
        <f t="array" ref="R48">_xll.EQNXTDZ($A$1,$B48,R$1,$B$1)</f>
        <v>0</v>
      </c>
      <c r="S48" s="125" cm="1">
        <f t="array" ref="S48">_xll.EQNXTDZ($A$1,$B48,S$1,$B$1)</f>
        <v>0</v>
      </c>
      <c r="T48" s="125" cm="1">
        <f t="array" ref="T48">_xll.EQNXTDZ($A$1,$B48,T$1,$B$1)</f>
        <v>0</v>
      </c>
      <c r="U48" s="125" cm="1">
        <f t="array" ref="U48">_xll.EQNXTDZ($A$1,$B48,U$1,$B$1)</f>
        <v>0</v>
      </c>
      <c r="V48" s="125" cm="1">
        <f t="array" ref="V48">_xll.EQNXTDZ($A$1,$B48,V$1,$B$1)</f>
        <v>0</v>
      </c>
      <c r="W48" s="125" cm="1">
        <f t="array" ref="W48">_xll.EQNXTDZ($A$1,$B48,W$1,$B$1)</f>
        <v>0</v>
      </c>
      <c r="X48" s="125" cm="1">
        <f t="array" ref="X48">_xll.EQNXTDZ($A$1,$B48,X$1,$B$1)</f>
        <v>0</v>
      </c>
      <c r="Y48" s="125" cm="1">
        <f t="array" ref="Y48">_xll.EQNXTDZ($A$1,$B48,Y$1,$B$1)</f>
        <v>0</v>
      </c>
      <c r="Z48" s="125" cm="1">
        <f t="array" ref="Z48">_xll.EQNXTDZ($A$1,$B48,Z$1,$B$1)</f>
        <v>0</v>
      </c>
      <c r="AA48" s="125" cm="1">
        <f t="array" ref="AA48">_xll.EQNXTDZ($A$1,$B48,AA$1,$B$1)</f>
        <v>0</v>
      </c>
      <c r="AB48" s="125" cm="1">
        <f t="array" ref="AB48">_xll.EQNXTDZ($A$1,$B48,AB$1,$B$1)</f>
        <v>0</v>
      </c>
      <c r="AC48" s="125" cm="1">
        <f t="array" ref="AC48">_xll.EQNXTDZ($A$1,$B48,AC$1,$B$1)</f>
        <v>0</v>
      </c>
      <c r="AD48" s="125" cm="1">
        <f t="array" ref="AD48">_xll.EQNXTDZ($A$1,$B48,AD$1,$B$1)</f>
        <v>0</v>
      </c>
      <c r="AE48" s="125" cm="1">
        <f t="array" ref="AE48">_xll.EQNXTDZ($A$1,$B48,AE$1,$B$1)</f>
        <v>0</v>
      </c>
      <c r="AF48" s="125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5" cm="1">
        <f t="array" ref="C49">_xll.EQNXTDZ($A$1,$B49,C$1,$B$1)</f>
        <v>0</v>
      </c>
      <c r="D49" s="125" cm="1">
        <f t="array" ref="D49">_xll.EQNXTDZ($A$1,$B49,D$1,$B$1)</f>
        <v>0</v>
      </c>
      <c r="E49" s="125" cm="1">
        <f t="array" ref="E49">_xll.EQNXTDZ($A$1,$B49,E$1,$B$1)</f>
        <v>0</v>
      </c>
      <c r="F49" s="125" cm="1">
        <f t="array" ref="F49">_xll.EQNXTDZ($A$1,$B49,F$1,$B$1)</f>
        <v>0</v>
      </c>
      <c r="G49" s="125" cm="1">
        <f t="array" ref="G49">_xll.EQNXTDZ($A$1,$B49,G$1,$B$1)</f>
        <v>0</v>
      </c>
      <c r="H49" s="125" cm="1">
        <f t="array" ref="H49">_xll.EQNXTDZ($A$1,$B49,H$1,$B$1)</f>
        <v>0</v>
      </c>
      <c r="I49" s="125" cm="1">
        <f t="array" ref="I49">_xll.EQNXTDZ($A$1,$B49,I$1,$B$1)</f>
        <v>0</v>
      </c>
      <c r="J49" s="125" cm="1">
        <f t="array" ref="J49">_xll.EQNXTDZ($A$1,$B49,J$1,$B$1)</f>
        <v>0</v>
      </c>
      <c r="K49" s="125" cm="1">
        <f t="array" ref="K49">_xll.EQNXTDZ($A$1,$B49,K$1,$B$1)</f>
        <v>0</v>
      </c>
      <c r="L49" s="125" cm="1">
        <f t="array" ref="L49">_xll.EQNXTDZ($A$1,$B49,L$1,$B$1)</f>
        <v>0</v>
      </c>
      <c r="M49" s="125" cm="1">
        <f t="array" ref="M49">_xll.EQNXTDZ($A$1,$B49,M$1,$B$1)</f>
        <v>0</v>
      </c>
      <c r="N49" s="125" cm="1">
        <f t="array" ref="N49">_xll.EQNXTDZ($A$1,$B49,N$1,$B$1)</f>
        <v>0</v>
      </c>
      <c r="O49" s="125" cm="1">
        <f t="array" ref="O49">_xll.EQNXTDZ($A$1,$B49,O$1,$B$1)</f>
        <v>0</v>
      </c>
      <c r="P49" s="125" cm="1">
        <f t="array" ref="P49">_xll.EQNXTDZ($A$1,$B49,P$1,$B$1)</f>
        <v>0</v>
      </c>
      <c r="Q49" s="125" cm="1">
        <f t="array" ref="Q49">_xll.EQNXTDZ($A$1,$B49,Q$1,$B$1)</f>
        <v>0</v>
      </c>
      <c r="R49" s="125" cm="1">
        <f t="array" ref="R49">_xll.EQNXTDZ($A$1,$B49,R$1,$B$1)</f>
        <v>0</v>
      </c>
      <c r="S49" s="125" cm="1">
        <f t="array" ref="S49">_xll.EQNXTDZ($A$1,$B49,S$1,$B$1)</f>
        <v>0</v>
      </c>
      <c r="T49" s="125" cm="1">
        <f t="array" ref="T49">_xll.EQNXTDZ($A$1,$B49,T$1,$B$1)</f>
        <v>0</v>
      </c>
      <c r="U49" s="125" cm="1">
        <f t="array" ref="U49">_xll.EQNXTDZ($A$1,$B49,U$1,$B$1)</f>
        <v>321.76</v>
      </c>
      <c r="V49" s="125" cm="1">
        <f t="array" ref="V49">_xll.EQNXTDZ($A$1,$B49,V$1,$B$1)</f>
        <v>333.55</v>
      </c>
      <c r="W49" s="125" cm="1">
        <f t="array" ref="W49">_xll.EQNXTDZ($A$1,$B49,W$1,$B$1)</f>
        <v>134.02000000000001</v>
      </c>
      <c r="X49" s="125" cm="1">
        <f t="array" ref="X49">_xll.EQNXTDZ($A$1,$B49,X$1,$B$1)</f>
        <v>353.07</v>
      </c>
      <c r="Y49" s="125" cm="1">
        <f t="array" ref="Y49">_xll.EQNXTDZ($A$1,$B49,Y$1,$B$1)</f>
        <v>826.06</v>
      </c>
      <c r="Z49" s="125" cm="1">
        <f t="array" ref="Z49">_xll.EQNXTDZ($A$1,$B49,Z$1,$B$1)</f>
        <v>1445.93</v>
      </c>
      <c r="AA49" s="125" cm="1">
        <f t="array" ref="AA49">_xll.EQNXTDZ($A$1,$B49,AA$1,$B$1)</f>
        <v>531.4</v>
      </c>
      <c r="AB49" s="125" cm="1">
        <f t="array" ref="AB49">_xll.EQNXTDZ($A$1,$B49,AB$1,$B$1)</f>
        <v>777.64</v>
      </c>
      <c r="AC49" s="125" cm="1">
        <f t="array" ref="AC49">_xll.EQNXTDZ($A$1,$B49,AC$1,$B$1)</f>
        <v>0</v>
      </c>
      <c r="AD49" s="125" cm="1">
        <f t="array" ref="AD49">_xll.EQNXTDZ($A$1,$B49,AD$1,$B$1)</f>
        <v>0</v>
      </c>
      <c r="AE49" s="125" cm="1">
        <f t="array" ref="AE49">_xll.EQNXTDZ($A$1,$B49,AE$1,$B$1)</f>
        <v>0</v>
      </c>
      <c r="AF49" s="125" cm="1">
        <f t="array" ref="AF49">_xll.EQNXTDZ($A$1,$B49,AF$1,$B$1)</f>
        <v>0</v>
      </c>
    </row>
    <row r="50" spans="1:32" x14ac:dyDescent="0.25"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</row>
    <row r="51" spans="1:32" x14ac:dyDescent="0.25">
      <c r="A51" t="s">
        <v>53</v>
      </c>
      <c r="B51" t="s">
        <v>54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</row>
    <row r="52" spans="1:32" s="107" customFormat="1" x14ac:dyDescent="0.25">
      <c r="A52" s="107" t="s">
        <v>112</v>
      </c>
      <c r="B52" s="107" t="s">
        <v>116</v>
      </c>
      <c r="C52" s="125" cm="1">
        <f t="array" ref="C52">_xll.EQNXTDZ($A$1,$B52,C$1,$B$1)</f>
        <v>0</v>
      </c>
      <c r="D52" s="125" cm="1">
        <f t="array" ref="D52">_xll.EQNXTDZ($A$1,$B52,D$1,$B$1)</f>
        <v>0</v>
      </c>
      <c r="E52" s="125" cm="1">
        <f t="array" ref="E52">_xll.EQNXTDZ($A$1,$B52,E$1,$B$1)</f>
        <v>0</v>
      </c>
      <c r="F52" s="125" cm="1">
        <f t="array" ref="F52">_xll.EQNXTDZ($A$1,$B52,F$1,$B$1)</f>
        <v>0</v>
      </c>
      <c r="G52" s="125" cm="1">
        <f t="array" ref="G52">_xll.EQNXTDZ($A$1,$B52,G$1,$B$1)</f>
        <v>0</v>
      </c>
      <c r="H52" s="125" cm="1">
        <f t="array" ref="H52">_xll.EQNXTDZ($A$1,$B52,H$1,$B$1)</f>
        <v>0</v>
      </c>
      <c r="I52" s="125" cm="1">
        <f t="array" ref="I52">_xll.EQNXTDZ($A$1,$B52,I$1,$B$1)</f>
        <v>0</v>
      </c>
      <c r="J52" s="125" cm="1">
        <f t="array" ref="J52">_xll.EQNXTDZ($A$1,$B52,J$1,$B$1)</f>
        <v>0</v>
      </c>
      <c r="K52" s="125" cm="1">
        <f t="array" ref="K52">_xll.EQNXTDZ($A$1,$B52,K$1,$B$1)</f>
        <v>16.480578999999999</v>
      </c>
      <c r="L52" s="125" cm="1">
        <f t="array" ref="L52">_xll.EQNXTDZ($A$1,$B52,L$1,$B$1)</f>
        <v>24.842320999999998</v>
      </c>
      <c r="M52" s="125" cm="1">
        <f t="array" ref="M52">_xll.EQNXTDZ($A$1,$B52,M$1,$B$1)</f>
        <v>24.842320999999998</v>
      </c>
      <c r="N52" s="125" cm="1">
        <f t="array" ref="N52">_xll.EQNXTDZ($A$1,$B52,N$1,$B$1)</f>
        <v>24.842320999999998</v>
      </c>
      <c r="O52" s="125" cm="1">
        <f t="array" ref="O52">_xll.EQNXTDZ($A$1,$B52,O$1,$B$1)</f>
        <v>39.620099000000003</v>
      </c>
      <c r="P52" s="125" cm="1">
        <f t="array" ref="P52">_xll.EQNXTDZ($A$1,$B52,P$1,$B$1)</f>
        <v>52.953432999999997</v>
      </c>
      <c r="Q52" s="125" cm="1">
        <f t="array" ref="Q52">_xll.EQNXTDZ($A$1,$B52,Q$1,$B$1)</f>
        <v>72.953433000000004</v>
      </c>
      <c r="R52" s="125" cm="1">
        <f t="array" ref="R52">_xll.EQNXTDZ($A$1,$B52,R$1,$B$1)</f>
        <v>72.953433000000004</v>
      </c>
      <c r="S52" s="125" cm="1">
        <f t="array" ref="S52">_xll.EQNXTDZ($A$1,$B52,S$1,$B$1)</f>
        <v>85.681342999999998</v>
      </c>
      <c r="T52" s="125" cm="1">
        <f t="array" ref="T52">_xll.EQNXTDZ($A$1,$B52,T$1,$B$1)</f>
        <v>128.43</v>
      </c>
      <c r="U52" s="125" cm="1">
        <f t="array" ref="U52">_xll.EQNXTDZ($A$1,$B52,U$1,$B$1)</f>
        <v>143.55000000000001</v>
      </c>
      <c r="V52" s="125" cm="1">
        <f t="array" ref="V52">_xll.EQNXTDZ($A$1,$B52,V$1,$B$1)</f>
        <v>143.99</v>
      </c>
      <c r="W52" s="125" cm="1">
        <f t="array" ref="W52">_xll.EQNXTDZ($A$1,$B52,W$1,$B$1)</f>
        <v>155.58000000000001</v>
      </c>
      <c r="X52" s="125" cm="1">
        <f t="array" ref="X52">_xll.EQNXTDZ($A$1,$B52,X$1,$B$1)</f>
        <v>155.87</v>
      </c>
      <c r="Y52" s="125" cm="1">
        <f t="array" ref="Y52">_xll.EQNXTDZ($A$1,$B52,Y$1,$B$1)</f>
        <v>158.91</v>
      </c>
      <c r="Z52" s="125" cm="1">
        <f t="array" ref="Z52">_xll.EQNXTDZ($A$1,$B52,Z$1,$B$1)</f>
        <v>159.38</v>
      </c>
      <c r="AA52" s="125" cm="1">
        <f t="array" ref="AA52">_xll.EQNXTDZ($A$1,$B52,AA$1,$B$1)</f>
        <v>159.72</v>
      </c>
      <c r="AB52" s="125" cm="1">
        <f t="array" ref="AB52">_xll.EQNXTDZ($A$1,$B52,AB$1,$B$1)</f>
        <v>160.19999999999999</v>
      </c>
      <c r="AC52" s="125" cm="1">
        <f t="array" ref="AC52">_xll.EQNXTDZ($A$1,$B52,AC$1,$B$1)</f>
        <v>0</v>
      </c>
      <c r="AD52" s="125" cm="1">
        <f t="array" ref="AD52">_xll.EQNXTDZ($A$1,$B52,AD$1,$B$1)</f>
        <v>0</v>
      </c>
      <c r="AE52" s="125" cm="1">
        <f t="array" ref="AE52">_xll.EQNXTDZ($A$1,$B52,AE$1,$B$1)</f>
        <v>0</v>
      </c>
      <c r="AF52" s="125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5" cm="1">
        <f t="array" ref="C53">_xll.EQNXTDZ($A$1,$B53,C$1,$B$1)</f>
        <v>0</v>
      </c>
      <c r="D53" s="125" cm="1">
        <f t="array" ref="D53">_xll.EQNXTDZ($A$1,$B53,D$1,$B$1)</f>
        <v>0</v>
      </c>
      <c r="E53" s="125" cm="1">
        <f t="array" ref="E53">_xll.EQNXTDZ($A$1,$B53,E$1,$B$1)</f>
        <v>0</v>
      </c>
      <c r="F53" s="125" cm="1">
        <f t="array" ref="F53">_xll.EQNXTDZ($A$1,$B53,F$1,$B$1)</f>
        <v>0</v>
      </c>
      <c r="G53" s="125" cm="1">
        <f t="array" ref="G53">_xll.EQNXTDZ($A$1,$B53,G$1,$B$1)</f>
        <v>0</v>
      </c>
      <c r="H53" s="125" cm="1">
        <f t="array" ref="H53">_xll.EQNXTDZ($A$1,$B53,H$1,$B$1)</f>
        <v>0</v>
      </c>
      <c r="I53" s="125" cm="1">
        <f t="array" ref="I53">_xll.EQNXTDZ($A$1,$B53,I$1,$B$1)</f>
        <v>0</v>
      </c>
      <c r="J53" s="125" cm="1">
        <f t="array" ref="J53">_xll.EQNXTDZ($A$1,$B53,J$1,$B$1)</f>
        <v>0</v>
      </c>
      <c r="K53" s="125" cm="1">
        <f t="array" ref="K53">_xll.EQNXTDZ($A$1,$B53,K$1,$B$1)</f>
        <v>5.3167533000000002</v>
      </c>
      <c r="L53" s="125" cm="1">
        <f t="array" ref="L53">_xll.EQNXTDZ($A$1,$B53,L$1,$B$1)</f>
        <v>25.400657599999999</v>
      </c>
      <c r="M53" s="125" cm="1">
        <f t="array" ref="M53">_xll.EQNXTDZ($A$1,$B53,M$1,$B$1)</f>
        <v>28.892832299999998</v>
      </c>
      <c r="N53" s="125" cm="1">
        <f t="array" ref="N53">_xll.EQNXTDZ($A$1,$B53,N$1,$B$1)</f>
        <v>25.990191299999999</v>
      </c>
      <c r="O53" s="125" cm="1">
        <f t="array" ref="O53">_xll.EQNXTDZ($A$1,$B53,O$1,$B$1)</f>
        <v>72.870343899999995</v>
      </c>
      <c r="P53" s="125" cm="1">
        <f t="array" ref="P53">_xll.EQNXTDZ($A$1,$B53,P$1,$B$1)</f>
        <v>158.04600350000001</v>
      </c>
      <c r="Q53" s="125" cm="1">
        <f t="array" ref="Q53">_xll.EQNXTDZ($A$1,$B53,Q$1,$B$1)</f>
        <v>307.5018129</v>
      </c>
      <c r="R53" s="125" cm="1">
        <f t="array" ref="R53">_xll.EQNXTDZ($A$1,$B53,R$1,$B$1)</f>
        <v>391.27793389999999</v>
      </c>
      <c r="S53" s="125" cm="1">
        <f t="array" ref="S53">_xll.EQNXTDZ($A$1,$B53,S$1,$B$1)</f>
        <v>603.8050508</v>
      </c>
      <c r="T53" s="125" cm="1">
        <f t="array" ref="T53">_xll.EQNXTDZ($A$1,$B53,T$1,$B$1)</f>
        <v>1303.97</v>
      </c>
      <c r="U53" s="125" cm="1">
        <f t="array" ref="U53">_xll.EQNXTDZ($A$1,$B53,U$1,$B$1)</f>
        <v>2212.7199999999998</v>
      </c>
      <c r="V53" s="125" cm="1">
        <f t="array" ref="V53">_xll.EQNXTDZ($A$1,$B53,V$1,$B$1)</f>
        <v>2516.48</v>
      </c>
      <c r="W53" s="125" cm="1">
        <f t="array" ref="W53">_xll.EQNXTDZ($A$1,$B53,W$1,$B$1)</f>
        <v>3470.71</v>
      </c>
      <c r="X53" s="125" cm="1">
        <f t="array" ref="X53">_xll.EQNXTDZ($A$1,$B53,X$1,$B$1)</f>
        <v>3999.32</v>
      </c>
      <c r="Y53" s="125" cm="1">
        <f t="array" ref="Y53">_xll.EQNXTDZ($A$1,$B53,Y$1,$B$1)</f>
        <v>4928.62</v>
      </c>
      <c r="Z53" s="125" cm="1">
        <f t="array" ref="Z53">_xll.EQNXTDZ($A$1,$B53,Z$1,$B$1)</f>
        <v>6379.4</v>
      </c>
      <c r="AA53" s="125" cm="1">
        <f t="array" ref="AA53">_xll.EQNXTDZ($A$1,$B53,AA$1,$B$1)</f>
        <v>6746.96</v>
      </c>
      <c r="AB53" s="125" cm="1">
        <f t="array" ref="AB53">_xll.EQNXTDZ($A$1,$B53,AB$1,$B$1)</f>
        <v>7615.86</v>
      </c>
      <c r="AC53" s="125" cm="1">
        <f t="array" ref="AC53">_xll.EQNXTDZ($A$1,$B53,AC$1,$B$1)</f>
        <v>0</v>
      </c>
      <c r="AD53" s="125" cm="1">
        <f t="array" ref="AD53">_xll.EQNXTDZ($A$1,$B53,AD$1,$B$1)</f>
        <v>0</v>
      </c>
      <c r="AE53" s="125" cm="1">
        <f t="array" ref="AE53">_xll.EQNXTDZ($A$1,$B53,AE$1,$B$1)</f>
        <v>0</v>
      </c>
      <c r="AF53" s="125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5" cm="1">
        <f t="array" ref="C54">_xll.EQNXTDZ($A$1,$B54,C$1,$B$1)</f>
        <v>0</v>
      </c>
      <c r="D54" s="125" cm="1">
        <f t="array" ref="D54">_xll.EQNXTDZ($A$1,$B54,D$1,$B$1)</f>
        <v>0</v>
      </c>
      <c r="E54" s="125" cm="1">
        <f t="array" ref="E54">_xll.EQNXTDZ($A$1,$B54,E$1,$B$1)</f>
        <v>0</v>
      </c>
      <c r="F54" s="125" cm="1">
        <f t="array" ref="F54">_xll.EQNXTDZ($A$1,$B54,F$1,$B$1)</f>
        <v>0</v>
      </c>
      <c r="G54" s="125" cm="1">
        <f t="array" ref="G54">_xll.EQNXTDZ($A$1,$B54,G$1,$B$1)</f>
        <v>0</v>
      </c>
      <c r="H54" s="125" cm="1">
        <f t="array" ref="H54">_xll.EQNXTDZ($A$1,$B54,H$1,$B$1)</f>
        <v>0</v>
      </c>
      <c r="I54" s="125" cm="1">
        <f t="array" ref="I54">_xll.EQNXTDZ($A$1,$B54,I$1,$B$1)</f>
        <v>0</v>
      </c>
      <c r="J54" s="125" cm="1">
        <f t="array" ref="J54">_xll.EQNXTDZ($A$1,$B54,J$1,$B$1)</f>
        <v>0</v>
      </c>
      <c r="K54" s="125" cm="1">
        <f t="array" ref="K54">_xll.EQNXTDZ($A$1,$B54,K$1,$B$1)</f>
        <v>17.8201088</v>
      </c>
      <c r="L54" s="125" cm="1">
        <f t="array" ref="L54">_xll.EQNXTDZ($A$1,$B54,L$1,$B$1)</f>
        <v>48.254577300000001</v>
      </c>
      <c r="M54" s="125" cm="1">
        <f t="array" ref="M54">_xll.EQNXTDZ($A$1,$B54,M$1,$B$1)</f>
        <v>53.124170300000003</v>
      </c>
      <c r="N54" s="125" cm="1">
        <f t="array" ref="N54">_xll.EQNXTDZ($A$1,$B54,N$1,$B$1)</f>
        <v>50.296692200000003</v>
      </c>
      <c r="O54" s="125" cm="1">
        <f t="array" ref="O54">_xll.EQNXTDZ($A$1,$B54,O$1,$B$1)</f>
        <v>110.6595791</v>
      </c>
      <c r="P54" s="125" cm="1">
        <f t="array" ref="P54">_xll.EQNXTDZ($A$1,$B54,P$1,$B$1)</f>
        <v>207.59751940000001</v>
      </c>
      <c r="Q54" s="125" cm="1">
        <f t="array" ref="Q54">_xll.EQNXTDZ($A$1,$B54,Q$1,$B$1)</f>
        <v>377.33099700000002</v>
      </c>
      <c r="R54" s="125" cm="1">
        <f t="array" ref="R54">_xll.EQNXTDZ($A$1,$B54,R$1,$B$1)</f>
        <v>460.97727600000002</v>
      </c>
      <c r="S54" s="125" cm="1">
        <f t="array" ref="S54">_xll.EQNXTDZ($A$1,$B54,S$1,$B$1)</f>
        <v>689.34872789999997</v>
      </c>
      <c r="T54" s="125" cm="1">
        <f t="array" ref="T54">_xll.EQNXTDZ($A$1,$B54,T$1,$B$1)</f>
        <v>1432.4</v>
      </c>
      <c r="U54" s="125" cm="1">
        <f t="array" ref="U54">_xll.EQNXTDZ($A$1,$B54,U$1,$B$1)</f>
        <v>2356.27</v>
      </c>
      <c r="V54" s="125" cm="1">
        <f t="array" ref="V54">_xll.EQNXTDZ($A$1,$B54,V$1,$B$1)</f>
        <v>2660.47</v>
      </c>
      <c r="W54" s="125" cm="1">
        <f t="array" ref="W54">_xll.EQNXTDZ($A$1,$B54,W$1,$B$1)</f>
        <v>3626.29</v>
      </c>
      <c r="X54" s="125" cm="1">
        <f t="array" ref="X54">_xll.EQNXTDZ($A$1,$B54,X$1,$B$1)</f>
        <v>4155.1899999999996</v>
      </c>
      <c r="Y54" s="125" cm="1">
        <f t="array" ref="Y54">_xll.EQNXTDZ($A$1,$B54,Y$1,$B$1)</f>
        <v>5087.53</v>
      </c>
      <c r="Z54" s="125" cm="1">
        <f t="array" ref="Z54">_xll.EQNXTDZ($A$1,$B54,Z$1,$B$1)</f>
        <v>6538.78</v>
      </c>
      <c r="AA54" s="125" cm="1">
        <f t="array" ref="AA54">_xll.EQNXTDZ($A$1,$B54,AA$1,$B$1)</f>
        <v>6906.68</v>
      </c>
      <c r="AB54" s="125" cm="1">
        <f t="array" ref="AB54">_xll.EQNXTDZ($A$1,$B54,AB$1,$B$1)</f>
        <v>7776.06</v>
      </c>
      <c r="AC54" s="125" cm="1">
        <f t="array" ref="AC54">_xll.EQNXTDZ($A$1,$B54,AC$1,$B$1)</f>
        <v>0</v>
      </c>
      <c r="AD54" s="125" cm="1">
        <f t="array" ref="AD54">_xll.EQNXTDZ($A$1,$B54,AD$1,$B$1)</f>
        <v>0</v>
      </c>
      <c r="AE54" s="125" cm="1">
        <f t="array" ref="AE54">_xll.EQNXTDZ($A$1,$B54,AE$1,$B$1)</f>
        <v>0</v>
      </c>
      <c r="AF54" s="125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5" cm="1">
        <f t="array" ref="C55">_xll.EQNXTDZ($A$1,$B55,C$1,$B$1)</f>
        <v>0</v>
      </c>
      <c r="D55" s="125" cm="1">
        <f t="array" ref="D55">_xll.EQNXTDZ($A$1,$B55,D$1,$B$1)</f>
        <v>0</v>
      </c>
      <c r="E55" s="125" cm="1">
        <f t="array" ref="E55">_xll.EQNXTDZ($A$1,$B55,E$1,$B$1)</f>
        <v>0</v>
      </c>
      <c r="F55" s="125" cm="1">
        <f t="array" ref="F55">_xll.EQNXTDZ($A$1,$B55,F$1,$B$1)</f>
        <v>0</v>
      </c>
      <c r="G55" s="125" cm="1">
        <f t="array" ref="G55">_xll.EQNXTDZ($A$1,$B55,G$1,$B$1)</f>
        <v>0</v>
      </c>
      <c r="H55" s="125" cm="1">
        <f t="array" ref="H55">_xll.EQNXTDZ($A$1,$B55,H$1,$B$1)</f>
        <v>0</v>
      </c>
      <c r="I55" s="125" cm="1">
        <f t="array" ref="I55">_xll.EQNXTDZ($A$1,$B55,I$1,$B$1)</f>
        <v>0</v>
      </c>
      <c r="J55" s="125" cm="1">
        <f t="array" ref="J55">_xll.EQNXTDZ($A$1,$B55,J$1,$B$1)</f>
        <v>0</v>
      </c>
      <c r="K55" s="125" cm="1">
        <f t="array" ref="K55">_xll.EQNXTDZ($A$1,$B55,K$1,$B$1)</f>
        <v>189.24266589999999</v>
      </c>
      <c r="L55" s="125" cm="1">
        <f t="array" ref="L55">_xll.EQNXTDZ($A$1,$B55,L$1,$B$1)</f>
        <v>246.1376832</v>
      </c>
      <c r="M55" s="125" cm="1">
        <f t="array" ref="M55">_xll.EQNXTDZ($A$1,$B55,M$1,$B$1)</f>
        <v>226.07886590000001</v>
      </c>
      <c r="N55" s="125" cm="1">
        <f t="array" ref="N55">_xll.EQNXTDZ($A$1,$B55,N$1,$B$1)</f>
        <v>247.0809256</v>
      </c>
      <c r="O55" s="125" cm="1">
        <f t="array" ref="O55">_xll.EQNXTDZ($A$1,$B55,O$1,$B$1)</f>
        <v>388.76809209999999</v>
      </c>
      <c r="P55" s="125" cm="1">
        <f t="array" ref="P55">_xll.EQNXTDZ($A$1,$B55,P$1,$B$1)</f>
        <v>805.22387909999998</v>
      </c>
      <c r="Q55" s="125" cm="1">
        <f t="array" ref="Q55">_xll.EQNXTDZ($A$1,$B55,Q$1,$B$1)</f>
        <v>1290.5317123</v>
      </c>
      <c r="R55" s="125" cm="1">
        <f t="array" ref="R55">_xll.EQNXTDZ($A$1,$B55,R$1,$B$1)</f>
        <v>2233.3149220999999</v>
      </c>
      <c r="S55" s="125" cm="1">
        <f t="array" ref="S55">_xll.EQNXTDZ($A$1,$B55,S$1,$B$1)</f>
        <v>2668.2347711000002</v>
      </c>
      <c r="T55" s="125" cm="1">
        <f t="array" ref="T55">_xll.EQNXTDZ($A$1,$B55,T$1,$B$1)</f>
        <v>3623.46</v>
      </c>
      <c r="U55" s="125" cm="1">
        <f t="array" ref="U55">_xll.EQNXTDZ($A$1,$B55,U$1,$B$1)</f>
        <v>4866.57</v>
      </c>
      <c r="V55" s="125" cm="1">
        <f t="array" ref="V55">_xll.EQNXTDZ($A$1,$B55,V$1,$B$1)</f>
        <v>7822.56</v>
      </c>
      <c r="W55" s="125" cm="1">
        <f t="array" ref="W55">_xll.EQNXTDZ($A$1,$B55,W$1,$B$1)</f>
        <v>8780.7199999999993</v>
      </c>
      <c r="X55" s="125" cm="1">
        <f t="array" ref="X55">_xll.EQNXTDZ($A$1,$B55,X$1,$B$1)</f>
        <v>12920.69</v>
      </c>
      <c r="Y55" s="125" cm="1">
        <f t="array" ref="Y55">_xll.EQNXTDZ($A$1,$B55,Y$1,$B$1)</f>
        <v>16312.26</v>
      </c>
      <c r="Z55" s="125" cm="1">
        <f t="array" ref="Z55">_xll.EQNXTDZ($A$1,$B55,Z$1,$B$1)</f>
        <v>21841.01</v>
      </c>
      <c r="AA55" s="125" cm="1">
        <f t="array" ref="AA55">_xll.EQNXTDZ($A$1,$B55,AA$1,$B$1)</f>
        <v>20445.77</v>
      </c>
      <c r="AB55" s="125" cm="1">
        <f t="array" ref="AB55">_xll.EQNXTDZ($A$1,$B55,AB$1,$B$1)</f>
        <v>23641.13</v>
      </c>
      <c r="AC55" s="125" cm="1">
        <f t="array" ref="AC55">_xll.EQNXTDZ($A$1,$B55,AC$1,$B$1)</f>
        <v>0</v>
      </c>
      <c r="AD55" s="125" cm="1">
        <f t="array" ref="AD55">_xll.EQNXTDZ($A$1,$B55,AD$1,$B$1)</f>
        <v>0</v>
      </c>
      <c r="AE55" s="125" cm="1">
        <f t="array" ref="AE55">_xll.EQNXTDZ($A$1,$B55,AE$1,$B$1)</f>
        <v>0</v>
      </c>
      <c r="AF55" s="125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5" cm="1">
        <f t="array" ref="C56">_xll.EQNXTDZ($A$1,$B56,C$1,$B$1)</f>
        <v>0</v>
      </c>
      <c r="D56" s="125" cm="1">
        <f t="array" ref="D56">_xll.EQNXTDZ($A$1,$B56,D$1,$B$1)</f>
        <v>0</v>
      </c>
      <c r="E56" s="125" cm="1">
        <f t="array" ref="E56">_xll.EQNXTDZ($A$1,$B56,E$1,$B$1)</f>
        <v>0</v>
      </c>
      <c r="F56" s="125" cm="1">
        <f t="array" ref="F56">_xll.EQNXTDZ($A$1,$B56,F$1,$B$1)</f>
        <v>0</v>
      </c>
      <c r="G56" s="125" cm="1">
        <f t="array" ref="G56">_xll.EQNXTDZ($A$1,$B56,G$1,$B$1)</f>
        <v>0</v>
      </c>
      <c r="H56" s="125" cm="1">
        <f t="array" ref="H56">_xll.EQNXTDZ($A$1,$B56,H$1,$B$1)</f>
        <v>0</v>
      </c>
      <c r="I56" s="125" cm="1">
        <f t="array" ref="I56">_xll.EQNXTDZ($A$1,$B56,I$1,$B$1)</f>
        <v>0</v>
      </c>
      <c r="J56" s="125" cm="1">
        <f t="array" ref="J56">_xll.EQNXTDZ($A$1,$B56,J$1,$B$1)</f>
        <v>0</v>
      </c>
      <c r="K56" s="125" cm="1">
        <f t="array" ref="K56">_xll.EQNXTDZ($A$1,$B56,K$1,$B$1)</f>
        <v>0</v>
      </c>
      <c r="L56" s="125" cm="1">
        <f t="array" ref="L56">_xll.EQNXTDZ($A$1,$B56,L$1,$B$1)</f>
        <v>0</v>
      </c>
      <c r="M56" s="125" cm="1">
        <f t="array" ref="M56">_xll.EQNXTDZ($A$1,$B56,M$1,$B$1)</f>
        <v>0</v>
      </c>
      <c r="N56" s="125" cm="1">
        <f t="array" ref="N56">_xll.EQNXTDZ($A$1,$B56,N$1,$B$1)</f>
        <v>0</v>
      </c>
      <c r="O56" s="125" cm="1">
        <f t="array" ref="O56">_xll.EQNXTDZ($A$1,$B56,O$1,$B$1)</f>
        <v>0</v>
      </c>
      <c r="P56" s="125" cm="1">
        <f t="array" ref="P56">_xll.EQNXTDZ($A$1,$B56,P$1,$B$1)</f>
        <v>0</v>
      </c>
      <c r="Q56" s="125" cm="1">
        <f t="array" ref="Q56">_xll.EQNXTDZ($A$1,$B56,Q$1,$B$1)</f>
        <v>0</v>
      </c>
      <c r="R56" s="125" cm="1">
        <f t="array" ref="R56">_xll.EQNXTDZ($A$1,$B56,R$1,$B$1)</f>
        <v>0</v>
      </c>
      <c r="S56" s="125" cm="1">
        <f t="array" ref="S56">_xll.EQNXTDZ($A$1,$B56,S$1,$B$1)</f>
        <v>0</v>
      </c>
      <c r="T56" s="125" cm="1">
        <f t="array" ref="T56">_xll.EQNXTDZ($A$1,$B56,T$1,$B$1)</f>
        <v>0</v>
      </c>
      <c r="U56" s="125" cm="1">
        <f t="array" ref="U56">_xll.EQNXTDZ($A$1,$B56,U$1,$B$1)</f>
        <v>0</v>
      </c>
      <c r="V56" s="125" cm="1">
        <f t="array" ref="V56">_xll.EQNXTDZ($A$1,$B56,V$1,$B$1)</f>
        <v>0</v>
      </c>
      <c r="W56" s="125" cm="1">
        <f t="array" ref="W56">_xll.EQNXTDZ($A$1,$B56,W$1,$B$1)</f>
        <v>0</v>
      </c>
      <c r="X56" s="125" cm="1">
        <f t="array" ref="X56">_xll.EQNXTDZ($A$1,$B56,X$1,$B$1)</f>
        <v>0</v>
      </c>
      <c r="Y56" s="125" cm="1">
        <f t="array" ref="Y56">_xll.EQNXTDZ($A$1,$B56,Y$1,$B$1)</f>
        <v>0</v>
      </c>
      <c r="Z56" s="125" cm="1">
        <f t="array" ref="Z56">_xll.EQNXTDZ($A$1,$B56,Z$1,$B$1)</f>
        <v>0</v>
      </c>
      <c r="AA56" s="125" cm="1">
        <f t="array" ref="AA56">_xll.EQNXTDZ($A$1,$B56,AA$1,$B$1)</f>
        <v>0</v>
      </c>
      <c r="AB56" s="125" cm="1">
        <f t="array" ref="AB56">_xll.EQNXTDZ($A$1,$B56,AB$1,$B$1)</f>
        <v>0</v>
      </c>
      <c r="AC56" s="125" cm="1">
        <f t="array" ref="AC56">_xll.EQNXTDZ($A$1,$B56,AC$1,$B$1)</f>
        <v>0</v>
      </c>
      <c r="AD56" s="125" cm="1">
        <f t="array" ref="AD56">_xll.EQNXTDZ($A$1,$B56,AD$1,$B$1)</f>
        <v>0</v>
      </c>
      <c r="AE56" s="125" cm="1">
        <f t="array" ref="AE56">_xll.EQNXTDZ($A$1,$B56,AE$1,$B$1)</f>
        <v>0</v>
      </c>
      <c r="AF56" s="125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5" cm="1">
        <f t="array" ref="C57">_xll.EQNXTDZ($A$1,$B57,C$1,$B$1)</f>
        <v>0</v>
      </c>
      <c r="D57" s="125" cm="1">
        <f t="array" ref="D57">_xll.EQNXTDZ($A$1,$B57,D$1,$B$1)</f>
        <v>0</v>
      </c>
      <c r="E57" s="125" cm="1">
        <f t="array" ref="E57">_xll.EQNXTDZ($A$1,$B57,E$1,$B$1)</f>
        <v>0</v>
      </c>
      <c r="F57" s="125" cm="1">
        <f t="array" ref="F57">_xll.EQNXTDZ($A$1,$B57,F$1,$B$1)</f>
        <v>0</v>
      </c>
      <c r="G57" s="125" cm="1">
        <f t="array" ref="G57">_xll.EQNXTDZ($A$1,$B57,G$1,$B$1)</f>
        <v>0</v>
      </c>
      <c r="H57" s="125" cm="1">
        <f t="array" ref="H57">_xll.EQNXTDZ($A$1,$B57,H$1,$B$1)</f>
        <v>0</v>
      </c>
      <c r="I57" s="125" cm="1">
        <f t="array" ref="I57">_xll.EQNXTDZ($A$1,$B57,I$1,$B$1)</f>
        <v>0</v>
      </c>
      <c r="J57" s="125" cm="1">
        <f t="array" ref="J57">_xll.EQNXTDZ($A$1,$B57,J$1,$B$1)</f>
        <v>0</v>
      </c>
      <c r="K57" s="125" cm="1">
        <f t="array" ref="K57">_xll.EQNXTDZ($A$1,$B57,K$1,$B$1)</f>
        <v>0</v>
      </c>
      <c r="L57" s="125" cm="1">
        <f t="array" ref="L57">_xll.EQNXTDZ($A$1,$B57,L$1,$B$1)</f>
        <v>0</v>
      </c>
      <c r="M57" s="125" cm="1">
        <f t="array" ref="M57">_xll.EQNXTDZ($A$1,$B57,M$1,$B$1)</f>
        <v>0</v>
      </c>
      <c r="N57" s="125" cm="1">
        <f t="array" ref="N57">_xll.EQNXTDZ($A$1,$B57,N$1,$B$1)</f>
        <v>0</v>
      </c>
      <c r="O57" s="125" cm="1">
        <f t="array" ref="O57">_xll.EQNXTDZ($A$1,$B57,O$1,$B$1)</f>
        <v>0</v>
      </c>
      <c r="P57" s="125" cm="1">
        <f t="array" ref="P57">_xll.EQNXTDZ($A$1,$B57,P$1,$B$1)</f>
        <v>0</v>
      </c>
      <c r="Q57" s="125" cm="1">
        <f t="array" ref="Q57">_xll.EQNXTDZ($A$1,$B57,Q$1,$B$1)</f>
        <v>0</v>
      </c>
      <c r="R57" s="125" cm="1">
        <f t="array" ref="R57">_xll.EQNXTDZ($A$1,$B57,R$1,$B$1)</f>
        <v>0</v>
      </c>
      <c r="S57" s="125" cm="1">
        <f t="array" ref="S57">_xll.EQNXTDZ($A$1,$B57,S$1,$B$1)</f>
        <v>0</v>
      </c>
      <c r="T57" s="125" cm="1">
        <f t="array" ref="T57">_xll.EQNXTDZ($A$1,$B57,T$1,$B$1)</f>
        <v>0</v>
      </c>
      <c r="U57" s="125" cm="1">
        <f t="array" ref="U57">_xll.EQNXTDZ($A$1,$B57,U$1,$B$1)</f>
        <v>0</v>
      </c>
      <c r="V57" s="125" cm="1">
        <f t="array" ref="V57">_xll.EQNXTDZ($A$1,$B57,V$1,$B$1)</f>
        <v>0</v>
      </c>
      <c r="W57" s="125" cm="1">
        <f t="array" ref="W57">_xll.EQNXTDZ($A$1,$B57,W$1,$B$1)</f>
        <v>0</v>
      </c>
      <c r="X57" s="125" cm="1">
        <f t="array" ref="X57">_xll.EQNXTDZ($A$1,$B57,X$1,$B$1)</f>
        <v>0</v>
      </c>
      <c r="Y57" s="125" cm="1">
        <f t="array" ref="Y57">_xll.EQNXTDZ($A$1,$B57,Y$1,$B$1)</f>
        <v>0</v>
      </c>
      <c r="Z57" s="125" cm="1">
        <f t="array" ref="Z57">_xll.EQNXTDZ($A$1,$B57,Z$1,$B$1)</f>
        <v>0</v>
      </c>
      <c r="AA57" s="125" cm="1">
        <f t="array" ref="AA57">_xll.EQNXTDZ($A$1,$B57,AA$1,$B$1)</f>
        <v>0</v>
      </c>
      <c r="AB57" s="125" cm="1">
        <f t="array" ref="AB57">_xll.EQNXTDZ($A$1,$B57,AB$1,$B$1)</f>
        <v>0</v>
      </c>
      <c r="AC57" s="125" cm="1">
        <f t="array" ref="AC57">_xll.EQNXTDZ($A$1,$B57,AC$1,$B$1)</f>
        <v>0</v>
      </c>
      <c r="AD57" s="125" cm="1">
        <f t="array" ref="AD57">_xll.EQNXTDZ($A$1,$B57,AD$1,$B$1)</f>
        <v>0</v>
      </c>
      <c r="AE57" s="125" cm="1">
        <f t="array" ref="AE57">_xll.EQNXTDZ($A$1,$B57,AE$1,$B$1)</f>
        <v>0</v>
      </c>
      <c r="AF57" s="125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5" cm="1">
        <f t="array" ref="C58">_xll.EQNXTDZ($A$1,$B58,C$1,$B$1)</f>
        <v>0</v>
      </c>
      <c r="D58" s="125" cm="1">
        <f t="array" ref="D58">_xll.EQNXTDZ($A$1,$B58,D$1,$B$1)</f>
        <v>0</v>
      </c>
      <c r="E58" s="125" cm="1">
        <f t="array" ref="E58">_xll.EQNXTDZ($A$1,$B58,E$1,$B$1)</f>
        <v>0</v>
      </c>
      <c r="F58" s="125" cm="1">
        <f t="array" ref="F58">_xll.EQNXTDZ($A$1,$B58,F$1,$B$1)</f>
        <v>0</v>
      </c>
      <c r="G58" s="125" cm="1">
        <f t="array" ref="G58">_xll.EQNXTDZ($A$1,$B58,G$1,$B$1)</f>
        <v>0</v>
      </c>
      <c r="H58" s="125" cm="1">
        <f t="array" ref="H58">_xll.EQNXTDZ($A$1,$B58,H$1,$B$1)</f>
        <v>0</v>
      </c>
      <c r="I58" s="125" cm="1">
        <f t="array" ref="I58">_xll.EQNXTDZ($A$1,$B58,I$1,$B$1)</f>
        <v>0</v>
      </c>
      <c r="J58" s="125" cm="1">
        <f t="array" ref="J58">_xll.EQNXTDZ($A$1,$B58,J$1,$B$1)</f>
        <v>0</v>
      </c>
      <c r="K58" s="125" cm="1">
        <f t="array" ref="K58">_xll.EQNXTDZ($A$1,$B58,K$1,$B$1)</f>
        <v>0</v>
      </c>
      <c r="L58" s="125" cm="1">
        <f t="array" ref="L58">_xll.EQNXTDZ($A$1,$B58,L$1,$B$1)</f>
        <v>0</v>
      </c>
      <c r="M58" s="125" cm="1">
        <f t="array" ref="M58">_xll.EQNXTDZ($A$1,$B58,M$1,$B$1)</f>
        <v>0</v>
      </c>
      <c r="N58" s="125" cm="1">
        <f t="array" ref="N58">_xll.EQNXTDZ($A$1,$B58,N$1,$B$1)</f>
        <v>0</v>
      </c>
      <c r="O58" s="125" cm="1">
        <f t="array" ref="O58">_xll.EQNXTDZ($A$1,$B58,O$1,$B$1)</f>
        <v>0</v>
      </c>
      <c r="P58" s="125" cm="1">
        <f t="array" ref="P58">_xll.EQNXTDZ($A$1,$B58,P$1,$B$1)</f>
        <v>0</v>
      </c>
      <c r="Q58" s="125" cm="1">
        <f t="array" ref="Q58">_xll.EQNXTDZ($A$1,$B58,Q$1,$B$1)</f>
        <v>0</v>
      </c>
      <c r="R58" s="125" cm="1">
        <f t="array" ref="R58">_xll.EQNXTDZ($A$1,$B58,R$1,$B$1)</f>
        <v>0</v>
      </c>
      <c r="S58" s="125" cm="1">
        <f t="array" ref="S58">_xll.EQNXTDZ($A$1,$B58,S$1,$B$1)</f>
        <v>0</v>
      </c>
      <c r="T58" s="125" cm="1">
        <f t="array" ref="T58">_xll.EQNXTDZ($A$1,$B58,T$1,$B$1)</f>
        <v>0</v>
      </c>
      <c r="U58" s="125" cm="1">
        <f t="array" ref="U58">_xll.EQNXTDZ($A$1,$B58,U$1,$B$1)</f>
        <v>201903</v>
      </c>
      <c r="V58" s="125" cm="1">
        <f t="array" ref="V58">_xll.EQNXTDZ($A$1,$B58,V$1,$B$1)</f>
        <v>202003</v>
      </c>
      <c r="W58" s="125" cm="1">
        <f t="array" ref="W58">_xll.EQNXTDZ($A$1,$B58,W$1,$B$1)</f>
        <v>202103</v>
      </c>
      <c r="X58" s="125" cm="1">
        <f t="array" ref="X58">_xll.EQNXTDZ($A$1,$B58,X$1,$B$1)</f>
        <v>202203</v>
      </c>
      <c r="Y58" s="125" cm="1">
        <f t="array" ref="Y58">_xll.EQNXTDZ($A$1,$B58,Y$1,$B$1)</f>
        <v>202303</v>
      </c>
      <c r="Z58" s="125" cm="1">
        <f t="array" ref="Z58">_xll.EQNXTDZ($A$1,$B58,Z$1,$B$1)</f>
        <v>202403</v>
      </c>
      <c r="AA58" s="125" cm="1">
        <f t="array" ref="AA58">_xll.EQNXTDZ($A$1,$B58,AA$1,$B$1)</f>
        <v>202503</v>
      </c>
      <c r="AB58" s="125" cm="1">
        <f t="array" ref="AB58">_xll.EQNXTDZ($A$1,$B58,AB$1,$B$1)</f>
        <v>202603</v>
      </c>
      <c r="AC58" s="125" cm="1">
        <f t="array" ref="AC58">_xll.EQNXTDZ($A$1,$B58,AC$1,$B$1)</f>
        <v>0</v>
      </c>
      <c r="AD58" s="125" cm="1">
        <f t="array" ref="AD58">_xll.EQNXTDZ($A$1,$B58,AD$1,$B$1)</f>
        <v>0</v>
      </c>
      <c r="AE58" s="125" cm="1">
        <f t="array" ref="AE58">_xll.EQNXTDZ($A$1,$B58,AE$1,$B$1)</f>
        <v>0</v>
      </c>
      <c r="AF58" s="125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5" cm="1">
        <f t="array" ref="C59">_xll.EQNXTDZ($A$1,$B59,C$1,$B$1)</f>
        <v>0</v>
      </c>
      <c r="D59" s="125" cm="1">
        <f t="array" ref="D59">_xll.EQNXTDZ($A$1,$B59,D$1,$B$1)</f>
        <v>0</v>
      </c>
      <c r="E59" s="125" cm="1">
        <f t="array" ref="E59">_xll.EQNXTDZ($A$1,$B59,E$1,$B$1)</f>
        <v>0</v>
      </c>
      <c r="F59" s="125" cm="1">
        <f t="array" ref="F59">_xll.EQNXTDZ($A$1,$B59,F$1,$B$1)</f>
        <v>0</v>
      </c>
      <c r="G59" s="125" cm="1">
        <f t="array" ref="G59">_xll.EQNXTDZ($A$1,$B59,G$1,$B$1)</f>
        <v>0</v>
      </c>
      <c r="H59" s="125" cm="1">
        <f t="array" ref="H59">_xll.EQNXTDZ($A$1,$B59,H$1,$B$1)</f>
        <v>0</v>
      </c>
      <c r="I59" s="125" cm="1">
        <f t="array" ref="I59">_xll.EQNXTDZ($A$1,$B59,I$1,$B$1)</f>
        <v>0</v>
      </c>
      <c r="J59" s="125" cm="1">
        <f t="array" ref="J59">_xll.EQNXTDZ($A$1,$B59,J$1,$B$1)</f>
        <v>0</v>
      </c>
      <c r="K59" s="125" cm="1">
        <f t="array" ref="K59">_xll.EQNXTDZ($A$1,$B59,K$1,$B$1)</f>
        <v>0</v>
      </c>
      <c r="L59" s="125" cm="1">
        <f t="array" ref="L59">_xll.EQNXTDZ($A$1,$B59,L$1,$B$1)</f>
        <v>0</v>
      </c>
      <c r="M59" s="125" cm="1">
        <f t="array" ref="M59">_xll.EQNXTDZ($A$1,$B59,M$1,$B$1)</f>
        <v>0</v>
      </c>
      <c r="N59" s="125" cm="1">
        <f t="array" ref="N59">_xll.EQNXTDZ($A$1,$B59,N$1,$B$1)</f>
        <v>0</v>
      </c>
      <c r="O59" s="125" cm="1">
        <f t="array" ref="O59">_xll.EQNXTDZ($A$1,$B59,O$1,$B$1)</f>
        <v>0</v>
      </c>
      <c r="P59" s="125" cm="1">
        <f t="array" ref="P59">_xll.EQNXTDZ($A$1,$B59,P$1,$B$1)</f>
        <v>0</v>
      </c>
      <c r="Q59" s="125" cm="1">
        <f t="array" ref="Q59">_xll.EQNXTDZ($A$1,$B59,Q$1,$B$1)</f>
        <v>0</v>
      </c>
      <c r="R59" s="125" cm="1">
        <f t="array" ref="R59">_xll.EQNXTDZ($A$1,$B59,R$1,$B$1)</f>
        <v>0</v>
      </c>
      <c r="S59" s="125" cm="1">
        <f t="array" ref="S59">_xll.EQNXTDZ($A$1,$B59,S$1,$B$1)</f>
        <v>0</v>
      </c>
      <c r="T59" s="125" cm="1">
        <f t="array" ref="T59">_xll.EQNXTDZ($A$1,$B59,T$1,$B$1)</f>
        <v>0</v>
      </c>
      <c r="U59" s="125" cm="1">
        <f t="array" ref="U59">_xll.EQNXTDZ($A$1,$B59,U$1,$B$1)</f>
        <v>501.1</v>
      </c>
      <c r="V59" s="125" cm="1">
        <f t="array" ref="V59">_xll.EQNXTDZ($A$1,$B59,V$1,$B$1)</f>
        <v>338.35</v>
      </c>
      <c r="W59" s="125" cm="1">
        <f t="array" ref="W59">_xll.EQNXTDZ($A$1,$B59,W$1,$B$1)</f>
        <v>670.45</v>
      </c>
      <c r="X59" s="125" cm="1">
        <f t="array" ref="X59">_xll.EQNXTDZ($A$1,$B59,X$1,$B$1)</f>
        <v>849.05</v>
      </c>
      <c r="Y59" s="125" cm="1">
        <f t="array" ref="Y59">_xll.EQNXTDZ($A$1,$B59,Y$1,$B$1)</f>
        <v>915.1</v>
      </c>
      <c r="Z59" s="125" cm="1">
        <f t="array" ref="Z59">_xll.EQNXTDZ($A$1,$B59,Z$1,$B$1)</f>
        <v>1439.7</v>
      </c>
      <c r="AA59" s="125" cm="1">
        <f t="array" ref="AA59">_xll.EQNXTDZ($A$1,$B59,AA$1,$B$1)</f>
        <v>952.55</v>
      </c>
      <c r="AB59" s="125" cm="1">
        <f t="array" ref="AB59">_xll.EQNXTDZ($A$1,$B59,AB$1,$B$1)</f>
        <v>1155.3499999999999</v>
      </c>
      <c r="AC59" s="125" cm="1">
        <f t="array" ref="AC59">_xll.EQNXTDZ($A$1,$B59,AC$1,$B$1)</f>
        <v>0</v>
      </c>
      <c r="AD59" s="125" cm="1">
        <f t="array" ref="AD59">_xll.EQNXTDZ($A$1,$B59,AD$1,$B$1)</f>
        <v>0</v>
      </c>
      <c r="AE59" s="125" cm="1">
        <f t="array" ref="AE59">_xll.EQNXTDZ($A$1,$B59,AE$1,$B$1)</f>
        <v>0</v>
      </c>
      <c r="AF59" s="125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5" cm="1">
        <f t="array" ref="C60">_xll.EQNXTDZ($A$1,$B60,C$1,$B$1)</f>
        <v>0</v>
      </c>
      <c r="D60" s="125" cm="1">
        <f t="array" ref="D60">_xll.EQNXTDZ($A$1,$B60,D$1,$B$1)</f>
        <v>0</v>
      </c>
      <c r="E60" s="125" cm="1">
        <f t="array" ref="E60">_xll.EQNXTDZ($A$1,$B60,E$1,$B$1)</f>
        <v>0</v>
      </c>
      <c r="F60" s="125" cm="1">
        <f t="array" ref="F60">_xll.EQNXTDZ($A$1,$B60,F$1,$B$1)</f>
        <v>0</v>
      </c>
      <c r="G60" s="125" cm="1">
        <f t="array" ref="G60">_xll.EQNXTDZ($A$1,$B60,G$1,$B$1)</f>
        <v>0</v>
      </c>
      <c r="H60" s="125" cm="1">
        <f t="array" ref="H60">_xll.EQNXTDZ($A$1,$B60,H$1,$B$1)</f>
        <v>0</v>
      </c>
      <c r="I60" s="125" cm="1">
        <f t="array" ref="I60">_xll.EQNXTDZ($A$1,$B60,I$1,$B$1)</f>
        <v>0</v>
      </c>
      <c r="J60" s="125" cm="1">
        <f t="array" ref="J60">_xll.EQNXTDZ($A$1,$B60,J$1,$B$1)</f>
        <v>0</v>
      </c>
      <c r="K60" s="125" cm="1">
        <f t="array" ref="K60">_xll.EQNXTDZ($A$1,$B60,K$1,$B$1)</f>
        <v>0</v>
      </c>
      <c r="L60" s="125" cm="1">
        <f t="array" ref="L60">_xll.EQNXTDZ($A$1,$B60,L$1,$B$1)</f>
        <v>0</v>
      </c>
      <c r="M60" s="125" cm="1">
        <f t="array" ref="M60">_xll.EQNXTDZ($A$1,$B60,M$1,$B$1)</f>
        <v>0</v>
      </c>
      <c r="N60" s="125" cm="1">
        <f t="array" ref="N60">_xll.EQNXTDZ($A$1,$B60,N$1,$B$1)</f>
        <v>0</v>
      </c>
      <c r="O60" s="125" cm="1">
        <f t="array" ref="O60">_xll.EQNXTDZ($A$1,$B60,O$1,$B$1)</f>
        <v>0</v>
      </c>
      <c r="P60" s="125" cm="1">
        <f t="array" ref="P60">_xll.EQNXTDZ($A$1,$B60,P$1,$B$1)</f>
        <v>0</v>
      </c>
      <c r="Q60" s="125" cm="1">
        <f t="array" ref="Q60">_xll.EQNXTDZ($A$1,$B60,Q$1,$B$1)</f>
        <v>0</v>
      </c>
      <c r="R60" s="125" cm="1">
        <f t="array" ref="R60">_xll.EQNXTDZ($A$1,$B60,R$1,$B$1)</f>
        <v>0</v>
      </c>
      <c r="S60" s="125" cm="1">
        <f t="array" ref="S60">_xll.EQNXTDZ($A$1,$B60,S$1,$B$1)</f>
        <v>0</v>
      </c>
      <c r="T60" s="125" cm="1">
        <f t="array" ref="T60">_xll.EQNXTDZ($A$1,$B60,T$1,$B$1)</f>
        <v>0</v>
      </c>
      <c r="U60" s="125" cm="1">
        <f t="array" ref="U60">_xll.EQNXTDZ($A$1,$B60,U$1,$B$1)</f>
        <v>520.95000000000005</v>
      </c>
      <c r="V60" s="125" cm="1">
        <f t="array" ref="V60">_xll.EQNXTDZ($A$1,$B60,V$1,$B$1)</f>
        <v>1000.8</v>
      </c>
      <c r="W60" s="125" cm="1">
        <f t="array" ref="W60">_xll.EQNXTDZ($A$1,$B60,W$1,$B$1)</f>
        <v>839</v>
      </c>
      <c r="X60" s="125" cm="1">
        <f t="array" ref="X60">_xll.EQNXTDZ($A$1,$B60,X$1,$B$1)</f>
        <v>878.25</v>
      </c>
      <c r="Y60" s="125" cm="1">
        <f t="array" ref="Y60">_xll.EQNXTDZ($A$1,$B60,Y$1,$B$1)</f>
        <v>1154.3499999999999</v>
      </c>
      <c r="Z60" s="125" cm="1">
        <f t="array" ref="Z60">_xll.EQNXTDZ($A$1,$B60,Z$1,$B$1)</f>
        <v>1794.4</v>
      </c>
      <c r="AA60" s="125" cm="1">
        <f t="array" ref="AA60">_xll.EQNXTDZ($A$1,$B60,AA$1,$B$1)</f>
        <v>1553</v>
      </c>
      <c r="AB60" s="125" cm="1">
        <f t="array" ref="AB60">_xll.EQNXTDZ($A$1,$B60,AB$1,$B$1)</f>
        <v>1496.6</v>
      </c>
      <c r="AC60" s="125" cm="1">
        <f t="array" ref="AC60">_xll.EQNXTDZ($A$1,$B60,AC$1,$B$1)</f>
        <v>0</v>
      </c>
      <c r="AD60" s="125" cm="1">
        <f t="array" ref="AD60">_xll.EQNXTDZ($A$1,$B60,AD$1,$B$1)</f>
        <v>0</v>
      </c>
      <c r="AE60" s="125" cm="1">
        <f t="array" ref="AE60">_xll.EQNXTDZ($A$1,$B60,AE$1,$B$1)</f>
        <v>0</v>
      </c>
      <c r="AF60" s="125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5" cm="1">
        <f t="array" ref="C61">_xll.EQNXTDZ($A$1,$B61,C$1,$B$1)</f>
        <v>0</v>
      </c>
      <c r="D61" s="125" cm="1">
        <f t="array" ref="D61">_xll.EQNXTDZ($A$1,$B61,D$1,$B$1)</f>
        <v>0</v>
      </c>
      <c r="E61" s="125" cm="1">
        <f t="array" ref="E61">_xll.EQNXTDZ($A$1,$B61,E$1,$B$1)</f>
        <v>0</v>
      </c>
      <c r="F61" s="125" cm="1">
        <f t="array" ref="F61">_xll.EQNXTDZ($A$1,$B61,F$1,$B$1)</f>
        <v>0</v>
      </c>
      <c r="G61" s="125" cm="1">
        <f t="array" ref="G61">_xll.EQNXTDZ($A$1,$B61,G$1,$B$1)</f>
        <v>0</v>
      </c>
      <c r="H61" s="125" cm="1">
        <f t="array" ref="H61">_xll.EQNXTDZ($A$1,$B61,H$1,$B$1)</f>
        <v>0</v>
      </c>
      <c r="I61" s="125" cm="1">
        <f t="array" ref="I61">_xll.EQNXTDZ($A$1,$B61,I$1,$B$1)</f>
        <v>0</v>
      </c>
      <c r="J61" s="125" cm="1">
        <f t="array" ref="J61">_xll.EQNXTDZ($A$1,$B61,J$1,$B$1)</f>
        <v>0</v>
      </c>
      <c r="K61" s="125" cm="1">
        <f t="array" ref="K61">_xll.EQNXTDZ($A$1,$B61,K$1,$B$1)</f>
        <v>0</v>
      </c>
      <c r="L61" s="125" cm="1">
        <f t="array" ref="L61">_xll.EQNXTDZ($A$1,$B61,L$1,$B$1)</f>
        <v>0</v>
      </c>
      <c r="M61" s="125" cm="1">
        <f t="array" ref="M61">_xll.EQNXTDZ($A$1,$B61,M$1,$B$1)</f>
        <v>0</v>
      </c>
      <c r="N61" s="125" cm="1">
        <f t="array" ref="N61">_xll.EQNXTDZ($A$1,$B61,N$1,$B$1)</f>
        <v>0</v>
      </c>
      <c r="O61" s="125" cm="1">
        <f t="array" ref="O61">_xll.EQNXTDZ($A$1,$B61,O$1,$B$1)</f>
        <v>0</v>
      </c>
      <c r="P61" s="125" cm="1">
        <f t="array" ref="P61">_xll.EQNXTDZ($A$1,$B61,P$1,$B$1)</f>
        <v>0</v>
      </c>
      <c r="Q61" s="125" cm="1">
        <f t="array" ref="Q61">_xll.EQNXTDZ($A$1,$B61,Q$1,$B$1)</f>
        <v>0</v>
      </c>
      <c r="R61" s="125" cm="1">
        <f t="array" ref="R61">_xll.EQNXTDZ($A$1,$B61,R$1,$B$1)</f>
        <v>0</v>
      </c>
      <c r="S61" s="125" cm="1">
        <f t="array" ref="S61">_xll.EQNXTDZ($A$1,$B61,S$1,$B$1)</f>
        <v>0</v>
      </c>
      <c r="T61" s="125" cm="1">
        <f t="array" ref="T61">_xll.EQNXTDZ($A$1,$B61,T$1,$B$1)</f>
        <v>0</v>
      </c>
      <c r="U61" s="125" cm="1">
        <f t="array" ref="U61">_xll.EQNXTDZ($A$1,$B61,U$1,$B$1)</f>
        <v>245.75</v>
      </c>
      <c r="V61" s="125" cm="1">
        <f t="array" ref="V61">_xll.EQNXTDZ($A$1,$B61,V$1,$B$1)</f>
        <v>338.35</v>
      </c>
      <c r="W61" s="125" cm="1">
        <f t="array" ref="W61">_xll.EQNXTDZ($A$1,$B61,W$1,$B$1)</f>
        <v>305.75</v>
      </c>
      <c r="X61" s="125" cm="1">
        <f t="array" ref="X61">_xll.EQNXTDZ($A$1,$B61,X$1,$B$1)</f>
        <v>495.3</v>
      </c>
      <c r="Y61" s="125" cm="1">
        <f t="array" ref="Y61">_xll.EQNXTDZ($A$1,$B61,Y$1,$B$1)</f>
        <v>834.1</v>
      </c>
      <c r="Z61" s="125" cm="1">
        <f t="array" ref="Z61">_xll.EQNXTDZ($A$1,$B61,Z$1,$B$1)</f>
        <v>903.2</v>
      </c>
      <c r="AA61" s="125" cm="1">
        <f t="array" ref="AA61">_xll.EQNXTDZ($A$1,$B61,AA$1,$B$1)</f>
        <v>750.05</v>
      </c>
      <c r="AB61" s="125" cm="1">
        <f t="array" ref="AB61">_xll.EQNXTDZ($A$1,$B61,AB$1,$B$1)</f>
        <v>860</v>
      </c>
      <c r="AC61" s="125" cm="1">
        <f t="array" ref="AC61">_xll.EQNXTDZ($A$1,$B61,AC$1,$B$1)</f>
        <v>0</v>
      </c>
      <c r="AD61" s="125" cm="1">
        <f t="array" ref="AD61">_xll.EQNXTDZ($A$1,$B61,AD$1,$B$1)</f>
        <v>0</v>
      </c>
      <c r="AE61" s="125" cm="1">
        <f t="array" ref="AE61">_xll.EQNXTDZ($A$1,$B61,AE$1,$B$1)</f>
        <v>0</v>
      </c>
      <c r="AF61" s="125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5" cm="1">
        <f t="array" ref="C62">_xll.EQNXTDZ($A$1,$B62,C$1,$B$1)</f>
        <v>0</v>
      </c>
      <c r="D62" s="125" cm="1">
        <f t="array" ref="D62">_xll.EQNXTDZ($A$1,$B62,D$1,$B$1)</f>
        <v>0</v>
      </c>
      <c r="E62" s="125" cm="1">
        <f t="array" ref="E62">_xll.EQNXTDZ($A$1,$B62,E$1,$B$1)</f>
        <v>0</v>
      </c>
      <c r="F62" s="125" cm="1">
        <f t="array" ref="F62">_xll.EQNXTDZ($A$1,$B62,F$1,$B$1)</f>
        <v>0</v>
      </c>
      <c r="G62" s="125" cm="1">
        <f t="array" ref="G62">_xll.EQNXTDZ($A$1,$B62,G$1,$B$1)</f>
        <v>0</v>
      </c>
      <c r="H62" s="125" cm="1">
        <f t="array" ref="H62">_xll.EQNXTDZ($A$1,$B62,H$1,$B$1)</f>
        <v>0</v>
      </c>
      <c r="I62" s="125" cm="1">
        <f t="array" ref="I62">_xll.EQNXTDZ($A$1,$B62,I$1,$B$1)</f>
        <v>0</v>
      </c>
      <c r="J62" s="125" cm="1">
        <f t="array" ref="J62">_xll.EQNXTDZ($A$1,$B62,J$1,$B$1)</f>
        <v>0</v>
      </c>
      <c r="K62" s="125" cm="1">
        <f t="array" ref="K62">_xll.EQNXTDZ($A$1,$B62,K$1,$B$1)</f>
        <v>0</v>
      </c>
      <c r="L62" s="125" cm="1">
        <f t="array" ref="L62">_xll.EQNXTDZ($A$1,$B62,L$1,$B$1)</f>
        <v>0</v>
      </c>
      <c r="M62" s="125" cm="1">
        <f t="array" ref="M62">_xll.EQNXTDZ($A$1,$B62,M$1,$B$1)</f>
        <v>0</v>
      </c>
      <c r="N62" s="125" cm="1">
        <f t="array" ref="N62">_xll.EQNXTDZ($A$1,$B62,N$1,$B$1)</f>
        <v>0</v>
      </c>
      <c r="O62" s="125" cm="1">
        <f t="array" ref="O62">_xll.EQNXTDZ($A$1,$B62,O$1,$B$1)</f>
        <v>0</v>
      </c>
      <c r="P62" s="125" cm="1">
        <f t="array" ref="P62">_xll.EQNXTDZ($A$1,$B62,P$1,$B$1)</f>
        <v>0</v>
      </c>
      <c r="Q62" s="125" cm="1">
        <f t="array" ref="Q62">_xll.EQNXTDZ($A$1,$B62,Q$1,$B$1)</f>
        <v>0</v>
      </c>
      <c r="R62" s="125" cm="1">
        <f t="array" ref="R62">_xll.EQNXTDZ($A$1,$B62,R$1,$B$1)</f>
        <v>0</v>
      </c>
      <c r="S62" s="125" cm="1">
        <f t="array" ref="S62">_xll.EQNXTDZ($A$1,$B62,S$1,$B$1)</f>
        <v>0</v>
      </c>
      <c r="T62" s="125" cm="1">
        <f t="array" ref="T62">_xll.EQNXTDZ($A$1,$B62,T$1,$B$1)</f>
        <v>0</v>
      </c>
      <c r="U62" s="125" cm="1">
        <f t="array" ref="U62">_xll.EQNXTDZ($A$1,$B62,U$1,$B$1)</f>
        <v>43553</v>
      </c>
      <c r="V62" s="125" cm="1">
        <f t="array" ref="V62">_xll.EQNXTDZ($A$1,$B62,V$1,$B$1)</f>
        <v>43921</v>
      </c>
      <c r="W62" s="125" cm="1">
        <f t="array" ref="W62">_xll.EQNXTDZ($A$1,$B62,W$1,$B$1)</f>
        <v>44286</v>
      </c>
      <c r="X62" s="125" cm="1">
        <f t="array" ref="X62">_xll.EQNXTDZ($A$1,$B62,X$1,$B$1)</f>
        <v>44651</v>
      </c>
      <c r="Y62" s="125" cm="1">
        <f t="array" ref="Y62">_xll.EQNXTDZ($A$1,$B62,Y$1,$B$1)</f>
        <v>45016</v>
      </c>
      <c r="Z62" s="125" cm="1">
        <f t="array" ref="Z62">_xll.EQNXTDZ($A$1,$B62,Z$1,$B$1)</f>
        <v>45379</v>
      </c>
      <c r="AA62" s="125" cm="1">
        <f t="array" ref="AA62">_xll.EQNXTDZ($A$1,$B62,AA$1,$B$1)</f>
        <v>45744</v>
      </c>
      <c r="AB62" s="125" cm="1">
        <f t="array" ref="AB62">_xll.EQNXTDZ($A$1,$B62,AB$1,$B$1)</f>
        <v>46111</v>
      </c>
      <c r="AC62" s="125" cm="1">
        <f t="array" ref="AC62">_xll.EQNXTDZ($A$1,$B62,AC$1,$B$1)</f>
        <v>0</v>
      </c>
      <c r="AD62" s="125" cm="1">
        <f t="array" ref="AD62">_xll.EQNXTDZ($A$1,$B62,AD$1,$B$1)</f>
        <v>0</v>
      </c>
      <c r="AE62" s="125" cm="1">
        <f t="array" ref="AE62">_xll.EQNXTDZ($A$1,$B62,AE$1,$B$1)</f>
        <v>0</v>
      </c>
      <c r="AF62" s="125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5" cm="1">
        <f t="array" ref="C63">_xll.EQNXTDZ($A$1,$B63,C$1,$B$1)</f>
        <v>0</v>
      </c>
      <c r="D63" s="125" cm="1">
        <f t="array" ref="D63">_xll.EQNXTDZ($A$1,$B63,D$1,$B$1)</f>
        <v>0</v>
      </c>
      <c r="E63" s="125" cm="1">
        <f t="array" ref="E63">_xll.EQNXTDZ($A$1,$B63,E$1,$B$1)</f>
        <v>0</v>
      </c>
      <c r="F63" s="125" cm="1">
        <f t="array" ref="F63">_xll.EQNXTDZ($A$1,$B63,F$1,$B$1)</f>
        <v>0</v>
      </c>
      <c r="G63" s="125" cm="1">
        <f t="array" ref="G63">_xll.EQNXTDZ($A$1,$B63,G$1,$B$1)</f>
        <v>0</v>
      </c>
      <c r="H63" s="125" cm="1">
        <f t="array" ref="H63">_xll.EQNXTDZ($A$1,$B63,H$1,$B$1)</f>
        <v>0</v>
      </c>
      <c r="I63" s="125" cm="1">
        <f t="array" ref="I63">_xll.EQNXTDZ($A$1,$B63,I$1,$B$1)</f>
        <v>0</v>
      </c>
      <c r="J63" s="125" cm="1">
        <f t="array" ref="J63">_xll.EQNXTDZ($A$1,$B63,J$1,$B$1)</f>
        <v>0</v>
      </c>
      <c r="K63" s="125" cm="1">
        <f t="array" ref="K63">_xll.EQNXTDZ($A$1,$B63,K$1,$B$1)</f>
        <v>0</v>
      </c>
      <c r="L63" s="125" cm="1">
        <f t="array" ref="L63">_xll.EQNXTDZ($A$1,$B63,L$1,$B$1)</f>
        <v>0</v>
      </c>
      <c r="M63" s="125" cm="1">
        <f t="array" ref="M63">_xll.EQNXTDZ($A$1,$B63,M$1,$B$1)</f>
        <v>0</v>
      </c>
      <c r="N63" s="125" cm="1">
        <f t="array" ref="N63">_xll.EQNXTDZ($A$1,$B63,N$1,$B$1)</f>
        <v>0</v>
      </c>
      <c r="O63" s="125" cm="1">
        <f t="array" ref="O63">_xll.EQNXTDZ($A$1,$B63,O$1,$B$1)</f>
        <v>0</v>
      </c>
      <c r="P63" s="125" cm="1">
        <f t="array" ref="P63">_xll.EQNXTDZ($A$1,$B63,P$1,$B$1)</f>
        <v>0</v>
      </c>
      <c r="Q63" s="125" cm="1">
        <f t="array" ref="Q63">_xll.EQNXTDZ($A$1,$B63,Q$1,$B$1)</f>
        <v>0</v>
      </c>
      <c r="R63" s="125" cm="1">
        <f t="array" ref="R63">_xll.EQNXTDZ($A$1,$B63,R$1,$B$1)</f>
        <v>0</v>
      </c>
      <c r="S63" s="125" cm="1">
        <f t="array" ref="S63">_xll.EQNXTDZ($A$1,$B63,S$1,$B$1)</f>
        <v>0</v>
      </c>
      <c r="T63" s="125" cm="1">
        <f t="array" ref="T63">_xll.EQNXTDZ($A$1,$B63,T$1,$B$1)</f>
        <v>0</v>
      </c>
      <c r="U63" s="125" cm="1">
        <f t="array" ref="U63">_xll.EQNXTDZ($A$1,$B63,U$1,$B$1)</f>
        <v>415.471</v>
      </c>
      <c r="V63" s="125" cm="1">
        <f t="array" ref="V63">_xll.EQNXTDZ($A$1,$B63,V$1,$B$1)</f>
        <v>311.27100000000002</v>
      </c>
      <c r="W63" s="125" cm="1">
        <f t="array" ref="W63">_xll.EQNXTDZ($A$1,$B63,W$1,$B$1)</f>
        <v>130.11799999999999</v>
      </c>
      <c r="X63" s="125" cm="1">
        <f t="array" ref="X63">_xll.EQNXTDZ($A$1,$B63,X$1,$B$1)</f>
        <v>346.714</v>
      </c>
      <c r="Y63" s="125" cm="1">
        <f t="array" ref="Y63">_xll.EQNXTDZ($A$1,$B63,Y$1,$B$1)</f>
        <v>90.668000000000006</v>
      </c>
      <c r="Z63" s="125" cm="1">
        <f t="array" ref="Z63">_xll.EQNXTDZ($A$1,$B63,Z$1,$B$1)</f>
        <v>215.315</v>
      </c>
      <c r="AA63" s="125" cm="1">
        <f t="array" ref="AA63">_xll.EQNXTDZ($A$1,$B63,AA$1,$B$1)</f>
        <v>1706.1220000000001</v>
      </c>
      <c r="AB63" s="125" cm="1">
        <f t="array" ref="AB63">_xll.EQNXTDZ($A$1,$B63,AB$1,$B$1)</f>
        <v>589.298</v>
      </c>
      <c r="AC63" s="125" cm="1">
        <f t="array" ref="AC63">_xll.EQNXTDZ($A$1,$B63,AC$1,$B$1)</f>
        <v>0</v>
      </c>
      <c r="AD63" s="125" cm="1">
        <f t="array" ref="AD63">_xll.EQNXTDZ($A$1,$B63,AD$1,$B$1)</f>
        <v>0</v>
      </c>
      <c r="AE63" s="125" cm="1">
        <f t="array" ref="AE63">_xll.EQNXTDZ($A$1,$B63,AE$1,$B$1)</f>
        <v>0</v>
      </c>
      <c r="AF63" s="125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5" cm="1">
        <f t="array" ref="C64">_xll.EQNXTDZ($A$1,$B64,C$1,$B$1)</f>
        <v>10</v>
      </c>
      <c r="D64" s="125" cm="1">
        <f t="array" ref="D64">_xll.EQNXTDZ($A$1,$B64,D$1,$B$1)</f>
        <v>10</v>
      </c>
      <c r="E64" s="125" cm="1">
        <f t="array" ref="E64">_xll.EQNXTDZ($A$1,$B64,E$1,$B$1)</f>
        <v>10</v>
      </c>
      <c r="F64" s="125" cm="1">
        <f t="array" ref="F64">_xll.EQNXTDZ($A$1,$B64,F$1,$B$1)</f>
        <v>10</v>
      </c>
      <c r="G64" s="125" cm="1">
        <f t="array" ref="G64">_xll.EQNXTDZ($A$1,$B64,G$1,$B$1)</f>
        <v>10</v>
      </c>
      <c r="H64" s="125" cm="1">
        <f t="array" ref="H64">_xll.EQNXTDZ($A$1,$B64,H$1,$B$1)</f>
        <v>10</v>
      </c>
      <c r="I64" s="125" cm="1">
        <f t="array" ref="I64">_xll.EQNXTDZ($A$1,$B64,I$1,$B$1)</f>
        <v>10</v>
      </c>
      <c r="J64" s="125" cm="1">
        <f t="array" ref="J64">_xll.EQNXTDZ($A$1,$B64,J$1,$B$1)</f>
        <v>10</v>
      </c>
      <c r="K64" s="125" cm="1">
        <f t="array" ref="K64">_xll.EQNXTDZ($A$1,$B64,K$1,$B$1)</f>
        <v>10</v>
      </c>
      <c r="L64" s="125" cm="1">
        <f t="array" ref="L64">_xll.EQNXTDZ($A$1,$B64,L$1,$B$1)</f>
        <v>10</v>
      </c>
      <c r="M64" s="125" cm="1">
        <f t="array" ref="M64">_xll.EQNXTDZ($A$1,$B64,M$1,$B$1)</f>
        <v>10</v>
      </c>
      <c r="N64" s="125" cm="1">
        <f t="array" ref="N64">_xll.EQNXTDZ($A$1,$B64,N$1,$B$1)</f>
        <v>10</v>
      </c>
      <c r="O64" s="125" cm="1">
        <f t="array" ref="O64">_xll.EQNXTDZ($A$1,$B64,O$1,$B$1)</f>
        <v>10</v>
      </c>
      <c r="P64" s="125" cm="1">
        <f t="array" ref="P64">_xll.EQNXTDZ($A$1,$B64,P$1,$B$1)</f>
        <v>10</v>
      </c>
      <c r="Q64" s="125" cm="1">
        <f t="array" ref="Q64">_xll.EQNXTDZ($A$1,$B64,Q$1,$B$1)</f>
        <v>10</v>
      </c>
      <c r="R64" s="125" cm="1">
        <f t="array" ref="R64">_xll.EQNXTDZ($A$1,$B64,R$1,$B$1)</f>
        <v>10</v>
      </c>
      <c r="S64" s="125" cm="1">
        <f t="array" ref="S64">_xll.EQNXTDZ($A$1,$B64,S$1,$B$1)</f>
        <v>10</v>
      </c>
      <c r="T64" s="125" cm="1">
        <f t="array" ref="T64">_xll.EQNXTDZ($A$1,$B64,T$1,$B$1)</f>
        <v>10</v>
      </c>
      <c r="U64" s="125" cm="1">
        <f t="array" ref="U64">_xll.EQNXTDZ($A$1,$B64,U$1,$B$1)</f>
        <v>10</v>
      </c>
      <c r="V64" s="125" cm="1">
        <f t="array" ref="V64">_xll.EQNXTDZ($A$1,$B64,V$1,$B$1)</f>
        <v>10</v>
      </c>
      <c r="W64" s="125" cm="1">
        <f t="array" ref="W64">_xll.EQNXTDZ($A$1,$B64,W$1,$B$1)</f>
        <v>10</v>
      </c>
      <c r="X64" s="125" cm="1">
        <f t="array" ref="X64">_xll.EQNXTDZ($A$1,$B64,X$1,$B$1)</f>
        <v>10</v>
      </c>
      <c r="Y64" s="125" cm="1">
        <f t="array" ref="Y64">_xll.EQNXTDZ($A$1,$B64,Y$1,$B$1)</f>
        <v>10</v>
      </c>
      <c r="Z64" s="125" cm="1">
        <f t="array" ref="Z64">_xll.EQNXTDZ($A$1,$B64,Z$1,$B$1)</f>
        <v>10</v>
      </c>
      <c r="AA64" s="125" cm="1">
        <f t="array" ref="AA64">_xll.EQNXTDZ($A$1,$B64,AA$1,$B$1)</f>
        <v>10</v>
      </c>
      <c r="AB64" s="125" cm="1">
        <f t="array" ref="AB64">_xll.EQNXTDZ($A$1,$B64,AB$1,$B$1)</f>
        <v>10</v>
      </c>
      <c r="AC64" s="125" cm="1">
        <f t="array" ref="AC64">_xll.EQNXTDZ($A$1,$B64,AC$1,$B$1)</f>
        <v>10</v>
      </c>
      <c r="AD64" s="125" cm="1">
        <f t="array" ref="AD64">_xll.EQNXTDZ($A$1,$B64,AD$1,$B$1)</f>
        <v>10</v>
      </c>
      <c r="AE64" s="125" cm="1">
        <f t="array" ref="AE64">_xll.EQNXTDZ($A$1,$B64,AE$1,$B$1)</f>
        <v>10</v>
      </c>
      <c r="AF64" s="125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25" cm="1">
        <f t="array" ref="C65">_xll.EQNXTDZ($A$1,$B65,C$1,$B$1)</f>
        <v>0</v>
      </c>
      <c r="D65" s="125" cm="1">
        <f t="array" ref="D65">_xll.EQNXTDZ($A$1,$B65,D$1,$B$1)</f>
        <v>0</v>
      </c>
      <c r="E65" s="125" cm="1">
        <f t="array" ref="E65">_xll.EQNXTDZ($A$1,$B65,E$1,$B$1)</f>
        <v>0</v>
      </c>
      <c r="F65" s="125" cm="1">
        <f t="array" ref="F65">_xll.EQNXTDZ($A$1,$B65,F$1,$B$1)</f>
        <v>0</v>
      </c>
      <c r="G65" s="125" cm="1">
        <f t="array" ref="G65">_xll.EQNXTDZ($A$1,$B65,G$1,$B$1)</f>
        <v>0</v>
      </c>
      <c r="H65" s="125" cm="1">
        <f t="array" ref="H65">_xll.EQNXTDZ($A$1,$B65,H$1,$B$1)</f>
        <v>0</v>
      </c>
      <c r="I65" s="125" cm="1">
        <f t="array" ref="I65">_xll.EQNXTDZ($A$1,$B65,I$1,$B$1)</f>
        <v>0</v>
      </c>
      <c r="J65" s="125" cm="1">
        <f t="array" ref="J65">_xll.EQNXTDZ($A$1,$B65,J$1,$B$1)</f>
        <v>0</v>
      </c>
      <c r="K65" s="125" cm="1">
        <f t="array" ref="K65">_xll.EQNXTDZ($A$1,$B65,K$1,$B$1)</f>
        <v>0</v>
      </c>
      <c r="L65" s="125" cm="1">
        <f t="array" ref="L65">_xll.EQNXTDZ($A$1,$B65,L$1,$B$1)</f>
        <v>0</v>
      </c>
      <c r="M65" s="125" cm="1">
        <f t="array" ref="M65">_xll.EQNXTDZ($A$1,$B65,M$1,$B$1)</f>
        <v>0</v>
      </c>
      <c r="N65" s="125" cm="1">
        <f t="array" ref="N65">_xll.EQNXTDZ($A$1,$B65,N$1,$B$1)</f>
        <v>0</v>
      </c>
      <c r="O65" s="125" cm="1">
        <f t="array" ref="O65">_xll.EQNXTDZ($A$1,$B65,O$1,$B$1)</f>
        <v>0</v>
      </c>
      <c r="P65" s="125" cm="1">
        <f t="array" ref="P65">_xll.EQNXTDZ($A$1,$B65,P$1,$B$1)</f>
        <v>0</v>
      </c>
      <c r="Q65" s="125" cm="1">
        <f t="array" ref="Q65">_xll.EQNXTDZ($A$1,$B65,Q$1,$B$1)</f>
        <v>0</v>
      </c>
      <c r="R65" s="125" cm="1">
        <f t="array" ref="R65">_xll.EQNXTDZ($A$1,$B65,R$1,$B$1)</f>
        <v>0</v>
      </c>
      <c r="S65" s="125" cm="1">
        <f t="array" ref="S65">_xll.EQNXTDZ($A$1,$B65,S$1,$B$1)</f>
        <v>0</v>
      </c>
      <c r="T65" s="125" cm="1">
        <f t="array" ref="T65">_xll.EQNXTDZ($A$1,$B65,T$1,$B$1)</f>
        <v>0</v>
      </c>
      <c r="U65" s="125" cm="1">
        <f t="array" ref="U65">_xll.EQNXTDZ($A$1,$B65,U$1,$B$1)</f>
        <v>7193.2905000000001</v>
      </c>
      <c r="V65" s="125" cm="1">
        <f t="array" ref="V65">_xll.EQNXTDZ($A$1,$B65,V$1,$B$1)</f>
        <v>4871.9016499999998</v>
      </c>
      <c r="W65" s="125" cm="1">
        <f t="array" ref="W65">_xll.EQNXTDZ($A$1,$B65,W$1,$B$1)</f>
        <v>10430.8611</v>
      </c>
      <c r="X65" s="125" cm="1">
        <f t="array" ref="X65">_xll.EQNXTDZ($A$1,$B65,X$1,$B$1)</f>
        <v>13234.14235</v>
      </c>
      <c r="Y65" s="125" cm="1">
        <f t="array" ref="Y65">_xll.EQNXTDZ($A$1,$B65,Y$1,$B$1)</f>
        <v>14541.8541</v>
      </c>
      <c r="Z65" s="125" cm="1">
        <f t="array" ref="Z65">_xll.EQNXTDZ($A$1,$B65,Z$1,$B$1)</f>
        <v>22945.938600000001</v>
      </c>
      <c r="AA65" s="125" cm="1">
        <f t="array" ref="AA65">_xll.EQNXTDZ($A$1,$B65,AA$1,$B$1)</f>
        <v>15214.1286</v>
      </c>
      <c r="AB65" s="125" cm="1">
        <f t="array" ref="AB65">_xll.EQNXTDZ($A$1,$B65,AB$1,$B$1)</f>
        <v>18508.706999999999</v>
      </c>
      <c r="AC65" s="125" cm="1">
        <f t="array" ref="AC65">_xll.EQNXTDZ($A$1,$B65,AC$1,$B$1)</f>
        <v>0</v>
      </c>
      <c r="AD65" s="125" cm="1">
        <f t="array" ref="AD65">_xll.EQNXTDZ($A$1,$B65,AD$1,$B$1)</f>
        <v>0</v>
      </c>
      <c r="AE65" s="125" cm="1">
        <f t="array" ref="AE65">_xll.EQNXTDZ($A$1,$B65,AE$1,$B$1)</f>
        <v>0</v>
      </c>
      <c r="AF65" s="125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5" cm="1">
        <f t="array" ref="C66">_xll.EQNXTDZ($A$1,$B66,C$1,$B$1)</f>
        <v>0</v>
      </c>
      <c r="D66" s="125" cm="1">
        <f t="array" ref="D66">_xll.EQNXTDZ($A$1,$B66,D$1,$B$1)</f>
        <v>0</v>
      </c>
      <c r="E66" s="125" cm="1">
        <f t="array" ref="E66">_xll.EQNXTDZ($A$1,$B66,E$1,$B$1)</f>
        <v>0</v>
      </c>
      <c r="F66" s="125" cm="1">
        <f t="array" ref="F66">_xll.EQNXTDZ($A$1,$B66,F$1,$B$1)</f>
        <v>0</v>
      </c>
      <c r="G66" s="125" cm="1">
        <f t="array" ref="G66">_xll.EQNXTDZ($A$1,$B66,G$1,$B$1)</f>
        <v>0</v>
      </c>
      <c r="H66" s="125" cm="1">
        <f t="array" ref="H66">_xll.EQNXTDZ($A$1,$B66,H$1,$B$1)</f>
        <v>0</v>
      </c>
      <c r="I66" s="125" cm="1">
        <f t="array" ref="I66">_xll.EQNXTDZ($A$1,$B66,I$1,$B$1)</f>
        <v>0</v>
      </c>
      <c r="J66" s="125" cm="1">
        <f t="array" ref="J66">_xll.EQNXTDZ($A$1,$B66,J$1,$B$1)</f>
        <v>0</v>
      </c>
      <c r="K66" s="125" cm="1">
        <f t="array" ref="K66">_xll.EQNXTDZ($A$1,$B66,K$1,$B$1)</f>
        <v>0</v>
      </c>
      <c r="L66" s="125" cm="1">
        <f t="array" ref="L66">_xll.EQNXTDZ($A$1,$B66,L$1,$B$1)</f>
        <v>0</v>
      </c>
      <c r="M66" s="125" cm="1">
        <f t="array" ref="M66">_xll.EQNXTDZ($A$1,$B66,M$1,$B$1)</f>
        <v>0</v>
      </c>
      <c r="N66" s="125" cm="1">
        <f t="array" ref="N66">_xll.EQNXTDZ($A$1,$B66,N$1,$B$1)</f>
        <v>0</v>
      </c>
      <c r="O66" s="125" cm="1">
        <f t="array" ref="O66">_xll.EQNXTDZ($A$1,$B66,O$1,$B$1)</f>
        <v>0</v>
      </c>
      <c r="P66" s="125" cm="1">
        <f t="array" ref="P66">_xll.EQNXTDZ($A$1,$B66,P$1,$B$1)</f>
        <v>8.0000000000000099E-2</v>
      </c>
      <c r="Q66" s="125" cm="1">
        <f t="array" ref="Q66">_xll.EQNXTDZ($A$1,$B66,Q$1,$B$1)</f>
        <v>0.51</v>
      </c>
      <c r="R66" s="125" cm="1">
        <f t="array" ref="R66">_xll.EQNXTDZ($A$1,$B66,R$1,$B$1)</f>
        <v>1.97</v>
      </c>
      <c r="S66" s="125" cm="1">
        <f t="array" ref="S66">_xll.EQNXTDZ($A$1,$B66,S$1,$B$1)</f>
        <v>2.58</v>
      </c>
      <c r="T66" s="125" cm="1">
        <f t="array" ref="T66">_xll.EQNXTDZ($A$1,$B66,T$1,$B$1)</f>
        <v>0</v>
      </c>
      <c r="U66" s="125" cm="1">
        <f t="array" ref="U66">_xll.EQNXTDZ($A$1,$B66,U$1,$B$1)</f>
        <v>0</v>
      </c>
      <c r="V66" s="125" cm="1">
        <f t="array" ref="V66">_xll.EQNXTDZ($A$1,$B66,V$1,$B$1)</f>
        <v>142.1</v>
      </c>
      <c r="W66" s="125" cm="1">
        <f t="array" ref="W66">_xll.EQNXTDZ($A$1,$B66,W$1,$B$1)</f>
        <v>449.57</v>
      </c>
      <c r="X66" s="125" cm="1">
        <f t="array" ref="X66">_xll.EQNXTDZ($A$1,$B66,X$1,$B$1)</f>
        <v>393.22</v>
      </c>
      <c r="Y66" s="125" cm="1">
        <f t="array" ref="Y66">_xll.EQNXTDZ($A$1,$B66,Y$1,$B$1)</f>
        <v>236.39</v>
      </c>
      <c r="Z66" s="125" cm="1">
        <f t="array" ref="Z66">_xll.EQNXTDZ($A$1,$B66,Z$1,$B$1)</f>
        <v>302.64999999999998</v>
      </c>
      <c r="AA66" s="125" cm="1">
        <f t="array" ref="AA66">_xll.EQNXTDZ($A$1,$B66,AA$1,$B$1)</f>
        <v>1225.5999999999999</v>
      </c>
      <c r="AB66" s="125" cm="1">
        <f t="array" ref="AB66">_xll.EQNXTDZ($A$1,$B66,AB$1,$B$1)</f>
        <v>922.25</v>
      </c>
      <c r="AC66" s="125" cm="1">
        <f t="array" ref="AC66">_xll.EQNXTDZ($A$1,$B66,AC$1,$B$1)</f>
        <v>0</v>
      </c>
      <c r="AD66" s="125" cm="1">
        <f t="array" ref="AD66">_xll.EQNXTDZ($A$1,$B66,AD$1,$B$1)</f>
        <v>0</v>
      </c>
      <c r="AE66" s="125" cm="1">
        <f t="array" ref="AE66">_xll.EQNXTDZ($A$1,$B66,AE$1,$B$1)</f>
        <v>0</v>
      </c>
      <c r="AF66" s="125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5" cm="1">
        <f t="array" ref="C67">_xll.EQNXTDZ($A$1,$B67,C$1,$B$1)</f>
        <v>0</v>
      </c>
      <c r="D67" s="125" cm="1">
        <f t="array" ref="D67">_xll.EQNXTDZ($A$1,$B67,D$1,$B$1)</f>
        <v>0</v>
      </c>
      <c r="E67" s="125" cm="1">
        <f t="array" ref="E67">_xll.EQNXTDZ($A$1,$B67,E$1,$B$1)</f>
        <v>0</v>
      </c>
      <c r="F67" s="125" cm="1">
        <f t="array" ref="F67">_xll.EQNXTDZ($A$1,$B67,F$1,$B$1)</f>
        <v>0</v>
      </c>
      <c r="G67" s="125" cm="1">
        <f t="array" ref="G67">_xll.EQNXTDZ($A$1,$B67,G$1,$B$1)</f>
        <v>0</v>
      </c>
      <c r="H67" s="125" cm="1">
        <f t="array" ref="H67">_xll.EQNXTDZ($A$1,$B67,H$1,$B$1)</f>
        <v>0</v>
      </c>
      <c r="I67" s="125" cm="1">
        <f t="array" ref="I67">_xll.EQNXTDZ($A$1,$B67,I$1,$B$1)</f>
        <v>0</v>
      </c>
      <c r="J67" s="125" cm="1">
        <f t="array" ref="J67">_xll.EQNXTDZ($A$1,$B67,J$1,$B$1)</f>
        <v>0</v>
      </c>
      <c r="K67" s="125" cm="1">
        <f t="array" ref="K67">_xll.EQNXTDZ($A$1,$B67,K$1,$B$1)</f>
        <v>0</v>
      </c>
      <c r="L67" s="125" cm="1">
        <f t="array" ref="L67">_xll.EQNXTDZ($A$1,$B67,L$1,$B$1)</f>
        <v>0</v>
      </c>
      <c r="M67" s="125" cm="1">
        <f t="array" ref="M67">_xll.EQNXTDZ($A$1,$B67,M$1,$B$1)</f>
        <v>0</v>
      </c>
      <c r="N67" s="125" cm="1">
        <f t="array" ref="N67">_xll.EQNXTDZ($A$1,$B67,N$1,$B$1)</f>
        <v>0</v>
      </c>
      <c r="O67" s="125" cm="1">
        <f t="array" ref="O67">_xll.EQNXTDZ($A$1,$B67,O$1,$B$1)</f>
        <v>0</v>
      </c>
      <c r="P67" s="125" cm="1">
        <f t="array" ref="P67">_xll.EQNXTDZ($A$1,$B67,P$1,$B$1)</f>
        <v>0</v>
      </c>
      <c r="Q67" s="125" cm="1">
        <f t="array" ref="Q67">_xll.EQNXTDZ($A$1,$B67,Q$1,$B$1)</f>
        <v>0</v>
      </c>
      <c r="R67" s="125" cm="1">
        <f t="array" ref="R67">_xll.EQNXTDZ($A$1,$B67,R$1,$B$1)</f>
        <v>0</v>
      </c>
      <c r="S67" s="125" cm="1">
        <f t="array" ref="S67">_xll.EQNXTDZ($A$1,$B67,S$1,$B$1)</f>
        <v>0</v>
      </c>
      <c r="T67" s="125" cm="1">
        <f t="array" ref="T67">_xll.EQNXTDZ($A$1,$B67,T$1,$B$1)</f>
        <v>0</v>
      </c>
      <c r="U67" s="125" cm="1">
        <f t="array" ref="U67">_xll.EQNXTDZ($A$1,$B67,U$1,$B$1)</f>
        <v>0</v>
      </c>
      <c r="V67" s="125" cm="1">
        <f t="array" ref="V67">_xll.EQNXTDZ($A$1,$B67,V$1,$B$1)</f>
        <v>34.35</v>
      </c>
      <c r="W67" s="125" cm="1">
        <f t="array" ref="W67">_xll.EQNXTDZ($A$1,$B67,W$1,$B$1)</f>
        <v>135.97999999999999</v>
      </c>
      <c r="X67" s="125" cm="1">
        <f t="array" ref="X67">_xll.EQNXTDZ($A$1,$B67,X$1,$B$1)</f>
        <v>114.86</v>
      </c>
      <c r="Y67" s="125" cm="1">
        <f t="array" ref="Y67">_xll.EQNXTDZ($A$1,$B67,Y$1,$B$1)</f>
        <v>66.86</v>
      </c>
      <c r="Z67" s="125" cm="1">
        <f t="array" ref="Z67">_xll.EQNXTDZ($A$1,$B67,Z$1,$B$1)</f>
        <v>87.78</v>
      </c>
      <c r="AA67" s="125" cm="1">
        <f t="array" ref="AA67">_xll.EQNXTDZ($A$1,$B67,AA$1,$B$1)</f>
        <v>428.73</v>
      </c>
      <c r="AB67" s="125" cm="1">
        <f t="array" ref="AB67">_xll.EQNXTDZ($A$1,$B67,AB$1,$B$1)</f>
        <v>315.58</v>
      </c>
      <c r="AC67" s="125" cm="1">
        <f t="array" ref="AC67">_xll.EQNXTDZ($A$1,$B67,AC$1,$B$1)</f>
        <v>0</v>
      </c>
      <c r="AD67" s="125" cm="1">
        <f t="array" ref="AD67">_xll.EQNXTDZ($A$1,$B67,AD$1,$B$1)</f>
        <v>0</v>
      </c>
      <c r="AE67" s="125" cm="1">
        <f t="array" ref="AE67">_xll.EQNXTDZ($A$1,$B67,AE$1,$B$1)</f>
        <v>0</v>
      </c>
      <c r="AF67" s="125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5" cm="1">
        <f t="array" ref="C68">_xll.EQNXTDZ($A$1,$B68,C$1,$B$1)</f>
        <v>0</v>
      </c>
      <c r="D68" s="125" cm="1">
        <f t="array" ref="D68">_xll.EQNXTDZ($A$1,$B68,D$1,$B$1)</f>
        <v>0</v>
      </c>
      <c r="E68" s="125" cm="1">
        <f t="array" ref="E68">_xll.EQNXTDZ($A$1,$B68,E$1,$B$1)</f>
        <v>0</v>
      </c>
      <c r="F68" s="125" cm="1">
        <f t="array" ref="F68">_xll.EQNXTDZ($A$1,$B68,F$1,$B$1)</f>
        <v>0</v>
      </c>
      <c r="G68" s="125" cm="1">
        <f t="array" ref="G68">_xll.EQNXTDZ($A$1,$B68,G$1,$B$1)</f>
        <v>0</v>
      </c>
      <c r="H68" s="125" cm="1">
        <f t="array" ref="H68">_xll.EQNXTDZ($A$1,$B68,H$1,$B$1)</f>
        <v>0</v>
      </c>
      <c r="I68" s="125" cm="1">
        <f t="array" ref="I68">_xll.EQNXTDZ($A$1,$B68,I$1,$B$1)</f>
        <v>0</v>
      </c>
      <c r="J68" s="125" cm="1">
        <f t="array" ref="J68">_xll.EQNXTDZ($A$1,$B68,J$1,$B$1)</f>
        <v>0</v>
      </c>
      <c r="K68" s="125" cm="1">
        <f t="array" ref="K68">_xll.EQNXTDZ($A$1,$B68,K$1,$B$1)</f>
        <v>0</v>
      </c>
      <c r="L68" s="125" cm="1">
        <f t="array" ref="L68">_xll.EQNXTDZ($A$1,$B68,L$1,$B$1)</f>
        <v>0</v>
      </c>
      <c r="M68" s="125" cm="1">
        <f t="array" ref="M68">_xll.EQNXTDZ($A$1,$B68,M$1,$B$1)</f>
        <v>0</v>
      </c>
      <c r="N68" s="125" cm="1">
        <f t="array" ref="N68">_xll.EQNXTDZ($A$1,$B68,N$1,$B$1)</f>
        <v>0</v>
      </c>
      <c r="O68" s="125" cm="1">
        <f t="array" ref="O68">_xll.EQNXTDZ($A$1,$B68,O$1,$B$1)</f>
        <v>0</v>
      </c>
      <c r="P68" s="125" cm="1">
        <f t="array" ref="P68">_xll.EQNXTDZ($A$1,$B68,P$1,$B$1)</f>
        <v>10.3</v>
      </c>
      <c r="Q68" s="125" cm="1">
        <f t="array" ref="Q68">_xll.EQNXTDZ($A$1,$B68,Q$1,$B$1)</f>
        <v>9.56</v>
      </c>
      <c r="R68" s="125" cm="1">
        <f t="array" ref="R68">_xll.EQNXTDZ($A$1,$B68,R$1,$B$1)</f>
        <v>9.93</v>
      </c>
      <c r="S68" s="125" cm="1">
        <f t="array" ref="S68">_xll.EQNXTDZ($A$1,$B68,S$1,$B$1)</f>
        <v>9.69</v>
      </c>
      <c r="T68" s="125" cm="1">
        <f t="array" ref="T68">_xll.EQNXTDZ($A$1,$B68,T$1,$B$1)</f>
        <v>0</v>
      </c>
      <c r="U68" s="125" cm="1">
        <f t="array" ref="U68">_xll.EQNXTDZ($A$1,$B68,U$1,$B$1)</f>
        <v>0</v>
      </c>
      <c r="V68" s="125" cm="1">
        <f t="array" ref="V68">_xll.EQNXTDZ($A$1,$B68,V$1,$B$1)</f>
        <v>9.82</v>
      </c>
      <c r="W68" s="125" cm="1">
        <f t="array" ref="W68">_xll.EQNXTDZ($A$1,$B68,W$1,$B$1)</f>
        <v>9.7899999999999991</v>
      </c>
      <c r="X68" s="125" cm="1">
        <f t="array" ref="X68">_xll.EQNXTDZ($A$1,$B68,X$1,$B$1)</f>
        <v>9.76</v>
      </c>
      <c r="Y68" s="125" cm="1">
        <f t="array" ref="Y68">_xll.EQNXTDZ($A$1,$B68,Y$1,$B$1)</f>
        <v>0</v>
      </c>
      <c r="Z68" s="125" cm="1">
        <f t="array" ref="Z68">_xll.EQNXTDZ($A$1,$B68,Z$1,$B$1)</f>
        <v>0</v>
      </c>
      <c r="AA68" s="125" cm="1">
        <f t="array" ref="AA68">_xll.EQNXTDZ($A$1,$B68,AA$1,$B$1)</f>
        <v>0</v>
      </c>
      <c r="AB68" s="125" cm="1">
        <f t="array" ref="AB68">_xll.EQNXTDZ($A$1,$B68,AB$1,$B$1)</f>
        <v>0</v>
      </c>
      <c r="AC68" s="125" cm="1">
        <f t="array" ref="AC68">_xll.EQNXTDZ($A$1,$B68,AC$1,$B$1)</f>
        <v>0</v>
      </c>
      <c r="AD68" s="125" cm="1">
        <f t="array" ref="AD68">_xll.EQNXTDZ($A$1,$B68,AD$1,$B$1)</f>
        <v>0</v>
      </c>
      <c r="AE68" s="125" cm="1">
        <f t="array" ref="AE68">_xll.EQNXTDZ($A$1,$B68,AE$1,$B$1)</f>
        <v>0</v>
      </c>
      <c r="AF68" s="125" cm="1">
        <f t="array" ref="AF68">_xll.EQNXTDZ($A$1,$B68,AF$1,$B$1)</f>
        <v>0</v>
      </c>
    </row>
    <row r="69" spans="1:32" x14ac:dyDescent="0.25"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</row>
    <row r="70" spans="1:32" x14ac:dyDescent="0.25">
      <c r="A70" s="125" t="s">
        <v>481</v>
      </c>
      <c r="C70" s="125">
        <f t="shared" ref="C70:P70" si="0">+C85+C104+C106-C107-C108+C110+C111+C113+C114+C115+C116+C117+C119+C120+C121+C122+C123+C124+C125+C105+C112</f>
        <v>0</v>
      </c>
      <c r="D70" s="125">
        <f t="shared" si="0"/>
        <v>0</v>
      </c>
      <c r="E70" s="125">
        <f t="shared" si="0"/>
        <v>0</v>
      </c>
      <c r="F70" s="125">
        <f t="shared" si="0"/>
        <v>0</v>
      </c>
      <c r="G70" s="125">
        <f t="shared" si="0"/>
        <v>0</v>
      </c>
      <c r="H70" s="125">
        <f t="shared" si="0"/>
        <v>0</v>
      </c>
      <c r="I70" s="125">
        <f t="shared" si="0"/>
        <v>0</v>
      </c>
      <c r="J70" s="125">
        <f t="shared" si="0"/>
        <v>0</v>
      </c>
      <c r="K70" s="125">
        <f t="shared" si="0"/>
        <v>212.8426484</v>
      </c>
      <c r="L70" s="125">
        <f t="shared" si="0"/>
        <v>308.31893930000001</v>
      </c>
      <c r="M70" s="125">
        <f t="shared" si="0"/>
        <v>289.79262660000001</v>
      </c>
      <c r="N70" s="125">
        <f t="shared" si="0"/>
        <v>324.58301449999999</v>
      </c>
      <c r="O70" s="125">
        <f t="shared" si="0"/>
        <v>541.81437159999996</v>
      </c>
      <c r="P70" s="125">
        <f t="shared" si="0"/>
        <v>1057.1933051000001</v>
      </c>
      <c r="Q70" s="125">
        <f>+Q85+Q104+Q106-Q107-Q108+Q110+Q111+Q113+Q114+Q115+Q116+Q117+Q119+Q120+Q121+Q122+Q123+Q124+Q125+Q105+Q112</f>
        <v>1724.6312190999997</v>
      </c>
      <c r="R70" s="125">
        <f t="shared" ref="R70:AA70" si="1">+R85+R104+R106-R107-R108+R110+R111+R113+R114+R115+R116+R117+R119+R120+R121+R122+R123+R124+R125+R105+R112</f>
        <v>2801.4024878</v>
      </c>
      <c r="S70" s="125">
        <f t="shared" si="1"/>
        <v>3515.4398291000002</v>
      </c>
      <c r="T70" s="125">
        <f t="shared" si="1"/>
        <v>5225.22</v>
      </c>
      <c r="U70" s="125">
        <f t="shared" si="1"/>
        <v>7629.3099999999995</v>
      </c>
      <c r="V70" s="125">
        <f t="shared" si="1"/>
        <v>11052.5</v>
      </c>
      <c r="W70" s="125">
        <f t="shared" si="1"/>
        <v>13145.890000000001</v>
      </c>
      <c r="X70" s="125">
        <f t="shared" si="1"/>
        <v>17964.98</v>
      </c>
      <c r="Y70" s="125">
        <f t="shared" si="1"/>
        <v>22533.32</v>
      </c>
      <c r="Z70" s="125">
        <f t="shared" si="1"/>
        <v>30034.520000000004</v>
      </c>
      <c r="AA70" s="125">
        <f t="shared" si="1"/>
        <v>28979.17</v>
      </c>
      <c r="AB70" s="125">
        <f t="shared" ref="AB70:AF70" si="2">+AB85+AB104+AB106-AB107-AB108+AB110+AB111+AB113+AB114+AB115+AB116+AB117+AB119+AB120+AB121+AB122+AB123+AB124+AB125+AB105+AB112</f>
        <v>32825.660000000003</v>
      </c>
      <c r="AC70" s="125">
        <f t="shared" si="2"/>
        <v>0</v>
      </c>
      <c r="AD70" s="125">
        <f t="shared" si="2"/>
        <v>0</v>
      </c>
      <c r="AE70" s="125">
        <f t="shared" si="2"/>
        <v>0</v>
      </c>
      <c r="AF70" s="125">
        <f t="shared" si="2"/>
        <v>0</v>
      </c>
    </row>
    <row r="71" spans="1:32" x14ac:dyDescent="0.25">
      <c r="A71" s="125" t="s">
        <v>482</v>
      </c>
      <c r="C71" s="125">
        <f t="shared" ref="C71:P71" si="3">+C77+C78+C79+C81+C82+C83+C84+C86+C87+C88+C89+C90+C91+C93+C94+C99+C100+C101</f>
        <v>0</v>
      </c>
      <c r="D71" s="125">
        <f t="shared" si="3"/>
        <v>0</v>
      </c>
      <c r="E71" s="125">
        <f t="shared" si="3"/>
        <v>0</v>
      </c>
      <c r="F71" s="125">
        <f t="shared" si="3"/>
        <v>0</v>
      </c>
      <c r="G71" s="125">
        <f t="shared" si="3"/>
        <v>0</v>
      </c>
      <c r="H71" s="125">
        <f t="shared" si="3"/>
        <v>0</v>
      </c>
      <c r="I71" s="125">
        <f t="shared" si="3"/>
        <v>0</v>
      </c>
      <c r="J71" s="125">
        <f t="shared" si="3"/>
        <v>0</v>
      </c>
      <c r="K71" s="125">
        <f t="shared" si="3"/>
        <v>216.81987189999995</v>
      </c>
      <c r="L71" s="125">
        <f t="shared" si="3"/>
        <v>310.30734059999997</v>
      </c>
      <c r="M71" s="125">
        <f t="shared" si="3"/>
        <v>290.40360960000004</v>
      </c>
      <c r="N71" s="125">
        <f t="shared" si="3"/>
        <v>325.11883459999996</v>
      </c>
      <c r="O71" s="125">
        <f t="shared" si="3"/>
        <v>543.64523540000005</v>
      </c>
      <c r="P71" s="125">
        <f t="shared" si="3"/>
        <v>1060.5952222000001</v>
      </c>
      <c r="Q71" s="125">
        <f>+Q77+Q78+Q79+Q81+Q82+Q83+Q84+Q86+Q87+Q88+Q89+Q90+Q91+Q93+Q94+Q99+Q100+Q101</f>
        <v>1727.7554679999998</v>
      </c>
      <c r="R71" s="125">
        <f t="shared" ref="R71:AA71" si="4">+R77+R78+R79+R81+R82+R83+R84+R86+R87+R88+R89+R90+R91+R93+R94+R99+R100+R101</f>
        <v>2804.6565787</v>
      </c>
      <c r="S71" s="125">
        <f t="shared" si="4"/>
        <v>3515.577495</v>
      </c>
      <c r="T71" s="125">
        <f t="shared" si="4"/>
        <v>5225.2200000000012</v>
      </c>
      <c r="U71" s="125">
        <f t="shared" si="4"/>
        <v>7629.3099999999977</v>
      </c>
      <c r="V71" s="125">
        <f t="shared" si="4"/>
        <v>11052.499999999998</v>
      </c>
      <c r="W71" s="125">
        <f t="shared" si="4"/>
        <v>13145.889999999998</v>
      </c>
      <c r="X71" s="125">
        <f t="shared" si="4"/>
        <v>17964.980000000003</v>
      </c>
      <c r="Y71" s="125">
        <f t="shared" si="4"/>
        <v>22533.32</v>
      </c>
      <c r="Z71" s="125">
        <f t="shared" si="4"/>
        <v>30034.52</v>
      </c>
      <c r="AA71" s="125">
        <f t="shared" si="4"/>
        <v>28979.170000000002</v>
      </c>
      <c r="AB71" s="125">
        <f t="shared" ref="AB71:AF71" si="5">+AB77+AB78+AB79+AB81+AB82+AB83+AB84+AB86+AB87+AB88+AB89+AB90+AB91+AB93+AB94+AB99+AB100+AB101</f>
        <v>32825.660000000003</v>
      </c>
      <c r="AC71" s="125">
        <f t="shared" si="5"/>
        <v>0</v>
      </c>
      <c r="AD71" s="125">
        <f t="shared" si="5"/>
        <v>0</v>
      </c>
      <c r="AE71" s="125">
        <f t="shared" si="5"/>
        <v>0</v>
      </c>
      <c r="AF71" s="125">
        <f t="shared" si="5"/>
        <v>0</v>
      </c>
    </row>
    <row r="72" spans="1:32" x14ac:dyDescent="0.25">
      <c r="A72" t="s">
        <v>53</v>
      </c>
      <c r="B72" t="s">
        <v>54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</row>
    <row r="73" spans="1:32" s="146" customFormat="1" x14ac:dyDescent="0.25">
      <c r="A73" s="146" t="s">
        <v>92</v>
      </c>
      <c r="B73" s="146" t="s">
        <v>108</v>
      </c>
      <c r="C73" s="147" cm="1">
        <f t="array" ref="C73">_xll.EQNXTDZ($A$1,$B73,C$1,$B$1)</f>
        <v>0</v>
      </c>
      <c r="D73" s="147" cm="1">
        <f t="array" ref="D73">_xll.EQNXTDZ($A$1,$B73,D$1,$B$1)</f>
        <v>0</v>
      </c>
      <c r="E73" s="147" cm="1">
        <f t="array" ref="E73">_xll.EQNXTDZ($A$1,$B73,E$1,$B$1)</f>
        <v>0</v>
      </c>
      <c r="F73" s="147" cm="1">
        <f t="array" ref="F73">_xll.EQNXTDZ($A$1,$B73,F$1,$B$1)</f>
        <v>0</v>
      </c>
      <c r="G73" s="147" cm="1">
        <f t="array" ref="G73">_xll.EQNXTDZ($A$1,$B73,G$1,$B$1)</f>
        <v>0</v>
      </c>
      <c r="H73" s="147" cm="1">
        <f t="array" ref="H73">_xll.EQNXTDZ($A$1,$B73,H$1,$B$1)</f>
        <v>0</v>
      </c>
      <c r="I73" s="147" cm="1">
        <f t="array" ref="I73">_xll.EQNXTDZ($A$1,$B73,I$1,$B$1)</f>
        <v>0</v>
      </c>
      <c r="J73" s="147" cm="1">
        <f t="array" ref="J73">_xll.EQNXTDZ($A$1,$B73,J$1,$B$1)</f>
        <v>0</v>
      </c>
      <c r="K73" s="147" cm="1">
        <f t="array" ref="K73">_xll.EQNXTDZ($A$1,$B73,K$1,$B$1)</f>
        <v>200903</v>
      </c>
      <c r="L73" s="147" cm="1">
        <f t="array" ref="L73">_xll.EQNXTDZ($A$1,$B73,L$1,$B$1)</f>
        <v>201003</v>
      </c>
      <c r="M73" s="147" cm="1">
        <f t="array" ref="M73">_xll.EQNXTDZ($A$1,$B73,M$1,$B$1)</f>
        <v>201103</v>
      </c>
      <c r="N73" s="147" cm="1">
        <f t="array" ref="N73">_xll.EQNXTDZ($A$1,$B73,N$1,$B$1)</f>
        <v>201203</v>
      </c>
      <c r="O73" s="147" cm="1">
        <f t="array" ref="O73">_xll.EQNXTDZ($A$1,$B73,O$1,$B$1)</f>
        <v>201303</v>
      </c>
      <c r="P73" s="147" cm="1">
        <f t="array" ref="P73">_xll.EQNXTDZ($A$1,$B73,P$1,$B$1)</f>
        <v>201403</v>
      </c>
      <c r="Q73" s="147" cm="1">
        <f t="array" ref="Q73">_xll.EQNXTDZ($A$1,$B73,Q$1,$B$1)</f>
        <v>201503</v>
      </c>
      <c r="R73" s="147" cm="1">
        <f t="array" ref="R73">_xll.EQNXTDZ($A$1,$B73,R$1,$B$1)</f>
        <v>201603</v>
      </c>
      <c r="S73" s="147" cm="1">
        <f t="array" ref="S73">_xll.EQNXTDZ($A$1,$B73,S$1,$B$1)</f>
        <v>201703</v>
      </c>
      <c r="T73" s="147" cm="1">
        <f t="array" ref="T73">_xll.EQNXTDZ($A$1,$B73,T$1,$B$1)</f>
        <v>201803</v>
      </c>
      <c r="U73" s="147" cm="1">
        <f t="array" ref="U73">_xll.EQNXTDZ($A$1,$B73,U$1,$B$1)</f>
        <v>201903</v>
      </c>
      <c r="V73" s="147" cm="1">
        <f t="array" ref="V73">_xll.EQNXTDZ($A$1,$B73,V$1,$B$1)</f>
        <v>202003</v>
      </c>
      <c r="W73" s="147" cm="1">
        <f t="array" ref="W73">_xll.EQNXTDZ($A$1,$B73,W$1,$B$1)</f>
        <v>202103</v>
      </c>
      <c r="X73" s="147" cm="1">
        <f t="array" ref="X73">_xll.EQNXTDZ($A$1,$B73,X$1,$B$1)</f>
        <v>202203</v>
      </c>
      <c r="Y73" s="147" cm="1">
        <f t="array" ref="Y73">_xll.EQNXTDZ($A$1,$B73,Y$1,$B$1)</f>
        <v>202303</v>
      </c>
      <c r="Z73" s="147" cm="1">
        <f t="array" ref="Z73">_xll.EQNXTDZ($A$1,$B73,Z$1,$B$1)</f>
        <v>202403</v>
      </c>
      <c r="AA73" s="147" cm="1">
        <f t="array" ref="AA73">_xll.EQNXTDZ($A$1,$B73,AA$1,$B$1)</f>
        <v>202503</v>
      </c>
      <c r="AB73" s="147" cm="1">
        <f t="array" ref="AB73">_xll.EQNXTDZ($A$1,$B73,AB$1,$B$1)</f>
        <v>202603</v>
      </c>
      <c r="AC73" s="147" cm="1">
        <f t="array" ref="AC73">_xll.EQNXTDZ($A$1,$B73,AC$1,$B$1)</f>
        <v>0</v>
      </c>
      <c r="AD73" s="147" cm="1">
        <f t="array" ref="AD73">_xll.EQNXTDZ($A$1,$B73,AD$1,$B$1)</f>
        <v>0</v>
      </c>
      <c r="AE73" s="147" cm="1">
        <f t="array" ref="AE73">_xll.EQNXTDZ($A$1,$B73,AE$1,$B$1)</f>
        <v>0</v>
      </c>
      <c r="AF73" s="147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5" cm="1">
        <f t="array" ref="C74">_xll.EQNXTDZ($A$1,$B74,C$1,$B$1)</f>
        <v>0</v>
      </c>
      <c r="D74" s="125" cm="1">
        <f t="array" ref="D74">_xll.EQNXTDZ($A$1,$B74,D$1,$B$1)</f>
        <v>0</v>
      </c>
      <c r="E74" s="125" cm="1">
        <f t="array" ref="E74">_xll.EQNXTDZ($A$1,$B74,E$1,$B$1)</f>
        <v>0</v>
      </c>
      <c r="F74" s="125" cm="1">
        <f t="array" ref="F74">_xll.EQNXTDZ($A$1,$B74,F$1,$B$1)</f>
        <v>0</v>
      </c>
      <c r="G74" s="125" cm="1">
        <f t="array" ref="G74">_xll.EQNXTDZ($A$1,$B74,G$1,$B$1)</f>
        <v>0</v>
      </c>
      <c r="H74" s="125" cm="1">
        <f t="array" ref="H74">_xll.EQNXTDZ($A$1,$B74,H$1,$B$1)</f>
        <v>0</v>
      </c>
      <c r="I74" s="125" cm="1">
        <f t="array" ref="I74">_xll.EQNXTDZ($A$1,$B74,I$1,$B$1)</f>
        <v>0</v>
      </c>
      <c r="J74" s="125" cm="1">
        <f t="array" ref="J74">_xll.EQNXTDZ($A$1,$B74,J$1,$B$1)</f>
        <v>0</v>
      </c>
      <c r="K74" s="125" t="str" cm="1">
        <f t="array" ref="K74">_xll.EQNXTDZ($A$1,$B74,K$1,$B$1)</f>
        <v>2009</v>
      </c>
      <c r="L74" s="125" t="str" cm="1">
        <f t="array" ref="L74">_xll.EQNXTDZ($A$1,$B74,L$1,$B$1)</f>
        <v>2010</v>
      </c>
      <c r="M74" s="125" t="str" cm="1">
        <f t="array" ref="M74">_xll.EQNXTDZ($A$1,$B74,M$1,$B$1)</f>
        <v>2011</v>
      </c>
      <c r="N74" s="125" t="str" cm="1">
        <f t="array" ref="N74">_xll.EQNXTDZ($A$1,$B74,N$1,$B$1)</f>
        <v>2012</v>
      </c>
      <c r="O74" s="125" t="str" cm="1">
        <f t="array" ref="O74">_xll.EQNXTDZ($A$1,$B74,O$1,$B$1)</f>
        <v>2013</v>
      </c>
      <c r="P74" s="125" t="str" cm="1">
        <f t="array" ref="P74">_xll.EQNXTDZ($A$1,$B74,P$1,$B$1)</f>
        <v>2014</v>
      </c>
      <c r="Q74" s="125" t="str" cm="1">
        <f t="array" ref="Q74">_xll.EQNXTDZ($A$1,$B74,Q$1,$B$1)</f>
        <v>2015</v>
      </c>
      <c r="R74" s="125" t="str" cm="1">
        <f t="array" ref="R74">_xll.EQNXTDZ($A$1,$B74,R$1,$B$1)</f>
        <v>2016</v>
      </c>
      <c r="S74" s="125" t="str" cm="1">
        <f t="array" ref="S74">_xll.EQNXTDZ($A$1,$B74,S$1,$B$1)</f>
        <v>2017</v>
      </c>
      <c r="T74" s="125" t="str" cm="1">
        <f t="array" ref="T74">_xll.EQNXTDZ($A$1,$B74,T$1,$B$1)</f>
        <v>2018</v>
      </c>
      <c r="U74" s="125" t="str" cm="1">
        <f t="array" ref="U74">_xll.EQNXTDZ($A$1,$B74,U$1,$B$1)</f>
        <v>2019</v>
      </c>
      <c r="V74" s="125" t="str" cm="1">
        <f t="array" ref="V74">_xll.EQNXTDZ($A$1,$B74,V$1,$B$1)</f>
        <v>2020</v>
      </c>
      <c r="W74" s="125" t="str" cm="1">
        <f t="array" ref="W74">_xll.EQNXTDZ($A$1,$B74,W$1,$B$1)</f>
        <v>2021</v>
      </c>
      <c r="X74" s="125" t="str" cm="1">
        <f t="array" ref="X74">_xll.EQNXTDZ($A$1,$B74,X$1,$B$1)</f>
        <v>2022</v>
      </c>
      <c r="Y74" s="125" t="str" cm="1">
        <f t="array" ref="Y74">_xll.EQNXTDZ($A$1,$B74,Y$1,$B$1)</f>
        <v>2023</v>
      </c>
      <c r="Z74" s="125" t="str" cm="1">
        <f t="array" ref="Z74">_xll.EQNXTDZ($A$1,$B74,Z$1,$B$1)</f>
        <v>2024</v>
      </c>
      <c r="AA74" s="125" t="str" cm="1">
        <f t="array" ref="AA74">_xll.EQNXTDZ($A$1,$B74,AA$1,$B$1)</f>
        <v>2025</v>
      </c>
      <c r="AB74" s="125" t="str" cm="1">
        <f t="array" ref="AB74">_xll.EQNXTDZ($A$1,$B74,AB$1,$B$1)</f>
        <v>2026</v>
      </c>
      <c r="AC74" s="125" cm="1">
        <f t="array" ref="AC74">_xll.EQNXTDZ($A$1,$B74,AC$1,$B$1)</f>
        <v>0</v>
      </c>
      <c r="AD74" s="125" cm="1">
        <f t="array" ref="AD74">_xll.EQNXTDZ($A$1,$B74,AD$1,$B$1)</f>
        <v>0</v>
      </c>
      <c r="AE74" s="125" cm="1">
        <f t="array" ref="AE74">_xll.EQNXTDZ($A$1,$B74,AE$1,$B$1)</f>
        <v>0</v>
      </c>
      <c r="AF74" s="125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5" cm="1">
        <f t="array" ref="C75">_xll.EQNXTDZ($A$1,$B75,C$1,$B$1)</f>
        <v>0</v>
      </c>
      <c r="D75" s="125" cm="1">
        <f t="array" ref="D75">_xll.EQNXTDZ($A$1,$B75,D$1,$B$1)</f>
        <v>0</v>
      </c>
      <c r="E75" s="125" cm="1">
        <f t="array" ref="E75">_xll.EQNXTDZ($A$1,$B75,E$1,$B$1)</f>
        <v>0</v>
      </c>
      <c r="F75" s="125" cm="1">
        <f t="array" ref="F75">_xll.EQNXTDZ($A$1,$B75,F$1,$B$1)</f>
        <v>0</v>
      </c>
      <c r="G75" s="125" cm="1">
        <f t="array" ref="G75">_xll.EQNXTDZ($A$1,$B75,G$1,$B$1)</f>
        <v>0</v>
      </c>
      <c r="H75" s="125" cm="1">
        <f t="array" ref="H75">_xll.EQNXTDZ($A$1,$B75,H$1,$B$1)</f>
        <v>0</v>
      </c>
      <c r="I75" s="125" cm="1">
        <f t="array" ref="I75">_xll.EQNXTDZ($A$1,$B75,I$1,$B$1)</f>
        <v>0</v>
      </c>
      <c r="J75" s="125" cm="1">
        <f t="array" ref="J75">_xll.EQNXTDZ($A$1,$B75,J$1,$B$1)</f>
        <v>0</v>
      </c>
      <c r="K75" s="125" cm="1">
        <f t="array" ref="K75">_xll.EQNXTDZ($A$1,$B75,K$1,$B$1)</f>
        <v>12</v>
      </c>
      <c r="L75" s="125" cm="1">
        <f t="array" ref="L75">_xll.EQNXTDZ($A$1,$B75,L$1,$B$1)</f>
        <v>12</v>
      </c>
      <c r="M75" s="125" cm="1">
        <f t="array" ref="M75">_xll.EQNXTDZ($A$1,$B75,M$1,$B$1)</f>
        <v>12</v>
      </c>
      <c r="N75" s="125" cm="1">
        <f t="array" ref="N75">_xll.EQNXTDZ($A$1,$B75,N$1,$B$1)</f>
        <v>12</v>
      </c>
      <c r="O75" s="125" cm="1">
        <f t="array" ref="O75">_xll.EQNXTDZ($A$1,$B75,O$1,$B$1)</f>
        <v>12</v>
      </c>
      <c r="P75" s="125" cm="1">
        <f t="array" ref="P75">_xll.EQNXTDZ($A$1,$B75,P$1,$B$1)</f>
        <v>12</v>
      </c>
      <c r="Q75" s="125" cm="1">
        <f t="array" ref="Q75">_xll.EQNXTDZ($A$1,$B75,Q$1,$B$1)</f>
        <v>12</v>
      </c>
      <c r="R75" s="125" cm="1">
        <f t="array" ref="R75">_xll.EQNXTDZ($A$1,$B75,R$1,$B$1)</f>
        <v>12</v>
      </c>
      <c r="S75" s="125" cm="1">
        <f t="array" ref="S75">_xll.EQNXTDZ($A$1,$B75,S$1,$B$1)</f>
        <v>12</v>
      </c>
      <c r="T75" s="125" cm="1">
        <f t="array" ref="T75">_xll.EQNXTDZ($A$1,$B75,T$1,$B$1)</f>
        <v>12</v>
      </c>
      <c r="U75" s="125" cm="1">
        <f t="array" ref="U75">_xll.EQNXTDZ($A$1,$B75,U$1,$B$1)</f>
        <v>12</v>
      </c>
      <c r="V75" s="125" cm="1">
        <f t="array" ref="V75">_xll.EQNXTDZ($A$1,$B75,V$1,$B$1)</f>
        <v>12</v>
      </c>
      <c r="W75" s="125" cm="1">
        <f t="array" ref="W75">_xll.EQNXTDZ($A$1,$B75,W$1,$B$1)</f>
        <v>12</v>
      </c>
      <c r="X75" s="125" cm="1">
        <f t="array" ref="X75">_xll.EQNXTDZ($A$1,$B75,X$1,$B$1)</f>
        <v>12</v>
      </c>
      <c r="Y75" s="125" cm="1">
        <f t="array" ref="Y75">_xll.EQNXTDZ($A$1,$B75,Y$1,$B$1)</f>
        <v>12</v>
      </c>
      <c r="Z75" s="125" cm="1">
        <f t="array" ref="Z75">_xll.EQNXTDZ($A$1,$B75,Z$1,$B$1)</f>
        <v>12</v>
      </c>
      <c r="AA75" s="125" cm="1">
        <f t="array" ref="AA75">_xll.EQNXTDZ($A$1,$B75,AA$1,$B$1)</f>
        <v>12</v>
      </c>
      <c r="AB75" s="125" cm="1">
        <f t="array" ref="AB75">_xll.EQNXTDZ($A$1,$B75,AB$1,$B$1)</f>
        <v>12</v>
      </c>
      <c r="AC75" s="125" cm="1">
        <f t="array" ref="AC75">_xll.EQNXTDZ($A$1,$B75,AC$1,$B$1)</f>
        <v>0</v>
      </c>
      <c r="AD75" s="125" cm="1">
        <f t="array" ref="AD75">_xll.EQNXTDZ($A$1,$B75,AD$1,$B$1)</f>
        <v>0</v>
      </c>
      <c r="AE75" s="125" cm="1">
        <f t="array" ref="AE75">_xll.EQNXTDZ($A$1,$B75,AE$1,$B$1)</f>
        <v>0</v>
      </c>
      <c r="AF75" s="125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5" cm="1">
        <f t="array" ref="C76">_xll.EQNXTDZ($A$1,$B76,C$1,$B$1)</f>
        <v>0</v>
      </c>
      <c r="D76" s="125" cm="1">
        <f t="array" ref="D76">_xll.EQNXTDZ($A$1,$B76,D$1,$B$1)</f>
        <v>0</v>
      </c>
      <c r="E76" s="125" cm="1">
        <f t="array" ref="E76">_xll.EQNXTDZ($A$1,$B76,E$1,$B$1)</f>
        <v>0</v>
      </c>
      <c r="F76" s="125" cm="1">
        <f t="array" ref="F76">_xll.EQNXTDZ($A$1,$B76,F$1,$B$1)</f>
        <v>0</v>
      </c>
      <c r="G76" s="125" cm="1">
        <f t="array" ref="G76">_xll.EQNXTDZ($A$1,$B76,G$1,$B$1)</f>
        <v>0</v>
      </c>
      <c r="H76" s="125" cm="1">
        <f t="array" ref="H76">_xll.EQNXTDZ($A$1,$B76,H$1,$B$1)</f>
        <v>0</v>
      </c>
      <c r="I76" s="125" cm="1">
        <f t="array" ref="I76">_xll.EQNXTDZ($A$1,$B76,I$1,$B$1)</f>
        <v>0</v>
      </c>
      <c r="J76" s="125" cm="1">
        <f t="array" ref="J76">_xll.EQNXTDZ($A$1,$B76,J$1,$B$1)</f>
        <v>0</v>
      </c>
      <c r="K76" s="125" cm="1">
        <f t="array" ref="K76">_xll.EQNXTDZ($A$1,$B76,K$1,$B$1)</f>
        <v>39903</v>
      </c>
      <c r="L76" s="125" cm="1">
        <f t="array" ref="L76">_xll.EQNXTDZ($A$1,$B76,L$1,$B$1)</f>
        <v>40268</v>
      </c>
      <c r="M76" s="125" cm="1">
        <f t="array" ref="M76">_xll.EQNXTDZ($A$1,$B76,M$1,$B$1)</f>
        <v>40633</v>
      </c>
      <c r="N76" s="125" cm="1">
        <f t="array" ref="N76">_xll.EQNXTDZ($A$1,$B76,N$1,$B$1)</f>
        <v>40999</v>
      </c>
      <c r="O76" s="125" cm="1">
        <f t="array" ref="O76">_xll.EQNXTDZ($A$1,$B76,O$1,$B$1)</f>
        <v>41364</v>
      </c>
      <c r="P76" s="125" cm="1">
        <f t="array" ref="P76">_xll.EQNXTDZ($A$1,$B76,P$1,$B$1)</f>
        <v>41729</v>
      </c>
      <c r="Q76" s="125" cm="1">
        <f t="array" ref="Q76">_xll.EQNXTDZ($A$1,$B76,Q$1,$B$1)</f>
        <v>42094</v>
      </c>
      <c r="R76" s="125" cm="1">
        <f t="array" ref="R76">_xll.EQNXTDZ($A$1,$B76,R$1,$B$1)</f>
        <v>42460</v>
      </c>
      <c r="S76" s="125" cm="1">
        <f t="array" ref="S76">_xll.EQNXTDZ($A$1,$B76,S$1,$B$1)</f>
        <v>42825</v>
      </c>
      <c r="T76" s="125" cm="1">
        <f t="array" ref="T76">_xll.EQNXTDZ($A$1,$B76,T$1,$B$1)</f>
        <v>43190</v>
      </c>
      <c r="U76" s="125" cm="1">
        <f t="array" ref="U76">_xll.EQNXTDZ($A$1,$B76,U$1,$B$1)</f>
        <v>43555</v>
      </c>
      <c r="V76" s="125" cm="1">
        <f t="array" ref="V76">_xll.EQNXTDZ($A$1,$B76,V$1,$B$1)</f>
        <v>43921</v>
      </c>
      <c r="W76" s="125" cm="1">
        <f t="array" ref="W76">_xll.EQNXTDZ($A$1,$B76,W$1,$B$1)</f>
        <v>44286</v>
      </c>
      <c r="X76" s="125" cm="1">
        <f t="array" ref="X76">_xll.EQNXTDZ($A$1,$B76,X$1,$B$1)</f>
        <v>44651</v>
      </c>
      <c r="Y76" s="125" cm="1">
        <f t="array" ref="Y76">_xll.EQNXTDZ($A$1,$B76,Y$1,$B$1)</f>
        <v>45016</v>
      </c>
      <c r="Z76" s="125" cm="1">
        <f t="array" ref="Z76">_xll.EQNXTDZ($A$1,$B76,Z$1,$B$1)</f>
        <v>45382</v>
      </c>
      <c r="AA76" s="125" cm="1">
        <f t="array" ref="AA76">_xll.EQNXTDZ($A$1,$B76,AA$1,$B$1)</f>
        <v>45747</v>
      </c>
      <c r="AB76" s="125" cm="1">
        <f t="array" ref="AB76">_xll.EQNXTDZ($A$1,$B76,AB$1,$B$1)</f>
        <v>46112</v>
      </c>
      <c r="AC76" s="125" cm="1">
        <f t="array" ref="AC76">_xll.EQNXTDZ($A$1,$B76,AC$1,$B$1)</f>
        <v>0</v>
      </c>
      <c r="AD76" s="125" cm="1">
        <f t="array" ref="AD76">_xll.EQNXTDZ($A$1,$B76,AD$1,$B$1)</f>
        <v>0</v>
      </c>
      <c r="AE76" s="125" cm="1">
        <f t="array" ref="AE76">_xll.EQNXTDZ($A$1,$B76,AE$1,$B$1)</f>
        <v>0</v>
      </c>
      <c r="AF76" s="125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5" cm="1">
        <f t="array" ref="C77">_xll.EQNXTDZ($A$1,$B77,C$1,$B$1)</f>
        <v>0</v>
      </c>
      <c r="D77" s="125" cm="1">
        <f t="array" ref="D77">_xll.EQNXTDZ($A$1,$B77,D$1,$B$1)</f>
        <v>0</v>
      </c>
      <c r="E77" s="125" cm="1">
        <f t="array" ref="E77">_xll.EQNXTDZ($A$1,$B77,E$1,$B$1)</f>
        <v>0</v>
      </c>
      <c r="F77" s="125" cm="1">
        <f t="array" ref="F77">_xll.EQNXTDZ($A$1,$B77,F$1,$B$1)</f>
        <v>0</v>
      </c>
      <c r="G77" s="125" cm="1">
        <f t="array" ref="G77">_xll.EQNXTDZ($A$1,$B77,G$1,$B$1)</f>
        <v>0</v>
      </c>
      <c r="H77" s="125" cm="1">
        <f t="array" ref="H77">_xll.EQNXTDZ($A$1,$B77,H$1,$B$1)</f>
        <v>0</v>
      </c>
      <c r="I77" s="125" cm="1">
        <f t="array" ref="I77">_xll.EQNXTDZ($A$1,$B77,I$1,$B$1)</f>
        <v>0</v>
      </c>
      <c r="J77" s="125" cm="1">
        <f t="array" ref="J77">_xll.EQNXTDZ($A$1,$B77,J$1,$B$1)</f>
        <v>0</v>
      </c>
      <c r="K77" s="125" cm="1">
        <f t="array" ref="K77">_xll.EQNXTDZ($A$1,$B77,K$1,$B$1)</f>
        <v>16.480578999999999</v>
      </c>
      <c r="L77" s="125" cm="1">
        <f t="array" ref="L77">_xll.EQNXTDZ($A$1,$B77,L$1,$B$1)</f>
        <v>24.842320999999998</v>
      </c>
      <c r="M77" s="125" cm="1">
        <f t="array" ref="M77">_xll.EQNXTDZ($A$1,$B77,M$1,$B$1)</f>
        <v>24.842320999999998</v>
      </c>
      <c r="N77" s="125" cm="1">
        <f t="array" ref="N77">_xll.EQNXTDZ($A$1,$B77,N$1,$B$1)</f>
        <v>24.842320999999998</v>
      </c>
      <c r="O77" s="125" cm="1">
        <f t="array" ref="O77">_xll.EQNXTDZ($A$1,$B77,O$1,$B$1)</f>
        <v>39.620099000000003</v>
      </c>
      <c r="P77" s="125" cm="1">
        <f t="array" ref="P77">_xll.EQNXTDZ($A$1,$B77,P$1,$B$1)</f>
        <v>52.953432999999997</v>
      </c>
      <c r="Q77" s="125" cm="1">
        <f t="array" ref="Q77">_xll.EQNXTDZ($A$1,$B77,Q$1,$B$1)</f>
        <v>72.953433000000004</v>
      </c>
      <c r="R77" s="125" cm="1">
        <f t="array" ref="R77">_xll.EQNXTDZ($A$1,$B77,R$1,$B$1)</f>
        <v>72.953433000000004</v>
      </c>
      <c r="S77" s="125" cm="1">
        <f t="array" ref="S77">_xll.EQNXTDZ($A$1,$B77,S$1,$B$1)</f>
        <v>85.681342999999998</v>
      </c>
      <c r="T77" s="125" cm="1">
        <f t="array" ref="T77">_xll.EQNXTDZ($A$1,$B77,T$1,$B$1)</f>
        <v>128.43</v>
      </c>
      <c r="U77" s="125" cm="1">
        <f t="array" ref="U77">_xll.EQNXTDZ($A$1,$B77,U$1,$B$1)</f>
        <v>143.55000000000001</v>
      </c>
      <c r="V77" s="125" cm="1">
        <f t="array" ref="V77">_xll.EQNXTDZ($A$1,$B77,V$1,$B$1)</f>
        <v>143.99</v>
      </c>
      <c r="W77" s="125" cm="1">
        <f t="array" ref="W77">_xll.EQNXTDZ($A$1,$B77,W$1,$B$1)</f>
        <v>155.58000000000001</v>
      </c>
      <c r="X77" s="125" cm="1">
        <f t="array" ref="X77">_xll.EQNXTDZ($A$1,$B77,X$1,$B$1)</f>
        <v>155.87</v>
      </c>
      <c r="Y77" s="125" cm="1">
        <f t="array" ref="Y77">_xll.EQNXTDZ($A$1,$B77,Y$1,$B$1)</f>
        <v>158.91</v>
      </c>
      <c r="Z77" s="125" cm="1">
        <f t="array" ref="Z77">_xll.EQNXTDZ($A$1,$B77,Z$1,$B$1)</f>
        <v>159.38</v>
      </c>
      <c r="AA77" s="125" cm="1">
        <f t="array" ref="AA77">_xll.EQNXTDZ($A$1,$B77,AA$1,$B$1)</f>
        <v>159.72</v>
      </c>
      <c r="AB77" s="125" cm="1">
        <f t="array" ref="AB77">_xll.EQNXTDZ($A$1,$B77,AB$1,$B$1)</f>
        <v>160.19999999999999</v>
      </c>
      <c r="AC77" s="125" cm="1">
        <f t="array" ref="AC77">_xll.EQNXTDZ($A$1,$B77,AC$1,$B$1)</f>
        <v>0</v>
      </c>
      <c r="AD77" s="125" cm="1">
        <f t="array" ref="AD77">_xll.EQNXTDZ($A$1,$B77,AD$1,$B$1)</f>
        <v>0</v>
      </c>
      <c r="AE77" s="125" cm="1">
        <f t="array" ref="AE77">_xll.EQNXTDZ($A$1,$B77,AE$1,$B$1)</f>
        <v>0</v>
      </c>
      <c r="AF77" s="125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5" cm="1">
        <f t="array" ref="C78">_xll.EQNXTDZ($A$1,$B78,C$1,$B$1)</f>
        <v>0</v>
      </c>
      <c r="D78" s="125" cm="1">
        <f t="array" ref="D78">_xll.EQNXTDZ($A$1,$B78,D$1,$B$1)</f>
        <v>0</v>
      </c>
      <c r="E78" s="125" cm="1">
        <f t="array" ref="E78">_xll.EQNXTDZ($A$1,$B78,E$1,$B$1)</f>
        <v>0</v>
      </c>
      <c r="F78" s="125" cm="1">
        <f t="array" ref="F78">_xll.EQNXTDZ($A$1,$B78,F$1,$B$1)</f>
        <v>0</v>
      </c>
      <c r="G78" s="125" cm="1">
        <f t="array" ref="G78">_xll.EQNXTDZ($A$1,$B78,G$1,$B$1)</f>
        <v>0</v>
      </c>
      <c r="H78" s="125" cm="1">
        <f t="array" ref="H78">_xll.EQNXTDZ($A$1,$B78,H$1,$B$1)</f>
        <v>0</v>
      </c>
      <c r="I78" s="125" cm="1">
        <f t="array" ref="I78">_xll.EQNXTDZ($A$1,$B78,I$1,$B$1)</f>
        <v>0</v>
      </c>
      <c r="J78" s="125" cm="1">
        <f t="array" ref="J78">_xll.EQNXTDZ($A$1,$B78,J$1,$B$1)</f>
        <v>0</v>
      </c>
      <c r="K78" s="125" cm="1">
        <f t="array" ref="K78">_xll.EQNXTDZ($A$1,$B78,K$1,$B$1)</f>
        <v>0</v>
      </c>
      <c r="L78" s="125" cm="1">
        <f t="array" ref="L78">_xll.EQNXTDZ($A$1,$B78,L$1,$B$1)</f>
        <v>0</v>
      </c>
      <c r="M78" s="125" cm="1">
        <f t="array" ref="M78">_xll.EQNXTDZ($A$1,$B78,M$1,$B$1)</f>
        <v>0</v>
      </c>
      <c r="N78" s="125" cm="1">
        <f t="array" ref="N78">_xll.EQNXTDZ($A$1,$B78,N$1,$B$1)</f>
        <v>0</v>
      </c>
      <c r="O78" s="125" cm="1">
        <f t="array" ref="O78">_xll.EQNXTDZ($A$1,$B78,O$1,$B$1)</f>
        <v>0</v>
      </c>
      <c r="P78" s="125" cm="1">
        <f t="array" ref="P78">_xll.EQNXTDZ($A$1,$B78,P$1,$B$1)</f>
        <v>5.8698E-2</v>
      </c>
      <c r="Q78" s="125" cm="1">
        <f t="array" ref="Q78">_xll.EQNXTDZ($A$1,$B78,Q$1,$B$1)</f>
        <v>0.44867059999999997</v>
      </c>
      <c r="R78" s="125" cm="1">
        <f t="array" ref="R78">_xll.EQNXTDZ($A$1,$B78,R$1,$B$1)</f>
        <v>0.68833699999999998</v>
      </c>
      <c r="S78" s="125" cm="1">
        <f t="array" ref="S78">_xll.EQNXTDZ($A$1,$B78,S$1,$B$1)</f>
        <v>1.3103526000000001</v>
      </c>
      <c r="T78" s="125" cm="1">
        <f t="array" ref="T78">_xll.EQNXTDZ($A$1,$B78,T$1,$B$1)</f>
        <v>5.08</v>
      </c>
      <c r="U78" s="125" cm="1">
        <f t="array" ref="U78">_xll.EQNXTDZ($A$1,$B78,U$1,$B$1)</f>
        <v>8.7899999999999991</v>
      </c>
      <c r="V78" s="125" cm="1">
        <f t="array" ref="V78">_xll.EQNXTDZ($A$1,$B78,V$1,$B$1)</f>
        <v>8.61</v>
      </c>
      <c r="W78" s="125" cm="1">
        <f t="array" ref="W78">_xll.EQNXTDZ($A$1,$B78,W$1,$B$1)</f>
        <v>8.52</v>
      </c>
      <c r="X78" s="125" cm="1">
        <f t="array" ref="X78">_xll.EQNXTDZ($A$1,$B78,X$1,$B$1)</f>
        <v>11.72</v>
      </c>
      <c r="Y78" s="125" cm="1">
        <f t="array" ref="Y78">_xll.EQNXTDZ($A$1,$B78,Y$1,$B$1)</f>
        <v>19.41</v>
      </c>
      <c r="Z78" s="125" cm="1">
        <f t="array" ref="Z78">_xll.EQNXTDZ($A$1,$B78,Z$1,$B$1)</f>
        <v>31.17</v>
      </c>
      <c r="AA78" s="125" cm="1">
        <f t="array" ref="AA78">_xll.EQNXTDZ($A$1,$B78,AA$1,$B$1)</f>
        <v>49.26</v>
      </c>
      <c r="AB78" s="125" cm="1">
        <f t="array" ref="AB78">_xll.EQNXTDZ($A$1,$B78,AB$1,$B$1)</f>
        <v>66.16</v>
      </c>
      <c r="AC78" s="125" cm="1">
        <f t="array" ref="AC78">_xll.EQNXTDZ($A$1,$B78,AC$1,$B$1)</f>
        <v>0</v>
      </c>
      <c r="AD78" s="125" cm="1">
        <f t="array" ref="AD78">_xll.EQNXTDZ($A$1,$B78,AD$1,$B$1)</f>
        <v>0</v>
      </c>
      <c r="AE78" s="125" cm="1">
        <f t="array" ref="AE78">_xll.EQNXTDZ($A$1,$B78,AE$1,$B$1)</f>
        <v>0</v>
      </c>
      <c r="AF78" s="125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5" cm="1">
        <f t="array" ref="C79">_xll.EQNXTDZ($A$1,$B79,C$1,$B$1)</f>
        <v>0</v>
      </c>
      <c r="D79" s="125" cm="1">
        <f t="array" ref="D79">_xll.EQNXTDZ($A$1,$B79,D$1,$B$1)</f>
        <v>0</v>
      </c>
      <c r="E79" s="125" cm="1">
        <f t="array" ref="E79">_xll.EQNXTDZ($A$1,$B79,E$1,$B$1)</f>
        <v>0</v>
      </c>
      <c r="F79" s="125" cm="1">
        <f t="array" ref="F79">_xll.EQNXTDZ($A$1,$B79,F$1,$B$1)</f>
        <v>0</v>
      </c>
      <c r="G79" s="125" cm="1">
        <f t="array" ref="G79">_xll.EQNXTDZ($A$1,$B79,G$1,$B$1)</f>
        <v>0</v>
      </c>
      <c r="H79" s="125" cm="1">
        <f t="array" ref="H79">_xll.EQNXTDZ($A$1,$B79,H$1,$B$1)</f>
        <v>0</v>
      </c>
      <c r="I79" s="125" cm="1">
        <f t="array" ref="I79">_xll.EQNXTDZ($A$1,$B79,I$1,$B$1)</f>
        <v>0</v>
      </c>
      <c r="J79" s="125" cm="1">
        <f t="array" ref="J79">_xll.EQNXTDZ($A$1,$B79,J$1,$B$1)</f>
        <v>0</v>
      </c>
      <c r="K79" s="125" cm="1">
        <f t="array" ref="K79">_xll.EQNXTDZ($A$1,$B79,K$1,$B$1)</f>
        <v>5.3167533000000002</v>
      </c>
      <c r="L79" s="125" cm="1">
        <f t="array" ref="L79">_xll.EQNXTDZ($A$1,$B79,L$1,$B$1)</f>
        <v>25.400657599999999</v>
      </c>
      <c r="M79" s="125" cm="1">
        <f t="array" ref="M79">_xll.EQNXTDZ($A$1,$B79,M$1,$B$1)</f>
        <v>28.892832299999998</v>
      </c>
      <c r="N79" s="125" cm="1">
        <f t="array" ref="N79">_xll.EQNXTDZ($A$1,$B79,N$1,$B$1)</f>
        <v>25.990191299999999</v>
      </c>
      <c r="O79" s="125" cm="1">
        <f t="array" ref="O79">_xll.EQNXTDZ($A$1,$B79,O$1,$B$1)</f>
        <v>72.870343899999995</v>
      </c>
      <c r="P79" s="125" cm="1">
        <f t="array" ref="P79">_xll.EQNXTDZ($A$1,$B79,P$1,$B$1)</f>
        <v>158.04600350000001</v>
      </c>
      <c r="Q79" s="125" cm="1">
        <f t="array" ref="Q79">_xll.EQNXTDZ($A$1,$B79,Q$1,$B$1)</f>
        <v>307.5018129</v>
      </c>
      <c r="R79" s="125" cm="1">
        <f t="array" ref="R79">_xll.EQNXTDZ($A$1,$B79,R$1,$B$1)</f>
        <v>391.27793389999999</v>
      </c>
      <c r="S79" s="125" cm="1">
        <f t="array" ref="S79">_xll.EQNXTDZ($A$1,$B79,S$1,$B$1)</f>
        <v>603.8050508</v>
      </c>
      <c r="T79" s="125" cm="1">
        <f t="array" ref="T79">_xll.EQNXTDZ($A$1,$B79,T$1,$B$1)</f>
        <v>1303.97</v>
      </c>
      <c r="U79" s="125" cm="1">
        <f t="array" ref="U79">_xll.EQNXTDZ($A$1,$B79,U$1,$B$1)</f>
        <v>2212.7199999999998</v>
      </c>
      <c r="V79" s="125" cm="1">
        <f t="array" ref="V79">_xll.EQNXTDZ($A$1,$B79,V$1,$B$1)</f>
        <v>2516.48</v>
      </c>
      <c r="W79" s="125" cm="1">
        <f t="array" ref="W79">_xll.EQNXTDZ($A$1,$B79,W$1,$B$1)</f>
        <v>3470.71</v>
      </c>
      <c r="X79" s="125" cm="1">
        <f t="array" ref="X79">_xll.EQNXTDZ($A$1,$B79,X$1,$B$1)</f>
        <v>3999.32</v>
      </c>
      <c r="Y79" s="125" cm="1">
        <f t="array" ref="Y79">_xll.EQNXTDZ($A$1,$B79,Y$1,$B$1)</f>
        <v>4928.62</v>
      </c>
      <c r="Z79" s="125" cm="1">
        <f t="array" ref="Z79">_xll.EQNXTDZ($A$1,$B79,Z$1,$B$1)</f>
        <v>6379.4</v>
      </c>
      <c r="AA79" s="125" cm="1">
        <f t="array" ref="AA79">_xll.EQNXTDZ($A$1,$B79,AA$1,$B$1)</f>
        <v>6746.96</v>
      </c>
      <c r="AB79" s="125" cm="1">
        <f t="array" ref="AB79">_xll.EQNXTDZ($A$1,$B79,AB$1,$B$1)</f>
        <v>7615.86</v>
      </c>
      <c r="AC79" s="125" cm="1">
        <f t="array" ref="AC79">_xll.EQNXTDZ($A$1,$B79,AC$1,$B$1)</f>
        <v>0</v>
      </c>
      <c r="AD79" s="125" cm="1">
        <f t="array" ref="AD79">_xll.EQNXTDZ($A$1,$B79,AD$1,$B$1)</f>
        <v>0</v>
      </c>
      <c r="AE79" s="125" cm="1">
        <f t="array" ref="AE79">_xll.EQNXTDZ($A$1,$B79,AE$1,$B$1)</f>
        <v>0</v>
      </c>
      <c r="AF79" s="125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5" cm="1">
        <f t="array" ref="C80">_xll.EQNXTDZ($A$1,$B80,C$1,$B$1)</f>
        <v>0</v>
      </c>
      <c r="D80" s="125" cm="1">
        <f t="array" ref="D80">_xll.EQNXTDZ($A$1,$B80,D$1,$B$1)</f>
        <v>0</v>
      </c>
      <c r="E80" s="125" cm="1">
        <f t="array" ref="E80">_xll.EQNXTDZ($A$1,$B80,E$1,$B$1)</f>
        <v>0</v>
      </c>
      <c r="F80" s="125" cm="1">
        <f t="array" ref="F80">_xll.EQNXTDZ($A$1,$B80,F$1,$B$1)</f>
        <v>0</v>
      </c>
      <c r="G80" s="125" cm="1">
        <f t="array" ref="G80">_xll.EQNXTDZ($A$1,$B80,G$1,$B$1)</f>
        <v>0</v>
      </c>
      <c r="H80" s="125" cm="1">
        <f t="array" ref="H80">_xll.EQNXTDZ($A$1,$B80,H$1,$B$1)</f>
        <v>0</v>
      </c>
      <c r="I80" s="125" cm="1">
        <f t="array" ref="I80">_xll.EQNXTDZ($A$1,$B80,I$1,$B$1)</f>
        <v>0</v>
      </c>
      <c r="J80" s="125" cm="1">
        <f t="array" ref="J80">_xll.EQNXTDZ($A$1,$B80,J$1,$B$1)</f>
        <v>0</v>
      </c>
      <c r="K80" s="125" cm="1">
        <f t="array" ref="K80">_xll.EQNXTDZ($A$1,$B80,K$1,$B$1)</f>
        <v>21.797332300000001</v>
      </c>
      <c r="L80" s="125" cm="1">
        <f t="array" ref="L80">_xll.EQNXTDZ($A$1,$B80,L$1,$B$1)</f>
        <v>50.242978600000001</v>
      </c>
      <c r="M80" s="125" cm="1">
        <f t="array" ref="M80">_xll.EQNXTDZ($A$1,$B80,M$1,$B$1)</f>
        <v>53.7351533</v>
      </c>
      <c r="N80" s="125" cm="1">
        <f t="array" ref="N80">_xll.EQNXTDZ($A$1,$B80,N$1,$B$1)</f>
        <v>50.832512299999998</v>
      </c>
      <c r="O80" s="125" cm="1">
        <f t="array" ref="O80">_xll.EQNXTDZ($A$1,$B80,O$1,$B$1)</f>
        <v>112.49044290000001</v>
      </c>
      <c r="P80" s="125" cm="1">
        <f t="array" ref="P80">_xll.EQNXTDZ($A$1,$B80,P$1,$B$1)</f>
        <v>211.05813449999999</v>
      </c>
      <c r="Q80" s="125" cm="1">
        <f t="array" ref="Q80">_xll.EQNXTDZ($A$1,$B80,Q$1,$B$1)</f>
        <v>380.90391649999998</v>
      </c>
      <c r="R80" s="125" cm="1">
        <f t="array" ref="R80">_xll.EQNXTDZ($A$1,$B80,R$1,$B$1)</f>
        <v>464.9197039</v>
      </c>
      <c r="S80" s="125" cm="1">
        <f t="array" ref="S80">_xll.EQNXTDZ($A$1,$B80,S$1,$B$1)</f>
        <v>690.79674639999996</v>
      </c>
      <c r="T80" s="125" cm="1">
        <f t="array" ref="T80">_xll.EQNXTDZ($A$1,$B80,T$1,$B$1)</f>
        <v>1437.48</v>
      </c>
      <c r="U80" s="125" cm="1">
        <f t="array" ref="U80">_xll.EQNXTDZ($A$1,$B80,U$1,$B$1)</f>
        <v>2365.06</v>
      </c>
      <c r="V80" s="125" cm="1">
        <f t="array" ref="V80">_xll.EQNXTDZ($A$1,$B80,V$1,$B$1)</f>
        <v>2669.08</v>
      </c>
      <c r="W80" s="125" cm="1">
        <f t="array" ref="W80">_xll.EQNXTDZ($A$1,$B80,W$1,$B$1)</f>
        <v>3634.81</v>
      </c>
      <c r="X80" s="125" cm="1">
        <f t="array" ref="X80">_xll.EQNXTDZ($A$1,$B80,X$1,$B$1)</f>
        <v>4166.91</v>
      </c>
      <c r="Y80" s="125" cm="1">
        <f t="array" ref="Y80">_xll.EQNXTDZ($A$1,$B80,Y$1,$B$1)</f>
        <v>5106.9399999999996</v>
      </c>
      <c r="Z80" s="125" cm="1">
        <f t="array" ref="Z80">_xll.EQNXTDZ($A$1,$B80,Z$1,$B$1)</f>
        <v>6569.95</v>
      </c>
      <c r="AA80" s="125" cm="1">
        <f t="array" ref="AA80">_xll.EQNXTDZ($A$1,$B80,AA$1,$B$1)</f>
        <v>6955.94</v>
      </c>
      <c r="AB80" s="125" cm="1">
        <f t="array" ref="AB80">_xll.EQNXTDZ($A$1,$B80,AB$1,$B$1)</f>
        <v>7842.22</v>
      </c>
      <c r="AC80" s="125" cm="1">
        <f t="array" ref="AC80">_xll.EQNXTDZ($A$1,$B80,AC$1,$B$1)</f>
        <v>0</v>
      </c>
      <c r="AD80" s="125" cm="1">
        <f t="array" ref="AD80">_xll.EQNXTDZ($A$1,$B80,AD$1,$B$1)</f>
        <v>0</v>
      </c>
      <c r="AE80" s="125" cm="1">
        <f t="array" ref="AE80">_xll.EQNXTDZ($A$1,$B80,AE$1,$B$1)</f>
        <v>0</v>
      </c>
      <c r="AF80" s="125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5" cm="1">
        <f t="array" ref="C81">_xll.EQNXTDZ($A$1,$B81,C$1,$B$1)</f>
        <v>0</v>
      </c>
      <c r="D81" s="125" cm="1">
        <f t="array" ref="D81">_xll.EQNXTDZ($A$1,$B81,D$1,$B$1)</f>
        <v>0</v>
      </c>
      <c r="E81" s="125" cm="1">
        <f t="array" ref="E81">_xll.EQNXTDZ($A$1,$B81,E$1,$B$1)</f>
        <v>0</v>
      </c>
      <c r="F81" s="125" cm="1">
        <f t="array" ref="F81">_xll.EQNXTDZ($A$1,$B81,F$1,$B$1)</f>
        <v>0</v>
      </c>
      <c r="G81" s="125" cm="1">
        <f t="array" ref="G81">_xll.EQNXTDZ($A$1,$B81,G$1,$B$1)</f>
        <v>0</v>
      </c>
      <c r="H81" s="125" cm="1">
        <f t="array" ref="H81">_xll.EQNXTDZ($A$1,$B81,H$1,$B$1)</f>
        <v>0</v>
      </c>
      <c r="I81" s="125" cm="1">
        <f t="array" ref="I81">_xll.EQNXTDZ($A$1,$B81,I$1,$B$1)</f>
        <v>0</v>
      </c>
      <c r="J81" s="125" cm="1">
        <f t="array" ref="J81">_xll.EQNXTDZ($A$1,$B81,J$1,$B$1)</f>
        <v>0</v>
      </c>
      <c r="K81" s="125" cm="1">
        <f t="array" ref="K81">_xll.EQNXTDZ($A$1,$B81,K$1,$B$1)</f>
        <v>0</v>
      </c>
      <c r="L81" s="125" cm="1">
        <f t="array" ref="L81">_xll.EQNXTDZ($A$1,$B81,L$1,$B$1)</f>
        <v>0</v>
      </c>
      <c r="M81" s="125" cm="1">
        <f t="array" ref="M81">_xll.EQNXTDZ($A$1,$B81,M$1,$B$1)</f>
        <v>0</v>
      </c>
      <c r="N81" s="125" cm="1">
        <f t="array" ref="N81">_xll.EQNXTDZ($A$1,$B81,N$1,$B$1)</f>
        <v>0</v>
      </c>
      <c r="O81" s="125" cm="1">
        <f t="array" ref="O81">_xll.EQNXTDZ($A$1,$B81,O$1,$B$1)</f>
        <v>0</v>
      </c>
      <c r="P81" s="125" cm="1">
        <f t="array" ref="P81">_xll.EQNXTDZ($A$1,$B81,P$1,$B$1)</f>
        <v>0</v>
      </c>
      <c r="Q81" s="125" cm="1">
        <f t="array" ref="Q81">_xll.EQNXTDZ($A$1,$B81,Q$1,$B$1)</f>
        <v>0</v>
      </c>
      <c r="R81" s="125" cm="1">
        <f t="array" ref="R81">_xll.EQNXTDZ($A$1,$B81,R$1,$B$1)</f>
        <v>0</v>
      </c>
      <c r="S81" s="125" cm="1">
        <f t="array" ref="S81">_xll.EQNXTDZ($A$1,$B81,S$1,$B$1)</f>
        <v>0</v>
      </c>
      <c r="T81" s="125" cm="1">
        <f t="array" ref="T81">_xll.EQNXTDZ($A$1,$B81,T$1,$B$1)</f>
        <v>0</v>
      </c>
      <c r="U81" s="125" cm="1">
        <f t="array" ref="U81">_xll.EQNXTDZ($A$1,$B81,U$1,$B$1)</f>
        <v>0</v>
      </c>
      <c r="V81" s="125" cm="1">
        <f t="array" ref="V81">_xll.EQNXTDZ($A$1,$B81,V$1,$B$1)</f>
        <v>0</v>
      </c>
      <c r="W81" s="125" cm="1">
        <f t="array" ref="W81">_xll.EQNXTDZ($A$1,$B81,W$1,$B$1)</f>
        <v>0</v>
      </c>
      <c r="X81" s="125" cm="1">
        <f t="array" ref="X81">_xll.EQNXTDZ($A$1,$B81,X$1,$B$1)</f>
        <v>0</v>
      </c>
      <c r="Y81" s="125" cm="1">
        <f t="array" ref="Y81">_xll.EQNXTDZ($A$1,$B81,Y$1,$B$1)</f>
        <v>0</v>
      </c>
      <c r="Z81" s="125" cm="1">
        <f t="array" ref="Z81">_xll.EQNXTDZ($A$1,$B81,Z$1,$B$1)</f>
        <v>0</v>
      </c>
      <c r="AA81" s="125" cm="1">
        <f t="array" ref="AA81">_xll.EQNXTDZ($A$1,$B81,AA$1,$B$1)</f>
        <v>0</v>
      </c>
      <c r="AB81" s="125" cm="1">
        <f t="array" ref="AB81">_xll.EQNXTDZ($A$1,$B81,AB$1,$B$1)</f>
        <v>0</v>
      </c>
      <c r="AC81" s="125" cm="1">
        <f t="array" ref="AC81">_xll.EQNXTDZ($A$1,$B81,AC$1,$B$1)</f>
        <v>0</v>
      </c>
      <c r="AD81" s="125" cm="1">
        <f t="array" ref="AD81">_xll.EQNXTDZ($A$1,$B81,AD$1,$B$1)</f>
        <v>0</v>
      </c>
      <c r="AE81" s="125" cm="1">
        <f t="array" ref="AE81">_xll.EQNXTDZ($A$1,$B81,AE$1,$B$1)</f>
        <v>0</v>
      </c>
      <c r="AF81" s="125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5" cm="1">
        <f t="array" ref="C82">_xll.EQNXTDZ($A$1,$B82,C$1,$B$1)</f>
        <v>0</v>
      </c>
      <c r="D82" s="125" cm="1">
        <f t="array" ref="D82">_xll.EQNXTDZ($A$1,$B82,D$1,$B$1)</f>
        <v>0</v>
      </c>
      <c r="E82" s="125" cm="1">
        <f t="array" ref="E82">_xll.EQNXTDZ($A$1,$B82,E$1,$B$1)</f>
        <v>0</v>
      </c>
      <c r="F82" s="125" cm="1">
        <f t="array" ref="F82">_xll.EQNXTDZ($A$1,$B82,F$1,$B$1)</f>
        <v>0</v>
      </c>
      <c r="G82" s="125" cm="1">
        <f t="array" ref="G82">_xll.EQNXTDZ($A$1,$B82,G$1,$B$1)</f>
        <v>0</v>
      </c>
      <c r="H82" s="125" cm="1">
        <f t="array" ref="H82">_xll.EQNXTDZ($A$1,$B82,H$1,$B$1)</f>
        <v>0</v>
      </c>
      <c r="I82" s="125" cm="1">
        <f t="array" ref="I82">_xll.EQNXTDZ($A$1,$B82,I$1,$B$1)</f>
        <v>0</v>
      </c>
      <c r="J82" s="125" cm="1">
        <f t="array" ref="J82">_xll.EQNXTDZ($A$1,$B82,J$1,$B$1)</f>
        <v>0</v>
      </c>
      <c r="K82" s="125" cm="1">
        <f t="array" ref="K82">_xll.EQNXTDZ($A$1,$B82,K$1,$B$1)</f>
        <v>0</v>
      </c>
      <c r="L82" s="125" cm="1">
        <f t="array" ref="L82">_xll.EQNXTDZ($A$1,$B82,L$1,$B$1)</f>
        <v>0</v>
      </c>
      <c r="M82" s="125" cm="1">
        <f t="array" ref="M82">_xll.EQNXTDZ($A$1,$B82,M$1,$B$1)</f>
        <v>0</v>
      </c>
      <c r="N82" s="125" cm="1">
        <f t="array" ref="N82">_xll.EQNXTDZ($A$1,$B82,N$1,$B$1)</f>
        <v>0</v>
      </c>
      <c r="O82" s="125" cm="1">
        <f t="array" ref="O82">_xll.EQNXTDZ($A$1,$B82,O$1,$B$1)</f>
        <v>0</v>
      </c>
      <c r="P82" s="125" cm="1">
        <f t="array" ref="P82">_xll.EQNXTDZ($A$1,$B82,P$1,$B$1)</f>
        <v>0</v>
      </c>
      <c r="Q82" s="125" cm="1">
        <f t="array" ref="Q82">_xll.EQNXTDZ($A$1,$B82,Q$1,$B$1)</f>
        <v>0</v>
      </c>
      <c r="R82" s="125" cm="1">
        <f t="array" ref="R82">_xll.EQNXTDZ($A$1,$B82,R$1,$B$1)</f>
        <v>0</v>
      </c>
      <c r="S82" s="125" cm="1">
        <f t="array" ref="S82">_xll.EQNXTDZ($A$1,$B82,S$1,$B$1)</f>
        <v>0</v>
      </c>
      <c r="T82" s="125" cm="1">
        <f t="array" ref="T82">_xll.EQNXTDZ($A$1,$B82,T$1,$B$1)</f>
        <v>0</v>
      </c>
      <c r="U82" s="125" cm="1">
        <f t="array" ref="U82">_xll.EQNXTDZ($A$1,$B82,U$1,$B$1)</f>
        <v>0</v>
      </c>
      <c r="V82" s="125" cm="1">
        <f t="array" ref="V82">_xll.EQNXTDZ($A$1,$B82,V$1,$B$1)</f>
        <v>0</v>
      </c>
      <c r="W82" s="125" cm="1">
        <f t="array" ref="W82">_xll.EQNXTDZ($A$1,$B82,W$1,$B$1)</f>
        <v>0</v>
      </c>
      <c r="X82" s="125" cm="1">
        <f t="array" ref="X82">_xll.EQNXTDZ($A$1,$B82,X$1,$B$1)</f>
        <v>0</v>
      </c>
      <c r="Y82" s="125" cm="1">
        <f t="array" ref="Y82">_xll.EQNXTDZ($A$1,$B82,Y$1,$B$1)</f>
        <v>0</v>
      </c>
      <c r="Z82" s="125" cm="1">
        <f t="array" ref="Z82">_xll.EQNXTDZ($A$1,$B82,Z$1,$B$1)</f>
        <v>0</v>
      </c>
      <c r="AA82" s="125" cm="1">
        <f t="array" ref="AA82">_xll.EQNXTDZ($A$1,$B82,AA$1,$B$1)</f>
        <v>0</v>
      </c>
      <c r="AB82" s="125" cm="1">
        <f t="array" ref="AB82">_xll.EQNXTDZ($A$1,$B82,AB$1,$B$1)</f>
        <v>0</v>
      </c>
      <c r="AC82" s="125" cm="1">
        <f t="array" ref="AC82">_xll.EQNXTDZ($A$1,$B82,AC$1,$B$1)</f>
        <v>0</v>
      </c>
      <c r="AD82" s="125" cm="1">
        <f t="array" ref="AD82">_xll.EQNXTDZ($A$1,$B82,AD$1,$B$1)</f>
        <v>0</v>
      </c>
      <c r="AE82" s="125" cm="1">
        <f t="array" ref="AE82">_xll.EQNXTDZ($A$1,$B82,AE$1,$B$1)</f>
        <v>0</v>
      </c>
      <c r="AF82" s="125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5" cm="1">
        <f t="array" ref="C83">_xll.EQNXTDZ($A$1,$B83,C$1,$B$1)</f>
        <v>0</v>
      </c>
      <c r="D83" s="125" cm="1">
        <f t="array" ref="D83">_xll.EQNXTDZ($A$1,$B83,D$1,$B$1)</f>
        <v>0</v>
      </c>
      <c r="E83" s="125" cm="1">
        <f t="array" ref="E83">_xll.EQNXTDZ($A$1,$B83,E$1,$B$1)</f>
        <v>0</v>
      </c>
      <c r="F83" s="125" cm="1">
        <f t="array" ref="F83">_xll.EQNXTDZ($A$1,$B83,F$1,$B$1)</f>
        <v>0</v>
      </c>
      <c r="G83" s="125" cm="1">
        <f t="array" ref="G83">_xll.EQNXTDZ($A$1,$B83,G$1,$B$1)</f>
        <v>0</v>
      </c>
      <c r="H83" s="125" cm="1">
        <f t="array" ref="H83">_xll.EQNXTDZ($A$1,$B83,H$1,$B$1)</f>
        <v>0</v>
      </c>
      <c r="I83" s="125" cm="1">
        <f t="array" ref="I83">_xll.EQNXTDZ($A$1,$B83,I$1,$B$1)</f>
        <v>0</v>
      </c>
      <c r="J83" s="125" cm="1">
        <f t="array" ref="J83">_xll.EQNXTDZ($A$1,$B83,J$1,$B$1)</f>
        <v>0</v>
      </c>
      <c r="K83" s="125" cm="1">
        <f t="array" ref="K83">_xll.EQNXTDZ($A$1,$B83,K$1,$B$1)</f>
        <v>189.24266589999999</v>
      </c>
      <c r="L83" s="125" cm="1">
        <f t="array" ref="L83">_xll.EQNXTDZ($A$1,$B83,L$1,$B$1)</f>
        <v>246.1376832</v>
      </c>
      <c r="M83" s="125" cm="1">
        <f t="array" ref="M83">_xll.EQNXTDZ($A$1,$B83,M$1,$B$1)</f>
        <v>78.937319200000005</v>
      </c>
      <c r="N83" s="125" cm="1">
        <f t="array" ref="N83">_xll.EQNXTDZ($A$1,$B83,N$1,$B$1)</f>
        <v>75.036076199999997</v>
      </c>
      <c r="O83" s="125" cm="1">
        <f t="array" ref="O83">_xll.EQNXTDZ($A$1,$B83,O$1,$B$1)</f>
        <v>136.50529940000001</v>
      </c>
      <c r="P83" s="125" cm="1">
        <f t="array" ref="P83">_xll.EQNXTDZ($A$1,$B83,P$1,$B$1)</f>
        <v>348.11773349999999</v>
      </c>
      <c r="Q83" s="125" cm="1">
        <f t="array" ref="Q83">_xll.EQNXTDZ($A$1,$B83,Q$1,$B$1)</f>
        <v>563.07977570000003</v>
      </c>
      <c r="R83" s="125" cm="1">
        <f t="array" ref="R83">_xll.EQNXTDZ($A$1,$B83,R$1,$B$1)</f>
        <v>1040.8963729</v>
      </c>
      <c r="S83" s="125" cm="1">
        <f t="array" ref="S83">_xll.EQNXTDZ($A$1,$B83,S$1,$B$1)</f>
        <v>1087.9818396999999</v>
      </c>
      <c r="T83" s="125" cm="1">
        <f t="array" ref="T83">_xll.EQNXTDZ($A$1,$B83,T$1,$B$1)</f>
        <v>3534.62</v>
      </c>
      <c r="U83" s="125" cm="1">
        <f t="array" ref="U83">_xll.EQNXTDZ($A$1,$B83,U$1,$B$1)</f>
        <v>4829.5</v>
      </c>
      <c r="V83" s="125" cm="1">
        <f t="array" ref="V83">_xll.EQNXTDZ($A$1,$B83,V$1,$B$1)</f>
        <v>7797.56</v>
      </c>
      <c r="W83" s="125" cm="1">
        <f t="array" ref="W83">_xll.EQNXTDZ($A$1,$B83,W$1,$B$1)</f>
        <v>8755.7199999999993</v>
      </c>
      <c r="X83" s="125" cm="1">
        <f t="array" ref="X83">_xll.EQNXTDZ($A$1,$B83,X$1,$B$1)</f>
        <v>12710.17</v>
      </c>
      <c r="Y83" s="125" cm="1">
        <f t="array" ref="Y83">_xll.EQNXTDZ($A$1,$B83,Y$1,$B$1)</f>
        <v>16009.67</v>
      </c>
      <c r="Z83" s="125" cm="1">
        <f t="array" ref="Z83">_xll.EQNXTDZ($A$1,$B83,Z$1,$B$1)</f>
        <v>11945.24</v>
      </c>
      <c r="AA83" s="125" cm="1">
        <f t="array" ref="AA83">_xll.EQNXTDZ($A$1,$B83,AA$1,$B$1)</f>
        <v>9972.6</v>
      </c>
      <c r="AB83" s="125" cm="1">
        <f t="array" ref="AB83">_xll.EQNXTDZ($A$1,$B83,AB$1,$B$1)</f>
        <v>10712.13</v>
      </c>
      <c r="AC83" s="125" cm="1">
        <f t="array" ref="AC83">_xll.EQNXTDZ($A$1,$B83,AC$1,$B$1)</f>
        <v>0</v>
      </c>
      <c r="AD83" s="125" cm="1">
        <f t="array" ref="AD83">_xll.EQNXTDZ($A$1,$B83,AD$1,$B$1)</f>
        <v>0</v>
      </c>
      <c r="AE83" s="125" cm="1">
        <f t="array" ref="AE83">_xll.EQNXTDZ($A$1,$B83,AE$1,$B$1)</f>
        <v>0</v>
      </c>
      <c r="AF83" s="125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5" cm="1">
        <f t="array" ref="C84">_xll.EQNXTDZ($A$1,$B84,C$1,$B$1)</f>
        <v>0</v>
      </c>
      <c r="D84" s="125" cm="1">
        <f t="array" ref="D84">_xll.EQNXTDZ($A$1,$B84,D$1,$B$1)</f>
        <v>0</v>
      </c>
      <c r="E84" s="125" cm="1">
        <f t="array" ref="E84">_xll.EQNXTDZ($A$1,$B84,E$1,$B$1)</f>
        <v>0</v>
      </c>
      <c r="F84" s="125" cm="1">
        <f t="array" ref="F84">_xll.EQNXTDZ($A$1,$B84,F$1,$B$1)</f>
        <v>0</v>
      </c>
      <c r="G84" s="125" cm="1">
        <f t="array" ref="G84">_xll.EQNXTDZ($A$1,$B84,G$1,$B$1)</f>
        <v>0</v>
      </c>
      <c r="H84" s="125" cm="1">
        <f t="array" ref="H84">_xll.EQNXTDZ($A$1,$B84,H$1,$B$1)</f>
        <v>0</v>
      </c>
      <c r="I84" s="125" cm="1">
        <f t="array" ref="I84">_xll.EQNXTDZ($A$1,$B84,I$1,$B$1)</f>
        <v>0</v>
      </c>
      <c r="J84" s="125" cm="1">
        <f t="array" ref="J84">_xll.EQNXTDZ($A$1,$B84,J$1,$B$1)</f>
        <v>0</v>
      </c>
      <c r="K84" s="125" cm="1">
        <f t="array" ref="K84">_xll.EQNXTDZ($A$1,$B84,K$1,$B$1)</f>
        <v>0</v>
      </c>
      <c r="L84" s="125" cm="1">
        <f t="array" ref="L84">_xll.EQNXTDZ($A$1,$B84,L$1,$B$1)</f>
        <v>0</v>
      </c>
      <c r="M84" s="125" cm="1">
        <f t="array" ref="M84">_xll.EQNXTDZ($A$1,$B84,M$1,$B$1)</f>
        <v>0</v>
      </c>
      <c r="N84" s="125" cm="1">
        <f t="array" ref="N84">_xll.EQNXTDZ($A$1,$B84,N$1,$B$1)</f>
        <v>0</v>
      </c>
      <c r="O84" s="125" cm="1">
        <f t="array" ref="O84">_xll.EQNXTDZ($A$1,$B84,O$1,$B$1)</f>
        <v>10.5</v>
      </c>
      <c r="P84" s="125" cm="1">
        <f t="array" ref="P84">_xll.EQNXTDZ($A$1,$B84,P$1,$B$1)</f>
        <v>21.9</v>
      </c>
      <c r="Q84" s="125" cm="1">
        <f t="array" ref="Q84">_xll.EQNXTDZ($A$1,$B84,Q$1,$B$1)</f>
        <v>21.9</v>
      </c>
      <c r="R84" s="125" cm="1">
        <f t="array" ref="R84">_xll.EQNXTDZ($A$1,$B84,R$1,$B$1)</f>
        <v>81.25</v>
      </c>
      <c r="S84" s="125" cm="1">
        <f t="array" ref="S84">_xll.EQNXTDZ($A$1,$B84,S$1,$B$1)</f>
        <v>87.9</v>
      </c>
      <c r="T84" s="125" cm="1">
        <f t="array" ref="T84">_xll.EQNXTDZ($A$1,$B84,T$1,$B$1)</f>
        <v>88.84</v>
      </c>
      <c r="U84" s="125" cm="1">
        <f t="array" ref="U84">_xll.EQNXTDZ($A$1,$B84,U$1,$B$1)</f>
        <v>0</v>
      </c>
      <c r="V84" s="125" cm="1">
        <f t="array" ref="V84">_xll.EQNXTDZ($A$1,$B84,V$1,$B$1)</f>
        <v>0</v>
      </c>
      <c r="W84" s="125" cm="1">
        <f t="array" ref="W84">_xll.EQNXTDZ($A$1,$B84,W$1,$B$1)</f>
        <v>0</v>
      </c>
      <c r="X84" s="125" cm="1">
        <f t="array" ref="X84">_xll.EQNXTDZ($A$1,$B84,X$1,$B$1)</f>
        <v>184.95</v>
      </c>
      <c r="Y84" s="125" cm="1">
        <f t="array" ref="Y84">_xll.EQNXTDZ($A$1,$B84,Y$1,$B$1)</f>
        <v>277.33</v>
      </c>
      <c r="Z84" s="125" cm="1">
        <f t="array" ref="Z84">_xll.EQNXTDZ($A$1,$B84,Z$1,$B$1)</f>
        <v>25.24</v>
      </c>
      <c r="AA84" s="125" cm="1">
        <f t="array" ref="AA84">_xll.EQNXTDZ($A$1,$B84,AA$1,$B$1)</f>
        <v>12.64</v>
      </c>
      <c r="AB84" s="125" cm="1">
        <f t="array" ref="AB84">_xll.EQNXTDZ($A$1,$B84,AB$1,$B$1)</f>
        <v>0</v>
      </c>
      <c r="AC84" s="125" cm="1">
        <f t="array" ref="AC84">_xll.EQNXTDZ($A$1,$B84,AC$1,$B$1)</f>
        <v>0</v>
      </c>
      <c r="AD84" s="125" cm="1">
        <f t="array" ref="AD84">_xll.EQNXTDZ($A$1,$B84,AD$1,$B$1)</f>
        <v>0</v>
      </c>
      <c r="AE84" s="125" cm="1">
        <f t="array" ref="AE84">_xll.EQNXTDZ($A$1,$B84,AE$1,$B$1)</f>
        <v>0</v>
      </c>
      <c r="AF84" s="125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5" cm="1">
        <f t="array" ref="C85">_xll.EQNXTDZ($A$1,$B85,C$1,$B$1)</f>
        <v>0</v>
      </c>
      <c r="D85" s="125" cm="1">
        <f t="array" ref="D85">_xll.EQNXTDZ($A$1,$B85,D$1,$B$1)</f>
        <v>0</v>
      </c>
      <c r="E85" s="125" cm="1">
        <f t="array" ref="E85">_xll.EQNXTDZ($A$1,$B85,E$1,$B$1)</f>
        <v>0</v>
      </c>
      <c r="F85" s="125" cm="1">
        <f t="array" ref="F85">_xll.EQNXTDZ($A$1,$B85,F$1,$B$1)</f>
        <v>0</v>
      </c>
      <c r="G85" s="125" cm="1">
        <f t="array" ref="G85">_xll.EQNXTDZ($A$1,$B85,G$1,$B$1)</f>
        <v>0</v>
      </c>
      <c r="H85" s="125" cm="1">
        <f t="array" ref="H85">_xll.EQNXTDZ($A$1,$B85,H$1,$B$1)</f>
        <v>0</v>
      </c>
      <c r="I85" s="125" cm="1">
        <f t="array" ref="I85">_xll.EQNXTDZ($A$1,$B85,I$1,$B$1)</f>
        <v>0</v>
      </c>
      <c r="J85" s="125" cm="1">
        <f t="array" ref="J85">_xll.EQNXTDZ($A$1,$B85,J$1,$B$1)</f>
        <v>0</v>
      </c>
      <c r="K85" s="125" cm="1">
        <f t="array" ref="K85">_xll.EQNXTDZ($A$1,$B85,K$1,$B$1)</f>
        <v>0</v>
      </c>
      <c r="L85" s="125" cm="1">
        <f t="array" ref="L85">_xll.EQNXTDZ($A$1,$B85,L$1,$B$1)</f>
        <v>0</v>
      </c>
      <c r="M85" s="125" cm="1">
        <f t="array" ref="M85">_xll.EQNXTDZ($A$1,$B85,M$1,$B$1)</f>
        <v>0</v>
      </c>
      <c r="N85" s="125" cm="1">
        <f t="array" ref="N85">_xll.EQNXTDZ($A$1,$B85,N$1,$B$1)</f>
        <v>0</v>
      </c>
      <c r="O85" s="125" cm="1">
        <f t="array" ref="O85">_xll.EQNXTDZ($A$1,$B85,O$1,$B$1)</f>
        <v>0</v>
      </c>
      <c r="P85" s="125" cm="1">
        <f t="array" ref="P85">_xll.EQNXTDZ($A$1,$B85,P$1,$B$1)</f>
        <v>0</v>
      </c>
      <c r="Q85" s="125" cm="1">
        <f t="array" ref="Q85">_xll.EQNXTDZ($A$1,$B85,Q$1,$B$1)</f>
        <v>0</v>
      </c>
      <c r="R85" s="125" cm="1">
        <f t="array" ref="R85">_xll.EQNXTDZ($A$1,$B85,R$1,$B$1)</f>
        <v>0</v>
      </c>
      <c r="S85" s="125" cm="1">
        <f t="array" ref="S85">_xll.EQNXTDZ($A$1,$B85,S$1,$B$1)</f>
        <v>0</v>
      </c>
      <c r="T85" s="125" cm="1">
        <f t="array" ref="T85">_xll.EQNXTDZ($A$1,$B85,T$1,$B$1)</f>
        <v>0</v>
      </c>
      <c r="U85" s="125" cm="1">
        <f t="array" ref="U85">_xll.EQNXTDZ($A$1,$B85,U$1,$B$1)</f>
        <v>0</v>
      </c>
      <c r="V85" s="125" cm="1">
        <f t="array" ref="V85">_xll.EQNXTDZ($A$1,$B85,V$1,$B$1)</f>
        <v>0</v>
      </c>
      <c r="W85" s="125" cm="1">
        <f t="array" ref="W85">_xll.EQNXTDZ($A$1,$B85,W$1,$B$1)</f>
        <v>0</v>
      </c>
      <c r="X85" s="125" cm="1">
        <f t="array" ref="X85">_xll.EQNXTDZ($A$1,$B85,X$1,$B$1)</f>
        <v>0</v>
      </c>
      <c r="Y85" s="125" cm="1">
        <f t="array" ref="Y85">_xll.EQNXTDZ($A$1,$B85,Y$1,$B$1)</f>
        <v>0</v>
      </c>
      <c r="Z85" s="125" cm="1">
        <f t="array" ref="Z85">_xll.EQNXTDZ($A$1,$B85,Z$1,$B$1)</f>
        <v>0</v>
      </c>
      <c r="AA85" s="125" cm="1">
        <f t="array" ref="AA85">_xll.EQNXTDZ($A$1,$B85,AA$1,$B$1)</f>
        <v>0</v>
      </c>
      <c r="AB85" s="125" cm="1">
        <f t="array" ref="AB85">_xll.EQNXTDZ($A$1,$B85,AB$1,$B$1)</f>
        <v>0</v>
      </c>
      <c r="AC85" s="125" cm="1">
        <f t="array" ref="AC85">_xll.EQNXTDZ($A$1,$B85,AC$1,$B$1)</f>
        <v>0</v>
      </c>
      <c r="AD85" s="125" cm="1">
        <f t="array" ref="AD85">_xll.EQNXTDZ($A$1,$B85,AD$1,$B$1)</f>
        <v>0</v>
      </c>
      <c r="AE85" s="125" cm="1">
        <f t="array" ref="AE85">_xll.EQNXTDZ($A$1,$B85,AE$1,$B$1)</f>
        <v>0</v>
      </c>
      <c r="AF85" s="125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5" cm="1">
        <f t="array" ref="C86">_xll.EQNXTDZ($A$1,$B86,C$1,$B$1)</f>
        <v>0</v>
      </c>
      <c r="D86" s="125" cm="1">
        <f t="array" ref="D86">_xll.EQNXTDZ($A$1,$B86,D$1,$B$1)</f>
        <v>0</v>
      </c>
      <c r="E86" s="125" cm="1">
        <f t="array" ref="E86">_xll.EQNXTDZ($A$1,$B86,E$1,$B$1)</f>
        <v>0</v>
      </c>
      <c r="F86" s="125" cm="1">
        <f t="array" ref="F86">_xll.EQNXTDZ($A$1,$B86,F$1,$B$1)</f>
        <v>0</v>
      </c>
      <c r="G86" s="125" cm="1">
        <f t="array" ref="G86">_xll.EQNXTDZ($A$1,$B86,G$1,$B$1)</f>
        <v>0</v>
      </c>
      <c r="H86" s="125" cm="1">
        <f t="array" ref="H86">_xll.EQNXTDZ($A$1,$B86,H$1,$B$1)</f>
        <v>0</v>
      </c>
      <c r="I86" s="125" cm="1">
        <f t="array" ref="I86">_xll.EQNXTDZ($A$1,$B86,I$1,$B$1)</f>
        <v>0</v>
      </c>
      <c r="J86" s="125" cm="1">
        <f t="array" ref="J86">_xll.EQNXTDZ($A$1,$B86,J$1,$B$1)</f>
        <v>0</v>
      </c>
      <c r="K86" s="125" cm="1">
        <f t="array" ref="K86">_xll.EQNXTDZ($A$1,$B86,K$1,$B$1)</f>
        <v>0</v>
      </c>
      <c r="L86" s="125" cm="1">
        <f t="array" ref="L86">_xll.EQNXTDZ($A$1,$B86,L$1,$B$1)</f>
        <v>0</v>
      </c>
      <c r="M86" s="125" cm="1">
        <f t="array" ref="M86">_xll.EQNXTDZ($A$1,$B86,M$1,$B$1)</f>
        <v>0</v>
      </c>
      <c r="N86" s="125" cm="1">
        <f t="array" ref="N86">_xll.EQNXTDZ($A$1,$B86,N$1,$B$1)</f>
        <v>0</v>
      </c>
      <c r="O86" s="125" cm="1">
        <f t="array" ref="O86">_xll.EQNXTDZ($A$1,$B86,O$1,$B$1)</f>
        <v>0</v>
      </c>
      <c r="P86" s="125" cm="1">
        <f t="array" ref="P86">_xll.EQNXTDZ($A$1,$B86,P$1,$B$1)</f>
        <v>0</v>
      </c>
      <c r="Q86" s="125" cm="1">
        <f t="array" ref="Q86">_xll.EQNXTDZ($A$1,$B86,Q$1,$B$1)</f>
        <v>0</v>
      </c>
      <c r="R86" s="125" cm="1">
        <f t="array" ref="R86">_xll.EQNXTDZ($A$1,$B86,R$1,$B$1)</f>
        <v>0</v>
      </c>
      <c r="S86" s="125" cm="1">
        <f t="array" ref="S86">_xll.EQNXTDZ($A$1,$B86,S$1,$B$1)</f>
        <v>0</v>
      </c>
      <c r="T86" s="125" cm="1">
        <f t="array" ref="T86">_xll.EQNXTDZ($A$1,$B86,T$1,$B$1)</f>
        <v>0</v>
      </c>
      <c r="U86" s="125" cm="1">
        <f t="array" ref="U86">_xll.EQNXTDZ($A$1,$B86,U$1,$B$1)</f>
        <v>0</v>
      </c>
      <c r="V86" s="125" cm="1">
        <f t="array" ref="V86">_xll.EQNXTDZ($A$1,$B86,V$1,$B$1)</f>
        <v>0</v>
      </c>
      <c r="W86" s="125" cm="1">
        <f t="array" ref="W86">_xll.EQNXTDZ($A$1,$B86,W$1,$B$1)</f>
        <v>0</v>
      </c>
      <c r="X86" s="125" cm="1">
        <f t="array" ref="X86">_xll.EQNXTDZ($A$1,$B86,X$1,$B$1)</f>
        <v>0</v>
      </c>
      <c r="Y86" s="125" cm="1">
        <f t="array" ref="Y86">_xll.EQNXTDZ($A$1,$B86,Y$1,$B$1)</f>
        <v>0</v>
      </c>
      <c r="Z86" s="125" cm="1">
        <f t="array" ref="Z86">_xll.EQNXTDZ($A$1,$B86,Z$1,$B$1)</f>
        <v>0</v>
      </c>
      <c r="AA86" s="125" cm="1">
        <f t="array" ref="AA86">_xll.EQNXTDZ($A$1,$B86,AA$1,$B$1)</f>
        <v>0</v>
      </c>
      <c r="AB86" s="125" cm="1">
        <f t="array" ref="AB86">_xll.EQNXTDZ($A$1,$B86,AB$1,$B$1)</f>
        <v>0</v>
      </c>
      <c r="AC86" s="125" cm="1">
        <f t="array" ref="AC86">_xll.EQNXTDZ($A$1,$B86,AC$1,$B$1)</f>
        <v>0</v>
      </c>
      <c r="AD86" s="125" cm="1">
        <f t="array" ref="AD86">_xll.EQNXTDZ($A$1,$B86,AD$1,$B$1)</f>
        <v>0</v>
      </c>
      <c r="AE86" s="125" cm="1">
        <f t="array" ref="AE86">_xll.EQNXTDZ($A$1,$B86,AE$1,$B$1)</f>
        <v>0</v>
      </c>
      <c r="AF86" s="125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5" cm="1">
        <f t="array" ref="C87">_xll.EQNXTDZ($A$1,$B87,C$1,$B$1)</f>
        <v>0</v>
      </c>
      <c r="D87" s="125" cm="1">
        <f t="array" ref="D87">_xll.EQNXTDZ($A$1,$B87,D$1,$B$1)</f>
        <v>0</v>
      </c>
      <c r="E87" s="125" cm="1">
        <f t="array" ref="E87">_xll.EQNXTDZ($A$1,$B87,E$1,$B$1)</f>
        <v>0</v>
      </c>
      <c r="F87" s="125" cm="1">
        <f t="array" ref="F87">_xll.EQNXTDZ($A$1,$B87,F$1,$B$1)</f>
        <v>0</v>
      </c>
      <c r="G87" s="125" cm="1">
        <f t="array" ref="G87">_xll.EQNXTDZ($A$1,$B87,G$1,$B$1)</f>
        <v>0</v>
      </c>
      <c r="H87" s="125" cm="1">
        <f t="array" ref="H87">_xll.EQNXTDZ($A$1,$B87,H$1,$B$1)</f>
        <v>0</v>
      </c>
      <c r="I87" s="125" cm="1">
        <f t="array" ref="I87">_xll.EQNXTDZ($A$1,$B87,I$1,$B$1)</f>
        <v>0</v>
      </c>
      <c r="J87" s="125" cm="1">
        <f t="array" ref="J87">_xll.EQNXTDZ($A$1,$B87,J$1,$B$1)</f>
        <v>0</v>
      </c>
      <c r="K87" s="125" cm="1">
        <f t="array" ref="K87">_xll.EQNXTDZ($A$1,$B87,K$1,$B$1)</f>
        <v>0</v>
      </c>
      <c r="L87" s="125" cm="1">
        <f t="array" ref="L87">_xll.EQNXTDZ($A$1,$B87,L$1,$B$1)</f>
        <v>0</v>
      </c>
      <c r="M87" s="125" cm="1">
        <f t="array" ref="M87">_xll.EQNXTDZ($A$1,$B87,M$1,$B$1)</f>
        <v>0</v>
      </c>
      <c r="N87" s="125" cm="1">
        <f t="array" ref="N87">_xll.EQNXTDZ($A$1,$B87,N$1,$B$1)</f>
        <v>0</v>
      </c>
      <c r="O87" s="125" cm="1">
        <f t="array" ref="O87">_xll.EQNXTDZ($A$1,$B87,O$1,$B$1)</f>
        <v>0</v>
      </c>
      <c r="P87" s="125" cm="1">
        <f t="array" ref="P87">_xll.EQNXTDZ($A$1,$B87,P$1,$B$1)</f>
        <v>0</v>
      </c>
      <c r="Q87" s="125" cm="1">
        <f t="array" ref="Q87">_xll.EQNXTDZ($A$1,$B87,Q$1,$B$1)</f>
        <v>0</v>
      </c>
      <c r="R87" s="125" cm="1">
        <f t="array" ref="R87">_xll.EQNXTDZ($A$1,$B87,R$1,$B$1)</f>
        <v>0</v>
      </c>
      <c r="S87" s="125" cm="1">
        <f t="array" ref="S87">_xll.EQNXTDZ($A$1,$B87,S$1,$B$1)</f>
        <v>0</v>
      </c>
      <c r="T87" s="125" cm="1">
        <f t="array" ref="T87">_xll.EQNXTDZ($A$1,$B87,T$1,$B$1)</f>
        <v>0</v>
      </c>
      <c r="U87" s="125" cm="1">
        <f t="array" ref="U87">_xll.EQNXTDZ($A$1,$B87,U$1,$B$1)</f>
        <v>0</v>
      </c>
      <c r="V87" s="125" cm="1">
        <f t="array" ref="V87">_xll.EQNXTDZ($A$1,$B87,V$1,$B$1)</f>
        <v>0</v>
      </c>
      <c r="W87" s="125" cm="1">
        <f t="array" ref="W87">_xll.EQNXTDZ($A$1,$B87,W$1,$B$1)</f>
        <v>0</v>
      </c>
      <c r="X87" s="125" cm="1">
        <f t="array" ref="X87">_xll.EQNXTDZ($A$1,$B87,X$1,$B$1)</f>
        <v>0</v>
      </c>
      <c r="Y87" s="125" cm="1">
        <f t="array" ref="Y87">_xll.EQNXTDZ($A$1,$B87,Y$1,$B$1)</f>
        <v>0</v>
      </c>
      <c r="Z87" s="125" cm="1">
        <f t="array" ref="Z87">_xll.EQNXTDZ($A$1,$B87,Z$1,$B$1)</f>
        <v>0</v>
      </c>
      <c r="AA87" s="125" cm="1">
        <f t="array" ref="AA87">_xll.EQNXTDZ($A$1,$B87,AA$1,$B$1)</f>
        <v>0</v>
      </c>
      <c r="AB87" s="125" cm="1">
        <f t="array" ref="AB87">_xll.EQNXTDZ($A$1,$B87,AB$1,$B$1)</f>
        <v>0</v>
      </c>
      <c r="AC87" s="125" cm="1">
        <f t="array" ref="AC87">_xll.EQNXTDZ($A$1,$B87,AC$1,$B$1)</f>
        <v>0</v>
      </c>
      <c r="AD87" s="125" cm="1">
        <f t="array" ref="AD87">_xll.EQNXTDZ($A$1,$B87,AD$1,$B$1)</f>
        <v>0</v>
      </c>
      <c r="AE87" s="125" cm="1">
        <f t="array" ref="AE87">_xll.EQNXTDZ($A$1,$B87,AE$1,$B$1)</f>
        <v>0</v>
      </c>
      <c r="AF87" s="125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5" cm="1">
        <f t="array" ref="C88">_xll.EQNXTDZ($A$1,$B88,C$1,$B$1)</f>
        <v>0</v>
      </c>
      <c r="D88" s="125" cm="1">
        <f t="array" ref="D88">_xll.EQNXTDZ($A$1,$B88,D$1,$B$1)</f>
        <v>0</v>
      </c>
      <c r="E88" s="125" cm="1">
        <f t="array" ref="E88">_xll.EQNXTDZ($A$1,$B88,E$1,$B$1)</f>
        <v>0</v>
      </c>
      <c r="F88" s="125" cm="1">
        <f t="array" ref="F88">_xll.EQNXTDZ($A$1,$B88,F$1,$B$1)</f>
        <v>0</v>
      </c>
      <c r="G88" s="125" cm="1">
        <f t="array" ref="G88">_xll.EQNXTDZ($A$1,$B88,G$1,$B$1)</f>
        <v>0</v>
      </c>
      <c r="H88" s="125" cm="1">
        <f t="array" ref="H88">_xll.EQNXTDZ($A$1,$B88,H$1,$B$1)</f>
        <v>0</v>
      </c>
      <c r="I88" s="125" cm="1">
        <f t="array" ref="I88">_xll.EQNXTDZ($A$1,$B88,I$1,$B$1)</f>
        <v>0</v>
      </c>
      <c r="J88" s="125" cm="1">
        <f t="array" ref="J88">_xll.EQNXTDZ($A$1,$B88,J$1,$B$1)</f>
        <v>0</v>
      </c>
      <c r="K88" s="125" cm="1">
        <f t="array" ref="K88">_xll.EQNXTDZ($A$1,$B88,K$1,$B$1)</f>
        <v>2.5789699999999999E-2</v>
      </c>
      <c r="L88" s="125" cm="1">
        <f t="array" ref="L88">_xll.EQNXTDZ($A$1,$B88,L$1,$B$1)</f>
        <v>5.5516999999999997E-2</v>
      </c>
      <c r="M88" s="125" cm="1">
        <f t="array" ref="M88">_xll.EQNXTDZ($A$1,$B88,M$1,$B$1)</f>
        <v>-1.0179918999999999</v>
      </c>
      <c r="N88" s="125" cm="1">
        <f t="array" ref="N88">_xll.EQNXTDZ($A$1,$B88,N$1,$B$1)</f>
        <v>0</v>
      </c>
      <c r="O88" s="125" cm="1">
        <f t="array" ref="O88">_xll.EQNXTDZ($A$1,$B88,O$1,$B$1)</f>
        <v>-1.7218903000000001</v>
      </c>
      <c r="P88" s="125" cm="1">
        <f t="array" ref="P88">_xll.EQNXTDZ($A$1,$B88,P$1,$B$1)</f>
        <v>-1.2678605999999999</v>
      </c>
      <c r="Q88" s="125" cm="1">
        <f t="array" ref="Q88">_xll.EQNXTDZ($A$1,$B88,Q$1,$B$1)</f>
        <v>-3.5612469</v>
      </c>
      <c r="R88" s="125" cm="1">
        <f t="array" ref="R88">_xll.EQNXTDZ($A$1,$B88,R$1,$B$1)</f>
        <v>-8.3618816999999996</v>
      </c>
      <c r="S88" s="125" cm="1">
        <f t="array" ref="S88">_xll.EQNXTDZ($A$1,$B88,S$1,$B$1)</f>
        <v>-48.494459499999998</v>
      </c>
      <c r="T88" s="125" cm="1">
        <f t="array" ref="T88">_xll.EQNXTDZ($A$1,$B88,T$1,$B$1)</f>
        <v>-30</v>
      </c>
      <c r="U88" s="125" cm="1">
        <f t="array" ref="U88">_xll.EQNXTDZ($A$1,$B88,U$1,$B$1)</f>
        <v>-43.14</v>
      </c>
      <c r="V88" s="125" cm="1">
        <f t="array" ref="V88">_xll.EQNXTDZ($A$1,$B88,V$1,$B$1)</f>
        <v>-84.27</v>
      </c>
      <c r="W88" s="125" cm="1">
        <f t="array" ref="W88">_xll.EQNXTDZ($A$1,$B88,W$1,$B$1)</f>
        <v>-115.01</v>
      </c>
      <c r="X88" s="125" cm="1">
        <f t="array" ref="X88">_xll.EQNXTDZ($A$1,$B88,X$1,$B$1)</f>
        <v>-155.38999999999999</v>
      </c>
      <c r="Y88" s="125" cm="1">
        <f t="array" ref="Y88">_xll.EQNXTDZ($A$1,$B88,Y$1,$B$1)</f>
        <v>-80.930000000000007</v>
      </c>
      <c r="Z88" s="125" cm="1">
        <f t="array" ref="Z88">_xll.EQNXTDZ($A$1,$B88,Z$1,$B$1)</f>
        <v>-136.91999999999999</v>
      </c>
      <c r="AA88" s="125" cm="1">
        <f t="array" ref="AA88">_xll.EQNXTDZ($A$1,$B88,AA$1,$B$1)</f>
        <v>-355.25</v>
      </c>
      <c r="AB88" s="125" cm="1">
        <f t="array" ref="AB88">_xll.EQNXTDZ($A$1,$B88,AB$1,$B$1)</f>
        <v>-327.86</v>
      </c>
      <c r="AC88" s="125" cm="1">
        <f t="array" ref="AC88">_xll.EQNXTDZ($A$1,$B88,AC$1,$B$1)</f>
        <v>0</v>
      </c>
      <c r="AD88" s="125" cm="1">
        <f t="array" ref="AD88">_xll.EQNXTDZ($A$1,$B88,AD$1,$B$1)</f>
        <v>0</v>
      </c>
      <c r="AE88" s="125" cm="1">
        <f t="array" ref="AE88">_xll.EQNXTDZ($A$1,$B88,AE$1,$B$1)</f>
        <v>0</v>
      </c>
      <c r="AF88" s="125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5" cm="1">
        <f t="array" ref="C89">_xll.EQNXTDZ($A$1,$B89,C$1,$B$1)</f>
        <v>0</v>
      </c>
      <c r="D89" s="125" cm="1">
        <f t="array" ref="D89">_xll.EQNXTDZ($A$1,$B89,D$1,$B$1)</f>
        <v>0</v>
      </c>
      <c r="E89" s="125" cm="1">
        <f t="array" ref="E89">_xll.EQNXTDZ($A$1,$B89,E$1,$B$1)</f>
        <v>0</v>
      </c>
      <c r="F89" s="125" cm="1">
        <f t="array" ref="F89">_xll.EQNXTDZ($A$1,$B89,F$1,$B$1)</f>
        <v>0</v>
      </c>
      <c r="G89" s="125" cm="1">
        <f t="array" ref="G89">_xll.EQNXTDZ($A$1,$B89,G$1,$B$1)</f>
        <v>0</v>
      </c>
      <c r="H89" s="125" cm="1">
        <f t="array" ref="H89">_xll.EQNXTDZ($A$1,$B89,H$1,$B$1)</f>
        <v>0</v>
      </c>
      <c r="I89" s="125" cm="1">
        <f t="array" ref="I89">_xll.EQNXTDZ($A$1,$B89,I$1,$B$1)</f>
        <v>0</v>
      </c>
      <c r="J89" s="125" cm="1">
        <f t="array" ref="J89">_xll.EQNXTDZ($A$1,$B89,J$1,$B$1)</f>
        <v>0</v>
      </c>
      <c r="K89" s="125" cm="1">
        <f t="array" ref="K89">_xll.EQNXTDZ($A$1,$B89,K$1,$B$1)</f>
        <v>0</v>
      </c>
      <c r="L89" s="125" cm="1">
        <f t="array" ref="L89">_xll.EQNXTDZ($A$1,$B89,L$1,$B$1)</f>
        <v>0</v>
      </c>
      <c r="M89" s="125" cm="1">
        <f t="array" ref="M89">_xll.EQNXTDZ($A$1,$B89,M$1,$B$1)</f>
        <v>0</v>
      </c>
      <c r="N89" s="125" cm="1">
        <f t="array" ref="N89">_xll.EQNXTDZ($A$1,$B89,N$1,$B$1)</f>
        <v>0</v>
      </c>
      <c r="O89" s="125" cm="1">
        <f t="array" ref="O89">_xll.EQNXTDZ($A$1,$B89,O$1,$B$1)</f>
        <v>0</v>
      </c>
      <c r="P89" s="125" cm="1">
        <f t="array" ref="P89">_xll.EQNXTDZ($A$1,$B89,P$1,$B$1)</f>
        <v>0</v>
      </c>
      <c r="Q89" s="125" cm="1">
        <f t="array" ref="Q89">_xll.EQNXTDZ($A$1,$B89,Q$1,$B$1)</f>
        <v>0</v>
      </c>
      <c r="R89" s="125" cm="1">
        <f t="array" ref="R89">_xll.EQNXTDZ($A$1,$B89,R$1,$B$1)</f>
        <v>0</v>
      </c>
      <c r="S89" s="125" cm="1">
        <f t="array" ref="S89">_xll.EQNXTDZ($A$1,$B89,S$1,$B$1)</f>
        <v>0</v>
      </c>
      <c r="T89" s="125" cm="1">
        <f t="array" ref="T89">_xll.EQNXTDZ($A$1,$B89,T$1,$B$1)</f>
        <v>0</v>
      </c>
      <c r="U89" s="125" cm="1">
        <f t="array" ref="U89">_xll.EQNXTDZ($A$1,$B89,U$1,$B$1)</f>
        <v>0</v>
      </c>
      <c r="V89" s="125" cm="1">
        <f t="array" ref="V89">_xll.EQNXTDZ($A$1,$B89,V$1,$B$1)</f>
        <v>0</v>
      </c>
      <c r="W89" s="125" cm="1">
        <f t="array" ref="W89">_xll.EQNXTDZ($A$1,$B89,W$1,$B$1)</f>
        <v>0</v>
      </c>
      <c r="X89" s="125" cm="1">
        <f t="array" ref="X89">_xll.EQNXTDZ($A$1,$B89,X$1,$B$1)</f>
        <v>0</v>
      </c>
      <c r="Y89" s="125" cm="1">
        <f t="array" ref="Y89">_xll.EQNXTDZ($A$1,$B89,Y$1,$B$1)</f>
        <v>66.8</v>
      </c>
      <c r="Z89" s="125" cm="1">
        <f t="array" ref="Z89">_xll.EQNXTDZ($A$1,$B89,Z$1,$B$1)</f>
        <v>87.81</v>
      </c>
      <c r="AA89" s="125" cm="1">
        <f t="array" ref="AA89">_xll.EQNXTDZ($A$1,$B89,AA$1,$B$1)</f>
        <v>89.37</v>
      </c>
      <c r="AB89" s="125" cm="1">
        <f t="array" ref="AB89">_xll.EQNXTDZ($A$1,$B89,AB$1,$B$1)</f>
        <v>85.83</v>
      </c>
      <c r="AC89" s="125" cm="1">
        <f t="array" ref="AC89">_xll.EQNXTDZ($A$1,$B89,AC$1,$B$1)</f>
        <v>0</v>
      </c>
      <c r="AD89" s="125" cm="1">
        <f t="array" ref="AD89">_xll.EQNXTDZ($A$1,$B89,AD$1,$B$1)</f>
        <v>0</v>
      </c>
      <c r="AE89" s="125" cm="1">
        <f t="array" ref="AE89">_xll.EQNXTDZ($A$1,$B89,AE$1,$B$1)</f>
        <v>0</v>
      </c>
      <c r="AF89" s="125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5" cm="1">
        <f t="array" ref="C90">_xll.EQNXTDZ($A$1,$B90,C$1,$B$1)</f>
        <v>0</v>
      </c>
      <c r="D90" s="125" cm="1">
        <f t="array" ref="D90">_xll.EQNXTDZ($A$1,$B90,D$1,$B$1)</f>
        <v>0</v>
      </c>
      <c r="E90" s="125" cm="1">
        <f t="array" ref="E90">_xll.EQNXTDZ($A$1,$B90,E$1,$B$1)</f>
        <v>0</v>
      </c>
      <c r="F90" s="125" cm="1">
        <f t="array" ref="F90">_xll.EQNXTDZ($A$1,$B90,F$1,$B$1)</f>
        <v>0</v>
      </c>
      <c r="G90" s="125" cm="1">
        <f t="array" ref="G90">_xll.EQNXTDZ($A$1,$B90,G$1,$B$1)</f>
        <v>0</v>
      </c>
      <c r="H90" s="125" cm="1">
        <f t="array" ref="H90">_xll.EQNXTDZ($A$1,$B90,H$1,$B$1)</f>
        <v>0</v>
      </c>
      <c r="I90" s="125" cm="1">
        <f t="array" ref="I90">_xll.EQNXTDZ($A$1,$B90,I$1,$B$1)</f>
        <v>0</v>
      </c>
      <c r="J90" s="125" cm="1">
        <f t="array" ref="J90">_xll.EQNXTDZ($A$1,$B90,J$1,$B$1)</f>
        <v>0</v>
      </c>
      <c r="K90" s="125" cm="1">
        <f t="array" ref="K90">_xll.EQNXTDZ($A$1,$B90,K$1,$B$1)</f>
        <v>0</v>
      </c>
      <c r="L90" s="125" cm="1">
        <f t="array" ref="L90">_xll.EQNXTDZ($A$1,$B90,L$1,$B$1)</f>
        <v>0</v>
      </c>
      <c r="M90" s="125" cm="1">
        <f t="array" ref="M90">_xll.EQNXTDZ($A$1,$B90,M$1,$B$1)</f>
        <v>0</v>
      </c>
      <c r="N90" s="125" cm="1">
        <f t="array" ref="N90">_xll.EQNXTDZ($A$1,$B90,N$1,$B$1)</f>
        <v>0</v>
      </c>
      <c r="O90" s="125" cm="1">
        <f t="array" ref="O90">_xll.EQNXTDZ($A$1,$B90,O$1,$B$1)</f>
        <v>0</v>
      </c>
      <c r="P90" s="125" cm="1">
        <f t="array" ref="P90">_xll.EQNXTDZ($A$1,$B90,P$1,$B$1)</f>
        <v>0</v>
      </c>
      <c r="Q90" s="125" cm="1">
        <f t="array" ref="Q90">_xll.EQNXTDZ($A$1,$B90,Q$1,$B$1)</f>
        <v>0</v>
      </c>
      <c r="R90" s="125" cm="1">
        <f t="array" ref="R90">_xll.EQNXTDZ($A$1,$B90,R$1,$B$1)</f>
        <v>0</v>
      </c>
      <c r="S90" s="125" cm="1">
        <f t="array" ref="S90">_xll.EQNXTDZ($A$1,$B90,S$1,$B$1)</f>
        <v>0</v>
      </c>
      <c r="T90" s="125" cm="1">
        <f t="array" ref="T90">_xll.EQNXTDZ($A$1,$B90,T$1,$B$1)</f>
        <v>0</v>
      </c>
      <c r="U90" s="125" cm="1">
        <f t="array" ref="U90">_xll.EQNXTDZ($A$1,$B90,U$1,$B$1)</f>
        <v>0</v>
      </c>
      <c r="V90" s="125" cm="1">
        <f t="array" ref="V90">_xll.EQNXTDZ($A$1,$B90,V$1,$B$1)</f>
        <v>0</v>
      </c>
      <c r="W90" s="125" cm="1">
        <f t="array" ref="W90">_xll.EQNXTDZ($A$1,$B90,W$1,$B$1)</f>
        <v>0</v>
      </c>
      <c r="X90" s="125" cm="1">
        <f t="array" ref="X90">_xll.EQNXTDZ($A$1,$B90,X$1,$B$1)</f>
        <v>0</v>
      </c>
      <c r="Y90" s="125" cm="1">
        <f t="array" ref="Y90">_xll.EQNXTDZ($A$1,$B90,Y$1,$B$1)</f>
        <v>0</v>
      </c>
      <c r="Z90" s="125" cm="1">
        <f t="array" ref="Z90">_xll.EQNXTDZ($A$1,$B90,Z$1,$B$1)</f>
        <v>0</v>
      </c>
      <c r="AA90" s="125" cm="1">
        <f t="array" ref="AA90">_xll.EQNXTDZ($A$1,$B90,AA$1,$B$1)</f>
        <v>0</v>
      </c>
      <c r="AB90" s="125" cm="1">
        <f t="array" ref="AB90">_xll.EQNXTDZ($A$1,$B90,AB$1,$B$1)</f>
        <v>0</v>
      </c>
      <c r="AC90" s="125" cm="1">
        <f t="array" ref="AC90">_xll.EQNXTDZ($A$1,$B90,AC$1,$B$1)</f>
        <v>0</v>
      </c>
      <c r="AD90" s="125" cm="1">
        <f t="array" ref="AD90">_xll.EQNXTDZ($A$1,$B90,AD$1,$B$1)</f>
        <v>0</v>
      </c>
      <c r="AE90" s="125" cm="1">
        <f t="array" ref="AE90">_xll.EQNXTDZ($A$1,$B90,AE$1,$B$1)</f>
        <v>0</v>
      </c>
      <c r="AF90" s="125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5" cm="1">
        <f t="array" ref="C91">_xll.EQNXTDZ($A$1,$B91,C$1,$B$1)</f>
        <v>0</v>
      </c>
      <c r="D91" s="125" cm="1">
        <f t="array" ref="D91">_xll.EQNXTDZ($A$1,$B91,D$1,$B$1)</f>
        <v>0</v>
      </c>
      <c r="E91" s="125" cm="1">
        <f t="array" ref="E91">_xll.EQNXTDZ($A$1,$B91,E$1,$B$1)</f>
        <v>0</v>
      </c>
      <c r="F91" s="125" cm="1">
        <f t="array" ref="F91">_xll.EQNXTDZ($A$1,$B91,F$1,$B$1)</f>
        <v>0</v>
      </c>
      <c r="G91" s="125" cm="1">
        <f t="array" ref="G91">_xll.EQNXTDZ($A$1,$B91,G$1,$B$1)</f>
        <v>0</v>
      </c>
      <c r="H91" s="125" cm="1">
        <f t="array" ref="H91">_xll.EQNXTDZ($A$1,$B91,H$1,$B$1)</f>
        <v>0</v>
      </c>
      <c r="I91" s="125" cm="1">
        <f t="array" ref="I91">_xll.EQNXTDZ($A$1,$B91,I$1,$B$1)</f>
        <v>0</v>
      </c>
      <c r="J91" s="125" cm="1">
        <f t="array" ref="J91">_xll.EQNXTDZ($A$1,$B91,J$1,$B$1)</f>
        <v>0</v>
      </c>
      <c r="K91" s="125" cm="1">
        <f t="array" ref="K91">_xll.EQNXTDZ($A$1,$B91,K$1,$B$1)</f>
        <v>0</v>
      </c>
      <c r="L91" s="125" cm="1">
        <f t="array" ref="L91">_xll.EQNXTDZ($A$1,$B91,L$1,$B$1)</f>
        <v>0</v>
      </c>
      <c r="M91" s="125" cm="1">
        <f t="array" ref="M91">_xll.EQNXTDZ($A$1,$B91,M$1,$B$1)</f>
        <v>0.245478</v>
      </c>
      <c r="N91" s="125" cm="1">
        <f t="array" ref="N91">_xll.EQNXTDZ($A$1,$B91,N$1,$B$1)</f>
        <v>1.1043191000000001</v>
      </c>
      <c r="O91" s="125" cm="1">
        <f t="array" ref="O91">_xll.EQNXTDZ($A$1,$B91,O$1,$B$1)</f>
        <v>5.0697701999999998</v>
      </c>
      <c r="P91" s="125" cm="1">
        <f t="array" ref="P91">_xll.EQNXTDZ($A$1,$B91,P$1,$B$1)</f>
        <v>2.9014696999999998</v>
      </c>
      <c r="Q91" s="125" cm="1">
        <f t="array" ref="Q91">_xll.EQNXTDZ($A$1,$B91,Q$1,$B$1)</f>
        <v>2.9842369999999998</v>
      </c>
      <c r="R91" s="125" cm="1">
        <f t="array" ref="R91">_xll.EQNXTDZ($A$1,$B91,R$1,$B$1)</f>
        <v>10.7518592</v>
      </c>
      <c r="S91" s="125" cm="1">
        <f t="array" ref="S91">_xll.EQNXTDZ($A$1,$B91,S$1,$B$1)</f>
        <v>30.723250700000001</v>
      </c>
      <c r="T91" s="125" cm="1">
        <f t="array" ref="T91">_xll.EQNXTDZ($A$1,$B91,T$1,$B$1)</f>
        <v>143.41999999999999</v>
      </c>
      <c r="U91" s="125" cm="1">
        <f t="array" ref="U91">_xll.EQNXTDZ($A$1,$B91,U$1,$B$1)</f>
        <v>319.45</v>
      </c>
      <c r="V91" s="125" cm="1">
        <f t="array" ref="V91">_xll.EQNXTDZ($A$1,$B91,V$1,$B$1)</f>
        <v>478.8</v>
      </c>
      <c r="W91" s="125" cm="1">
        <f t="array" ref="W91">_xll.EQNXTDZ($A$1,$B91,W$1,$B$1)</f>
        <v>568.30999999999995</v>
      </c>
      <c r="X91" s="125" cm="1">
        <f t="array" ref="X91">_xll.EQNXTDZ($A$1,$B91,X$1,$B$1)</f>
        <v>462.96</v>
      </c>
      <c r="Y91" s="125" cm="1">
        <f t="array" ref="Y91">_xll.EQNXTDZ($A$1,$B91,Y$1,$B$1)</f>
        <v>528.83000000000004</v>
      </c>
      <c r="Z91" s="125" cm="1">
        <f t="array" ref="Z91">_xll.EQNXTDZ($A$1,$B91,Z$1,$B$1)</f>
        <v>1323.35</v>
      </c>
      <c r="AA91" s="125" cm="1">
        <f t="array" ref="AA91">_xll.EQNXTDZ($A$1,$B91,AA$1,$B$1)</f>
        <v>1186.76</v>
      </c>
      <c r="AB91" s="125" cm="1">
        <f t="array" ref="AB91">_xll.EQNXTDZ($A$1,$B91,AB$1,$B$1)</f>
        <v>1051.03</v>
      </c>
      <c r="AC91" s="125" cm="1">
        <f t="array" ref="AC91">_xll.EQNXTDZ($A$1,$B91,AC$1,$B$1)</f>
        <v>0</v>
      </c>
      <c r="AD91" s="125" cm="1">
        <f t="array" ref="AD91">_xll.EQNXTDZ($A$1,$B91,AD$1,$B$1)</f>
        <v>0</v>
      </c>
      <c r="AE91" s="125" cm="1">
        <f t="array" ref="AE91">_xll.EQNXTDZ($A$1,$B91,AE$1,$B$1)</f>
        <v>0</v>
      </c>
      <c r="AF91" s="125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5" cm="1">
        <f t="array" ref="C92">_xll.EQNXTDZ($A$1,$B92,C$1,$B$1)</f>
        <v>0</v>
      </c>
      <c r="D92" s="125" cm="1">
        <f t="array" ref="D92">_xll.EQNXTDZ($A$1,$B92,D$1,$B$1)</f>
        <v>0</v>
      </c>
      <c r="E92" s="125" cm="1">
        <f t="array" ref="E92">_xll.EQNXTDZ($A$1,$B92,E$1,$B$1)</f>
        <v>0</v>
      </c>
      <c r="F92" s="125" cm="1">
        <f t="array" ref="F92">_xll.EQNXTDZ($A$1,$B92,F$1,$B$1)</f>
        <v>0</v>
      </c>
      <c r="G92" s="125" cm="1">
        <f t="array" ref="G92">_xll.EQNXTDZ($A$1,$B92,G$1,$B$1)</f>
        <v>0</v>
      </c>
      <c r="H92" s="125" cm="1">
        <f t="array" ref="H92">_xll.EQNXTDZ($A$1,$B92,H$1,$B$1)</f>
        <v>0</v>
      </c>
      <c r="I92" s="125" cm="1">
        <f t="array" ref="I92">_xll.EQNXTDZ($A$1,$B92,I$1,$B$1)</f>
        <v>0</v>
      </c>
      <c r="J92" s="125" cm="1">
        <f t="array" ref="J92">_xll.EQNXTDZ($A$1,$B92,J$1,$B$1)</f>
        <v>0</v>
      </c>
      <c r="K92" s="125" cm="1">
        <f t="array" ref="K92">_xll.EQNXTDZ($A$1,$B92,K$1,$B$1)</f>
        <v>189.26845560000001</v>
      </c>
      <c r="L92" s="125" cm="1">
        <f t="array" ref="L92">_xll.EQNXTDZ($A$1,$B92,L$1,$B$1)</f>
        <v>246.19320020000001</v>
      </c>
      <c r="M92" s="125" cm="1">
        <f t="array" ref="M92">_xll.EQNXTDZ($A$1,$B92,M$1,$B$1)</f>
        <v>78.164805299999998</v>
      </c>
      <c r="N92" s="125" cm="1">
        <f t="array" ref="N92">_xll.EQNXTDZ($A$1,$B92,N$1,$B$1)</f>
        <v>76.140395299999994</v>
      </c>
      <c r="O92" s="125" cm="1">
        <f t="array" ref="O92">_xll.EQNXTDZ($A$1,$B92,O$1,$B$1)</f>
        <v>150.35317929999999</v>
      </c>
      <c r="P92" s="125" cm="1">
        <f t="array" ref="P92">_xll.EQNXTDZ($A$1,$B92,P$1,$B$1)</f>
        <v>371.65134260000002</v>
      </c>
      <c r="Q92" s="125" cm="1">
        <f t="array" ref="Q92">_xll.EQNXTDZ($A$1,$B92,Q$1,$B$1)</f>
        <v>584.4027658</v>
      </c>
      <c r="R92" s="125" cm="1">
        <f t="array" ref="R92">_xll.EQNXTDZ($A$1,$B92,R$1,$B$1)</f>
        <v>1124.5363503999999</v>
      </c>
      <c r="S92" s="125" cm="1">
        <f t="array" ref="S92">_xll.EQNXTDZ($A$1,$B92,S$1,$B$1)</f>
        <v>1158.1106308999999</v>
      </c>
      <c r="T92" s="125" cm="1">
        <f t="array" ref="T92">_xll.EQNXTDZ($A$1,$B92,T$1,$B$1)</f>
        <v>3736.88</v>
      </c>
      <c r="U92" s="125" cm="1">
        <f t="array" ref="U92">_xll.EQNXTDZ($A$1,$B92,U$1,$B$1)</f>
        <v>5105.8100000000004</v>
      </c>
      <c r="V92" s="125" cm="1">
        <f t="array" ref="V92">_xll.EQNXTDZ($A$1,$B92,V$1,$B$1)</f>
        <v>8192.09</v>
      </c>
      <c r="W92" s="125" cm="1">
        <f t="array" ref="W92">_xll.EQNXTDZ($A$1,$B92,W$1,$B$1)</f>
        <v>9209.02</v>
      </c>
      <c r="X92" s="125" cm="1">
        <f t="array" ref="X92">_xll.EQNXTDZ($A$1,$B92,X$1,$B$1)</f>
        <v>13202.69</v>
      </c>
      <c r="Y92" s="125" cm="1">
        <f t="array" ref="Y92">_xll.EQNXTDZ($A$1,$B92,Y$1,$B$1)</f>
        <v>16801.7</v>
      </c>
      <c r="Z92" s="125" cm="1">
        <f t="array" ref="Z92">_xll.EQNXTDZ($A$1,$B92,Z$1,$B$1)</f>
        <v>13244.72</v>
      </c>
      <c r="AA92" s="125" cm="1">
        <f t="array" ref="AA92">_xll.EQNXTDZ($A$1,$B92,AA$1,$B$1)</f>
        <v>10906.12</v>
      </c>
      <c r="AB92" s="125" cm="1">
        <f t="array" ref="AB92">_xll.EQNXTDZ($A$1,$B92,AB$1,$B$1)</f>
        <v>11521.13</v>
      </c>
      <c r="AC92" s="125" cm="1">
        <f t="array" ref="AC92">_xll.EQNXTDZ($A$1,$B92,AC$1,$B$1)</f>
        <v>0</v>
      </c>
      <c r="AD92" s="125" cm="1">
        <f t="array" ref="AD92">_xll.EQNXTDZ($A$1,$B92,AD$1,$B$1)</f>
        <v>0</v>
      </c>
      <c r="AE92" s="125" cm="1">
        <f t="array" ref="AE92">_xll.EQNXTDZ($A$1,$B92,AE$1,$B$1)</f>
        <v>0</v>
      </c>
      <c r="AF92" s="125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5" cm="1">
        <f t="array" ref="C93">_xll.EQNXTDZ($A$1,$B93,C$1,$B$1)</f>
        <v>0</v>
      </c>
      <c r="D93" s="125" cm="1">
        <f t="array" ref="D93">_xll.EQNXTDZ($A$1,$B93,D$1,$B$1)</f>
        <v>0</v>
      </c>
      <c r="E93" s="125" cm="1">
        <f t="array" ref="E93">_xll.EQNXTDZ($A$1,$B93,E$1,$B$1)</f>
        <v>0</v>
      </c>
      <c r="F93" s="125" cm="1">
        <f t="array" ref="F93">_xll.EQNXTDZ($A$1,$B93,F$1,$B$1)</f>
        <v>0</v>
      </c>
      <c r="G93" s="125" cm="1">
        <f t="array" ref="G93">_xll.EQNXTDZ($A$1,$B93,G$1,$B$1)</f>
        <v>0</v>
      </c>
      <c r="H93" s="125" cm="1">
        <f t="array" ref="H93">_xll.EQNXTDZ($A$1,$B93,H$1,$B$1)</f>
        <v>0</v>
      </c>
      <c r="I93" s="125" cm="1">
        <f t="array" ref="I93">_xll.EQNXTDZ($A$1,$B93,I$1,$B$1)</f>
        <v>0</v>
      </c>
      <c r="J93" s="125" cm="1">
        <f t="array" ref="J93">_xll.EQNXTDZ($A$1,$B93,J$1,$B$1)</f>
        <v>0</v>
      </c>
      <c r="K93" s="125" cm="1">
        <f t="array" ref="K93">_xll.EQNXTDZ($A$1,$B93,K$1,$B$1)</f>
        <v>0</v>
      </c>
      <c r="L93" s="125" cm="1">
        <f t="array" ref="L93">_xll.EQNXTDZ($A$1,$B93,L$1,$B$1)</f>
        <v>0</v>
      </c>
      <c r="M93" s="125" cm="1">
        <f t="array" ref="M93">_xll.EQNXTDZ($A$1,$B93,M$1,$B$1)</f>
        <v>0.2100679</v>
      </c>
      <c r="N93" s="125" cm="1">
        <f t="array" ref="N93">_xll.EQNXTDZ($A$1,$B93,N$1,$B$1)</f>
        <v>0</v>
      </c>
      <c r="O93" s="125" cm="1">
        <f t="array" ref="O93">_xll.EQNXTDZ($A$1,$B93,O$1,$B$1)</f>
        <v>0</v>
      </c>
      <c r="P93" s="125" cm="1">
        <f t="array" ref="P93">_xll.EQNXTDZ($A$1,$B93,P$1,$B$1)</f>
        <v>0</v>
      </c>
      <c r="Q93" s="125" cm="1">
        <f t="array" ref="Q93">_xll.EQNXTDZ($A$1,$B93,Q$1,$B$1)</f>
        <v>0</v>
      </c>
      <c r="R93" s="125" cm="1">
        <f t="array" ref="R93">_xll.EQNXTDZ($A$1,$B93,R$1,$B$1)</f>
        <v>0</v>
      </c>
      <c r="S93" s="125" cm="1">
        <f t="array" ref="S93">_xll.EQNXTDZ($A$1,$B93,S$1,$B$1)</f>
        <v>0</v>
      </c>
      <c r="T93" s="125" cm="1">
        <f t="array" ref="T93">_xll.EQNXTDZ($A$1,$B93,T$1,$B$1)</f>
        <v>35.08</v>
      </c>
      <c r="U93" s="125" cm="1">
        <f t="array" ref="U93">_xll.EQNXTDZ($A$1,$B93,U$1,$B$1)</f>
        <v>103.73</v>
      </c>
      <c r="V93" s="125" cm="1">
        <f t="array" ref="V93">_xll.EQNXTDZ($A$1,$B93,V$1,$B$1)</f>
        <v>79.84</v>
      </c>
      <c r="W93" s="125" cm="1">
        <f t="array" ref="W93">_xll.EQNXTDZ($A$1,$B93,W$1,$B$1)</f>
        <v>170.26</v>
      </c>
      <c r="X93" s="125" cm="1">
        <f t="array" ref="X93">_xll.EQNXTDZ($A$1,$B93,X$1,$B$1)</f>
        <v>258.81</v>
      </c>
      <c r="Y93" s="125" cm="1">
        <f t="array" ref="Y93">_xll.EQNXTDZ($A$1,$B93,Y$1,$B$1)</f>
        <v>303.7</v>
      </c>
      <c r="Z93" s="125" cm="1">
        <f t="array" ref="Z93">_xll.EQNXTDZ($A$1,$B93,Z$1,$B$1)</f>
        <v>256.35000000000002</v>
      </c>
      <c r="AA93" s="125" cm="1">
        <f t="array" ref="AA93">_xll.EQNXTDZ($A$1,$B93,AA$1,$B$1)</f>
        <v>32.06</v>
      </c>
      <c r="AB93" s="125" cm="1">
        <f t="array" ref="AB93">_xll.EQNXTDZ($A$1,$B93,AB$1,$B$1)</f>
        <v>40.33</v>
      </c>
      <c r="AC93" s="125" cm="1">
        <f t="array" ref="AC93">_xll.EQNXTDZ($A$1,$B93,AC$1,$B$1)</f>
        <v>0</v>
      </c>
      <c r="AD93" s="125" cm="1">
        <f t="array" ref="AD93">_xll.EQNXTDZ($A$1,$B93,AD$1,$B$1)</f>
        <v>0</v>
      </c>
      <c r="AE93" s="125" cm="1">
        <f t="array" ref="AE93">_xll.EQNXTDZ($A$1,$B93,AE$1,$B$1)</f>
        <v>0</v>
      </c>
      <c r="AF93" s="125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5" cm="1">
        <f t="array" ref="C94">_xll.EQNXTDZ($A$1,$B94,C$1,$B$1)</f>
        <v>0</v>
      </c>
      <c r="D94" s="125" cm="1">
        <f t="array" ref="D94">_xll.EQNXTDZ($A$1,$B94,D$1,$B$1)</f>
        <v>0</v>
      </c>
      <c r="E94" s="125" cm="1">
        <f t="array" ref="E94">_xll.EQNXTDZ($A$1,$B94,E$1,$B$1)</f>
        <v>0</v>
      </c>
      <c r="F94" s="125" cm="1">
        <f t="array" ref="F94">_xll.EQNXTDZ($A$1,$B94,F$1,$B$1)</f>
        <v>0</v>
      </c>
      <c r="G94" s="125" cm="1">
        <f t="array" ref="G94">_xll.EQNXTDZ($A$1,$B94,G$1,$B$1)</f>
        <v>0</v>
      </c>
      <c r="H94" s="125" cm="1">
        <f t="array" ref="H94">_xll.EQNXTDZ($A$1,$B94,H$1,$B$1)</f>
        <v>0</v>
      </c>
      <c r="I94" s="125" cm="1">
        <f t="array" ref="I94">_xll.EQNXTDZ($A$1,$B94,I$1,$B$1)</f>
        <v>0</v>
      </c>
      <c r="J94" s="125" cm="1">
        <f t="array" ref="J94">_xll.EQNXTDZ($A$1,$B94,J$1,$B$1)</f>
        <v>0</v>
      </c>
      <c r="K94" s="125" cm="1">
        <f t="array" ref="K94">_xll.EQNXTDZ($A$1,$B94,K$1,$B$1)</f>
        <v>5.3223501999999998</v>
      </c>
      <c r="L94" s="125" cm="1">
        <f t="array" ref="L94">_xll.EQNXTDZ($A$1,$B94,L$1,$B$1)</f>
        <v>10.840714</v>
      </c>
      <c r="M94" s="125" cm="1">
        <f t="array" ref="M94">_xll.EQNXTDZ($A$1,$B94,M$1,$B$1)</f>
        <v>149.98245489999999</v>
      </c>
      <c r="N94" s="125" cm="1">
        <f t="array" ref="N94">_xll.EQNXTDZ($A$1,$B94,N$1,$B$1)</f>
        <v>165.9112557</v>
      </c>
      <c r="O94" s="125" cm="1">
        <f t="array" ref="O94">_xll.EQNXTDZ($A$1,$B94,O$1,$B$1)</f>
        <v>279.42590039999999</v>
      </c>
      <c r="P94" s="125" cm="1">
        <f t="array" ref="P94">_xll.EQNXTDZ($A$1,$B94,P$1,$B$1)</f>
        <v>471.73496540000002</v>
      </c>
      <c r="Q94" s="125" cm="1">
        <f t="array" ref="Q94">_xll.EQNXTDZ($A$1,$B94,Q$1,$B$1)</f>
        <v>750.39991529999998</v>
      </c>
      <c r="R94" s="125" cm="1">
        <f t="array" ref="R94">_xll.EQNXTDZ($A$1,$B94,R$1,$B$1)</f>
        <v>1174.4562951</v>
      </c>
      <c r="S94" s="125" cm="1">
        <f t="array" ref="S94">_xll.EQNXTDZ($A$1,$B94,S$1,$B$1)</f>
        <v>1549.4160864</v>
      </c>
      <c r="T94" s="125" cm="1">
        <f t="array" ref="T94">_xll.EQNXTDZ($A$1,$B94,T$1,$B$1)</f>
        <v>11.02</v>
      </c>
      <c r="U94" s="125" cm="1">
        <f t="array" ref="U94">_xll.EQNXTDZ($A$1,$B94,U$1,$B$1)</f>
        <v>9.9</v>
      </c>
      <c r="V94" s="125" cm="1">
        <f t="array" ref="V94">_xll.EQNXTDZ($A$1,$B94,V$1,$B$1)</f>
        <v>74.16</v>
      </c>
      <c r="W94" s="125" cm="1">
        <f t="array" ref="W94">_xll.EQNXTDZ($A$1,$B94,W$1,$B$1)</f>
        <v>91.32</v>
      </c>
      <c r="X94" s="125" cm="1">
        <f t="array" ref="X94">_xll.EQNXTDZ($A$1,$B94,X$1,$B$1)</f>
        <v>102.61</v>
      </c>
      <c r="Y94" s="125" cm="1">
        <f t="array" ref="Y94">_xll.EQNXTDZ($A$1,$B94,Y$1,$B$1)</f>
        <v>31.19</v>
      </c>
      <c r="Z94" s="125" cm="1">
        <f t="array" ref="Z94">_xll.EQNXTDZ($A$1,$B94,Z$1,$B$1)</f>
        <v>68.13</v>
      </c>
      <c r="AA94" s="125" cm="1">
        <f t="array" ref="AA94">_xll.EQNXTDZ($A$1,$B94,AA$1,$B$1)</f>
        <v>202.39</v>
      </c>
      <c r="AB94" s="125" cm="1">
        <f t="array" ref="AB94">_xll.EQNXTDZ($A$1,$B94,AB$1,$B$1)</f>
        <v>209.33</v>
      </c>
      <c r="AC94" s="125" cm="1">
        <f t="array" ref="AC94">_xll.EQNXTDZ($A$1,$B94,AC$1,$B$1)</f>
        <v>0</v>
      </c>
      <c r="AD94" s="125" cm="1">
        <f t="array" ref="AD94">_xll.EQNXTDZ($A$1,$B94,AD$1,$B$1)</f>
        <v>0</v>
      </c>
      <c r="AE94" s="125" cm="1">
        <f t="array" ref="AE94">_xll.EQNXTDZ($A$1,$B94,AE$1,$B$1)</f>
        <v>0</v>
      </c>
      <c r="AF94" s="125" cm="1">
        <f t="array" ref="AF94">_xll.EQNXTDZ($A$1,$B94,AF$1,$B$1)</f>
        <v>0</v>
      </c>
    </row>
    <row r="95" spans="1:32" s="107" customFormat="1" x14ac:dyDescent="0.25">
      <c r="A95" s="143" t="s">
        <v>486</v>
      </c>
      <c r="B95" s="107" t="s">
        <v>490</v>
      </c>
      <c r="C95" s="125" cm="1">
        <f t="array" ref="C95">_xll.EQNXTDZ($A$1,$B95,C$1,$B$1)</f>
        <v>0</v>
      </c>
      <c r="D95" s="125" cm="1">
        <f t="array" ref="D95">_xll.EQNXTDZ($A$1,$B95,D$1,$B$1)</f>
        <v>0</v>
      </c>
      <c r="E95" s="125" cm="1">
        <f t="array" ref="E95">_xll.EQNXTDZ($A$1,$B95,E$1,$B$1)</f>
        <v>0</v>
      </c>
      <c r="F95" s="125" cm="1">
        <f t="array" ref="F95">_xll.EQNXTDZ($A$1,$B95,F$1,$B$1)</f>
        <v>0</v>
      </c>
      <c r="G95" s="125" cm="1">
        <f t="array" ref="G95">_xll.EQNXTDZ($A$1,$B95,G$1,$B$1)</f>
        <v>0</v>
      </c>
      <c r="H95" s="125" cm="1">
        <f t="array" ref="H95">_xll.EQNXTDZ($A$1,$B95,H$1,$B$1)</f>
        <v>0</v>
      </c>
      <c r="I95" s="125" cm="1">
        <f t="array" ref="I95">_xll.EQNXTDZ($A$1,$B95,I$1,$B$1)</f>
        <v>0</v>
      </c>
      <c r="J95" s="125" cm="1">
        <f t="array" ref="J95">_xll.EQNXTDZ($A$1,$B95,J$1,$B$1)</f>
        <v>0</v>
      </c>
      <c r="K95" s="125" cm="1">
        <f t="array" ref="K95">_xll.EQNXTDZ($A$1,$B95,K$1,$B$1)</f>
        <v>0</v>
      </c>
      <c r="L95" s="125" cm="1">
        <f t="array" ref="L95">_xll.EQNXTDZ($A$1,$B95,L$1,$B$1)</f>
        <v>0</v>
      </c>
      <c r="M95" s="125" cm="1">
        <f t="array" ref="M95">_xll.EQNXTDZ($A$1,$B95,M$1,$B$1)</f>
        <v>0</v>
      </c>
      <c r="N95" s="125" cm="1">
        <f t="array" ref="N95">_xll.EQNXTDZ($A$1,$B95,N$1,$B$1)</f>
        <v>23.3333333</v>
      </c>
      <c r="O95" s="125" cm="1">
        <f t="array" ref="O95">_xll.EQNXTDZ($A$1,$B95,O$1,$B$1)</f>
        <v>35.8333333</v>
      </c>
      <c r="P95" s="125" cm="1">
        <f t="array" ref="P95">_xll.EQNXTDZ($A$1,$B95,P$1,$B$1)</f>
        <v>36.6666667</v>
      </c>
      <c r="Q95" s="125" cm="1">
        <f t="array" ref="Q95">_xll.EQNXTDZ($A$1,$B95,Q$1,$B$1)</f>
        <v>31</v>
      </c>
      <c r="R95" s="125" cm="1">
        <f t="array" ref="R95">_xll.EQNXTDZ($A$1,$B95,R$1,$B$1)</f>
        <v>95</v>
      </c>
      <c r="S95" s="125" cm="1">
        <f t="array" ref="S95">_xll.EQNXTDZ($A$1,$B95,S$1,$B$1)</f>
        <v>265.25</v>
      </c>
      <c r="T95" s="125" cm="1">
        <f t="array" ref="T95">_xll.EQNXTDZ($A$1,$B95,T$1,$B$1)</f>
        <v>0</v>
      </c>
      <c r="U95" s="125" cm="1">
        <f t="array" ref="U95">_xll.EQNXTDZ($A$1,$B95,U$1,$B$1)</f>
        <v>0</v>
      </c>
      <c r="V95" s="125" cm="1">
        <f t="array" ref="V95">_xll.EQNXTDZ($A$1,$B95,V$1,$B$1)</f>
        <v>0</v>
      </c>
      <c r="W95" s="125" cm="1">
        <f t="array" ref="W95">_xll.EQNXTDZ($A$1,$B95,W$1,$B$1)</f>
        <v>0</v>
      </c>
      <c r="X95" s="125" cm="1">
        <f t="array" ref="X95">_xll.EQNXTDZ($A$1,$B95,X$1,$B$1)</f>
        <v>0</v>
      </c>
      <c r="Y95" s="125" cm="1">
        <f t="array" ref="Y95">_xll.EQNXTDZ($A$1,$B95,Y$1,$B$1)</f>
        <v>0</v>
      </c>
      <c r="Z95" s="125" cm="1">
        <f t="array" ref="Z95">_xll.EQNXTDZ($A$1,$B95,Z$1,$B$1)</f>
        <v>0</v>
      </c>
      <c r="AA95" s="125" cm="1">
        <f t="array" ref="AA95">_xll.EQNXTDZ($A$1,$B95,AA$1,$B$1)</f>
        <v>0</v>
      </c>
      <c r="AB95" s="125" cm="1">
        <f t="array" ref="AB95">_xll.EQNXTDZ($A$1,$B95,AB$1,$B$1)</f>
        <v>0</v>
      </c>
      <c r="AC95" s="125" cm="1">
        <f t="array" ref="AC95">_xll.EQNXTDZ($A$1,$B95,AC$1,$B$1)</f>
        <v>0</v>
      </c>
      <c r="AD95" s="125" cm="1">
        <f t="array" ref="AD95">_xll.EQNXTDZ($A$1,$B95,AD$1,$B$1)</f>
        <v>0</v>
      </c>
      <c r="AE95" s="125" cm="1">
        <f t="array" ref="AE95">_xll.EQNXTDZ($A$1,$B95,AE$1,$B$1)</f>
        <v>0</v>
      </c>
      <c r="AF95" s="125" cm="1">
        <f t="array" ref="AF95">_xll.EQNXTDZ($A$1,$B95,AF$1,$B$1)</f>
        <v>0</v>
      </c>
    </row>
    <row r="96" spans="1:32" s="107" customFormat="1" x14ac:dyDescent="0.25">
      <c r="A96" s="143" t="s">
        <v>487</v>
      </c>
      <c r="B96" s="107" t="s">
        <v>491</v>
      </c>
      <c r="C96" s="125" cm="1">
        <f t="array" ref="C96">_xll.EQNXTDZ($A$1,$B96,C$1,$B$1)</f>
        <v>0</v>
      </c>
      <c r="D96" s="125" cm="1">
        <f t="array" ref="D96">_xll.EQNXTDZ($A$1,$B96,D$1,$B$1)</f>
        <v>0</v>
      </c>
      <c r="E96" s="125" cm="1">
        <f t="array" ref="E96">_xll.EQNXTDZ($A$1,$B96,E$1,$B$1)</f>
        <v>0</v>
      </c>
      <c r="F96" s="125" cm="1">
        <f t="array" ref="F96">_xll.EQNXTDZ($A$1,$B96,F$1,$B$1)</f>
        <v>0</v>
      </c>
      <c r="G96" s="125" cm="1">
        <f t="array" ref="G96">_xll.EQNXTDZ($A$1,$B96,G$1,$B$1)</f>
        <v>0</v>
      </c>
      <c r="H96" s="125" cm="1">
        <f t="array" ref="H96">_xll.EQNXTDZ($A$1,$B96,H$1,$B$1)</f>
        <v>0</v>
      </c>
      <c r="I96" s="125" cm="1">
        <f t="array" ref="I96">_xll.EQNXTDZ($A$1,$B96,I$1,$B$1)</f>
        <v>0</v>
      </c>
      <c r="J96" s="125" cm="1">
        <f t="array" ref="J96">_xll.EQNXTDZ($A$1,$B96,J$1,$B$1)</f>
        <v>0</v>
      </c>
      <c r="K96" s="125" cm="1">
        <f t="array" ref="K96">_xll.EQNXTDZ($A$1,$B96,K$1,$B$1)</f>
        <v>0</v>
      </c>
      <c r="L96" s="125" cm="1">
        <f t="array" ref="L96">_xll.EQNXTDZ($A$1,$B96,L$1,$B$1)</f>
        <v>0</v>
      </c>
      <c r="M96" s="125" cm="1">
        <f t="array" ref="M96">_xll.EQNXTDZ($A$1,$B96,M$1,$B$1)</f>
        <v>141.63083090000001</v>
      </c>
      <c r="N96" s="125" cm="1">
        <f t="array" ref="N96">_xll.EQNXTDZ($A$1,$B96,N$1,$B$1)</f>
        <v>116.9615161</v>
      </c>
      <c r="O96" s="125" cm="1">
        <f t="array" ref="O96">_xll.EQNXTDZ($A$1,$B96,O$1,$B$1)</f>
        <v>205.92945940000001</v>
      </c>
      <c r="P96" s="125" cm="1">
        <f t="array" ref="P96">_xll.EQNXTDZ($A$1,$B96,P$1,$B$1)</f>
        <v>398.53947890000001</v>
      </c>
      <c r="Q96" s="125" cm="1">
        <f t="array" ref="Q96">_xll.EQNXTDZ($A$1,$B96,Q$1,$B$1)</f>
        <v>674.55193659999998</v>
      </c>
      <c r="R96" s="125" cm="1">
        <f t="array" ref="R96">_xll.EQNXTDZ($A$1,$B96,R$1,$B$1)</f>
        <v>996.16854920000003</v>
      </c>
      <c r="S96" s="125" cm="1">
        <f t="array" ref="S96">_xll.EQNXTDZ($A$1,$B96,S$1,$B$1)</f>
        <v>1227.1029314</v>
      </c>
      <c r="T96" s="125" cm="1">
        <f t="array" ref="T96">_xll.EQNXTDZ($A$1,$B96,T$1,$B$1)</f>
        <v>0</v>
      </c>
      <c r="U96" s="125" cm="1">
        <f t="array" ref="U96">_xll.EQNXTDZ($A$1,$B96,U$1,$B$1)</f>
        <v>0</v>
      </c>
      <c r="V96" s="125" cm="1">
        <f t="array" ref="V96">_xll.EQNXTDZ($A$1,$B96,V$1,$B$1)</f>
        <v>0</v>
      </c>
      <c r="W96" s="125" cm="1">
        <f t="array" ref="W96">_xll.EQNXTDZ($A$1,$B96,W$1,$B$1)</f>
        <v>0</v>
      </c>
      <c r="X96" s="125" cm="1">
        <f t="array" ref="X96">_xll.EQNXTDZ($A$1,$B96,X$1,$B$1)</f>
        <v>0</v>
      </c>
      <c r="Y96" s="125" cm="1">
        <f t="array" ref="Y96">_xll.EQNXTDZ($A$1,$B96,Y$1,$B$1)</f>
        <v>0</v>
      </c>
      <c r="Z96" s="125" cm="1">
        <f t="array" ref="Z96">_xll.EQNXTDZ($A$1,$B96,Z$1,$B$1)</f>
        <v>0</v>
      </c>
      <c r="AA96" s="125" cm="1">
        <f t="array" ref="AA96">_xll.EQNXTDZ($A$1,$B96,AA$1,$B$1)</f>
        <v>0</v>
      </c>
      <c r="AB96" s="125" cm="1">
        <f t="array" ref="AB96">_xll.EQNXTDZ($A$1,$B96,AB$1,$B$1)</f>
        <v>0</v>
      </c>
      <c r="AC96" s="125" cm="1">
        <f t="array" ref="AC96">_xll.EQNXTDZ($A$1,$B96,AC$1,$B$1)</f>
        <v>0</v>
      </c>
      <c r="AD96" s="125" cm="1">
        <f t="array" ref="AD96">_xll.EQNXTDZ($A$1,$B96,AD$1,$B$1)</f>
        <v>0</v>
      </c>
      <c r="AE96" s="125" cm="1">
        <f t="array" ref="AE96">_xll.EQNXTDZ($A$1,$B96,AE$1,$B$1)</f>
        <v>0</v>
      </c>
      <c r="AF96" s="125" cm="1">
        <f t="array" ref="AF96">_xll.EQNXTDZ($A$1,$B96,AF$1,$B$1)</f>
        <v>0</v>
      </c>
    </row>
    <row r="97" spans="1:32" s="107" customFormat="1" x14ac:dyDescent="0.25">
      <c r="A97" s="143" t="s">
        <v>488</v>
      </c>
      <c r="B97" s="107" t="s">
        <v>492</v>
      </c>
      <c r="C97" s="125" cm="1">
        <f t="array" ref="C97">_xll.EQNXTDZ($A$1,$B97,C$1,$B$1)</f>
        <v>0</v>
      </c>
      <c r="D97" s="125" cm="1">
        <f t="array" ref="D97">_xll.EQNXTDZ($A$1,$B97,D$1,$B$1)</f>
        <v>0</v>
      </c>
      <c r="E97" s="125" cm="1">
        <f t="array" ref="E97">_xll.EQNXTDZ($A$1,$B97,E$1,$B$1)</f>
        <v>0</v>
      </c>
      <c r="F97" s="125" cm="1">
        <f t="array" ref="F97">_xll.EQNXTDZ($A$1,$B97,F$1,$B$1)</f>
        <v>0</v>
      </c>
      <c r="G97" s="125" cm="1">
        <f t="array" ref="G97">_xll.EQNXTDZ($A$1,$B97,G$1,$B$1)</f>
        <v>0</v>
      </c>
      <c r="H97" s="125" cm="1">
        <f t="array" ref="H97">_xll.EQNXTDZ($A$1,$B97,H$1,$B$1)</f>
        <v>0</v>
      </c>
      <c r="I97" s="125" cm="1">
        <f t="array" ref="I97">_xll.EQNXTDZ($A$1,$B97,I$1,$B$1)</f>
        <v>0</v>
      </c>
      <c r="J97" s="125" cm="1">
        <f t="array" ref="J97">_xll.EQNXTDZ($A$1,$B97,J$1,$B$1)</f>
        <v>0</v>
      </c>
      <c r="K97" s="125" cm="1">
        <f t="array" ref="K97">_xll.EQNXTDZ($A$1,$B97,K$1,$B$1)</f>
        <v>0</v>
      </c>
      <c r="L97" s="125" cm="1">
        <f t="array" ref="L97">_xll.EQNXTDZ($A$1,$B97,L$1,$B$1)</f>
        <v>0</v>
      </c>
      <c r="M97" s="125" cm="1">
        <f t="array" ref="M97">_xll.EQNXTDZ($A$1,$B97,M$1,$B$1)</f>
        <v>0</v>
      </c>
      <c r="N97" s="125" cm="1">
        <f t="array" ref="N97">_xll.EQNXTDZ($A$1,$B97,N$1,$B$1)</f>
        <v>0</v>
      </c>
      <c r="O97" s="125" cm="1">
        <f t="array" ref="O97">_xll.EQNXTDZ($A$1,$B97,O$1,$B$1)</f>
        <v>0</v>
      </c>
      <c r="P97" s="125" cm="1">
        <f t="array" ref="P97">_xll.EQNXTDZ($A$1,$B97,P$1,$B$1)</f>
        <v>0</v>
      </c>
      <c r="Q97" s="125" cm="1">
        <f t="array" ref="Q97">_xll.EQNXTDZ($A$1,$B97,Q$1,$B$1)</f>
        <v>0</v>
      </c>
      <c r="R97" s="125" cm="1">
        <f t="array" ref="R97">_xll.EQNXTDZ($A$1,$B97,R$1,$B$1)</f>
        <v>0</v>
      </c>
      <c r="S97" s="125" cm="1">
        <f t="array" ref="S97">_xll.EQNXTDZ($A$1,$B97,S$1,$B$1)</f>
        <v>0</v>
      </c>
      <c r="T97" s="125" cm="1">
        <f t="array" ref="T97">_xll.EQNXTDZ($A$1,$B97,T$1,$B$1)</f>
        <v>0</v>
      </c>
      <c r="U97" s="125" cm="1">
        <f t="array" ref="U97">_xll.EQNXTDZ($A$1,$B97,U$1,$B$1)</f>
        <v>0</v>
      </c>
      <c r="V97" s="125" cm="1">
        <f t="array" ref="V97">_xll.EQNXTDZ($A$1,$B97,V$1,$B$1)</f>
        <v>0</v>
      </c>
      <c r="W97" s="125" cm="1">
        <f t="array" ref="W97">_xll.EQNXTDZ($A$1,$B97,W$1,$B$1)</f>
        <v>0</v>
      </c>
      <c r="X97" s="125" cm="1">
        <f t="array" ref="X97">_xll.EQNXTDZ($A$1,$B97,X$1,$B$1)</f>
        <v>0</v>
      </c>
      <c r="Y97" s="125" cm="1">
        <f t="array" ref="Y97">_xll.EQNXTDZ($A$1,$B97,Y$1,$B$1)</f>
        <v>0</v>
      </c>
      <c r="Z97" s="125" cm="1">
        <f t="array" ref="Z97">_xll.EQNXTDZ($A$1,$B97,Z$1,$B$1)</f>
        <v>0</v>
      </c>
      <c r="AA97" s="125" cm="1">
        <f t="array" ref="AA97">_xll.EQNXTDZ($A$1,$B97,AA$1,$B$1)</f>
        <v>0</v>
      </c>
      <c r="AB97" s="125" cm="1">
        <f t="array" ref="AB97">_xll.EQNXTDZ($A$1,$B97,AB$1,$B$1)</f>
        <v>0</v>
      </c>
      <c r="AC97" s="125" cm="1">
        <f t="array" ref="AC97">_xll.EQNXTDZ($A$1,$B97,AC$1,$B$1)</f>
        <v>0</v>
      </c>
      <c r="AD97" s="125" cm="1">
        <f t="array" ref="AD97">_xll.EQNXTDZ($A$1,$B97,AD$1,$B$1)</f>
        <v>0</v>
      </c>
      <c r="AE97" s="125" cm="1">
        <f t="array" ref="AE97">_xll.EQNXTDZ($A$1,$B97,AE$1,$B$1)</f>
        <v>0</v>
      </c>
      <c r="AF97" s="125" cm="1">
        <f t="array" ref="AF97">_xll.EQNXTDZ($A$1,$B97,AF$1,$B$1)</f>
        <v>0</v>
      </c>
    </row>
    <row r="98" spans="1:32" s="107" customFormat="1" x14ac:dyDescent="0.25">
      <c r="A98" s="143" t="s">
        <v>489</v>
      </c>
      <c r="B98" s="107" t="s">
        <v>493</v>
      </c>
      <c r="C98" s="125" cm="1">
        <f t="array" ref="C98">_xll.EQNXTDZ($A$1,$B98,C$1,$B$1)</f>
        <v>0</v>
      </c>
      <c r="D98" s="125" cm="1">
        <f t="array" ref="D98">_xll.EQNXTDZ($A$1,$B98,D$1,$B$1)</f>
        <v>0</v>
      </c>
      <c r="E98" s="125" cm="1">
        <f t="array" ref="E98">_xll.EQNXTDZ($A$1,$B98,E$1,$B$1)</f>
        <v>0</v>
      </c>
      <c r="F98" s="125" cm="1">
        <f t="array" ref="F98">_xll.EQNXTDZ($A$1,$B98,F$1,$B$1)</f>
        <v>0</v>
      </c>
      <c r="G98" s="125" cm="1">
        <f t="array" ref="G98">_xll.EQNXTDZ($A$1,$B98,G$1,$B$1)</f>
        <v>0</v>
      </c>
      <c r="H98" s="125" cm="1">
        <f t="array" ref="H98">_xll.EQNXTDZ($A$1,$B98,H$1,$B$1)</f>
        <v>0</v>
      </c>
      <c r="I98" s="125" cm="1">
        <f t="array" ref="I98">_xll.EQNXTDZ($A$1,$B98,I$1,$B$1)</f>
        <v>0</v>
      </c>
      <c r="J98" s="125" cm="1">
        <f t="array" ref="J98">_xll.EQNXTDZ($A$1,$B98,J$1,$B$1)</f>
        <v>0</v>
      </c>
      <c r="K98" s="125" cm="1">
        <f t="array" ref="K98">_xll.EQNXTDZ($A$1,$B98,K$1,$B$1)</f>
        <v>0</v>
      </c>
      <c r="L98" s="125" cm="1">
        <f t="array" ref="L98">_xll.EQNXTDZ($A$1,$B98,L$1,$B$1)</f>
        <v>0</v>
      </c>
      <c r="M98" s="125" cm="1">
        <f t="array" ref="M98">_xll.EQNXTDZ($A$1,$B98,M$1,$B$1)</f>
        <v>0</v>
      </c>
      <c r="N98" s="125" cm="1">
        <f t="array" ref="N98">_xll.EQNXTDZ($A$1,$B98,N$1,$B$1)</f>
        <v>0</v>
      </c>
      <c r="O98" s="125" cm="1">
        <f t="array" ref="O98">_xll.EQNXTDZ($A$1,$B98,O$1,$B$1)</f>
        <v>0</v>
      </c>
      <c r="P98" s="125" cm="1">
        <f t="array" ref="P98">_xll.EQNXTDZ($A$1,$B98,P$1,$B$1)</f>
        <v>0</v>
      </c>
      <c r="Q98" s="125" cm="1">
        <f t="array" ref="Q98">_xll.EQNXTDZ($A$1,$B98,Q$1,$B$1)</f>
        <v>0</v>
      </c>
      <c r="R98" s="125" cm="1">
        <f t="array" ref="R98">_xll.EQNXTDZ($A$1,$B98,R$1,$B$1)</f>
        <v>0</v>
      </c>
      <c r="S98" s="125" cm="1">
        <f t="array" ref="S98">_xll.EQNXTDZ($A$1,$B98,S$1,$B$1)</f>
        <v>0</v>
      </c>
      <c r="T98" s="125" cm="1">
        <f t="array" ref="T98">_xll.EQNXTDZ($A$1,$B98,T$1,$B$1)</f>
        <v>0</v>
      </c>
      <c r="U98" s="125" cm="1">
        <f t="array" ref="U98">_xll.EQNXTDZ($A$1,$B98,U$1,$B$1)</f>
        <v>0</v>
      </c>
      <c r="V98" s="125" cm="1">
        <f t="array" ref="V98">_xll.EQNXTDZ($A$1,$B98,V$1,$B$1)</f>
        <v>0</v>
      </c>
      <c r="W98" s="125" cm="1">
        <f t="array" ref="W98">_xll.EQNXTDZ($A$1,$B98,W$1,$B$1)</f>
        <v>0</v>
      </c>
      <c r="X98" s="125" cm="1">
        <f t="array" ref="X98">_xll.EQNXTDZ($A$1,$B98,X$1,$B$1)</f>
        <v>0</v>
      </c>
      <c r="Y98" s="125" cm="1">
        <f t="array" ref="Y98">_xll.EQNXTDZ($A$1,$B98,Y$1,$B$1)</f>
        <v>0</v>
      </c>
      <c r="Z98" s="125" cm="1">
        <f t="array" ref="Z98">_xll.EQNXTDZ($A$1,$B98,Z$1,$B$1)</f>
        <v>0</v>
      </c>
      <c r="AA98" s="125" cm="1">
        <f t="array" ref="AA98">_xll.EQNXTDZ($A$1,$B98,AA$1,$B$1)</f>
        <v>0</v>
      </c>
      <c r="AB98" s="125" cm="1">
        <f t="array" ref="AB98">_xll.EQNXTDZ($A$1,$B98,AB$1,$B$1)</f>
        <v>0</v>
      </c>
      <c r="AC98" s="125" cm="1">
        <f t="array" ref="AC98">_xll.EQNXTDZ($A$1,$B98,AC$1,$B$1)</f>
        <v>0</v>
      </c>
      <c r="AD98" s="125" cm="1">
        <f t="array" ref="AD98">_xll.EQNXTDZ($A$1,$B98,AD$1,$B$1)</f>
        <v>0</v>
      </c>
      <c r="AE98" s="125" cm="1">
        <f t="array" ref="AE98">_xll.EQNXTDZ($A$1,$B98,AE$1,$B$1)</f>
        <v>0</v>
      </c>
      <c r="AF98" s="125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5" cm="1">
        <f t="array" ref="C99">_xll.EQNXTDZ($A$1,$B99,C$1,$B$1)</f>
        <v>0</v>
      </c>
      <c r="D99" s="125" cm="1">
        <f t="array" ref="D99">_xll.EQNXTDZ($A$1,$B99,D$1,$B$1)</f>
        <v>0</v>
      </c>
      <c r="E99" s="125" cm="1">
        <f t="array" ref="E99">_xll.EQNXTDZ($A$1,$B99,E$1,$B$1)</f>
        <v>0</v>
      </c>
      <c r="F99" s="125" cm="1">
        <f t="array" ref="F99">_xll.EQNXTDZ($A$1,$B99,F$1,$B$1)</f>
        <v>0</v>
      </c>
      <c r="G99" s="125" cm="1">
        <f t="array" ref="G99">_xll.EQNXTDZ($A$1,$B99,G$1,$B$1)</f>
        <v>0</v>
      </c>
      <c r="H99" s="125" cm="1">
        <f t="array" ref="H99">_xll.EQNXTDZ($A$1,$B99,H$1,$B$1)</f>
        <v>0</v>
      </c>
      <c r="I99" s="125" cm="1">
        <f t="array" ref="I99">_xll.EQNXTDZ($A$1,$B99,I$1,$B$1)</f>
        <v>0</v>
      </c>
      <c r="J99" s="125" cm="1">
        <f t="array" ref="J99">_xll.EQNXTDZ($A$1,$B99,J$1,$B$1)</f>
        <v>0</v>
      </c>
      <c r="K99" s="125" cm="1">
        <f t="array" ref="K99">_xll.EQNXTDZ($A$1,$B99,K$1,$B$1)</f>
        <v>0</v>
      </c>
      <c r="L99" s="125" cm="1">
        <f t="array" ref="L99">_xll.EQNXTDZ($A$1,$B99,L$1,$B$1)</f>
        <v>0</v>
      </c>
      <c r="M99" s="125" cm="1">
        <f t="array" ref="M99">_xll.EQNXTDZ($A$1,$B99,M$1,$B$1)</f>
        <v>5.5107157999999998</v>
      </c>
      <c r="N99" s="125" cm="1">
        <f t="array" ref="N99">_xll.EQNXTDZ($A$1,$B99,N$1,$B$1)</f>
        <v>31.75</v>
      </c>
      <c r="O99" s="125" cm="1">
        <f t="array" ref="O99">_xll.EQNXTDZ($A$1,$B99,O$1,$B$1)</f>
        <v>0</v>
      </c>
      <c r="P99" s="125" cm="1">
        <f t="array" ref="P99">_xll.EQNXTDZ($A$1,$B99,P$1,$B$1)</f>
        <v>0</v>
      </c>
      <c r="Q99" s="125" cm="1">
        <f t="array" ref="Q99">_xll.EQNXTDZ($A$1,$B99,Q$1,$B$1)</f>
        <v>0</v>
      </c>
      <c r="R99" s="125" cm="1">
        <f t="array" ref="R99">_xll.EQNXTDZ($A$1,$B99,R$1,$B$1)</f>
        <v>20</v>
      </c>
      <c r="S99" s="125" cm="1">
        <f t="array" ref="S99">_xll.EQNXTDZ($A$1,$B99,S$1,$B$1)</f>
        <v>0</v>
      </c>
      <c r="T99" s="125" cm="1">
        <f t="array" ref="T99">_xll.EQNXTDZ($A$1,$B99,T$1,$B$1)</f>
        <v>0</v>
      </c>
      <c r="U99" s="125" cm="1">
        <f t="array" ref="U99">_xll.EQNXTDZ($A$1,$B99,U$1,$B$1)</f>
        <v>37.07</v>
      </c>
      <c r="V99" s="125" cm="1">
        <f t="array" ref="V99">_xll.EQNXTDZ($A$1,$B99,V$1,$B$1)</f>
        <v>25</v>
      </c>
      <c r="W99" s="125" cm="1">
        <f t="array" ref="W99">_xll.EQNXTDZ($A$1,$B99,W$1,$B$1)</f>
        <v>25</v>
      </c>
      <c r="X99" s="125" cm="1">
        <f t="array" ref="X99">_xll.EQNXTDZ($A$1,$B99,X$1,$B$1)</f>
        <v>25.57</v>
      </c>
      <c r="Y99" s="125" cm="1">
        <f t="array" ref="Y99">_xll.EQNXTDZ($A$1,$B99,Y$1,$B$1)</f>
        <v>25.26</v>
      </c>
      <c r="Z99" s="125" cm="1">
        <f t="array" ref="Z99">_xll.EQNXTDZ($A$1,$B99,Z$1,$B$1)</f>
        <v>9870.5300000000007</v>
      </c>
      <c r="AA99" s="125" cm="1">
        <f t="array" ref="AA99">_xll.EQNXTDZ($A$1,$B99,AA$1,$B$1)</f>
        <v>10460.530000000001</v>
      </c>
      <c r="AB99" s="125" cm="1">
        <f t="array" ref="AB99">_xll.EQNXTDZ($A$1,$B99,AB$1,$B$1)</f>
        <v>12929</v>
      </c>
      <c r="AC99" s="125" cm="1">
        <f t="array" ref="AC99">_xll.EQNXTDZ($A$1,$B99,AC$1,$B$1)</f>
        <v>0</v>
      </c>
      <c r="AD99" s="125" cm="1">
        <f t="array" ref="AD99">_xll.EQNXTDZ($A$1,$B99,AD$1,$B$1)</f>
        <v>0</v>
      </c>
      <c r="AE99" s="125" cm="1">
        <f t="array" ref="AE99">_xll.EQNXTDZ($A$1,$B99,AE$1,$B$1)</f>
        <v>0</v>
      </c>
      <c r="AF99" s="125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5" cm="1">
        <f t="array" ref="C100">_xll.EQNXTDZ($A$1,$B100,C$1,$B$1)</f>
        <v>0</v>
      </c>
      <c r="D100" s="125" cm="1">
        <f t="array" ref="D100">_xll.EQNXTDZ($A$1,$B100,D$1,$B$1)</f>
        <v>0</v>
      </c>
      <c r="E100" s="125" cm="1">
        <f t="array" ref="E100">_xll.EQNXTDZ($A$1,$B100,E$1,$B$1)</f>
        <v>0</v>
      </c>
      <c r="F100" s="125" cm="1">
        <f t="array" ref="F100">_xll.EQNXTDZ($A$1,$B100,F$1,$B$1)</f>
        <v>0</v>
      </c>
      <c r="G100" s="125" cm="1">
        <f t="array" ref="G100">_xll.EQNXTDZ($A$1,$B100,G$1,$B$1)</f>
        <v>0</v>
      </c>
      <c r="H100" s="125" cm="1">
        <f t="array" ref="H100">_xll.EQNXTDZ($A$1,$B100,H$1,$B$1)</f>
        <v>0</v>
      </c>
      <c r="I100" s="125" cm="1">
        <f t="array" ref="I100">_xll.EQNXTDZ($A$1,$B100,I$1,$B$1)</f>
        <v>0</v>
      </c>
      <c r="J100" s="125" cm="1">
        <f t="array" ref="J100">_xll.EQNXTDZ($A$1,$B100,J$1,$B$1)</f>
        <v>0</v>
      </c>
      <c r="K100" s="125" cm="1">
        <f t="array" ref="K100">_xll.EQNXTDZ($A$1,$B100,K$1,$B$1)</f>
        <v>0.4317338</v>
      </c>
      <c r="L100" s="125" cm="1">
        <f t="array" ref="L100">_xll.EQNXTDZ($A$1,$B100,L$1,$B$1)</f>
        <v>3.0304478000000001</v>
      </c>
      <c r="M100" s="125" cm="1">
        <f t="array" ref="M100">_xll.EQNXTDZ($A$1,$B100,M$1,$B$1)</f>
        <v>2.8004123999999999</v>
      </c>
      <c r="N100" s="125" cm="1">
        <f t="array" ref="N100">_xll.EQNXTDZ($A$1,$B100,N$1,$B$1)</f>
        <v>0.48467130000000003</v>
      </c>
      <c r="O100" s="125" cm="1">
        <f t="array" ref="O100">_xll.EQNXTDZ($A$1,$B100,O$1,$B$1)</f>
        <v>1.3757128000000001</v>
      </c>
      <c r="P100" s="125" cm="1">
        <f t="array" ref="P100">_xll.EQNXTDZ($A$1,$B100,P$1,$B$1)</f>
        <v>6.1507797000000002</v>
      </c>
      <c r="Q100" s="125" cm="1">
        <f t="array" ref="Q100">_xll.EQNXTDZ($A$1,$B100,Q$1,$B$1)</f>
        <v>12.0488704</v>
      </c>
      <c r="R100" s="125" cm="1">
        <f t="array" ref="R100">_xll.EQNXTDZ($A$1,$B100,R$1,$B$1)</f>
        <v>20.744229300000001</v>
      </c>
      <c r="S100" s="125" cm="1">
        <f t="array" ref="S100">_xll.EQNXTDZ($A$1,$B100,S$1,$B$1)</f>
        <v>117.25403129999999</v>
      </c>
      <c r="T100" s="125" cm="1">
        <f t="array" ref="T100">_xll.EQNXTDZ($A$1,$B100,T$1,$B$1)</f>
        <v>4.76</v>
      </c>
      <c r="U100" s="125" cm="1">
        <f t="array" ref="U100">_xll.EQNXTDZ($A$1,$B100,U$1,$B$1)</f>
        <v>7.74</v>
      </c>
      <c r="V100" s="125" cm="1">
        <f t="array" ref="V100">_xll.EQNXTDZ($A$1,$B100,V$1,$B$1)</f>
        <v>12.33</v>
      </c>
      <c r="W100" s="125" cm="1">
        <f t="array" ref="W100">_xll.EQNXTDZ($A$1,$B100,W$1,$B$1)</f>
        <v>15.48</v>
      </c>
      <c r="X100" s="125" cm="1">
        <f t="array" ref="X100">_xll.EQNXTDZ($A$1,$B100,X$1,$B$1)</f>
        <v>208.39</v>
      </c>
      <c r="Y100" s="125" cm="1">
        <f t="array" ref="Y100">_xll.EQNXTDZ($A$1,$B100,Y$1,$B$1)</f>
        <v>264.52999999999997</v>
      </c>
      <c r="Z100" s="125" cm="1">
        <f t="array" ref="Z100">_xll.EQNXTDZ($A$1,$B100,Z$1,$B$1)</f>
        <v>24.84</v>
      </c>
      <c r="AA100" s="125" cm="1">
        <f t="array" ref="AA100">_xll.EQNXTDZ($A$1,$B100,AA$1,$B$1)</f>
        <v>422.13</v>
      </c>
      <c r="AB100" s="125" cm="1">
        <f t="array" ref="AB100">_xll.EQNXTDZ($A$1,$B100,AB$1,$B$1)</f>
        <v>283.64999999999998</v>
      </c>
      <c r="AC100" s="125" cm="1">
        <f t="array" ref="AC100">_xll.EQNXTDZ($A$1,$B100,AC$1,$B$1)</f>
        <v>0</v>
      </c>
      <c r="AD100" s="125" cm="1">
        <f t="array" ref="AD100">_xll.EQNXTDZ($A$1,$B100,AD$1,$B$1)</f>
        <v>0</v>
      </c>
      <c r="AE100" s="125" cm="1">
        <f t="array" ref="AE100">_xll.EQNXTDZ($A$1,$B100,AE$1,$B$1)</f>
        <v>0</v>
      </c>
      <c r="AF100" s="125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5" cm="1">
        <f t="array" ref="C101">_xll.EQNXTDZ($A$1,$B101,C$1,$B$1)</f>
        <v>0</v>
      </c>
      <c r="D101" s="125" cm="1">
        <f t="array" ref="D101">_xll.EQNXTDZ($A$1,$B101,D$1,$B$1)</f>
        <v>0</v>
      </c>
      <c r="E101" s="125" cm="1">
        <f t="array" ref="E101">_xll.EQNXTDZ($A$1,$B101,E$1,$B$1)</f>
        <v>0</v>
      </c>
      <c r="F101" s="125" cm="1">
        <f t="array" ref="F101">_xll.EQNXTDZ($A$1,$B101,F$1,$B$1)</f>
        <v>0</v>
      </c>
      <c r="G101" s="125" cm="1">
        <f t="array" ref="G101">_xll.EQNXTDZ($A$1,$B101,G$1,$B$1)</f>
        <v>0</v>
      </c>
      <c r="H101" s="125" cm="1">
        <f t="array" ref="H101">_xll.EQNXTDZ($A$1,$B101,H$1,$B$1)</f>
        <v>0</v>
      </c>
      <c r="I101" s="125" cm="1">
        <f t="array" ref="I101">_xll.EQNXTDZ($A$1,$B101,I$1,$B$1)</f>
        <v>0</v>
      </c>
      <c r="J101" s="125" cm="1">
        <f t="array" ref="J101">_xll.EQNXTDZ($A$1,$B101,J$1,$B$1)</f>
        <v>0</v>
      </c>
      <c r="K101" s="125" cm="1">
        <f t="array" ref="K101">_xll.EQNXTDZ($A$1,$B101,K$1,$B$1)</f>
        <v>0</v>
      </c>
      <c r="L101" s="125" cm="1">
        <f t="array" ref="L101">_xll.EQNXTDZ($A$1,$B101,L$1,$B$1)</f>
        <v>0</v>
      </c>
      <c r="M101" s="125" cm="1">
        <f t="array" ref="M101">_xll.EQNXTDZ($A$1,$B101,M$1,$B$1)</f>
        <v>0</v>
      </c>
      <c r="N101" s="125" cm="1">
        <f t="array" ref="N101">_xll.EQNXTDZ($A$1,$B101,N$1,$B$1)</f>
        <v>0</v>
      </c>
      <c r="O101" s="125" cm="1">
        <f t="array" ref="O101">_xll.EQNXTDZ($A$1,$B101,O$1,$B$1)</f>
        <v>0</v>
      </c>
      <c r="P101" s="125" cm="1">
        <f t="array" ref="P101">_xll.EQNXTDZ($A$1,$B101,P$1,$B$1)</f>
        <v>0</v>
      </c>
      <c r="Q101" s="125" cm="1">
        <f t="array" ref="Q101">_xll.EQNXTDZ($A$1,$B101,Q$1,$B$1)</f>
        <v>0</v>
      </c>
      <c r="R101" s="125" cm="1">
        <f t="array" ref="R101">_xll.EQNXTDZ($A$1,$B101,R$1,$B$1)</f>
        <v>0</v>
      </c>
      <c r="S101" s="125" cm="1">
        <f t="array" ref="S101">_xll.EQNXTDZ($A$1,$B101,S$1,$B$1)</f>
        <v>0</v>
      </c>
      <c r="T101" s="125" cm="1">
        <f t="array" ref="T101">_xll.EQNXTDZ($A$1,$B101,T$1,$B$1)</f>
        <v>0</v>
      </c>
      <c r="U101" s="125" cm="1">
        <f t="array" ref="U101">_xll.EQNXTDZ($A$1,$B101,U$1,$B$1)</f>
        <v>0</v>
      </c>
      <c r="V101" s="125" cm="1">
        <f t="array" ref="V101">_xll.EQNXTDZ($A$1,$B101,V$1,$B$1)</f>
        <v>0</v>
      </c>
      <c r="W101" s="125" cm="1">
        <f t="array" ref="W101">_xll.EQNXTDZ($A$1,$B101,W$1,$B$1)</f>
        <v>0</v>
      </c>
      <c r="X101" s="125" cm="1">
        <f t="array" ref="X101">_xll.EQNXTDZ($A$1,$B101,X$1,$B$1)</f>
        <v>0</v>
      </c>
      <c r="Y101" s="125" cm="1">
        <f t="array" ref="Y101">_xll.EQNXTDZ($A$1,$B101,Y$1,$B$1)</f>
        <v>0</v>
      </c>
      <c r="Z101" s="125" cm="1">
        <f t="array" ref="Z101">_xll.EQNXTDZ($A$1,$B101,Z$1,$B$1)</f>
        <v>0</v>
      </c>
      <c r="AA101" s="125" cm="1">
        <f t="array" ref="AA101">_xll.EQNXTDZ($A$1,$B101,AA$1,$B$1)</f>
        <v>0</v>
      </c>
      <c r="AB101" s="125" cm="1">
        <f t="array" ref="AB101">_xll.EQNXTDZ($A$1,$B101,AB$1,$B$1)</f>
        <v>0</v>
      </c>
      <c r="AC101" s="125" cm="1">
        <f t="array" ref="AC101">_xll.EQNXTDZ($A$1,$B101,AC$1,$B$1)</f>
        <v>0</v>
      </c>
      <c r="AD101" s="125" cm="1">
        <f t="array" ref="AD101">_xll.EQNXTDZ($A$1,$B101,AD$1,$B$1)</f>
        <v>0</v>
      </c>
      <c r="AE101" s="125" cm="1">
        <f t="array" ref="AE101">_xll.EQNXTDZ($A$1,$B101,AE$1,$B$1)</f>
        <v>0</v>
      </c>
      <c r="AF101" s="125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5" cm="1">
        <f t="array" ref="C102">_xll.EQNXTDZ($A$1,$B102,C$1,$B$1)</f>
        <v>0</v>
      </c>
      <c r="D102" s="125" cm="1">
        <f t="array" ref="D102">_xll.EQNXTDZ($A$1,$B102,D$1,$B$1)</f>
        <v>0</v>
      </c>
      <c r="E102" s="125" cm="1">
        <f t="array" ref="E102">_xll.EQNXTDZ($A$1,$B102,E$1,$B$1)</f>
        <v>0</v>
      </c>
      <c r="F102" s="125" cm="1">
        <f t="array" ref="F102">_xll.EQNXTDZ($A$1,$B102,F$1,$B$1)</f>
        <v>0</v>
      </c>
      <c r="G102" s="125" cm="1">
        <f t="array" ref="G102">_xll.EQNXTDZ($A$1,$B102,G$1,$B$1)</f>
        <v>0</v>
      </c>
      <c r="H102" s="125" cm="1">
        <f t="array" ref="H102">_xll.EQNXTDZ($A$1,$B102,H$1,$B$1)</f>
        <v>0</v>
      </c>
      <c r="I102" s="125" cm="1">
        <f t="array" ref="I102">_xll.EQNXTDZ($A$1,$B102,I$1,$B$1)</f>
        <v>0</v>
      </c>
      <c r="J102" s="125" cm="1">
        <f t="array" ref="J102">_xll.EQNXTDZ($A$1,$B102,J$1,$B$1)</f>
        <v>0</v>
      </c>
      <c r="K102" s="125" cm="1">
        <f t="array" ref="K102">_xll.EQNXTDZ($A$1,$B102,K$1,$B$1)</f>
        <v>5.7540839999999998</v>
      </c>
      <c r="L102" s="125" cm="1">
        <f t="array" ref="L102">_xll.EQNXTDZ($A$1,$B102,L$1,$B$1)</f>
        <v>13.871161799999999</v>
      </c>
      <c r="M102" s="125" cm="1">
        <f t="array" ref="M102">_xll.EQNXTDZ($A$1,$B102,M$1,$B$1)</f>
        <v>158.50365099999999</v>
      </c>
      <c r="N102" s="125" cm="1">
        <f t="array" ref="N102">_xll.EQNXTDZ($A$1,$B102,N$1,$B$1)</f>
        <v>198.145927</v>
      </c>
      <c r="O102" s="125" cm="1">
        <f t="array" ref="O102">_xll.EQNXTDZ($A$1,$B102,O$1,$B$1)</f>
        <v>280.80161320000002</v>
      </c>
      <c r="P102" s="125" cm="1">
        <f t="array" ref="P102">_xll.EQNXTDZ($A$1,$B102,P$1,$B$1)</f>
        <v>477.88574510000001</v>
      </c>
      <c r="Q102" s="125" cm="1">
        <f t="array" ref="Q102">_xll.EQNXTDZ($A$1,$B102,Q$1,$B$1)</f>
        <v>762.44878570000003</v>
      </c>
      <c r="R102" s="125" cm="1">
        <f t="array" ref="R102">_xll.EQNXTDZ($A$1,$B102,R$1,$B$1)</f>
        <v>1215.2005243999999</v>
      </c>
      <c r="S102" s="125" cm="1">
        <f t="array" ref="S102">_xll.EQNXTDZ($A$1,$B102,S$1,$B$1)</f>
        <v>1666.6701177</v>
      </c>
      <c r="T102" s="125" cm="1">
        <f t="array" ref="T102">_xll.EQNXTDZ($A$1,$B102,T$1,$B$1)</f>
        <v>50.86</v>
      </c>
      <c r="U102" s="125" cm="1">
        <f t="array" ref="U102">_xll.EQNXTDZ($A$1,$B102,U$1,$B$1)</f>
        <v>158.44</v>
      </c>
      <c r="V102" s="125" cm="1">
        <f t="array" ref="V102">_xll.EQNXTDZ($A$1,$B102,V$1,$B$1)</f>
        <v>191.33</v>
      </c>
      <c r="W102" s="125" cm="1">
        <f t="array" ref="W102">_xll.EQNXTDZ($A$1,$B102,W$1,$B$1)</f>
        <v>302.06</v>
      </c>
      <c r="X102" s="125" cm="1">
        <f t="array" ref="X102">_xll.EQNXTDZ($A$1,$B102,X$1,$B$1)</f>
        <v>595.38</v>
      </c>
      <c r="Y102" s="125" cm="1">
        <f t="array" ref="Y102">_xll.EQNXTDZ($A$1,$B102,Y$1,$B$1)</f>
        <v>624.67999999999995</v>
      </c>
      <c r="Z102" s="125" cm="1">
        <f t="array" ref="Z102">_xll.EQNXTDZ($A$1,$B102,Z$1,$B$1)</f>
        <v>10219.85</v>
      </c>
      <c r="AA102" s="125" cm="1">
        <f t="array" ref="AA102">_xll.EQNXTDZ($A$1,$B102,AA$1,$B$1)</f>
        <v>11117.11</v>
      </c>
      <c r="AB102" s="125" cm="1">
        <f t="array" ref="AB102">_xll.EQNXTDZ($A$1,$B102,AB$1,$B$1)</f>
        <v>13462.31</v>
      </c>
      <c r="AC102" s="125" cm="1">
        <f t="array" ref="AC102">_xll.EQNXTDZ($A$1,$B102,AC$1,$B$1)</f>
        <v>0</v>
      </c>
      <c r="AD102" s="125" cm="1">
        <f t="array" ref="AD102">_xll.EQNXTDZ($A$1,$B102,AD$1,$B$1)</f>
        <v>0</v>
      </c>
      <c r="AE102" s="125" cm="1">
        <f t="array" ref="AE102">_xll.EQNXTDZ($A$1,$B102,AE$1,$B$1)</f>
        <v>0</v>
      </c>
      <c r="AF102" s="125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5" cm="1">
        <f t="array" ref="C103">_xll.EQNXTDZ($A$1,$B103,C$1,$B$1)</f>
        <v>0</v>
      </c>
      <c r="D103" s="125" cm="1">
        <f t="array" ref="D103">_xll.EQNXTDZ($A$1,$B103,D$1,$B$1)</f>
        <v>0</v>
      </c>
      <c r="E103" s="125" cm="1">
        <f t="array" ref="E103">_xll.EQNXTDZ($A$1,$B103,E$1,$B$1)</f>
        <v>0</v>
      </c>
      <c r="F103" s="125" cm="1">
        <f t="array" ref="F103">_xll.EQNXTDZ($A$1,$B103,F$1,$B$1)</f>
        <v>0</v>
      </c>
      <c r="G103" s="125" cm="1">
        <f t="array" ref="G103">_xll.EQNXTDZ($A$1,$B103,G$1,$B$1)</f>
        <v>0</v>
      </c>
      <c r="H103" s="125" cm="1">
        <f t="array" ref="H103">_xll.EQNXTDZ($A$1,$B103,H$1,$B$1)</f>
        <v>0</v>
      </c>
      <c r="I103" s="125" cm="1">
        <f t="array" ref="I103">_xll.EQNXTDZ($A$1,$B103,I$1,$B$1)</f>
        <v>0</v>
      </c>
      <c r="J103" s="125" cm="1">
        <f t="array" ref="J103">_xll.EQNXTDZ($A$1,$B103,J$1,$B$1)</f>
        <v>0</v>
      </c>
      <c r="K103" s="125" cm="1">
        <f t="array" ref="K103">_xll.EQNXTDZ($A$1,$B103,K$1,$B$1)</f>
        <v>216.81987190000001</v>
      </c>
      <c r="L103" s="125" cm="1">
        <f t="array" ref="L103">_xll.EQNXTDZ($A$1,$B103,L$1,$B$1)</f>
        <v>310.30734059999997</v>
      </c>
      <c r="M103" s="125" cm="1">
        <f t="array" ref="M103">_xll.EQNXTDZ($A$1,$B103,M$1,$B$1)</f>
        <v>290.40360959999998</v>
      </c>
      <c r="N103" s="125" cm="1">
        <f t="array" ref="N103">_xll.EQNXTDZ($A$1,$B103,N$1,$B$1)</f>
        <v>325.11883460000001</v>
      </c>
      <c r="O103" s="125" cm="1">
        <f t="array" ref="O103">_xll.EQNXTDZ($A$1,$B103,O$1,$B$1)</f>
        <v>543.64523540000005</v>
      </c>
      <c r="P103" s="125" cm="1">
        <f t="array" ref="P103">_xll.EQNXTDZ($A$1,$B103,P$1,$B$1)</f>
        <v>1060.5952222000001</v>
      </c>
      <c r="Q103" s="125" cm="1">
        <f t="array" ref="Q103">_xll.EQNXTDZ($A$1,$B103,Q$1,$B$1)</f>
        <v>1727.7554680000001</v>
      </c>
      <c r="R103" s="125" cm="1">
        <f t="array" ref="R103">_xll.EQNXTDZ($A$1,$B103,R$1,$B$1)</f>
        <v>2804.6565787</v>
      </c>
      <c r="S103" s="125" cm="1">
        <f t="array" ref="S103">_xll.EQNXTDZ($A$1,$B103,S$1,$B$1)</f>
        <v>3515.577495</v>
      </c>
      <c r="T103" s="125" cm="1">
        <f t="array" ref="T103">_xll.EQNXTDZ($A$1,$B103,T$1,$B$1)</f>
        <v>5225.22</v>
      </c>
      <c r="U103" s="125" cm="1">
        <f t="array" ref="U103">_xll.EQNXTDZ($A$1,$B103,U$1,$B$1)</f>
        <v>7629.31</v>
      </c>
      <c r="V103" s="125" cm="1">
        <f t="array" ref="V103">_xll.EQNXTDZ($A$1,$B103,V$1,$B$1)</f>
        <v>11052.5</v>
      </c>
      <c r="W103" s="125" cm="1">
        <f t="array" ref="W103">_xll.EQNXTDZ($A$1,$B103,W$1,$B$1)</f>
        <v>13145.89</v>
      </c>
      <c r="X103" s="125" cm="1">
        <f t="array" ref="X103">_xll.EQNXTDZ($A$1,$B103,X$1,$B$1)</f>
        <v>17964.98</v>
      </c>
      <c r="Y103" s="125" cm="1">
        <f t="array" ref="Y103">_xll.EQNXTDZ($A$1,$B103,Y$1,$B$1)</f>
        <v>22533.32</v>
      </c>
      <c r="Z103" s="125" cm="1">
        <f t="array" ref="Z103">_xll.EQNXTDZ($A$1,$B103,Z$1,$B$1)</f>
        <v>30034.52</v>
      </c>
      <c r="AA103" s="125" cm="1">
        <f t="array" ref="AA103">_xll.EQNXTDZ($A$1,$B103,AA$1,$B$1)</f>
        <v>28979.17</v>
      </c>
      <c r="AB103" s="125" cm="1">
        <f t="array" ref="AB103">_xll.EQNXTDZ($A$1,$B103,AB$1,$B$1)</f>
        <v>32825.660000000003</v>
      </c>
      <c r="AC103" s="125" cm="1">
        <f t="array" ref="AC103">_xll.EQNXTDZ($A$1,$B103,AC$1,$B$1)</f>
        <v>0</v>
      </c>
      <c r="AD103" s="125" cm="1">
        <f t="array" ref="AD103">_xll.EQNXTDZ($A$1,$B103,AD$1,$B$1)</f>
        <v>0</v>
      </c>
      <c r="AE103" s="125" cm="1">
        <f t="array" ref="AE103">_xll.EQNXTDZ($A$1,$B103,AE$1,$B$1)</f>
        <v>0</v>
      </c>
      <c r="AF103" s="125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5" cm="1">
        <f t="array" ref="C104">_xll.EQNXTDZ($A$1,$B104,C$1,$B$1)</f>
        <v>0</v>
      </c>
      <c r="D104" s="125" cm="1">
        <f t="array" ref="D104">_xll.EQNXTDZ($A$1,$B104,D$1,$B$1)</f>
        <v>0</v>
      </c>
      <c r="E104" s="125" cm="1">
        <f t="array" ref="E104">_xll.EQNXTDZ($A$1,$B104,E$1,$B$1)</f>
        <v>0</v>
      </c>
      <c r="F104" s="125" cm="1">
        <f t="array" ref="F104">_xll.EQNXTDZ($A$1,$B104,F$1,$B$1)</f>
        <v>0</v>
      </c>
      <c r="G104" s="125" cm="1">
        <f t="array" ref="G104">_xll.EQNXTDZ($A$1,$B104,G$1,$B$1)</f>
        <v>0</v>
      </c>
      <c r="H104" s="125" cm="1">
        <f t="array" ref="H104">_xll.EQNXTDZ($A$1,$B104,H$1,$B$1)</f>
        <v>0</v>
      </c>
      <c r="I104" s="125" cm="1">
        <f t="array" ref="I104">_xll.EQNXTDZ($A$1,$B104,I$1,$B$1)</f>
        <v>0</v>
      </c>
      <c r="J104" s="125" cm="1">
        <f t="array" ref="J104">_xll.EQNXTDZ($A$1,$B104,J$1,$B$1)</f>
        <v>0</v>
      </c>
      <c r="K104" s="125" cm="1">
        <f t="array" ref="K104">_xll.EQNXTDZ($A$1,$B104,K$1,$B$1)</f>
        <v>0</v>
      </c>
      <c r="L104" s="125" cm="1">
        <f t="array" ref="L104">_xll.EQNXTDZ($A$1,$B104,L$1,$B$1)</f>
        <v>0</v>
      </c>
      <c r="M104" s="125" cm="1">
        <f t="array" ref="M104">_xll.EQNXTDZ($A$1,$B104,M$1,$B$1)</f>
        <v>0</v>
      </c>
      <c r="N104" s="125" cm="1">
        <f t="array" ref="N104">_xll.EQNXTDZ($A$1,$B104,N$1,$B$1)</f>
        <v>0</v>
      </c>
      <c r="O104" s="125" cm="1">
        <f t="array" ref="O104">_xll.EQNXTDZ($A$1,$B104,O$1,$B$1)</f>
        <v>0</v>
      </c>
      <c r="P104" s="125" cm="1">
        <f t="array" ref="P104">_xll.EQNXTDZ($A$1,$B104,P$1,$B$1)</f>
        <v>0</v>
      </c>
      <c r="Q104" s="125" cm="1">
        <f t="array" ref="Q104">_xll.EQNXTDZ($A$1,$B104,Q$1,$B$1)</f>
        <v>0</v>
      </c>
      <c r="R104" s="125" cm="1">
        <f t="array" ref="R104">_xll.EQNXTDZ($A$1,$B104,R$1,$B$1)</f>
        <v>0</v>
      </c>
      <c r="S104" s="125" cm="1">
        <f t="array" ref="S104">_xll.EQNXTDZ($A$1,$B104,S$1,$B$1)</f>
        <v>0</v>
      </c>
      <c r="T104" s="125" cm="1">
        <f t="array" ref="T104">_xll.EQNXTDZ($A$1,$B104,T$1,$B$1)</f>
        <v>0</v>
      </c>
      <c r="U104" s="125" cm="1">
        <f t="array" ref="U104">_xll.EQNXTDZ($A$1,$B104,U$1,$B$1)</f>
        <v>0</v>
      </c>
      <c r="V104" s="125" cm="1">
        <f t="array" ref="V104">_xll.EQNXTDZ($A$1,$B104,V$1,$B$1)</f>
        <v>0</v>
      </c>
      <c r="W104" s="125" cm="1">
        <f t="array" ref="W104">_xll.EQNXTDZ($A$1,$B104,W$1,$B$1)</f>
        <v>0</v>
      </c>
      <c r="X104" s="125" cm="1">
        <f t="array" ref="X104">_xll.EQNXTDZ($A$1,$B104,X$1,$B$1)</f>
        <v>0</v>
      </c>
      <c r="Y104" s="125" cm="1">
        <f t="array" ref="Y104">_xll.EQNXTDZ($A$1,$B104,Y$1,$B$1)</f>
        <v>0</v>
      </c>
      <c r="Z104" s="125" cm="1">
        <f t="array" ref="Z104">_xll.EQNXTDZ($A$1,$B104,Z$1,$B$1)</f>
        <v>0</v>
      </c>
      <c r="AA104" s="125" cm="1">
        <f t="array" ref="AA104">_xll.EQNXTDZ($A$1,$B104,AA$1,$B$1)</f>
        <v>0</v>
      </c>
      <c r="AB104" s="125" cm="1">
        <f t="array" ref="AB104">_xll.EQNXTDZ($A$1,$B104,AB$1,$B$1)</f>
        <v>0</v>
      </c>
      <c r="AC104" s="125" cm="1">
        <f t="array" ref="AC104">_xll.EQNXTDZ($A$1,$B104,AC$1,$B$1)</f>
        <v>0</v>
      </c>
      <c r="AD104" s="125" cm="1">
        <f t="array" ref="AD104">_xll.EQNXTDZ($A$1,$B104,AD$1,$B$1)</f>
        <v>0</v>
      </c>
      <c r="AE104" s="125" cm="1">
        <f t="array" ref="AE104">_xll.EQNXTDZ($A$1,$B104,AE$1,$B$1)</f>
        <v>0</v>
      </c>
      <c r="AF104" s="125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5" cm="1">
        <f t="array" ref="C105">_xll.EQNXTDZ($A$1,$B105,C$1,$B$1)</f>
        <v>0</v>
      </c>
      <c r="D105" s="125" cm="1">
        <f t="array" ref="D105">_xll.EQNXTDZ($A$1,$B105,D$1,$B$1)</f>
        <v>0</v>
      </c>
      <c r="E105" s="125" cm="1">
        <f t="array" ref="E105">_xll.EQNXTDZ($A$1,$B105,E$1,$B$1)</f>
        <v>0</v>
      </c>
      <c r="F105" s="125" cm="1">
        <f t="array" ref="F105">_xll.EQNXTDZ($A$1,$B105,F$1,$B$1)</f>
        <v>0</v>
      </c>
      <c r="G105" s="125" cm="1">
        <f t="array" ref="G105">_xll.EQNXTDZ($A$1,$B105,G$1,$B$1)</f>
        <v>0</v>
      </c>
      <c r="H105" s="125" cm="1">
        <f t="array" ref="H105">_xll.EQNXTDZ($A$1,$B105,H$1,$B$1)</f>
        <v>0</v>
      </c>
      <c r="I105" s="125" cm="1">
        <f t="array" ref="I105">_xll.EQNXTDZ($A$1,$B105,I$1,$B$1)</f>
        <v>0</v>
      </c>
      <c r="J105" s="125" cm="1">
        <f t="array" ref="J105">_xll.EQNXTDZ($A$1,$B105,J$1,$B$1)</f>
        <v>0</v>
      </c>
      <c r="K105" s="125" cm="1">
        <f t="array" ref="K105">_xll.EQNXTDZ($A$1,$B105,K$1,$B$1)</f>
        <v>181.30534080000001</v>
      </c>
      <c r="L105" s="125" cm="1">
        <f t="array" ref="L105">_xll.EQNXTDZ($A$1,$B105,L$1,$B$1)</f>
        <v>234.13374210000001</v>
      </c>
      <c r="M105" s="125" cm="1">
        <f t="array" ref="M105">_xll.EQNXTDZ($A$1,$B105,M$1,$B$1)</f>
        <v>1.3161058999999999</v>
      </c>
      <c r="N105" s="125" cm="1">
        <f t="array" ref="N105">_xll.EQNXTDZ($A$1,$B105,N$1,$B$1)</f>
        <v>76.746005199999999</v>
      </c>
      <c r="O105" s="125" cm="1">
        <f t="array" ref="O105">_xll.EQNXTDZ($A$1,$B105,O$1,$B$1)</f>
        <v>90.356650999999999</v>
      </c>
      <c r="P105" s="125" cm="1">
        <f t="array" ref="P105">_xll.EQNXTDZ($A$1,$B105,P$1,$B$1)</f>
        <v>152.93285280000001</v>
      </c>
      <c r="Q105" s="125" cm="1">
        <f t="array" ref="Q105">_xll.EQNXTDZ($A$1,$B105,Q$1,$B$1)</f>
        <v>262.49497170000001</v>
      </c>
      <c r="R105" s="125" cm="1">
        <f t="array" ref="R105">_xll.EQNXTDZ($A$1,$B105,R$1,$B$1)</f>
        <v>766.03149470000005</v>
      </c>
      <c r="S105" s="125" cm="1">
        <f t="array" ref="S105">_xll.EQNXTDZ($A$1,$B105,S$1,$B$1)</f>
        <v>631.74547900000005</v>
      </c>
      <c r="T105" s="125" cm="1">
        <f t="array" ref="T105">_xll.EQNXTDZ($A$1,$B105,T$1,$B$1)</f>
        <v>4895.53</v>
      </c>
      <c r="U105" s="125" cm="1">
        <f t="array" ref="U105">_xll.EQNXTDZ($A$1,$B105,U$1,$B$1)</f>
        <v>6602.83</v>
      </c>
      <c r="V105" s="125" cm="1">
        <f t="array" ref="V105">_xll.EQNXTDZ($A$1,$B105,V$1,$B$1)</f>
        <v>9172.64</v>
      </c>
      <c r="W105" s="125" cm="1">
        <f t="array" ref="W105">_xll.EQNXTDZ($A$1,$B105,W$1,$B$1)</f>
        <v>9717.82</v>
      </c>
      <c r="X105" s="125" cm="1">
        <f t="array" ref="X105">_xll.EQNXTDZ($A$1,$B105,X$1,$B$1)</f>
        <v>14765.33</v>
      </c>
      <c r="Y105" s="125" cm="1">
        <f t="array" ref="Y105">_xll.EQNXTDZ($A$1,$B105,Y$1,$B$1)</f>
        <v>19043.34</v>
      </c>
      <c r="Z105" s="125" cm="1">
        <f t="array" ref="Z105">_xll.EQNXTDZ($A$1,$B105,Z$1,$B$1)</f>
        <v>25104.99</v>
      </c>
      <c r="AA105" s="125" cm="1">
        <f t="array" ref="AA105">_xll.EQNXTDZ($A$1,$B105,AA$1,$B$1)</f>
        <v>24274.45</v>
      </c>
      <c r="AB105" s="125" cm="1">
        <f t="array" ref="AB105">_xll.EQNXTDZ($A$1,$B105,AB$1,$B$1)</f>
        <v>27922.73</v>
      </c>
      <c r="AC105" s="125" cm="1">
        <f t="array" ref="AC105">_xll.EQNXTDZ($A$1,$B105,AC$1,$B$1)</f>
        <v>0</v>
      </c>
      <c r="AD105" s="125" cm="1">
        <f t="array" ref="AD105">_xll.EQNXTDZ($A$1,$B105,AD$1,$B$1)</f>
        <v>0</v>
      </c>
      <c r="AE105" s="125" cm="1">
        <f t="array" ref="AE105">_xll.EQNXTDZ($A$1,$B105,AE$1,$B$1)</f>
        <v>0</v>
      </c>
      <c r="AF105" s="125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5" cm="1">
        <f t="array" ref="C106">_xll.EQNXTDZ($A$1,$B106,C$1,$B$1)</f>
        <v>0</v>
      </c>
      <c r="D106" s="125" cm="1">
        <f t="array" ref="D106">_xll.EQNXTDZ($A$1,$B106,D$1,$B$1)</f>
        <v>0</v>
      </c>
      <c r="E106" s="125" cm="1">
        <f t="array" ref="E106">_xll.EQNXTDZ($A$1,$B106,E$1,$B$1)</f>
        <v>0</v>
      </c>
      <c r="F106" s="125" cm="1">
        <f t="array" ref="F106">_xll.EQNXTDZ($A$1,$B106,F$1,$B$1)</f>
        <v>0</v>
      </c>
      <c r="G106" s="125" cm="1">
        <f t="array" ref="G106">_xll.EQNXTDZ($A$1,$B106,G$1,$B$1)</f>
        <v>0</v>
      </c>
      <c r="H106" s="125" cm="1">
        <f t="array" ref="H106">_xll.EQNXTDZ($A$1,$B106,H$1,$B$1)</f>
        <v>0</v>
      </c>
      <c r="I106" s="125" cm="1">
        <f t="array" ref="I106">_xll.EQNXTDZ($A$1,$B106,I$1,$B$1)</f>
        <v>0</v>
      </c>
      <c r="J106" s="125" cm="1">
        <f t="array" ref="J106">_xll.EQNXTDZ($A$1,$B106,J$1,$B$1)</f>
        <v>0</v>
      </c>
      <c r="K106" s="125" cm="1">
        <f t="array" ref="K106">_xll.EQNXTDZ($A$1,$B106,K$1,$B$1)</f>
        <v>1.8517963</v>
      </c>
      <c r="L106" s="125" cm="1">
        <f t="array" ref="L106">_xll.EQNXTDZ($A$1,$B106,L$1,$B$1)</f>
        <v>11.318066399999999</v>
      </c>
      <c r="M106" s="125" cm="1">
        <f t="array" ref="M106">_xll.EQNXTDZ($A$1,$B106,M$1,$B$1)</f>
        <v>13.0947143</v>
      </c>
      <c r="N106" s="125" cm="1">
        <f t="array" ref="N106">_xll.EQNXTDZ($A$1,$B106,N$1,$B$1)</f>
        <v>13.1295865</v>
      </c>
      <c r="O106" s="125" cm="1">
        <f t="array" ref="O106">_xll.EQNXTDZ($A$1,$B106,O$1,$B$1)</f>
        <v>13.188662900000001</v>
      </c>
      <c r="P106" s="125" cm="1">
        <f t="array" ref="P106">_xll.EQNXTDZ($A$1,$B106,P$1,$B$1)</f>
        <v>13.378635299999999</v>
      </c>
      <c r="Q106" s="125" cm="1">
        <f t="array" ref="Q106">_xll.EQNXTDZ($A$1,$B106,Q$1,$B$1)</f>
        <v>16.205704300000001</v>
      </c>
      <c r="R106" s="125" cm="1">
        <f t="array" ref="R106">_xll.EQNXTDZ($A$1,$B106,R$1,$B$1)</f>
        <v>26.0699507</v>
      </c>
      <c r="S106" s="125" cm="1">
        <f t="array" ref="S106">_xll.EQNXTDZ($A$1,$B106,S$1,$B$1)</f>
        <v>23.369158500000001</v>
      </c>
      <c r="T106" s="125" cm="1">
        <f t="array" ref="T106">_xll.EQNXTDZ($A$1,$B106,T$1,$B$1)</f>
        <v>32.340000000000003</v>
      </c>
      <c r="U106" s="125" cm="1">
        <f t="array" ref="U106">_xll.EQNXTDZ($A$1,$B106,U$1,$B$1)</f>
        <v>47.97</v>
      </c>
      <c r="V106" s="125" cm="1">
        <f t="array" ref="V106">_xll.EQNXTDZ($A$1,$B106,V$1,$B$1)</f>
        <v>128.97999999999999</v>
      </c>
      <c r="W106" s="125" cm="1">
        <f t="array" ref="W106">_xll.EQNXTDZ($A$1,$B106,W$1,$B$1)</f>
        <v>165.57</v>
      </c>
      <c r="X106" s="125" cm="1">
        <f t="array" ref="X106">_xll.EQNXTDZ($A$1,$B106,X$1,$B$1)</f>
        <v>759.55</v>
      </c>
      <c r="Y106" s="125" cm="1">
        <f t="array" ref="Y106">_xll.EQNXTDZ($A$1,$B106,Y$1,$B$1)</f>
        <v>777.52</v>
      </c>
      <c r="Z106" s="125" cm="1">
        <f t="array" ref="Z106">_xll.EQNXTDZ($A$1,$B106,Z$1,$B$1)</f>
        <v>826.12</v>
      </c>
      <c r="AA106" s="125" cm="1">
        <f t="array" ref="AA106">_xll.EQNXTDZ($A$1,$B106,AA$1,$B$1)</f>
        <v>867.81</v>
      </c>
      <c r="AB106" s="125" cm="1">
        <f t="array" ref="AB106">_xll.EQNXTDZ($A$1,$B106,AB$1,$B$1)</f>
        <v>901.99</v>
      </c>
      <c r="AC106" s="125" cm="1">
        <f t="array" ref="AC106">_xll.EQNXTDZ($A$1,$B106,AC$1,$B$1)</f>
        <v>0</v>
      </c>
      <c r="AD106" s="125" cm="1">
        <f t="array" ref="AD106">_xll.EQNXTDZ($A$1,$B106,AD$1,$B$1)</f>
        <v>0</v>
      </c>
      <c r="AE106" s="125" cm="1">
        <f t="array" ref="AE106">_xll.EQNXTDZ($A$1,$B106,AE$1,$B$1)</f>
        <v>0</v>
      </c>
      <c r="AF106" s="125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5" cm="1">
        <f t="array" ref="C107">_xll.EQNXTDZ($A$1,$B107,C$1,$B$1)</f>
        <v>0</v>
      </c>
      <c r="D107" s="125" cm="1">
        <f t="array" ref="D107">_xll.EQNXTDZ($A$1,$B107,D$1,$B$1)</f>
        <v>0</v>
      </c>
      <c r="E107" s="125" cm="1">
        <f t="array" ref="E107">_xll.EQNXTDZ($A$1,$B107,E$1,$B$1)</f>
        <v>0</v>
      </c>
      <c r="F107" s="125" cm="1">
        <f t="array" ref="F107">_xll.EQNXTDZ($A$1,$B107,F$1,$B$1)</f>
        <v>0</v>
      </c>
      <c r="G107" s="125" cm="1">
        <f t="array" ref="G107">_xll.EQNXTDZ($A$1,$B107,G$1,$B$1)</f>
        <v>0</v>
      </c>
      <c r="H107" s="125" cm="1">
        <f t="array" ref="H107">_xll.EQNXTDZ($A$1,$B107,H$1,$B$1)</f>
        <v>0</v>
      </c>
      <c r="I107" s="125" cm="1">
        <f t="array" ref="I107">_xll.EQNXTDZ($A$1,$B107,I$1,$B$1)</f>
        <v>0</v>
      </c>
      <c r="J107" s="125" cm="1">
        <f t="array" ref="J107">_xll.EQNXTDZ($A$1,$B107,J$1,$B$1)</f>
        <v>0</v>
      </c>
      <c r="K107" s="125" cm="1">
        <f t="array" ref="K107">_xll.EQNXTDZ($A$1,$B107,K$1,$B$1)</f>
        <v>0.32894479999999998</v>
      </c>
      <c r="L107" s="125" cm="1">
        <f t="array" ref="L107">_xll.EQNXTDZ($A$1,$B107,L$1,$B$1)</f>
        <v>5.9454756</v>
      </c>
      <c r="M107" s="125" cm="1">
        <f t="array" ref="M107">_xll.EQNXTDZ($A$1,$B107,M$1,$B$1)</f>
        <v>8.6324895000000001</v>
      </c>
      <c r="N107" s="125" cm="1">
        <f t="array" ref="N107">_xll.EQNXTDZ($A$1,$B107,N$1,$B$1)</f>
        <v>9.9424899999999994</v>
      </c>
      <c r="O107" s="125" cm="1">
        <f t="array" ref="O107">_xll.EQNXTDZ($A$1,$B107,O$1,$B$1)</f>
        <v>10.4161944</v>
      </c>
      <c r="P107" s="125" cm="1">
        <f t="array" ref="P107">_xll.EQNXTDZ($A$1,$B107,P$1,$B$1)</f>
        <v>10.750478899999999</v>
      </c>
      <c r="Q107" s="125" cm="1">
        <f t="array" ref="Q107">_xll.EQNXTDZ($A$1,$B107,Q$1,$B$1)</f>
        <v>12.4878929</v>
      </c>
      <c r="R107" s="125" cm="1">
        <f t="array" ref="R107">_xll.EQNXTDZ($A$1,$B107,R$1,$B$1)</f>
        <v>14.733696699999999</v>
      </c>
      <c r="S107" s="125" cm="1">
        <f t="array" ref="S107">_xll.EQNXTDZ($A$1,$B107,S$1,$B$1)</f>
        <v>11.1069747</v>
      </c>
      <c r="T107" s="125" cm="1">
        <f t="array" ref="T107">_xll.EQNXTDZ($A$1,$B107,T$1,$B$1)</f>
        <v>16.18</v>
      </c>
      <c r="U107" s="125" cm="1">
        <f t="array" ref="U107">_xll.EQNXTDZ($A$1,$B107,U$1,$B$1)</f>
        <v>23.22</v>
      </c>
      <c r="V107" s="125" cm="1">
        <f t="array" ref="V107">_xll.EQNXTDZ($A$1,$B107,V$1,$B$1)</f>
        <v>42.36</v>
      </c>
      <c r="W107" s="125" cm="1">
        <f t="array" ref="W107">_xll.EQNXTDZ($A$1,$B107,W$1,$B$1)</f>
        <v>64.81</v>
      </c>
      <c r="X107" s="125" cm="1">
        <f t="array" ref="X107">_xll.EQNXTDZ($A$1,$B107,X$1,$B$1)</f>
        <v>130.68</v>
      </c>
      <c r="Y107" s="125" cm="1">
        <f t="array" ref="Y107">_xll.EQNXTDZ($A$1,$B107,Y$1,$B$1)</f>
        <v>178.51</v>
      </c>
      <c r="Z107" s="125" cm="1">
        <f t="array" ref="Z107">_xll.EQNXTDZ($A$1,$B107,Z$1,$B$1)</f>
        <v>217.06</v>
      </c>
      <c r="AA107" s="125" cm="1">
        <f t="array" ref="AA107">_xll.EQNXTDZ($A$1,$B107,AA$1,$B$1)</f>
        <v>264.23</v>
      </c>
      <c r="AB107" s="125" cm="1">
        <f t="array" ref="AB107">_xll.EQNXTDZ($A$1,$B107,AB$1,$B$1)</f>
        <v>314.47000000000003</v>
      </c>
      <c r="AC107" s="125" cm="1">
        <f t="array" ref="AC107">_xll.EQNXTDZ($A$1,$B107,AC$1,$B$1)</f>
        <v>0</v>
      </c>
      <c r="AD107" s="125" cm="1">
        <f t="array" ref="AD107">_xll.EQNXTDZ($A$1,$B107,AD$1,$B$1)</f>
        <v>0</v>
      </c>
      <c r="AE107" s="125" cm="1">
        <f t="array" ref="AE107">_xll.EQNXTDZ($A$1,$B107,AE$1,$B$1)</f>
        <v>0</v>
      </c>
      <c r="AF107" s="125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5" cm="1">
        <f t="array" ref="C108">_xll.EQNXTDZ($A$1,$B108,C$1,$B$1)</f>
        <v>0</v>
      </c>
      <c r="D108" s="125" cm="1">
        <f t="array" ref="D108">_xll.EQNXTDZ($A$1,$B108,D$1,$B$1)</f>
        <v>0</v>
      </c>
      <c r="E108" s="125" cm="1">
        <f t="array" ref="E108">_xll.EQNXTDZ($A$1,$B108,E$1,$B$1)</f>
        <v>0</v>
      </c>
      <c r="F108" s="125" cm="1">
        <f t="array" ref="F108">_xll.EQNXTDZ($A$1,$B108,F$1,$B$1)</f>
        <v>0</v>
      </c>
      <c r="G108" s="125" cm="1">
        <f t="array" ref="G108">_xll.EQNXTDZ($A$1,$B108,G$1,$B$1)</f>
        <v>0</v>
      </c>
      <c r="H108" s="125" cm="1">
        <f t="array" ref="H108">_xll.EQNXTDZ($A$1,$B108,H$1,$B$1)</f>
        <v>0</v>
      </c>
      <c r="I108" s="125" cm="1">
        <f t="array" ref="I108">_xll.EQNXTDZ($A$1,$B108,I$1,$B$1)</f>
        <v>0</v>
      </c>
      <c r="J108" s="125" cm="1">
        <f t="array" ref="J108">_xll.EQNXTDZ($A$1,$B108,J$1,$B$1)</f>
        <v>0</v>
      </c>
      <c r="K108" s="125" cm="1">
        <f t="array" ref="K108">_xll.EQNXTDZ($A$1,$B108,K$1,$B$1)</f>
        <v>0</v>
      </c>
      <c r="L108" s="125" cm="1">
        <f t="array" ref="L108">_xll.EQNXTDZ($A$1,$B108,L$1,$B$1)</f>
        <v>0</v>
      </c>
      <c r="M108" s="125" cm="1">
        <f t="array" ref="M108">_xll.EQNXTDZ($A$1,$B108,M$1,$B$1)</f>
        <v>0</v>
      </c>
      <c r="N108" s="125" cm="1">
        <f t="array" ref="N108">_xll.EQNXTDZ($A$1,$B108,N$1,$B$1)</f>
        <v>0</v>
      </c>
      <c r="O108" s="125" cm="1">
        <f t="array" ref="O108">_xll.EQNXTDZ($A$1,$B108,O$1,$B$1)</f>
        <v>0</v>
      </c>
      <c r="P108" s="125" cm="1">
        <f t="array" ref="P108">_xll.EQNXTDZ($A$1,$B108,P$1,$B$1)</f>
        <v>0</v>
      </c>
      <c r="Q108" s="125" cm="1">
        <f t="array" ref="Q108">_xll.EQNXTDZ($A$1,$B108,Q$1,$B$1)</f>
        <v>0</v>
      </c>
      <c r="R108" s="125" cm="1">
        <f t="array" ref="R108">_xll.EQNXTDZ($A$1,$B108,R$1,$B$1)</f>
        <v>0</v>
      </c>
      <c r="S108" s="125" cm="1">
        <f t="array" ref="S108">_xll.EQNXTDZ($A$1,$B108,S$1,$B$1)</f>
        <v>0</v>
      </c>
      <c r="T108" s="125" cm="1">
        <f t="array" ref="T108">_xll.EQNXTDZ($A$1,$B108,T$1,$B$1)</f>
        <v>0</v>
      </c>
      <c r="U108" s="125" cm="1">
        <f t="array" ref="U108">_xll.EQNXTDZ($A$1,$B108,U$1,$B$1)</f>
        <v>0</v>
      </c>
      <c r="V108" s="125" cm="1">
        <f t="array" ref="V108">_xll.EQNXTDZ($A$1,$B108,V$1,$B$1)</f>
        <v>0</v>
      </c>
      <c r="W108" s="125" cm="1">
        <f t="array" ref="W108">_xll.EQNXTDZ($A$1,$B108,W$1,$B$1)</f>
        <v>0</v>
      </c>
      <c r="X108" s="125" cm="1">
        <f t="array" ref="X108">_xll.EQNXTDZ($A$1,$B108,X$1,$B$1)</f>
        <v>0</v>
      </c>
      <c r="Y108" s="125" cm="1">
        <f t="array" ref="Y108">_xll.EQNXTDZ($A$1,$B108,Y$1,$B$1)</f>
        <v>0</v>
      </c>
      <c r="Z108" s="125" cm="1">
        <f t="array" ref="Z108">_xll.EQNXTDZ($A$1,$B108,Z$1,$B$1)</f>
        <v>0</v>
      </c>
      <c r="AA108" s="125" cm="1">
        <f t="array" ref="AA108">_xll.EQNXTDZ($A$1,$B108,AA$1,$B$1)</f>
        <v>0</v>
      </c>
      <c r="AB108" s="125" cm="1">
        <f t="array" ref="AB108">_xll.EQNXTDZ($A$1,$B108,AB$1,$B$1)</f>
        <v>0</v>
      </c>
      <c r="AC108" s="125" cm="1">
        <f t="array" ref="AC108">_xll.EQNXTDZ($A$1,$B108,AC$1,$B$1)</f>
        <v>0</v>
      </c>
      <c r="AD108" s="125" cm="1">
        <f t="array" ref="AD108">_xll.EQNXTDZ($A$1,$B108,AD$1,$B$1)</f>
        <v>0</v>
      </c>
      <c r="AE108" s="125" cm="1">
        <f t="array" ref="AE108">_xll.EQNXTDZ($A$1,$B108,AE$1,$B$1)</f>
        <v>0</v>
      </c>
      <c r="AF108" s="125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5" cm="1">
        <f t="array" ref="C109">_xll.EQNXTDZ($A$1,$B109,C$1,$B$1)</f>
        <v>0</v>
      </c>
      <c r="D109" s="125" cm="1">
        <f t="array" ref="D109">_xll.EQNXTDZ($A$1,$B109,D$1,$B$1)</f>
        <v>0</v>
      </c>
      <c r="E109" s="125" cm="1">
        <f t="array" ref="E109">_xll.EQNXTDZ($A$1,$B109,E$1,$B$1)</f>
        <v>0</v>
      </c>
      <c r="F109" s="125" cm="1">
        <f t="array" ref="F109">_xll.EQNXTDZ($A$1,$B109,F$1,$B$1)</f>
        <v>0</v>
      </c>
      <c r="G109" s="125" cm="1">
        <f t="array" ref="G109">_xll.EQNXTDZ($A$1,$B109,G$1,$B$1)</f>
        <v>0</v>
      </c>
      <c r="H109" s="125" cm="1">
        <f t="array" ref="H109">_xll.EQNXTDZ($A$1,$B109,H$1,$B$1)</f>
        <v>0</v>
      </c>
      <c r="I109" s="125" cm="1">
        <f t="array" ref="I109">_xll.EQNXTDZ($A$1,$B109,I$1,$B$1)</f>
        <v>0</v>
      </c>
      <c r="J109" s="125" cm="1">
        <f t="array" ref="J109">_xll.EQNXTDZ($A$1,$B109,J$1,$B$1)</f>
        <v>0</v>
      </c>
      <c r="K109" s="125" cm="1">
        <f t="array" ref="K109">_xll.EQNXTDZ($A$1,$B109,K$1,$B$1)</f>
        <v>1.5228515</v>
      </c>
      <c r="L109" s="125" cm="1">
        <f t="array" ref="L109">_xll.EQNXTDZ($A$1,$B109,L$1,$B$1)</f>
        <v>5.3725908000000002</v>
      </c>
      <c r="M109" s="125" cm="1">
        <f t="array" ref="M109">_xll.EQNXTDZ($A$1,$B109,M$1,$B$1)</f>
        <v>4.4622248000000004</v>
      </c>
      <c r="N109" s="125" cm="1">
        <f t="array" ref="N109">_xll.EQNXTDZ($A$1,$B109,N$1,$B$1)</f>
        <v>3.1870965</v>
      </c>
      <c r="O109" s="125" cm="1">
        <f t="array" ref="O109">_xll.EQNXTDZ($A$1,$B109,O$1,$B$1)</f>
        <v>2.7724685</v>
      </c>
      <c r="P109" s="125" cm="1">
        <f t="array" ref="P109">_xll.EQNXTDZ($A$1,$B109,P$1,$B$1)</f>
        <v>2.6281563999999999</v>
      </c>
      <c r="Q109" s="125" cm="1">
        <f t="array" ref="Q109">_xll.EQNXTDZ($A$1,$B109,Q$1,$B$1)</f>
        <v>3.7178114</v>
      </c>
      <c r="R109" s="125" cm="1">
        <f t="array" ref="R109">_xll.EQNXTDZ($A$1,$B109,R$1,$B$1)</f>
        <v>11.336254</v>
      </c>
      <c r="S109" s="125" cm="1">
        <f t="array" ref="S109">_xll.EQNXTDZ($A$1,$B109,S$1,$B$1)</f>
        <v>12.262183800000001</v>
      </c>
      <c r="T109" s="125" cm="1">
        <f t="array" ref="T109">_xll.EQNXTDZ($A$1,$B109,T$1,$B$1)</f>
        <v>16.16</v>
      </c>
      <c r="U109" s="125" cm="1">
        <f t="array" ref="U109">_xll.EQNXTDZ($A$1,$B109,U$1,$B$1)</f>
        <v>24.75</v>
      </c>
      <c r="V109" s="125" cm="1">
        <f t="array" ref="V109">_xll.EQNXTDZ($A$1,$B109,V$1,$B$1)</f>
        <v>86.62</v>
      </c>
      <c r="W109" s="125" cm="1">
        <f t="array" ref="W109">_xll.EQNXTDZ($A$1,$B109,W$1,$B$1)</f>
        <v>100.76</v>
      </c>
      <c r="X109" s="125" cm="1">
        <f t="array" ref="X109">_xll.EQNXTDZ($A$1,$B109,X$1,$B$1)</f>
        <v>628.87</v>
      </c>
      <c r="Y109" s="125" cm="1">
        <f t="array" ref="Y109">_xll.EQNXTDZ($A$1,$B109,Y$1,$B$1)</f>
        <v>599.01</v>
      </c>
      <c r="Z109" s="125" cm="1">
        <f t="array" ref="Z109">_xll.EQNXTDZ($A$1,$B109,Z$1,$B$1)</f>
        <v>609.05999999999995</v>
      </c>
      <c r="AA109" s="125" cm="1">
        <f t="array" ref="AA109">_xll.EQNXTDZ($A$1,$B109,AA$1,$B$1)</f>
        <v>603.58000000000004</v>
      </c>
      <c r="AB109" s="125" cm="1">
        <f t="array" ref="AB109">_xll.EQNXTDZ($A$1,$B109,AB$1,$B$1)</f>
        <v>587.52</v>
      </c>
      <c r="AC109" s="125" cm="1">
        <f t="array" ref="AC109">_xll.EQNXTDZ($A$1,$B109,AC$1,$B$1)</f>
        <v>0</v>
      </c>
      <c r="AD109" s="125" cm="1">
        <f t="array" ref="AD109">_xll.EQNXTDZ($A$1,$B109,AD$1,$B$1)</f>
        <v>0</v>
      </c>
      <c r="AE109" s="125" cm="1">
        <f t="array" ref="AE109">_xll.EQNXTDZ($A$1,$B109,AE$1,$B$1)</f>
        <v>0</v>
      </c>
      <c r="AF109" s="125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5" cm="1">
        <f t="array" ref="C110">_xll.EQNXTDZ($A$1,$B110,C$1,$B$1)</f>
        <v>0</v>
      </c>
      <c r="D110" s="125" cm="1">
        <f t="array" ref="D110">_xll.EQNXTDZ($A$1,$B110,D$1,$B$1)</f>
        <v>0</v>
      </c>
      <c r="E110" s="125" cm="1">
        <f t="array" ref="E110">_xll.EQNXTDZ($A$1,$B110,E$1,$B$1)</f>
        <v>0</v>
      </c>
      <c r="F110" s="125" cm="1">
        <f t="array" ref="F110">_xll.EQNXTDZ($A$1,$B110,F$1,$B$1)</f>
        <v>0</v>
      </c>
      <c r="G110" s="125" cm="1">
        <f t="array" ref="G110">_xll.EQNXTDZ($A$1,$B110,G$1,$B$1)</f>
        <v>0</v>
      </c>
      <c r="H110" s="125" cm="1">
        <f t="array" ref="H110">_xll.EQNXTDZ($A$1,$B110,H$1,$B$1)</f>
        <v>0</v>
      </c>
      <c r="I110" s="125" cm="1">
        <f t="array" ref="I110">_xll.EQNXTDZ($A$1,$B110,I$1,$B$1)</f>
        <v>0</v>
      </c>
      <c r="J110" s="125" cm="1">
        <f t="array" ref="J110">_xll.EQNXTDZ($A$1,$B110,J$1,$B$1)</f>
        <v>0</v>
      </c>
      <c r="K110" s="125" cm="1">
        <f t="array" ref="K110">_xll.EQNXTDZ($A$1,$B110,K$1,$B$1)</f>
        <v>0</v>
      </c>
      <c r="L110" s="125" cm="1">
        <f t="array" ref="L110">_xll.EQNXTDZ($A$1,$B110,L$1,$B$1)</f>
        <v>0</v>
      </c>
      <c r="M110" s="125" cm="1">
        <f t="array" ref="M110">_xll.EQNXTDZ($A$1,$B110,M$1,$B$1)</f>
        <v>0</v>
      </c>
      <c r="N110" s="125" cm="1">
        <f t="array" ref="N110">_xll.EQNXTDZ($A$1,$B110,N$1,$B$1)</f>
        <v>0</v>
      </c>
      <c r="O110" s="125" cm="1">
        <f t="array" ref="O110">_xll.EQNXTDZ($A$1,$B110,O$1,$B$1)</f>
        <v>0</v>
      </c>
      <c r="P110" s="125" cm="1">
        <f t="array" ref="P110">_xll.EQNXTDZ($A$1,$B110,P$1,$B$1)</f>
        <v>0</v>
      </c>
      <c r="Q110" s="125" cm="1">
        <f t="array" ref="Q110">_xll.EQNXTDZ($A$1,$B110,Q$1,$B$1)</f>
        <v>0</v>
      </c>
      <c r="R110" s="125" cm="1">
        <f t="array" ref="R110">_xll.EQNXTDZ($A$1,$B110,R$1,$B$1)</f>
        <v>0</v>
      </c>
      <c r="S110" s="125" cm="1">
        <f t="array" ref="S110">_xll.EQNXTDZ($A$1,$B110,S$1,$B$1)</f>
        <v>0</v>
      </c>
      <c r="T110" s="125" cm="1">
        <f t="array" ref="T110">_xll.EQNXTDZ($A$1,$B110,T$1,$B$1)</f>
        <v>0</v>
      </c>
      <c r="U110" s="125" cm="1">
        <f t="array" ref="U110">_xll.EQNXTDZ($A$1,$B110,U$1,$B$1)</f>
        <v>0</v>
      </c>
      <c r="V110" s="125" cm="1">
        <f t="array" ref="V110">_xll.EQNXTDZ($A$1,$B110,V$1,$B$1)</f>
        <v>0</v>
      </c>
      <c r="W110" s="125" cm="1">
        <f t="array" ref="W110">_xll.EQNXTDZ($A$1,$B110,W$1,$B$1)</f>
        <v>0</v>
      </c>
      <c r="X110" s="125" cm="1">
        <f t="array" ref="X110">_xll.EQNXTDZ($A$1,$B110,X$1,$B$1)</f>
        <v>0</v>
      </c>
      <c r="Y110" s="125" cm="1">
        <f t="array" ref="Y110">_xll.EQNXTDZ($A$1,$B110,Y$1,$B$1)</f>
        <v>0</v>
      </c>
      <c r="Z110" s="125" cm="1">
        <f t="array" ref="Z110">_xll.EQNXTDZ($A$1,$B110,Z$1,$B$1)</f>
        <v>0</v>
      </c>
      <c r="AA110" s="125" cm="1">
        <f t="array" ref="AA110">_xll.EQNXTDZ($A$1,$B110,AA$1,$B$1)</f>
        <v>0</v>
      </c>
      <c r="AB110" s="125" cm="1">
        <f t="array" ref="AB110">_xll.EQNXTDZ($A$1,$B110,AB$1,$B$1)</f>
        <v>0</v>
      </c>
      <c r="AC110" s="125" cm="1">
        <f t="array" ref="AC110">_xll.EQNXTDZ($A$1,$B110,AC$1,$B$1)</f>
        <v>0</v>
      </c>
      <c r="AD110" s="125" cm="1">
        <f t="array" ref="AD110">_xll.EQNXTDZ($A$1,$B110,AD$1,$B$1)</f>
        <v>0</v>
      </c>
      <c r="AE110" s="125" cm="1">
        <f t="array" ref="AE110">_xll.EQNXTDZ($A$1,$B110,AE$1,$B$1)</f>
        <v>0</v>
      </c>
      <c r="AF110" s="125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5" cm="1">
        <f t="array" ref="C111">_xll.EQNXTDZ($A$1,$B111,C$1,$B$1)</f>
        <v>0</v>
      </c>
      <c r="D111" s="125" cm="1">
        <f t="array" ref="D111">_xll.EQNXTDZ($A$1,$B111,D$1,$B$1)</f>
        <v>0</v>
      </c>
      <c r="E111" s="125" cm="1">
        <f t="array" ref="E111">_xll.EQNXTDZ($A$1,$B111,E$1,$B$1)</f>
        <v>0</v>
      </c>
      <c r="F111" s="125" cm="1">
        <f t="array" ref="F111">_xll.EQNXTDZ($A$1,$B111,F$1,$B$1)</f>
        <v>0</v>
      </c>
      <c r="G111" s="125" cm="1">
        <f t="array" ref="G111">_xll.EQNXTDZ($A$1,$B111,G$1,$B$1)</f>
        <v>0</v>
      </c>
      <c r="H111" s="125" cm="1">
        <f t="array" ref="H111">_xll.EQNXTDZ($A$1,$B111,H$1,$B$1)</f>
        <v>0</v>
      </c>
      <c r="I111" s="125" cm="1">
        <f t="array" ref="I111">_xll.EQNXTDZ($A$1,$B111,I$1,$B$1)</f>
        <v>0</v>
      </c>
      <c r="J111" s="125" cm="1">
        <f t="array" ref="J111">_xll.EQNXTDZ($A$1,$B111,J$1,$B$1)</f>
        <v>0</v>
      </c>
      <c r="K111" s="125" cm="1">
        <f t="array" ref="K111">_xll.EQNXTDZ($A$1,$B111,K$1,$B$1)</f>
        <v>0</v>
      </c>
      <c r="L111" s="125" cm="1">
        <f t="array" ref="L111">_xll.EQNXTDZ($A$1,$B111,L$1,$B$1)</f>
        <v>0</v>
      </c>
      <c r="M111" s="125" cm="1">
        <f t="array" ref="M111">_xll.EQNXTDZ($A$1,$B111,M$1,$B$1)</f>
        <v>0</v>
      </c>
      <c r="N111" s="125" cm="1">
        <f t="array" ref="N111">_xll.EQNXTDZ($A$1,$B111,N$1,$B$1)</f>
        <v>0</v>
      </c>
      <c r="O111" s="125" cm="1">
        <f t="array" ref="O111">_xll.EQNXTDZ($A$1,$B111,O$1,$B$1)</f>
        <v>0</v>
      </c>
      <c r="P111" s="125" cm="1">
        <f t="array" ref="P111">_xll.EQNXTDZ($A$1,$B111,P$1,$B$1)</f>
        <v>0</v>
      </c>
      <c r="Q111" s="125" cm="1">
        <f t="array" ref="Q111">_xll.EQNXTDZ($A$1,$B111,Q$1,$B$1)</f>
        <v>0</v>
      </c>
      <c r="R111" s="125" cm="1">
        <f t="array" ref="R111">_xll.EQNXTDZ($A$1,$B111,R$1,$B$1)</f>
        <v>0</v>
      </c>
      <c r="S111" s="125" cm="1">
        <f t="array" ref="S111">_xll.EQNXTDZ($A$1,$B111,S$1,$B$1)</f>
        <v>0.70362199999999997</v>
      </c>
      <c r="T111" s="125" cm="1">
        <f t="array" ref="T111">_xll.EQNXTDZ($A$1,$B111,T$1,$B$1)</f>
        <v>0</v>
      </c>
      <c r="U111" s="125" cm="1">
        <f t="array" ref="U111">_xll.EQNXTDZ($A$1,$B111,U$1,$B$1)</f>
        <v>0</v>
      </c>
      <c r="V111" s="125" cm="1">
        <f t="array" ref="V111">_xll.EQNXTDZ($A$1,$B111,V$1,$B$1)</f>
        <v>0</v>
      </c>
      <c r="W111" s="125" cm="1">
        <f t="array" ref="W111">_xll.EQNXTDZ($A$1,$B111,W$1,$B$1)</f>
        <v>0</v>
      </c>
      <c r="X111" s="125" cm="1">
        <f t="array" ref="X111">_xll.EQNXTDZ($A$1,$B111,X$1,$B$1)</f>
        <v>0</v>
      </c>
      <c r="Y111" s="125" cm="1">
        <f t="array" ref="Y111">_xll.EQNXTDZ($A$1,$B111,Y$1,$B$1)</f>
        <v>0</v>
      </c>
      <c r="Z111" s="125" cm="1">
        <f t="array" ref="Z111">_xll.EQNXTDZ($A$1,$B111,Z$1,$B$1)</f>
        <v>0</v>
      </c>
      <c r="AA111" s="125" cm="1">
        <f t="array" ref="AA111">_xll.EQNXTDZ($A$1,$B111,AA$1,$B$1)</f>
        <v>0</v>
      </c>
      <c r="AB111" s="125" cm="1">
        <f t="array" ref="AB111">_xll.EQNXTDZ($A$1,$B111,AB$1,$B$1)</f>
        <v>0</v>
      </c>
      <c r="AC111" s="125" cm="1">
        <f t="array" ref="AC111">_xll.EQNXTDZ($A$1,$B111,AC$1,$B$1)</f>
        <v>0</v>
      </c>
      <c r="AD111" s="125" cm="1">
        <f t="array" ref="AD111">_xll.EQNXTDZ($A$1,$B111,AD$1,$B$1)</f>
        <v>0</v>
      </c>
      <c r="AE111" s="125" cm="1">
        <f t="array" ref="AE111">_xll.EQNXTDZ($A$1,$B111,AE$1,$B$1)</f>
        <v>0</v>
      </c>
      <c r="AF111" s="125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5" cm="1">
        <f t="array" ref="C112">_xll.EQNXTDZ($A$1,$B112,C$1,$B$1)</f>
        <v>0</v>
      </c>
      <c r="D112" s="125" cm="1">
        <f t="array" ref="D112">_xll.EQNXTDZ($A$1,$B112,D$1,$B$1)</f>
        <v>0</v>
      </c>
      <c r="E112" s="125" cm="1">
        <f t="array" ref="E112">_xll.EQNXTDZ($A$1,$B112,E$1,$B$1)</f>
        <v>0</v>
      </c>
      <c r="F112" s="125" cm="1">
        <f t="array" ref="F112">_xll.EQNXTDZ($A$1,$B112,F$1,$B$1)</f>
        <v>0</v>
      </c>
      <c r="G112" s="125" cm="1">
        <f t="array" ref="G112">_xll.EQNXTDZ($A$1,$B112,G$1,$B$1)</f>
        <v>0</v>
      </c>
      <c r="H112" s="125" cm="1">
        <f t="array" ref="H112">_xll.EQNXTDZ($A$1,$B112,H$1,$B$1)</f>
        <v>0</v>
      </c>
      <c r="I112" s="125" cm="1">
        <f t="array" ref="I112">_xll.EQNXTDZ($A$1,$B112,I$1,$B$1)</f>
        <v>0</v>
      </c>
      <c r="J112" s="125" cm="1">
        <f t="array" ref="J112">_xll.EQNXTDZ($A$1,$B112,J$1,$B$1)</f>
        <v>0</v>
      </c>
      <c r="K112" s="125" cm="1">
        <f t="array" ref="K112">_xll.EQNXTDZ($A$1,$B112,K$1,$B$1)</f>
        <v>0</v>
      </c>
      <c r="L112" s="125" cm="1">
        <f t="array" ref="L112">_xll.EQNXTDZ($A$1,$B112,L$1,$B$1)</f>
        <v>0</v>
      </c>
      <c r="M112" s="125" cm="1">
        <f t="array" ref="M112">_xll.EQNXTDZ($A$1,$B112,M$1,$B$1)</f>
        <v>3.78E-2</v>
      </c>
      <c r="N112" s="125" cm="1">
        <f t="array" ref="N112">_xll.EQNXTDZ($A$1,$B112,N$1,$B$1)</f>
        <v>8.6225599999999999E-2</v>
      </c>
      <c r="O112" s="125" cm="1">
        <f t="array" ref="O112">_xll.EQNXTDZ($A$1,$B112,O$1,$B$1)</f>
        <v>0.10827000000000001</v>
      </c>
      <c r="P112" s="125" cm="1">
        <f t="array" ref="P112">_xll.EQNXTDZ($A$1,$B112,P$1,$B$1)</f>
        <v>0.23108000000000001</v>
      </c>
      <c r="Q112" s="125" cm="1">
        <f t="array" ref="Q112">_xll.EQNXTDZ($A$1,$B112,Q$1,$B$1)</f>
        <v>2.4943743</v>
      </c>
      <c r="R112" s="125" cm="1">
        <f t="array" ref="R112">_xll.EQNXTDZ($A$1,$B112,R$1,$B$1)</f>
        <v>0</v>
      </c>
      <c r="S112" s="125" cm="1">
        <f t="array" ref="S112">_xll.EQNXTDZ($A$1,$B112,S$1,$B$1)</f>
        <v>2.3273931999999999</v>
      </c>
      <c r="T112" s="125" cm="1">
        <f t="array" ref="T112">_xll.EQNXTDZ($A$1,$B112,T$1,$B$1)</f>
        <v>1.06</v>
      </c>
      <c r="U112" s="125" cm="1">
        <f t="array" ref="U112">_xll.EQNXTDZ($A$1,$B112,U$1,$B$1)</f>
        <v>2.36</v>
      </c>
      <c r="V112" s="125" cm="1">
        <f t="array" ref="V112">_xll.EQNXTDZ($A$1,$B112,V$1,$B$1)</f>
        <v>2.84</v>
      </c>
      <c r="W112" s="125" cm="1">
        <f t="array" ref="W112">_xll.EQNXTDZ($A$1,$B112,W$1,$B$1)</f>
        <v>0.62</v>
      </c>
      <c r="X112" s="125" cm="1">
        <f t="array" ref="X112">_xll.EQNXTDZ($A$1,$B112,X$1,$B$1)</f>
        <v>3.07</v>
      </c>
      <c r="Y112" s="125" cm="1">
        <f t="array" ref="Y112">_xll.EQNXTDZ($A$1,$B112,Y$1,$B$1)</f>
        <v>3.94</v>
      </c>
      <c r="Z112" s="125" cm="1">
        <f t="array" ref="Z112">_xll.EQNXTDZ($A$1,$B112,Z$1,$B$1)</f>
        <v>4.54</v>
      </c>
      <c r="AA112" s="125" cm="1">
        <f t="array" ref="AA112">_xll.EQNXTDZ($A$1,$B112,AA$1,$B$1)</f>
        <v>3.5</v>
      </c>
      <c r="AB112" s="125" cm="1">
        <f t="array" ref="AB112">_xll.EQNXTDZ($A$1,$B112,AB$1,$B$1)</f>
        <v>0.11</v>
      </c>
      <c r="AC112" s="125" cm="1">
        <f t="array" ref="AC112">_xll.EQNXTDZ($A$1,$B112,AC$1,$B$1)</f>
        <v>0</v>
      </c>
      <c r="AD112" s="125" cm="1">
        <f t="array" ref="AD112">_xll.EQNXTDZ($A$1,$B112,AD$1,$B$1)</f>
        <v>0</v>
      </c>
      <c r="AE112" s="125" cm="1">
        <f t="array" ref="AE112">_xll.EQNXTDZ($A$1,$B112,AE$1,$B$1)</f>
        <v>0</v>
      </c>
      <c r="AF112" s="125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5" cm="1">
        <f t="array" ref="C113">_xll.EQNXTDZ($A$1,$B113,C$1,$B$1)</f>
        <v>0</v>
      </c>
      <c r="D113" s="125" cm="1">
        <f t="array" ref="D113">_xll.EQNXTDZ($A$1,$B113,D$1,$B$1)</f>
        <v>0</v>
      </c>
      <c r="E113" s="125" cm="1">
        <f t="array" ref="E113">_xll.EQNXTDZ($A$1,$B113,E$1,$B$1)</f>
        <v>0</v>
      </c>
      <c r="F113" s="125" cm="1">
        <f t="array" ref="F113">_xll.EQNXTDZ($A$1,$B113,F$1,$B$1)</f>
        <v>0</v>
      </c>
      <c r="G113" s="125" cm="1">
        <f t="array" ref="G113">_xll.EQNXTDZ($A$1,$B113,G$1,$B$1)</f>
        <v>0</v>
      </c>
      <c r="H113" s="125" cm="1">
        <f t="array" ref="H113">_xll.EQNXTDZ($A$1,$B113,H$1,$B$1)</f>
        <v>0</v>
      </c>
      <c r="I113" s="125" cm="1">
        <f t="array" ref="I113">_xll.EQNXTDZ($A$1,$B113,I$1,$B$1)</f>
        <v>0</v>
      </c>
      <c r="J113" s="125" cm="1">
        <f t="array" ref="J113">_xll.EQNXTDZ($A$1,$B113,J$1,$B$1)</f>
        <v>0</v>
      </c>
      <c r="K113" s="125" cm="1">
        <f t="array" ref="K113">_xll.EQNXTDZ($A$1,$B113,K$1,$B$1)</f>
        <v>0</v>
      </c>
      <c r="L113" s="125" cm="1">
        <f t="array" ref="L113">_xll.EQNXTDZ($A$1,$B113,L$1,$B$1)</f>
        <v>0</v>
      </c>
      <c r="M113" s="125" cm="1">
        <f t="array" ref="M113">_xll.EQNXTDZ($A$1,$B113,M$1,$B$1)</f>
        <v>0</v>
      </c>
      <c r="N113" s="125" cm="1">
        <f t="array" ref="N113">_xll.EQNXTDZ($A$1,$B113,N$1,$B$1)</f>
        <v>0</v>
      </c>
      <c r="O113" s="125" cm="1">
        <f t="array" ref="O113">_xll.EQNXTDZ($A$1,$B113,O$1,$B$1)</f>
        <v>0</v>
      </c>
      <c r="P113" s="125" cm="1">
        <f t="array" ref="P113">_xll.EQNXTDZ($A$1,$B113,P$1,$B$1)</f>
        <v>0</v>
      </c>
      <c r="Q113" s="125" cm="1">
        <f t="array" ref="Q113">_xll.EQNXTDZ($A$1,$B113,Q$1,$B$1)</f>
        <v>0</v>
      </c>
      <c r="R113" s="125" cm="1">
        <f t="array" ref="R113">_xll.EQNXTDZ($A$1,$B113,R$1,$B$1)</f>
        <v>0</v>
      </c>
      <c r="S113" s="125" cm="1">
        <f t="array" ref="S113">_xll.EQNXTDZ($A$1,$B113,S$1,$B$1)</f>
        <v>0</v>
      </c>
      <c r="T113" s="125" cm="1">
        <f t="array" ref="T113">_xll.EQNXTDZ($A$1,$B113,T$1,$B$1)</f>
        <v>0</v>
      </c>
      <c r="U113" s="125" cm="1">
        <f t="array" ref="U113">_xll.EQNXTDZ($A$1,$B113,U$1,$B$1)</f>
        <v>0</v>
      </c>
      <c r="V113" s="125" cm="1">
        <f t="array" ref="V113">_xll.EQNXTDZ($A$1,$B113,V$1,$B$1)</f>
        <v>0</v>
      </c>
      <c r="W113" s="125" cm="1">
        <f t="array" ref="W113">_xll.EQNXTDZ($A$1,$B113,W$1,$B$1)</f>
        <v>0</v>
      </c>
      <c r="X113" s="125" cm="1">
        <f t="array" ref="X113">_xll.EQNXTDZ($A$1,$B113,X$1,$B$1)</f>
        <v>0</v>
      </c>
      <c r="Y113" s="125" cm="1">
        <f t="array" ref="Y113">_xll.EQNXTDZ($A$1,$B113,Y$1,$B$1)</f>
        <v>0</v>
      </c>
      <c r="Z113" s="125" cm="1">
        <f t="array" ref="Z113">_xll.EQNXTDZ($A$1,$B113,Z$1,$B$1)</f>
        <v>0</v>
      </c>
      <c r="AA113" s="125" cm="1">
        <f t="array" ref="AA113">_xll.EQNXTDZ($A$1,$B113,AA$1,$B$1)</f>
        <v>0</v>
      </c>
      <c r="AB113" s="125" cm="1">
        <f t="array" ref="AB113">_xll.EQNXTDZ($A$1,$B113,AB$1,$B$1)</f>
        <v>0</v>
      </c>
      <c r="AC113" s="125" cm="1">
        <f t="array" ref="AC113">_xll.EQNXTDZ($A$1,$B113,AC$1,$B$1)</f>
        <v>0</v>
      </c>
      <c r="AD113" s="125" cm="1">
        <f t="array" ref="AD113">_xll.EQNXTDZ($A$1,$B113,AD$1,$B$1)</f>
        <v>0</v>
      </c>
      <c r="AE113" s="125" cm="1">
        <f t="array" ref="AE113">_xll.EQNXTDZ($A$1,$B113,AE$1,$B$1)</f>
        <v>0</v>
      </c>
      <c r="AF113" s="125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5" cm="1">
        <f t="array" ref="C114">_xll.EQNXTDZ($A$1,$B114,C$1,$B$1)</f>
        <v>0</v>
      </c>
      <c r="D114" s="125" cm="1">
        <f t="array" ref="D114">_xll.EQNXTDZ($A$1,$B114,D$1,$B$1)</f>
        <v>0</v>
      </c>
      <c r="E114" s="125" cm="1">
        <f t="array" ref="E114">_xll.EQNXTDZ($A$1,$B114,E$1,$B$1)</f>
        <v>0</v>
      </c>
      <c r="F114" s="125" cm="1">
        <f t="array" ref="F114">_xll.EQNXTDZ($A$1,$B114,F$1,$B$1)</f>
        <v>0</v>
      </c>
      <c r="G114" s="125" cm="1">
        <f t="array" ref="G114">_xll.EQNXTDZ($A$1,$B114,G$1,$B$1)</f>
        <v>0</v>
      </c>
      <c r="H114" s="125" cm="1">
        <f t="array" ref="H114">_xll.EQNXTDZ($A$1,$B114,H$1,$B$1)</f>
        <v>0</v>
      </c>
      <c r="I114" s="125" cm="1">
        <f t="array" ref="I114">_xll.EQNXTDZ($A$1,$B114,I$1,$B$1)</f>
        <v>0</v>
      </c>
      <c r="J114" s="125" cm="1">
        <f t="array" ref="J114">_xll.EQNXTDZ($A$1,$B114,J$1,$B$1)</f>
        <v>0</v>
      </c>
      <c r="K114" s="125" cm="1">
        <f t="array" ref="K114">_xll.EQNXTDZ($A$1,$B114,K$1,$B$1)</f>
        <v>0</v>
      </c>
      <c r="L114" s="125" cm="1">
        <f t="array" ref="L114">_xll.EQNXTDZ($A$1,$B114,L$1,$B$1)</f>
        <v>0</v>
      </c>
      <c r="M114" s="125" cm="1">
        <f t="array" ref="M114">_xll.EQNXTDZ($A$1,$B114,M$1,$B$1)</f>
        <v>0</v>
      </c>
      <c r="N114" s="125" cm="1">
        <f t="array" ref="N114">_xll.EQNXTDZ($A$1,$B114,N$1,$B$1)</f>
        <v>0</v>
      </c>
      <c r="O114" s="125" cm="1">
        <f t="array" ref="O114">_xll.EQNXTDZ($A$1,$B114,O$1,$B$1)</f>
        <v>0</v>
      </c>
      <c r="P114" s="125" cm="1">
        <f t="array" ref="P114">_xll.EQNXTDZ($A$1,$B114,P$1,$B$1)</f>
        <v>0</v>
      </c>
      <c r="Q114" s="125" cm="1">
        <f t="array" ref="Q114">_xll.EQNXTDZ($A$1,$B114,Q$1,$B$1)</f>
        <v>0</v>
      </c>
      <c r="R114" s="125" cm="1">
        <f t="array" ref="R114">_xll.EQNXTDZ($A$1,$B114,R$1,$B$1)</f>
        <v>0</v>
      </c>
      <c r="S114" s="125" cm="1">
        <f t="array" ref="S114">_xll.EQNXTDZ($A$1,$B114,S$1,$B$1)</f>
        <v>0</v>
      </c>
      <c r="T114" s="125" cm="1">
        <f t="array" ref="T114">_xll.EQNXTDZ($A$1,$B114,T$1,$B$1)</f>
        <v>0</v>
      </c>
      <c r="U114" s="125" cm="1">
        <f t="array" ref="U114">_xll.EQNXTDZ($A$1,$B114,U$1,$B$1)</f>
        <v>0</v>
      </c>
      <c r="V114" s="125" cm="1">
        <f t="array" ref="V114">_xll.EQNXTDZ($A$1,$B114,V$1,$B$1)</f>
        <v>0</v>
      </c>
      <c r="W114" s="125" cm="1">
        <f t="array" ref="W114">_xll.EQNXTDZ($A$1,$B114,W$1,$B$1)</f>
        <v>0</v>
      </c>
      <c r="X114" s="125" cm="1">
        <f t="array" ref="X114">_xll.EQNXTDZ($A$1,$B114,X$1,$B$1)</f>
        <v>0</v>
      </c>
      <c r="Y114" s="125" cm="1">
        <f t="array" ref="Y114">_xll.EQNXTDZ($A$1,$B114,Y$1,$B$1)</f>
        <v>0</v>
      </c>
      <c r="Z114" s="125" cm="1">
        <f t="array" ref="Z114">_xll.EQNXTDZ($A$1,$B114,Z$1,$B$1)</f>
        <v>0</v>
      </c>
      <c r="AA114" s="125" cm="1">
        <f t="array" ref="AA114">_xll.EQNXTDZ($A$1,$B114,AA$1,$B$1)</f>
        <v>0</v>
      </c>
      <c r="AB114" s="125" cm="1">
        <f t="array" ref="AB114">_xll.EQNXTDZ($A$1,$B114,AB$1,$B$1)</f>
        <v>0</v>
      </c>
      <c r="AC114" s="125" cm="1">
        <f t="array" ref="AC114">_xll.EQNXTDZ($A$1,$B114,AC$1,$B$1)</f>
        <v>0</v>
      </c>
      <c r="AD114" s="125" cm="1">
        <f t="array" ref="AD114">_xll.EQNXTDZ($A$1,$B114,AD$1,$B$1)</f>
        <v>0</v>
      </c>
      <c r="AE114" s="125" cm="1">
        <f t="array" ref="AE114">_xll.EQNXTDZ($A$1,$B114,AE$1,$B$1)</f>
        <v>0</v>
      </c>
      <c r="AF114" s="125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5" cm="1">
        <f t="array" ref="C115">_xll.EQNXTDZ($A$1,$B115,C$1,$B$1)</f>
        <v>0</v>
      </c>
      <c r="D115" s="125" cm="1">
        <f t="array" ref="D115">_xll.EQNXTDZ($A$1,$B115,D$1,$B$1)</f>
        <v>0</v>
      </c>
      <c r="E115" s="125" cm="1">
        <f t="array" ref="E115">_xll.EQNXTDZ($A$1,$B115,E$1,$B$1)</f>
        <v>0</v>
      </c>
      <c r="F115" s="125" cm="1">
        <f t="array" ref="F115">_xll.EQNXTDZ($A$1,$B115,F$1,$B$1)</f>
        <v>0</v>
      </c>
      <c r="G115" s="125" cm="1">
        <f t="array" ref="G115">_xll.EQNXTDZ($A$1,$B115,G$1,$B$1)</f>
        <v>0</v>
      </c>
      <c r="H115" s="125" cm="1">
        <f t="array" ref="H115">_xll.EQNXTDZ($A$1,$B115,H$1,$B$1)</f>
        <v>0</v>
      </c>
      <c r="I115" s="125" cm="1">
        <f t="array" ref="I115">_xll.EQNXTDZ($A$1,$B115,I$1,$B$1)</f>
        <v>0</v>
      </c>
      <c r="J115" s="125" cm="1">
        <f t="array" ref="J115">_xll.EQNXTDZ($A$1,$B115,J$1,$B$1)</f>
        <v>0</v>
      </c>
      <c r="K115" s="125" cm="1">
        <f t="array" ref="K115">_xll.EQNXTDZ($A$1,$B115,K$1,$B$1)</f>
        <v>0</v>
      </c>
      <c r="L115" s="125" cm="1">
        <f t="array" ref="L115">_xll.EQNXTDZ($A$1,$B115,L$1,$B$1)</f>
        <v>0.2</v>
      </c>
      <c r="M115" s="125" cm="1">
        <f t="array" ref="M115">_xll.EQNXTDZ($A$1,$B115,M$1,$B$1)</f>
        <v>0.2</v>
      </c>
      <c r="N115" s="125" cm="1">
        <f t="array" ref="N115">_xll.EQNXTDZ($A$1,$B115,N$1,$B$1)</f>
        <v>0.2</v>
      </c>
      <c r="O115" s="125" cm="1">
        <f t="array" ref="O115">_xll.EQNXTDZ($A$1,$B115,O$1,$B$1)</f>
        <v>0.20460999999999999</v>
      </c>
      <c r="P115" s="125" cm="1">
        <f t="array" ref="P115">_xll.EQNXTDZ($A$1,$B115,P$1,$B$1)</f>
        <v>0.2024204</v>
      </c>
      <c r="Q115" s="125" cm="1">
        <f t="array" ref="Q115">_xll.EQNXTDZ($A$1,$B115,Q$1,$B$1)</f>
        <v>0.2</v>
      </c>
      <c r="R115" s="125" cm="1">
        <f t="array" ref="R115">_xll.EQNXTDZ($A$1,$B115,R$1,$B$1)</f>
        <v>0.2</v>
      </c>
      <c r="S115" s="125" cm="1">
        <f t="array" ref="S115">_xll.EQNXTDZ($A$1,$B115,S$1,$B$1)</f>
        <v>0.2</v>
      </c>
      <c r="T115" s="125" cm="1">
        <f t="array" ref="T115">_xll.EQNXTDZ($A$1,$B115,T$1,$B$1)</f>
        <v>0.2</v>
      </c>
      <c r="U115" s="125" cm="1">
        <f t="array" ref="U115">_xll.EQNXTDZ($A$1,$B115,U$1,$B$1)</f>
        <v>0.2</v>
      </c>
      <c r="V115" s="125" cm="1">
        <f t="array" ref="V115">_xll.EQNXTDZ($A$1,$B115,V$1,$B$1)</f>
        <v>661.44</v>
      </c>
      <c r="W115" s="125" cm="1">
        <f t="array" ref="W115">_xll.EQNXTDZ($A$1,$B115,W$1,$B$1)</f>
        <v>662.93</v>
      </c>
      <c r="X115" s="125" cm="1">
        <f t="array" ref="X115">_xll.EQNXTDZ($A$1,$B115,X$1,$B$1)</f>
        <v>0.55000000000000004</v>
      </c>
      <c r="Y115" s="125" cm="1">
        <f t="array" ref="Y115">_xll.EQNXTDZ($A$1,$B115,Y$1,$B$1)</f>
        <v>0.55000000000000004</v>
      </c>
      <c r="Z115" s="125" cm="1">
        <f t="array" ref="Z115">_xll.EQNXTDZ($A$1,$B115,Z$1,$B$1)</f>
        <v>0.55000000000000004</v>
      </c>
      <c r="AA115" s="125" cm="1">
        <f t="array" ref="AA115">_xll.EQNXTDZ($A$1,$B115,AA$1,$B$1)</f>
        <v>0.71</v>
      </c>
      <c r="AB115" s="125" cm="1">
        <f t="array" ref="AB115">_xll.EQNXTDZ($A$1,$B115,AB$1,$B$1)</f>
        <v>0.01</v>
      </c>
      <c r="AC115" s="125" cm="1">
        <f t="array" ref="AC115">_xll.EQNXTDZ($A$1,$B115,AC$1,$B$1)</f>
        <v>0</v>
      </c>
      <c r="AD115" s="125" cm="1">
        <f t="array" ref="AD115">_xll.EQNXTDZ($A$1,$B115,AD$1,$B$1)</f>
        <v>0</v>
      </c>
      <c r="AE115" s="125" cm="1">
        <f t="array" ref="AE115">_xll.EQNXTDZ($A$1,$B115,AE$1,$B$1)</f>
        <v>0</v>
      </c>
      <c r="AF115" s="125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5" cm="1">
        <f t="array" ref="C116">_xll.EQNXTDZ($A$1,$B116,C$1,$B$1)</f>
        <v>0</v>
      </c>
      <c r="D116" s="125" cm="1">
        <f t="array" ref="D116">_xll.EQNXTDZ($A$1,$B116,D$1,$B$1)</f>
        <v>0</v>
      </c>
      <c r="E116" s="125" cm="1">
        <f t="array" ref="E116">_xll.EQNXTDZ($A$1,$B116,E$1,$B$1)</f>
        <v>0</v>
      </c>
      <c r="F116" s="125" cm="1">
        <f t="array" ref="F116">_xll.EQNXTDZ($A$1,$B116,F$1,$B$1)</f>
        <v>0</v>
      </c>
      <c r="G116" s="125" cm="1">
        <f t="array" ref="G116">_xll.EQNXTDZ($A$1,$B116,G$1,$B$1)</f>
        <v>0</v>
      </c>
      <c r="H116" s="125" cm="1">
        <f t="array" ref="H116">_xll.EQNXTDZ($A$1,$B116,H$1,$B$1)</f>
        <v>0</v>
      </c>
      <c r="I116" s="125" cm="1">
        <f t="array" ref="I116">_xll.EQNXTDZ($A$1,$B116,I$1,$B$1)</f>
        <v>0</v>
      </c>
      <c r="J116" s="125" cm="1">
        <f t="array" ref="J116">_xll.EQNXTDZ($A$1,$B116,J$1,$B$1)</f>
        <v>0</v>
      </c>
      <c r="K116" s="125" cm="1">
        <f t="array" ref="K116">_xll.EQNXTDZ($A$1,$B116,K$1,$B$1)</f>
        <v>0</v>
      </c>
      <c r="L116" s="125" cm="1">
        <f t="array" ref="L116">_xll.EQNXTDZ($A$1,$B116,L$1,$B$1)</f>
        <v>0</v>
      </c>
      <c r="M116" s="125" cm="1">
        <f t="array" ref="M116">_xll.EQNXTDZ($A$1,$B116,M$1,$B$1)</f>
        <v>2.4601779000000001</v>
      </c>
      <c r="N116" s="125" cm="1">
        <f t="array" ref="N116">_xll.EQNXTDZ($A$1,$B116,N$1,$B$1)</f>
        <v>8.2978903000000006</v>
      </c>
      <c r="O116" s="125" cm="1">
        <f t="array" ref="O116">_xll.EQNXTDZ($A$1,$B116,O$1,$B$1)</f>
        <v>5.1300287999999998</v>
      </c>
      <c r="P116" s="125" cm="1">
        <f t="array" ref="P116">_xll.EQNXTDZ($A$1,$B116,P$1,$B$1)</f>
        <v>5.6836422999999998</v>
      </c>
      <c r="Q116" s="125" cm="1">
        <f t="array" ref="Q116">_xll.EQNXTDZ($A$1,$B116,Q$1,$B$1)</f>
        <v>7.7859290999999997</v>
      </c>
      <c r="R116" s="125" cm="1">
        <f t="array" ref="R116">_xll.EQNXTDZ($A$1,$B116,R$1,$B$1)</f>
        <v>5.1879952999999999</v>
      </c>
      <c r="S116" s="125" cm="1">
        <f t="array" ref="S116">_xll.EQNXTDZ($A$1,$B116,S$1,$B$1)</f>
        <v>5.8301971999999997</v>
      </c>
      <c r="T116" s="125" cm="1">
        <f t="array" ref="T116">_xll.EQNXTDZ($A$1,$B116,T$1,$B$1)</f>
        <v>154.16</v>
      </c>
      <c r="U116" s="125" cm="1">
        <f t="array" ref="U116">_xll.EQNXTDZ($A$1,$B116,U$1,$B$1)</f>
        <v>328.54</v>
      </c>
      <c r="V116" s="125" cm="1">
        <f t="array" ref="V116">_xll.EQNXTDZ($A$1,$B116,V$1,$B$1)</f>
        <v>492.7</v>
      </c>
      <c r="W116" s="125" cm="1">
        <f t="array" ref="W116">_xll.EQNXTDZ($A$1,$B116,W$1,$B$1)</f>
        <v>594.76</v>
      </c>
      <c r="X116" s="125" cm="1">
        <f t="array" ref="X116">_xll.EQNXTDZ($A$1,$B116,X$1,$B$1)</f>
        <v>492.93</v>
      </c>
      <c r="Y116" s="125" cm="1">
        <f t="array" ref="Y116">_xll.EQNXTDZ($A$1,$B116,Y$1,$B$1)</f>
        <v>571.96</v>
      </c>
      <c r="Z116" s="125" cm="1">
        <f t="array" ref="Z116">_xll.EQNXTDZ($A$1,$B116,Z$1,$B$1)</f>
        <v>1356.39</v>
      </c>
      <c r="AA116" s="125" cm="1">
        <f t="array" ref="AA116">_xll.EQNXTDZ($A$1,$B116,AA$1,$B$1)</f>
        <v>1192.29</v>
      </c>
      <c r="AB116" s="125" cm="1">
        <f t="array" ref="AB116">_xll.EQNXTDZ($A$1,$B116,AB$1,$B$1)</f>
        <v>1017.32</v>
      </c>
      <c r="AC116" s="125" cm="1">
        <f t="array" ref="AC116">_xll.EQNXTDZ($A$1,$B116,AC$1,$B$1)</f>
        <v>0</v>
      </c>
      <c r="AD116" s="125" cm="1">
        <f t="array" ref="AD116">_xll.EQNXTDZ($A$1,$B116,AD$1,$B$1)</f>
        <v>0</v>
      </c>
      <c r="AE116" s="125" cm="1">
        <f t="array" ref="AE116">_xll.EQNXTDZ($A$1,$B116,AE$1,$B$1)</f>
        <v>0</v>
      </c>
      <c r="AF116" s="125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5" cm="1">
        <f t="array" ref="C117">_xll.EQNXTDZ($A$1,$B117,C$1,$B$1)</f>
        <v>0</v>
      </c>
      <c r="D117" s="125" cm="1">
        <f t="array" ref="D117">_xll.EQNXTDZ($A$1,$B117,D$1,$B$1)</f>
        <v>0</v>
      </c>
      <c r="E117" s="125" cm="1">
        <f t="array" ref="E117">_xll.EQNXTDZ($A$1,$B117,E$1,$B$1)</f>
        <v>0</v>
      </c>
      <c r="F117" s="125" cm="1">
        <f t="array" ref="F117">_xll.EQNXTDZ($A$1,$B117,F$1,$B$1)</f>
        <v>0</v>
      </c>
      <c r="G117" s="125" cm="1">
        <f t="array" ref="G117">_xll.EQNXTDZ($A$1,$B117,G$1,$B$1)</f>
        <v>0</v>
      </c>
      <c r="H117" s="125" cm="1">
        <f t="array" ref="H117">_xll.EQNXTDZ($A$1,$B117,H$1,$B$1)</f>
        <v>0</v>
      </c>
      <c r="I117" s="125" cm="1">
        <f t="array" ref="I117">_xll.EQNXTDZ($A$1,$B117,I$1,$B$1)</f>
        <v>0</v>
      </c>
      <c r="J117" s="125" cm="1">
        <f t="array" ref="J117">_xll.EQNXTDZ($A$1,$B117,J$1,$B$1)</f>
        <v>0</v>
      </c>
      <c r="K117" s="125" cm="1">
        <f t="array" ref="K117">_xll.EQNXTDZ($A$1,$B117,K$1,$B$1)</f>
        <v>0</v>
      </c>
      <c r="L117" s="125" cm="1">
        <f t="array" ref="L117">_xll.EQNXTDZ($A$1,$B117,L$1,$B$1)</f>
        <v>0</v>
      </c>
      <c r="M117" s="125" cm="1">
        <f t="array" ref="M117">_xll.EQNXTDZ($A$1,$B117,M$1,$B$1)</f>
        <v>2.7623663999999999</v>
      </c>
      <c r="N117" s="125" cm="1">
        <f t="array" ref="N117">_xll.EQNXTDZ($A$1,$B117,N$1,$B$1)</f>
        <v>23.813893400000001</v>
      </c>
      <c r="O117" s="125" cm="1">
        <f t="array" ref="O117">_xll.EQNXTDZ($A$1,$B117,O$1,$B$1)</f>
        <v>34.161360700000003</v>
      </c>
      <c r="P117" s="125" cm="1">
        <f t="array" ref="P117">_xll.EQNXTDZ($A$1,$B117,P$1,$B$1)</f>
        <v>43.783053000000002</v>
      </c>
      <c r="Q117" s="125" cm="1">
        <f t="array" ref="Q117">_xll.EQNXTDZ($A$1,$B117,Q$1,$B$1)</f>
        <v>72.984200900000005</v>
      </c>
      <c r="R117" s="125" cm="1">
        <f t="array" ref="R117">_xll.EQNXTDZ($A$1,$B117,R$1,$B$1)</f>
        <v>38.781458200000003</v>
      </c>
      <c r="S117" s="125" cm="1">
        <f t="array" ref="S117">_xll.EQNXTDZ($A$1,$B117,S$1,$B$1)</f>
        <v>11.8588918</v>
      </c>
      <c r="T117" s="125" cm="1">
        <f t="array" ref="T117">_xll.EQNXTDZ($A$1,$B117,T$1,$B$1)</f>
        <v>2.4300000000000002</v>
      </c>
      <c r="U117" s="125" cm="1">
        <f t="array" ref="U117">_xll.EQNXTDZ($A$1,$B117,U$1,$B$1)</f>
        <v>10.1</v>
      </c>
      <c r="V117" s="125" cm="1">
        <f t="array" ref="V117">_xll.EQNXTDZ($A$1,$B117,V$1,$B$1)</f>
        <v>9.3000000000000007</v>
      </c>
      <c r="W117" s="125" cm="1">
        <f t="array" ref="W117">_xll.EQNXTDZ($A$1,$B117,W$1,$B$1)</f>
        <v>9.68</v>
      </c>
      <c r="X117" s="125" cm="1">
        <f t="array" ref="X117">_xll.EQNXTDZ($A$1,$B117,X$1,$B$1)</f>
        <v>12.95</v>
      </c>
      <c r="Y117" s="125" cm="1">
        <f t="array" ref="Y117">_xll.EQNXTDZ($A$1,$B117,Y$1,$B$1)</f>
        <v>0</v>
      </c>
      <c r="Z117" s="125" cm="1">
        <f t="array" ref="Z117">_xll.EQNXTDZ($A$1,$B117,Z$1,$B$1)</f>
        <v>118.8</v>
      </c>
      <c r="AA117" s="125" cm="1">
        <f t="array" ref="AA117">_xll.EQNXTDZ($A$1,$B117,AA$1,$B$1)</f>
        <v>112.89</v>
      </c>
      <c r="AB117" s="125" cm="1">
        <f t="array" ref="AB117">_xll.EQNXTDZ($A$1,$B117,AB$1,$B$1)</f>
        <v>405.98</v>
      </c>
      <c r="AC117" s="125" cm="1">
        <f t="array" ref="AC117">_xll.EQNXTDZ($A$1,$B117,AC$1,$B$1)</f>
        <v>0</v>
      </c>
      <c r="AD117" s="125" cm="1">
        <f t="array" ref="AD117">_xll.EQNXTDZ($A$1,$B117,AD$1,$B$1)</f>
        <v>0</v>
      </c>
      <c r="AE117" s="125" cm="1">
        <f t="array" ref="AE117">_xll.EQNXTDZ($A$1,$B117,AE$1,$B$1)</f>
        <v>0</v>
      </c>
      <c r="AF117" s="125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5" cm="1">
        <f t="array" ref="C118">_xll.EQNXTDZ($A$1,$B118,C$1,$B$1)</f>
        <v>0</v>
      </c>
      <c r="D118" s="125" cm="1">
        <f t="array" ref="D118">_xll.EQNXTDZ($A$1,$B118,D$1,$B$1)</f>
        <v>0</v>
      </c>
      <c r="E118" s="125" cm="1">
        <f t="array" ref="E118">_xll.EQNXTDZ($A$1,$B118,E$1,$B$1)</f>
        <v>0</v>
      </c>
      <c r="F118" s="125" cm="1">
        <f t="array" ref="F118">_xll.EQNXTDZ($A$1,$B118,F$1,$B$1)</f>
        <v>0</v>
      </c>
      <c r="G118" s="125" cm="1">
        <f t="array" ref="G118">_xll.EQNXTDZ($A$1,$B118,G$1,$B$1)</f>
        <v>0</v>
      </c>
      <c r="H118" s="125" cm="1">
        <f t="array" ref="H118">_xll.EQNXTDZ($A$1,$B118,H$1,$B$1)</f>
        <v>0</v>
      </c>
      <c r="I118" s="125" cm="1">
        <f t="array" ref="I118">_xll.EQNXTDZ($A$1,$B118,I$1,$B$1)</f>
        <v>0</v>
      </c>
      <c r="J118" s="125" cm="1">
        <f t="array" ref="J118">_xll.EQNXTDZ($A$1,$B118,J$1,$B$1)</f>
        <v>0</v>
      </c>
      <c r="K118" s="125" cm="1">
        <f t="array" ref="K118">_xll.EQNXTDZ($A$1,$B118,K$1,$B$1)</f>
        <v>182.82819230000001</v>
      </c>
      <c r="L118" s="125" cm="1">
        <f t="array" ref="L118">_xll.EQNXTDZ($A$1,$B118,L$1,$B$1)</f>
        <v>239.70633290000001</v>
      </c>
      <c r="M118" s="125" cm="1">
        <f t="array" ref="M118">_xll.EQNXTDZ($A$1,$B118,M$1,$B$1)</f>
        <v>11.238675000000001</v>
      </c>
      <c r="N118" s="125" cm="1">
        <f t="array" ref="N118">_xll.EQNXTDZ($A$1,$B118,N$1,$B$1)</f>
        <v>112.33111100000001</v>
      </c>
      <c r="O118" s="125" cm="1">
        <f t="array" ref="O118">_xll.EQNXTDZ($A$1,$B118,O$1,$B$1)</f>
        <v>132.73338899999999</v>
      </c>
      <c r="P118" s="125" cm="1">
        <f t="array" ref="P118">_xll.EQNXTDZ($A$1,$B118,P$1,$B$1)</f>
        <v>205.46120490000001</v>
      </c>
      <c r="Q118" s="125" cm="1">
        <f t="array" ref="Q118">_xll.EQNXTDZ($A$1,$B118,Q$1,$B$1)</f>
        <v>349.67728740000001</v>
      </c>
      <c r="R118" s="125" cm="1">
        <f t="array" ref="R118">_xll.EQNXTDZ($A$1,$B118,R$1,$B$1)</f>
        <v>821.53720220000002</v>
      </c>
      <c r="S118" s="125" cm="1">
        <f t="array" ref="S118">_xll.EQNXTDZ($A$1,$B118,S$1,$B$1)</f>
        <v>664.92776700000002</v>
      </c>
      <c r="T118" s="125" cm="1">
        <f t="array" ref="T118">_xll.EQNXTDZ($A$1,$B118,T$1,$B$1)</f>
        <v>5069.54</v>
      </c>
      <c r="U118" s="125" cm="1">
        <f t="array" ref="U118">_xll.EQNXTDZ($A$1,$B118,U$1,$B$1)</f>
        <v>6968.78</v>
      </c>
      <c r="V118" s="125" cm="1">
        <f t="array" ref="V118">_xll.EQNXTDZ($A$1,$B118,V$1,$B$1)</f>
        <v>10425.540000000001</v>
      </c>
      <c r="W118" s="125" cm="1">
        <f t="array" ref="W118">_xll.EQNXTDZ($A$1,$B118,W$1,$B$1)</f>
        <v>11086.57</v>
      </c>
      <c r="X118" s="125" cm="1">
        <f t="array" ref="X118">_xll.EQNXTDZ($A$1,$B118,X$1,$B$1)</f>
        <v>15903.7</v>
      </c>
      <c r="Y118" s="125" cm="1">
        <f t="array" ref="Y118">_xll.EQNXTDZ($A$1,$B118,Y$1,$B$1)</f>
        <v>20218.8</v>
      </c>
      <c r="Z118" s="125" cm="1">
        <f t="array" ref="Z118">_xll.EQNXTDZ($A$1,$B118,Z$1,$B$1)</f>
        <v>27194.33</v>
      </c>
      <c r="AA118" s="125" cm="1">
        <f t="array" ref="AA118">_xll.EQNXTDZ($A$1,$B118,AA$1,$B$1)</f>
        <v>26187.42</v>
      </c>
      <c r="AB118" s="125" cm="1">
        <f t="array" ref="AB118">_xll.EQNXTDZ($A$1,$B118,AB$1,$B$1)</f>
        <v>29933.67</v>
      </c>
      <c r="AC118" s="125" cm="1">
        <f t="array" ref="AC118">_xll.EQNXTDZ($A$1,$B118,AC$1,$B$1)</f>
        <v>0</v>
      </c>
      <c r="AD118" s="125" cm="1">
        <f t="array" ref="AD118">_xll.EQNXTDZ($A$1,$B118,AD$1,$B$1)</f>
        <v>0</v>
      </c>
      <c r="AE118" s="125" cm="1">
        <f t="array" ref="AE118">_xll.EQNXTDZ($A$1,$B118,AE$1,$B$1)</f>
        <v>0</v>
      </c>
      <c r="AF118" s="125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5" cm="1">
        <f t="array" ref="C119">_xll.EQNXTDZ($A$1,$B119,C$1,$B$1)</f>
        <v>0</v>
      </c>
      <c r="D119" s="125" cm="1">
        <f t="array" ref="D119">_xll.EQNXTDZ($A$1,$B119,D$1,$B$1)</f>
        <v>0</v>
      </c>
      <c r="E119" s="125" cm="1">
        <f t="array" ref="E119">_xll.EQNXTDZ($A$1,$B119,E$1,$B$1)</f>
        <v>0</v>
      </c>
      <c r="F119" s="125" cm="1">
        <f t="array" ref="F119">_xll.EQNXTDZ($A$1,$B119,F$1,$B$1)</f>
        <v>0</v>
      </c>
      <c r="G119" s="125" cm="1">
        <f t="array" ref="G119">_xll.EQNXTDZ($A$1,$B119,G$1,$B$1)</f>
        <v>0</v>
      </c>
      <c r="H119" s="125" cm="1">
        <f t="array" ref="H119">_xll.EQNXTDZ($A$1,$B119,H$1,$B$1)</f>
        <v>0</v>
      </c>
      <c r="I119" s="125" cm="1">
        <f t="array" ref="I119">_xll.EQNXTDZ($A$1,$B119,I$1,$B$1)</f>
        <v>0</v>
      </c>
      <c r="J119" s="125" cm="1">
        <f t="array" ref="J119">_xll.EQNXTDZ($A$1,$B119,J$1,$B$1)</f>
        <v>0</v>
      </c>
      <c r="K119" s="125" cm="1">
        <f t="array" ref="K119">_xll.EQNXTDZ($A$1,$B119,K$1,$B$1)</f>
        <v>0</v>
      </c>
      <c r="L119" s="125" cm="1">
        <f t="array" ref="L119">_xll.EQNXTDZ($A$1,$B119,L$1,$B$1)</f>
        <v>4</v>
      </c>
      <c r="M119" s="125" cm="1">
        <f t="array" ref="M119">_xll.EQNXTDZ($A$1,$B119,M$1,$B$1)</f>
        <v>31.354724000000001</v>
      </c>
      <c r="N119" s="125" cm="1">
        <f t="array" ref="N119">_xll.EQNXTDZ($A$1,$B119,N$1,$B$1)</f>
        <v>0</v>
      </c>
      <c r="O119" s="125" cm="1">
        <f t="array" ref="O119">_xll.EQNXTDZ($A$1,$B119,O$1,$B$1)</f>
        <v>0.25917289999999998</v>
      </c>
      <c r="P119" s="125" cm="1">
        <f t="array" ref="P119">_xll.EQNXTDZ($A$1,$B119,P$1,$B$1)</f>
        <v>0</v>
      </c>
      <c r="Q119" s="125" cm="1">
        <f t="array" ref="Q119">_xll.EQNXTDZ($A$1,$B119,Q$1,$B$1)</f>
        <v>0</v>
      </c>
      <c r="R119" s="125" cm="1">
        <f t="array" ref="R119">_xll.EQNXTDZ($A$1,$B119,R$1,$B$1)</f>
        <v>0</v>
      </c>
      <c r="S119" s="125" cm="1">
        <f t="array" ref="S119">_xll.EQNXTDZ($A$1,$B119,S$1,$B$1)</f>
        <v>0</v>
      </c>
      <c r="T119" s="125" cm="1">
        <f t="array" ref="T119">_xll.EQNXTDZ($A$1,$B119,T$1,$B$1)</f>
        <v>0</v>
      </c>
      <c r="U119" s="125" cm="1">
        <f t="array" ref="U119">_xll.EQNXTDZ($A$1,$B119,U$1,$B$1)</f>
        <v>0</v>
      </c>
      <c r="V119" s="125" cm="1">
        <f t="array" ref="V119">_xll.EQNXTDZ($A$1,$B119,V$1,$B$1)</f>
        <v>0</v>
      </c>
      <c r="W119" s="125" cm="1">
        <f t="array" ref="W119">_xll.EQNXTDZ($A$1,$B119,W$1,$B$1)</f>
        <v>0</v>
      </c>
      <c r="X119" s="125" cm="1">
        <f t="array" ref="X119">_xll.EQNXTDZ($A$1,$B119,X$1,$B$1)</f>
        <v>0</v>
      </c>
      <c r="Y119" s="125" cm="1">
        <f t="array" ref="Y119">_xll.EQNXTDZ($A$1,$B119,Y$1,$B$1)</f>
        <v>453.98</v>
      </c>
      <c r="Z119" s="125" cm="1">
        <f t="array" ref="Z119">_xll.EQNXTDZ($A$1,$B119,Z$1,$B$1)</f>
        <v>1438.36</v>
      </c>
      <c r="AA119" s="125" cm="1">
        <f t="array" ref="AA119">_xll.EQNXTDZ($A$1,$B119,AA$1,$B$1)</f>
        <v>892.3</v>
      </c>
      <c r="AB119" s="125" cm="1">
        <f t="array" ref="AB119">_xll.EQNXTDZ($A$1,$B119,AB$1,$B$1)</f>
        <v>1075.3399999999999</v>
      </c>
      <c r="AC119" s="125" cm="1">
        <f t="array" ref="AC119">_xll.EQNXTDZ($A$1,$B119,AC$1,$B$1)</f>
        <v>0</v>
      </c>
      <c r="AD119" s="125" cm="1">
        <f t="array" ref="AD119">_xll.EQNXTDZ($A$1,$B119,AD$1,$B$1)</f>
        <v>0</v>
      </c>
      <c r="AE119" s="125" cm="1">
        <f t="array" ref="AE119">_xll.EQNXTDZ($A$1,$B119,AE$1,$B$1)</f>
        <v>0</v>
      </c>
      <c r="AF119" s="125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5" cm="1">
        <f t="array" ref="C120">_xll.EQNXTDZ($A$1,$B120,C$1,$B$1)</f>
        <v>0</v>
      </c>
      <c r="D120" s="125" cm="1">
        <f t="array" ref="D120">_xll.EQNXTDZ($A$1,$B120,D$1,$B$1)</f>
        <v>0</v>
      </c>
      <c r="E120" s="125" cm="1">
        <f t="array" ref="E120">_xll.EQNXTDZ($A$1,$B120,E$1,$B$1)</f>
        <v>0</v>
      </c>
      <c r="F120" s="125" cm="1">
        <f t="array" ref="F120">_xll.EQNXTDZ($A$1,$B120,F$1,$B$1)</f>
        <v>0</v>
      </c>
      <c r="G120" s="125" cm="1">
        <f t="array" ref="G120">_xll.EQNXTDZ($A$1,$B120,G$1,$B$1)</f>
        <v>0</v>
      </c>
      <c r="H120" s="125" cm="1">
        <f t="array" ref="H120">_xll.EQNXTDZ($A$1,$B120,H$1,$B$1)</f>
        <v>0</v>
      </c>
      <c r="I120" s="125" cm="1">
        <f t="array" ref="I120">_xll.EQNXTDZ($A$1,$B120,I$1,$B$1)</f>
        <v>0</v>
      </c>
      <c r="J120" s="125" cm="1">
        <f t="array" ref="J120">_xll.EQNXTDZ($A$1,$B120,J$1,$B$1)</f>
        <v>0</v>
      </c>
      <c r="K120" s="125" cm="1">
        <f t="array" ref="K120">_xll.EQNXTDZ($A$1,$B120,K$1,$B$1)</f>
        <v>0</v>
      </c>
      <c r="L120" s="125" cm="1">
        <f t="array" ref="L120">_xll.EQNXTDZ($A$1,$B120,L$1,$B$1)</f>
        <v>0</v>
      </c>
      <c r="M120" s="125" cm="1">
        <f t="array" ref="M120">_xll.EQNXTDZ($A$1,$B120,M$1,$B$1)</f>
        <v>0</v>
      </c>
      <c r="N120" s="125" cm="1">
        <f t="array" ref="N120">_xll.EQNXTDZ($A$1,$B120,N$1,$B$1)</f>
        <v>0</v>
      </c>
      <c r="O120" s="125" cm="1">
        <f t="array" ref="O120">_xll.EQNXTDZ($A$1,$B120,O$1,$B$1)</f>
        <v>0</v>
      </c>
      <c r="P120" s="125" cm="1">
        <f t="array" ref="P120">_xll.EQNXTDZ($A$1,$B120,P$1,$B$1)</f>
        <v>0</v>
      </c>
      <c r="Q120" s="125" cm="1">
        <f t="array" ref="Q120">_xll.EQNXTDZ($A$1,$B120,Q$1,$B$1)</f>
        <v>0</v>
      </c>
      <c r="R120" s="125" cm="1">
        <f t="array" ref="R120">_xll.EQNXTDZ($A$1,$B120,R$1,$B$1)</f>
        <v>0</v>
      </c>
      <c r="S120" s="125" cm="1">
        <f t="array" ref="S120">_xll.EQNXTDZ($A$1,$B120,S$1,$B$1)</f>
        <v>0</v>
      </c>
      <c r="T120" s="125" cm="1">
        <f t="array" ref="T120">_xll.EQNXTDZ($A$1,$B120,T$1,$B$1)</f>
        <v>0</v>
      </c>
      <c r="U120" s="125" cm="1">
        <f t="array" ref="U120">_xll.EQNXTDZ($A$1,$B120,U$1,$B$1)</f>
        <v>0</v>
      </c>
      <c r="V120" s="125" cm="1">
        <f t="array" ref="V120">_xll.EQNXTDZ($A$1,$B120,V$1,$B$1)</f>
        <v>0</v>
      </c>
      <c r="W120" s="125" cm="1">
        <f t="array" ref="W120">_xll.EQNXTDZ($A$1,$B120,W$1,$B$1)</f>
        <v>0</v>
      </c>
      <c r="X120" s="125" cm="1">
        <f t="array" ref="X120">_xll.EQNXTDZ($A$1,$B120,X$1,$B$1)</f>
        <v>0</v>
      </c>
      <c r="Y120" s="125" cm="1">
        <f t="array" ref="Y120">_xll.EQNXTDZ($A$1,$B120,Y$1,$B$1)</f>
        <v>0</v>
      </c>
      <c r="Z120" s="125" cm="1">
        <f t="array" ref="Z120">_xll.EQNXTDZ($A$1,$B120,Z$1,$B$1)</f>
        <v>0</v>
      </c>
      <c r="AA120" s="125" cm="1">
        <f t="array" ref="AA120">_xll.EQNXTDZ($A$1,$B120,AA$1,$B$1)</f>
        <v>0</v>
      </c>
      <c r="AB120" s="125" cm="1">
        <f t="array" ref="AB120">_xll.EQNXTDZ($A$1,$B120,AB$1,$B$1)</f>
        <v>0</v>
      </c>
      <c r="AC120" s="125" cm="1">
        <f t="array" ref="AC120">_xll.EQNXTDZ($A$1,$B120,AC$1,$B$1)</f>
        <v>0</v>
      </c>
      <c r="AD120" s="125" cm="1">
        <f t="array" ref="AD120">_xll.EQNXTDZ($A$1,$B120,AD$1,$B$1)</f>
        <v>0</v>
      </c>
      <c r="AE120" s="125" cm="1">
        <f t="array" ref="AE120">_xll.EQNXTDZ($A$1,$B120,AE$1,$B$1)</f>
        <v>0</v>
      </c>
      <c r="AF120" s="125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5" cm="1">
        <f t="array" ref="C121">_xll.EQNXTDZ($A$1,$B121,C$1,$B$1)</f>
        <v>0</v>
      </c>
      <c r="D121" s="125" cm="1">
        <f t="array" ref="D121">_xll.EQNXTDZ($A$1,$B121,D$1,$B$1)</f>
        <v>0</v>
      </c>
      <c r="E121" s="125" cm="1">
        <f t="array" ref="E121">_xll.EQNXTDZ($A$1,$B121,E$1,$B$1)</f>
        <v>0</v>
      </c>
      <c r="F121" s="125" cm="1">
        <f t="array" ref="F121">_xll.EQNXTDZ($A$1,$B121,F$1,$B$1)</f>
        <v>0</v>
      </c>
      <c r="G121" s="125" cm="1">
        <f t="array" ref="G121">_xll.EQNXTDZ($A$1,$B121,G$1,$B$1)</f>
        <v>0</v>
      </c>
      <c r="H121" s="125" cm="1">
        <f t="array" ref="H121">_xll.EQNXTDZ($A$1,$B121,H$1,$B$1)</f>
        <v>0</v>
      </c>
      <c r="I121" s="125" cm="1">
        <f t="array" ref="I121">_xll.EQNXTDZ($A$1,$B121,I$1,$B$1)</f>
        <v>0</v>
      </c>
      <c r="J121" s="125" cm="1">
        <f t="array" ref="J121">_xll.EQNXTDZ($A$1,$B121,J$1,$B$1)</f>
        <v>0</v>
      </c>
      <c r="K121" s="125" cm="1">
        <f t="array" ref="K121">_xll.EQNXTDZ($A$1,$B121,K$1,$B$1)</f>
        <v>0</v>
      </c>
      <c r="L121" s="125" cm="1">
        <f t="array" ref="L121">_xll.EQNXTDZ($A$1,$B121,L$1,$B$1)</f>
        <v>0</v>
      </c>
      <c r="M121" s="125" cm="1">
        <f t="array" ref="M121">_xll.EQNXTDZ($A$1,$B121,M$1,$B$1)</f>
        <v>0</v>
      </c>
      <c r="N121" s="125" cm="1">
        <f t="array" ref="N121">_xll.EQNXTDZ($A$1,$B121,N$1,$B$1)</f>
        <v>0.1100151</v>
      </c>
      <c r="O121" s="125" cm="1">
        <f t="array" ref="O121">_xll.EQNXTDZ($A$1,$B121,O$1,$B$1)</f>
        <v>2.03845E-2</v>
      </c>
      <c r="P121" s="125" cm="1">
        <f t="array" ref="P121">_xll.EQNXTDZ($A$1,$B121,P$1,$B$1)</f>
        <v>0</v>
      </c>
      <c r="Q121" s="125" cm="1">
        <f t="array" ref="Q121">_xll.EQNXTDZ($A$1,$B121,Q$1,$B$1)</f>
        <v>0</v>
      </c>
      <c r="R121" s="125" cm="1">
        <f t="array" ref="R121">_xll.EQNXTDZ($A$1,$B121,R$1,$B$1)</f>
        <v>0</v>
      </c>
      <c r="S121" s="125" cm="1">
        <f t="array" ref="S121">_xll.EQNXTDZ($A$1,$B121,S$1,$B$1)</f>
        <v>0</v>
      </c>
      <c r="T121" s="125" cm="1">
        <f t="array" ref="T121">_xll.EQNXTDZ($A$1,$B121,T$1,$B$1)</f>
        <v>0</v>
      </c>
      <c r="U121" s="125" cm="1">
        <f t="array" ref="U121">_xll.EQNXTDZ($A$1,$B121,U$1,$B$1)</f>
        <v>0.09</v>
      </c>
      <c r="V121" s="125" cm="1">
        <f t="array" ref="V121">_xll.EQNXTDZ($A$1,$B121,V$1,$B$1)</f>
        <v>0.22</v>
      </c>
      <c r="W121" s="125" cm="1">
        <f t="array" ref="W121">_xll.EQNXTDZ($A$1,$B121,W$1,$B$1)</f>
        <v>0</v>
      </c>
      <c r="X121" s="125" cm="1">
        <f t="array" ref="X121">_xll.EQNXTDZ($A$1,$B121,X$1,$B$1)</f>
        <v>0</v>
      </c>
      <c r="Y121" s="125" cm="1">
        <f t="array" ref="Y121">_xll.EQNXTDZ($A$1,$B121,Y$1,$B$1)</f>
        <v>0</v>
      </c>
      <c r="Z121" s="125" cm="1">
        <f t="array" ref="Z121">_xll.EQNXTDZ($A$1,$B121,Z$1,$B$1)</f>
        <v>0</v>
      </c>
      <c r="AA121" s="125" cm="1">
        <f t="array" ref="AA121">_xll.EQNXTDZ($A$1,$B121,AA$1,$B$1)</f>
        <v>0</v>
      </c>
      <c r="AB121" s="125" cm="1">
        <f t="array" ref="AB121">_xll.EQNXTDZ($A$1,$B121,AB$1,$B$1)</f>
        <v>0</v>
      </c>
      <c r="AC121" s="125" cm="1">
        <f t="array" ref="AC121">_xll.EQNXTDZ($A$1,$B121,AC$1,$B$1)</f>
        <v>0</v>
      </c>
      <c r="AD121" s="125" cm="1">
        <f t="array" ref="AD121">_xll.EQNXTDZ($A$1,$B121,AD$1,$B$1)</f>
        <v>0</v>
      </c>
      <c r="AE121" s="125" cm="1">
        <f t="array" ref="AE121">_xll.EQNXTDZ($A$1,$B121,AE$1,$B$1)</f>
        <v>0</v>
      </c>
      <c r="AF121" s="125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5" cm="1">
        <f t="array" ref="C122">_xll.EQNXTDZ($A$1,$B122,C$1,$B$1)</f>
        <v>0</v>
      </c>
      <c r="D122" s="125" cm="1">
        <f t="array" ref="D122">_xll.EQNXTDZ($A$1,$B122,D$1,$B$1)</f>
        <v>0</v>
      </c>
      <c r="E122" s="125" cm="1">
        <f t="array" ref="E122">_xll.EQNXTDZ($A$1,$B122,E$1,$B$1)</f>
        <v>0</v>
      </c>
      <c r="F122" s="125" cm="1">
        <f t="array" ref="F122">_xll.EQNXTDZ($A$1,$B122,F$1,$B$1)</f>
        <v>0</v>
      </c>
      <c r="G122" s="125" cm="1">
        <f t="array" ref="G122">_xll.EQNXTDZ($A$1,$B122,G$1,$B$1)</f>
        <v>0</v>
      </c>
      <c r="H122" s="125" cm="1">
        <f t="array" ref="H122">_xll.EQNXTDZ($A$1,$B122,H$1,$B$1)</f>
        <v>0</v>
      </c>
      <c r="I122" s="125" cm="1">
        <f t="array" ref="I122">_xll.EQNXTDZ($A$1,$B122,I$1,$B$1)</f>
        <v>0</v>
      </c>
      <c r="J122" s="125" cm="1">
        <f t="array" ref="J122">_xll.EQNXTDZ($A$1,$B122,J$1,$B$1)</f>
        <v>0</v>
      </c>
      <c r="K122" s="125" cm="1">
        <f t="array" ref="K122">_xll.EQNXTDZ($A$1,$B122,K$1,$B$1)</f>
        <v>23.8404645</v>
      </c>
      <c r="L122" s="125" cm="1">
        <f t="array" ref="L122">_xll.EQNXTDZ($A$1,$B122,L$1,$B$1)</f>
        <v>59.1829088</v>
      </c>
      <c r="M122" s="125" cm="1">
        <f t="array" ref="M122">_xll.EQNXTDZ($A$1,$B122,M$1,$B$1)</f>
        <v>58.136188699999998</v>
      </c>
      <c r="N122" s="125" cm="1">
        <f t="array" ref="N122">_xll.EQNXTDZ($A$1,$B122,N$1,$B$1)</f>
        <v>16.908274200000001</v>
      </c>
      <c r="O122" s="125" cm="1">
        <f t="array" ref="O122">_xll.EQNXTDZ($A$1,$B122,O$1,$B$1)</f>
        <v>91.242385499999997</v>
      </c>
      <c r="P122" s="125" cm="1">
        <f t="array" ref="P122">_xll.EQNXTDZ($A$1,$B122,P$1,$B$1)</f>
        <v>325.031026</v>
      </c>
      <c r="Q122" s="125" cm="1">
        <f t="array" ref="Q122">_xll.EQNXTDZ($A$1,$B122,Q$1,$B$1)</f>
        <v>279.7744826</v>
      </c>
      <c r="R122" s="125" cm="1">
        <f t="array" ref="R122">_xll.EQNXTDZ($A$1,$B122,R$1,$B$1)</f>
        <v>254.91474529999999</v>
      </c>
      <c r="S122" s="125" cm="1">
        <f t="array" ref="S122">_xll.EQNXTDZ($A$1,$B122,S$1,$B$1)</f>
        <v>363.688086</v>
      </c>
      <c r="T122" s="125" cm="1">
        <f t="array" ref="T122">_xll.EQNXTDZ($A$1,$B122,T$1,$B$1)</f>
        <v>143.06</v>
      </c>
      <c r="U122" s="125" cm="1">
        <f t="array" ref="U122">_xll.EQNXTDZ($A$1,$B122,U$1,$B$1)</f>
        <v>615.54999999999995</v>
      </c>
      <c r="V122" s="125" cm="1">
        <f t="array" ref="V122">_xll.EQNXTDZ($A$1,$B122,V$1,$B$1)</f>
        <v>580.44000000000005</v>
      </c>
      <c r="W122" s="125" cm="1">
        <f t="array" ref="W122">_xll.EQNXTDZ($A$1,$B122,W$1,$B$1)</f>
        <v>1945.97</v>
      </c>
      <c r="X122" s="125" cm="1">
        <f t="array" ref="X122">_xll.EQNXTDZ($A$1,$B122,X$1,$B$1)</f>
        <v>1761.35</v>
      </c>
      <c r="Y122" s="125" cm="1">
        <f t="array" ref="Y122">_xll.EQNXTDZ($A$1,$B122,Y$1,$B$1)</f>
        <v>1436.41</v>
      </c>
      <c r="Z122" s="125" cm="1">
        <f t="array" ref="Z122">_xll.EQNXTDZ($A$1,$B122,Z$1,$B$1)</f>
        <v>1221.8699999999999</v>
      </c>
      <c r="AA122" s="125" cm="1">
        <f t="array" ref="AA122">_xll.EQNXTDZ($A$1,$B122,AA$1,$B$1)</f>
        <v>1343.14</v>
      </c>
      <c r="AB122" s="125" cm="1">
        <f t="array" ref="AB122">_xll.EQNXTDZ($A$1,$B122,AB$1,$B$1)</f>
        <v>1271.4100000000001</v>
      </c>
      <c r="AC122" s="125" cm="1">
        <f t="array" ref="AC122">_xll.EQNXTDZ($A$1,$B122,AC$1,$B$1)</f>
        <v>0</v>
      </c>
      <c r="AD122" s="125" cm="1">
        <f t="array" ref="AD122">_xll.EQNXTDZ($A$1,$B122,AD$1,$B$1)</f>
        <v>0</v>
      </c>
      <c r="AE122" s="125" cm="1">
        <f t="array" ref="AE122">_xll.EQNXTDZ($A$1,$B122,AE$1,$B$1)</f>
        <v>0</v>
      </c>
      <c r="AF122" s="125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5" cm="1">
        <f t="array" ref="C123">_xll.EQNXTDZ($A$1,$B123,C$1,$B$1)</f>
        <v>0</v>
      </c>
      <c r="D123" s="125" cm="1">
        <f t="array" ref="D123">_xll.EQNXTDZ($A$1,$B123,D$1,$B$1)</f>
        <v>0</v>
      </c>
      <c r="E123" s="125" cm="1">
        <f t="array" ref="E123">_xll.EQNXTDZ($A$1,$B123,E$1,$B$1)</f>
        <v>0</v>
      </c>
      <c r="F123" s="125" cm="1">
        <f t="array" ref="F123">_xll.EQNXTDZ($A$1,$B123,F$1,$B$1)</f>
        <v>0</v>
      </c>
      <c r="G123" s="125" cm="1">
        <f t="array" ref="G123">_xll.EQNXTDZ($A$1,$B123,G$1,$B$1)</f>
        <v>0</v>
      </c>
      <c r="H123" s="125" cm="1">
        <f t="array" ref="H123">_xll.EQNXTDZ($A$1,$B123,H$1,$B$1)</f>
        <v>0</v>
      </c>
      <c r="I123" s="125" cm="1">
        <f t="array" ref="I123">_xll.EQNXTDZ($A$1,$B123,I$1,$B$1)</f>
        <v>0</v>
      </c>
      <c r="J123" s="125" cm="1">
        <f t="array" ref="J123">_xll.EQNXTDZ($A$1,$B123,J$1,$B$1)</f>
        <v>0</v>
      </c>
      <c r="K123" s="125" cm="1">
        <f t="array" ref="K123">_xll.EQNXTDZ($A$1,$B123,K$1,$B$1)</f>
        <v>0.88277749999999999</v>
      </c>
      <c r="L123" s="125" cm="1">
        <f t="array" ref="L123">_xll.EQNXTDZ($A$1,$B123,L$1,$B$1)</f>
        <v>3.1148886</v>
      </c>
      <c r="M123" s="125" cm="1">
        <f t="array" ref="M123">_xll.EQNXTDZ($A$1,$B123,M$1,$B$1)</f>
        <v>2.4757958000000002</v>
      </c>
      <c r="N123" s="125" cm="1">
        <f t="array" ref="N123">_xll.EQNXTDZ($A$1,$B123,N$1,$B$1)</f>
        <v>3.3259268</v>
      </c>
      <c r="O123" s="125" cm="1">
        <f t="array" ref="O123">_xll.EQNXTDZ($A$1,$B123,O$1,$B$1)</f>
        <v>16.952237199999999</v>
      </c>
      <c r="P123" s="125" cm="1">
        <f t="array" ref="P123">_xll.EQNXTDZ($A$1,$B123,P$1,$B$1)</f>
        <v>9.2909538000000005</v>
      </c>
      <c r="Q123" s="125" cm="1">
        <f t="array" ref="Q123">_xll.EQNXTDZ($A$1,$B123,Q$1,$B$1)</f>
        <v>13.088177</v>
      </c>
      <c r="R123" s="125" cm="1">
        <f t="array" ref="R123">_xll.EQNXTDZ($A$1,$B123,R$1,$B$1)</f>
        <v>22.254303100000001</v>
      </c>
      <c r="S123" s="125" cm="1">
        <f t="array" ref="S123">_xll.EQNXTDZ($A$1,$B123,S$1,$B$1)</f>
        <v>37.484215800000001</v>
      </c>
      <c r="T123" s="125" cm="1">
        <f t="array" ref="T123">_xll.EQNXTDZ($A$1,$B123,T$1,$B$1)</f>
        <v>7.42</v>
      </c>
      <c r="U123" s="125" cm="1">
        <f t="array" ref="U123">_xll.EQNXTDZ($A$1,$B123,U$1,$B$1)</f>
        <v>34.880000000000003</v>
      </c>
      <c r="V123" s="125" cm="1">
        <f t="array" ref="V123">_xll.EQNXTDZ($A$1,$B123,V$1,$B$1)</f>
        <v>32.49</v>
      </c>
      <c r="W123" s="125" cm="1">
        <f t="array" ref="W123">_xll.EQNXTDZ($A$1,$B123,W$1,$B$1)</f>
        <v>96.17</v>
      </c>
      <c r="X123" s="125" cm="1">
        <f t="array" ref="X123">_xll.EQNXTDZ($A$1,$B123,X$1,$B$1)</f>
        <v>86.08</v>
      </c>
      <c r="Y123" s="125" cm="1">
        <f t="array" ref="Y123">_xll.EQNXTDZ($A$1,$B123,Y$1,$B$1)</f>
        <v>165.81</v>
      </c>
      <c r="Z123" s="125" cm="1">
        <f t="array" ref="Z123">_xll.EQNXTDZ($A$1,$B123,Z$1,$B$1)</f>
        <v>179.96</v>
      </c>
      <c r="AA123" s="125" cm="1">
        <f t="array" ref="AA123">_xll.EQNXTDZ($A$1,$B123,AA$1,$B$1)</f>
        <v>183.53</v>
      </c>
      <c r="AB123" s="125" cm="1">
        <f t="array" ref="AB123">_xll.EQNXTDZ($A$1,$B123,AB$1,$B$1)</f>
        <v>337.83</v>
      </c>
      <c r="AC123" s="125" cm="1">
        <f t="array" ref="AC123">_xll.EQNXTDZ($A$1,$B123,AC$1,$B$1)</f>
        <v>0</v>
      </c>
      <c r="AD123" s="125" cm="1">
        <f t="array" ref="AD123">_xll.EQNXTDZ($A$1,$B123,AD$1,$B$1)</f>
        <v>0</v>
      </c>
      <c r="AE123" s="125" cm="1">
        <f t="array" ref="AE123">_xll.EQNXTDZ($A$1,$B123,AE$1,$B$1)</f>
        <v>0</v>
      </c>
      <c r="AF123" s="125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5" cm="1">
        <f t="array" ref="C124">_xll.EQNXTDZ($A$1,$B124,C$1,$B$1)</f>
        <v>0</v>
      </c>
      <c r="D124" s="125" cm="1">
        <f t="array" ref="D124">_xll.EQNXTDZ($A$1,$B124,D$1,$B$1)</f>
        <v>0</v>
      </c>
      <c r="E124" s="125" cm="1">
        <f t="array" ref="E124">_xll.EQNXTDZ($A$1,$B124,E$1,$B$1)</f>
        <v>0</v>
      </c>
      <c r="F124" s="125" cm="1">
        <f t="array" ref="F124">_xll.EQNXTDZ($A$1,$B124,F$1,$B$1)</f>
        <v>0</v>
      </c>
      <c r="G124" s="125" cm="1">
        <f t="array" ref="G124">_xll.EQNXTDZ($A$1,$B124,G$1,$B$1)</f>
        <v>0</v>
      </c>
      <c r="H124" s="125" cm="1">
        <f t="array" ref="H124">_xll.EQNXTDZ($A$1,$B124,H$1,$B$1)</f>
        <v>0</v>
      </c>
      <c r="I124" s="125" cm="1">
        <f t="array" ref="I124">_xll.EQNXTDZ($A$1,$B124,I$1,$B$1)</f>
        <v>0</v>
      </c>
      <c r="J124" s="125" cm="1">
        <f t="array" ref="J124">_xll.EQNXTDZ($A$1,$B124,J$1,$B$1)</f>
        <v>0</v>
      </c>
      <c r="K124" s="125" cm="1">
        <f t="array" ref="K124">_xll.EQNXTDZ($A$1,$B124,K$1,$B$1)</f>
        <v>5.2912141000000004</v>
      </c>
      <c r="L124" s="125" cm="1">
        <f t="array" ref="L124">_xll.EQNXTDZ($A$1,$B124,L$1,$B$1)</f>
        <v>2.3148089999999999</v>
      </c>
      <c r="M124" s="125" cm="1">
        <f t="array" ref="M124">_xll.EQNXTDZ($A$1,$B124,M$1,$B$1)</f>
        <v>186.58724309999999</v>
      </c>
      <c r="N124" s="125" cm="1">
        <f t="array" ref="N124">_xll.EQNXTDZ($A$1,$B124,N$1,$B$1)</f>
        <v>191.90768739999999</v>
      </c>
      <c r="O124" s="125" cm="1">
        <f t="array" ref="O124">_xll.EQNXTDZ($A$1,$B124,O$1,$B$1)</f>
        <v>300.60680250000001</v>
      </c>
      <c r="P124" s="125" cm="1">
        <f t="array" ref="P124">_xll.EQNXTDZ($A$1,$B124,P$1,$B$1)</f>
        <v>517.41012039999998</v>
      </c>
      <c r="Q124" s="125" cm="1">
        <f t="array" ref="Q124">_xll.EQNXTDZ($A$1,$B124,Q$1,$B$1)</f>
        <v>1082.0912721</v>
      </c>
      <c r="R124" s="125" cm="1">
        <f t="array" ref="R124">_xll.EQNXTDZ($A$1,$B124,R$1,$B$1)</f>
        <v>1702.6962372</v>
      </c>
      <c r="S124" s="125" cm="1">
        <f t="array" ref="S124">_xll.EQNXTDZ($A$1,$B124,S$1,$B$1)</f>
        <v>2449.3397602999999</v>
      </c>
      <c r="T124" s="125" cm="1">
        <f t="array" ref="T124">_xll.EQNXTDZ($A$1,$B124,T$1,$B$1)</f>
        <v>5.2</v>
      </c>
      <c r="U124" s="125" cm="1">
        <f t="array" ref="U124">_xll.EQNXTDZ($A$1,$B124,U$1,$B$1)</f>
        <v>10.01</v>
      </c>
      <c r="V124" s="125" cm="1">
        <f t="array" ref="V124">_xll.EQNXTDZ($A$1,$B124,V$1,$B$1)</f>
        <v>13.81</v>
      </c>
      <c r="W124" s="125" cm="1">
        <f t="array" ref="W124">_xll.EQNXTDZ($A$1,$B124,W$1,$B$1)</f>
        <v>17.18</v>
      </c>
      <c r="X124" s="125" cm="1">
        <f t="array" ref="X124">_xll.EQNXTDZ($A$1,$B124,X$1,$B$1)</f>
        <v>213.85</v>
      </c>
      <c r="Y124" s="125" cm="1">
        <f t="array" ref="Y124">_xll.EQNXTDZ($A$1,$B124,Y$1,$B$1)</f>
        <v>258.32</v>
      </c>
      <c r="Z124" s="125" cm="1">
        <f t="array" ref="Z124">_xll.EQNXTDZ($A$1,$B124,Z$1,$B$1)</f>
        <v>0</v>
      </c>
      <c r="AA124" s="125" cm="1">
        <f t="array" ref="AA124">_xll.EQNXTDZ($A$1,$B124,AA$1,$B$1)</f>
        <v>372.78</v>
      </c>
      <c r="AB124" s="125" cm="1">
        <f t="array" ref="AB124">_xll.EQNXTDZ($A$1,$B124,AB$1,$B$1)</f>
        <v>207.41</v>
      </c>
      <c r="AC124" s="125" cm="1">
        <f t="array" ref="AC124">_xll.EQNXTDZ($A$1,$B124,AC$1,$B$1)</f>
        <v>0</v>
      </c>
      <c r="AD124" s="125" cm="1">
        <f t="array" ref="AD124">_xll.EQNXTDZ($A$1,$B124,AD$1,$B$1)</f>
        <v>0</v>
      </c>
      <c r="AE124" s="125" cm="1">
        <f t="array" ref="AE124">_xll.EQNXTDZ($A$1,$B124,AE$1,$B$1)</f>
        <v>0</v>
      </c>
      <c r="AF124" s="125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5" cm="1">
        <f t="array" ref="C125">_xll.EQNXTDZ($A$1,$B125,C$1,$B$1)</f>
        <v>0</v>
      </c>
      <c r="D125" s="125" cm="1">
        <f t="array" ref="D125">_xll.EQNXTDZ($A$1,$B125,D$1,$B$1)</f>
        <v>0</v>
      </c>
      <c r="E125" s="125" cm="1">
        <f t="array" ref="E125">_xll.EQNXTDZ($A$1,$B125,E$1,$B$1)</f>
        <v>0</v>
      </c>
      <c r="F125" s="125" cm="1">
        <f t="array" ref="F125">_xll.EQNXTDZ($A$1,$B125,F$1,$B$1)</f>
        <v>0</v>
      </c>
      <c r="G125" s="125" cm="1">
        <f t="array" ref="G125">_xll.EQNXTDZ($A$1,$B125,G$1,$B$1)</f>
        <v>0</v>
      </c>
      <c r="H125" s="125" cm="1">
        <f t="array" ref="H125">_xll.EQNXTDZ($A$1,$B125,H$1,$B$1)</f>
        <v>0</v>
      </c>
      <c r="I125" s="125" cm="1">
        <f t="array" ref="I125">_xll.EQNXTDZ($A$1,$B125,I$1,$B$1)</f>
        <v>0</v>
      </c>
      <c r="J125" s="125" cm="1">
        <f t="array" ref="J125">_xll.EQNXTDZ($A$1,$B125,J$1,$B$1)</f>
        <v>0</v>
      </c>
      <c r="K125" s="125" cm="1">
        <f t="array" ref="K125">_xll.EQNXTDZ($A$1,$B125,K$1,$B$1)</f>
        <v>0</v>
      </c>
      <c r="L125" s="125" cm="1">
        <f t="array" ref="L125">_xll.EQNXTDZ($A$1,$B125,L$1,$B$1)</f>
        <v>0</v>
      </c>
      <c r="M125" s="125" cm="1">
        <f t="array" ref="M125">_xll.EQNXTDZ($A$1,$B125,M$1,$B$1)</f>
        <v>0</v>
      </c>
      <c r="N125" s="125" cm="1">
        <f t="array" ref="N125">_xll.EQNXTDZ($A$1,$B125,N$1,$B$1)</f>
        <v>0</v>
      </c>
      <c r="O125" s="125" cm="1">
        <f t="array" ref="O125">_xll.EQNXTDZ($A$1,$B125,O$1,$B$1)</f>
        <v>0</v>
      </c>
      <c r="P125" s="125" cm="1">
        <f t="array" ref="P125">_xll.EQNXTDZ($A$1,$B125,P$1,$B$1)</f>
        <v>0</v>
      </c>
      <c r="Q125" s="125" cm="1">
        <f t="array" ref="Q125">_xll.EQNXTDZ($A$1,$B125,Q$1,$B$1)</f>
        <v>0</v>
      </c>
      <c r="R125" s="125" cm="1">
        <f t="array" ref="R125">_xll.EQNXTDZ($A$1,$B125,R$1,$B$1)</f>
        <v>0</v>
      </c>
      <c r="S125" s="125" cm="1">
        <f t="array" ref="S125">_xll.EQNXTDZ($A$1,$B125,S$1,$B$1)</f>
        <v>0</v>
      </c>
      <c r="T125" s="125" cm="1">
        <f t="array" ref="T125">_xll.EQNXTDZ($A$1,$B125,T$1,$B$1)</f>
        <v>0</v>
      </c>
      <c r="U125" s="125" cm="1">
        <f t="array" ref="U125">_xll.EQNXTDZ($A$1,$B125,U$1,$B$1)</f>
        <v>0</v>
      </c>
      <c r="V125" s="125" cm="1">
        <f t="array" ref="V125">_xll.EQNXTDZ($A$1,$B125,V$1,$B$1)</f>
        <v>0</v>
      </c>
      <c r="W125" s="125" cm="1">
        <f t="array" ref="W125">_xll.EQNXTDZ($A$1,$B125,W$1,$B$1)</f>
        <v>0</v>
      </c>
      <c r="X125" s="125" cm="1">
        <f t="array" ref="X125">_xll.EQNXTDZ($A$1,$B125,X$1,$B$1)</f>
        <v>0</v>
      </c>
      <c r="Y125" s="125" cm="1">
        <f t="array" ref="Y125">_xll.EQNXTDZ($A$1,$B125,Y$1,$B$1)</f>
        <v>0</v>
      </c>
      <c r="Z125" s="125" cm="1">
        <f t="array" ref="Z125">_xll.EQNXTDZ($A$1,$B125,Z$1,$B$1)</f>
        <v>0</v>
      </c>
      <c r="AA125" s="125" cm="1">
        <f t="array" ref="AA125">_xll.EQNXTDZ($A$1,$B125,AA$1,$B$1)</f>
        <v>0</v>
      </c>
      <c r="AB125" s="125" cm="1">
        <f t="array" ref="AB125">_xll.EQNXTDZ($A$1,$B125,AB$1,$B$1)</f>
        <v>0</v>
      </c>
      <c r="AC125" s="125" cm="1">
        <f t="array" ref="AC125">_xll.EQNXTDZ($A$1,$B125,AC$1,$B$1)</f>
        <v>0</v>
      </c>
      <c r="AD125" s="125" cm="1">
        <f t="array" ref="AD125">_xll.EQNXTDZ($A$1,$B125,AD$1,$B$1)</f>
        <v>0</v>
      </c>
      <c r="AE125" s="125" cm="1">
        <f t="array" ref="AE125">_xll.EQNXTDZ($A$1,$B125,AE$1,$B$1)</f>
        <v>0</v>
      </c>
      <c r="AF125" s="125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5" cm="1">
        <f t="array" ref="C126">_xll.EQNXTDZ($A$1,$B126,C$1,$B$1)</f>
        <v>0</v>
      </c>
      <c r="D126" s="125" cm="1">
        <f t="array" ref="D126">_xll.EQNXTDZ($A$1,$B126,D$1,$B$1)</f>
        <v>0</v>
      </c>
      <c r="E126" s="125" cm="1">
        <f t="array" ref="E126">_xll.EQNXTDZ($A$1,$B126,E$1,$B$1)</f>
        <v>0</v>
      </c>
      <c r="F126" s="125" cm="1">
        <f t="array" ref="F126">_xll.EQNXTDZ($A$1,$B126,F$1,$B$1)</f>
        <v>0</v>
      </c>
      <c r="G126" s="125" cm="1">
        <f t="array" ref="G126">_xll.EQNXTDZ($A$1,$B126,G$1,$B$1)</f>
        <v>0</v>
      </c>
      <c r="H126" s="125" cm="1">
        <f t="array" ref="H126">_xll.EQNXTDZ($A$1,$B126,H$1,$B$1)</f>
        <v>0</v>
      </c>
      <c r="I126" s="125" cm="1">
        <f t="array" ref="I126">_xll.EQNXTDZ($A$1,$B126,I$1,$B$1)</f>
        <v>0</v>
      </c>
      <c r="J126" s="125" cm="1">
        <f t="array" ref="J126">_xll.EQNXTDZ($A$1,$B126,J$1,$B$1)</f>
        <v>0</v>
      </c>
      <c r="K126" s="125" cm="1">
        <f t="array" ref="K126">_xll.EQNXTDZ($A$1,$B126,K$1,$B$1)</f>
        <v>30.0144561</v>
      </c>
      <c r="L126" s="125" cm="1">
        <f t="array" ref="L126">_xll.EQNXTDZ($A$1,$B126,L$1,$B$1)</f>
        <v>68.612606400000004</v>
      </c>
      <c r="M126" s="125" cm="1">
        <f t="array" ref="M126">_xll.EQNXTDZ($A$1,$B126,M$1,$B$1)</f>
        <v>278.5539516</v>
      </c>
      <c r="N126" s="125" cm="1">
        <f t="array" ref="N126">_xll.EQNXTDZ($A$1,$B126,N$1,$B$1)</f>
        <v>212.2519035</v>
      </c>
      <c r="O126" s="125" cm="1">
        <f t="array" ref="O126">_xll.EQNXTDZ($A$1,$B126,O$1,$B$1)</f>
        <v>409.08098260000003</v>
      </c>
      <c r="P126" s="125" cm="1">
        <f t="array" ref="P126">_xll.EQNXTDZ($A$1,$B126,P$1,$B$1)</f>
        <v>851.73210019999999</v>
      </c>
      <c r="Q126" s="125" cm="1">
        <f t="array" ref="Q126">_xll.EQNXTDZ($A$1,$B126,Q$1,$B$1)</f>
        <v>1374.9539317000001</v>
      </c>
      <c r="R126" s="125" cm="1">
        <f t="array" ref="R126">_xll.EQNXTDZ($A$1,$B126,R$1,$B$1)</f>
        <v>1979.8652856000001</v>
      </c>
      <c r="S126" s="125" cm="1">
        <f t="array" ref="S126">_xll.EQNXTDZ($A$1,$B126,S$1,$B$1)</f>
        <v>2850.5120621000001</v>
      </c>
      <c r="T126" s="125" cm="1">
        <f t="array" ref="T126">_xll.EQNXTDZ($A$1,$B126,T$1,$B$1)</f>
        <v>155.68</v>
      </c>
      <c r="U126" s="125" cm="1">
        <f t="array" ref="U126">_xll.EQNXTDZ($A$1,$B126,U$1,$B$1)</f>
        <v>660.53</v>
      </c>
      <c r="V126" s="125" cm="1">
        <f t="array" ref="V126">_xll.EQNXTDZ($A$1,$B126,V$1,$B$1)</f>
        <v>626.96</v>
      </c>
      <c r="W126" s="125" cm="1">
        <f t="array" ref="W126">_xll.EQNXTDZ($A$1,$B126,W$1,$B$1)</f>
        <v>2059.3200000000002</v>
      </c>
      <c r="X126" s="125" cm="1">
        <f t="array" ref="X126">_xll.EQNXTDZ($A$1,$B126,X$1,$B$1)</f>
        <v>2061.2800000000002</v>
      </c>
      <c r="Y126" s="125" cm="1">
        <f t="array" ref="Y126">_xll.EQNXTDZ($A$1,$B126,Y$1,$B$1)</f>
        <v>2314.52</v>
      </c>
      <c r="Z126" s="125" cm="1">
        <f t="array" ref="Z126">_xll.EQNXTDZ($A$1,$B126,Z$1,$B$1)</f>
        <v>2840.19</v>
      </c>
      <c r="AA126" s="125" cm="1">
        <f t="array" ref="AA126">_xll.EQNXTDZ($A$1,$B126,AA$1,$B$1)</f>
        <v>2791.75</v>
      </c>
      <c r="AB126" s="125" cm="1">
        <f t="array" ref="AB126">_xll.EQNXTDZ($A$1,$B126,AB$1,$B$1)</f>
        <v>2891.99</v>
      </c>
      <c r="AC126" s="125" cm="1">
        <f t="array" ref="AC126">_xll.EQNXTDZ($A$1,$B126,AC$1,$B$1)</f>
        <v>0</v>
      </c>
      <c r="AD126" s="125" cm="1">
        <f t="array" ref="AD126">_xll.EQNXTDZ($A$1,$B126,AD$1,$B$1)</f>
        <v>0</v>
      </c>
      <c r="AE126" s="125" cm="1">
        <f t="array" ref="AE126">_xll.EQNXTDZ($A$1,$B126,AE$1,$B$1)</f>
        <v>0</v>
      </c>
      <c r="AF126" s="125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5" cm="1">
        <f t="array" ref="C127">_xll.EQNXTDZ($A$1,$B127,C$1,$B$1)</f>
        <v>0</v>
      </c>
      <c r="D127" s="125" cm="1">
        <f t="array" ref="D127">_xll.EQNXTDZ($A$1,$B127,D$1,$B$1)</f>
        <v>0</v>
      </c>
      <c r="E127" s="125" cm="1">
        <f t="array" ref="E127">_xll.EQNXTDZ($A$1,$B127,E$1,$B$1)</f>
        <v>0</v>
      </c>
      <c r="F127" s="125" cm="1">
        <f t="array" ref="F127">_xll.EQNXTDZ($A$1,$B127,F$1,$B$1)</f>
        <v>0</v>
      </c>
      <c r="G127" s="125" cm="1">
        <f t="array" ref="G127">_xll.EQNXTDZ($A$1,$B127,G$1,$B$1)</f>
        <v>0</v>
      </c>
      <c r="H127" s="125" cm="1">
        <f t="array" ref="H127">_xll.EQNXTDZ($A$1,$B127,H$1,$B$1)</f>
        <v>0</v>
      </c>
      <c r="I127" s="125" cm="1">
        <f t="array" ref="I127">_xll.EQNXTDZ($A$1,$B127,I$1,$B$1)</f>
        <v>0</v>
      </c>
      <c r="J127" s="125" cm="1">
        <f t="array" ref="J127">_xll.EQNXTDZ($A$1,$B127,J$1,$B$1)</f>
        <v>0</v>
      </c>
      <c r="K127" s="125" cm="1">
        <f t="array" ref="K127">_xll.EQNXTDZ($A$1,$B127,K$1,$B$1)</f>
        <v>24.260372100000001</v>
      </c>
      <c r="L127" s="125" cm="1">
        <f t="array" ref="L127">_xll.EQNXTDZ($A$1,$B127,L$1,$B$1)</f>
        <v>54.741444600000001</v>
      </c>
      <c r="M127" s="125" cm="1">
        <f t="array" ref="M127">_xll.EQNXTDZ($A$1,$B127,M$1,$B$1)</f>
        <v>120.0503006</v>
      </c>
      <c r="N127" s="125" cm="1">
        <f t="array" ref="N127">_xll.EQNXTDZ($A$1,$B127,N$1,$B$1)</f>
        <v>14.105976500000001</v>
      </c>
      <c r="O127" s="125" cm="1">
        <f t="array" ref="O127">_xll.EQNXTDZ($A$1,$B127,O$1,$B$1)</f>
        <v>128.27936940000001</v>
      </c>
      <c r="P127" s="125" cm="1">
        <f t="array" ref="P127">_xll.EQNXTDZ($A$1,$B127,P$1,$B$1)</f>
        <v>373.84635509999998</v>
      </c>
      <c r="Q127" s="125" cm="1">
        <f t="array" ref="Q127">_xll.EQNXTDZ($A$1,$B127,Q$1,$B$1)</f>
        <v>612.50514599999997</v>
      </c>
      <c r="R127" s="125" cm="1">
        <f t="array" ref="R127">_xll.EQNXTDZ($A$1,$B127,R$1,$B$1)</f>
        <v>764.66476120000004</v>
      </c>
      <c r="S127" s="125" cm="1">
        <f t="array" ref="S127">_xll.EQNXTDZ($A$1,$B127,S$1,$B$1)</f>
        <v>1183.8419444000001</v>
      </c>
      <c r="T127" s="125" cm="1">
        <f t="array" ref="T127">_xll.EQNXTDZ($A$1,$B127,T$1,$B$1)</f>
        <v>104.82</v>
      </c>
      <c r="U127" s="125" cm="1">
        <f t="array" ref="U127">_xll.EQNXTDZ($A$1,$B127,U$1,$B$1)</f>
        <v>502.09</v>
      </c>
      <c r="V127" s="125" cm="1">
        <f t="array" ref="V127">_xll.EQNXTDZ($A$1,$B127,V$1,$B$1)</f>
        <v>435.63</v>
      </c>
      <c r="W127" s="125" cm="1">
        <f t="array" ref="W127">_xll.EQNXTDZ($A$1,$B127,W$1,$B$1)</f>
        <v>1757.26</v>
      </c>
      <c r="X127" s="125" cm="1">
        <f t="array" ref="X127">_xll.EQNXTDZ($A$1,$B127,X$1,$B$1)</f>
        <v>1465.9</v>
      </c>
      <c r="Y127" s="125" cm="1">
        <f t="array" ref="Y127">_xll.EQNXTDZ($A$1,$B127,Y$1,$B$1)</f>
        <v>1689.84</v>
      </c>
      <c r="Z127" s="125" cm="1">
        <f t="array" ref="Z127">_xll.EQNXTDZ($A$1,$B127,Z$1,$B$1)</f>
        <v>-7379.66</v>
      </c>
      <c r="AA127" s="125" cm="1">
        <f t="array" ref="AA127">_xll.EQNXTDZ($A$1,$B127,AA$1,$B$1)</f>
        <v>-8325.36</v>
      </c>
      <c r="AB127" s="125" cm="1">
        <f t="array" ref="AB127">_xll.EQNXTDZ($A$1,$B127,AB$1,$B$1)</f>
        <v>-10570.32</v>
      </c>
      <c r="AC127" s="125" cm="1">
        <f t="array" ref="AC127">_xll.EQNXTDZ($A$1,$B127,AC$1,$B$1)</f>
        <v>0</v>
      </c>
      <c r="AD127" s="125" cm="1">
        <f t="array" ref="AD127">_xll.EQNXTDZ($A$1,$B127,AD$1,$B$1)</f>
        <v>0</v>
      </c>
      <c r="AE127" s="125" cm="1">
        <f t="array" ref="AE127">_xll.EQNXTDZ($A$1,$B127,AE$1,$B$1)</f>
        <v>0</v>
      </c>
      <c r="AF127" s="125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5" cm="1">
        <f t="array" ref="C128">_xll.EQNXTDZ($A$1,$B128,C$1,$B$1)</f>
        <v>0</v>
      </c>
      <c r="D128" s="125" cm="1">
        <f t="array" ref="D128">_xll.EQNXTDZ($A$1,$B128,D$1,$B$1)</f>
        <v>0</v>
      </c>
      <c r="E128" s="125" cm="1">
        <f t="array" ref="E128">_xll.EQNXTDZ($A$1,$B128,E$1,$B$1)</f>
        <v>0</v>
      </c>
      <c r="F128" s="125" cm="1">
        <f t="array" ref="F128">_xll.EQNXTDZ($A$1,$B128,F$1,$B$1)</f>
        <v>0</v>
      </c>
      <c r="G128" s="125" cm="1">
        <f t="array" ref="G128">_xll.EQNXTDZ($A$1,$B128,G$1,$B$1)</f>
        <v>0</v>
      </c>
      <c r="H128" s="125" cm="1">
        <f t="array" ref="H128">_xll.EQNXTDZ($A$1,$B128,H$1,$B$1)</f>
        <v>0</v>
      </c>
      <c r="I128" s="125" cm="1">
        <f t="array" ref="I128">_xll.EQNXTDZ($A$1,$B128,I$1,$B$1)</f>
        <v>0</v>
      </c>
      <c r="J128" s="125" cm="1">
        <f t="array" ref="J128">_xll.EQNXTDZ($A$1,$B128,J$1,$B$1)</f>
        <v>0</v>
      </c>
      <c r="K128" s="125" cm="1">
        <f t="array" ref="K128">_xll.EQNXTDZ($A$1,$B128,K$1,$B$1)</f>
        <v>30.0144561</v>
      </c>
      <c r="L128" s="125" cm="1">
        <f t="array" ref="L128">_xll.EQNXTDZ($A$1,$B128,L$1,$B$1)</f>
        <v>64.612606400000004</v>
      </c>
      <c r="M128" s="125" cm="1">
        <f t="array" ref="M128">_xll.EQNXTDZ($A$1,$B128,M$1,$B$1)</f>
        <v>247.1992276</v>
      </c>
      <c r="N128" s="125" cm="1">
        <f t="array" ref="N128">_xll.EQNXTDZ($A$1,$B128,N$1,$B$1)</f>
        <v>212.2519035</v>
      </c>
      <c r="O128" s="125" cm="1">
        <f t="array" ref="O128">_xll.EQNXTDZ($A$1,$B128,O$1,$B$1)</f>
        <v>408.82180970000002</v>
      </c>
      <c r="P128" s="125" cm="1">
        <f t="array" ref="P128">_xll.EQNXTDZ($A$1,$B128,P$1,$B$1)</f>
        <v>851.73210019999999</v>
      </c>
      <c r="Q128" s="125" cm="1">
        <f t="array" ref="Q128">_xll.EQNXTDZ($A$1,$B128,Q$1,$B$1)</f>
        <v>1374.9539317000001</v>
      </c>
      <c r="R128" s="125" cm="1">
        <f t="array" ref="R128">_xll.EQNXTDZ($A$1,$B128,R$1,$B$1)</f>
        <v>1979.8652856000001</v>
      </c>
      <c r="S128" s="125" cm="1">
        <f t="array" ref="S128">_xll.EQNXTDZ($A$1,$B128,S$1,$B$1)</f>
        <v>2850.5120621000001</v>
      </c>
      <c r="T128" s="125" cm="1">
        <f t="array" ref="T128">_xll.EQNXTDZ($A$1,$B128,T$1,$B$1)</f>
        <v>155.68</v>
      </c>
      <c r="U128" s="125" cm="1">
        <f t="array" ref="U128">_xll.EQNXTDZ($A$1,$B128,U$1,$B$1)</f>
        <v>660.53</v>
      </c>
      <c r="V128" s="125" cm="1">
        <f t="array" ref="V128">_xll.EQNXTDZ($A$1,$B128,V$1,$B$1)</f>
        <v>626.96</v>
      </c>
      <c r="W128" s="125" cm="1">
        <f t="array" ref="W128">_xll.EQNXTDZ($A$1,$B128,W$1,$B$1)</f>
        <v>2059.3200000000002</v>
      </c>
      <c r="X128" s="125" cm="1">
        <f t="array" ref="X128">_xll.EQNXTDZ($A$1,$B128,X$1,$B$1)</f>
        <v>2061.2800000000002</v>
      </c>
      <c r="Y128" s="125" cm="1">
        <f t="array" ref="Y128">_xll.EQNXTDZ($A$1,$B128,Y$1,$B$1)</f>
        <v>1860.54</v>
      </c>
      <c r="Z128" s="125" cm="1">
        <f t="array" ref="Z128">_xll.EQNXTDZ($A$1,$B128,Z$1,$B$1)</f>
        <v>1401.83</v>
      </c>
      <c r="AA128" s="125" cm="1">
        <f t="array" ref="AA128">_xll.EQNXTDZ($A$1,$B128,AA$1,$B$1)</f>
        <v>1899.45</v>
      </c>
      <c r="AB128" s="125" cm="1">
        <f t="array" ref="AB128">_xll.EQNXTDZ($A$1,$B128,AB$1,$B$1)</f>
        <v>1816.65</v>
      </c>
      <c r="AC128" s="125" cm="1">
        <f t="array" ref="AC128">_xll.EQNXTDZ($A$1,$B128,AC$1,$B$1)</f>
        <v>0</v>
      </c>
      <c r="AD128" s="125" cm="1">
        <f t="array" ref="AD128">_xll.EQNXTDZ($A$1,$B128,AD$1,$B$1)</f>
        <v>0</v>
      </c>
      <c r="AE128" s="125" cm="1">
        <f t="array" ref="AE128">_xll.EQNXTDZ($A$1,$B128,AE$1,$B$1)</f>
        <v>0</v>
      </c>
      <c r="AF128" s="125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5" cm="1">
        <f t="array" ref="C129">_xll.EQNXTDZ($A$1,$B129,C$1,$B$1)</f>
        <v>0</v>
      </c>
      <c r="D129" s="125" cm="1">
        <f t="array" ref="D129">_xll.EQNXTDZ($A$1,$B129,D$1,$B$1)</f>
        <v>0</v>
      </c>
      <c r="E129" s="125" cm="1">
        <f t="array" ref="E129">_xll.EQNXTDZ($A$1,$B129,E$1,$B$1)</f>
        <v>0</v>
      </c>
      <c r="F129" s="125" cm="1">
        <f t="array" ref="F129">_xll.EQNXTDZ($A$1,$B129,F$1,$B$1)</f>
        <v>0</v>
      </c>
      <c r="G129" s="125" cm="1">
        <f t="array" ref="G129">_xll.EQNXTDZ($A$1,$B129,G$1,$B$1)</f>
        <v>0</v>
      </c>
      <c r="H129" s="125" cm="1">
        <f t="array" ref="H129">_xll.EQNXTDZ($A$1,$B129,H$1,$B$1)</f>
        <v>0</v>
      </c>
      <c r="I129" s="125" cm="1">
        <f t="array" ref="I129">_xll.EQNXTDZ($A$1,$B129,I$1,$B$1)</f>
        <v>0</v>
      </c>
      <c r="J129" s="125" cm="1">
        <f t="array" ref="J129">_xll.EQNXTDZ($A$1,$B129,J$1,$B$1)</f>
        <v>0</v>
      </c>
      <c r="K129" s="125" cm="1">
        <f t="array" ref="K129">_xll.EQNXTDZ($A$1,$B129,K$1,$B$1)</f>
        <v>3.9772235</v>
      </c>
      <c r="L129" s="125" cm="1">
        <f t="array" ref="L129">_xll.EQNXTDZ($A$1,$B129,L$1,$B$1)</f>
        <v>1.9884013</v>
      </c>
      <c r="M129" s="125" cm="1">
        <f t="array" ref="M129">_xll.EQNXTDZ($A$1,$B129,M$1,$B$1)</f>
        <v>0.61098300000000005</v>
      </c>
      <c r="N129" s="125" cm="1">
        <f t="array" ref="N129">_xll.EQNXTDZ($A$1,$B129,N$1,$B$1)</f>
        <v>0.53582010000000002</v>
      </c>
      <c r="O129" s="125" cm="1">
        <f t="array" ref="O129">_xll.EQNXTDZ($A$1,$B129,O$1,$B$1)</f>
        <v>1.8308637999999999</v>
      </c>
      <c r="P129" s="125" cm="1">
        <f t="array" ref="P129">_xll.EQNXTDZ($A$1,$B129,P$1,$B$1)</f>
        <v>3.4019170999999999</v>
      </c>
      <c r="Q129" s="125" cm="1">
        <f t="array" ref="Q129">_xll.EQNXTDZ($A$1,$B129,Q$1,$B$1)</f>
        <v>3.1242489</v>
      </c>
      <c r="R129" s="125" cm="1">
        <f t="array" ref="R129">_xll.EQNXTDZ($A$1,$B129,R$1,$B$1)</f>
        <v>3.2540909</v>
      </c>
      <c r="S129" s="125" cm="1">
        <f t="array" ref="S129">_xll.EQNXTDZ($A$1,$B129,S$1,$B$1)</f>
        <v>0.13766590000000001</v>
      </c>
      <c r="T129" s="125" cm="1">
        <f t="array" ref="T129">_xll.EQNXTDZ($A$1,$B129,T$1,$B$1)</f>
        <v>0</v>
      </c>
      <c r="U129" s="125" cm="1">
        <f t="array" ref="U129">_xll.EQNXTDZ($A$1,$B129,U$1,$B$1)</f>
        <v>0</v>
      </c>
      <c r="V129" s="125" cm="1">
        <f t="array" ref="V129">_xll.EQNXTDZ($A$1,$B129,V$1,$B$1)</f>
        <v>0</v>
      </c>
      <c r="W129" s="125" cm="1">
        <f t="array" ref="W129">_xll.EQNXTDZ($A$1,$B129,W$1,$B$1)</f>
        <v>0</v>
      </c>
      <c r="X129" s="125" cm="1">
        <f t="array" ref="X129">_xll.EQNXTDZ($A$1,$B129,X$1,$B$1)</f>
        <v>0</v>
      </c>
      <c r="Y129" s="125" cm="1">
        <f t="array" ref="Y129">_xll.EQNXTDZ($A$1,$B129,Y$1,$B$1)</f>
        <v>0</v>
      </c>
      <c r="Z129" s="125" cm="1">
        <f t="array" ref="Z129">_xll.EQNXTDZ($A$1,$B129,Z$1,$B$1)</f>
        <v>0</v>
      </c>
      <c r="AA129" s="125" cm="1">
        <f t="array" ref="AA129">_xll.EQNXTDZ($A$1,$B129,AA$1,$B$1)</f>
        <v>0</v>
      </c>
      <c r="AB129" s="125" cm="1">
        <f t="array" ref="AB129">_xll.EQNXTDZ($A$1,$B129,AB$1,$B$1)</f>
        <v>0</v>
      </c>
      <c r="AC129" s="125" cm="1">
        <f t="array" ref="AC129">_xll.EQNXTDZ($A$1,$B129,AC$1,$B$1)</f>
        <v>0</v>
      </c>
      <c r="AD129" s="125" cm="1">
        <f t="array" ref="AD129">_xll.EQNXTDZ($A$1,$B129,AD$1,$B$1)</f>
        <v>0</v>
      </c>
      <c r="AE129" s="125" cm="1">
        <f t="array" ref="AE129">_xll.EQNXTDZ($A$1,$B129,AE$1,$B$1)</f>
        <v>0</v>
      </c>
      <c r="AF129" s="125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5" cm="1">
        <f t="array" ref="C130">_xll.EQNXTDZ($A$1,$B130,C$1,$B$1)</f>
        <v>0</v>
      </c>
      <c r="D130" s="125" cm="1">
        <f t="array" ref="D130">_xll.EQNXTDZ($A$1,$B130,D$1,$B$1)</f>
        <v>0</v>
      </c>
      <c r="E130" s="125" cm="1">
        <f t="array" ref="E130">_xll.EQNXTDZ($A$1,$B130,E$1,$B$1)</f>
        <v>0</v>
      </c>
      <c r="F130" s="125" cm="1">
        <f t="array" ref="F130">_xll.EQNXTDZ($A$1,$B130,F$1,$B$1)</f>
        <v>0</v>
      </c>
      <c r="G130" s="125" cm="1">
        <f t="array" ref="G130">_xll.EQNXTDZ($A$1,$B130,G$1,$B$1)</f>
        <v>0</v>
      </c>
      <c r="H130" s="125" cm="1">
        <f t="array" ref="H130">_xll.EQNXTDZ($A$1,$B130,H$1,$B$1)</f>
        <v>0</v>
      </c>
      <c r="I130" s="125" cm="1">
        <f t="array" ref="I130">_xll.EQNXTDZ($A$1,$B130,I$1,$B$1)</f>
        <v>0</v>
      </c>
      <c r="J130" s="125" cm="1">
        <f t="array" ref="J130">_xll.EQNXTDZ($A$1,$B130,J$1,$B$1)</f>
        <v>0</v>
      </c>
      <c r="K130" s="125" cm="1">
        <f t="array" ref="K130">_xll.EQNXTDZ($A$1,$B130,K$1,$B$1)</f>
        <v>0</v>
      </c>
      <c r="L130" s="125" cm="1">
        <f t="array" ref="L130">_xll.EQNXTDZ($A$1,$B130,L$1,$B$1)</f>
        <v>0</v>
      </c>
      <c r="M130" s="125" cm="1">
        <f t="array" ref="M130">_xll.EQNXTDZ($A$1,$B130,M$1,$B$1)</f>
        <v>0</v>
      </c>
      <c r="N130" s="125" cm="1">
        <f t="array" ref="N130">_xll.EQNXTDZ($A$1,$B130,N$1,$B$1)</f>
        <v>0</v>
      </c>
      <c r="O130" s="125" cm="1">
        <f t="array" ref="O130">_xll.EQNXTDZ($A$1,$B130,O$1,$B$1)</f>
        <v>0</v>
      </c>
      <c r="P130" s="125" cm="1">
        <f t="array" ref="P130">_xll.EQNXTDZ($A$1,$B130,P$1,$B$1)</f>
        <v>0</v>
      </c>
      <c r="Q130" s="125" cm="1">
        <f t="array" ref="Q130">_xll.EQNXTDZ($A$1,$B130,Q$1,$B$1)</f>
        <v>0</v>
      </c>
      <c r="R130" s="125" cm="1">
        <f t="array" ref="R130">_xll.EQNXTDZ($A$1,$B130,R$1,$B$1)</f>
        <v>0</v>
      </c>
      <c r="S130" s="125" cm="1">
        <f t="array" ref="S130">_xll.EQNXTDZ($A$1,$B130,S$1,$B$1)</f>
        <v>0</v>
      </c>
      <c r="T130" s="125" cm="1">
        <f t="array" ref="T130">_xll.EQNXTDZ($A$1,$B130,T$1,$B$1)</f>
        <v>0</v>
      </c>
      <c r="U130" s="125" cm="1">
        <f t="array" ref="U130">_xll.EQNXTDZ($A$1,$B130,U$1,$B$1)</f>
        <v>0</v>
      </c>
      <c r="V130" s="125" cm="1">
        <f t="array" ref="V130">_xll.EQNXTDZ($A$1,$B130,V$1,$B$1)</f>
        <v>0</v>
      </c>
      <c r="W130" s="125" cm="1">
        <f t="array" ref="W130">_xll.EQNXTDZ($A$1,$B130,W$1,$B$1)</f>
        <v>0</v>
      </c>
      <c r="X130" s="125" cm="1">
        <f t="array" ref="X130">_xll.EQNXTDZ($A$1,$B130,X$1,$B$1)</f>
        <v>0</v>
      </c>
      <c r="Y130" s="125" cm="1">
        <f t="array" ref="Y130">_xll.EQNXTDZ($A$1,$B130,Y$1,$B$1)</f>
        <v>0</v>
      </c>
      <c r="Z130" s="125" cm="1">
        <f t="array" ref="Z130">_xll.EQNXTDZ($A$1,$B130,Z$1,$B$1)</f>
        <v>0</v>
      </c>
      <c r="AA130" s="125" cm="1">
        <f t="array" ref="AA130">_xll.EQNXTDZ($A$1,$B130,AA$1,$B$1)</f>
        <v>0</v>
      </c>
      <c r="AB130" s="125" cm="1">
        <f t="array" ref="AB130">_xll.EQNXTDZ($A$1,$B130,AB$1,$B$1)</f>
        <v>0</v>
      </c>
      <c r="AC130" s="125" cm="1">
        <f t="array" ref="AC130">_xll.EQNXTDZ($A$1,$B130,AC$1,$B$1)</f>
        <v>0</v>
      </c>
      <c r="AD130" s="125" cm="1">
        <f t="array" ref="AD130">_xll.EQNXTDZ($A$1,$B130,AD$1,$B$1)</f>
        <v>0</v>
      </c>
      <c r="AE130" s="125" cm="1">
        <f t="array" ref="AE130">_xll.EQNXTDZ($A$1,$B130,AE$1,$B$1)</f>
        <v>0</v>
      </c>
      <c r="AF130" s="125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5" cm="1">
        <f t="array" ref="C131">_xll.EQNXTDZ($A$1,$B131,C$1,$B$1)</f>
        <v>0</v>
      </c>
      <c r="D131" s="125" cm="1">
        <f t="array" ref="D131">_xll.EQNXTDZ($A$1,$B131,D$1,$B$1)</f>
        <v>0</v>
      </c>
      <c r="E131" s="125" cm="1">
        <f t="array" ref="E131">_xll.EQNXTDZ($A$1,$B131,E$1,$B$1)</f>
        <v>0</v>
      </c>
      <c r="F131" s="125" cm="1">
        <f t="array" ref="F131">_xll.EQNXTDZ($A$1,$B131,F$1,$B$1)</f>
        <v>0</v>
      </c>
      <c r="G131" s="125" cm="1">
        <f t="array" ref="G131">_xll.EQNXTDZ($A$1,$B131,G$1,$B$1)</f>
        <v>0</v>
      </c>
      <c r="H131" s="125" cm="1">
        <f t="array" ref="H131">_xll.EQNXTDZ($A$1,$B131,H$1,$B$1)</f>
        <v>0</v>
      </c>
      <c r="I131" s="125" cm="1">
        <f t="array" ref="I131">_xll.EQNXTDZ($A$1,$B131,I$1,$B$1)</f>
        <v>0</v>
      </c>
      <c r="J131" s="125" cm="1">
        <f t="array" ref="J131">_xll.EQNXTDZ($A$1,$B131,J$1,$B$1)</f>
        <v>0</v>
      </c>
      <c r="K131" s="125" cm="1">
        <f t="array" ref="K131">_xll.EQNXTDZ($A$1,$B131,K$1,$B$1)</f>
        <v>0</v>
      </c>
      <c r="L131" s="125" cm="1">
        <f t="array" ref="L131">_xll.EQNXTDZ($A$1,$B131,L$1,$B$1)</f>
        <v>0</v>
      </c>
      <c r="M131" s="125" cm="1">
        <f t="array" ref="M131">_xll.EQNXTDZ($A$1,$B131,M$1,$B$1)</f>
        <v>0</v>
      </c>
      <c r="N131" s="125" cm="1">
        <f t="array" ref="N131">_xll.EQNXTDZ($A$1,$B131,N$1,$B$1)</f>
        <v>0</v>
      </c>
      <c r="O131" s="125" cm="1">
        <f t="array" ref="O131">_xll.EQNXTDZ($A$1,$B131,O$1,$B$1)</f>
        <v>0</v>
      </c>
      <c r="P131" s="125" cm="1">
        <f t="array" ref="P131">_xll.EQNXTDZ($A$1,$B131,P$1,$B$1)</f>
        <v>0</v>
      </c>
      <c r="Q131" s="125" cm="1">
        <f t="array" ref="Q131">_xll.EQNXTDZ($A$1,$B131,Q$1,$B$1)</f>
        <v>0</v>
      </c>
      <c r="R131" s="125" cm="1">
        <f t="array" ref="R131">_xll.EQNXTDZ($A$1,$B131,R$1,$B$1)</f>
        <v>0</v>
      </c>
      <c r="S131" s="125" cm="1">
        <f t="array" ref="S131">_xll.EQNXTDZ($A$1,$B131,S$1,$B$1)</f>
        <v>0</v>
      </c>
      <c r="T131" s="125" cm="1">
        <f t="array" ref="T131">_xll.EQNXTDZ($A$1,$B131,T$1,$B$1)</f>
        <v>0</v>
      </c>
      <c r="U131" s="125" cm="1">
        <f t="array" ref="U131">_xll.EQNXTDZ($A$1,$B131,U$1,$B$1)</f>
        <v>0</v>
      </c>
      <c r="V131" s="125" cm="1">
        <f t="array" ref="V131">_xll.EQNXTDZ($A$1,$B131,V$1,$B$1)</f>
        <v>0</v>
      </c>
      <c r="W131" s="125" cm="1">
        <f t="array" ref="W131">_xll.EQNXTDZ($A$1,$B131,W$1,$B$1)</f>
        <v>0</v>
      </c>
      <c r="X131" s="125" cm="1">
        <f t="array" ref="X131">_xll.EQNXTDZ($A$1,$B131,X$1,$B$1)</f>
        <v>0</v>
      </c>
      <c r="Y131" s="125" cm="1">
        <f t="array" ref="Y131">_xll.EQNXTDZ($A$1,$B131,Y$1,$B$1)</f>
        <v>0</v>
      </c>
      <c r="Z131" s="125" cm="1">
        <f t="array" ref="Z131">_xll.EQNXTDZ($A$1,$B131,Z$1,$B$1)</f>
        <v>0</v>
      </c>
      <c r="AA131" s="125" cm="1">
        <f t="array" ref="AA131">_xll.EQNXTDZ($A$1,$B131,AA$1,$B$1)</f>
        <v>0</v>
      </c>
      <c r="AB131" s="125" cm="1">
        <f t="array" ref="AB131">_xll.EQNXTDZ($A$1,$B131,AB$1,$B$1)</f>
        <v>0</v>
      </c>
      <c r="AC131" s="125" cm="1">
        <f t="array" ref="AC131">_xll.EQNXTDZ($A$1,$B131,AC$1,$B$1)</f>
        <v>0</v>
      </c>
      <c r="AD131" s="125" cm="1">
        <f t="array" ref="AD131">_xll.EQNXTDZ($A$1,$B131,AD$1,$B$1)</f>
        <v>0</v>
      </c>
      <c r="AE131" s="125" cm="1">
        <f t="array" ref="AE131">_xll.EQNXTDZ($A$1,$B131,AE$1,$B$1)</f>
        <v>0</v>
      </c>
      <c r="AF131" s="125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5" cm="1">
        <f t="array" ref="C132">_xll.EQNXTDZ($A$1,$B132,C$1,$B$1)</f>
        <v>0</v>
      </c>
      <c r="D132" s="125" cm="1">
        <f t="array" ref="D132">_xll.EQNXTDZ($A$1,$B132,D$1,$B$1)</f>
        <v>0</v>
      </c>
      <c r="E132" s="125" cm="1">
        <f t="array" ref="E132">_xll.EQNXTDZ($A$1,$B132,E$1,$B$1)</f>
        <v>0</v>
      </c>
      <c r="F132" s="125" cm="1">
        <f t="array" ref="F132">_xll.EQNXTDZ($A$1,$B132,F$1,$B$1)</f>
        <v>0</v>
      </c>
      <c r="G132" s="125" cm="1">
        <f t="array" ref="G132">_xll.EQNXTDZ($A$1,$B132,G$1,$B$1)</f>
        <v>0</v>
      </c>
      <c r="H132" s="125" cm="1">
        <f t="array" ref="H132">_xll.EQNXTDZ($A$1,$B132,H$1,$B$1)</f>
        <v>0</v>
      </c>
      <c r="I132" s="125" cm="1">
        <f t="array" ref="I132">_xll.EQNXTDZ($A$1,$B132,I$1,$B$1)</f>
        <v>0</v>
      </c>
      <c r="J132" s="125" cm="1">
        <f t="array" ref="J132">_xll.EQNXTDZ($A$1,$B132,J$1,$B$1)</f>
        <v>0</v>
      </c>
      <c r="K132" s="125" cm="1">
        <f t="array" ref="K132">_xll.EQNXTDZ($A$1,$B132,K$1,$B$1)</f>
        <v>0</v>
      </c>
      <c r="L132" s="125" cm="1">
        <f t="array" ref="L132">_xll.EQNXTDZ($A$1,$B132,L$1,$B$1)</f>
        <v>4.2</v>
      </c>
      <c r="M132" s="125" cm="1">
        <f t="array" ref="M132">_xll.EQNXTDZ($A$1,$B132,M$1,$B$1)</f>
        <v>36.777268300000003</v>
      </c>
      <c r="N132" s="125" cm="1">
        <f t="array" ref="N132">_xll.EQNXTDZ($A$1,$B132,N$1,$B$1)</f>
        <v>32.311783699999999</v>
      </c>
      <c r="O132" s="125" cm="1">
        <f t="array" ref="O132">_xll.EQNXTDZ($A$1,$B132,O$1,$B$1)</f>
        <v>39.755172399999999</v>
      </c>
      <c r="P132" s="125" cm="1">
        <f t="array" ref="P132">_xll.EQNXTDZ($A$1,$B132,P$1,$B$1)</f>
        <v>49.669115699999999</v>
      </c>
      <c r="Q132" s="125" cm="1">
        <f t="array" ref="Q132">_xll.EQNXTDZ($A$1,$B132,Q$1,$B$1)</f>
        <v>80.970129999999997</v>
      </c>
      <c r="R132" s="125" cm="1">
        <f t="array" ref="R132">_xll.EQNXTDZ($A$1,$B132,R$1,$B$1)</f>
        <v>44.169453500000003</v>
      </c>
      <c r="S132" s="125" cm="1">
        <f t="array" ref="S132">_xll.EQNXTDZ($A$1,$B132,S$1,$B$1)</f>
        <v>17.889088999999998</v>
      </c>
      <c r="T132" s="125" cm="1">
        <f t="array" ref="T132">_xll.EQNXTDZ($A$1,$B132,T$1,$B$1)</f>
        <v>156.79</v>
      </c>
      <c r="U132" s="125" cm="1">
        <f t="array" ref="U132">_xll.EQNXTDZ($A$1,$B132,U$1,$B$1)</f>
        <v>338.84</v>
      </c>
      <c r="V132" s="125" cm="1">
        <f t="array" ref="V132">_xll.EQNXTDZ($A$1,$B132,V$1,$B$1)</f>
        <v>1163.44</v>
      </c>
      <c r="W132" s="125" cm="1">
        <f t="array" ref="W132">_xll.EQNXTDZ($A$1,$B132,W$1,$B$1)</f>
        <v>1267.3699999999999</v>
      </c>
      <c r="X132" s="125" cm="1">
        <f t="array" ref="X132">_xll.EQNXTDZ($A$1,$B132,X$1,$B$1)</f>
        <v>506.43</v>
      </c>
      <c r="Y132" s="125" cm="1">
        <f t="array" ref="Y132">_xll.EQNXTDZ($A$1,$B132,Y$1,$B$1)</f>
        <v>1026.49</v>
      </c>
      <c r="Z132" s="125" cm="1">
        <f t="array" ref="Z132">_xll.EQNXTDZ($A$1,$B132,Z$1,$B$1)</f>
        <v>2914.1</v>
      </c>
      <c r="AA132" s="125" cm="1">
        <f t="array" ref="AA132">_xll.EQNXTDZ($A$1,$B132,AA$1,$B$1)</f>
        <v>2198.19</v>
      </c>
      <c r="AB132" s="125" cm="1">
        <f t="array" ref="AB132">_xll.EQNXTDZ($A$1,$B132,AB$1,$B$1)</f>
        <v>2498.65</v>
      </c>
      <c r="AC132" s="125" cm="1">
        <f t="array" ref="AC132">_xll.EQNXTDZ($A$1,$B132,AC$1,$B$1)</f>
        <v>0</v>
      </c>
      <c r="AD132" s="125" cm="1">
        <f t="array" ref="AD132">_xll.EQNXTDZ($A$1,$B132,AD$1,$B$1)</f>
        <v>0</v>
      </c>
      <c r="AE132" s="125" cm="1">
        <f t="array" ref="AE132">_xll.EQNXTDZ($A$1,$B132,AE$1,$B$1)</f>
        <v>0</v>
      </c>
      <c r="AF132" s="125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5" cm="1">
        <f t="array" ref="C133">_xll.EQNXTDZ($A$1,$B133,C$1,$B$1)</f>
        <v>0</v>
      </c>
      <c r="D133" s="125" cm="1">
        <f t="array" ref="D133">_xll.EQNXTDZ($A$1,$B133,D$1,$B$1)</f>
        <v>0</v>
      </c>
      <c r="E133" s="125" cm="1">
        <f t="array" ref="E133">_xll.EQNXTDZ($A$1,$B133,E$1,$B$1)</f>
        <v>0</v>
      </c>
      <c r="F133" s="125" cm="1">
        <f t="array" ref="F133">_xll.EQNXTDZ($A$1,$B133,F$1,$B$1)</f>
        <v>0</v>
      </c>
      <c r="G133" s="125" cm="1">
        <f t="array" ref="G133">_xll.EQNXTDZ($A$1,$B133,G$1,$B$1)</f>
        <v>0</v>
      </c>
      <c r="H133" s="125" cm="1">
        <f t="array" ref="H133">_xll.EQNXTDZ($A$1,$B133,H$1,$B$1)</f>
        <v>0</v>
      </c>
      <c r="I133" s="125" cm="1">
        <f t="array" ref="I133">_xll.EQNXTDZ($A$1,$B133,I$1,$B$1)</f>
        <v>0</v>
      </c>
      <c r="J133" s="125" cm="1">
        <f t="array" ref="J133">_xll.EQNXTDZ($A$1,$B133,J$1,$B$1)</f>
        <v>0</v>
      </c>
      <c r="K133" s="125" cm="1">
        <f t="array" ref="K133">_xll.EQNXTDZ($A$1,$B133,K$1,$B$1)</f>
        <v>0</v>
      </c>
      <c r="L133" s="125" cm="1">
        <f t="array" ref="L133">_xll.EQNXTDZ($A$1,$B133,L$1,$B$1)</f>
        <v>0</v>
      </c>
      <c r="M133" s="125" cm="1">
        <f t="array" ref="M133">_xll.EQNXTDZ($A$1,$B133,M$1,$B$1)</f>
        <v>0</v>
      </c>
      <c r="N133" s="125" cm="1">
        <f t="array" ref="N133">_xll.EQNXTDZ($A$1,$B133,N$1,$B$1)</f>
        <v>0</v>
      </c>
      <c r="O133" s="125" cm="1">
        <f t="array" ref="O133">_xll.EQNXTDZ($A$1,$B133,O$1,$B$1)</f>
        <v>0</v>
      </c>
      <c r="P133" s="125" cm="1">
        <f t="array" ref="P133">_xll.EQNXTDZ($A$1,$B133,P$1,$B$1)</f>
        <v>0</v>
      </c>
      <c r="Q133" s="125" cm="1">
        <f t="array" ref="Q133">_xll.EQNXTDZ($A$1,$B133,Q$1,$B$1)</f>
        <v>0</v>
      </c>
      <c r="R133" s="125" cm="1">
        <f t="array" ref="R133">_xll.EQNXTDZ($A$1,$B133,R$1,$B$1)</f>
        <v>0</v>
      </c>
      <c r="S133" s="125" cm="1">
        <f t="array" ref="S133">_xll.EQNXTDZ($A$1,$B133,S$1,$B$1)</f>
        <v>0</v>
      </c>
      <c r="T133" s="125" cm="1">
        <f t="array" ref="T133">_xll.EQNXTDZ($A$1,$B133,T$1,$B$1)</f>
        <v>0</v>
      </c>
      <c r="U133" s="125" cm="1">
        <f t="array" ref="U133">_xll.EQNXTDZ($A$1,$B133,U$1,$B$1)</f>
        <v>0</v>
      </c>
      <c r="V133" s="125" cm="1">
        <f t="array" ref="V133">_xll.EQNXTDZ($A$1,$B133,V$1,$B$1)</f>
        <v>0</v>
      </c>
      <c r="W133" s="125" cm="1">
        <f t="array" ref="W133">_xll.EQNXTDZ($A$1,$B133,W$1,$B$1)</f>
        <v>0</v>
      </c>
      <c r="X133" s="125" cm="1">
        <f t="array" ref="X133">_xll.EQNXTDZ($A$1,$B133,X$1,$B$1)</f>
        <v>0</v>
      </c>
      <c r="Y133" s="125" cm="1">
        <f t="array" ref="Y133">_xll.EQNXTDZ($A$1,$B133,Y$1,$B$1)</f>
        <v>0</v>
      </c>
      <c r="Z133" s="125" cm="1">
        <f t="array" ref="Z133">_xll.EQNXTDZ($A$1,$B133,Z$1,$B$1)</f>
        <v>0</v>
      </c>
      <c r="AA133" s="125" cm="1">
        <f t="array" ref="AA133">_xll.EQNXTDZ($A$1,$B133,AA$1,$B$1)</f>
        <v>0</v>
      </c>
      <c r="AB133" s="125" cm="1">
        <f t="array" ref="AB133">_xll.EQNXTDZ($A$1,$B133,AB$1,$B$1)</f>
        <v>0</v>
      </c>
      <c r="AC133" s="125" cm="1">
        <f t="array" ref="AC133">_xll.EQNXTDZ($A$1,$B133,AC$1,$B$1)</f>
        <v>0</v>
      </c>
      <c r="AD133" s="125" cm="1">
        <f t="array" ref="AD133">_xll.EQNXTDZ($A$1,$B133,AD$1,$B$1)</f>
        <v>0</v>
      </c>
      <c r="AE133" s="125" cm="1">
        <f t="array" ref="AE133">_xll.EQNXTDZ($A$1,$B133,AE$1,$B$1)</f>
        <v>0</v>
      </c>
      <c r="AF133" s="125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5" cm="1">
        <f t="array" ref="C134">_xll.EQNXTDZ($A$1,$B134,C$1,$B$1)</f>
        <v>0</v>
      </c>
      <c r="D134" s="125" cm="1">
        <f t="array" ref="D134">_xll.EQNXTDZ($A$1,$B134,D$1,$B$1)</f>
        <v>0</v>
      </c>
      <c r="E134" s="125" cm="1">
        <f t="array" ref="E134">_xll.EQNXTDZ($A$1,$B134,E$1,$B$1)</f>
        <v>0</v>
      </c>
      <c r="F134" s="125" cm="1">
        <f t="array" ref="F134">_xll.EQNXTDZ($A$1,$B134,F$1,$B$1)</f>
        <v>0</v>
      </c>
      <c r="G134" s="125" cm="1">
        <f t="array" ref="G134">_xll.EQNXTDZ($A$1,$B134,G$1,$B$1)</f>
        <v>0</v>
      </c>
      <c r="H134" s="125" cm="1">
        <f t="array" ref="H134">_xll.EQNXTDZ($A$1,$B134,H$1,$B$1)</f>
        <v>0</v>
      </c>
      <c r="I134" s="125" cm="1">
        <f t="array" ref="I134">_xll.EQNXTDZ($A$1,$B134,I$1,$B$1)</f>
        <v>0</v>
      </c>
      <c r="J134" s="125" cm="1">
        <f t="array" ref="J134">_xll.EQNXTDZ($A$1,$B134,J$1,$B$1)</f>
        <v>0</v>
      </c>
      <c r="K134" s="125" cm="1">
        <f t="array" ref="K134">_xll.EQNXTDZ($A$1,$B134,K$1,$B$1)</f>
        <v>0</v>
      </c>
      <c r="L134" s="125" cm="1">
        <f t="array" ref="L134">_xll.EQNXTDZ($A$1,$B134,L$1,$B$1)</f>
        <v>0</v>
      </c>
      <c r="M134" s="125" cm="1">
        <f t="array" ref="M134">_xll.EQNXTDZ($A$1,$B134,M$1,$B$1)</f>
        <v>0</v>
      </c>
      <c r="N134" s="125" cm="1">
        <f t="array" ref="N134">_xll.EQNXTDZ($A$1,$B134,N$1,$B$1)</f>
        <v>0</v>
      </c>
      <c r="O134" s="125" cm="1">
        <f t="array" ref="O134">_xll.EQNXTDZ($A$1,$B134,O$1,$B$1)</f>
        <v>0</v>
      </c>
      <c r="P134" s="125" cm="1">
        <f t="array" ref="P134">_xll.EQNXTDZ($A$1,$B134,P$1,$B$1)</f>
        <v>0</v>
      </c>
      <c r="Q134" s="125" cm="1">
        <f t="array" ref="Q134">_xll.EQNXTDZ($A$1,$B134,Q$1,$B$1)</f>
        <v>0</v>
      </c>
      <c r="R134" s="125" cm="1">
        <f t="array" ref="R134">_xll.EQNXTDZ($A$1,$B134,R$1,$B$1)</f>
        <v>0</v>
      </c>
      <c r="S134" s="125" cm="1">
        <f t="array" ref="S134">_xll.EQNXTDZ($A$1,$B134,S$1,$B$1)</f>
        <v>0</v>
      </c>
      <c r="T134" s="125" cm="1">
        <f t="array" ref="T134">_xll.EQNXTDZ($A$1,$B134,T$1,$B$1)</f>
        <v>0</v>
      </c>
      <c r="U134" s="125" cm="1">
        <f t="array" ref="U134">_xll.EQNXTDZ($A$1,$B134,U$1,$B$1)</f>
        <v>0</v>
      </c>
      <c r="V134" s="125" cm="1">
        <f t="array" ref="V134">_xll.EQNXTDZ($A$1,$B134,V$1,$B$1)</f>
        <v>0</v>
      </c>
      <c r="W134" s="125" cm="1">
        <f t="array" ref="W134">_xll.EQNXTDZ($A$1,$B134,W$1,$B$1)</f>
        <v>0</v>
      </c>
      <c r="X134" s="125" cm="1">
        <f t="array" ref="X134">_xll.EQNXTDZ($A$1,$B134,X$1,$B$1)</f>
        <v>0</v>
      </c>
      <c r="Y134" s="125" cm="1">
        <f t="array" ref="Y134">_xll.EQNXTDZ($A$1,$B134,Y$1,$B$1)</f>
        <v>0</v>
      </c>
      <c r="Z134" s="125" cm="1">
        <f t="array" ref="Z134">_xll.EQNXTDZ($A$1,$B134,Z$1,$B$1)</f>
        <v>0</v>
      </c>
      <c r="AA134" s="125" cm="1">
        <f t="array" ref="AA134">_xll.EQNXTDZ($A$1,$B134,AA$1,$B$1)</f>
        <v>0</v>
      </c>
      <c r="AB134" s="125" cm="1">
        <f t="array" ref="AB134">_xll.EQNXTDZ($A$1,$B134,AB$1,$B$1)</f>
        <v>0</v>
      </c>
      <c r="AC134" s="125" cm="1">
        <f t="array" ref="AC134">_xll.EQNXTDZ($A$1,$B134,AC$1,$B$1)</f>
        <v>0</v>
      </c>
      <c r="AD134" s="125" cm="1">
        <f t="array" ref="AD134">_xll.EQNXTDZ($A$1,$B134,AD$1,$B$1)</f>
        <v>0</v>
      </c>
      <c r="AE134" s="125" cm="1">
        <f t="array" ref="AE134">_xll.EQNXTDZ($A$1,$B134,AE$1,$B$1)</f>
        <v>0</v>
      </c>
      <c r="AF134" s="125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5" cm="1">
        <f t="array" ref="C135">_xll.EQNXTDZ($A$1,$B135,C$1,$B$1)</f>
        <v>0</v>
      </c>
      <c r="D135" s="125" cm="1">
        <f t="array" ref="D135">_xll.EQNXTDZ($A$1,$B135,D$1,$B$1)</f>
        <v>0</v>
      </c>
      <c r="E135" s="125" cm="1">
        <f t="array" ref="E135">_xll.EQNXTDZ($A$1,$B135,E$1,$B$1)</f>
        <v>0</v>
      </c>
      <c r="F135" s="125" cm="1">
        <f t="array" ref="F135">_xll.EQNXTDZ($A$1,$B135,F$1,$B$1)</f>
        <v>0</v>
      </c>
      <c r="G135" s="125" cm="1">
        <f t="array" ref="G135">_xll.EQNXTDZ($A$1,$B135,G$1,$B$1)</f>
        <v>0</v>
      </c>
      <c r="H135" s="125" cm="1">
        <f t="array" ref="H135">_xll.EQNXTDZ($A$1,$B135,H$1,$B$1)</f>
        <v>0</v>
      </c>
      <c r="I135" s="125" cm="1">
        <f t="array" ref="I135">_xll.EQNXTDZ($A$1,$B135,I$1,$B$1)</f>
        <v>0</v>
      </c>
      <c r="J135" s="125" cm="1">
        <f t="array" ref="J135">_xll.EQNXTDZ($A$1,$B135,J$1,$B$1)</f>
        <v>0</v>
      </c>
      <c r="K135" s="125" cm="1">
        <f t="array" ref="K135">_xll.EQNXTDZ($A$1,$B135,K$1,$B$1)</f>
        <v>216.81987190000001</v>
      </c>
      <c r="L135" s="125" cm="1">
        <f t="array" ref="L135">_xll.EQNXTDZ($A$1,$B135,L$1,$B$1)</f>
        <v>310.30734059999997</v>
      </c>
      <c r="M135" s="125" cm="1">
        <f t="array" ref="M135">_xll.EQNXTDZ($A$1,$B135,M$1,$B$1)</f>
        <v>290.40360959999998</v>
      </c>
      <c r="N135" s="125" cm="1">
        <f t="array" ref="N135">_xll.EQNXTDZ($A$1,$B135,N$1,$B$1)</f>
        <v>325.11883460000001</v>
      </c>
      <c r="O135" s="125" cm="1">
        <f t="array" ref="O135">_xll.EQNXTDZ($A$1,$B135,O$1,$B$1)</f>
        <v>543.64523540000005</v>
      </c>
      <c r="P135" s="125" cm="1">
        <f t="array" ref="P135">_xll.EQNXTDZ($A$1,$B135,P$1,$B$1)</f>
        <v>1060.5952222000001</v>
      </c>
      <c r="Q135" s="125" cm="1">
        <f t="array" ref="Q135">_xll.EQNXTDZ($A$1,$B135,Q$1,$B$1)</f>
        <v>1727.7554680000001</v>
      </c>
      <c r="R135" s="125" cm="1">
        <f t="array" ref="R135">_xll.EQNXTDZ($A$1,$B135,R$1,$B$1)</f>
        <v>2804.6565787</v>
      </c>
      <c r="S135" s="125" cm="1">
        <f t="array" ref="S135">_xll.EQNXTDZ($A$1,$B135,S$1,$B$1)</f>
        <v>3515.577495</v>
      </c>
      <c r="T135" s="125" cm="1">
        <f t="array" ref="T135">_xll.EQNXTDZ($A$1,$B135,T$1,$B$1)</f>
        <v>5225.22</v>
      </c>
      <c r="U135" s="125" cm="1">
        <f t="array" ref="U135">_xll.EQNXTDZ($A$1,$B135,U$1,$B$1)</f>
        <v>7629.31</v>
      </c>
      <c r="V135" s="125" cm="1">
        <f t="array" ref="V135">_xll.EQNXTDZ($A$1,$B135,V$1,$B$1)</f>
        <v>11052.5</v>
      </c>
      <c r="W135" s="125" cm="1">
        <f t="array" ref="W135">_xll.EQNXTDZ($A$1,$B135,W$1,$B$1)</f>
        <v>13145.89</v>
      </c>
      <c r="X135" s="125" cm="1">
        <f t="array" ref="X135">_xll.EQNXTDZ($A$1,$B135,X$1,$B$1)</f>
        <v>17964.98</v>
      </c>
      <c r="Y135" s="125" cm="1">
        <f t="array" ref="Y135">_xll.EQNXTDZ($A$1,$B135,Y$1,$B$1)</f>
        <v>22533.32</v>
      </c>
      <c r="Z135" s="125" cm="1">
        <f t="array" ref="Z135">_xll.EQNXTDZ($A$1,$B135,Z$1,$B$1)</f>
        <v>30034.52</v>
      </c>
      <c r="AA135" s="125" cm="1">
        <f t="array" ref="AA135">_xll.EQNXTDZ($A$1,$B135,AA$1,$B$1)</f>
        <v>28979.17</v>
      </c>
      <c r="AB135" s="125" cm="1">
        <f t="array" ref="AB135">_xll.EQNXTDZ($A$1,$B135,AB$1,$B$1)</f>
        <v>32825.660000000003</v>
      </c>
      <c r="AC135" s="125" cm="1">
        <f t="array" ref="AC135">_xll.EQNXTDZ($A$1,$B135,AC$1,$B$1)</f>
        <v>0</v>
      </c>
      <c r="AD135" s="125" cm="1">
        <f t="array" ref="AD135">_xll.EQNXTDZ($A$1,$B135,AD$1,$B$1)</f>
        <v>0</v>
      </c>
      <c r="AE135" s="125" cm="1">
        <f t="array" ref="AE135">_xll.EQNXTDZ($A$1,$B135,AE$1,$B$1)</f>
        <v>0</v>
      </c>
      <c r="AF135" s="125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5" cm="1">
        <f t="array" ref="C136">_xll.EQNXTDZ($A$1,$B136,C$1,$B$1)</f>
        <v>0</v>
      </c>
      <c r="D136" s="125" cm="1">
        <f t="array" ref="D136">_xll.EQNXTDZ($A$1,$B136,D$1,$B$1)</f>
        <v>0</v>
      </c>
      <c r="E136" s="125" cm="1">
        <f t="array" ref="E136">_xll.EQNXTDZ($A$1,$B136,E$1,$B$1)</f>
        <v>0</v>
      </c>
      <c r="F136" s="125" cm="1">
        <f t="array" ref="F136">_xll.EQNXTDZ($A$1,$B136,F$1,$B$1)</f>
        <v>0</v>
      </c>
      <c r="G136" s="125" cm="1">
        <f t="array" ref="G136">_xll.EQNXTDZ($A$1,$B136,G$1,$B$1)</f>
        <v>0</v>
      </c>
      <c r="H136" s="125" cm="1">
        <f t="array" ref="H136">_xll.EQNXTDZ($A$1,$B136,H$1,$B$1)</f>
        <v>0</v>
      </c>
      <c r="I136" s="125" cm="1">
        <f t="array" ref="I136">_xll.EQNXTDZ($A$1,$B136,I$1,$B$1)</f>
        <v>0</v>
      </c>
      <c r="J136" s="125" cm="1">
        <f t="array" ref="J136">_xll.EQNXTDZ($A$1,$B136,J$1,$B$1)</f>
        <v>0</v>
      </c>
      <c r="K136" s="125" cm="1">
        <f t="array" ref="K136">_xll.EQNXTDZ($A$1,$B136,K$1,$B$1)</f>
        <v>0</v>
      </c>
      <c r="L136" s="125" cm="1">
        <f t="array" ref="L136">_xll.EQNXTDZ($A$1,$B136,L$1,$B$1)</f>
        <v>0</v>
      </c>
      <c r="M136" s="125" cm="1">
        <f t="array" ref="M136">_xll.EQNXTDZ($A$1,$B136,M$1,$B$1)</f>
        <v>19.033387399999999</v>
      </c>
      <c r="N136" s="125" cm="1">
        <f t="array" ref="N136">_xll.EQNXTDZ($A$1,$B136,N$1,$B$1)</f>
        <v>23.185700600000001</v>
      </c>
      <c r="O136" s="125" cm="1">
        <f t="array" ref="O136">_xll.EQNXTDZ($A$1,$B136,O$1,$B$1)</f>
        <v>30.5579608</v>
      </c>
      <c r="P136" s="125" cm="1">
        <f t="array" ref="P136">_xll.EQNXTDZ($A$1,$B136,P$1,$B$1)</f>
        <v>18.907140900000002</v>
      </c>
      <c r="Q136" s="125" cm="1">
        <f t="array" ref="Q136">_xll.EQNXTDZ($A$1,$B136,Q$1,$B$1)</f>
        <v>17.4242068</v>
      </c>
      <c r="R136" s="125" cm="1">
        <f t="array" ref="R136">_xll.EQNXTDZ($A$1,$B136,R$1,$B$1)</f>
        <v>8.4828512000000007</v>
      </c>
      <c r="S136" s="125" cm="1">
        <f t="array" ref="S136">_xll.EQNXTDZ($A$1,$B136,S$1,$B$1)</f>
        <v>0.249305</v>
      </c>
      <c r="T136" s="125" cm="1">
        <f t="array" ref="T136">_xll.EQNXTDZ($A$1,$B136,T$1,$B$1)</f>
        <v>0.23</v>
      </c>
      <c r="U136" s="125" cm="1">
        <f t="array" ref="U136">_xll.EQNXTDZ($A$1,$B136,U$1,$B$1)</f>
        <v>0.16</v>
      </c>
      <c r="V136" s="125" cm="1">
        <f t="array" ref="V136">_xll.EQNXTDZ($A$1,$B136,V$1,$B$1)</f>
        <v>0.12</v>
      </c>
      <c r="W136" s="125" cm="1">
        <f t="array" ref="W136">_xll.EQNXTDZ($A$1,$B136,W$1,$B$1)</f>
        <v>0.11</v>
      </c>
      <c r="X136" s="125" cm="1">
        <f t="array" ref="X136">_xll.EQNXTDZ($A$1,$B136,X$1,$B$1)</f>
        <v>0.35</v>
      </c>
      <c r="Y136" s="125" cm="1">
        <f t="array" ref="Y136">_xll.EQNXTDZ($A$1,$B136,Y$1,$B$1)</f>
        <v>0.25</v>
      </c>
      <c r="Z136" s="125" cm="1">
        <f t="array" ref="Z136">_xll.EQNXTDZ($A$1,$B136,Z$1,$B$1)</f>
        <v>4.24</v>
      </c>
      <c r="AA136" s="125" cm="1">
        <f t="array" ref="AA136">_xll.EQNXTDZ($A$1,$B136,AA$1,$B$1)</f>
        <v>4</v>
      </c>
      <c r="AB136" s="125" cm="1">
        <f t="array" ref="AB136">_xll.EQNXTDZ($A$1,$B136,AB$1,$B$1)</f>
        <v>0</v>
      </c>
      <c r="AC136" s="125" cm="1">
        <f t="array" ref="AC136">_xll.EQNXTDZ($A$1,$B136,AC$1,$B$1)</f>
        <v>0</v>
      </c>
      <c r="AD136" s="125" cm="1">
        <f t="array" ref="AD136">_xll.EQNXTDZ($A$1,$B136,AD$1,$B$1)</f>
        <v>0</v>
      </c>
      <c r="AE136" s="125" cm="1">
        <f t="array" ref="AE136">_xll.EQNXTDZ($A$1,$B136,AE$1,$B$1)</f>
        <v>0</v>
      </c>
      <c r="AF136" s="125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5" cm="1">
        <f t="array" ref="C137">_xll.EQNXTDZ($A$1,$B137,C$1,$B$1)</f>
        <v>0</v>
      </c>
      <c r="D137" s="125" cm="1">
        <f t="array" ref="D137">_xll.EQNXTDZ($A$1,$B137,D$1,$B$1)</f>
        <v>0</v>
      </c>
      <c r="E137" s="125" cm="1">
        <f t="array" ref="E137">_xll.EQNXTDZ($A$1,$B137,E$1,$B$1)</f>
        <v>0</v>
      </c>
      <c r="F137" s="125" cm="1">
        <f t="array" ref="F137">_xll.EQNXTDZ($A$1,$B137,F$1,$B$1)</f>
        <v>0</v>
      </c>
      <c r="G137" s="125" cm="1">
        <f t="array" ref="G137">_xll.EQNXTDZ($A$1,$B137,G$1,$B$1)</f>
        <v>0</v>
      </c>
      <c r="H137" s="125" cm="1">
        <f t="array" ref="H137">_xll.EQNXTDZ($A$1,$B137,H$1,$B$1)</f>
        <v>0</v>
      </c>
      <c r="I137" s="125" cm="1">
        <f t="array" ref="I137">_xll.EQNXTDZ($A$1,$B137,I$1,$B$1)</f>
        <v>0</v>
      </c>
      <c r="J137" s="125" cm="1">
        <f t="array" ref="J137">_xll.EQNXTDZ($A$1,$B137,J$1,$B$1)</f>
        <v>0</v>
      </c>
      <c r="K137" s="125" cm="1">
        <f t="array" ref="K137">_xll.EQNXTDZ($A$1,$B137,K$1,$B$1)</f>
        <v>10.812792924326301</v>
      </c>
      <c r="L137" s="125" cm="1">
        <f t="array" ref="L137">_xll.EQNXTDZ($A$1,$B137,L$1,$B$1)</f>
        <v>19.424343361475799</v>
      </c>
      <c r="M137" s="125" cm="1">
        <f t="array" ref="M137">_xll.EQNXTDZ($A$1,$B137,M$1,$B$1)</f>
        <v>21.384543859649799</v>
      </c>
      <c r="N137" s="125" cm="1">
        <f t="array" ref="N137">_xll.EQNXTDZ($A$1,$B137,N$1,$B$1)</f>
        <v>20.2463740002393</v>
      </c>
      <c r="O137" s="125" cm="1">
        <f t="array" ref="O137">_xll.EQNXTDZ($A$1,$B137,O$1,$B$1)</f>
        <v>27.930162188640701</v>
      </c>
      <c r="P137" s="125" cm="1">
        <f t="array" ref="P137">_xll.EQNXTDZ($A$1,$B137,P$1,$B$1)</f>
        <v>39.203788619332798</v>
      </c>
      <c r="Q137" s="125" cm="1">
        <f t="array" ref="Q137">_xll.EQNXTDZ($A$1,$B137,Q$1,$B$1)</f>
        <v>51.722171456962101</v>
      </c>
      <c r="R137" s="125" cm="1">
        <f t="array" ref="R137">_xll.EQNXTDZ($A$1,$B137,R$1,$B$1)</f>
        <v>63.187879863035398</v>
      </c>
      <c r="S137" s="125" cm="1">
        <f t="array" ref="S137">_xll.EQNXTDZ($A$1,$B137,S$1,$B$1)</f>
        <v>80.4549396360419</v>
      </c>
      <c r="T137" s="125" cm="1">
        <f t="array" ref="T137">_xll.EQNXTDZ($A$1,$B137,T$1,$B$1)</f>
        <v>111.531573619871</v>
      </c>
      <c r="U137" s="125" cm="1">
        <f t="array" ref="U137">_xll.EQNXTDZ($A$1,$B137,U$1,$B$1)</f>
        <v>164.14280738418699</v>
      </c>
      <c r="V137" s="125" cm="1">
        <f t="array" ref="V137">_xll.EQNXTDZ($A$1,$B137,V$1,$B$1)</f>
        <v>184.76769220084699</v>
      </c>
      <c r="W137" s="125" cm="1">
        <f t="array" ref="W137">_xll.EQNXTDZ($A$1,$B137,W$1,$B$1)</f>
        <v>233.08201568325001</v>
      </c>
      <c r="X137" s="125" cm="1">
        <f t="array" ref="X137">_xll.EQNXTDZ($A$1,$B137,X$1,$B$1)</f>
        <v>266.58048373644698</v>
      </c>
      <c r="Y137" s="125" cm="1">
        <f t="array" ref="Y137">_xll.EQNXTDZ($A$1,$B137,Y$1,$B$1)</f>
        <v>320.15165817129201</v>
      </c>
      <c r="Z137" s="125" cm="1">
        <f t="array" ref="Z137">_xll.EQNXTDZ($A$1,$B137,Z$1,$B$1)</f>
        <v>410.263521144435</v>
      </c>
      <c r="AA137" s="125" cm="1">
        <f t="array" ref="AA137">_xll.EQNXTDZ($A$1,$B137,AA$1,$B$1)</f>
        <v>432.42424242424198</v>
      </c>
      <c r="AB137" s="125" cm="1">
        <f t="array" ref="AB137">_xll.EQNXTDZ($A$1,$B137,AB$1,$B$1)</f>
        <v>485.39700374531799</v>
      </c>
      <c r="AC137" s="125" cm="1">
        <f t="array" ref="AC137">_xll.EQNXTDZ($A$1,$B137,AC$1,$B$1)</f>
        <v>0</v>
      </c>
      <c r="AD137" s="125" cm="1">
        <f t="array" ref="AD137">_xll.EQNXTDZ($A$1,$B137,AD$1,$B$1)</f>
        <v>0</v>
      </c>
      <c r="AE137" s="125" cm="1">
        <f t="array" ref="AE137">_xll.EQNXTDZ($A$1,$B137,AE$1,$B$1)</f>
        <v>0</v>
      </c>
      <c r="AF137" s="125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5" cm="1">
        <f t="array" ref="C138">_xll.EQNXTDZ($A$1,$B138,C$1,$B$1)</f>
        <v>0</v>
      </c>
      <c r="D138" s="125" cm="1">
        <f t="array" ref="D138">_xll.EQNXTDZ($A$1,$B138,D$1,$B$1)</f>
        <v>0</v>
      </c>
      <c r="E138" s="125" cm="1">
        <f t="array" ref="E138">_xll.EQNXTDZ($A$1,$B138,E$1,$B$1)</f>
        <v>0</v>
      </c>
      <c r="F138" s="125" cm="1">
        <f t="array" ref="F138">_xll.EQNXTDZ($A$1,$B138,F$1,$B$1)</f>
        <v>0</v>
      </c>
      <c r="G138" s="125" cm="1">
        <f t="array" ref="G138">_xll.EQNXTDZ($A$1,$B138,G$1,$B$1)</f>
        <v>0</v>
      </c>
      <c r="H138" s="125" cm="1">
        <f t="array" ref="H138">_xll.EQNXTDZ($A$1,$B138,H$1,$B$1)</f>
        <v>0</v>
      </c>
      <c r="I138" s="125" cm="1">
        <f t="array" ref="I138">_xll.EQNXTDZ($A$1,$B138,I$1,$B$1)</f>
        <v>0</v>
      </c>
      <c r="J138" s="125" cm="1">
        <f t="array" ref="J138">_xll.EQNXTDZ($A$1,$B138,J$1,$B$1)</f>
        <v>0</v>
      </c>
      <c r="K138" s="125" cm="1">
        <f t="array" ref="K138">_xll.EQNXTDZ($A$1,$B138,K$1,$B$1)</f>
        <v>10.812792924326301</v>
      </c>
      <c r="L138" s="125" cm="1">
        <f t="array" ref="L138">_xll.EQNXTDZ($A$1,$B138,L$1,$B$1)</f>
        <v>19.424343361475799</v>
      </c>
      <c r="M138" s="125" cm="1">
        <f t="array" ref="M138">_xll.EQNXTDZ($A$1,$B138,M$1,$B$1)</f>
        <v>21.384543859649799</v>
      </c>
      <c r="N138" s="125" cm="1">
        <f t="array" ref="N138">_xll.EQNXTDZ($A$1,$B138,N$1,$B$1)</f>
        <v>20.246400000000001</v>
      </c>
      <c r="O138" s="125" cm="1">
        <f t="array" ref="O138">_xll.EQNXTDZ($A$1,$B138,O$1,$B$1)</f>
        <v>27.930199999999999</v>
      </c>
      <c r="P138" s="125" cm="1">
        <f t="array" ref="P138">_xll.EQNXTDZ($A$1,$B138,P$1,$B$1)</f>
        <v>39.203788619332798</v>
      </c>
      <c r="Q138" s="125" cm="1">
        <f t="array" ref="Q138">_xll.EQNXTDZ($A$1,$B138,Q$1,$B$1)</f>
        <v>51.722200000000001</v>
      </c>
      <c r="R138" s="125" cm="1">
        <f t="array" ref="R138">_xll.EQNXTDZ($A$1,$B138,R$1,$B$1)</f>
        <v>63.187879863035398</v>
      </c>
      <c r="S138" s="125" cm="1">
        <f t="array" ref="S138">_xll.EQNXTDZ($A$1,$B138,S$1,$B$1)</f>
        <v>80.454899999999995</v>
      </c>
      <c r="T138" s="125" cm="1">
        <f t="array" ref="T138">_xll.EQNXTDZ($A$1,$B138,T$1,$B$1)</f>
        <v>111.5316</v>
      </c>
      <c r="U138" s="125" cm="1">
        <f t="array" ref="U138">_xll.EQNXTDZ($A$1,$B138,U$1,$B$1)</f>
        <v>164.14279999999999</v>
      </c>
      <c r="V138" s="125" cm="1">
        <f t="array" ref="V138">_xll.EQNXTDZ($A$1,$B138,V$1,$B$1)</f>
        <v>184.76769999999999</v>
      </c>
      <c r="W138" s="125" cm="1">
        <f t="array" ref="W138">_xll.EQNXTDZ($A$1,$B138,W$1,$B$1)</f>
        <v>233.08199999999999</v>
      </c>
      <c r="X138" s="125" cm="1">
        <f t="array" ref="X138">_xll.EQNXTDZ($A$1,$B138,X$1,$B$1)</f>
        <v>266.58049999999997</v>
      </c>
      <c r="Y138" s="125" cm="1">
        <f t="array" ref="Y138">_xll.EQNXTDZ($A$1,$B138,Y$1,$B$1)</f>
        <v>320.15170000000001</v>
      </c>
      <c r="Z138" s="125" cm="1">
        <f t="array" ref="Z138">_xll.EQNXTDZ($A$1,$B138,Z$1,$B$1)</f>
        <v>410.26350000000002</v>
      </c>
      <c r="AA138" s="125" cm="1">
        <f t="array" ref="AA138">_xll.EQNXTDZ($A$1,$B138,AA$1,$B$1)</f>
        <v>432.42419999999998</v>
      </c>
      <c r="AB138" s="125" cm="1">
        <f t="array" ref="AB138">_xll.EQNXTDZ($A$1,$B138,AB$1,$B$1)</f>
        <v>485.39699999999999</v>
      </c>
      <c r="AC138" s="125" cm="1">
        <f t="array" ref="AC138">_xll.EQNXTDZ($A$1,$B138,AC$1,$B$1)</f>
        <v>0</v>
      </c>
      <c r="AD138" s="125" cm="1">
        <f t="array" ref="AD138">_xll.EQNXTDZ($A$1,$B138,AD$1,$B$1)</f>
        <v>0</v>
      </c>
      <c r="AE138" s="125" cm="1">
        <f t="array" ref="AE138">_xll.EQNXTDZ($A$1,$B138,AE$1,$B$1)</f>
        <v>0</v>
      </c>
      <c r="AF138" s="125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5" cm="1">
        <f t="array" ref="C139">_xll.EQNXTDZ($A$1,$B139,C$1,$B$1)</f>
        <v>0</v>
      </c>
      <c r="D139" s="125" cm="1">
        <f t="array" ref="D139">_xll.EQNXTDZ($A$1,$B139,D$1,$B$1)</f>
        <v>0</v>
      </c>
      <c r="E139" s="125" cm="1">
        <f t="array" ref="E139">_xll.EQNXTDZ($A$1,$B139,E$1,$B$1)</f>
        <v>0</v>
      </c>
      <c r="F139" s="125" cm="1">
        <f t="array" ref="F139">_xll.EQNXTDZ($A$1,$B139,F$1,$B$1)</f>
        <v>0</v>
      </c>
      <c r="G139" s="125" cm="1">
        <f t="array" ref="G139">_xll.EQNXTDZ($A$1,$B139,G$1,$B$1)</f>
        <v>0</v>
      </c>
      <c r="H139" s="125" cm="1">
        <f t="array" ref="H139">_xll.EQNXTDZ($A$1,$B139,H$1,$B$1)</f>
        <v>0</v>
      </c>
      <c r="I139" s="125" cm="1">
        <f t="array" ref="I139">_xll.EQNXTDZ($A$1,$B139,I$1,$B$1)</f>
        <v>0</v>
      </c>
      <c r="J139" s="125" cm="1">
        <f t="array" ref="J139">_xll.EQNXTDZ($A$1,$B139,J$1,$B$1)</f>
        <v>0</v>
      </c>
      <c r="K139" s="125" cm="1">
        <f t="array" ref="K139">_xll.EQNXTDZ($A$1,$B139,K$1,$B$1)</f>
        <v>189.24266589999999</v>
      </c>
      <c r="L139" s="125" cm="1">
        <f t="array" ref="L139">_xll.EQNXTDZ($A$1,$B139,L$1,$B$1)</f>
        <v>246.1376832</v>
      </c>
      <c r="M139" s="125" cm="1">
        <f t="array" ref="M139">_xll.EQNXTDZ($A$1,$B139,M$1,$B$1)</f>
        <v>226.07886590000001</v>
      </c>
      <c r="N139" s="125" cm="1">
        <f t="array" ref="N139">_xll.EQNXTDZ($A$1,$B139,N$1,$B$1)</f>
        <v>247.0809256</v>
      </c>
      <c r="O139" s="125" cm="1">
        <f t="array" ref="O139">_xll.EQNXTDZ($A$1,$B139,O$1,$B$1)</f>
        <v>388.76809209999999</v>
      </c>
      <c r="P139" s="125" cm="1">
        <f t="array" ref="P139">_xll.EQNXTDZ($A$1,$B139,P$1,$B$1)</f>
        <v>805.22387909999998</v>
      </c>
      <c r="Q139" s="125" cm="1">
        <f t="array" ref="Q139">_xll.EQNXTDZ($A$1,$B139,Q$1,$B$1)</f>
        <v>1290.5317123</v>
      </c>
      <c r="R139" s="125" cm="1">
        <f t="array" ref="R139">_xll.EQNXTDZ($A$1,$B139,R$1,$B$1)</f>
        <v>2233.3149220999999</v>
      </c>
      <c r="S139" s="125" cm="1">
        <f t="array" ref="S139">_xll.EQNXTDZ($A$1,$B139,S$1,$B$1)</f>
        <v>2668.2347711000002</v>
      </c>
      <c r="T139" s="125" cm="1">
        <f t="array" ref="T139">_xll.EQNXTDZ($A$1,$B139,T$1,$B$1)</f>
        <v>3623.46</v>
      </c>
      <c r="U139" s="125" cm="1">
        <f t="array" ref="U139">_xll.EQNXTDZ($A$1,$B139,U$1,$B$1)</f>
        <v>4866.57</v>
      </c>
      <c r="V139" s="125" cm="1">
        <f t="array" ref="V139">_xll.EQNXTDZ($A$1,$B139,V$1,$B$1)</f>
        <v>7822.56</v>
      </c>
      <c r="W139" s="125" cm="1">
        <f t="array" ref="W139">_xll.EQNXTDZ($A$1,$B139,W$1,$B$1)</f>
        <v>8780.7199999999993</v>
      </c>
      <c r="X139" s="125" cm="1">
        <f t="array" ref="X139">_xll.EQNXTDZ($A$1,$B139,X$1,$B$1)</f>
        <v>12920.69</v>
      </c>
      <c r="Y139" s="125" cm="1">
        <f t="array" ref="Y139">_xll.EQNXTDZ($A$1,$B139,Y$1,$B$1)</f>
        <v>16312.26</v>
      </c>
      <c r="Z139" s="125" cm="1">
        <f t="array" ref="Z139">_xll.EQNXTDZ($A$1,$B139,Z$1,$B$1)</f>
        <v>21841.01</v>
      </c>
      <c r="AA139" s="125" cm="1">
        <f t="array" ref="AA139">_xll.EQNXTDZ($A$1,$B139,AA$1,$B$1)</f>
        <v>20445.77</v>
      </c>
      <c r="AB139" s="125" cm="1">
        <f t="array" ref="AB139">_xll.EQNXTDZ($A$1,$B139,AB$1,$B$1)</f>
        <v>23641.13</v>
      </c>
      <c r="AC139" s="125" cm="1">
        <f t="array" ref="AC139">_xll.EQNXTDZ($A$1,$B139,AC$1,$B$1)</f>
        <v>0</v>
      </c>
      <c r="AD139" s="125" cm="1">
        <f t="array" ref="AD139">_xll.EQNXTDZ($A$1,$B139,AD$1,$B$1)</f>
        <v>0</v>
      </c>
      <c r="AE139" s="125" cm="1">
        <f t="array" ref="AE139">_xll.EQNXTDZ($A$1,$B139,AE$1,$B$1)</f>
        <v>0</v>
      </c>
      <c r="AF139" s="125" cm="1">
        <f t="array" ref="AF139">_xll.EQNXTDZ($A$1,$B139,AF$1,$B$1)</f>
        <v>0</v>
      </c>
    </row>
    <row r="140" spans="1:32" x14ac:dyDescent="0.25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</row>
    <row r="141" spans="1:32" x14ac:dyDescent="0.25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</row>
    <row r="142" spans="1:32" x14ac:dyDescent="0.25">
      <c r="A142" t="s">
        <v>112</v>
      </c>
      <c r="B142" t="s">
        <v>116</v>
      </c>
      <c r="C142" s="125" cm="1">
        <f t="array" ref="C142">_xll.EQNXTDZ($A$1,$B142,C$1,$B$1)</f>
        <v>0</v>
      </c>
      <c r="D142" s="125" cm="1">
        <f t="array" ref="D142">_xll.EQNXTDZ($A$1,$B142,D$1,$B$1)</f>
        <v>0</v>
      </c>
      <c r="E142" s="125" cm="1">
        <f t="array" ref="E142">_xll.EQNXTDZ($A$1,$B142,E$1,$B$1)</f>
        <v>0</v>
      </c>
      <c r="F142" s="125" cm="1">
        <f t="array" ref="F142">_xll.EQNXTDZ($A$1,$B142,F$1,$B$1)</f>
        <v>0</v>
      </c>
      <c r="G142" s="125" cm="1">
        <f t="array" ref="G142">_xll.EQNXTDZ($A$1,$B142,G$1,$B$1)</f>
        <v>0</v>
      </c>
      <c r="H142" s="125" cm="1">
        <f t="array" ref="H142">_xll.EQNXTDZ($A$1,$B142,H$1,$B$1)</f>
        <v>0</v>
      </c>
      <c r="I142" s="125" cm="1">
        <f t="array" ref="I142">_xll.EQNXTDZ($A$1,$B142,I$1,$B$1)</f>
        <v>0</v>
      </c>
      <c r="J142" s="125" cm="1">
        <f t="array" ref="J142">_xll.EQNXTDZ($A$1,$B142,J$1,$B$1)</f>
        <v>0</v>
      </c>
      <c r="K142" s="125" cm="1">
        <f t="array" ref="K142">_xll.EQNXTDZ($A$1,$B142,K$1,$B$1)</f>
        <v>16.480578999999999</v>
      </c>
      <c r="L142" s="125" cm="1">
        <f t="array" ref="L142">_xll.EQNXTDZ($A$1,$B142,L$1,$B$1)</f>
        <v>24.842320999999998</v>
      </c>
      <c r="M142" s="125" cm="1">
        <f t="array" ref="M142">_xll.EQNXTDZ($A$1,$B142,M$1,$B$1)</f>
        <v>24.842320999999998</v>
      </c>
      <c r="N142" s="125" cm="1">
        <f t="array" ref="N142">_xll.EQNXTDZ($A$1,$B142,N$1,$B$1)</f>
        <v>24.842320999999998</v>
      </c>
      <c r="O142" s="125" cm="1">
        <f t="array" ref="O142">_xll.EQNXTDZ($A$1,$B142,O$1,$B$1)</f>
        <v>39.620099000000003</v>
      </c>
      <c r="P142" s="125" cm="1">
        <f t="array" ref="P142">_xll.EQNXTDZ($A$1,$B142,P$1,$B$1)</f>
        <v>52.953432999999997</v>
      </c>
      <c r="Q142" s="125" cm="1">
        <f t="array" ref="Q142">_xll.EQNXTDZ($A$1,$B142,Q$1,$B$1)</f>
        <v>72.953433000000004</v>
      </c>
      <c r="R142" s="125" cm="1">
        <f t="array" ref="R142">_xll.EQNXTDZ($A$1,$B142,R$1,$B$1)</f>
        <v>72.953433000000004</v>
      </c>
      <c r="S142" s="125" cm="1">
        <f t="array" ref="S142">_xll.EQNXTDZ($A$1,$B142,S$1,$B$1)</f>
        <v>85.681342999999998</v>
      </c>
      <c r="T142" s="125" cm="1">
        <f t="array" ref="T142">_xll.EQNXTDZ($A$1,$B142,T$1,$B$1)</f>
        <v>128.43</v>
      </c>
      <c r="U142" s="125" cm="1">
        <f t="array" ref="U142">_xll.EQNXTDZ($A$1,$B142,U$1,$B$1)</f>
        <v>143.55000000000001</v>
      </c>
      <c r="V142" s="125" cm="1">
        <f t="array" ref="V142">_xll.EQNXTDZ($A$1,$B142,V$1,$B$1)</f>
        <v>143.99</v>
      </c>
      <c r="W142" s="125" cm="1">
        <f t="array" ref="W142">_xll.EQNXTDZ($A$1,$B142,W$1,$B$1)</f>
        <v>155.58000000000001</v>
      </c>
      <c r="X142" s="125" cm="1">
        <f t="array" ref="X142">_xll.EQNXTDZ($A$1,$B142,X$1,$B$1)</f>
        <v>155.87</v>
      </c>
      <c r="Y142" s="125" cm="1">
        <f t="array" ref="Y142">_xll.EQNXTDZ($A$1,$B142,Y$1,$B$1)</f>
        <v>158.91</v>
      </c>
      <c r="Z142" s="125" cm="1">
        <f t="array" ref="Z142">_xll.EQNXTDZ($A$1,$B142,Z$1,$B$1)</f>
        <v>159.38</v>
      </c>
      <c r="AA142" s="125" cm="1">
        <f t="array" ref="AA142">_xll.EQNXTDZ($A$1,$B142,AA$1,$B$1)</f>
        <v>159.72</v>
      </c>
      <c r="AB142" s="125" cm="1">
        <f t="array" ref="AB142">_xll.EQNXTDZ($A$1,$B142,AB$1,$B$1)</f>
        <v>160.19999999999999</v>
      </c>
      <c r="AC142" s="125" cm="1">
        <f t="array" ref="AC142">_xll.EQNXTDZ($A$1,$B142,AC$1,$B$1)</f>
        <v>0</v>
      </c>
      <c r="AD142" s="125" cm="1">
        <f t="array" ref="AD142">_xll.EQNXTDZ($A$1,$B142,AD$1,$B$1)</f>
        <v>0</v>
      </c>
      <c r="AE142" s="125" cm="1">
        <f t="array" ref="AE142">_xll.EQNXTDZ($A$1,$B142,AE$1,$B$1)</f>
        <v>0</v>
      </c>
      <c r="AF142" s="125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5" cm="1">
        <f t="array" ref="C143">_xll.EQNXTDZ($A$1,$B143,C$1,$B$1)</f>
        <v>0</v>
      </c>
      <c r="D143" s="125" cm="1">
        <f t="array" ref="D143">_xll.EQNXTDZ($A$1,$B143,D$1,$B$1)</f>
        <v>0</v>
      </c>
      <c r="E143" s="125" cm="1">
        <f t="array" ref="E143">_xll.EQNXTDZ($A$1,$B143,E$1,$B$1)</f>
        <v>0</v>
      </c>
      <c r="F143" s="125" cm="1">
        <f t="array" ref="F143">_xll.EQNXTDZ($A$1,$B143,F$1,$B$1)</f>
        <v>0</v>
      </c>
      <c r="G143" s="125" cm="1">
        <f t="array" ref="G143">_xll.EQNXTDZ($A$1,$B143,G$1,$B$1)</f>
        <v>0</v>
      </c>
      <c r="H143" s="125" cm="1">
        <f t="array" ref="H143">_xll.EQNXTDZ($A$1,$B143,H$1,$B$1)</f>
        <v>0</v>
      </c>
      <c r="I143" s="125" cm="1">
        <f t="array" ref="I143">_xll.EQNXTDZ($A$1,$B143,I$1,$B$1)</f>
        <v>0</v>
      </c>
      <c r="J143" s="125" cm="1">
        <f t="array" ref="J143">_xll.EQNXTDZ($A$1,$B143,J$1,$B$1)</f>
        <v>0</v>
      </c>
      <c r="K143" s="125" cm="1">
        <f t="array" ref="K143">_xll.EQNXTDZ($A$1,$B143,K$1,$B$1)</f>
        <v>0</v>
      </c>
      <c r="L143" s="125" cm="1">
        <f t="array" ref="L143">_xll.EQNXTDZ($A$1,$B143,L$1,$B$1)</f>
        <v>0</v>
      </c>
      <c r="M143" s="125" cm="1">
        <f t="array" ref="M143">_xll.EQNXTDZ($A$1,$B143,M$1,$B$1)</f>
        <v>0</v>
      </c>
      <c r="N143" s="125" cm="1">
        <f t="array" ref="N143">_xll.EQNXTDZ($A$1,$B143,N$1,$B$1)</f>
        <v>0</v>
      </c>
      <c r="O143" s="125" cm="1">
        <f t="array" ref="O143">_xll.EQNXTDZ($A$1,$B143,O$1,$B$1)</f>
        <v>0</v>
      </c>
      <c r="P143" s="125" cm="1">
        <f t="array" ref="P143">_xll.EQNXTDZ($A$1,$B143,P$1,$B$1)</f>
        <v>0</v>
      </c>
      <c r="Q143" s="125" cm="1">
        <f t="array" ref="Q143">_xll.EQNXTDZ($A$1,$B143,Q$1,$B$1)</f>
        <v>0</v>
      </c>
      <c r="R143" s="125" cm="1">
        <f t="array" ref="R143">_xll.EQNXTDZ($A$1,$B143,R$1,$B$1)</f>
        <v>0</v>
      </c>
      <c r="S143" s="125" cm="1">
        <f t="array" ref="S143">_xll.EQNXTDZ($A$1,$B143,S$1,$B$1)</f>
        <v>0</v>
      </c>
      <c r="T143" s="125" cm="1">
        <f t="array" ref="T143">_xll.EQNXTDZ($A$1,$B143,T$1,$B$1)</f>
        <v>0</v>
      </c>
      <c r="U143" s="125" cm="1">
        <f t="array" ref="U143">_xll.EQNXTDZ($A$1,$B143,U$1,$B$1)</f>
        <v>0</v>
      </c>
      <c r="V143" s="125" cm="1">
        <f t="array" ref="V143">_xll.EQNXTDZ($A$1,$B143,V$1,$B$1)</f>
        <v>0</v>
      </c>
      <c r="W143" s="125" cm="1">
        <f t="array" ref="W143">_xll.EQNXTDZ($A$1,$B143,W$1,$B$1)</f>
        <v>0</v>
      </c>
      <c r="X143" s="125" cm="1">
        <f t="array" ref="X143">_xll.EQNXTDZ($A$1,$B143,X$1,$B$1)</f>
        <v>0</v>
      </c>
      <c r="Y143" s="125" cm="1">
        <f t="array" ref="Y143">_xll.EQNXTDZ($A$1,$B143,Y$1,$B$1)</f>
        <v>0</v>
      </c>
      <c r="Z143" s="125" cm="1">
        <f t="array" ref="Z143">_xll.EQNXTDZ($A$1,$B143,Z$1,$B$1)</f>
        <v>0</v>
      </c>
      <c r="AA143" s="125" cm="1">
        <f t="array" ref="AA143">_xll.EQNXTDZ($A$1,$B143,AA$1,$B$1)</f>
        <v>0</v>
      </c>
      <c r="AB143" s="125" cm="1">
        <f t="array" ref="AB143">_xll.EQNXTDZ($A$1,$B143,AB$1,$B$1)</f>
        <v>0</v>
      </c>
      <c r="AC143" s="125" cm="1">
        <f t="array" ref="AC143">_xll.EQNXTDZ($A$1,$B143,AC$1,$B$1)</f>
        <v>0</v>
      </c>
      <c r="AD143" s="125" cm="1">
        <f t="array" ref="AD143">_xll.EQNXTDZ($A$1,$B143,AD$1,$B$1)</f>
        <v>0</v>
      </c>
      <c r="AE143" s="125" cm="1">
        <f t="array" ref="AE143">_xll.EQNXTDZ($A$1,$B143,AE$1,$B$1)</f>
        <v>0</v>
      </c>
      <c r="AF143" s="125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5" cm="1">
        <f t="array" ref="C144">_xll.EQNXTDZ($A$1,$B144,C$1,$B$1)</f>
        <v>0</v>
      </c>
      <c r="D144" s="125" cm="1">
        <f t="array" ref="D144">_xll.EQNXTDZ($A$1,$B144,D$1,$B$1)</f>
        <v>0</v>
      </c>
      <c r="E144" s="125" cm="1">
        <f t="array" ref="E144">_xll.EQNXTDZ($A$1,$B144,E$1,$B$1)</f>
        <v>0</v>
      </c>
      <c r="F144" s="125" cm="1">
        <f t="array" ref="F144">_xll.EQNXTDZ($A$1,$B144,F$1,$B$1)</f>
        <v>0</v>
      </c>
      <c r="G144" s="125" cm="1">
        <f t="array" ref="G144">_xll.EQNXTDZ($A$1,$B144,G$1,$B$1)</f>
        <v>0</v>
      </c>
      <c r="H144" s="125" cm="1">
        <f t="array" ref="H144">_xll.EQNXTDZ($A$1,$B144,H$1,$B$1)</f>
        <v>0</v>
      </c>
      <c r="I144" s="125" cm="1">
        <f t="array" ref="I144">_xll.EQNXTDZ($A$1,$B144,I$1,$B$1)</f>
        <v>0</v>
      </c>
      <c r="J144" s="125" cm="1">
        <f t="array" ref="J144">_xll.EQNXTDZ($A$1,$B144,J$1,$B$1)</f>
        <v>0</v>
      </c>
      <c r="K144" s="125" cm="1">
        <f t="array" ref="K144">_xll.EQNXTDZ($A$1,$B144,K$1,$B$1)</f>
        <v>5.3167533000000002</v>
      </c>
      <c r="L144" s="125" cm="1">
        <f t="array" ref="L144">_xll.EQNXTDZ($A$1,$B144,L$1,$B$1)</f>
        <v>25.400657599999999</v>
      </c>
      <c r="M144" s="125" cm="1">
        <f t="array" ref="M144">_xll.EQNXTDZ($A$1,$B144,M$1,$B$1)</f>
        <v>28.892832299999998</v>
      </c>
      <c r="N144" s="125" cm="1">
        <f t="array" ref="N144">_xll.EQNXTDZ($A$1,$B144,N$1,$B$1)</f>
        <v>25.990191299999999</v>
      </c>
      <c r="O144" s="125" cm="1">
        <f t="array" ref="O144">_xll.EQNXTDZ($A$1,$B144,O$1,$B$1)</f>
        <v>72.870343899999995</v>
      </c>
      <c r="P144" s="125" cm="1">
        <f t="array" ref="P144">_xll.EQNXTDZ($A$1,$B144,P$1,$B$1)</f>
        <v>158.04600350000001</v>
      </c>
      <c r="Q144" s="125" cm="1">
        <f t="array" ref="Q144">_xll.EQNXTDZ($A$1,$B144,Q$1,$B$1)</f>
        <v>307.5018129</v>
      </c>
      <c r="R144" s="125" cm="1">
        <f t="array" ref="R144">_xll.EQNXTDZ($A$1,$B144,R$1,$B$1)</f>
        <v>391.27793389999999</v>
      </c>
      <c r="S144" s="125" cm="1">
        <f t="array" ref="S144">_xll.EQNXTDZ($A$1,$B144,S$1,$B$1)</f>
        <v>603.8050508</v>
      </c>
      <c r="T144" s="125" cm="1">
        <f t="array" ref="T144">_xll.EQNXTDZ($A$1,$B144,T$1,$B$1)</f>
        <v>1303.97</v>
      </c>
      <c r="U144" s="125" cm="1">
        <f t="array" ref="U144">_xll.EQNXTDZ($A$1,$B144,U$1,$B$1)</f>
        <v>2212.7199999999998</v>
      </c>
      <c r="V144" s="125" cm="1">
        <f t="array" ref="V144">_xll.EQNXTDZ($A$1,$B144,V$1,$B$1)</f>
        <v>2516.48</v>
      </c>
      <c r="W144" s="125" cm="1">
        <f t="array" ref="W144">_xll.EQNXTDZ($A$1,$B144,W$1,$B$1)</f>
        <v>3470.71</v>
      </c>
      <c r="X144" s="125" cm="1">
        <f t="array" ref="X144">_xll.EQNXTDZ($A$1,$B144,X$1,$B$1)</f>
        <v>3999.32</v>
      </c>
      <c r="Y144" s="125" cm="1">
        <f t="array" ref="Y144">_xll.EQNXTDZ($A$1,$B144,Y$1,$B$1)</f>
        <v>4928.62</v>
      </c>
      <c r="Z144" s="125" cm="1">
        <f t="array" ref="Z144">_xll.EQNXTDZ($A$1,$B144,Z$1,$B$1)</f>
        <v>6379.4</v>
      </c>
      <c r="AA144" s="125" cm="1">
        <f t="array" ref="AA144">_xll.EQNXTDZ($A$1,$B144,AA$1,$B$1)</f>
        <v>6746.96</v>
      </c>
      <c r="AB144" s="125" cm="1">
        <f t="array" ref="AB144">_xll.EQNXTDZ($A$1,$B144,AB$1,$B$1)</f>
        <v>7615.86</v>
      </c>
      <c r="AC144" s="125" cm="1">
        <f t="array" ref="AC144">_xll.EQNXTDZ($A$1,$B144,AC$1,$B$1)</f>
        <v>0</v>
      </c>
      <c r="AD144" s="125" cm="1">
        <f t="array" ref="AD144">_xll.EQNXTDZ($A$1,$B144,AD$1,$B$1)</f>
        <v>0</v>
      </c>
      <c r="AE144" s="125" cm="1">
        <f t="array" ref="AE144">_xll.EQNXTDZ($A$1,$B144,AE$1,$B$1)</f>
        <v>0</v>
      </c>
      <c r="AF144" s="125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5" cm="1">
        <f t="array" ref="C145">_xll.EQNXTDZ($A$1,$B145,C$1,$B$1)</f>
        <v>0</v>
      </c>
      <c r="D145" s="125" cm="1">
        <f t="array" ref="D145">_xll.EQNXTDZ($A$1,$B145,D$1,$B$1)</f>
        <v>0</v>
      </c>
      <c r="E145" s="125" cm="1">
        <f t="array" ref="E145">_xll.EQNXTDZ($A$1,$B145,E$1,$B$1)</f>
        <v>0</v>
      </c>
      <c r="F145" s="125" cm="1">
        <f t="array" ref="F145">_xll.EQNXTDZ($A$1,$B145,F$1,$B$1)</f>
        <v>0</v>
      </c>
      <c r="G145" s="125" cm="1">
        <f t="array" ref="G145">_xll.EQNXTDZ($A$1,$B145,G$1,$B$1)</f>
        <v>0</v>
      </c>
      <c r="H145" s="125" cm="1">
        <f t="array" ref="H145">_xll.EQNXTDZ($A$1,$B145,H$1,$B$1)</f>
        <v>0</v>
      </c>
      <c r="I145" s="125" cm="1">
        <f t="array" ref="I145">_xll.EQNXTDZ($A$1,$B145,I$1,$B$1)</f>
        <v>0</v>
      </c>
      <c r="J145" s="125" cm="1">
        <f t="array" ref="J145">_xll.EQNXTDZ($A$1,$B145,J$1,$B$1)</f>
        <v>0</v>
      </c>
      <c r="K145" s="125" cm="1">
        <f t="array" ref="K145">_xll.EQNXTDZ($A$1,$B145,K$1,$B$1)</f>
        <v>0</v>
      </c>
      <c r="L145" s="125" cm="1">
        <f t="array" ref="L145">_xll.EQNXTDZ($A$1,$B145,L$1,$B$1)</f>
        <v>0</v>
      </c>
      <c r="M145" s="125" cm="1">
        <f t="array" ref="M145">_xll.EQNXTDZ($A$1,$B145,M$1,$B$1)</f>
        <v>0</v>
      </c>
      <c r="N145" s="125" cm="1">
        <f t="array" ref="N145">_xll.EQNXTDZ($A$1,$B145,N$1,$B$1)</f>
        <v>0</v>
      </c>
      <c r="O145" s="125" cm="1">
        <f t="array" ref="O145">_xll.EQNXTDZ($A$1,$B145,O$1,$B$1)</f>
        <v>0</v>
      </c>
      <c r="P145" s="125" cm="1">
        <f t="array" ref="P145">_xll.EQNXTDZ($A$1,$B145,P$1,$B$1)</f>
        <v>0</v>
      </c>
      <c r="Q145" s="125" cm="1">
        <f t="array" ref="Q145">_xll.EQNXTDZ($A$1,$B145,Q$1,$B$1)</f>
        <v>0</v>
      </c>
      <c r="R145" s="125" cm="1">
        <f t="array" ref="R145">_xll.EQNXTDZ($A$1,$B145,R$1,$B$1)</f>
        <v>0</v>
      </c>
      <c r="S145" s="125" cm="1">
        <f t="array" ref="S145">_xll.EQNXTDZ($A$1,$B145,S$1,$B$1)</f>
        <v>0</v>
      </c>
      <c r="T145" s="125" cm="1">
        <f t="array" ref="T145">_xll.EQNXTDZ($A$1,$B145,T$1,$B$1)</f>
        <v>0</v>
      </c>
      <c r="U145" s="125" cm="1">
        <f t="array" ref="U145">_xll.EQNXTDZ($A$1,$B145,U$1,$B$1)</f>
        <v>501.1</v>
      </c>
      <c r="V145" s="125" cm="1">
        <f t="array" ref="V145">_xll.EQNXTDZ($A$1,$B145,V$1,$B$1)</f>
        <v>338.35</v>
      </c>
      <c r="W145" s="125" cm="1">
        <f t="array" ref="W145">_xll.EQNXTDZ($A$1,$B145,W$1,$B$1)</f>
        <v>670.45</v>
      </c>
      <c r="X145" s="125" cm="1">
        <f t="array" ref="X145">_xll.EQNXTDZ($A$1,$B145,X$1,$B$1)</f>
        <v>849.05</v>
      </c>
      <c r="Y145" s="125" cm="1">
        <f t="array" ref="Y145">_xll.EQNXTDZ($A$1,$B145,Y$1,$B$1)</f>
        <v>915.1</v>
      </c>
      <c r="Z145" s="125" cm="1">
        <f t="array" ref="Z145">_xll.EQNXTDZ($A$1,$B145,Z$1,$B$1)</f>
        <v>1439.7</v>
      </c>
      <c r="AA145" s="125" cm="1">
        <f t="array" ref="AA145">_xll.EQNXTDZ($A$1,$B145,AA$1,$B$1)</f>
        <v>952.55</v>
      </c>
      <c r="AB145" s="125" cm="1">
        <f t="array" ref="AB145">_xll.EQNXTDZ($A$1,$B145,AB$1,$B$1)</f>
        <v>1155.3499999999999</v>
      </c>
      <c r="AC145" s="125" cm="1">
        <f t="array" ref="AC145">_xll.EQNXTDZ($A$1,$B145,AC$1,$B$1)</f>
        <v>0</v>
      </c>
      <c r="AD145" s="125" cm="1">
        <f t="array" ref="AD145">_xll.EQNXTDZ($A$1,$B145,AD$1,$B$1)</f>
        <v>0</v>
      </c>
      <c r="AE145" s="125" cm="1">
        <f t="array" ref="AE145">_xll.EQNXTDZ($A$1,$B145,AE$1,$B$1)</f>
        <v>0</v>
      </c>
      <c r="AF145" s="125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5" cm="1">
        <f t="array" ref="C146">_xll.EQNXTDZ($A$1,$B146,C$1,$B$1)</f>
        <v>0</v>
      </c>
      <c r="D146" s="125" cm="1">
        <f t="array" ref="D146">_xll.EQNXTDZ($A$1,$B146,D$1,$B$1)</f>
        <v>0</v>
      </c>
      <c r="E146" s="125" cm="1">
        <f t="array" ref="E146">_xll.EQNXTDZ($A$1,$B146,E$1,$B$1)</f>
        <v>0</v>
      </c>
      <c r="F146" s="125" cm="1">
        <f t="array" ref="F146">_xll.EQNXTDZ($A$1,$B146,F$1,$B$1)</f>
        <v>0</v>
      </c>
      <c r="G146" s="125" cm="1">
        <f t="array" ref="G146">_xll.EQNXTDZ($A$1,$B146,G$1,$B$1)</f>
        <v>0</v>
      </c>
      <c r="H146" s="125" cm="1">
        <f t="array" ref="H146">_xll.EQNXTDZ($A$1,$B146,H$1,$B$1)</f>
        <v>0</v>
      </c>
      <c r="I146" s="125" cm="1">
        <f t="array" ref="I146">_xll.EQNXTDZ($A$1,$B146,I$1,$B$1)</f>
        <v>0</v>
      </c>
      <c r="J146" s="125" cm="1">
        <f t="array" ref="J146">_xll.EQNXTDZ($A$1,$B146,J$1,$B$1)</f>
        <v>0</v>
      </c>
      <c r="K146" s="125" cm="1">
        <f t="array" ref="K146">_xll.EQNXTDZ($A$1,$B146,K$1,$B$1)</f>
        <v>0</v>
      </c>
      <c r="L146" s="125" cm="1">
        <f t="array" ref="L146">_xll.EQNXTDZ($A$1,$B146,L$1,$B$1)</f>
        <v>0</v>
      </c>
      <c r="M146" s="125" cm="1">
        <f t="array" ref="M146">_xll.EQNXTDZ($A$1,$B146,M$1,$B$1)</f>
        <v>0</v>
      </c>
      <c r="N146" s="125" cm="1">
        <f t="array" ref="N146">_xll.EQNXTDZ($A$1,$B146,N$1,$B$1)</f>
        <v>0</v>
      </c>
      <c r="O146" s="125" cm="1">
        <f t="array" ref="O146">_xll.EQNXTDZ($A$1,$B146,O$1,$B$1)</f>
        <v>0</v>
      </c>
      <c r="P146" s="125" cm="1">
        <f t="array" ref="P146">_xll.EQNXTDZ($A$1,$B146,P$1,$B$1)</f>
        <v>0</v>
      </c>
      <c r="Q146" s="125" cm="1">
        <f t="array" ref="Q146">_xll.EQNXTDZ($A$1,$B146,Q$1,$B$1)</f>
        <v>0</v>
      </c>
      <c r="R146" s="125" cm="1">
        <f t="array" ref="R146">_xll.EQNXTDZ($A$1,$B146,R$1,$B$1)</f>
        <v>0</v>
      </c>
      <c r="S146" s="125" cm="1">
        <f t="array" ref="S146">_xll.EQNXTDZ($A$1,$B146,S$1,$B$1)</f>
        <v>0</v>
      </c>
      <c r="T146" s="125" cm="1">
        <f t="array" ref="T146">_xll.EQNXTDZ($A$1,$B146,T$1,$B$1)</f>
        <v>0</v>
      </c>
      <c r="U146" s="125" cm="1">
        <f t="array" ref="U146">_xll.EQNXTDZ($A$1,$B146,U$1,$B$1)</f>
        <v>520.95000000000005</v>
      </c>
      <c r="V146" s="125" cm="1">
        <f t="array" ref="V146">_xll.EQNXTDZ($A$1,$B146,V$1,$B$1)</f>
        <v>1000.8</v>
      </c>
      <c r="W146" s="125" cm="1">
        <f t="array" ref="W146">_xll.EQNXTDZ($A$1,$B146,W$1,$B$1)</f>
        <v>839</v>
      </c>
      <c r="X146" s="125" cm="1">
        <f t="array" ref="X146">_xll.EQNXTDZ($A$1,$B146,X$1,$B$1)</f>
        <v>878.25</v>
      </c>
      <c r="Y146" s="125" cm="1">
        <f t="array" ref="Y146">_xll.EQNXTDZ($A$1,$B146,Y$1,$B$1)</f>
        <v>1154.3499999999999</v>
      </c>
      <c r="Z146" s="125" cm="1">
        <f t="array" ref="Z146">_xll.EQNXTDZ($A$1,$B146,Z$1,$B$1)</f>
        <v>1794.4</v>
      </c>
      <c r="AA146" s="125" cm="1">
        <f t="array" ref="AA146">_xll.EQNXTDZ($A$1,$B146,AA$1,$B$1)</f>
        <v>1553</v>
      </c>
      <c r="AB146" s="125" cm="1">
        <f t="array" ref="AB146">_xll.EQNXTDZ($A$1,$B146,AB$1,$B$1)</f>
        <v>1496.6</v>
      </c>
      <c r="AC146" s="125" cm="1">
        <f t="array" ref="AC146">_xll.EQNXTDZ($A$1,$B146,AC$1,$B$1)</f>
        <v>0</v>
      </c>
      <c r="AD146" s="125" cm="1">
        <f t="array" ref="AD146">_xll.EQNXTDZ($A$1,$B146,AD$1,$B$1)</f>
        <v>0</v>
      </c>
      <c r="AE146" s="125" cm="1">
        <f t="array" ref="AE146">_xll.EQNXTDZ($A$1,$B146,AE$1,$B$1)</f>
        <v>0</v>
      </c>
      <c r="AF146" s="125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5" cm="1">
        <f t="array" ref="C147">_xll.EQNXTDZ($A$1,$B147,C$1,$B$1)</f>
        <v>0</v>
      </c>
      <c r="D147" s="125" cm="1">
        <f t="array" ref="D147">_xll.EQNXTDZ($A$1,$B147,D$1,$B$1)</f>
        <v>0</v>
      </c>
      <c r="E147" s="125" cm="1">
        <f t="array" ref="E147">_xll.EQNXTDZ($A$1,$B147,E$1,$B$1)</f>
        <v>0</v>
      </c>
      <c r="F147" s="125" cm="1">
        <f t="array" ref="F147">_xll.EQNXTDZ($A$1,$B147,F$1,$B$1)</f>
        <v>0</v>
      </c>
      <c r="G147" s="125" cm="1">
        <f t="array" ref="G147">_xll.EQNXTDZ($A$1,$B147,G$1,$B$1)</f>
        <v>0</v>
      </c>
      <c r="H147" s="125" cm="1">
        <f t="array" ref="H147">_xll.EQNXTDZ($A$1,$B147,H$1,$B$1)</f>
        <v>0</v>
      </c>
      <c r="I147" s="125" cm="1">
        <f t="array" ref="I147">_xll.EQNXTDZ($A$1,$B147,I$1,$B$1)</f>
        <v>0</v>
      </c>
      <c r="J147" s="125" cm="1">
        <f t="array" ref="J147">_xll.EQNXTDZ($A$1,$B147,J$1,$B$1)</f>
        <v>0</v>
      </c>
      <c r="K147" s="125" cm="1">
        <f t="array" ref="K147">_xll.EQNXTDZ($A$1,$B147,K$1,$B$1)</f>
        <v>0</v>
      </c>
      <c r="L147" s="125" cm="1">
        <f t="array" ref="L147">_xll.EQNXTDZ($A$1,$B147,L$1,$B$1)</f>
        <v>0</v>
      </c>
      <c r="M147" s="125" cm="1">
        <f t="array" ref="M147">_xll.EQNXTDZ($A$1,$B147,M$1,$B$1)</f>
        <v>0</v>
      </c>
      <c r="N147" s="125" cm="1">
        <f t="array" ref="N147">_xll.EQNXTDZ($A$1,$B147,N$1,$B$1)</f>
        <v>0</v>
      </c>
      <c r="O147" s="125" cm="1">
        <f t="array" ref="O147">_xll.EQNXTDZ($A$1,$B147,O$1,$B$1)</f>
        <v>0</v>
      </c>
      <c r="P147" s="125" cm="1">
        <f t="array" ref="P147">_xll.EQNXTDZ($A$1,$B147,P$1,$B$1)</f>
        <v>0</v>
      </c>
      <c r="Q147" s="125" cm="1">
        <f t="array" ref="Q147">_xll.EQNXTDZ($A$1,$B147,Q$1,$B$1)</f>
        <v>0</v>
      </c>
      <c r="R147" s="125" cm="1">
        <f t="array" ref="R147">_xll.EQNXTDZ($A$1,$B147,R$1,$B$1)</f>
        <v>0</v>
      </c>
      <c r="S147" s="125" cm="1">
        <f t="array" ref="S147">_xll.EQNXTDZ($A$1,$B147,S$1,$B$1)</f>
        <v>0</v>
      </c>
      <c r="T147" s="125" cm="1">
        <f t="array" ref="T147">_xll.EQNXTDZ($A$1,$B147,T$1,$B$1)</f>
        <v>0</v>
      </c>
      <c r="U147" s="125" cm="1">
        <f t="array" ref="U147">_xll.EQNXTDZ($A$1,$B147,U$1,$B$1)</f>
        <v>245.75</v>
      </c>
      <c r="V147" s="125" cm="1">
        <f t="array" ref="V147">_xll.EQNXTDZ($A$1,$B147,V$1,$B$1)</f>
        <v>338.35</v>
      </c>
      <c r="W147" s="125" cm="1">
        <f t="array" ref="W147">_xll.EQNXTDZ($A$1,$B147,W$1,$B$1)</f>
        <v>305.75</v>
      </c>
      <c r="X147" s="125" cm="1">
        <f t="array" ref="X147">_xll.EQNXTDZ($A$1,$B147,X$1,$B$1)</f>
        <v>495.3</v>
      </c>
      <c r="Y147" s="125" cm="1">
        <f t="array" ref="Y147">_xll.EQNXTDZ($A$1,$B147,Y$1,$B$1)</f>
        <v>834.1</v>
      </c>
      <c r="Z147" s="125" cm="1">
        <f t="array" ref="Z147">_xll.EQNXTDZ($A$1,$B147,Z$1,$B$1)</f>
        <v>903.2</v>
      </c>
      <c r="AA147" s="125" cm="1">
        <f t="array" ref="AA147">_xll.EQNXTDZ($A$1,$B147,AA$1,$B$1)</f>
        <v>750.05</v>
      </c>
      <c r="AB147" s="125" cm="1">
        <f t="array" ref="AB147">_xll.EQNXTDZ($A$1,$B147,AB$1,$B$1)</f>
        <v>860</v>
      </c>
      <c r="AC147" s="125" cm="1">
        <f t="array" ref="AC147">_xll.EQNXTDZ($A$1,$B147,AC$1,$B$1)</f>
        <v>0</v>
      </c>
      <c r="AD147" s="125" cm="1">
        <f t="array" ref="AD147">_xll.EQNXTDZ($A$1,$B147,AD$1,$B$1)</f>
        <v>0</v>
      </c>
      <c r="AE147" s="125" cm="1">
        <f t="array" ref="AE147">_xll.EQNXTDZ($A$1,$B147,AE$1,$B$1)</f>
        <v>0</v>
      </c>
      <c r="AF147" s="125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5" cm="1">
        <f t="array" ref="C148">_xll.EQNXTDZ($A$1,$B148,C$1,$B$1)</f>
        <v>0</v>
      </c>
      <c r="D148" s="125" cm="1">
        <f t="array" ref="D148">_xll.EQNXTDZ($A$1,$B148,D$1,$B$1)</f>
        <v>0</v>
      </c>
      <c r="E148" s="125" cm="1">
        <f t="array" ref="E148">_xll.EQNXTDZ($A$1,$B148,E$1,$B$1)</f>
        <v>0</v>
      </c>
      <c r="F148" s="125" cm="1">
        <f t="array" ref="F148">_xll.EQNXTDZ($A$1,$B148,F$1,$B$1)</f>
        <v>0</v>
      </c>
      <c r="G148" s="125" cm="1">
        <f t="array" ref="G148">_xll.EQNXTDZ($A$1,$B148,G$1,$B$1)</f>
        <v>0</v>
      </c>
      <c r="H148" s="125" cm="1">
        <f t="array" ref="H148">_xll.EQNXTDZ($A$1,$B148,H$1,$B$1)</f>
        <v>0</v>
      </c>
      <c r="I148" s="125" cm="1">
        <f t="array" ref="I148">_xll.EQNXTDZ($A$1,$B148,I$1,$B$1)</f>
        <v>0</v>
      </c>
      <c r="J148" s="125" cm="1">
        <f t="array" ref="J148">_xll.EQNXTDZ($A$1,$B148,J$1,$B$1)</f>
        <v>0</v>
      </c>
      <c r="K148" s="125" cm="1">
        <f t="array" ref="K148">_xll.EQNXTDZ($A$1,$B148,K$1,$B$1)</f>
        <v>0</v>
      </c>
      <c r="L148" s="125" cm="1">
        <f t="array" ref="L148">_xll.EQNXTDZ($A$1,$B148,L$1,$B$1)</f>
        <v>0</v>
      </c>
      <c r="M148" s="125" cm="1">
        <f t="array" ref="M148">_xll.EQNXTDZ($A$1,$B148,M$1,$B$1)</f>
        <v>0</v>
      </c>
      <c r="N148" s="125" cm="1">
        <f t="array" ref="N148">_xll.EQNXTDZ($A$1,$B148,N$1,$B$1)</f>
        <v>0</v>
      </c>
      <c r="O148" s="125" cm="1">
        <f t="array" ref="O148">_xll.EQNXTDZ($A$1,$B148,O$1,$B$1)</f>
        <v>0</v>
      </c>
      <c r="P148" s="125" cm="1">
        <f t="array" ref="P148">_xll.EQNXTDZ($A$1,$B148,P$1,$B$1)</f>
        <v>0</v>
      </c>
      <c r="Q148" s="125" cm="1">
        <f t="array" ref="Q148">_xll.EQNXTDZ($A$1,$B148,Q$1,$B$1)</f>
        <v>0</v>
      </c>
      <c r="R148" s="125" cm="1">
        <f t="array" ref="R148">_xll.EQNXTDZ($A$1,$B148,R$1,$B$1)</f>
        <v>0</v>
      </c>
      <c r="S148" s="125" cm="1">
        <f t="array" ref="S148">_xll.EQNXTDZ($A$1,$B148,S$1,$B$1)</f>
        <v>0</v>
      </c>
      <c r="T148" s="125" cm="1">
        <f t="array" ref="T148">_xll.EQNXTDZ($A$1,$B148,T$1,$B$1)</f>
        <v>0</v>
      </c>
      <c r="U148" s="125" cm="1">
        <f t="array" ref="U148">_xll.EQNXTDZ($A$1,$B148,U$1,$B$1)</f>
        <v>7193.2905000000001</v>
      </c>
      <c r="V148" s="125" cm="1">
        <f t="array" ref="V148">_xll.EQNXTDZ($A$1,$B148,V$1,$B$1)</f>
        <v>4871.9016499999998</v>
      </c>
      <c r="W148" s="125" cm="1">
        <f t="array" ref="W148">_xll.EQNXTDZ($A$1,$B148,W$1,$B$1)</f>
        <v>10430.8611</v>
      </c>
      <c r="X148" s="125" cm="1">
        <f t="array" ref="X148">_xll.EQNXTDZ($A$1,$B148,X$1,$B$1)</f>
        <v>13234.14235</v>
      </c>
      <c r="Y148" s="125" cm="1">
        <f t="array" ref="Y148">_xll.EQNXTDZ($A$1,$B148,Y$1,$B$1)</f>
        <v>14541.8541</v>
      </c>
      <c r="Z148" s="125" cm="1">
        <f t="array" ref="Z148">_xll.EQNXTDZ($A$1,$B148,Z$1,$B$1)</f>
        <v>22945.938600000001</v>
      </c>
      <c r="AA148" s="125" cm="1">
        <f t="array" ref="AA148">_xll.EQNXTDZ($A$1,$B148,AA$1,$B$1)</f>
        <v>15214.1286</v>
      </c>
      <c r="AB148" s="125" cm="1">
        <f t="array" ref="AB148">_xll.EQNXTDZ($A$1,$B148,AB$1,$B$1)</f>
        <v>18508.706999999999</v>
      </c>
      <c r="AC148" s="125" cm="1">
        <f t="array" ref="AC148">_xll.EQNXTDZ($A$1,$B148,AC$1,$B$1)</f>
        <v>0</v>
      </c>
      <c r="AD148" s="125" cm="1">
        <f t="array" ref="AD148">_xll.EQNXTDZ($A$1,$B148,AD$1,$B$1)</f>
        <v>0</v>
      </c>
      <c r="AE148" s="125" cm="1">
        <f t="array" ref="AE148">_xll.EQNXTDZ($A$1,$B148,AE$1,$B$1)</f>
        <v>0</v>
      </c>
      <c r="AF148" s="125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5" cm="1">
        <f t="array" ref="C149">_xll.EQNXTDZ($A$1,$B149,C$1,$B$1)</f>
        <v>0</v>
      </c>
      <c r="D149" s="125" cm="1">
        <f t="array" ref="D149">_xll.EQNXTDZ($A$1,$B149,D$1,$B$1)</f>
        <v>0</v>
      </c>
      <c r="E149" s="125" cm="1">
        <f t="array" ref="E149">_xll.EQNXTDZ($A$1,$B149,E$1,$B$1)</f>
        <v>0</v>
      </c>
      <c r="F149" s="125" cm="1">
        <f t="array" ref="F149">_xll.EQNXTDZ($A$1,$B149,F$1,$B$1)</f>
        <v>0</v>
      </c>
      <c r="G149" s="125" cm="1">
        <f t="array" ref="G149">_xll.EQNXTDZ($A$1,$B149,G$1,$B$1)</f>
        <v>0</v>
      </c>
      <c r="H149" s="125" cm="1">
        <f t="array" ref="H149">_xll.EQNXTDZ($A$1,$B149,H$1,$B$1)</f>
        <v>0</v>
      </c>
      <c r="I149" s="125" cm="1">
        <f t="array" ref="I149">_xll.EQNXTDZ($A$1,$B149,I$1,$B$1)</f>
        <v>0</v>
      </c>
      <c r="J149" s="125" cm="1">
        <f t="array" ref="J149">_xll.EQNXTDZ($A$1,$B149,J$1,$B$1)</f>
        <v>0</v>
      </c>
      <c r="K149" s="125" cm="1">
        <f t="array" ref="K149">_xll.EQNXTDZ($A$1,$B149,K$1,$B$1)</f>
        <v>0.29392250114513602</v>
      </c>
      <c r="L149" s="125" cm="1">
        <f t="array" ref="L149">_xll.EQNXTDZ($A$1,$B149,L$1,$B$1)</f>
        <v>0.34292117874171302</v>
      </c>
      <c r="M149" s="125" cm="1">
        <f t="array" ref="M149">_xll.EQNXTDZ($A$1,$B149,M$1,$B$1)</f>
        <v>1.4129817821772801</v>
      </c>
      <c r="N149" s="125" cm="1">
        <f t="array" ref="N149">_xll.EQNXTDZ($A$1,$B149,N$1,$B$1)</f>
        <v>-1.1684000000000001</v>
      </c>
      <c r="O149" s="125" cm="1">
        <f t="array" ref="O149">_xll.EQNXTDZ($A$1,$B149,O$1,$B$1)</f>
        <v>2.1347999999999998</v>
      </c>
      <c r="P149" s="125" cm="1">
        <f t="array" ref="P149">_xll.EQNXTDZ($A$1,$B149,P$1,$B$1)</f>
        <v>3.4953332676277999</v>
      </c>
      <c r="Q149" s="125" cm="1">
        <f t="array" ref="Q149">_xll.EQNXTDZ($A$1,$B149,Q$1,$B$1)</f>
        <v>6.7790999999999997</v>
      </c>
      <c r="R149" s="125" cm="1">
        <f t="array" ref="R149">_xll.EQNXTDZ($A$1,$B149,R$1,$B$1)</f>
        <v>11.483506334787601</v>
      </c>
      <c r="S149" s="125" cm="1">
        <f t="array" ref="S149">_xll.EQNXTDZ($A$1,$B149,S$1,$B$1)</f>
        <v>8.7830999999999992</v>
      </c>
      <c r="T149" s="125" cm="1">
        <f t="array" ref="T149">_xll.EQNXTDZ($A$1,$B149,T$1,$B$1)</f>
        <v>16.5444</v>
      </c>
      <c r="U149" s="125" cm="1">
        <f t="array" ref="U149">_xll.EQNXTDZ($A$1,$B149,U$1,$B$1)</f>
        <v>22.4145</v>
      </c>
      <c r="V149" s="125" cm="1">
        <f t="array" ref="V149">_xll.EQNXTDZ($A$1,$B149,V$1,$B$1)</f>
        <v>22.744599999999998</v>
      </c>
      <c r="W149" s="125" cm="1">
        <f t="array" ref="W149">_xll.EQNXTDZ($A$1,$B149,W$1,$B$1)</f>
        <v>9.1522000000000006</v>
      </c>
      <c r="X149" s="125" cm="1">
        <f t="array" ref="X149">_xll.EQNXTDZ($A$1,$B149,X$1,$B$1)</f>
        <v>22.652200000000001</v>
      </c>
      <c r="Y149" s="125" cm="1">
        <f t="array" ref="Y149">_xll.EQNXTDZ($A$1,$B149,Y$1,$B$1)</f>
        <v>51.981000000000002</v>
      </c>
      <c r="Z149" s="125" cm="1">
        <f t="array" ref="Z149">_xll.EQNXTDZ($A$1,$B149,Z$1,$B$1)</f>
        <v>90.722200000000001</v>
      </c>
      <c r="AA149" s="125" cm="1">
        <f t="array" ref="AA149">_xll.EQNXTDZ($A$1,$B149,AA$1,$B$1)</f>
        <v>33.270699999999998</v>
      </c>
      <c r="AB149" s="125" cm="1">
        <f t="array" ref="AB149">_xll.EQNXTDZ($A$1,$B149,AB$1,$B$1)</f>
        <v>48.541800000000002</v>
      </c>
      <c r="AC149" s="125" cm="1">
        <f t="array" ref="AC149">_xll.EQNXTDZ($A$1,$B149,AC$1,$B$1)</f>
        <v>0</v>
      </c>
      <c r="AD149" s="125" cm="1">
        <f t="array" ref="AD149">_xll.EQNXTDZ($A$1,$B149,AD$1,$B$1)</f>
        <v>0</v>
      </c>
      <c r="AE149" s="125" cm="1">
        <f t="array" ref="AE149">_xll.EQNXTDZ($A$1,$B149,AE$1,$B$1)</f>
        <v>0</v>
      </c>
      <c r="AF149" s="125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5" cm="1">
        <f t="array" ref="C150">_xll.EQNXTDZ($A$1,$B150,C$1,$B$1)</f>
        <v>0</v>
      </c>
      <c r="D150" s="125" cm="1">
        <f t="array" ref="D150">_xll.EQNXTDZ($A$1,$B150,D$1,$B$1)</f>
        <v>0</v>
      </c>
      <c r="E150" s="125" cm="1">
        <f t="array" ref="E150">_xll.EQNXTDZ($A$1,$B150,E$1,$B$1)</f>
        <v>0</v>
      </c>
      <c r="F150" s="125" cm="1">
        <f t="array" ref="F150">_xll.EQNXTDZ($A$1,$B150,F$1,$B$1)</f>
        <v>0</v>
      </c>
      <c r="G150" s="125" cm="1">
        <f t="array" ref="G150">_xll.EQNXTDZ($A$1,$B150,G$1,$B$1)</f>
        <v>0</v>
      </c>
      <c r="H150" s="125" cm="1">
        <f t="array" ref="H150">_xll.EQNXTDZ($A$1,$B150,H$1,$B$1)</f>
        <v>0</v>
      </c>
      <c r="I150" s="125" cm="1">
        <f t="array" ref="I150">_xll.EQNXTDZ($A$1,$B150,I$1,$B$1)</f>
        <v>0</v>
      </c>
      <c r="J150" s="125" cm="1">
        <f t="array" ref="J150">_xll.EQNXTDZ($A$1,$B150,J$1,$B$1)</f>
        <v>0</v>
      </c>
      <c r="K150" s="125" cm="1">
        <f t="array" ref="K150">_xll.EQNXTDZ($A$1,$B150,K$1,$B$1)</f>
        <v>0</v>
      </c>
      <c r="L150" s="125" cm="1">
        <f t="array" ref="L150">_xll.EQNXTDZ($A$1,$B150,L$1,$B$1)</f>
        <v>0</v>
      </c>
      <c r="M150" s="125" cm="1">
        <f t="array" ref="M150">_xll.EQNXTDZ($A$1,$B150,M$1,$B$1)</f>
        <v>0</v>
      </c>
      <c r="N150" s="125" cm="1">
        <f t="array" ref="N150">_xll.EQNXTDZ($A$1,$B150,N$1,$B$1)</f>
        <v>0</v>
      </c>
      <c r="O150" s="125" cm="1">
        <f t="array" ref="O150">_xll.EQNXTDZ($A$1,$B150,O$1,$B$1)</f>
        <v>0</v>
      </c>
      <c r="P150" s="125" cm="1">
        <f t="array" ref="P150">_xll.EQNXTDZ($A$1,$B150,P$1,$B$1)</f>
        <v>8.0000000000000099E-2</v>
      </c>
      <c r="Q150" s="125" cm="1">
        <f t="array" ref="Q150">_xll.EQNXTDZ($A$1,$B150,Q$1,$B$1)</f>
        <v>0.51</v>
      </c>
      <c r="R150" s="125" cm="1">
        <f t="array" ref="R150">_xll.EQNXTDZ($A$1,$B150,R$1,$B$1)</f>
        <v>1.97</v>
      </c>
      <c r="S150" s="125" cm="1">
        <f t="array" ref="S150">_xll.EQNXTDZ($A$1,$B150,S$1,$B$1)</f>
        <v>2.58</v>
      </c>
      <c r="T150" s="125" cm="1">
        <f t="array" ref="T150">_xll.EQNXTDZ($A$1,$B150,T$1,$B$1)</f>
        <v>0</v>
      </c>
      <c r="U150" s="125" cm="1">
        <f t="array" ref="U150">_xll.EQNXTDZ($A$1,$B150,U$1,$B$1)</f>
        <v>0</v>
      </c>
      <c r="V150" s="125" cm="1">
        <f t="array" ref="V150">_xll.EQNXTDZ($A$1,$B150,V$1,$B$1)</f>
        <v>142.1</v>
      </c>
      <c r="W150" s="125" cm="1">
        <f t="array" ref="W150">_xll.EQNXTDZ($A$1,$B150,W$1,$B$1)</f>
        <v>449.57</v>
      </c>
      <c r="X150" s="125" cm="1">
        <f t="array" ref="X150">_xll.EQNXTDZ($A$1,$B150,X$1,$B$1)</f>
        <v>393.22</v>
      </c>
      <c r="Y150" s="125" cm="1">
        <f t="array" ref="Y150">_xll.EQNXTDZ($A$1,$B150,Y$1,$B$1)</f>
        <v>236.39</v>
      </c>
      <c r="Z150" s="125" cm="1">
        <f t="array" ref="Z150">_xll.EQNXTDZ($A$1,$B150,Z$1,$B$1)</f>
        <v>302.64999999999998</v>
      </c>
      <c r="AA150" s="125" cm="1">
        <f t="array" ref="AA150">_xll.EQNXTDZ($A$1,$B150,AA$1,$B$1)</f>
        <v>1225.5999999999999</v>
      </c>
      <c r="AB150" s="125" cm="1">
        <f t="array" ref="AB150">_xll.EQNXTDZ($A$1,$B150,AB$1,$B$1)</f>
        <v>922.25</v>
      </c>
      <c r="AC150" s="125" cm="1">
        <f t="array" ref="AC150">_xll.EQNXTDZ($A$1,$B150,AC$1,$B$1)</f>
        <v>0</v>
      </c>
      <c r="AD150" s="125" cm="1">
        <f t="array" ref="AD150">_xll.EQNXTDZ($A$1,$B150,AD$1,$B$1)</f>
        <v>0</v>
      </c>
      <c r="AE150" s="125" cm="1">
        <f t="array" ref="AE150">_xll.EQNXTDZ($A$1,$B150,AE$1,$B$1)</f>
        <v>0</v>
      </c>
      <c r="AF150" s="125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5" cm="1">
        <f t="array" ref="C151">_xll.EQNXTDZ($A$1,$B151,C$1,$B$1)</f>
        <v>0</v>
      </c>
      <c r="D151" s="125" cm="1">
        <f t="array" ref="D151">_xll.EQNXTDZ($A$1,$B151,D$1,$B$1)</f>
        <v>0</v>
      </c>
      <c r="E151" s="125" cm="1">
        <f t="array" ref="E151">_xll.EQNXTDZ($A$1,$B151,E$1,$B$1)</f>
        <v>0</v>
      </c>
      <c r="F151" s="125" cm="1">
        <f t="array" ref="F151">_xll.EQNXTDZ($A$1,$B151,F$1,$B$1)</f>
        <v>0</v>
      </c>
      <c r="G151" s="125" cm="1">
        <f t="array" ref="G151">_xll.EQNXTDZ($A$1,$B151,G$1,$B$1)</f>
        <v>0</v>
      </c>
      <c r="H151" s="125" cm="1">
        <f t="array" ref="H151">_xll.EQNXTDZ($A$1,$B151,H$1,$B$1)</f>
        <v>0</v>
      </c>
      <c r="I151" s="125" cm="1">
        <f t="array" ref="I151">_xll.EQNXTDZ($A$1,$B151,I$1,$B$1)</f>
        <v>0</v>
      </c>
      <c r="J151" s="125" cm="1">
        <f t="array" ref="J151">_xll.EQNXTDZ($A$1,$B151,J$1,$B$1)</f>
        <v>0</v>
      </c>
      <c r="K151" s="125" cm="1">
        <f t="array" ref="K151">_xll.EQNXTDZ($A$1,$B151,K$1,$B$1)</f>
        <v>0</v>
      </c>
      <c r="L151" s="125" cm="1">
        <f t="array" ref="L151">_xll.EQNXTDZ($A$1,$B151,L$1,$B$1)</f>
        <v>0</v>
      </c>
      <c r="M151" s="125" cm="1">
        <f t="array" ref="M151">_xll.EQNXTDZ($A$1,$B151,M$1,$B$1)</f>
        <v>0</v>
      </c>
      <c r="N151" s="125" cm="1">
        <f t="array" ref="N151">_xll.EQNXTDZ($A$1,$B151,N$1,$B$1)</f>
        <v>0</v>
      </c>
      <c r="O151" s="125" cm="1">
        <f t="array" ref="O151">_xll.EQNXTDZ($A$1,$B151,O$1,$B$1)</f>
        <v>0</v>
      </c>
      <c r="P151" s="125" cm="1">
        <f t="array" ref="P151">_xll.EQNXTDZ($A$1,$B151,P$1,$B$1)</f>
        <v>0</v>
      </c>
      <c r="Q151" s="125" cm="1">
        <f t="array" ref="Q151">_xll.EQNXTDZ($A$1,$B151,Q$1,$B$1)</f>
        <v>0</v>
      </c>
      <c r="R151" s="125" cm="1">
        <f t="array" ref="R151">_xll.EQNXTDZ($A$1,$B151,R$1,$B$1)</f>
        <v>0</v>
      </c>
      <c r="S151" s="125" cm="1">
        <f t="array" ref="S151">_xll.EQNXTDZ($A$1,$B151,S$1,$B$1)</f>
        <v>0</v>
      </c>
      <c r="T151" s="125" cm="1">
        <f t="array" ref="T151">_xll.EQNXTDZ($A$1,$B151,T$1,$B$1)</f>
        <v>0</v>
      </c>
      <c r="U151" s="125" cm="1">
        <f t="array" ref="U151">_xll.EQNXTDZ($A$1,$B151,U$1,$B$1)</f>
        <v>0</v>
      </c>
      <c r="V151" s="125" cm="1">
        <f t="array" ref="V151">_xll.EQNXTDZ($A$1,$B151,V$1,$B$1)</f>
        <v>34.35</v>
      </c>
      <c r="W151" s="125" cm="1">
        <f t="array" ref="W151">_xll.EQNXTDZ($A$1,$B151,W$1,$B$1)</f>
        <v>135.97999999999999</v>
      </c>
      <c r="X151" s="125" cm="1">
        <f t="array" ref="X151">_xll.EQNXTDZ($A$1,$B151,X$1,$B$1)</f>
        <v>114.86</v>
      </c>
      <c r="Y151" s="125" cm="1">
        <f t="array" ref="Y151">_xll.EQNXTDZ($A$1,$B151,Y$1,$B$1)</f>
        <v>66.86</v>
      </c>
      <c r="Z151" s="125" cm="1">
        <f t="array" ref="Z151">_xll.EQNXTDZ($A$1,$B151,Z$1,$B$1)</f>
        <v>87.78</v>
      </c>
      <c r="AA151" s="125" cm="1">
        <f t="array" ref="AA151">_xll.EQNXTDZ($A$1,$B151,AA$1,$B$1)</f>
        <v>428.73</v>
      </c>
      <c r="AB151" s="125" cm="1">
        <f t="array" ref="AB151">_xll.EQNXTDZ($A$1,$B151,AB$1,$B$1)</f>
        <v>315.58</v>
      </c>
      <c r="AC151" s="125" cm="1">
        <f t="array" ref="AC151">_xll.EQNXTDZ($A$1,$B151,AC$1,$B$1)</f>
        <v>0</v>
      </c>
      <c r="AD151" s="125" cm="1">
        <f t="array" ref="AD151">_xll.EQNXTDZ($A$1,$B151,AD$1,$B$1)</f>
        <v>0</v>
      </c>
      <c r="AE151" s="125" cm="1">
        <f t="array" ref="AE151">_xll.EQNXTDZ($A$1,$B151,AE$1,$B$1)</f>
        <v>0</v>
      </c>
      <c r="AF151" s="125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5" cm="1">
        <f t="array" ref="C152">_xll.EQNXTDZ($A$1,$B152,C$1,$B$1)</f>
        <v>0</v>
      </c>
      <c r="D152" s="125" cm="1">
        <f t="array" ref="D152">_xll.EQNXTDZ($A$1,$B152,D$1,$B$1)</f>
        <v>0</v>
      </c>
      <c r="E152" s="125" cm="1">
        <f t="array" ref="E152">_xll.EQNXTDZ($A$1,$B152,E$1,$B$1)</f>
        <v>0</v>
      </c>
      <c r="F152" s="125" cm="1">
        <f t="array" ref="F152">_xll.EQNXTDZ($A$1,$B152,F$1,$B$1)</f>
        <v>0</v>
      </c>
      <c r="G152" s="125" cm="1">
        <f t="array" ref="G152">_xll.EQNXTDZ($A$1,$B152,G$1,$B$1)</f>
        <v>0</v>
      </c>
      <c r="H152" s="125" cm="1">
        <f t="array" ref="H152">_xll.EQNXTDZ($A$1,$B152,H$1,$B$1)</f>
        <v>0</v>
      </c>
      <c r="I152" s="125" cm="1">
        <f t="array" ref="I152">_xll.EQNXTDZ($A$1,$B152,I$1,$B$1)</f>
        <v>0</v>
      </c>
      <c r="J152" s="125" cm="1">
        <f t="array" ref="J152">_xll.EQNXTDZ($A$1,$B152,J$1,$B$1)</f>
        <v>0</v>
      </c>
      <c r="K152" s="125" cm="1">
        <f t="array" ref="K152">_xll.EQNXTDZ($A$1,$B152,K$1,$B$1)</f>
        <v>0</v>
      </c>
      <c r="L152" s="125" cm="1">
        <f t="array" ref="L152">_xll.EQNXTDZ($A$1,$B152,L$1,$B$1)</f>
        <v>0</v>
      </c>
      <c r="M152" s="125" cm="1">
        <f t="array" ref="M152">_xll.EQNXTDZ($A$1,$B152,M$1,$B$1)</f>
        <v>0</v>
      </c>
      <c r="N152" s="125" cm="1">
        <f t="array" ref="N152">_xll.EQNXTDZ($A$1,$B152,N$1,$B$1)</f>
        <v>0</v>
      </c>
      <c r="O152" s="125" cm="1">
        <f t="array" ref="O152">_xll.EQNXTDZ($A$1,$B152,O$1,$B$1)</f>
        <v>0</v>
      </c>
      <c r="P152" s="125" cm="1">
        <f t="array" ref="P152">_xll.EQNXTDZ($A$1,$B152,P$1,$B$1)</f>
        <v>0</v>
      </c>
      <c r="Q152" s="125" cm="1">
        <f t="array" ref="Q152">_xll.EQNXTDZ($A$1,$B152,Q$1,$B$1)</f>
        <v>0</v>
      </c>
      <c r="R152" s="125" cm="1">
        <f t="array" ref="R152">_xll.EQNXTDZ($A$1,$B152,R$1,$B$1)</f>
        <v>0</v>
      </c>
      <c r="S152" s="125" cm="1">
        <f t="array" ref="S152">_xll.EQNXTDZ($A$1,$B152,S$1,$B$1)</f>
        <v>0</v>
      </c>
      <c r="T152" s="125" cm="1">
        <f t="array" ref="T152">_xll.EQNXTDZ($A$1,$B152,T$1,$B$1)</f>
        <v>0</v>
      </c>
      <c r="U152" s="125" cm="1">
        <f t="array" ref="U152">_xll.EQNXTDZ($A$1,$B152,U$1,$B$1)</f>
        <v>0</v>
      </c>
      <c r="V152" s="125" cm="1">
        <f t="array" ref="V152">_xll.EQNXTDZ($A$1,$B152,V$1,$B$1)</f>
        <v>0</v>
      </c>
      <c r="W152" s="125" cm="1">
        <f t="array" ref="W152">_xll.EQNXTDZ($A$1,$B152,W$1,$B$1)</f>
        <v>0</v>
      </c>
      <c r="X152" s="125" cm="1">
        <f t="array" ref="X152">_xll.EQNXTDZ($A$1,$B152,X$1,$B$1)</f>
        <v>0</v>
      </c>
      <c r="Y152" s="125" cm="1">
        <f t="array" ref="Y152">_xll.EQNXTDZ($A$1,$B152,Y$1,$B$1)</f>
        <v>0</v>
      </c>
      <c r="Z152" s="125" cm="1">
        <f t="array" ref="Z152">_xll.EQNXTDZ($A$1,$B152,Z$1,$B$1)</f>
        <v>0</v>
      </c>
      <c r="AA152" s="125" cm="1">
        <f t="array" ref="AA152">_xll.EQNXTDZ($A$1,$B152,AA$1,$B$1)</f>
        <v>0</v>
      </c>
      <c r="AB152" s="125" cm="1">
        <f t="array" ref="AB152">_xll.EQNXTDZ($A$1,$B152,AB$1,$B$1)</f>
        <v>0</v>
      </c>
      <c r="AC152" s="125" cm="1">
        <f t="array" ref="AC152">_xll.EQNXTDZ($A$1,$B152,AC$1,$B$1)</f>
        <v>0</v>
      </c>
      <c r="AD152" s="125" cm="1">
        <f t="array" ref="AD152">_xll.EQNXTDZ($A$1,$B152,AD$1,$B$1)</f>
        <v>0</v>
      </c>
      <c r="AE152" s="125" cm="1">
        <f t="array" ref="AE152">_xll.EQNXTDZ($A$1,$B152,AE$1,$B$1)</f>
        <v>0</v>
      </c>
      <c r="AF152" s="125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221842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5" cm="1">
        <f t="array" ref="C5">+_xll.EQNXTDZ($A$1,$B5,C$1,$B$1)</f>
        <v>0</v>
      </c>
      <c r="D5" s="125" cm="1">
        <f t="array" ref="D5">+_xll.EQNXTDZ($A$1,$B5,D$1,$B$1)</f>
        <v>0</v>
      </c>
      <c r="E5" s="125" cm="1">
        <f t="array" ref="E5">+_xll.EQNXTDZ($A$1,$B5,E$1,$B$1)</f>
        <v>0</v>
      </c>
      <c r="F5" s="125" cm="1">
        <f t="array" ref="F5">+_xll.EQNXTDZ($A$1,$B5,F$1,$B$1)</f>
        <v>0</v>
      </c>
      <c r="G5" s="125" cm="1">
        <f t="array" ref="G5">+_xll.EQNXTDZ($A$1,$B5,G$1,$B$1)</f>
        <v>0</v>
      </c>
      <c r="H5" s="125" cm="1">
        <f t="array" ref="H5">+_xll.EQNXTDZ($A$1,$B5,H$1,$B$1)</f>
        <v>0</v>
      </c>
      <c r="I5" s="125" cm="1">
        <f t="array" ref="I5">+_xll.EQNXTDZ($A$1,$B5,I$1,$B$1)</f>
        <v>0</v>
      </c>
      <c r="J5" s="125" cm="1">
        <f t="array" ref="J5">+_xll.EQNXTDZ($A$1,$B5,J$1,$B$1)</f>
        <v>0</v>
      </c>
      <c r="K5" s="125" cm="1">
        <f t="array" ref="K5">+_xll.EQNXTDZ($A$1,$B5,K$1,$B$1)</f>
        <v>0</v>
      </c>
      <c r="L5" s="125" cm="1">
        <f t="array" ref="L5">+_xll.EQNXTDZ($A$1,$B5,L$1,$B$1)</f>
        <v>0</v>
      </c>
      <c r="M5" s="125" cm="1">
        <f t="array" ref="M5">+_xll.EQNXTDZ($A$1,$B5,M$1,$B$1)</f>
        <v>201709</v>
      </c>
      <c r="N5" s="125" cm="1">
        <f t="array" ref="N5">+_xll.EQNXTDZ($A$1,$B5,N$1,$B$1)</f>
        <v>201712</v>
      </c>
      <c r="O5" s="125" cm="1">
        <f t="array" ref="O5">+_xll.EQNXTDZ($A$1,$B5,O$1,$B$1)</f>
        <v>201803</v>
      </c>
      <c r="P5" s="125" cm="1">
        <f t="array" ref="P5">+_xll.EQNXTDZ($A$1,$B5,P$1,$B$1)</f>
        <v>201806</v>
      </c>
      <c r="Q5" s="125" cm="1">
        <f t="array" ref="Q5">+_xll.EQNXTDZ($A$1,$B5,Q$1,$B$1)</f>
        <v>201809</v>
      </c>
      <c r="R5" s="125" cm="1">
        <f t="array" ref="R5">+_xll.EQNXTDZ($A$1,$B5,R$1,$B$1)</f>
        <v>201812</v>
      </c>
      <c r="S5" s="125" cm="1">
        <f t="array" ref="S5">+_xll.EQNXTDZ($A$1,$B5,S$1,$B$1)</f>
        <v>201903</v>
      </c>
      <c r="T5" s="125" cm="1">
        <f t="array" ref="T5">+_xll.EQNXTDZ($A$1,$B5,T$1,$B$1)</f>
        <v>201906</v>
      </c>
      <c r="U5" s="125" cm="1">
        <f t="array" ref="U5">+_xll.EQNXTDZ($A$1,$B5,U$1,$B$1)</f>
        <v>201909</v>
      </c>
      <c r="V5" s="125" cm="1">
        <f t="array" ref="V5">+_xll.EQNXTDZ($A$1,$B5,V$1,$B$1)</f>
        <v>201912</v>
      </c>
      <c r="W5" s="125" cm="1">
        <f t="array" ref="W5">+_xll.EQNXTDZ($A$1,$B5,W$1,$B$1)</f>
        <v>202003</v>
      </c>
      <c r="X5" s="125" cm="1">
        <f t="array" ref="X5">+_xll.EQNXTDZ($A$1,$B5,X$1,$B$1)</f>
        <v>202006</v>
      </c>
      <c r="Y5" s="125" cm="1">
        <f t="array" ref="Y5">+_xll.EQNXTDZ($A$1,$B5,Y$1,$B$1)</f>
        <v>202009</v>
      </c>
      <c r="Z5" s="125" cm="1">
        <f t="array" ref="Z5">+_xll.EQNXTDZ($A$1,$B5,Z$1,$B$1)</f>
        <v>202012</v>
      </c>
      <c r="AA5" s="125" cm="1">
        <f t="array" ref="AA5">+_xll.EQNXTDZ($A$1,$B5,AA$1,$B$1)</f>
        <v>202103</v>
      </c>
      <c r="AB5" s="125" cm="1">
        <f t="array" ref="AB5">+_xll.EQNXTDZ($A$1,$B5,AB$1,$B$1)</f>
        <v>202106</v>
      </c>
      <c r="AC5" s="125" cm="1">
        <f t="array" ref="AC5">+_xll.EQNXTDZ($A$1,$B5,AC$1,$B$1)</f>
        <v>202109</v>
      </c>
      <c r="AD5" s="125" cm="1">
        <f t="array" ref="AD5">+_xll.EQNXTDZ($A$1,$B5,AD$1,$B$1)</f>
        <v>202112</v>
      </c>
      <c r="AE5" s="125" cm="1">
        <f t="array" ref="AE5">+_xll.EQNXTDZ($A$1,$B5,AE$1,$B$1)</f>
        <v>202203</v>
      </c>
      <c r="AF5" s="125" cm="1">
        <f t="array" ref="AF5">+_xll.EQNXTDZ($A$1,$B5,AF$1,$B$1)</f>
        <v>202206</v>
      </c>
      <c r="AG5" s="125" cm="1">
        <f t="array" ref="AG5">+_xll.EQNXTDZ($A$1,$B5,AG$1,$B$1)</f>
        <v>202209</v>
      </c>
      <c r="AH5" s="125" cm="1">
        <f t="array" ref="AH5">+_xll.EQNXTDZ($A$1,$B5,AH$1,$B$1)</f>
        <v>202212</v>
      </c>
      <c r="AI5" s="125" cm="1">
        <f t="array" ref="AI5">+_xll.EQNXTDZ($A$1,$B5,AI$1,$B$1)</f>
        <v>202303</v>
      </c>
      <c r="AJ5" s="125" cm="1">
        <f t="array" ref="AJ5">+_xll.EQNXTDZ($A$1,$B5,AJ$1,$B$1)</f>
        <v>202306</v>
      </c>
      <c r="AK5" s="125" cm="1">
        <f t="array" ref="AK5">+_xll.EQNXTDZ($A$1,$B5,AK$1,$B$1)</f>
        <v>202309</v>
      </c>
      <c r="AL5" s="125" cm="1">
        <f t="array" ref="AL5">+_xll.EQNXTDZ($A$1,$B5,AL$1,$B$1)</f>
        <v>202312</v>
      </c>
      <c r="AM5" s="125" cm="1">
        <f t="array" ref="AM5">+_xll.EQNXTDZ($A$1,$B5,AM$1,$B$1)</f>
        <v>202403</v>
      </c>
      <c r="AN5" s="125" cm="1">
        <f t="array" ref="AN5">+_xll.EQNXTDZ($A$1,$B5,AN$1,$B$1)</f>
        <v>202406</v>
      </c>
      <c r="AO5" s="125" cm="1">
        <f t="array" ref="AO5">+_xll.EQNXTDZ($A$1,$B5,AO$1,$B$1)</f>
        <v>202409</v>
      </c>
      <c r="AP5" s="125" cm="1">
        <f t="array" ref="AP5">+_xll.EQNXTDZ($A$1,$B5,AP$1,$B$1)</f>
        <v>202412</v>
      </c>
      <c r="AQ5" s="125" cm="1">
        <f t="array" ref="AQ5">+_xll.EQNXTDZ($A$1,$B5,AQ$1,$B$1)</f>
        <v>202503</v>
      </c>
      <c r="AR5" s="125" cm="1">
        <f t="array" ref="AR5">+_xll.EQNXTDZ($A$1,$B5,AR$1,$B$1)</f>
        <v>202506</v>
      </c>
      <c r="AS5" s="125" cm="1">
        <f t="array" ref="AS5">+_xll.EQNXTDZ($A$1,$B5,AS$1,$B$1)</f>
        <v>202509</v>
      </c>
      <c r="AT5" s="125" cm="1">
        <f t="array" ref="AT5">+_xll.EQNXTDZ($A$1,$B5,AT$1,$B$1)</f>
        <v>202512</v>
      </c>
      <c r="AU5" s="125" cm="1">
        <f t="array" ref="AU5">+_xll.EQNXTDZ($A$1,$B5,AU$1,$B$1)</f>
        <v>202603</v>
      </c>
      <c r="AV5" s="125" cm="1">
        <f t="array" ref="AV5">+_xll.EQNXTDZ($A$1,$B5,AV$1,$B$1)</f>
        <v>0</v>
      </c>
      <c r="AW5" s="125" cm="1">
        <f t="array" ref="AW5">+_xll.EQNXTDZ($A$1,$B5,AW$1,$B$1)</f>
        <v>0</v>
      </c>
      <c r="AX5" s="125" cm="1">
        <f t="array" ref="AX5">+_xll.EQNXTDZ($A$1,$B5,AX$1,$B$1)</f>
        <v>0</v>
      </c>
      <c r="AY5" s="125" cm="1">
        <f t="array" ref="AY5">+_xll.EQNXTDZ($A$1,$B5,AY$1,$B$1)</f>
        <v>0</v>
      </c>
      <c r="AZ5" s="125" cm="1">
        <f t="array" ref="AZ5">+_xll.EQNXTDZ($A$1,$B5,AZ$1,$B$1)</f>
        <v>0</v>
      </c>
      <c r="BA5" s="125" cm="1">
        <f t="array" ref="BA5">+_xll.EQNXTDZ($A$1,$B5,BA$1,$B$1)</f>
        <v>0</v>
      </c>
      <c r="BB5" s="125" cm="1">
        <f t="array" ref="BB5">+_xll.EQNXTDZ($A$1,$B5,BB$1,$B$1)</f>
        <v>0</v>
      </c>
      <c r="BC5" s="125" cm="1">
        <f t="array" ref="BC5">+_xll.EQNXTDZ($A$1,$B5,BC$1,$B$1)</f>
        <v>0</v>
      </c>
      <c r="BD5" s="125" cm="1">
        <f t="array" ref="BD5">+_xll.EQNXTDZ($A$1,$B5,BD$1,$B$1)</f>
        <v>0</v>
      </c>
      <c r="BE5" s="125" cm="1">
        <f t="array" ref="BE5">+_xll.EQNXTDZ($A$1,$B5,BE$1,$B$1)</f>
        <v>0</v>
      </c>
      <c r="BF5" s="125" cm="1">
        <f t="array" ref="BF5">+_xll.EQNXTDZ($A$1,$B5,BF$1,$B$1)</f>
        <v>0</v>
      </c>
      <c r="BG5" s="125" cm="1">
        <f t="array" ref="BG5">+_xll.EQNXTDZ($A$1,$B5,BG$1,$B$1)</f>
        <v>0</v>
      </c>
      <c r="BH5" s="125" cm="1">
        <f t="array" ref="BH5">+_xll.EQNXTDZ($A$1,$B5,BH$1,$B$1)</f>
        <v>0</v>
      </c>
      <c r="BI5" s="125" cm="1">
        <f t="array" ref="BI5">+_xll.EQNXTDZ($A$1,$B5,BI$1,$B$1)</f>
        <v>0</v>
      </c>
      <c r="BJ5" s="125" cm="1">
        <f t="array" ref="BJ5">+_xll.EQNXTDZ($A$1,$B5,BJ$1,$B$1)</f>
        <v>0</v>
      </c>
      <c r="BK5" s="125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5" cm="1">
        <f t="array" ref="C7">+_xll.EQNXTDZ($A$1,$B7,C$1,$B$1)</f>
        <v>0</v>
      </c>
      <c r="D7" s="125" cm="1">
        <f t="array" ref="D7">+_xll.EQNXTDZ($A$1,$B7,D$1,$B$1)</f>
        <v>0</v>
      </c>
      <c r="E7" s="125" cm="1">
        <f t="array" ref="E7">+_xll.EQNXTDZ($A$1,$B7,E$1,$B$1)</f>
        <v>0</v>
      </c>
      <c r="F7" s="125" cm="1">
        <f t="array" ref="F7">+_xll.EQNXTDZ($A$1,$B7,F$1,$B$1)</f>
        <v>0</v>
      </c>
      <c r="G7" s="125" cm="1">
        <f t="array" ref="G7">+_xll.EQNXTDZ($A$1,$B7,G$1,$B$1)</f>
        <v>0</v>
      </c>
      <c r="H7" s="125" cm="1">
        <f t="array" ref="H7">+_xll.EQNXTDZ($A$1,$B7,H$1,$B$1)</f>
        <v>0</v>
      </c>
      <c r="I7" s="125" cm="1">
        <f t="array" ref="I7">+_xll.EQNXTDZ($A$1,$B7,I$1,$B$1)</f>
        <v>0</v>
      </c>
      <c r="J7" s="125" cm="1">
        <f t="array" ref="J7">+_xll.EQNXTDZ($A$1,$B7,J$1,$B$1)</f>
        <v>0</v>
      </c>
      <c r="K7" s="125" cm="1">
        <f t="array" ref="K7">+_xll.EQNXTDZ($A$1,$B7,K$1,$B$1)</f>
        <v>0</v>
      </c>
      <c r="L7" s="125" cm="1">
        <f t="array" ref="L7">+_xll.EQNXTDZ($A$1,$B7,L$1,$B$1)</f>
        <v>0</v>
      </c>
      <c r="M7" s="125" cm="1">
        <f t="array" ref="M7">+_xll.EQNXTDZ($A$1,$B7,M$1,$B$1)</f>
        <v>201709</v>
      </c>
      <c r="N7" s="125" cm="1">
        <f t="array" ref="N7">+_xll.EQNXTDZ($A$1,$B7,N$1,$B$1)</f>
        <v>201712</v>
      </c>
      <c r="O7" s="125" cm="1">
        <f t="array" ref="O7">+_xll.EQNXTDZ($A$1,$B7,O$1,$B$1)</f>
        <v>201803</v>
      </c>
      <c r="P7" s="125" cm="1">
        <f t="array" ref="P7">+_xll.EQNXTDZ($A$1,$B7,P$1,$B$1)</f>
        <v>201806</v>
      </c>
      <c r="Q7" s="125" cm="1">
        <f t="array" ref="Q7">+_xll.EQNXTDZ($A$1,$B7,Q$1,$B$1)</f>
        <v>201809</v>
      </c>
      <c r="R7" s="125" cm="1">
        <f t="array" ref="R7">+_xll.EQNXTDZ($A$1,$B7,R$1,$B$1)</f>
        <v>201812</v>
      </c>
      <c r="S7" s="125" cm="1">
        <f t="array" ref="S7">+_xll.EQNXTDZ($A$1,$B7,S$1,$B$1)</f>
        <v>201903</v>
      </c>
      <c r="T7" s="125" cm="1">
        <f t="array" ref="T7">+_xll.EQNXTDZ($A$1,$B7,T$1,$B$1)</f>
        <v>201906</v>
      </c>
      <c r="U7" s="125" cm="1">
        <f t="array" ref="U7">+_xll.EQNXTDZ($A$1,$B7,U$1,$B$1)</f>
        <v>201909</v>
      </c>
      <c r="V7" s="125" cm="1">
        <f t="array" ref="V7">+_xll.EQNXTDZ($A$1,$B7,V$1,$B$1)</f>
        <v>201912</v>
      </c>
      <c r="W7" s="125" cm="1">
        <f t="array" ref="W7">+_xll.EQNXTDZ($A$1,$B7,W$1,$B$1)</f>
        <v>202003</v>
      </c>
      <c r="X7" s="125" cm="1">
        <f t="array" ref="X7">+_xll.EQNXTDZ($A$1,$B7,X$1,$B$1)</f>
        <v>202006</v>
      </c>
      <c r="Y7" s="125" cm="1">
        <f t="array" ref="Y7">+_xll.EQNXTDZ($A$1,$B7,Y$1,$B$1)</f>
        <v>202009</v>
      </c>
      <c r="Z7" s="125" cm="1">
        <f t="array" ref="Z7">+_xll.EQNXTDZ($A$1,$B7,Z$1,$B$1)</f>
        <v>202012</v>
      </c>
      <c r="AA7" s="125" cm="1">
        <f t="array" ref="AA7">+_xll.EQNXTDZ($A$1,$B7,AA$1,$B$1)</f>
        <v>202103</v>
      </c>
      <c r="AB7" s="125" cm="1">
        <f t="array" ref="AB7">+_xll.EQNXTDZ($A$1,$B7,AB$1,$B$1)</f>
        <v>202106</v>
      </c>
      <c r="AC7" s="125" cm="1">
        <f t="array" ref="AC7">+_xll.EQNXTDZ($A$1,$B7,AC$1,$B$1)</f>
        <v>202109</v>
      </c>
      <c r="AD7" s="125" cm="1">
        <f t="array" ref="AD7">+_xll.EQNXTDZ($A$1,$B7,AD$1,$B$1)</f>
        <v>202112</v>
      </c>
      <c r="AE7" s="125" cm="1">
        <f t="array" ref="AE7">+_xll.EQNXTDZ($A$1,$B7,AE$1,$B$1)</f>
        <v>202203</v>
      </c>
      <c r="AF7" s="125" cm="1">
        <f t="array" ref="AF7">+_xll.EQNXTDZ($A$1,$B7,AF$1,$B$1)</f>
        <v>202206</v>
      </c>
      <c r="AG7" s="125" cm="1">
        <f t="array" ref="AG7">+_xll.EQNXTDZ($A$1,$B7,AG$1,$B$1)</f>
        <v>202209</v>
      </c>
      <c r="AH7" s="125" cm="1">
        <f t="array" ref="AH7">+_xll.EQNXTDZ($A$1,$B7,AH$1,$B$1)</f>
        <v>202212</v>
      </c>
      <c r="AI7" s="125" cm="1">
        <f t="array" ref="AI7">+_xll.EQNXTDZ($A$1,$B7,AI$1,$B$1)</f>
        <v>202303</v>
      </c>
      <c r="AJ7" s="125" cm="1">
        <f t="array" ref="AJ7">+_xll.EQNXTDZ($A$1,$B7,AJ$1,$B$1)</f>
        <v>202306</v>
      </c>
      <c r="AK7" s="125" cm="1">
        <f t="array" ref="AK7">+_xll.EQNXTDZ($A$1,$B7,AK$1,$B$1)</f>
        <v>202309</v>
      </c>
      <c r="AL7" s="125" cm="1">
        <f t="array" ref="AL7">+_xll.EQNXTDZ($A$1,$B7,AL$1,$B$1)</f>
        <v>202312</v>
      </c>
      <c r="AM7" s="125" cm="1">
        <f t="array" ref="AM7">+_xll.EQNXTDZ($A$1,$B7,AM$1,$B$1)</f>
        <v>202403</v>
      </c>
      <c r="AN7" s="125" cm="1">
        <f t="array" ref="AN7">+_xll.EQNXTDZ($A$1,$B7,AN$1,$B$1)</f>
        <v>202406</v>
      </c>
      <c r="AO7" s="125" cm="1">
        <f t="array" ref="AO7">+_xll.EQNXTDZ($A$1,$B7,AO$1,$B$1)</f>
        <v>202409</v>
      </c>
      <c r="AP7" s="125" cm="1">
        <f t="array" ref="AP7">+_xll.EQNXTDZ($A$1,$B7,AP$1,$B$1)</f>
        <v>202412</v>
      </c>
      <c r="AQ7" s="125" cm="1">
        <f t="array" ref="AQ7">+_xll.EQNXTDZ($A$1,$B7,AQ$1,$B$1)</f>
        <v>202503</v>
      </c>
      <c r="AR7" s="125" cm="1">
        <f t="array" ref="AR7">+_xll.EQNXTDZ($A$1,$B7,AR$1,$B$1)</f>
        <v>202506</v>
      </c>
      <c r="AS7" s="125" cm="1">
        <f t="array" ref="AS7">+_xll.EQNXTDZ($A$1,$B7,AS$1,$B$1)</f>
        <v>202509</v>
      </c>
      <c r="AT7" s="125" cm="1">
        <f t="array" ref="AT7">+_xll.EQNXTDZ($A$1,$B7,AT$1,$B$1)</f>
        <v>202512</v>
      </c>
      <c r="AU7" s="125" cm="1">
        <f t="array" ref="AU7">+_xll.EQNXTDZ($A$1,$B7,AU$1,$B$1)</f>
        <v>202603</v>
      </c>
      <c r="AV7" s="125" cm="1">
        <f t="array" ref="AV7">+_xll.EQNXTDZ($A$1,$B7,AV$1,$B$1)</f>
        <v>0</v>
      </c>
      <c r="AW7" s="125" cm="1">
        <f t="array" ref="AW7">+_xll.EQNXTDZ($A$1,$B7,AW$1,$B$1)</f>
        <v>0</v>
      </c>
      <c r="AX7" s="125" cm="1">
        <f t="array" ref="AX7">+_xll.EQNXTDZ($A$1,$B7,AX$1,$B$1)</f>
        <v>0</v>
      </c>
      <c r="AY7" s="125" cm="1">
        <f t="array" ref="AY7">+_xll.EQNXTDZ($A$1,$B7,AY$1,$B$1)</f>
        <v>0</v>
      </c>
      <c r="AZ7" s="125" cm="1">
        <f t="array" ref="AZ7">+_xll.EQNXTDZ($A$1,$B7,AZ$1,$B$1)</f>
        <v>0</v>
      </c>
      <c r="BA7" s="125" cm="1">
        <f t="array" ref="BA7">+_xll.EQNXTDZ($A$1,$B7,BA$1,$B$1)</f>
        <v>0</v>
      </c>
      <c r="BB7" s="125" cm="1">
        <f t="array" ref="BB7">+_xll.EQNXTDZ($A$1,$B7,BB$1,$B$1)</f>
        <v>0</v>
      </c>
      <c r="BC7" s="125" cm="1">
        <f t="array" ref="BC7">+_xll.EQNXTDZ($A$1,$B7,BC$1,$B$1)</f>
        <v>0</v>
      </c>
      <c r="BD7" s="125" cm="1">
        <f t="array" ref="BD7">+_xll.EQNXTDZ($A$1,$B7,BD$1,$B$1)</f>
        <v>0</v>
      </c>
      <c r="BE7" s="125" cm="1">
        <f t="array" ref="BE7">+_xll.EQNXTDZ($A$1,$B7,BE$1,$B$1)</f>
        <v>0</v>
      </c>
      <c r="BF7" s="125" cm="1">
        <f t="array" ref="BF7">+_xll.EQNXTDZ($A$1,$B7,BF$1,$B$1)</f>
        <v>0</v>
      </c>
      <c r="BG7" s="125" cm="1">
        <f t="array" ref="BG7">+_xll.EQNXTDZ($A$1,$B7,BG$1,$B$1)</f>
        <v>0</v>
      </c>
      <c r="BH7" s="125" cm="1">
        <f t="array" ref="BH7">+_xll.EQNXTDZ($A$1,$B7,BH$1,$B$1)</f>
        <v>0</v>
      </c>
      <c r="BI7" s="125" cm="1">
        <f t="array" ref="BI7">+_xll.EQNXTDZ($A$1,$B7,BI$1,$B$1)</f>
        <v>0</v>
      </c>
      <c r="BJ7" s="125" cm="1">
        <f t="array" ref="BJ7">+_xll.EQNXTDZ($A$1,$B7,BJ$1,$B$1)</f>
        <v>0</v>
      </c>
      <c r="BK7" s="125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5" cm="1">
        <f t="array" ref="C8">+_xll.EQNXTDZ($A$1,$B8,C$1,$B$1)</f>
        <v>0</v>
      </c>
      <c r="D8" s="125" cm="1">
        <f t="array" ref="D8">+_xll.EQNXTDZ($A$1,$B8,D$1,$B$1)</f>
        <v>0</v>
      </c>
      <c r="E8" s="125" cm="1">
        <f t="array" ref="E8">+_xll.EQNXTDZ($A$1,$B8,E$1,$B$1)</f>
        <v>0</v>
      </c>
      <c r="F8" s="125" cm="1">
        <f t="array" ref="F8">+_xll.EQNXTDZ($A$1,$B8,F$1,$B$1)</f>
        <v>0</v>
      </c>
      <c r="G8" s="125" cm="1">
        <f t="array" ref="G8">+_xll.EQNXTDZ($A$1,$B8,G$1,$B$1)</f>
        <v>0</v>
      </c>
      <c r="H8" s="125" cm="1">
        <f t="array" ref="H8">+_xll.EQNXTDZ($A$1,$B8,H$1,$B$1)</f>
        <v>0</v>
      </c>
      <c r="I8" s="125" cm="1">
        <f t="array" ref="I8">+_xll.EQNXTDZ($A$1,$B8,I$1,$B$1)</f>
        <v>0</v>
      </c>
      <c r="J8" s="125" cm="1">
        <f t="array" ref="J8">+_xll.EQNXTDZ($A$1,$B8,J$1,$B$1)</f>
        <v>0</v>
      </c>
      <c r="K8" s="125" cm="1">
        <f t="array" ref="K8">+_xll.EQNXTDZ($A$1,$B8,K$1,$B$1)</f>
        <v>0</v>
      </c>
      <c r="L8" s="125" cm="1">
        <f t="array" ref="L8">+_xll.EQNXTDZ($A$1,$B8,L$1,$B$1)</f>
        <v>0</v>
      </c>
      <c r="M8" s="125" cm="1">
        <f t="array" ref="M8">+_xll.EQNXTDZ($A$1,$B8,M$1,$B$1)</f>
        <v>213.85</v>
      </c>
      <c r="N8" s="125" cm="1">
        <f t="array" ref="N8">+_xll.EQNXTDZ($A$1,$B8,N$1,$B$1)</f>
        <v>223.95</v>
      </c>
      <c r="O8" s="125" cm="1">
        <f t="array" ref="O8">+_xll.EQNXTDZ($A$1,$B8,O$1,$B$1)</f>
        <v>249.92</v>
      </c>
      <c r="P8" s="125" cm="1">
        <f t="array" ref="P8">+_xll.EQNXTDZ($A$1,$B8,P$1,$B$1)</f>
        <v>285.76</v>
      </c>
      <c r="Q8" s="125" cm="1">
        <f t="array" ref="Q8">+_xll.EQNXTDZ($A$1,$B8,Q$1,$B$1)</f>
        <v>308.42</v>
      </c>
      <c r="R8" s="125" cm="1">
        <f t="array" ref="R8">+_xll.EQNXTDZ($A$1,$B8,R$1,$B$1)</f>
        <v>348.45</v>
      </c>
      <c r="S8" s="125" cm="1">
        <f t="array" ref="S8">+_xll.EQNXTDZ($A$1,$B8,S$1,$B$1)</f>
        <v>333.96</v>
      </c>
      <c r="T8" s="125" cm="1">
        <f t="array" ref="T8">+_xll.EQNXTDZ($A$1,$B8,T$1,$B$1)</f>
        <v>374.94</v>
      </c>
      <c r="U8" s="125" cm="1">
        <f t="array" ref="U8">+_xll.EQNXTDZ($A$1,$B8,U$1,$B$1)</f>
        <v>391.83</v>
      </c>
      <c r="V8" s="125" cm="1">
        <f t="array" ref="V8">+_xll.EQNXTDZ($A$1,$B8,V$1,$B$1)</f>
        <v>452</v>
      </c>
      <c r="W8" s="125" cm="1">
        <f t="array" ref="W8">+_xll.EQNXTDZ($A$1,$B8,W$1,$B$1)</f>
        <v>475.97</v>
      </c>
      <c r="X8" s="125" cm="1">
        <f t="array" ref="X8">+_xll.EQNXTDZ($A$1,$B8,X$1,$B$1)</f>
        <v>618.97</v>
      </c>
      <c r="Y8" s="125" cm="1">
        <f t="array" ref="Y8">+_xll.EQNXTDZ($A$1,$B8,Y$1,$B$1)</f>
        <v>574.57000000000005</v>
      </c>
      <c r="Z8" s="125" cm="1">
        <f t="array" ref="Z8">+_xll.EQNXTDZ($A$1,$B8,Z$1,$B$1)</f>
        <v>538.58000000000004</v>
      </c>
      <c r="AA8" s="125" cm="1">
        <f t="array" ref="AA8">+_xll.EQNXTDZ($A$1,$B8,AA$1,$B$1)</f>
        <v>699.58</v>
      </c>
      <c r="AB8" s="125" cm="1">
        <f t="array" ref="AB8">+_xll.EQNXTDZ($A$1,$B8,AB$1,$B$1)</f>
        <v>611.07000000000005</v>
      </c>
      <c r="AC8" s="125" cm="1">
        <f t="array" ref="AC8">+_xll.EQNXTDZ($A$1,$B8,AC$1,$B$1)</f>
        <v>603.79999999999995</v>
      </c>
      <c r="AD8" s="125" cm="1">
        <f t="array" ref="AD8">+_xll.EQNXTDZ($A$1,$B8,AD$1,$B$1)</f>
        <v>658.17</v>
      </c>
      <c r="AE8" s="125" cm="1">
        <f t="array" ref="AE8">+_xll.EQNXTDZ($A$1,$B8,AE$1,$B$1)</f>
        <v>795.34</v>
      </c>
      <c r="AF8" s="125" cm="1">
        <f t="array" ref="AF8">+_xll.EQNXTDZ($A$1,$B8,AF$1,$B$1)</f>
        <v>749.23</v>
      </c>
      <c r="AG8" s="125" cm="1">
        <f t="array" ref="AG8">+_xll.EQNXTDZ($A$1,$B8,AG$1,$B$1)</f>
        <v>797.76</v>
      </c>
      <c r="AH8" s="125" cm="1">
        <f t="array" ref="AH8">+_xll.EQNXTDZ($A$1,$B8,AH$1,$B$1)</f>
        <v>891.41</v>
      </c>
      <c r="AI8" s="125" cm="1">
        <f t="array" ref="AI8">+_xll.EQNXTDZ($A$1,$B8,AI$1,$B$1)</f>
        <v>1048.6300000000001</v>
      </c>
      <c r="AJ8" s="125" cm="1">
        <f t="array" ref="AJ8">+_xll.EQNXTDZ($A$1,$B8,AJ$1,$B$1)</f>
        <v>1157.99</v>
      </c>
      <c r="AK8" s="125" cm="1">
        <f t="array" ref="AK8">+_xll.EQNXTDZ($A$1,$B8,AK$1,$B$1)</f>
        <v>1235.23</v>
      </c>
      <c r="AL8" s="125" cm="1">
        <f t="array" ref="AL8">+_xll.EQNXTDZ($A$1,$B8,AL$1,$B$1)</f>
        <v>1281.27</v>
      </c>
      <c r="AM8" s="125" cm="1">
        <f t="array" ref="AM8">+_xll.EQNXTDZ($A$1,$B8,AM$1,$B$1)</f>
        <v>1444.49</v>
      </c>
      <c r="AN8" s="125" cm="1">
        <f t="array" ref="AN8">+_xll.EQNXTDZ($A$1,$B8,AN$1,$B$1)</f>
        <v>1503.9</v>
      </c>
      <c r="AO8" s="125" cm="1">
        <f t="array" ref="AO8">+_xll.EQNXTDZ($A$1,$B8,AO$1,$B$1)</f>
        <v>1446.04</v>
      </c>
      <c r="AP8" s="125" cm="1">
        <f t="array" ref="AP8">+_xll.EQNXTDZ($A$1,$B8,AP$1,$B$1)</f>
        <v>1375.19</v>
      </c>
      <c r="AQ8" s="125" cm="1">
        <f t="array" ref="AQ8">+_xll.EQNXTDZ($A$1,$B8,AQ$1,$B$1)</f>
        <v>1398.18</v>
      </c>
      <c r="AR8" s="125" cm="1">
        <f t="array" ref="AR8">+_xll.EQNXTDZ($A$1,$B8,AR$1,$B$1)</f>
        <v>1454.63</v>
      </c>
      <c r="AS8" s="125" cm="1">
        <f t="array" ref="AS8">+_xll.EQNXTDZ($A$1,$B8,AS$1,$B$1)</f>
        <v>1491.98</v>
      </c>
      <c r="AT8" s="125" cm="1">
        <f t="array" ref="AT8">+_xll.EQNXTDZ($A$1,$B8,AT$1,$B$1)</f>
        <v>1477.94</v>
      </c>
      <c r="AU8" s="125" cm="1">
        <f t="array" ref="AU8">+_xll.EQNXTDZ($A$1,$B8,AU$1,$B$1)</f>
        <v>1585.48</v>
      </c>
      <c r="AV8" s="125" cm="1">
        <f t="array" ref="AV8">+_xll.EQNXTDZ($A$1,$B8,AV$1,$B$1)</f>
        <v>0</v>
      </c>
      <c r="AW8" s="125" cm="1">
        <f t="array" ref="AW8">+_xll.EQNXTDZ($A$1,$B8,AW$1,$B$1)</f>
        <v>0</v>
      </c>
      <c r="AX8" s="125" cm="1">
        <f t="array" ref="AX8">+_xll.EQNXTDZ($A$1,$B8,AX$1,$B$1)</f>
        <v>0</v>
      </c>
      <c r="AY8" s="125" cm="1">
        <f t="array" ref="AY8">+_xll.EQNXTDZ($A$1,$B8,AY$1,$B$1)</f>
        <v>0</v>
      </c>
      <c r="AZ8" s="125" cm="1">
        <f t="array" ref="AZ8">+_xll.EQNXTDZ($A$1,$B8,AZ$1,$B$1)</f>
        <v>0</v>
      </c>
      <c r="BA8" s="125" cm="1">
        <f t="array" ref="BA8">+_xll.EQNXTDZ($A$1,$B8,BA$1,$B$1)</f>
        <v>0</v>
      </c>
      <c r="BB8" s="125" cm="1">
        <f t="array" ref="BB8">+_xll.EQNXTDZ($A$1,$B8,BB$1,$B$1)</f>
        <v>0</v>
      </c>
      <c r="BC8" s="125" cm="1">
        <f t="array" ref="BC8">+_xll.EQNXTDZ($A$1,$B8,BC$1,$B$1)</f>
        <v>0</v>
      </c>
      <c r="BD8" s="125" cm="1">
        <f t="array" ref="BD8">+_xll.EQNXTDZ($A$1,$B8,BD$1,$B$1)</f>
        <v>0</v>
      </c>
      <c r="BE8" s="125" cm="1">
        <f t="array" ref="BE8">+_xll.EQNXTDZ($A$1,$B8,BE$1,$B$1)</f>
        <v>0</v>
      </c>
      <c r="BF8" s="125" cm="1">
        <f t="array" ref="BF8">+_xll.EQNXTDZ($A$1,$B8,BF$1,$B$1)</f>
        <v>0</v>
      </c>
      <c r="BG8" s="125" cm="1">
        <f t="array" ref="BG8">+_xll.EQNXTDZ($A$1,$B8,BG$1,$B$1)</f>
        <v>0</v>
      </c>
      <c r="BH8" s="125" cm="1">
        <f t="array" ref="BH8">+_xll.EQNXTDZ($A$1,$B8,BH$1,$B$1)</f>
        <v>0</v>
      </c>
      <c r="BI8" s="125" cm="1">
        <f t="array" ref="BI8">+_xll.EQNXTDZ($A$1,$B8,BI$1,$B$1)</f>
        <v>0</v>
      </c>
      <c r="BJ8" s="125" cm="1">
        <f t="array" ref="BJ8">+_xll.EQNXTDZ($A$1,$B8,BJ$1,$B$1)</f>
        <v>0</v>
      </c>
      <c r="BK8" s="125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5" cm="1">
        <f t="array" ref="C9">+_xll.EQNXTDZ($A$1,$B9,C$1,$B$1)</f>
        <v>0</v>
      </c>
      <c r="D9" s="125" cm="1">
        <f t="array" ref="D9">+_xll.EQNXTDZ($A$1,$B9,D$1,$B$1)</f>
        <v>0</v>
      </c>
      <c r="E9" s="125" cm="1">
        <f t="array" ref="E9">+_xll.EQNXTDZ($A$1,$B9,E$1,$B$1)</f>
        <v>0</v>
      </c>
      <c r="F9" s="125" cm="1">
        <f t="array" ref="F9">+_xll.EQNXTDZ($A$1,$B9,F$1,$B$1)</f>
        <v>0</v>
      </c>
      <c r="G9" s="125" cm="1">
        <f t="array" ref="G9">+_xll.EQNXTDZ($A$1,$B9,G$1,$B$1)</f>
        <v>0</v>
      </c>
      <c r="H9" s="125" cm="1">
        <f t="array" ref="H9">+_xll.EQNXTDZ($A$1,$B9,H$1,$B$1)</f>
        <v>0</v>
      </c>
      <c r="I9" s="125" cm="1">
        <f t="array" ref="I9">+_xll.EQNXTDZ($A$1,$B9,I$1,$B$1)</f>
        <v>0</v>
      </c>
      <c r="J9" s="125" cm="1">
        <f t="array" ref="J9">+_xll.EQNXTDZ($A$1,$B9,J$1,$B$1)</f>
        <v>0</v>
      </c>
      <c r="K9" s="125" cm="1">
        <f t="array" ref="K9">+_xll.EQNXTDZ($A$1,$B9,K$1,$B$1)</f>
        <v>0</v>
      </c>
      <c r="L9" s="125" cm="1">
        <f t="array" ref="L9">+_xll.EQNXTDZ($A$1,$B9,L$1,$B$1)</f>
        <v>0</v>
      </c>
      <c r="M9" s="125" cm="1">
        <f t="array" ref="M9">+_xll.EQNXTDZ($A$1,$B9,M$1,$B$1)</f>
        <v>213.85</v>
      </c>
      <c r="N9" s="125" cm="1">
        <f t="array" ref="N9">+_xll.EQNXTDZ($A$1,$B9,N$1,$B$1)</f>
        <v>223.95</v>
      </c>
      <c r="O9" s="125" cm="1">
        <f t="array" ref="O9">+_xll.EQNXTDZ($A$1,$B9,O$1,$B$1)</f>
        <v>249.92</v>
      </c>
      <c r="P9" s="125" cm="1">
        <f t="array" ref="P9">+_xll.EQNXTDZ($A$1,$B9,P$1,$B$1)</f>
        <v>285.76</v>
      </c>
      <c r="Q9" s="125" cm="1">
        <f t="array" ref="Q9">+_xll.EQNXTDZ($A$1,$B9,Q$1,$B$1)</f>
        <v>308.42</v>
      </c>
      <c r="R9" s="125" cm="1">
        <f t="array" ref="R9">+_xll.EQNXTDZ($A$1,$B9,R$1,$B$1)</f>
        <v>348.45</v>
      </c>
      <c r="S9" s="125" cm="1">
        <f t="array" ref="S9">+_xll.EQNXTDZ($A$1,$B9,S$1,$B$1)</f>
        <v>333.96</v>
      </c>
      <c r="T9" s="125" cm="1">
        <f t="array" ref="T9">+_xll.EQNXTDZ($A$1,$B9,T$1,$B$1)</f>
        <v>374.94</v>
      </c>
      <c r="U9" s="125" cm="1">
        <f t="array" ref="U9">+_xll.EQNXTDZ($A$1,$B9,U$1,$B$1)</f>
        <v>391.83</v>
      </c>
      <c r="V9" s="125" cm="1">
        <f t="array" ref="V9">+_xll.EQNXTDZ($A$1,$B9,V$1,$B$1)</f>
        <v>452</v>
      </c>
      <c r="W9" s="125" cm="1">
        <f t="array" ref="W9">+_xll.EQNXTDZ($A$1,$B9,W$1,$B$1)</f>
        <v>475.97</v>
      </c>
      <c r="X9" s="125" cm="1">
        <f t="array" ref="X9">+_xll.EQNXTDZ($A$1,$B9,X$1,$B$1)</f>
        <v>618.97</v>
      </c>
      <c r="Y9" s="125" cm="1">
        <f t="array" ref="Y9">+_xll.EQNXTDZ($A$1,$B9,Y$1,$B$1)</f>
        <v>574.57000000000005</v>
      </c>
      <c r="Z9" s="125" cm="1">
        <f t="array" ref="Z9">+_xll.EQNXTDZ($A$1,$B9,Z$1,$B$1)</f>
        <v>538.58000000000004</v>
      </c>
      <c r="AA9" s="125" cm="1">
        <f t="array" ref="AA9">+_xll.EQNXTDZ($A$1,$B9,AA$1,$B$1)</f>
        <v>699.58</v>
      </c>
      <c r="AB9" s="125" cm="1">
        <f t="array" ref="AB9">+_xll.EQNXTDZ($A$1,$B9,AB$1,$B$1)</f>
        <v>611.07000000000005</v>
      </c>
      <c r="AC9" s="125" cm="1">
        <f t="array" ref="AC9">+_xll.EQNXTDZ($A$1,$B9,AC$1,$B$1)</f>
        <v>603.79999999999995</v>
      </c>
      <c r="AD9" s="125" cm="1">
        <f t="array" ref="AD9">+_xll.EQNXTDZ($A$1,$B9,AD$1,$B$1)</f>
        <v>658.17</v>
      </c>
      <c r="AE9" s="125" cm="1">
        <f t="array" ref="AE9">+_xll.EQNXTDZ($A$1,$B9,AE$1,$B$1)</f>
        <v>795.34</v>
      </c>
      <c r="AF9" s="125" cm="1">
        <f t="array" ref="AF9">+_xll.EQNXTDZ($A$1,$B9,AF$1,$B$1)</f>
        <v>749.23</v>
      </c>
      <c r="AG9" s="125" cm="1">
        <f t="array" ref="AG9">+_xll.EQNXTDZ($A$1,$B9,AG$1,$B$1)</f>
        <v>797.76</v>
      </c>
      <c r="AH9" s="125" cm="1">
        <f t="array" ref="AH9">+_xll.EQNXTDZ($A$1,$B9,AH$1,$B$1)</f>
        <v>891.41</v>
      </c>
      <c r="AI9" s="125" cm="1">
        <f t="array" ref="AI9">+_xll.EQNXTDZ($A$1,$B9,AI$1,$B$1)</f>
        <v>1048.6300000000001</v>
      </c>
      <c r="AJ9" s="125" cm="1">
        <f t="array" ref="AJ9">+_xll.EQNXTDZ($A$1,$B9,AJ$1,$B$1)</f>
        <v>1157.99</v>
      </c>
      <c r="AK9" s="125" cm="1">
        <f t="array" ref="AK9">+_xll.EQNXTDZ($A$1,$B9,AK$1,$B$1)</f>
        <v>1235.23</v>
      </c>
      <c r="AL9" s="125" cm="1">
        <f t="array" ref="AL9">+_xll.EQNXTDZ($A$1,$B9,AL$1,$B$1)</f>
        <v>1281.27</v>
      </c>
      <c r="AM9" s="125" cm="1">
        <f t="array" ref="AM9">+_xll.EQNXTDZ($A$1,$B9,AM$1,$B$1)</f>
        <v>1444.49</v>
      </c>
      <c r="AN9" s="125" cm="1">
        <f t="array" ref="AN9">+_xll.EQNXTDZ($A$1,$B9,AN$1,$B$1)</f>
        <v>1503.9</v>
      </c>
      <c r="AO9" s="125" cm="1">
        <f t="array" ref="AO9">+_xll.EQNXTDZ($A$1,$B9,AO$1,$B$1)</f>
        <v>1446.04</v>
      </c>
      <c r="AP9" s="125" cm="1">
        <f t="array" ref="AP9">+_xll.EQNXTDZ($A$1,$B9,AP$1,$B$1)</f>
        <v>1375.19</v>
      </c>
      <c r="AQ9" s="125" cm="1">
        <f t="array" ref="AQ9">+_xll.EQNXTDZ($A$1,$B9,AQ$1,$B$1)</f>
        <v>1398.18</v>
      </c>
      <c r="AR9" s="125" cm="1">
        <f t="array" ref="AR9">+_xll.EQNXTDZ($A$1,$B9,AR$1,$B$1)</f>
        <v>1454.63</v>
      </c>
      <c r="AS9" s="125" cm="1">
        <f t="array" ref="AS9">+_xll.EQNXTDZ($A$1,$B9,AS$1,$B$1)</f>
        <v>1491.98</v>
      </c>
      <c r="AT9" s="125" cm="1">
        <f t="array" ref="AT9">+_xll.EQNXTDZ($A$1,$B9,AT$1,$B$1)</f>
        <v>1477.94</v>
      </c>
      <c r="AU9" s="125" cm="1">
        <f t="array" ref="AU9">+_xll.EQNXTDZ($A$1,$B9,AU$1,$B$1)</f>
        <v>1585.48</v>
      </c>
      <c r="AV9" s="125" cm="1">
        <f t="array" ref="AV9">+_xll.EQNXTDZ($A$1,$B9,AV$1,$B$1)</f>
        <v>0</v>
      </c>
      <c r="AW9" s="125" cm="1">
        <f t="array" ref="AW9">+_xll.EQNXTDZ($A$1,$B9,AW$1,$B$1)</f>
        <v>0</v>
      </c>
      <c r="AX9" s="125" cm="1">
        <f t="array" ref="AX9">+_xll.EQNXTDZ($A$1,$B9,AX$1,$B$1)</f>
        <v>0</v>
      </c>
      <c r="AY9" s="125" cm="1">
        <f t="array" ref="AY9">+_xll.EQNXTDZ($A$1,$B9,AY$1,$B$1)</f>
        <v>0</v>
      </c>
      <c r="AZ9" s="125" cm="1">
        <f t="array" ref="AZ9">+_xll.EQNXTDZ($A$1,$B9,AZ$1,$B$1)</f>
        <v>0</v>
      </c>
      <c r="BA9" s="125" cm="1">
        <f t="array" ref="BA9">+_xll.EQNXTDZ($A$1,$B9,BA$1,$B$1)</f>
        <v>0</v>
      </c>
      <c r="BB9" s="125" cm="1">
        <f t="array" ref="BB9">+_xll.EQNXTDZ($A$1,$B9,BB$1,$B$1)</f>
        <v>0</v>
      </c>
      <c r="BC9" s="125" cm="1">
        <f t="array" ref="BC9">+_xll.EQNXTDZ($A$1,$B9,BC$1,$B$1)</f>
        <v>0</v>
      </c>
      <c r="BD9" s="125" cm="1">
        <f t="array" ref="BD9">+_xll.EQNXTDZ($A$1,$B9,BD$1,$B$1)</f>
        <v>0</v>
      </c>
      <c r="BE9" s="125" cm="1">
        <f t="array" ref="BE9">+_xll.EQNXTDZ($A$1,$B9,BE$1,$B$1)</f>
        <v>0</v>
      </c>
      <c r="BF9" s="125" cm="1">
        <f t="array" ref="BF9">+_xll.EQNXTDZ($A$1,$B9,BF$1,$B$1)</f>
        <v>0</v>
      </c>
      <c r="BG9" s="125" cm="1">
        <f t="array" ref="BG9">+_xll.EQNXTDZ($A$1,$B9,BG$1,$B$1)</f>
        <v>0</v>
      </c>
      <c r="BH9" s="125" cm="1">
        <f t="array" ref="BH9">+_xll.EQNXTDZ($A$1,$B9,BH$1,$B$1)</f>
        <v>0</v>
      </c>
      <c r="BI9" s="125" cm="1">
        <f t="array" ref="BI9">+_xll.EQNXTDZ($A$1,$B9,BI$1,$B$1)</f>
        <v>0</v>
      </c>
      <c r="BJ9" s="125" cm="1">
        <f t="array" ref="BJ9">+_xll.EQNXTDZ($A$1,$B9,BJ$1,$B$1)</f>
        <v>0</v>
      </c>
      <c r="BK9" s="125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5" cm="1">
        <f t="array" ref="C10">+_xll.EQNXTDZ($A$1,$B10,C$1,$B$1)</f>
        <v>0</v>
      </c>
      <c r="D10" s="125" cm="1">
        <f t="array" ref="D10">+_xll.EQNXTDZ($A$1,$B10,D$1,$B$1)</f>
        <v>0</v>
      </c>
      <c r="E10" s="125" cm="1">
        <f t="array" ref="E10">+_xll.EQNXTDZ($A$1,$B10,E$1,$B$1)</f>
        <v>0</v>
      </c>
      <c r="F10" s="125" cm="1">
        <f t="array" ref="F10">+_xll.EQNXTDZ($A$1,$B10,F$1,$B$1)</f>
        <v>0</v>
      </c>
      <c r="G10" s="125" cm="1">
        <f t="array" ref="G10">+_xll.EQNXTDZ($A$1,$B10,G$1,$B$1)</f>
        <v>0</v>
      </c>
      <c r="H10" s="125" cm="1">
        <f t="array" ref="H10">+_xll.EQNXTDZ($A$1,$B10,H$1,$B$1)</f>
        <v>0</v>
      </c>
      <c r="I10" s="125" cm="1">
        <f t="array" ref="I10">+_xll.EQNXTDZ($A$1,$B10,I$1,$B$1)</f>
        <v>0</v>
      </c>
      <c r="J10" s="125" cm="1">
        <f t="array" ref="J10">+_xll.EQNXTDZ($A$1,$B10,J$1,$B$1)</f>
        <v>0</v>
      </c>
      <c r="K10" s="125" cm="1">
        <f t="array" ref="K10">+_xll.EQNXTDZ($A$1,$B10,K$1,$B$1)</f>
        <v>0</v>
      </c>
      <c r="L10" s="125" cm="1">
        <f t="array" ref="L10">+_xll.EQNXTDZ($A$1,$B10,L$1,$B$1)</f>
        <v>0</v>
      </c>
      <c r="M10" s="125" cm="1">
        <f t="array" ref="M10">+_xll.EQNXTDZ($A$1,$B10,M$1,$B$1)</f>
        <v>0</v>
      </c>
      <c r="N10" s="125" cm="1">
        <f t="array" ref="N10">+_xll.EQNXTDZ($A$1,$B10,N$1,$B$1)</f>
        <v>0</v>
      </c>
      <c r="O10" s="125" cm="1">
        <f t="array" ref="O10">+_xll.EQNXTDZ($A$1,$B10,O$1,$B$1)</f>
        <v>0</v>
      </c>
      <c r="P10" s="125" cm="1">
        <f t="array" ref="P10">+_xll.EQNXTDZ($A$1,$B10,P$1,$B$1)</f>
        <v>0</v>
      </c>
      <c r="Q10" s="125" cm="1">
        <f t="array" ref="Q10">+_xll.EQNXTDZ($A$1,$B10,Q$1,$B$1)</f>
        <v>0</v>
      </c>
      <c r="R10" s="125" cm="1">
        <f t="array" ref="R10">+_xll.EQNXTDZ($A$1,$B10,R$1,$B$1)</f>
        <v>0</v>
      </c>
      <c r="S10" s="125" cm="1">
        <f t="array" ref="S10">+_xll.EQNXTDZ($A$1,$B10,S$1,$B$1)</f>
        <v>0</v>
      </c>
      <c r="T10" s="125" cm="1">
        <f t="array" ref="T10">+_xll.EQNXTDZ($A$1,$B10,T$1,$B$1)</f>
        <v>0</v>
      </c>
      <c r="U10" s="125" cm="1">
        <f t="array" ref="U10">+_xll.EQNXTDZ($A$1,$B10,U$1,$B$1)</f>
        <v>0</v>
      </c>
      <c r="V10" s="125" cm="1">
        <f t="array" ref="V10">+_xll.EQNXTDZ($A$1,$B10,V$1,$B$1)</f>
        <v>0</v>
      </c>
      <c r="W10" s="125" cm="1">
        <f t="array" ref="W10">+_xll.EQNXTDZ($A$1,$B10,W$1,$B$1)</f>
        <v>0</v>
      </c>
      <c r="X10" s="125" cm="1">
        <f t="array" ref="X10">+_xll.EQNXTDZ($A$1,$B10,X$1,$B$1)</f>
        <v>0</v>
      </c>
      <c r="Y10" s="125" cm="1">
        <f t="array" ref="Y10">+_xll.EQNXTDZ($A$1,$B10,Y$1,$B$1)</f>
        <v>0</v>
      </c>
      <c r="Z10" s="125" cm="1">
        <f t="array" ref="Z10">+_xll.EQNXTDZ($A$1,$B10,Z$1,$B$1)</f>
        <v>0</v>
      </c>
      <c r="AA10" s="125" cm="1">
        <f t="array" ref="AA10">+_xll.EQNXTDZ($A$1,$B10,AA$1,$B$1)</f>
        <v>0</v>
      </c>
      <c r="AB10" s="125" cm="1">
        <f t="array" ref="AB10">+_xll.EQNXTDZ($A$1,$B10,AB$1,$B$1)</f>
        <v>0</v>
      </c>
      <c r="AC10" s="125" cm="1">
        <f t="array" ref="AC10">+_xll.EQNXTDZ($A$1,$B10,AC$1,$B$1)</f>
        <v>0</v>
      </c>
      <c r="AD10" s="125" cm="1">
        <f t="array" ref="AD10">+_xll.EQNXTDZ($A$1,$B10,AD$1,$B$1)</f>
        <v>0</v>
      </c>
      <c r="AE10" s="125" cm="1">
        <f t="array" ref="AE10">+_xll.EQNXTDZ($A$1,$B10,AE$1,$B$1)</f>
        <v>0</v>
      </c>
      <c r="AF10" s="125" cm="1">
        <f t="array" ref="AF10">+_xll.EQNXTDZ($A$1,$B10,AF$1,$B$1)</f>
        <v>0</v>
      </c>
      <c r="AG10" s="125" cm="1">
        <f t="array" ref="AG10">+_xll.EQNXTDZ($A$1,$B10,AG$1,$B$1)</f>
        <v>0</v>
      </c>
      <c r="AH10" s="125" cm="1">
        <f t="array" ref="AH10">+_xll.EQNXTDZ($A$1,$B10,AH$1,$B$1)</f>
        <v>0</v>
      </c>
      <c r="AI10" s="125" cm="1">
        <f t="array" ref="AI10">+_xll.EQNXTDZ($A$1,$B10,AI$1,$B$1)</f>
        <v>0</v>
      </c>
      <c r="AJ10" s="125" cm="1">
        <f t="array" ref="AJ10">+_xll.EQNXTDZ($A$1,$B10,AJ$1,$B$1)</f>
        <v>0</v>
      </c>
      <c r="AK10" s="125" cm="1">
        <f t="array" ref="AK10">+_xll.EQNXTDZ($A$1,$B10,AK$1,$B$1)</f>
        <v>0</v>
      </c>
      <c r="AL10" s="125" cm="1">
        <f t="array" ref="AL10">+_xll.EQNXTDZ($A$1,$B10,AL$1,$B$1)</f>
        <v>0</v>
      </c>
      <c r="AM10" s="125" cm="1">
        <f t="array" ref="AM10">+_xll.EQNXTDZ($A$1,$B10,AM$1,$B$1)</f>
        <v>0</v>
      </c>
      <c r="AN10" s="125" cm="1">
        <f t="array" ref="AN10">+_xll.EQNXTDZ($A$1,$B10,AN$1,$B$1)</f>
        <v>0</v>
      </c>
      <c r="AO10" s="125" cm="1">
        <f t="array" ref="AO10">+_xll.EQNXTDZ($A$1,$B10,AO$1,$B$1)</f>
        <v>0</v>
      </c>
      <c r="AP10" s="125" cm="1">
        <f t="array" ref="AP10">+_xll.EQNXTDZ($A$1,$B10,AP$1,$B$1)</f>
        <v>0</v>
      </c>
      <c r="AQ10" s="125" cm="1">
        <f t="array" ref="AQ10">+_xll.EQNXTDZ($A$1,$B10,AQ$1,$B$1)</f>
        <v>0</v>
      </c>
      <c r="AR10" s="125" cm="1">
        <f t="array" ref="AR10">+_xll.EQNXTDZ($A$1,$B10,AR$1,$B$1)</f>
        <v>0</v>
      </c>
      <c r="AS10" s="125" cm="1">
        <f t="array" ref="AS10">+_xll.EQNXTDZ($A$1,$B10,AS$1,$B$1)</f>
        <v>0</v>
      </c>
      <c r="AT10" s="125" cm="1">
        <f t="array" ref="AT10">+_xll.EQNXTDZ($A$1,$B10,AT$1,$B$1)</f>
        <v>0</v>
      </c>
      <c r="AU10" s="125" cm="1">
        <f t="array" ref="AU10">+_xll.EQNXTDZ($A$1,$B10,AU$1,$B$1)</f>
        <v>0</v>
      </c>
      <c r="AV10" s="125" cm="1">
        <f t="array" ref="AV10">+_xll.EQNXTDZ($A$1,$B10,AV$1,$B$1)</f>
        <v>0</v>
      </c>
      <c r="AW10" s="125" cm="1">
        <f t="array" ref="AW10">+_xll.EQNXTDZ($A$1,$B10,AW$1,$B$1)</f>
        <v>0</v>
      </c>
      <c r="AX10" s="125" cm="1">
        <f t="array" ref="AX10">+_xll.EQNXTDZ($A$1,$B10,AX$1,$B$1)</f>
        <v>0</v>
      </c>
      <c r="AY10" s="125" cm="1">
        <f t="array" ref="AY10">+_xll.EQNXTDZ($A$1,$B10,AY$1,$B$1)</f>
        <v>0</v>
      </c>
      <c r="AZ10" s="125" cm="1">
        <f t="array" ref="AZ10">+_xll.EQNXTDZ($A$1,$B10,AZ$1,$B$1)</f>
        <v>0</v>
      </c>
      <c r="BA10" s="125" cm="1">
        <f t="array" ref="BA10">+_xll.EQNXTDZ($A$1,$B10,BA$1,$B$1)</f>
        <v>0</v>
      </c>
      <c r="BB10" s="125" cm="1">
        <f t="array" ref="BB10">+_xll.EQNXTDZ($A$1,$B10,BB$1,$B$1)</f>
        <v>0</v>
      </c>
      <c r="BC10" s="125" cm="1">
        <f t="array" ref="BC10">+_xll.EQNXTDZ($A$1,$B10,BC$1,$B$1)</f>
        <v>0</v>
      </c>
      <c r="BD10" s="125" cm="1">
        <f t="array" ref="BD10">+_xll.EQNXTDZ($A$1,$B10,BD$1,$B$1)</f>
        <v>0</v>
      </c>
      <c r="BE10" s="125" cm="1">
        <f t="array" ref="BE10">+_xll.EQNXTDZ($A$1,$B10,BE$1,$B$1)</f>
        <v>0</v>
      </c>
      <c r="BF10" s="125" cm="1">
        <f t="array" ref="BF10">+_xll.EQNXTDZ($A$1,$B10,BF$1,$B$1)</f>
        <v>0</v>
      </c>
      <c r="BG10" s="125" cm="1">
        <f t="array" ref="BG10">+_xll.EQNXTDZ($A$1,$B10,BG$1,$B$1)</f>
        <v>0</v>
      </c>
      <c r="BH10" s="125" cm="1">
        <f t="array" ref="BH10">+_xll.EQNXTDZ($A$1,$B10,BH$1,$B$1)</f>
        <v>0</v>
      </c>
      <c r="BI10" s="125" cm="1">
        <f t="array" ref="BI10">+_xll.EQNXTDZ($A$1,$B10,BI$1,$B$1)</f>
        <v>0</v>
      </c>
      <c r="BJ10" s="125" cm="1">
        <f t="array" ref="BJ10">+_xll.EQNXTDZ($A$1,$B10,BJ$1,$B$1)</f>
        <v>0</v>
      </c>
      <c r="BK10" s="125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5" cm="1">
        <f t="array" ref="C11">+_xll.EQNXTDZ($A$1,$B11,C$1,$B$1)</f>
        <v>0</v>
      </c>
      <c r="D11" s="125" cm="1">
        <f t="array" ref="D11">+_xll.EQNXTDZ($A$1,$B11,D$1,$B$1)</f>
        <v>0</v>
      </c>
      <c r="E11" s="125" cm="1">
        <f t="array" ref="E11">+_xll.EQNXTDZ($A$1,$B11,E$1,$B$1)</f>
        <v>0</v>
      </c>
      <c r="F11" s="125" cm="1">
        <f t="array" ref="F11">+_xll.EQNXTDZ($A$1,$B11,F$1,$B$1)</f>
        <v>0</v>
      </c>
      <c r="G11" s="125" cm="1">
        <f t="array" ref="G11">+_xll.EQNXTDZ($A$1,$B11,G$1,$B$1)</f>
        <v>0</v>
      </c>
      <c r="H11" s="125" cm="1">
        <f t="array" ref="H11">+_xll.EQNXTDZ($A$1,$B11,H$1,$B$1)</f>
        <v>0</v>
      </c>
      <c r="I11" s="125" cm="1">
        <f t="array" ref="I11">+_xll.EQNXTDZ($A$1,$B11,I$1,$B$1)</f>
        <v>0</v>
      </c>
      <c r="J11" s="125" cm="1">
        <f t="array" ref="J11">+_xll.EQNXTDZ($A$1,$B11,J$1,$B$1)</f>
        <v>0</v>
      </c>
      <c r="K11" s="125" cm="1">
        <f t="array" ref="K11">+_xll.EQNXTDZ($A$1,$B11,K$1,$B$1)</f>
        <v>0</v>
      </c>
      <c r="L11" s="125" cm="1">
        <f t="array" ref="L11">+_xll.EQNXTDZ($A$1,$B11,L$1,$B$1)</f>
        <v>0</v>
      </c>
      <c r="M11" s="125" cm="1">
        <f t="array" ref="M11">+_xll.EQNXTDZ($A$1,$B11,M$1,$B$1)</f>
        <v>0.09</v>
      </c>
      <c r="N11" s="125" cm="1">
        <f t="array" ref="N11">+_xll.EQNXTDZ($A$1,$B11,N$1,$B$1)</f>
        <v>3.77</v>
      </c>
      <c r="O11" s="125" cm="1">
        <f t="array" ref="O11">+_xll.EQNXTDZ($A$1,$B11,O$1,$B$1)</f>
        <v>0</v>
      </c>
      <c r="P11" s="125" cm="1">
        <f t="array" ref="P11">+_xll.EQNXTDZ($A$1,$B11,P$1,$B$1)</f>
        <v>0</v>
      </c>
      <c r="Q11" s="125" cm="1">
        <f t="array" ref="Q11">+_xll.EQNXTDZ($A$1,$B11,Q$1,$B$1)</f>
        <v>1.3</v>
      </c>
      <c r="R11" s="125" cm="1">
        <f t="array" ref="R11">+_xll.EQNXTDZ($A$1,$B11,R$1,$B$1)</f>
        <v>1.89</v>
      </c>
      <c r="S11" s="125" cm="1">
        <f t="array" ref="S11">+_xll.EQNXTDZ($A$1,$B11,S$1,$B$1)</f>
        <v>2.02</v>
      </c>
      <c r="T11" s="125" cm="1">
        <f t="array" ref="T11">+_xll.EQNXTDZ($A$1,$B11,T$1,$B$1)</f>
        <v>1.52</v>
      </c>
      <c r="U11" s="125" cm="1">
        <f t="array" ref="U11">+_xll.EQNXTDZ($A$1,$B11,U$1,$B$1)</f>
        <v>1.1499999999999999</v>
      </c>
      <c r="V11" s="125" cm="1">
        <f t="array" ref="V11">+_xll.EQNXTDZ($A$1,$B11,V$1,$B$1)</f>
        <v>1.1499999999999999</v>
      </c>
      <c r="W11" s="125" cm="1">
        <f t="array" ref="W11">+_xll.EQNXTDZ($A$1,$B11,W$1,$B$1)</f>
        <v>5.74</v>
      </c>
      <c r="X11" s="125" cm="1">
        <f t="array" ref="X11">+_xll.EQNXTDZ($A$1,$B11,X$1,$B$1)</f>
        <v>0.32</v>
      </c>
      <c r="Y11" s="125" cm="1">
        <f t="array" ref="Y11">+_xll.EQNXTDZ($A$1,$B11,Y$1,$B$1)</f>
        <v>1.48</v>
      </c>
      <c r="Z11" s="125" cm="1">
        <f t="array" ref="Z11">+_xll.EQNXTDZ($A$1,$B11,Z$1,$B$1)</f>
        <v>2.96</v>
      </c>
      <c r="AA11" s="125" cm="1">
        <f t="array" ref="AA11">+_xll.EQNXTDZ($A$1,$B11,AA$1,$B$1)</f>
        <v>24.56</v>
      </c>
      <c r="AB11" s="125" cm="1">
        <f t="array" ref="AB11">+_xll.EQNXTDZ($A$1,$B11,AB$1,$B$1)</f>
        <v>5.0599999999999996</v>
      </c>
      <c r="AC11" s="125" cm="1">
        <f t="array" ref="AC11">+_xll.EQNXTDZ($A$1,$B11,AC$1,$B$1)</f>
        <v>13.6</v>
      </c>
      <c r="AD11" s="125" cm="1">
        <f t="array" ref="AD11">+_xll.EQNXTDZ($A$1,$B11,AD$1,$B$1)</f>
        <v>29.22</v>
      </c>
      <c r="AE11" s="125" cm="1">
        <f t="array" ref="AE11">+_xll.EQNXTDZ($A$1,$B11,AE$1,$B$1)</f>
        <v>26.55</v>
      </c>
      <c r="AF11" s="125" cm="1">
        <f t="array" ref="AF11">+_xll.EQNXTDZ($A$1,$B11,AF$1,$B$1)</f>
        <v>10.36</v>
      </c>
      <c r="AG11" s="125" cm="1">
        <f t="array" ref="AG11">+_xll.EQNXTDZ($A$1,$B11,AG$1,$B$1)</f>
        <v>14.46</v>
      </c>
      <c r="AH11" s="125" cm="1">
        <f t="array" ref="AH11">+_xll.EQNXTDZ($A$1,$B11,AH$1,$B$1)</f>
        <v>16.489999999999998</v>
      </c>
      <c r="AI11" s="125" cm="1">
        <f t="array" ref="AI11">+_xll.EQNXTDZ($A$1,$B11,AI$1,$B$1)</f>
        <v>16.78</v>
      </c>
      <c r="AJ11" s="125" cm="1">
        <f t="array" ref="AJ11">+_xll.EQNXTDZ($A$1,$B11,AJ$1,$B$1)</f>
        <v>12.04</v>
      </c>
      <c r="AK11" s="125" cm="1">
        <f t="array" ref="AK11">+_xll.EQNXTDZ($A$1,$B11,AK$1,$B$1)</f>
        <v>11.71</v>
      </c>
      <c r="AL11" s="125" cm="1">
        <f t="array" ref="AL11">+_xll.EQNXTDZ($A$1,$B11,AL$1,$B$1)</f>
        <v>10.93</v>
      </c>
      <c r="AM11" s="125" cm="1">
        <f t="array" ref="AM11">+_xll.EQNXTDZ($A$1,$B11,AM$1,$B$1)</f>
        <v>13</v>
      </c>
      <c r="AN11" s="125" cm="1">
        <f t="array" ref="AN11">+_xll.EQNXTDZ($A$1,$B11,AN$1,$B$1)</f>
        <v>8.1300000000000008</v>
      </c>
      <c r="AO11" s="125" cm="1">
        <f t="array" ref="AO11">+_xll.EQNXTDZ($A$1,$B11,AO$1,$B$1)</f>
        <v>7.25</v>
      </c>
      <c r="AP11" s="125" cm="1">
        <f t="array" ref="AP11">+_xll.EQNXTDZ($A$1,$B11,AP$1,$B$1)</f>
        <v>5.19</v>
      </c>
      <c r="AQ11" s="125" cm="1">
        <f t="array" ref="AQ11">+_xll.EQNXTDZ($A$1,$B11,AQ$1,$B$1)</f>
        <v>8.4499999999999993</v>
      </c>
      <c r="AR11" s="125" cm="1">
        <f t="array" ref="AR11">+_xll.EQNXTDZ($A$1,$B11,AR$1,$B$1)</f>
        <v>8.26</v>
      </c>
      <c r="AS11" s="125" cm="1">
        <f t="array" ref="AS11">+_xll.EQNXTDZ($A$1,$B11,AS$1,$B$1)</f>
        <v>16.37</v>
      </c>
      <c r="AT11" s="125" cm="1">
        <f t="array" ref="AT11">+_xll.EQNXTDZ($A$1,$B11,AT$1,$B$1)</f>
        <v>12.47</v>
      </c>
      <c r="AU11" s="125" cm="1">
        <f t="array" ref="AU11">+_xll.EQNXTDZ($A$1,$B11,AU$1,$B$1)</f>
        <v>11.79</v>
      </c>
      <c r="AV11" s="125" cm="1">
        <f t="array" ref="AV11">+_xll.EQNXTDZ($A$1,$B11,AV$1,$B$1)</f>
        <v>0</v>
      </c>
      <c r="AW11" s="125" cm="1">
        <f t="array" ref="AW11">+_xll.EQNXTDZ($A$1,$B11,AW$1,$B$1)</f>
        <v>0</v>
      </c>
      <c r="AX11" s="125" cm="1">
        <f t="array" ref="AX11">+_xll.EQNXTDZ($A$1,$B11,AX$1,$B$1)</f>
        <v>0</v>
      </c>
      <c r="AY11" s="125" cm="1">
        <f t="array" ref="AY11">+_xll.EQNXTDZ($A$1,$B11,AY$1,$B$1)</f>
        <v>0</v>
      </c>
      <c r="AZ11" s="125" cm="1">
        <f t="array" ref="AZ11">+_xll.EQNXTDZ($A$1,$B11,AZ$1,$B$1)</f>
        <v>0</v>
      </c>
      <c r="BA11" s="125" cm="1">
        <f t="array" ref="BA11">+_xll.EQNXTDZ($A$1,$B11,BA$1,$B$1)</f>
        <v>0</v>
      </c>
      <c r="BB11" s="125" cm="1">
        <f t="array" ref="BB11">+_xll.EQNXTDZ($A$1,$B11,BB$1,$B$1)</f>
        <v>0</v>
      </c>
      <c r="BC11" s="125" cm="1">
        <f t="array" ref="BC11">+_xll.EQNXTDZ($A$1,$B11,BC$1,$B$1)</f>
        <v>0</v>
      </c>
      <c r="BD11" s="125" cm="1">
        <f t="array" ref="BD11">+_xll.EQNXTDZ($A$1,$B11,BD$1,$B$1)</f>
        <v>0</v>
      </c>
      <c r="BE11" s="125" cm="1">
        <f t="array" ref="BE11">+_xll.EQNXTDZ($A$1,$B11,BE$1,$B$1)</f>
        <v>0</v>
      </c>
      <c r="BF11" s="125" cm="1">
        <f t="array" ref="BF11">+_xll.EQNXTDZ($A$1,$B11,BF$1,$B$1)</f>
        <v>0</v>
      </c>
      <c r="BG11" s="125" cm="1">
        <f t="array" ref="BG11">+_xll.EQNXTDZ($A$1,$B11,BG$1,$B$1)</f>
        <v>0</v>
      </c>
      <c r="BH11" s="125" cm="1">
        <f t="array" ref="BH11">+_xll.EQNXTDZ($A$1,$B11,BH$1,$B$1)</f>
        <v>0</v>
      </c>
      <c r="BI11" s="125" cm="1">
        <f t="array" ref="BI11">+_xll.EQNXTDZ($A$1,$B11,BI$1,$B$1)</f>
        <v>0</v>
      </c>
      <c r="BJ11" s="125" cm="1">
        <f t="array" ref="BJ11">+_xll.EQNXTDZ($A$1,$B11,BJ$1,$B$1)</f>
        <v>0</v>
      </c>
      <c r="BK11" s="125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5" cm="1">
        <f t="array" ref="C12">+_xll.EQNXTDZ($A$1,$B12,C$1,$B$1)</f>
        <v>0</v>
      </c>
      <c r="D12" s="125" cm="1">
        <f t="array" ref="D12">+_xll.EQNXTDZ($A$1,$B12,D$1,$B$1)</f>
        <v>0</v>
      </c>
      <c r="E12" s="125" cm="1">
        <f t="array" ref="E12">+_xll.EQNXTDZ($A$1,$B12,E$1,$B$1)</f>
        <v>0</v>
      </c>
      <c r="F12" s="125" cm="1">
        <f t="array" ref="F12">+_xll.EQNXTDZ($A$1,$B12,F$1,$B$1)</f>
        <v>0</v>
      </c>
      <c r="G12" s="125" cm="1">
        <f t="array" ref="G12">+_xll.EQNXTDZ($A$1,$B12,G$1,$B$1)</f>
        <v>0</v>
      </c>
      <c r="H12" s="125" cm="1">
        <f t="array" ref="H12">+_xll.EQNXTDZ($A$1,$B12,H$1,$B$1)</f>
        <v>0</v>
      </c>
      <c r="I12" s="125" cm="1">
        <f t="array" ref="I12">+_xll.EQNXTDZ($A$1,$B12,I$1,$B$1)</f>
        <v>0</v>
      </c>
      <c r="J12" s="125" cm="1">
        <f t="array" ref="J12">+_xll.EQNXTDZ($A$1,$B12,J$1,$B$1)</f>
        <v>0</v>
      </c>
      <c r="K12" s="125" cm="1">
        <f t="array" ref="K12">+_xll.EQNXTDZ($A$1,$B12,K$1,$B$1)</f>
        <v>0</v>
      </c>
      <c r="L12" s="125" cm="1">
        <f t="array" ref="L12">+_xll.EQNXTDZ($A$1,$B12,L$1,$B$1)</f>
        <v>0</v>
      </c>
      <c r="M12" s="125" cm="1">
        <f t="array" ref="M12">+_xll.EQNXTDZ($A$1,$B12,M$1,$B$1)</f>
        <v>0</v>
      </c>
      <c r="N12" s="125" cm="1">
        <f t="array" ref="N12">+_xll.EQNXTDZ($A$1,$B12,N$1,$B$1)</f>
        <v>0</v>
      </c>
      <c r="O12" s="125" cm="1">
        <f t="array" ref="O12">+_xll.EQNXTDZ($A$1,$B12,O$1,$B$1)</f>
        <v>0</v>
      </c>
      <c r="P12" s="125" cm="1">
        <f t="array" ref="P12">+_xll.EQNXTDZ($A$1,$B12,P$1,$B$1)</f>
        <v>0</v>
      </c>
      <c r="Q12" s="125" cm="1">
        <f t="array" ref="Q12">+_xll.EQNXTDZ($A$1,$B12,Q$1,$B$1)</f>
        <v>0</v>
      </c>
      <c r="R12" s="125" cm="1">
        <f t="array" ref="R12">+_xll.EQNXTDZ($A$1,$B12,R$1,$B$1)</f>
        <v>0</v>
      </c>
      <c r="S12" s="125" cm="1">
        <f t="array" ref="S12">+_xll.EQNXTDZ($A$1,$B12,S$1,$B$1)</f>
        <v>0</v>
      </c>
      <c r="T12" s="125" cm="1">
        <f t="array" ref="T12">+_xll.EQNXTDZ($A$1,$B12,T$1,$B$1)</f>
        <v>0</v>
      </c>
      <c r="U12" s="125" cm="1">
        <f t="array" ref="U12">+_xll.EQNXTDZ($A$1,$B12,U$1,$B$1)</f>
        <v>0</v>
      </c>
      <c r="V12" s="125" cm="1">
        <f t="array" ref="V12">+_xll.EQNXTDZ($A$1,$B12,V$1,$B$1)</f>
        <v>0</v>
      </c>
      <c r="W12" s="125" cm="1">
        <f t="array" ref="W12">+_xll.EQNXTDZ($A$1,$B12,W$1,$B$1)</f>
        <v>0</v>
      </c>
      <c r="X12" s="125" cm="1">
        <f t="array" ref="X12">+_xll.EQNXTDZ($A$1,$B12,X$1,$B$1)</f>
        <v>0</v>
      </c>
      <c r="Y12" s="125" cm="1">
        <f t="array" ref="Y12">+_xll.EQNXTDZ($A$1,$B12,Y$1,$B$1)</f>
        <v>0</v>
      </c>
      <c r="Z12" s="125" cm="1">
        <f t="array" ref="Z12">+_xll.EQNXTDZ($A$1,$B12,Z$1,$B$1)</f>
        <v>0</v>
      </c>
      <c r="AA12" s="125" cm="1">
        <f t="array" ref="AA12">+_xll.EQNXTDZ($A$1,$B12,AA$1,$B$1)</f>
        <v>0</v>
      </c>
      <c r="AB12" s="125" cm="1">
        <f t="array" ref="AB12">+_xll.EQNXTDZ($A$1,$B12,AB$1,$B$1)</f>
        <v>0</v>
      </c>
      <c r="AC12" s="125" cm="1">
        <f t="array" ref="AC12">+_xll.EQNXTDZ($A$1,$B12,AC$1,$B$1)</f>
        <v>0</v>
      </c>
      <c r="AD12" s="125" cm="1">
        <f t="array" ref="AD12">+_xll.EQNXTDZ($A$1,$B12,AD$1,$B$1)</f>
        <v>0</v>
      </c>
      <c r="AE12" s="125" cm="1">
        <f t="array" ref="AE12">+_xll.EQNXTDZ($A$1,$B12,AE$1,$B$1)</f>
        <v>0</v>
      </c>
      <c r="AF12" s="125" cm="1">
        <f t="array" ref="AF12">+_xll.EQNXTDZ($A$1,$B12,AF$1,$B$1)</f>
        <v>0</v>
      </c>
      <c r="AG12" s="125" cm="1">
        <f t="array" ref="AG12">+_xll.EQNXTDZ($A$1,$B12,AG$1,$B$1)</f>
        <v>0</v>
      </c>
      <c r="AH12" s="125" cm="1">
        <f t="array" ref="AH12">+_xll.EQNXTDZ($A$1,$B12,AH$1,$B$1)</f>
        <v>0</v>
      </c>
      <c r="AI12" s="125" cm="1">
        <f t="array" ref="AI12">+_xll.EQNXTDZ($A$1,$B12,AI$1,$B$1)</f>
        <v>0</v>
      </c>
      <c r="AJ12" s="125" cm="1">
        <f t="array" ref="AJ12">+_xll.EQNXTDZ($A$1,$B12,AJ$1,$B$1)</f>
        <v>0</v>
      </c>
      <c r="AK12" s="125" cm="1">
        <f t="array" ref="AK12">+_xll.EQNXTDZ($A$1,$B12,AK$1,$B$1)</f>
        <v>0</v>
      </c>
      <c r="AL12" s="125" cm="1">
        <f t="array" ref="AL12">+_xll.EQNXTDZ($A$1,$B12,AL$1,$B$1)</f>
        <v>0</v>
      </c>
      <c r="AM12" s="125" cm="1">
        <f t="array" ref="AM12">+_xll.EQNXTDZ($A$1,$B12,AM$1,$B$1)</f>
        <v>0</v>
      </c>
      <c r="AN12" s="125" cm="1">
        <f t="array" ref="AN12">+_xll.EQNXTDZ($A$1,$B12,AN$1,$B$1)</f>
        <v>0</v>
      </c>
      <c r="AO12" s="125" cm="1">
        <f t="array" ref="AO12">+_xll.EQNXTDZ($A$1,$B12,AO$1,$B$1)</f>
        <v>0</v>
      </c>
      <c r="AP12" s="125" cm="1">
        <f t="array" ref="AP12">+_xll.EQNXTDZ($A$1,$B12,AP$1,$B$1)</f>
        <v>0</v>
      </c>
      <c r="AQ12" s="125" cm="1">
        <f t="array" ref="AQ12">+_xll.EQNXTDZ($A$1,$B12,AQ$1,$B$1)</f>
        <v>0</v>
      </c>
      <c r="AR12" s="125" cm="1">
        <f t="array" ref="AR12">+_xll.EQNXTDZ($A$1,$B12,AR$1,$B$1)</f>
        <v>0</v>
      </c>
      <c r="AS12" s="125" cm="1">
        <f t="array" ref="AS12">+_xll.EQNXTDZ($A$1,$B12,AS$1,$B$1)</f>
        <v>0</v>
      </c>
      <c r="AT12" s="125" cm="1">
        <f t="array" ref="AT12">+_xll.EQNXTDZ($A$1,$B12,AT$1,$B$1)</f>
        <v>0</v>
      </c>
      <c r="AU12" s="125" cm="1">
        <f t="array" ref="AU12">+_xll.EQNXTDZ($A$1,$B12,AU$1,$B$1)</f>
        <v>0</v>
      </c>
      <c r="AV12" s="125" cm="1">
        <f t="array" ref="AV12">+_xll.EQNXTDZ($A$1,$B12,AV$1,$B$1)</f>
        <v>0</v>
      </c>
      <c r="AW12" s="125" cm="1">
        <f t="array" ref="AW12">+_xll.EQNXTDZ($A$1,$B12,AW$1,$B$1)</f>
        <v>0</v>
      </c>
      <c r="AX12" s="125" cm="1">
        <f t="array" ref="AX12">+_xll.EQNXTDZ($A$1,$B12,AX$1,$B$1)</f>
        <v>0</v>
      </c>
      <c r="AY12" s="125" cm="1">
        <f t="array" ref="AY12">+_xll.EQNXTDZ($A$1,$B12,AY$1,$B$1)</f>
        <v>0</v>
      </c>
      <c r="AZ12" s="125" cm="1">
        <f t="array" ref="AZ12">+_xll.EQNXTDZ($A$1,$B12,AZ$1,$B$1)</f>
        <v>0</v>
      </c>
      <c r="BA12" s="125" cm="1">
        <f t="array" ref="BA12">+_xll.EQNXTDZ($A$1,$B12,BA$1,$B$1)</f>
        <v>0</v>
      </c>
      <c r="BB12" s="125" cm="1">
        <f t="array" ref="BB12">+_xll.EQNXTDZ($A$1,$B12,BB$1,$B$1)</f>
        <v>0</v>
      </c>
      <c r="BC12" s="125" cm="1">
        <f t="array" ref="BC12">+_xll.EQNXTDZ($A$1,$B12,BC$1,$B$1)</f>
        <v>0</v>
      </c>
      <c r="BD12" s="125" cm="1">
        <f t="array" ref="BD12">+_xll.EQNXTDZ($A$1,$B12,BD$1,$B$1)</f>
        <v>0</v>
      </c>
      <c r="BE12" s="125" cm="1">
        <f t="array" ref="BE12">+_xll.EQNXTDZ($A$1,$B12,BE$1,$B$1)</f>
        <v>0</v>
      </c>
      <c r="BF12" s="125" cm="1">
        <f t="array" ref="BF12">+_xll.EQNXTDZ($A$1,$B12,BF$1,$B$1)</f>
        <v>0</v>
      </c>
      <c r="BG12" s="125" cm="1">
        <f t="array" ref="BG12">+_xll.EQNXTDZ($A$1,$B12,BG$1,$B$1)</f>
        <v>0</v>
      </c>
      <c r="BH12" s="125" cm="1">
        <f t="array" ref="BH12">+_xll.EQNXTDZ($A$1,$B12,BH$1,$B$1)</f>
        <v>0</v>
      </c>
      <c r="BI12" s="125" cm="1">
        <f t="array" ref="BI12">+_xll.EQNXTDZ($A$1,$B12,BI$1,$B$1)</f>
        <v>0</v>
      </c>
      <c r="BJ12" s="125" cm="1">
        <f t="array" ref="BJ12">+_xll.EQNXTDZ($A$1,$B12,BJ$1,$B$1)</f>
        <v>0</v>
      </c>
      <c r="BK12" s="125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5" cm="1">
        <f t="array" ref="C13">+_xll.EQNXTDZ($A$1,$B13,C$1,$B$1)</f>
        <v>0</v>
      </c>
      <c r="D13" s="125" cm="1">
        <f t="array" ref="D13">+_xll.EQNXTDZ($A$1,$B13,D$1,$B$1)</f>
        <v>0</v>
      </c>
      <c r="E13" s="125" cm="1">
        <f t="array" ref="E13">+_xll.EQNXTDZ($A$1,$B13,E$1,$B$1)</f>
        <v>0</v>
      </c>
      <c r="F13" s="125" cm="1">
        <f t="array" ref="F13">+_xll.EQNXTDZ($A$1,$B13,F$1,$B$1)</f>
        <v>0</v>
      </c>
      <c r="G13" s="125" cm="1">
        <f t="array" ref="G13">+_xll.EQNXTDZ($A$1,$B13,G$1,$B$1)</f>
        <v>0</v>
      </c>
      <c r="H13" s="125" cm="1">
        <f t="array" ref="H13">+_xll.EQNXTDZ($A$1,$B13,H$1,$B$1)</f>
        <v>0</v>
      </c>
      <c r="I13" s="125" cm="1">
        <f t="array" ref="I13">+_xll.EQNXTDZ($A$1,$B13,I$1,$B$1)</f>
        <v>0</v>
      </c>
      <c r="J13" s="125" cm="1">
        <f t="array" ref="J13">+_xll.EQNXTDZ($A$1,$B13,J$1,$B$1)</f>
        <v>0</v>
      </c>
      <c r="K13" s="125" cm="1">
        <f t="array" ref="K13">+_xll.EQNXTDZ($A$1,$B13,K$1,$B$1)</f>
        <v>0</v>
      </c>
      <c r="L13" s="125" cm="1">
        <f t="array" ref="L13">+_xll.EQNXTDZ($A$1,$B13,L$1,$B$1)</f>
        <v>0</v>
      </c>
      <c r="M13" s="125" cm="1">
        <f t="array" ref="M13">+_xll.EQNXTDZ($A$1,$B13,M$1,$B$1)</f>
        <v>213.94</v>
      </c>
      <c r="N13" s="125" cm="1">
        <f t="array" ref="N13">+_xll.EQNXTDZ($A$1,$B13,N$1,$B$1)</f>
        <v>227.72</v>
      </c>
      <c r="O13" s="125" cm="1">
        <f t="array" ref="O13">+_xll.EQNXTDZ($A$1,$B13,O$1,$B$1)</f>
        <v>249.92</v>
      </c>
      <c r="P13" s="125" cm="1">
        <f t="array" ref="P13">+_xll.EQNXTDZ($A$1,$B13,P$1,$B$1)</f>
        <v>285.76</v>
      </c>
      <c r="Q13" s="125" cm="1">
        <f t="array" ref="Q13">+_xll.EQNXTDZ($A$1,$B13,Q$1,$B$1)</f>
        <v>309.72000000000003</v>
      </c>
      <c r="R13" s="125" cm="1">
        <f t="array" ref="R13">+_xll.EQNXTDZ($A$1,$B13,R$1,$B$1)</f>
        <v>350.34</v>
      </c>
      <c r="S13" s="125" cm="1">
        <f t="array" ref="S13">+_xll.EQNXTDZ($A$1,$B13,S$1,$B$1)</f>
        <v>335.98</v>
      </c>
      <c r="T13" s="125" cm="1">
        <f t="array" ref="T13">+_xll.EQNXTDZ($A$1,$B13,T$1,$B$1)</f>
        <v>376.46</v>
      </c>
      <c r="U13" s="125" cm="1">
        <f t="array" ref="U13">+_xll.EQNXTDZ($A$1,$B13,U$1,$B$1)</f>
        <v>392.98</v>
      </c>
      <c r="V13" s="125" cm="1">
        <f t="array" ref="V13">+_xll.EQNXTDZ($A$1,$B13,V$1,$B$1)</f>
        <v>453.15</v>
      </c>
      <c r="W13" s="125" cm="1">
        <f t="array" ref="W13">+_xll.EQNXTDZ($A$1,$B13,W$1,$B$1)</f>
        <v>481.71</v>
      </c>
      <c r="X13" s="125" cm="1">
        <f t="array" ref="X13">+_xll.EQNXTDZ($A$1,$B13,X$1,$B$1)</f>
        <v>619.29</v>
      </c>
      <c r="Y13" s="125" cm="1">
        <f t="array" ref="Y13">+_xll.EQNXTDZ($A$1,$B13,Y$1,$B$1)</f>
        <v>576.04999999999995</v>
      </c>
      <c r="Z13" s="125" cm="1">
        <f t="array" ref="Z13">+_xll.EQNXTDZ($A$1,$B13,Z$1,$B$1)</f>
        <v>541.54</v>
      </c>
      <c r="AA13" s="125" cm="1">
        <f t="array" ref="AA13">+_xll.EQNXTDZ($A$1,$B13,AA$1,$B$1)</f>
        <v>724.14</v>
      </c>
      <c r="AB13" s="125" cm="1">
        <f t="array" ref="AB13">+_xll.EQNXTDZ($A$1,$B13,AB$1,$B$1)</f>
        <v>616.13</v>
      </c>
      <c r="AC13" s="125" cm="1">
        <f t="array" ref="AC13">+_xll.EQNXTDZ($A$1,$B13,AC$1,$B$1)</f>
        <v>617.4</v>
      </c>
      <c r="AD13" s="125" cm="1">
        <f t="array" ref="AD13">+_xll.EQNXTDZ($A$1,$B13,AD$1,$B$1)</f>
        <v>687.39</v>
      </c>
      <c r="AE13" s="125" cm="1">
        <f t="array" ref="AE13">+_xll.EQNXTDZ($A$1,$B13,AE$1,$B$1)</f>
        <v>821.89</v>
      </c>
      <c r="AF13" s="125" cm="1">
        <f t="array" ref="AF13">+_xll.EQNXTDZ($A$1,$B13,AF$1,$B$1)</f>
        <v>759.59</v>
      </c>
      <c r="AG13" s="125" cm="1">
        <f t="array" ref="AG13">+_xll.EQNXTDZ($A$1,$B13,AG$1,$B$1)</f>
        <v>812.22</v>
      </c>
      <c r="AH13" s="125" cm="1">
        <f t="array" ref="AH13">+_xll.EQNXTDZ($A$1,$B13,AH$1,$B$1)</f>
        <v>907.9</v>
      </c>
      <c r="AI13" s="125" cm="1">
        <f t="array" ref="AI13">+_xll.EQNXTDZ($A$1,$B13,AI$1,$B$1)</f>
        <v>1065.4100000000001</v>
      </c>
      <c r="AJ13" s="125" cm="1">
        <f t="array" ref="AJ13">+_xll.EQNXTDZ($A$1,$B13,AJ$1,$B$1)</f>
        <v>1170.03</v>
      </c>
      <c r="AK13" s="125" cm="1">
        <f t="array" ref="AK13">+_xll.EQNXTDZ($A$1,$B13,AK$1,$B$1)</f>
        <v>1246.94</v>
      </c>
      <c r="AL13" s="125" cm="1">
        <f t="array" ref="AL13">+_xll.EQNXTDZ($A$1,$B13,AL$1,$B$1)</f>
        <v>1292.2</v>
      </c>
      <c r="AM13" s="125" cm="1">
        <f t="array" ref="AM13">+_xll.EQNXTDZ($A$1,$B13,AM$1,$B$1)</f>
        <v>1457.49</v>
      </c>
      <c r="AN13" s="125" cm="1">
        <f t="array" ref="AN13">+_xll.EQNXTDZ($A$1,$B13,AN$1,$B$1)</f>
        <v>1512.03</v>
      </c>
      <c r="AO13" s="125" cm="1">
        <f t="array" ref="AO13">+_xll.EQNXTDZ($A$1,$B13,AO$1,$B$1)</f>
        <v>1453.29</v>
      </c>
      <c r="AP13" s="125" cm="1">
        <f t="array" ref="AP13">+_xll.EQNXTDZ($A$1,$B13,AP$1,$B$1)</f>
        <v>1380.38</v>
      </c>
      <c r="AQ13" s="125" cm="1">
        <f t="array" ref="AQ13">+_xll.EQNXTDZ($A$1,$B13,AQ$1,$B$1)</f>
        <v>1406.63</v>
      </c>
      <c r="AR13" s="125" cm="1">
        <f t="array" ref="AR13">+_xll.EQNXTDZ($A$1,$B13,AR$1,$B$1)</f>
        <v>1462.89</v>
      </c>
      <c r="AS13" s="125" cm="1">
        <f t="array" ref="AS13">+_xll.EQNXTDZ($A$1,$B13,AS$1,$B$1)</f>
        <v>1508.35</v>
      </c>
      <c r="AT13" s="125" cm="1">
        <f t="array" ref="AT13">+_xll.EQNXTDZ($A$1,$B13,AT$1,$B$1)</f>
        <v>1490.41</v>
      </c>
      <c r="AU13" s="125" cm="1">
        <f t="array" ref="AU13">+_xll.EQNXTDZ($A$1,$B13,AU$1,$B$1)</f>
        <v>1597.27</v>
      </c>
      <c r="AV13" s="125" cm="1">
        <f t="array" ref="AV13">+_xll.EQNXTDZ($A$1,$B13,AV$1,$B$1)</f>
        <v>0</v>
      </c>
      <c r="AW13" s="125" cm="1">
        <f t="array" ref="AW13">+_xll.EQNXTDZ($A$1,$B13,AW$1,$B$1)</f>
        <v>0</v>
      </c>
      <c r="AX13" s="125" cm="1">
        <f t="array" ref="AX13">+_xll.EQNXTDZ($A$1,$B13,AX$1,$B$1)</f>
        <v>0</v>
      </c>
      <c r="AY13" s="125" cm="1">
        <f t="array" ref="AY13">+_xll.EQNXTDZ($A$1,$B13,AY$1,$B$1)</f>
        <v>0</v>
      </c>
      <c r="AZ13" s="125" cm="1">
        <f t="array" ref="AZ13">+_xll.EQNXTDZ($A$1,$B13,AZ$1,$B$1)</f>
        <v>0</v>
      </c>
      <c r="BA13" s="125" cm="1">
        <f t="array" ref="BA13">+_xll.EQNXTDZ($A$1,$B13,BA$1,$B$1)</f>
        <v>0</v>
      </c>
      <c r="BB13" s="125" cm="1">
        <f t="array" ref="BB13">+_xll.EQNXTDZ($A$1,$B13,BB$1,$B$1)</f>
        <v>0</v>
      </c>
      <c r="BC13" s="125" cm="1">
        <f t="array" ref="BC13">+_xll.EQNXTDZ($A$1,$B13,BC$1,$B$1)</f>
        <v>0</v>
      </c>
      <c r="BD13" s="125" cm="1">
        <f t="array" ref="BD13">+_xll.EQNXTDZ($A$1,$B13,BD$1,$B$1)</f>
        <v>0</v>
      </c>
      <c r="BE13" s="125" cm="1">
        <f t="array" ref="BE13">+_xll.EQNXTDZ($A$1,$B13,BE$1,$B$1)</f>
        <v>0</v>
      </c>
      <c r="BF13" s="125" cm="1">
        <f t="array" ref="BF13">+_xll.EQNXTDZ($A$1,$B13,BF$1,$B$1)</f>
        <v>0</v>
      </c>
      <c r="BG13" s="125" cm="1">
        <f t="array" ref="BG13">+_xll.EQNXTDZ($A$1,$B13,BG$1,$B$1)</f>
        <v>0</v>
      </c>
      <c r="BH13" s="125" cm="1">
        <f t="array" ref="BH13">+_xll.EQNXTDZ($A$1,$B13,BH$1,$B$1)</f>
        <v>0</v>
      </c>
      <c r="BI13" s="125" cm="1">
        <f t="array" ref="BI13">+_xll.EQNXTDZ($A$1,$B13,BI$1,$B$1)</f>
        <v>0</v>
      </c>
      <c r="BJ13" s="125" cm="1">
        <f t="array" ref="BJ13">+_xll.EQNXTDZ($A$1,$B13,BJ$1,$B$1)</f>
        <v>0</v>
      </c>
      <c r="BK13" s="125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5" cm="1">
        <f t="array" ref="C14">+_xll.EQNXTDZ($A$1,$B14,C$1,$B$1)</f>
        <v>0</v>
      </c>
      <c r="D14" s="125" cm="1">
        <f t="array" ref="D14">+_xll.EQNXTDZ($A$1,$B14,D$1,$B$1)</f>
        <v>0</v>
      </c>
      <c r="E14" s="125" cm="1">
        <f t="array" ref="E14">+_xll.EQNXTDZ($A$1,$B14,E$1,$B$1)</f>
        <v>0</v>
      </c>
      <c r="F14" s="125" cm="1">
        <f t="array" ref="F14">+_xll.EQNXTDZ($A$1,$B14,F$1,$B$1)</f>
        <v>0</v>
      </c>
      <c r="G14" s="125" cm="1">
        <f t="array" ref="G14">+_xll.EQNXTDZ($A$1,$B14,G$1,$B$1)</f>
        <v>0</v>
      </c>
      <c r="H14" s="125" cm="1">
        <f t="array" ref="H14">+_xll.EQNXTDZ($A$1,$B14,H$1,$B$1)</f>
        <v>0</v>
      </c>
      <c r="I14" s="125" cm="1">
        <f t="array" ref="I14">+_xll.EQNXTDZ($A$1,$B14,I$1,$B$1)</f>
        <v>0</v>
      </c>
      <c r="J14" s="125" cm="1">
        <f t="array" ref="J14">+_xll.EQNXTDZ($A$1,$B14,J$1,$B$1)</f>
        <v>0</v>
      </c>
      <c r="K14" s="125" cm="1">
        <f t="array" ref="K14">+_xll.EQNXTDZ($A$1,$B14,K$1,$B$1)</f>
        <v>0</v>
      </c>
      <c r="L14" s="125" cm="1">
        <f t="array" ref="L14">+_xll.EQNXTDZ($A$1,$B14,L$1,$B$1)</f>
        <v>0</v>
      </c>
      <c r="M14" s="125" cm="1">
        <f t="array" ref="M14">+_xll.EQNXTDZ($A$1,$B14,M$1,$B$1)</f>
        <v>0</v>
      </c>
      <c r="N14" s="125" cm="1">
        <f t="array" ref="N14">+_xll.EQNXTDZ($A$1,$B14,N$1,$B$1)</f>
        <v>0</v>
      </c>
      <c r="O14" s="125" cm="1">
        <f t="array" ref="O14">+_xll.EQNXTDZ($A$1,$B14,O$1,$B$1)</f>
        <v>0</v>
      </c>
      <c r="P14" s="125" cm="1">
        <f t="array" ref="P14">+_xll.EQNXTDZ($A$1,$B14,P$1,$B$1)</f>
        <v>0</v>
      </c>
      <c r="Q14" s="125" cm="1">
        <f t="array" ref="Q14">+_xll.EQNXTDZ($A$1,$B14,Q$1,$B$1)</f>
        <v>0</v>
      </c>
      <c r="R14" s="125" cm="1">
        <f t="array" ref="R14">+_xll.EQNXTDZ($A$1,$B14,R$1,$B$1)</f>
        <v>0</v>
      </c>
      <c r="S14" s="125" cm="1">
        <f t="array" ref="S14">+_xll.EQNXTDZ($A$1,$B14,S$1,$B$1)</f>
        <v>0</v>
      </c>
      <c r="T14" s="125" cm="1">
        <f t="array" ref="T14">+_xll.EQNXTDZ($A$1,$B14,T$1,$B$1)</f>
        <v>0</v>
      </c>
      <c r="U14" s="125" cm="1">
        <f t="array" ref="U14">+_xll.EQNXTDZ($A$1,$B14,U$1,$B$1)</f>
        <v>0</v>
      </c>
      <c r="V14" s="125" cm="1">
        <f t="array" ref="V14">+_xll.EQNXTDZ($A$1,$B14,V$1,$B$1)</f>
        <v>0</v>
      </c>
      <c r="W14" s="125" cm="1">
        <f t="array" ref="W14">+_xll.EQNXTDZ($A$1,$B14,W$1,$B$1)</f>
        <v>0</v>
      </c>
      <c r="X14" s="125" cm="1">
        <f t="array" ref="X14">+_xll.EQNXTDZ($A$1,$B14,X$1,$B$1)</f>
        <v>0</v>
      </c>
      <c r="Y14" s="125" cm="1">
        <f t="array" ref="Y14">+_xll.EQNXTDZ($A$1,$B14,Y$1,$B$1)</f>
        <v>0</v>
      </c>
      <c r="Z14" s="125" cm="1">
        <f t="array" ref="Z14">+_xll.EQNXTDZ($A$1,$B14,Z$1,$B$1)</f>
        <v>0</v>
      </c>
      <c r="AA14" s="125" cm="1">
        <f t="array" ref="AA14">+_xll.EQNXTDZ($A$1,$B14,AA$1,$B$1)</f>
        <v>0</v>
      </c>
      <c r="AB14" s="125" cm="1">
        <f t="array" ref="AB14">+_xll.EQNXTDZ($A$1,$B14,AB$1,$B$1)</f>
        <v>0</v>
      </c>
      <c r="AC14" s="125" cm="1">
        <f t="array" ref="AC14">+_xll.EQNXTDZ($A$1,$B14,AC$1,$B$1)</f>
        <v>0</v>
      </c>
      <c r="AD14" s="125" cm="1">
        <f t="array" ref="AD14">+_xll.EQNXTDZ($A$1,$B14,AD$1,$B$1)</f>
        <v>0</v>
      </c>
      <c r="AE14" s="125" cm="1">
        <f t="array" ref="AE14">+_xll.EQNXTDZ($A$1,$B14,AE$1,$B$1)</f>
        <v>0</v>
      </c>
      <c r="AF14" s="125" cm="1">
        <f t="array" ref="AF14">+_xll.EQNXTDZ($A$1,$B14,AF$1,$B$1)</f>
        <v>0</v>
      </c>
      <c r="AG14" s="125" cm="1">
        <f t="array" ref="AG14">+_xll.EQNXTDZ($A$1,$B14,AG$1,$B$1)</f>
        <v>0</v>
      </c>
      <c r="AH14" s="125" cm="1">
        <f t="array" ref="AH14">+_xll.EQNXTDZ($A$1,$B14,AH$1,$B$1)</f>
        <v>0</v>
      </c>
      <c r="AI14" s="125" cm="1">
        <f t="array" ref="AI14">+_xll.EQNXTDZ($A$1,$B14,AI$1,$B$1)</f>
        <v>0</v>
      </c>
      <c r="AJ14" s="125" cm="1">
        <f t="array" ref="AJ14">+_xll.EQNXTDZ($A$1,$B14,AJ$1,$B$1)</f>
        <v>0</v>
      </c>
      <c r="AK14" s="125" cm="1">
        <f t="array" ref="AK14">+_xll.EQNXTDZ($A$1,$B14,AK$1,$B$1)</f>
        <v>0</v>
      </c>
      <c r="AL14" s="125" cm="1">
        <f t="array" ref="AL14">+_xll.EQNXTDZ($A$1,$B14,AL$1,$B$1)</f>
        <v>0</v>
      </c>
      <c r="AM14" s="125" cm="1">
        <f t="array" ref="AM14">+_xll.EQNXTDZ($A$1,$B14,AM$1,$B$1)</f>
        <v>0</v>
      </c>
      <c r="AN14" s="125" cm="1">
        <f t="array" ref="AN14">+_xll.EQNXTDZ($A$1,$B14,AN$1,$B$1)</f>
        <v>0</v>
      </c>
      <c r="AO14" s="125" cm="1">
        <f t="array" ref="AO14">+_xll.EQNXTDZ($A$1,$B14,AO$1,$B$1)</f>
        <v>0</v>
      </c>
      <c r="AP14" s="125" cm="1">
        <f t="array" ref="AP14">+_xll.EQNXTDZ($A$1,$B14,AP$1,$B$1)</f>
        <v>0</v>
      </c>
      <c r="AQ14" s="125" cm="1">
        <f t="array" ref="AQ14">+_xll.EQNXTDZ($A$1,$B14,AQ$1,$B$1)</f>
        <v>0</v>
      </c>
      <c r="AR14" s="125" cm="1">
        <f t="array" ref="AR14">+_xll.EQNXTDZ($A$1,$B14,AR$1,$B$1)</f>
        <v>0</v>
      </c>
      <c r="AS14" s="125" cm="1">
        <f t="array" ref="AS14">+_xll.EQNXTDZ($A$1,$B14,AS$1,$B$1)</f>
        <v>0</v>
      </c>
      <c r="AT14" s="125" cm="1">
        <f t="array" ref="AT14">+_xll.EQNXTDZ($A$1,$B14,AT$1,$B$1)</f>
        <v>0</v>
      </c>
      <c r="AU14" s="125" cm="1">
        <f t="array" ref="AU14">+_xll.EQNXTDZ($A$1,$B14,AU$1,$B$1)</f>
        <v>0</v>
      </c>
      <c r="AV14" s="125" cm="1">
        <f t="array" ref="AV14">+_xll.EQNXTDZ($A$1,$B14,AV$1,$B$1)</f>
        <v>0</v>
      </c>
      <c r="AW14" s="125" cm="1">
        <f t="array" ref="AW14">+_xll.EQNXTDZ($A$1,$B14,AW$1,$B$1)</f>
        <v>0</v>
      </c>
      <c r="AX14" s="125" cm="1">
        <f t="array" ref="AX14">+_xll.EQNXTDZ($A$1,$B14,AX$1,$B$1)</f>
        <v>0</v>
      </c>
      <c r="AY14" s="125" cm="1">
        <f t="array" ref="AY14">+_xll.EQNXTDZ($A$1,$B14,AY$1,$B$1)</f>
        <v>0</v>
      </c>
      <c r="AZ14" s="125" cm="1">
        <f t="array" ref="AZ14">+_xll.EQNXTDZ($A$1,$B14,AZ$1,$B$1)</f>
        <v>0</v>
      </c>
      <c r="BA14" s="125" cm="1">
        <f t="array" ref="BA14">+_xll.EQNXTDZ($A$1,$B14,BA$1,$B$1)</f>
        <v>0</v>
      </c>
      <c r="BB14" s="125" cm="1">
        <f t="array" ref="BB14">+_xll.EQNXTDZ($A$1,$B14,BB$1,$B$1)</f>
        <v>0</v>
      </c>
      <c r="BC14" s="125" cm="1">
        <f t="array" ref="BC14">+_xll.EQNXTDZ($A$1,$B14,BC$1,$B$1)</f>
        <v>0</v>
      </c>
      <c r="BD14" s="125" cm="1">
        <f t="array" ref="BD14">+_xll.EQNXTDZ($A$1,$B14,BD$1,$B$1)</f>
        <v>0</v>
      </c>
      <c r="BE14" s="125" cm="1">
        <f t="array" ref="BE14">+_xll.EQNXTDZ($A$1,$B14,BE$1,$B$1)</f>
        <v>0</v>
      </c>
      <c r="BF14" s="125" cm="1">
        <f t="array" ref="BF14">+_xll.EQNXTDZ($A$1,$B14,BF$1,$B$1)</f>
        <v>0</v>
      </c>
      <c r="BG14" s="125" cm="1">
        <f t="array" ref="BG14">+_xll.EQNXTDZ($A$1,$B14,BG$1,$B$1)</f>
        <v>0</v>
      </c>
      <c r="BH14" s="125" cm="1">
        <f t="array" ref="BH14">+_xll.EQNXTDZ($A$1,$B14,BH$1,$B$1)</f>
        <v>0</v>
      </c>
      <c r="BI14" s="125" cm="1">
        <f t="array" ref="BI14">+_xll.EQNXTDZ($A$1,$B14,BI$1,$B$1)</f>
        <v>0</v>
      </c>
      <c r="BJ14" s="125" cm="1">
        <f t="array" ref="BJ14">+_xll.EQNXTDZ($A$1,$B14,BJ$1,$B$1)</f>
        <v>0</v>
      </c>
      <c r="BK14" s="125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5" cm="1">
        <f t="array" ref="C15">+_xll.EQNXTDZ($A$1,$B15,C$1,$B$1)</f>
        <v>0</v>
      </c>
      <c r="D15" s="125" cm="1">
        <f t="array" ref="D15">+_xll.EQNXTDZ($A$1,$B15,D$1,$B$1)</f>
        <v>0</v>
      </c>
      <c r="E15" s="125" cm="1">
        <f t="array" ref="E15">+_xll.EQNXTDZ($A$1,$B15,E$1,$B$1)</f>
        <v>0</v>
      </c>
      <c r="F15" s="125" cm="1">
        <f t="array" ref="F15">+_xll.EQNXTDZ($A$1,$B15,F$1,$B$1)</f>
        <v>0</v>
      </c>
      <c r="G15" s="125" cm="1">
        <f t="array" ref="G15">+_xll.EQNXTDZ($A$1,$B15,G$1,$B$1)</f>
        <v>0</v>
      </c>
      <c r="H15" s="125" cm="1">
        <f t="array" ref="H15">+_xll.EQNXTDZ($A$1,$B15,H$1,$B$1)</f>
        <v>0</v>
      </c>
      <c r="I15" s="125" cm="1">
        <f t="array" ref="I15">+_xll.EQNXTDZ($A$1,$B15,I$1,$B$1)</f>
        <v>0</v>
      </c>
      <c r="J15" s="125" cm="1">
        <f t="array" ref="J15">+_xll.EQNXTDZ($A$1,$B15,J$1,$B$1)</f>
        <v>0</v>
      </c>
      <c r="K15" s="125" cm="1">
        <f t="array" ref="K15">+_xll.EQNXTDZ($A$1,$B15,K$1,$B$1)</f>
        <v>0</v>
      </c>
      <c r="L15" s="125" cm="1">
        <f t="array" ref="L15">+_xll.EQNXTDZ($A$1,$B15,L$1,$B$1)</f>
        <v>0</v>
      </c>
      <c r="M15" s="125" cm="1">
        <f t="array" ref="M15">+_xll.EQNXTDZ($A$1,$B15,M$1,$B$1)</f>
        <v>14</v>
      </c>
      <c r="N15" s="125" cm="1">
        <f t="array" ref="N15">+_xll.EQNXTDZ($A$1,$B15,N$1,$B$1)</f>
        <v>16.399999999999999</v>
      </c>
      <c r="O15" s="125" cm="1">
        <f t="array" ref="O15">+_xll.EQNXTDZ($A$1,$B15,O$1,$B$1)</f>
        <v>20.8</v>
      </c>
      <c r="P15" s="125" cm="1">
        <f t="array" ref="P15">+_xll.EQNXTDZ($A$1,$B15,P$1,$B$1)</f>
        <v>20.28</v>
      </c>
      <c r="Q15" s="125" cm="1">
        <f t="array" ref="Q15">+_xll.EQNXTDZ($A$1,$B15,Q$1,$B$1)</f>
        <v>23.99</v>
      </c>
      <c r="R15" s="125" cm="1">
        <f t="array" ref="R15">+_xll.EQNXTDZ($A$1,$B15,R$1,$B$1)</f>
        <v>25.68</v>
      </c>
      <c r="S15" s="125" cm="1">
        <f t="array" ref="S15">+_xll.EQNXTDZ($A$1,$B15,S$1,$B$1)</f>
        <v>30.21</v>
      </c>
      <c r="T15" s="125" cm="1">
        <f t="array" ref="T15">+_xll.EQNXTDZ($A$1,$B15,T$1,$B$1)</f>
        <v>27.57</v>
      </c>
      <c r="U15" s="125" cm="1">
        <f t="array" ref="U15">+_xll.EQNXTDZ($A$1,$B15,U$1,$B$1)</f>
        <v>30.79</v>
      </c>
      <c r="V15" s="125" cm="1">
        <f t="array" ref="V15">+_xll.EQNXTDZ($A$1,$B15,V$1,$B$1)</f>
        <v>34.53</v>
      </c>
      <c r="W15" s="125" cm="1">
        <f t="array" ref="W15">+_xll.EQNXTDZ($A$1,$B15,W$1,$B$1)</f>
        <v>51.53</v>
      </c>
      <c r="X15" s="125" cm="1">
        <f t="array" ref="X15">+_xll.EQNXTDZ($A$1,$B15,X$1,$B$1)</f>
        <v>24.54</v>
      </c>
      <c r="Y15" s="125" cm="1">
        <f t="array" ref="Y15">+_xll.EQNXTDZ($A$1,$B15,Y$1,$B$1)</f>
        <v>40.53</v>
      </c>
      <c r="Z15" s="125" cm="1">
        <f t="array" ref="Z15">+_xll.EQNXTDZ($A$1,$B15,Z$1,$B$1)</f>
        <v>42.88</v>
      </c>
      <c r="AA15" s="125" cm="1">
        <f t="array" ref="AA15">+_xll.EQNXTDZ($A$1,$B15,AA$1,$B$1)</f>
        <v>50.59</v>
      </c>
      <c r="AB15" s="125" cm="1">
        <f t="array" ref="AB15">+_xll.EQNXTDZ($A$1,$B15,AB$1,$B$1)</f>
        <v>39.68</v>
      </c>
      <c r="AC15" s="125" cm="1">
        <f t="array" ref="AC15">+_xll.EQNXTDZ($A$1,$B15,AC$1,$B$1)</f>
        <v>47.03</v>
      </c>
      <c r="AD15" s="125" cm="1">
        <f t="array" ref="AD15">+_xll.EQNXTDZ($A$1,$B15,AD$1,$B$1)</f>
        <v>52.68</v>
      </c>
      <c r="AE15" s="125" cm="1">
        <f t="array" ref="AE15">+_xll.EQNXTDZ($A$1,$B15,AE$1,$B$1)</f>
        <v>61.31</v>
      </c>
      <c r="AF15" s="125" cm="1">
        <f t="array" ref="AF15">+_xll.EQNXTDZ($A$1,$B15,AF$1,$B$1)</f>
        <v>55.12</v>
      </c>
      <c r="AG15" s="125" cm="1">
        <f t="array" ref="AG15">+_xll.EQNXTDZ($A$1,$B15,AG$1,$B$1)</f>
        <v>64.209999999999994</v>
      </c>
      <c r="AH15" s="125" cm="1">
        <f t="array" ref="AH15">+_xll.EQNXTDZ($A$1,$B15,AH$1,$B$1)</f>
        <v>76.290000000000006</v>
      </c>
      <c r="AI15" s="125" cm="1">
        <f t="array" ref="AI15">+_xll.EQNXTDZ($A$1,$B15,AI$1,$B$1)</f>
        <v>68.97</v>
      </c>
      <c r="AJ15" s="125" cm="1">
        <f t="array" ref="AJ15">+_xll.EQNXTDZ($A$1,$B15,AJ$1,$B$1)</f>
        <v>72.010000000000005</v>
      </c>
      <c r="AK15" s="125" cm="1">
        <f t="array" ref="AK15">+_xll.EQNXTDZ($A$1,$B15,AK$1,$B$1)</f>
        <v>85.31</v>
      </c>
      <c r="AL15" s="125" cm="1">
        <f t="array" ref="AL15">+_xll.EQNXTDZ($A$1,$B15,AL$1,$B$1)</f>
        <v>81.84</v>
      </c>
      <c r="AM15" s="125" cm="1">
        <f t="array" ref="AM15">+_xll.EQNXTDZ($A$1,$B15,AM$1,$B$1)</f>
        <v>85.62</v>
      </c>
      <c r="AN15" s="125" cm="1">
        <f t="array" ref="AN15">+_xll.EQNXTDZ($A$1,$B15,AN$1,$B$1)</f>
        <v>90.6</v>
      </c>
      <c r="AO15" s="125" cm="1">
        <f t="array" ref="AO15">+_xll.EQNXTDZ($A$1,$B15,AO$1,$B$1)</f>
        <v>91.03</v>
      </c>
      <c r="AP15" s="125" cm="1">
        <f t="array" ref="AP15">+_xll.EQNXTDZ($A$1,$B15,AP$1,$B$1)</f>
        <v>89.6</v>
      </c>
      <c r="AQ15" s="125" cm="1">
        <f t="array" ref="AQ15">+_xll.EQNXTDZ($A$1,$B15,AQ$1,$B$1)</f>
        <v>105.28</v>
      </c>
      <c r="AR15" s="125" cm="1">
        <f t="array" ref="AR15">+_xll.EQNXTDZ($A$1,$B15,AR$1,$B$1)</f>
        <v>91.1</v>
      </c>
      <c r="AS15" s="125" cm="1">
        <f t="array" ref="AS15">+_xll.EQNXTDZ($A$1,$B15,AS$1,$B$1)</f>
        <v>99.01</v>
      </c>
      <c r="AT15" s="125" cm="1">
        <f t="array" ref="AT15">+_xll.EQNXTDZ($A$1,$B15,AT$1,$B$1)</f>
        <v>107.69</v>
      </c>
      <c r="AU15" s="125" cm="1">
        <f t="array" ref="AU15">+_xll.EQNXTDZ($A$1,$B15,AU$1,$B$1)</f>
        <v>111.69</v>
      </c>
      <c r="AV15" s="125" cm="1">
        <f t="array" ref="AV15">+_xll.EQNXTDZ($A$1,$B15,AV$1,$B$1)</f>
        <v>0</v>
      </c>
      <c r="AW15" s="125" cm="1">
        <f t="array" ref="AW15">+_xll.EQNXTDZ($A$1,$B15,AW$1,$B$1)</f>
        <v>0</v>
      </c>
      <c r="AX15" s="125" cm="1">
        <f t="array" ref="AX15">+_xll.EQNXTDZ($A$1,$B15,AX$1,$B$1)</f>
        <v>0</v>
      </c>
      <c r="AY15" s="125" cm="1">
        <f t="array" ref="AY15">+_xll.EQNXTDZ($A$1,$B15,AY$1,$B$1)</f>
        <v>0</v>
      </c>
      <c r="AZ15" s="125" cm="1">
        <f t="array" ref="AZ15">+_xll.EQNXTDZ($A$1,$B15,AZ$1,$B$1)</f>
        <v>0</v>
      </c>
      <c r="BA15" s="125" cm="1">
        <f t="array" ref="BA15">+_xll.EQNXTDZ($A$1,$B15,BA$1,$B$1)</f>
        <v>0</v>
      </c>
      <c r="BB15" s="125" cm="1">
        <f t="array" ref="BB15">+_xll.EQNXTDZ($A$1,$B15,BB$1,$B$1)</f>
        <v>0</v>
      </c>
      <c r="BC15" s="125" cm="1">
        <f t="array" ref="BC15">+_xll.EQNXTDZ($A$1,$B15,BC$1,$B$1)</f>
        <v>0</v>
      </c>
      <c r="BD15" s="125" cm="1">
        <f t="array" ref="BD15">+_xll.EQNXTDZ($A$1,$B15,BD$1,$B$1)</f>
        <v>0</v>
      </c>
      <c r="BE15" s="125" cm="1">
        <f t="array" ref="BE15">+_xll.EQNXTDZ($A$1,$B15,BE$1,$B$1)</f>
        <v>0</v>
      </c>
      <c r="BF15" s="125" cm="1">
        <f t="array" ref="BF15">+_xll.EQNXTDZ($A$1,$B15,BF$1,$B$1)</f>
        <v>0</v>
      </c>
      <c r="BG15" s="125" cm="1">
        <f t="array" ref="BG15">+_xll.EQNXTDZ($A$1,$B15,BG$1,$B$1)</f>
        <v>0</v>
      </c>
      <c r="BH15" s="125" cm="1">
        <f t="array" ref="BH15">+_xll.EQNXTDZ($A$1,$B15,BH$1,$B$1)</f>
        <v>0</v>
      </c>
      <c r="BI15" s="125" cm="1">
        <f t="array" ref="BI15">+_xll.EQNXTDZ($A$1,$B15,BI$1,$B$1)</f>
        <v>0</v>
      </c>
      <c r="BJ15" s="125" cm="1">
        <f t="array" ref="BJ15">+_xll.EQNXTDZ($A$1,$B15,BJ$1,$B$1)</f>
        <v>0</v>
      </c>
      <c r="BK15" s="125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5" cm="1">
        <f t="array" ref="C16">+_xll.EQNXTDZ($A$1,$B16,C$1,$B$1)</f>
        <v>0</v>
      </c>
      <c r="D16" s="125" cm="1">
        <f t="array" ref="D16">+_xll.EQNXTDZ($A$1,$B16,D$1,$B$1)</f>
        <v>0</v>
      </c>
      <c r="E16" s="125" cm="1">
        <f t="array" ref="E16">+_xll.EQNXTDZ($A$1,$B16,E$1,$B$1)</f>
        <v>0</v>
      </c>
      <c r="F16" s="125" cm="1">
        <f t="array" ref="F16">+_xll.EQNXTDZ($A$1,$B16,F$1,$B$1)</f>
        <v>0</v>
      </c>
      <c r="G16" s="125" cm="1">
        <f t="array" ref="G16">+_xll.EQNXTDZ($A$1,$B16,G$1,$B$1)</f>
        <v>0</v>
      </c>
      <c r="H16" s="125" cm="1">
        <f t="array" ref="H16">+_xll.EQNXTDZ($A$1,$B16,H$1,$B$1)</f>
        <v>0</v>
      </c>
      <c r="I16" s="125" cm="1">
        <f t="array" ref="I16">+_xll.EQNXTDZ($A$1,$B16,I$1,$B$1)</f>
        <v>0</v>
      </c>
      <c r="J16" s="125" cm="1">
        <f t="array" ref="J16">+_xll.EQNXTDZ($A$1,$B16,J$1,$B$1)</f>
        <v>0</v>
      </c>
      <c r="K16" s="125" cm="1">
        <f t="array" ref="K16">+_xll.EQNXTDZ($A$1,$B16,K$1,$B$1)</f>
        <v>0</v>
      </c>
      <c r="L16" s="125" cm="1">
        <f t="array" ref="L16">+_xll.EQNXTDZ($A$1,$B16,L$1,$B$1)</f>
        <v>0</v>
      </c>
      <c r="M16" s="125" cm="1">
        <f t="array" ref="M16">+_xll.EQNXTDZ($A$1,$B16,M$1,$B$1)</f>
        <v>0</v>
      </c>
      <c r="N16" s="125" cm="1">
        <f t="array" ref="N16">+_xll.EQNXTDZ($A$1,$B16,N$1,$B$1)</f>
        <v>0</v>
      </c>
      <c r="O16" s="125" cm="1">
        <f t="array" ref="O16">+_xll.EQNXTDZ($A$1,$B16,O$1,$B$1)</f>
        <v>0</v>
      </c>
      <c r="P16" s="125" cm="1">
        <f t="array" ref="P16">+_xll.EQNXTDZ($A$1,$B16,P$1,$B$1)</f>
        <v>0</v>
      </c>
      <c r="Q16" s="125" cm="1">
        <f t="array" ref="Q16">+_xll.EQNXTDZ($A$1,$B16,Q$1,$B$1)</f>
        <v>0</v>
      </c>
      <c r="R16" s="125" cm="1">
        <f t="array" ref="R16">+_xll.EQNXTDZ($A$1,$B16,R$1,$B$1)</f>
        <v>0</v>
      </c>
      <c r="S16" s="125" cm="1">
        <f t="array" ref="S16">+_xll.EQNXTDZ($A$1,$B16,S$1,$B$1)</f>
        <v>0</v>
      </c>
      <c r="T16" s="125" cm="1">
        <f t="array" ref="T16">+_xll.EQNXTDZ($A$1,$B16,T$1,$B$1)</f>
        <v>0</v>
      </c>
      <c r="U16" s="125" cm="1">
        <f t="array" ref="U16">+_xll.EQNXTDZ($A$1,$B16,U$1,$B$1)</f>
        <v>0</v>
      </c>
      <c r="V16" s="125" cm="1">
        <f t="array" ref="V16">+_xll.EQNXTDZ($A$1,$B16,V$1,$B$1)</f>
        <v>0</v>
      </c>
      <c r="W16" s="125" cm="1">
        <f t="array" ref="W16">+_xll.EQNXTDZ($A$1,$B16,W$1,$B$1)</f>
        <v>0</v>
      </c>
      <c r="X16" s="125" cm="1">
        <f t="array" ref="X16">+_xll.EQNXTDZ($A$1,$B16,X$1,$B$1)</f>
        <v>0</v>
      </c>
      <c r="Y16" s="125" cm="1">
        <f t="array" ref="Y16">+_xll.EQNXTDZ($A$1,$B16,Y$1,$B$1)</f>
        <v>0</v>
      </c>
      <c r="Z16" s="125" cm="1">
        <f t="array" ref="Z16">+_xll.EQNXTDZ($A$1,$B16,Z$1,$B$1)</f>
        <v>0</v>
      </c>
      <c r="AA16" s="125" cm="1">
        <f t="array" ref="AA16">+_xll.EQNXTDZ($A$1,$B16,AA$1,$B$1)</f>
        <v>0</v>
      </c>
      <c r="AB16" s="125" cm="1">
        <f t="array" ref="AB16">+_xll.EQNXTDZ($A$1,$B16,AB$1,$B$1)</f>
        <v>0</v>
      </c>
      <c r="AC16" s="125" cm="1">
        <f t="array" ref="AC16">+_xll.EQNXTDZ($A$1,$B16,AC$1,$B$1)</f>
        <v>0</v>
      </c>
      <c r="AD16" s="125" cm="1">
        <f t="array" ref="AD16">+_xll.EQNXTDZ($A$1,$B16,AD$1,$B$1)</f>
        <v>0</v>
      </c>
      <c r="AE16" s="125" cm="1">
        <f t="array" ref="AE16">+_xll.EQNXTDZ($A$1,$B16,AE$1,$B$1)</f>
        <v>0</v>
      </c>
      <c r="AF16" s="125" cm="1">
        <f t="array" ref="AF16">+_xll.EQNXTDZ($A$1,$B16,AF$1,$B$1)</f>
        <v>0</v>
      </c>
      <c r="AG16" s="125" cm="1">
        <f t="array" ref="AG16">+_xll.EQNXTDZ($A$1,$B16,AG$1,$B$1)</f>
        <v>0</v>
      </c>
      <c r="AH16" s="125" cm="1">
        <f t="array" ref="AH16">+_xll.EQNXTDZ($A$1,$B16,AH$1,$B$1)</f>
        <v>0</v>
      </c>
      <c r="AI16" s="125" cm="1">
        <f t="array" ref="AI16">+_xll.EQNXTDZ($A$1,$B16,AI$1,$B$1)</f>
        <v>0</v>
      </c>
      <c r="AJ16" s="125" cm="1">
        <f t="array" ref="AJ16">+_xll.EQNXTDZ($A$1,$B16,AJ$1,$B$1)</f>
        <v>0</v>
      </c>
      <c r="AK16" s="125" cm="1">
        <f t="array" ref="AK16">+_xll.EQNXTDZ($A$1,$B16,AK$1,$B$1)</f>
        <v>0</v>
      </c>
      <c r="AL16" s="125" cm="1">
        <f t="array" ref="AL16">+_xll.EQNXTDZ($A$1,$B16,AL$1,$B$1)</f>
        <v>0</v>
      </c>
      <c r="AM16" s="125" cm="1">
        <f t="array" ref="AM16">+_xll.EQNXTDZ($A$1,$B16,AM$1,$B$1)</f>
        <v>0</v>
      </c>
      <c r="AN16" s="125" cm="1">
        <f t="array" ref="AN16">+_xll.EQNXTDZ($A$1,$B16,AN$1,$B$1)</f>
        <v>0</v>
      </c>
      <c r="AO16" s="125" cm="1">
        <f t="array" ref="AO16">+_xll.EQNXTDZ($A$1,$B16,AO$1,$B$1)</f>
        <v>0</v>
      </c>
      <c r="AP16" s="125" cm="1">
        <f t="array" ref="AP16">+_xll.EQNXTDZ($A$1,$B16,AP$1,$B$1)</f>
        <v>0</v>
      </c>
      <c r="AQ16" s="125" cm="1">
        <f t="array" ref="AQ16">+_xll.EQNXTDZ($A$1,$B16,AQ$1,$B$1)</f>
        <v>0</v>
      </c>
      <c r="AR16" s="125" cm="1">
        <f t="array" ref="AR16">+_xll.EQNXTDZ($A$1,$B16,AR$1,$B$1)</f>
        <v>0</v>
      </c>
      <c r="AS16" s="125" cm="1">
        <f t="array" ref="AS16">+_xll.EQNXTDZ($A$1,$B16,AS$1,$B$1)</f>
        <v>0</v>
      </c>
      <c r="AT16" s="125" cm="1">
        <f t="array" ref="AT16">+_xll.EQNXTDZ($A$1,$B16,AT$1,$B$1)</f>
        <v>0</v>
      </c>
      <c r="AU16" s="125" cm="1">
        <f t="array" ref="AU16">+_xll.EQNXTDZ($A$1,$B16,AU$1,$B$1)</f>
        <v>0</v>
      </c>
      <c r="AV16" s="125" cm="1">
        <f t="array" ref="AV16">+_xll.EQNXTDZ($A$1,$B16,AV$1,$B$1)</f>
        <v>0</v>
      </c>
      <c r="AW16" s="125" cm="1">
        <f t="array" ref="AW16">+_xll.EQNXTDZ($A$1,$B16,AW$1,$B$1)</f>
        <v>0</v>
      </c>
      <c r="AX16" s="125" cm="1">
        <f t="array" ref="AX16">+_xll.EQNXTDZ($A$1,$B16,AX$1,$B$1)</f>
        <v>0</v>
      </c>
      <c r="AY16" s="125" cm="1">
        <f t="array" ref="AY16">+_xll.EQNXTDZ($A$1,$B16,AY$1,$B$1)</f>
        <v>0</v>
      </c>
      <c r="AZ16" s="125" cm="1">
        <f t="array" ref="AZ16">+_xll.EQNXTDZ($A$1,$B16,AZ$1,$B$1)</f>
        <v>0</v>
      </c>
      <c r="BA16" s="125" cm="1">
        <f t="array" ref="BA16">+_xll.EQNXTDZ($A$1,$B16,BA$1,$B$1)</f>
        <v>0</v>
      </c>
      <c r="BB16" s="125" cm="1">
        <f t="array" ref="BB16">+_xll.EQNXTDZ($A$1,$B16,BB$1,$B$1)</f>
        <v>0</v>
      </c>
      <c r="BC16" s="125" cm="1">
        <f t="array" ref="BC16">+_xll.EQNXTDZ($A$1,$B16,BC$1,$B$1)</f>
        <v>0</v>
      </c>
      <c r="BD16" s="125" cm="1">
        <f t="array" ref="BD16">+_xll.EQNXTDZ($A$1,$B16,BD$1,$B$1)</f>
        <v>0</v>
      </c>
      <c r="BE16" s="125" cm="1">
        <f t="array" ref="BE16">+_xll.EQNXTDZ($A$1,$B16,BE$1,$B$1)</f>
        <v>0</v>
      </c>
      <c r="BF16" s="125" cm="1">
        <f t="array" ref="BF16">+_xll.EQNXTDZ($A$1,$B16,BF$1,$B$1)</f>
        <v>0</v>
      </c>
      <c r="BG16" s="125" cm="1">
        <f t="array" ref="BG16">+_xll.EQNXTDZ($A$1,$B16,BG$1,$B$1)</f>
        <v>0</v>
      </c>
      <c r="BH16" s="125" cm="1">
        <f t="array" ref="BH16">+_xll.EQNXTDZ($A$1,$B16,BH$1,$B$1)</f>
        <v>0</v>
      </c>
      <c r="BI16" s="125" cm="1">
        <f t="array" ref="BI16">+_xll.EQNXTDZ($A$1,$B16,BI$1,$B$1)</f>
        <v>0</v>
      </c>
      <c r="BJ16" s="125" cm="1">
        <f t="array" ref="BJ16">+_xll.EQNXTDZ($A$1,$B16,BJ$1,$B$1)</f>
        <v>0</v>
      </c>
      <c r="BK16" s="125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5" cm="1">
        <f t="array" ref="C17">+_xll.EQNXTDZ($A$1,$B17,C$1,$B$1)</f>
        <v>0</v>
      </c>
      <c r="D17" s="125" cm="1">
        <f t="array" ref="D17">+_xll.EQNXTDZ($A$1,$B17,D$1,$B$1)</f>
        <v>0</v>
      </c>
      <c r="E17" s="125" cm="1">
        <f t="array" ref="E17">+_xll.EQNXTDZ($A$1,$B17,E$1,$B$1)</f>
        <v>0</v>
      </c>
      <c r="F17" s="125" cm="1">
        <f t="array" ref="F17">+_xll.EQNXTDZ($A$1,$B17,F$1,$B$1)</f>
        <v>0</v>
      </c>
      <c r="G17" s="125" cm="1">
        <f t="array" ref="G17">+_xll.EQNXTDZ($A$1,$B17,G$1,$B$1)</f>
        <v>0</v>
      </c>
      <c r="H17" s="125" cm="1">
        <f t="array" ref="H17">+_xll.EQNXTDZ($A$1,$B17,H$1,$B$1)</f>
        <v>0</v>
      </c>
      <c r="I17" s="125" cm="1">
        <f t="array" ref="I17">+_xll.EQNXTDZ($A$1,$B17,I$1,$B$1)</f>
        <v>0</v>
      </c>
      <c r="J17" s="125" cm="1">
        <f t="array" ref="J17">+_xll.EQNXTDZ($A$1,$B17,J$1,$B$1)</f>
        <v>0</v>
      </c>
      <c r="K17" s="125" cm="1">
        <f t="array" ref="K17">+_xll.EQNXTDZ($A$1,$B17,K$1,$B$1)</f>
        <v>0</v>
      </c>
      <c r="L17" s="125" cm="1">
        <f t="array" ref="L17">+_xll.EQNXTDZ($A$1,$B17,L$1,$B$1)</f>
        <v>0</v>
      </c>
      <c r="M17" s="125" cm="1">
        <f t="array" ref="M17">+_xll.EQNXTDZ($A$1,$B17,M$1,$B$1)</f>
        <v>0</v>
      </c>
      <c r="N17" s="125" cm="1">
        <f t="array" ref="N17">+_xll.EQNXTDZ($A$1,$B17,N$1,$B$1)</f>
        <v>0</v>
      </c>
      <c r="O17" s="125" cm="1">
        <f t="array" ref="O17">+_xll.EQNXTDZ($A$1,$B17,O$1,$B$1)</f>
        <v>0</v>
      </c>
      <c r="P17" s="125" cm="1">
        <f t="array" ref="P17">+_xll.EQNXTDZ($A$1,$B17,P$1,$B$1)</f>
        <v>0</v>
      </c>
      <c r="Q17" s="125" cm="1">
        <f t="array" ref="Q17">+_xll.EQNXTDZ($A$1,$B17,Q$1,$B$1)</f>
        <v>0</v>
      </c>
      <c r="R17" s="125" cm="1">
        <f t="array" ref="R17">+_xll.EQNXTDZ($A$1,$B17,R$1,$B$1)</f>
        <v>0</v>
      </c>
      <c r="S17" s="125" cm="1">
        <f t="array" ref="S17">+_xll.EQNXTDZ($A$1,$B17,S$1,$B$1)</f>
        <v>0</v>
      </c>
      <c r="T17" s="125" cm="1">
        <f t="array" ref="T17">+_xll.EQNXTDZ($A$1,$B17,T$1,$B$1)</f>
        <v>0</v>
      </c>
      <c r="U17" s="125" cm="1">
        <f t="array" ref="U17">+_xll.EQNXTDZ($A$1,$B17,U$1,$B$1)</f>
        <v>0</v>
      </c>
      <c r="V17" s="125" cm="1">
        <f t="array" ref="V17">+_xll.EQNXTDZ($A$1,$B17,V$1,$B$1)</f>
        <v>0</v>
      </c>
      <c r="W17" s="125" cm="1">
        <f t="array" ref="W17">+_xll.EQNXTDZ($A$1,$B17,W$1,$B$1)</f>
        <v>0</v>
      </c>
      <c r="X17" s="125" cm="1">
        <f t="array" ref="X17">+_xll.EQNXTDZ($A$1,$B17,X$1,$B$1)</f>
        <v>0</v>
      </c>
      <c r="Y17" s="125" cm="1">
        <f t="array" ref="Y17">+_xll.EQNXTDZ($A$1,$B17,Y$1,$B$1)</f>
        <v>0</v>
      </c>
      <c r="Z17" s="125" cm="1">
        <f t="array" ref="Z17">+_xll.EQNXTDZ($A$1,$B17,Z$1,$B$1)</f>
        <v>0</v>
      </c>
      <c r="AA17" s="125" cm="1">
        <f t="array" ref="AA17">+_xll.EQNXTDZ($A$1,$B17,AA$1,$B$1)</f>
        <v>0</v>
      </c>
      <c r="AB17" s="125" cm="1">
        <f t="array" ref="AB17">+_xll.EQNXTDZ($A$1,$B17,AB$1,$B$1)</f>
        <v>0</v>
      </c>
      <c r="AC17" s="125" cm="1">
        <f t="array" ref="AC17">+_xll.EQNXTDZ($A$1,$B17,AC$1,$B$1)</f>
        <v>0</v>
      </c>
      <c r="AD17" s="125" cm="1">
        <f t="array" ref="AD17">+_xll.EQNXTDZ($A$1,$B17,AD$1,$B$1)</f>
        <v>0</v>
      </c>
      <c r="AE17" s="125" cm="1">
        <f t="array" ref="AE17">+_xll.EQNXTDZ($A$1,$B17,AE$1,$B$1)</f>
        <v>0</v>
      </c>
      <c r="AF17" s="125" cm="1">
        <f t="array" ref="AF17">+_xll.EQNXTDZ($A$1,$B17,AF$1,$B$1)</f>
        <v>0</v>
      </c>
      <c r="AG17" s="125" cm="1">
        <f t="array" ref="AG17">+_xll.EQNXTDZ($A$1,$B17,AG$1,$B$1)</f>
        <v>0</v>
      </c>
      <c r="AH17" s="125" cm="1">
        <f t="array" ref="AH17">+_xll.EQNXTDZ($A$1,$B17,AH$1,$B$1)</f>
        <v>0</v>
      </c>
      <c r="AI17" s="125" cm="1">
        <f t="array" ref="AI17">+_xll.EQNXTDZ($A$1,$B17,AI$1,$B$1)</f>
        <v>0</v>
      </c>
      <c r="AJ17" s="125" cm="1">
        <f t="array" ref="AJ17">+_xll.EQNXTDZ($A$1,$B17,AJ$1,$B$1)</f>
        <v>0</v>
      </c>
      <c r="AK17" s="125" cm="1">
        <f t="array" ref="AK17">+_xll.EQNXTDZ($A$1,$B17,AK$1,$B$1)</f>
        <v>0</v>
      </c>
      <c r="AL17" s="125" cm="1">
        <f t="array" ref="AL17">+_xll.EQNXTDZ($A$1,$B17,AL$1,$B$1)</f>
        <v>0</v>
      </c>
      <c r="AM17" s="125" cm="1">
        <f t="array" ref="AM17">+_xll.EQNXTDZ($A$1,$B17,AM$1,$B$1)</f>
        <v>0</v>
      </c>
      <c r="AN17" s="125" cm="1">
        <f t="array" ref="AN17">+_xll.EQNXTDZ($A$1,$B17,AN$1,$B$1)</f>
        <v>0</v>
      </c>
      <c r="AO17" s="125" cm="1">
        <f t="array" ref="AO17">+_xll.EQNXTDZ($A$1,$B17,AO$1,$B$1)</f>
        <v>0</v>
      </c>
      <c r="AP17" s="125" cm="1">
        <f t="array" ref="AP17">+_xll.EQNXTDZ($A$1,$B17,AP$1,$B$1)</f>
        <v>0</v>
      </c>
      <c r="AQ17" s="125" cm="1">
        <f t="array" ref="AQ17">+_xll.EQNXTDZ($A$1,$B17,AQ$1,$B$1)</f>
        <v>0</v>
      </c>
      <c r="AR17" s="125" cm="1">
        <f t="array" ref="AR17">+_xll.EQNXTDZ($A$1,$B17,AR$1,$B$1)</f>
        <v>0</v>
      </c>
      <c r="AS17" s="125" cm="1">
        <f t="array" ref="AS17">+_xll.EQNXTDZ($A$1,$B17,AS$1,$B$1)</f>
        <v>0</v>
      </c>
      <c r="AT17" s="125" cm="1">
        <f t="array" ref="AT17">+_xll.EQNXTDZ($A$1,$B17,AT$1,$B$1)</f>
        <v>0</v>
      </c>
      <c r="AU17" s="125" cm="1">
        <f t="array" ref="AU17">+_xll.EQNXTDZ($A$1,$B17,AU$1,$B$1)</f>
        <v>0</v>
      </c>
      <c r="AV17" s="125" cm="1">
        <f t="array" ref="AV17">+_xll.EQNXTDZ($A$1,$B17,AV$1,$B$1)</f>
        <v>0</v>
      </c>
      <c r="AW17" s="125" cm="1">
        <f t="array" ref="AW17">+_xll.EQNXTDZ($A$1,$B17,AW$1,$B$1)</f>
        <v>0</v>
      </c>
      <c r="AX17" s="125" cm="1">
        <f t="array" ref="AX17">+_xll.EQNXTDZ($A$1,$B17,AX$1,$B$1)</f>
        <v>0</v>
      </c>
      <c r="AY17" s="125" cm="1">
        <f t="array" ref="AY17">+_xll.EQNXTDZ($A$1,$B17,AY$1,$B$1)</f>
        <v>0</v>
      </c>
      <c r="AZ17" s="125" cm="1">
        <f t="array" ref="AZ17">+_xll.EQNXTDZ($A$1,$B17,AZ$1,$B$1)</f>
        <v>0</v>
      </c>
      <c r="BA17" s="125" cm="1">
        <f t="array" ref="BA17">+_xll.EQNXTDZ($A$1,$B17,BA$1,$B$1)</f>
        <v>0</v>
      </c>
      <c r="BB17" s="125" cm="1">
        <f t="array" ref="BB17">+_xll.EQNXTDZ($A$1,$B17,BB$1,$B$1)</f>
        <v>0</v>
      </c>
      <c r="BC17" s="125" cm="1">
        <f t="array" ref="BC17">+_xll.EQNXTDZ($A$1,$B17,BC$1,$B$1)</f>
        <v>0</v>
      </c>
      <c r="BD17" s="125" cm="1">
        <f t="array" ref="BD17">+_xll.EQNXTDZ($A$1,$B17,BD$1,$B$1)</f>
        <v>0</v>
      </c>
      <c r="BE17" s="125" cm="1">
        <f t="array" ref="BE17">+_xll.EQNXTDZ($A$1,$B17,BE$1,$B$1)</f>
        <v>0</v>
      </c>
      <c r="BF17" s="125" cm="1">
        <f t="array" ref="BF17">+_xll.EQNXTDZ($A$1,$B17,BF$1,$B$1)</f>
        <v>0</v>
      </c>
      <c r="BG17" s="125" cm="1">
        <f t="array" ref="BG17">+_xll.EQNXTDZ($A$1,$B17,BG$1,$B$1)</f>
        <v>0</v>
      </c>
      <c r="BH17" s="125" cm="1">
        <f t="array" ref="BH17">+_xll.EQNXTDZ($A$1,$B17,BH$1,$B$1)</f>
        <v>0</v>
      </c>
      <c r="BI17" s="125" cm="1">
        <f t="array" ref="BI17">+_xll.EQNXTDZ($A$1,$B17,BI$1,$B$1)</f>
        <v>0</v>
      </c>
      <c r="BJ17" s="125" cm="1">
        <f t="array" ref="BJ17">+_xll.EQNXTDZ($A$1,$B17,BJ$1,$B$1)</f>
        <v>0</v>
      </c>
      <c r="BK17" s="125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5" cm="1">
        <f t="array" ref="C18">+_xll.EQNXTDZ($A$1,$B18,C$1,$B$1)</f>
        <v>0</v>
      </c>
      <c r="D18" s="125" cm="1">
        <f t="array" ref="D18">+_xll.EQNXTDZ($A$1,$B18,D$1,$B$1)</f>
        <v>0</v>
      </c>
      <c r="E18" s="125" cm="1">
        <f t="array" ref="E18">+_xll.EQNXTDZ($A$1,$B18,E$1,$B$1)</f>
        <v>0</v>
      </c>
      <c r="F18" s="125" cm="1">
        <f t="array" ref="F18">+_xll.EQNXTDZ($A$1,$B18,F$1,$B$1)</f>
        <v>0</v>
      </c>
      <c r="G18" s="125" cm="1">
        <f t="array" ref="G18">+_xll.EQNXTDZ($A$1,$B18,G$1,$B$1)</f>
        <v>0</v>
      </c>
      <c r="H18" s="125" cm="1">
        <f t="array" ref="H18">+_xll.EQNXTDZ($A$1,$B18,H$1,$B$1)</f>
        <v>0</v>
      </c>
      <c r="I18" s="125" cm="1">
        <f t="array" ref="I18">+_xll.EQNXTDZ($A$1,$B18,I$1,$B$1)</f>
        <v>0</v>
      </c>
      <c r="J18" s="125" cm="1">
        <f t="array" ref="J18">+_xll.EQNXTDZ($A$1,$B18,J$1,$B$1)</f>
        <v>0</v>
      </c>
      <c r="K18" s="125" cm="1">
        <f t="array" ref="K18">+_xll.EQNXTDZ($A$1,$B18,K$1,$B$1)</f>
        <v>0</v>
      </c>
      <c r="L18" s="125" cm="1">
        <f t="array" ref="L18">+_xll.EQNXTDZ($A$1,$B18,L$1,$B$1)</f>
        <v>0</v>
      </c>
      <c r="M18" s="125" cm="1">
        <f t="array" ref="M18">+_xll.EQNXTDZ($A$1,$B18,M$1,$B$1)</f>
        <v>0</v>
      </c>
      <c r="N18" s="125" cm="1">
        <f t="array" ref="N18">+_xll.EQNXTDZ($A$1,$B18,N$1,$B$1)</f>
        <v>0</v>
      </c>
      <c r="O18" s="125" cm="1">
        <f t="array" ref="O18">+_xll.EQNXTDZ($A$1,$B18,O$1,$B$1)</f>
        <v>0</v>
      </c>
      <c r="P18" s="125" cm="1">
        <f t="array" ref="P18">+_xll.EQNXTDZ($A$1,$B18,P$1,$B$1)</f>
        <v>0</v>
      </c>
      <c r="Q18" s="125" cm="1">
        <f t="array" ref="Q18">+_xll.EQNXTDZ($A$1,$B18,Q$1,$B$1)</f>
        <v>0</v>
      </c>
      <c r="R18" s="125" cm="1">
        <f t="array" ref="R18">+_xll.EQNXTDZ($A$1,$B18,R$1,$B$1)</f>
        <v>0</v>
      </c>
      <c r="S18" s="125" cm="1">
        <f t="array" ref="S18">+_xll.EQNXTDZ($A$1,$B18,S$1,$B$1)</f>
        <v>0</v>
      </c>
      <c r="T18" s="125" cm="1">
        <f t="array" ref="T18">+_xll.EQNXTDZ($A$1,$B18,T$1,$B$1)</f>
        <v>0</v>
      </c>
      <c r="U18" s="125" cm="1">
        <f t="array" ref="U18">+_xll.EQNXTDZ($A$1,$B18,U$1,$B$1)</f>
        <v>0</v>
      </c>
      <c r="V18" s="125" cm="1">
        <f t="array" ref="V18">+_xll.EQNXTDZ($A$1,$B18,V$1,$B$1)</f>
        <v>0</v>
      </c>
      <c r="W18" s="125" cm="1">
        <f t="array" ref="W18">+_xll.EQNXTDZ($A$1,$B18,W$1,$B$1)</f>
        <v>0</v>
      </c>
      <c r="X18" s="125" cm="1">
        <f t="array" ref="X18">+_xll.EQNXTDZ($A$1,$B18,X$1,$B$1)</f>
        <v>0</v>
      </c>
      <c r="Y18" s="125" cm="1">
        <f t="array" ref="Y18">+_xll.EQNXTDZ($A$1,$B18,Y$1,$B$1)</f>
        <v>0</v>
      </c>
      <c r="Z18" s="125" cm="1">
        <f t="array" ref="Z18">+_xll.EQNXTDZ($A$1,$B18,Z$1,$B$1)</f>
        <v>0</v>
      </c>
      <c r="AA18" s="125" cm="1">
        <f t="array" ref="AA18">+_xll.EQNXTDZ($A$1,$B18,AA$1,$B$1)</f>
        <v>0</v>
      </c>
      <c r="AB18" s="125" cm="1">
        <f t="array" ref="AB18">+_xll.EQNXTDZ($A$1,$B18,AB$1,$B$1)</f>
        <v>0</v>
      </c>
      <c r="AC18" s="125" cm="1">
        <f t="array" ref="AC18">+_xll.EQNXTDZ($A$1,$B18,AC$1,$B$1)</f>
        <v>0</v>
      </c>
      <c r="AD18" s="125" cm="1">
        <f t="array" ref="AD18">+_xll.EQNXTDZ($A$1,$B18,AD$1,$B$1)</f>
        <v>0</v>
      </c>
      <c r="AE18" s="125" cm="1">
        <f t="array" ref="AE18">+_xll.EQNXTDZ($A$1,$B18,AE$1,$B$1)</f>
        <v>0</v>
      </c>
      <c r="AF18" s="125" cm="1">
        <f t="array" ref="AF18">+_xll.EQNXTDZ($A$1,$B18,AF$1,$B$1)</f>
        <v>0</v>
      </c>
      <c r="AG18" s="125" cm="1">
        <f t="array" ref="AG18">+_xll.EQNXTDZ($A$1,$B18,AG$1,$B$1)</f>
        <v>0</v>
      </c>
      <c r="AH18" s="125" cm="1">
        <f t="array" ref="AH18">+_xll.EQNXTDZ($A$1,$B18,AH$1,$B$1)</f>
        <v>0</v>
      </c>
      <c r="AI18" s="125" cm="1">
        <f t="array" ref="AI18">+_xll.EQNXTDZ($A$1,$B18,AI$1,$B$1)</f>
        <v>0</v>
      </c>
      <c r="AJ18" s="125" cm="1">
        <f t="array" ref="AJ18">+_xll.EQNXTDZ($A$1,$B18,AJ$1,$B$1)</f>
        <v>0</v>
      </c>
      <c r="AK18" s="125" cm="1">
        <f t="array" ref="AK18">+_xll.EQNXTDZ($A$1,$B18,AK$1,$B$1)</f>
        <v>0</v>
      </c>
      <c r="AL18" s="125" cm="1">
        <f t="array" ref="AL18">+_xll.EQNXTDZ($A$1,$B18,AL$1,$B$1)</f>
        <v>0</v>
      </c>
      <c r="AM18" s="125" cm="1">
        <f t="array" ref="AM18">+_xll.EQNXTDZ($A$1,$B18,AM$1,$B$1)</f>
        <v>0</v>
      </c>
      <c r="AN18" s="125" cm="1">
        <f t="array" ref="AN18">+_xll.EQNXTDZ($A$1,$B18,AN$1,$B$1)</f>
        <v>0</v>
      </c>
      <c r="AO18" s="125" cm="1">
        <f t="array" ref="AO18">+_xll.EQNXTDZ($A$1,$B18,AO$1,$B$1)</f>
        <v>0</v>
      </c>
      <c r="AP18" s="125" cm="1">
        <f t="array" ref="AP18">+_xll.EQNXTDZ($A$1,$B18,AP$1,$B$1)</f>
        <v>0</v>
      </c>
      <c r="AQ18" s="125" cm="1">
        <f t="array" ref="AQ18">+_xll.EQNXTDZ($A$1,$B18,AQ$1,$B$1)</f>
        <v>0</v>
      </c>
      <c r="AR18" s="125" cm="1">
        <f t="array" ref="AR18">+_xll.EQNXTDZ($A$1,$B18,AR$1,$B$1)</f>
        <v>0</v>
      </c>
      <c r="AS18" s="125" cm="1">
        <f t="array" ref="AS18">+_xll.EQNXTDZ($A$1,$B18,AS$1,$B$1)</f>
        <v>0</v>
      </c>
      <c r="AT18" s="125" cm="1">
        <f t="array" ref="AT18">+_xll.EQNXTDZ($A$1,$B18,AT$1,$B$1)</f>
        <v>0</v>
      </c>
      <c r="AU18" s="125" cm="1">
        <f t="array" ref="AU18">+_xll.EQNXTDZ($A$1,$B18,AU$1,$B$1)</f>
        <v>0</v>
      </c>
      <c r="AV18" s="125" cm="1">
        <f t="array" ref="AV18">+_xll.EQNXTDZ($A$1,$B18,AV$1,$B$1)</f>
        <v>0</v>
      </c>
      <c r="AW18" s="125" cm="1">
        <f t="array" ref="AW18">+_xll.EQNXTDZ($A$1,$B18,AW$1,$B$1)</f>
        <v>0</v>
      </c>
      <c r="AX18" s="125" cm="1">
        <f t="array" ref="AX18">+_xll.EQNXTDZ($A$1,$B18,AX$1,$B$1)</f>
        <v>0</v>
      </c>
      <c r="AY18" s="125" cm="1">
        <f t="array" ref="AY18">+_xll.EQNXTDZ($A$1,$B18,AY$1,$B$1)</f>
        <v>0</v>
      </c>
      <c r="AZ18" s="125" cm="1">
        <f t="array" ref="AZ18">+_xll.EQNXTDZ($A$1,$B18,AZ$1,$B$1)</f>
        <v>0</v>
      </c>
      <c r="BA18" s="125" cm="1">
        <f t="array" ref="BA18">+_xll.EQNXTDZ($A$1,$B18,BA$1,$B$1)</f>
        <v>0</v>
      </c>
      <c r="BB18" s="125" cm="1">
        <f t="array" ref="BB18">+_xll.EQNXTDZ($A$1,$B18,BB$1,$B$1)</f>
        <v>0</v>
      </c>
      <c r="BC18" s="125" cm="1">
        <f t="array" ref="BC18">+_xll.EQNXTDZ($A$1,$B18,BC$1,$B$1)</f>
        <v>0</v>
      </c>
      <c r="BD18" s="125" cm="1">
        <f t="array" ref="BD18">+_xll.EQNXTDZ($A$1,$B18,BD$1,$B$1)</f>
        <v>0</v>
      </c>
      <c r="BE18" s="125" cm="1">
        <f t="array" ref="BE18">+_xll.EQNXTDZ($A$1,$B18,BE$1,$B$1)</f>
        <v>0</v>
      </c>
      <c r="BF18" s="125" cm="1">
        <f t="array" ref="BF18">+_xll.EQNXTDZ($A$1,$B18,BF$1,$B$1)</f>
        <v>0</v>
      </c>
      <c r="BG18" s="125" cm="1">
        <f t="array" ref="BG18">+_xll.EQNXTDZ($A$1,$B18,BG$1,$B$1)</f>
        <v>0</v>
      </c>
      <c r="BH18" s="125" cm="1">
        <f t="array" ref="BH18">+_xll.EQNXTDZ($A$1,$B18,BH$1,$B$1)</f>
        <v>0</v>
      </c>
      <c r="BI18" s="125" cm="1">
        <f t="array" ref="BI18">+_xll.EQNXTDZ($A$1,$B18,BI$1,$B$1)</f>
        <v>0</v>
      </c>
      <c r="BJ18" s="125" cm="1">
        <f t="array" ref="BJ18">+_xll.EQNXTDZ($A$1,$B18,BJ$1,$B$1)</f>
        <v>0</v>
      </c>
      <c r="BK18" s="125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5" cm="1">
        <f t="array" ref="C19">+_xll.EQNXTDZ($A$1,$B19,C$1,$B$1)</f>
        <v>0</v>
      </c>
      <c r="D19" s="125" cm="1">
        <f t="array" ref="D19">+_xll.EQNXTDZ($A$1,$B19,D$1,$B$1)</f>
        <v>0</v>
      </c>
      <c r="E19" s="125" cm="1">
        <f t="array" ref="E19">+_xll.EQNXTDZ($A$1,$B19,E$1,$B$1)</f>
        <v>0</v>
      </c>
      <c r="F19" s="125" cm="1">
        <f t="array" ref="F19">+_xll.EQNXTDZ($A$1,$B19,F$1,$B$1)</f>
        <v>0</v>
      </c>
      <c r="G19" s="125" cm="1">
        <f t="array" ref="G19">+_xll.EQNXTDZ($A$1,$B19,G$1,$B$1)</f>
        <v>0</v>
      </c>
      <c r="H19" s="125" cm="1">
        <f t="array" ref="H19">+_xll.EQNXTDZ($A$1,$B19,H$1,$B$1)</f>
        <v>0</v>
      </c>
      <c r="I19" s="125" cm="1">
        <f t="array" ref="I19">+_xll.EQNXTDZ($A$1,$B19,I$1,$B$1)</f>
        <v>0</v>
      </c>
      <c r="J19" s="125" cm="1">
        <f t="array" ref="J19">+_xll.EQNXTDZ($A$1,$B19,J$1,$B$1)</f>
        <v>0</v>
      </c>
      <c r="K19" s="125" cm="1">
        <f t="array" ref="K19">+_xll.EQNXTDZ($A$1,$B19,K$1,$B$1)</f>
        <v>0</v>
      </c>
      <c r="L19" s="125" cm="1">
        <f t="array" ref="L19">+_xll.EQNXTDZ($A$1,$B19,L$1,$B$1)</f>
        <v>0</v>
      </c>
      <c r="M19" s="125" cm="1">
        <f t="array" ref="M19">+_xll.EQNXTDZ($A$1,$B19,M$1,$B$1)</f>
        <v>0</v>
      </c>
      <c r="N19" s="125" cm="1">
        <f t="array" ref="N19">+_xll.EQNXTDZ($A$1,$B19,N$1,$B$1)</f>
        <v>0</v>
      </c>
      <c r="O19" s="125" cm="1">
        <f t="array" ref="O19">+_xll.EQNXTDZ($A$1,$B19,O$1,$B$1)</f>
        <v>0</v>
      </c>
      <c r="P19" s="125" cm="1">
        <f t="array" ref="P19">+_xll.EQNXTDZ($A$1,$B19,P$1,$B$1)</f>
        <v>0</v>
      </c>
      <c r="Q19" s="125" cm="1">
        <f t="array" ref="Q19">+_xll.EQNXTDZ($A$1,$B19,Q$1,$B$1)</f>
        <v>0</v>
      </c>
      <c r="R19" s="125" cm="1">
        <f t="array" ref="R19">+_xll.EQNXTDZ($A$1,$B19,R$1,$B$1)</f>
        <v>0</v>
      </c>
      <c r="S19" s="125" cm="1">
        <f t="array" ref="S19">+_xll.EQNXTDZ($A$1,$B19,S$1,$B$1)</f>
        <v>0</v>
      </c>
      <c r="T19" s="125" cm="1">
        <f t="array" ref="T19">+_xll.EQNXTDZ($A$1,$B19,T$1,$B$1)</f>
        <v>0</v>
      </c>
      <c r="U19" s="125" cm="1">
        <f t="array" ref="U19">+_xll.EQNXTDZ($A$1,$B19,U$1,$B$1)</f>
        <v>0</v>
      </c>
      <c r="V19" s="125" cm="1">
        <f t="array" ref="V19">+_xll.EQNXTDZ($A$1,$B19,V$1,$B$1)</f>
        <v>0</v>
      </c>
      <c r="W19" s="125" cm="1">
        <f t="array" ref="W19">+_xll.EQNXTDZ($A$1,$B19,W$1,$B$1)</f>
        <v>0</v>
      </c>
      <c r="X19" s="125" cm="1">
        <f t="array" ref="X19">+_xll.EQNXTDZ($A$1,$B19,X$1,$B$1)</f>
        <v>0</v>
      </c>
      <c r="Y19" s="125" cm="1">
        <f t="array" ref="Y19">+_xll.EQNXTDZ($A$1,$B19,Y$1,$B$1)</f>
        <v>0</v>
      </c>
      <c r="Z19" s="125" cm="1">
        <f t="array" ref="Z19">+_xll.EQNXTDZ($A$1,$B19,Z$1,$B$1)</f>
        <v>0</v>
      </c>
      <c r="AA19" s="125" cm="1">
        <f t="array" ref="AA19">+_xll.EQNXTDZ($A$1,$B19,AA$1,$B$1)</f>
        <v>0</v>
      </c>
      <c r="AB19" s="125" cm="1">
        <f t="array" ref="AB19">+_xll.EQNXTDZ($A$1,$B19,AB$1,$B$1)</f>
        <v>0</v>
      </c>
      <c r="AC19" s="125" cm="1">
        <f t="array" ref="AC19">+_xll.EQNXTDZ($A$1,$B19,AC$1,$B$1)</f>
        <v>0</v>
      </c>
      <c r="AD19" s="125" cm="1">
        <f t="array" ref="AD19">+_xll.EQNXTDZ($A$1,$B19,AD$1,$B$1)</f>
        <v>0</v>
      </c>
      <c r="AE19" s="125" cm="1">
        <f t="array" ref="AE19">+_xll.EQNXTDZ($A$1,$B19,AE$1,$B$1)</f>
        <v>0</v>
      </c>
      <c r="AF19" s="125" cm="1">
        <f t="array" ref="AF19">+_xll.EQNXTDZ($A$1,$B19,AF$1,$B$1)</f>
        <v>0</v>
      </c>
      <c r="AG19" s="125" cm="1">
        <f t="array" ref="AG19">+_xll.EQNXTDZ($A$1,$B19,AG$1,$B$1)</f>
        <v>0</v>
      </c>
      <c r="AH19" s="125" cm="1">
        <f t="array" ref="AH19">+_xll.EQNXTDZ($A$1,$B19,AH$1,$B$1)</f>
        <v>0</v>
      </c>
      <c r="AI19" s="125" cm="1">
        <f t="array" ref="AI19">+_xll.EQNXTDZ($A$1,$B19,AI$1,$B$1)</f>
        <v>0</v>
      </c>
      <c r="AJ19" s="125" cm="1">
        <f t="array" ref="AJ19">+_xll.EQNXTDZ($A$1,$B19,AJ$1,$B$1)</f>
        <v>0</v>
      </c>
      <c r="AK19" s="125" cm="1">
        <f t="array" ref="AK19">+_xll.EQNXTDZ($A$1,$B19,AK$1,$B$1)</f>
        <v>0</v>
      </c>
      <c r="AL19" s="125" cm="1">
        <f t="array" ref="AL19">+_xll.EQNXTDZ($A$1,$B19,AL$1,$B$1)</f>
        <v>0</v>
      </c>
      <c r="AM19" s="125" cm="1">
        <f t="array" ref="AM19">+_xll.EQNXTDZ($A$1,$B19,AM$1,$B$1)</f>
        <v>0</v>
      </c>
      <c r="AN19" s="125" cm="1">
        <f t="array" ref="AN19">+_xll.EQNXTDZ($A$1,$B19,AN$1,$B$1)</f>
        <v>0</v>
      </c>
      <c r="AO19" s="125" cm="1">
        <f t="array" ref="AO19">+_xll.EQNXTDZ($A$1,$B19,AO$1,$B$1)</f>
        <v>0</v>
      </c>
      <c r="AP19" s="125" cm="1">
        <f t="array" ref="AP19">+_xll.EQNXTDZ($A$1,$B19,AP$1,$B$1)</f>
        <v>0</v>
      </c>
      <c r="AQ19" s="125" cm="1">
        <f t="array" ref="AQ19">+_xll.EQNXTDZ($A$1,$B19,AQ$1,$B$1)</f>
        <v>0</v>
      </c>
      <c r="AR19" s="125" cm="1">
        <f t="array" ref="AR19">+_xll.EQNXTDZ($A$1,$B19,AR$1,$B$1)</f>
        <v>0</v>
      </c>
      <c r="AS19" s="125" cm="1">
        <f t="array" ref="AS19">+_xll.EQNXTDZ($A$1,$B19,AS$1,$B$1)</f>
        <v>0</v>
      </c>
      <c r="AT19" s="125" cm="1">
        <f t="array" ref="AT19">+_xll.EQNXTDZ($A$1,$B19,AT$1,$B$1)</f>
        <v>0</v>
      </c>
      <c r="AU19" s="125" cm="1">
        <f t="array" ref="AU19">+_xll.EQNXTDZ($A$1,$B19,AU$1,$B$1)</f>
        <v>0</v>
      </c>
      <c r="AV19" s="125" cm="1">
        <f t="array" ref="AV19">+_xll.EQNXTDZ($A$1,$B19,AV$1,$B$1)</f>
        <v>0</v>
      </c>
      <c r="AW19" s="125" cm="1">
        <f t="array" ref="AW19">+_xll.EQNXTDZ($A$1,$B19,AW$1,$B$1)</f>
        <v>0</v>
      </c>
      <c r="AX19" s="125" cm="1">
        <f t="array" ref="AX19">+_xll.EQNXTDZ($A$1,$B19,AX$1,$B$1)</f>
        <v>0</v>
      </c>
      <c r="AY19" s="125" cm="1">
        <f t="array" ref="AY19">+_xll.EQNXTDZ($A$1,$B19,AY$1,$B$1)</f>
        <v>0</v>
      </c>
      <c r="AZ19" s="125" cm="1">
        <f t="array" ref="AZ19">+_xll.EQNXTDZ($A$1,$B19,AZ$1,$B$1)</f>
        <v>0</v>
      </c>
      <c r="BA19" s="125" cm="1">
        <f t="array" ref="BA19">+_xll.EQNXTDZ($A$1,$B19,BA$1,$B$1)</f>
        <v>0</v>
      </c>
      <c r="BB19" s="125" cm="1">
        <f t="array" ref="BB19">+_xll.EQNXTDZ($A$1,$B19,BB$1,$B$1)</f>
        <v>0</v>
      </c>
      <c r="BC19" s="125" cm="1">
        <f t="array" ref="BC19">+_xll.EQNXTDZ($A$1,$B19,BC$1,$B$1)</f>
        <v>0</v>
      </c>
      <c r="BD19" s="125" cm="1">
        <f t="array" ref="BD19">+_xll.EQNXTDZ($A$1,$B19,BD$1,$B$1)</f>
        <v>0</v>
      </c>
      <c r="BE19" s="125" cm="1">
        <f t="array" ref="BE19">+_xll.EQNXTDZ($A$1,$B19,BE$1,$B$1)</f>
        <v>0</v>
      </c>
      <c r="BF19" s="125" cm="1">
        <f t="array" ref="BF19">+_xll.EQNXTDZ($A$1,$B19,BF$1,$B$1)</f>
        <v>0</v>
      </c>
      <c r="BG19" s="125" cm="1">
        <f t="array" ref="BG19">+_xll.EQNXTDZ($A$1,$B19,BG$1,$B$1)</f>
        <v>0</v>
      </c>
      <c r="BH19" s="125" cm="1">
        <f t="array" ref="BH19">+_xll.EQNXTDZ($A$1,$B19,BH$1,$B$1)</f>
        <v>0</v>
      </c>
      <c r="BI19" s="125" cm="1">
        <f t="array" ref="BI19">+_xll.EQNXTDZ($A$1,$B19,BI$1,$B$1)</f>
        <v>0</v>
      </c>
      <c r="BJ19" s="125" cm="1">
        <f t="array" ref="BJ19">+_xll.EQNXTDZ($A$1,$B19,BJ$1,$B$1)</f>
        <v>0</v>
      </c>
      <c r="BK19" s="125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5" cm="1">
        <f t="array" ref="C20">+_xll.EQNXTDZ($A$1,$B20,C$1,$B$1)</f>
        <v>0</v>
      </c>
      <c r="D20" s="125" cm="1">
        <f t="array" ref="D20">+_xll.EQNXTDZ($A$1,$B20,D$1,$B$1)</f>
        <v>0</v>
      </c>
      <c r="E20" s="125" cm="1">
        <f t="array" ref="E20">+_xll.EQNXTDZ($A$1,$B20,E$1,$B$1)</f>
        <v>0</v>
      </c>
      <c r="F20" s="125" cm="1">
        <f t="array" ref="F20">+_xll.EQNXTDZ($A$1,$B20,F$1,$B$1)</f>
        <v>0</v>
      </c>
      <c r="G20" s="125" cm="1">
        <f t="array" ref="G20">+_xll.EQNXTDZ($A$1,$B20,G$1,$B$1)</f>
        <v>0</v>
      </c>
      <c r="H20" s="125" cm="1">
        <f t="array" ref="H20">+_xll.EQNXTDZ($A$1,$B20,H$1,$B$1)</f>
        <v>0</v>
      </c>
      <c r="I20" s="125" cm="1">
        <f t="array" ref="I20">+_xll.EQNXTDZ($A$1,$B20,I$1,$B$1)</f>
        <v>0</v>
      </c>
      <c r="J20" s="125" cm="1">
        <f t="array" ref="J20">+_xll.EQNXTDZ($A$1,$B20,J$1,$B$1)</f>
        <v>0</v>
      </c>
      <c r="K20" s="125" cm="1">
        <f t="array" ref="K20">+_xll.EQNXTDZ($A$1,$B20,K$1,$B$1)</f>
        <v>0</v>
      </c>
      <c r="L20" s="125" cm="1">
        <f t="array" ref="L20">+_xll.EQNXTDZ($A$1,$B20,L$1,$B$1)</f>
        <v>0</v>
      </c>
      <c r="M20" s="125" cm="1">
        <f t="array" ref="M20">+_xll.EQNXTDZ($A$1,$B20,M$1,$B$1)</f>
        <v>31.39</v>
      </c>
      <c r="N20" s="125" cm="1">
        <f t="array" ref="N20">+_xll.EQNXTDZ($A$1,$B20,N$1,$B$1)</f>
        <v>31.29</v>
      </c>
      <c r="O20" s="125" cm="1">
        <f t="array" ref="O20">+_xll.EQNXTDZ($A$1,$B20,O$1,$B$1)</f>
        <v>38.68</v>
      </c>
      <c r="P20" s="125" cm="1">
        <f t="array" ref="P20">+_xll.EQNXTDZ($A$1,$B20,P$1,$B$1)</f>
        <v>40.51</v>
      </c>
      <c r="Q20" s="125" cm="1">
        <f t="array" ref="Q20">+_xll.EQNXTDZ($A$1,$B20,Q$1,$B$1)</f>
        <v>46.58</v>
      </c>
      <c r="R20" s="125" cm="1">
        <f t="array" ref="R20">+_xll.EQNXTDZ($A$1,$B20,R$1,$B$1)</f>
        <v>48.99</v>
      </c>
      <c r="S20" s="125" cm="1">
        <f t="array" ref="S20">+_xll.EQNXTDZ($A$1,$B20,S$1,$B$1)</f>
        <v>49.97</v>
      </c>
      <c r="T20" s="125" cm="1">
        <f t="array" ref="T20">+_xll.EQNXTDZ($A$1,$B20,T$1,$B$1)</f>
        <v>58.64</v>
      </c>
      <c r="U20" s="125" cm="1">
        <f t="array" ref="U20">+_xll.EQNXTDZ($A$1,$B20,U$1,$B$1)</f>
        <v>65.41</v>
      </c>
      <c r="V20" s="125" cm="1">
        <f t="array" ref="V20">+_xll.EQNXTDZ($A$1,$B20,V$1,$B$1)</f>
        <v>67.44</v>
      </c>
      <c r="W20" s="125" cm="1">
        <f t="array" ref="W20">+_xll.EQNXTDZ($A$1,$B20,W$1,$B$1)</f>
        <v>70.569999999999993</v>
      </c>
      <c r="X20" s="125" cm="1">
        <f t="array" ref="X20">+_xll.EQNXTDZ($A$1,$B20,X$1,$B$1)</f>
        <v>97.22</v>
      </c>
      <c r="Y20" s="125" cm="1">
        <f t="array" ref="Y20">+_xll.EQNXTDZ($A$1,$B20,Y$1,$B$1)</f>
        <v>92.11</v>
      </c>
      <c r="Z20" s="125" cm="1">
        <f t="array" ref="Z20">+_xll.EQNXTDZ($A$1,$B20,Z$1,$B$1)</f>
        <v>94.97</v>
      </c>
      <c r="AA20" s="125" cm="1">
        <f t="array" ref="AA20">+_xll.EQNXTDZ($A$1,$B20,AA$1,$B$1)</f>
        <v>95.69</v>
      </c>
      <c r="AB20" s="125" cm="1">
        <f t="array" ref="AB20">+_xll.EQNXTDZ($A$1,$B20,AB$1,$B$1)</f>
        <v>100.64</v>
      </c>
      <c r="AC20" s="125" cm="1">
        <f t="array" ref="AC20">+_xll.EQNXTDZ($A$1,$B20,AC$1,$B$1)</f>
        <v>111.93</v>
      </c>
      <c r="AD20" s="125" cm="1">
        <f t="array" ref="AD20">+_xll.EQNXTDZ($A$1,$B20,AD$1,$B$1)</f>
        <v>112.75</v>
      </c>
      <c r="AE20" s="125" cm="1">
        <f t="array" ref="AE20">+_xll.EQNXTDZ($A$1,$B20,AE$1,$B$1)</f>
        <v>112.25</v>
      </c>
      <c r="AF20" s="125" cm="1">
        <f t="array" ref="AF20">+_xll.EQNXTDZ($A$1,$B20,AF$1,$B$1)</f>
        <v>123.9</v>
      </c>
      <c r="AG20" s="125" cm="1">
        <f t="array" ref="AG20">+_xll.EQNXTDZ($A$1,$B20,AG$1,$B$1)</f>
        <v>129.68</v>
      </c>
      <c r="AH20" s="125" cm="1">
        <f t="array" ref="AH20">+_xll.EQNXTDZ($A$1,$B20,AH$1,$B$1)</f>
        <v>127.14</v>
      </c>
      <c r="AI20" s="125" cm="1">
        <f t="array" ref="AI20">+_xll.EQNXTDZ($A$1,$B20,AI$1,$B$1)</f>
        <v>134.52000000000001</v>
      </c>
      <c r="AJ20" s="125" cm="1">
        <f t="array" ref="AJ20">+_xll.EQNXTDZ($A$1,$B20,AJ$1,$B$1)</f>
        <v>156.32</v>
      </c>
      <c r="AK20" s="125" cm="1">
        <f t="array" ref="AK20">+_xll.EQNXTDZ($A$1,$B20,AK$1,$B$1)</f>
        <v>161.76</v>
      </c>
      <c r="AL20" s="125" cm="1">
        <f t="array" ref="AL20">+_xll.EQNXTDZ($A$1,$B20,AL$1,$B$1)</f>
        <v>156.71</v>
      </c>
      <c r="AM20" s="125" cm="1">
        <f t="array" ref="AM20">+_xll.EQNXTDZ($A$1,$B20,AM$1,$B$1)</f>
        <v>194.64</v>
      </c>
      <c r="AN20" s="125" cm="1">
        <f t="array" ref="AN20">+_xll.EQNXTDZ($A$1,$B20,AN$1,$B$1)</f>
        <v>187.79</v>
      </c>
      <c r="AO20" s="125" cm="1">
        <f t="array" ref="AO20">+_xll.EQNXTDZ($A$1,$B20,AO$1,$B$1)</f>
        <v>188.83</v>
      </c>
      <c r="AP20" s="125" cm="1">
        <f t="array" ref="AP20">+_xll.EQNXTDZ($A$1,$B20,AP$1,$B$1)</f>
        <v>178.37</v>
      </c>
      <c r="AQ20" s="125" cm="1">
        <f t="array" ref="AQ20">+_xll.EQNXTDZ($A$1,$B20,AQ$1,$B$1)</f>
        <v>175.36</v>
      </c>
      <c r="AR20" s="125" cm="1">
        <f t="array" ref="AR20">+_xll.EQNXTDZ($A$1,$B20,AR$1,$B$1)</f>
        <v>221.21</v>
      </c>
      <c r="AS20" s="125" cm="1">
        <f t="array" ref="AS20">+_xll.EQNXTDZ($A$1,$B20,AS$1,$B$1)</f>
        <v>219.32</v>
      </c>
      <c r="AT20" s="125" cm="1">
        <f t="array" ref="AT20">+_xll.EQNXTDZ($A$1,$B20,AT$1,$B$1)</f>
        <v>226.85</v>
      </c>
      <c r="AU20" s="125" cm="1">
        <f t="array" ref="AU20">+_xll.EQNXTDZ($A$1,$B20,AU$1,$B$1)</f>
        <v>211.71</v>
      </c>
      <c r="AV20" s="125" cm="1">
        <f t="array" ref="AV20">+_xll.EQNXTDZ($A$1,$B20,AV$1,$B$1)</f>
        <v>0</v>
      </c>
      <c r="AW20" s="125" cm="1">
        <f t="array" ref="AW20">+_xll.EQNXTDZ($A$1,$B20,AW$1,$B$1)</f>
        <v>0</v>
      </c>
      <c r="AX20" s="125" cm="1">
        <f t="array" ref="AX20">+_xll.EQNXTDZ($A$1,$B20,AX$1,$B$1)</f>
        <v>0</v>
      </c>
      <c r="AY20" s="125" cm="1">
        <f t="array" ref="AY20">+_xll.EQNXTDZ($A$1,$B20,AY$1,$B$1)</f>
        <v>0</v>
      </c>
      <c r="AZ20" s="125" cm="1">
        <f t="array" ref="AZ20">+_xll.EQNXTDZ($A$1,$B20,AZ$1,$B$1)</f>
        <v>0</v>
      </c>
      <c r="BA20" s="125" cm="1">
        <f t="array" ref="BA20">+_xll.EQNXTDZ($A$1,$B20,BA$1,$B$1)</f>
        <v>0</v>
      </c>
      <c r="BB20" s="125" cm="1">
        <f t="array" ref="BB20">+_xll.EQNXTDZ($A$1,$B20,BB$1,$B$1)</f>
        <v>0</v>
      </c>
      <c r="BC20" s="125" cm="1">
        <f t="array" ref="BC20">+_xll.EQNXTDZ($A$1,$B20,BC$1,$B$1)</f>
        <v>0</v>
      </c>
      <c r="BD20" s="125" cm="1">
        <f t="array" ref="BD20">+_xll.EQNXTDZ($A$1,$B20,BD$1,$B$1)</f>
        <v>0</v>
      </c>
      <c r="BE20" s="125" cm="1">
        <f t="array" ref="BE20">+_xll.EQNXTDZ($A$1,$B20,BE$1,$B$1)</f>
        <v>0</v>
      </c>
      <c r="BF20" s="125" cm="1">
        <f t="array" ref="BF20">+_xll.EQNXTDZ($A$1,$B20,BF$1,$B$1)</f>
        <v>0</v>
      </c>
      <c r="BG20" s="125" cm="1">
        <f t="array" ref="BG20">+_xll.EQNXTDZ($A$1,$B20,BG$1,$B$1)</f>
        <v>0</v>
      </c>
      <c r="BH20" s="125" cm="1">
        <f t="array" ref="BH20">+_xll.EQNXTDZ($A$1,$B20,BH$1,$B$1)</f>
        <v>0</v>
      </c>
      <c r="BI20" s="125" cm="1">
        <f t="array" ref="BI20">+_xll.EQNXTDZ($A$1,$B20,BI$1,$B$1)</f>
        <v>0</v>
      </c>
      <c r="BJ20" s="125" cm="1">
        <f t="array" ref="BJ20">+_xll.EQNXTDZ($A$1,$B20,BJ$1,$B$1)</f>
        <v>0</v>
      </c>
      <c r="BK20" s="125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5" cm="1">
        <f t="array" ref="C21">+_xll.EQNXTDZ($A$1,$B21,C$1,$B$1)</f>
        <v>0</v>
      </c>
      <c r="D21" s="125" cm="1">
        <f t="array" ref="D21">+_xll.EQNXTDZ($A$1,$B21,D$1,$B$1)</f>
        <v>0</v>
      </c>
      <c r="E21" s="125" cm="1">
        <f t="array" ref="E21">+_xll.EQNXTDZ($A$1,$B21,E$1,$B$1)</f>
        <v>0</v>
      </c>
      <c r="F21" s="125" cm="1">
        <f t="array" ref="F21">+_xll.EQNXTDZ($A$1,$B21,F$1,$B$1)</f>
        <v>0</v>
      </c>
      <c r="G21" s="125" cm="1">
        <f t="array" ref="G21">+_xll.EQNXTDZ($A$1,$B21,G$1,$B$1)</f>
        <v>0</v>
      </c>
      <c r="H21" s="125" cm="1">
        <f t="array" ref="H21">+_xll.EQNXTDZ($A$1,$B21,H$1,$B$1)</f>
        <v>0</v>
      </c>
      <c r="I21" s="125" cm="1">
        <f t="array" ref="I21">+_xll.EQNXTDZ($A$1,$B21,I$1,$B$1)</f>
        <v>0</v>
      </c>
      <c r="J21" s="125" cm="1">
        <f t="array" ref="J21">+_xll.EQNXTDZ($A$1,$B21,J$1,$B$1)</f>
        <v>0</v>
      </c>
      <c r="K21" s="125" cm="1">
        <f t="array" ref="K21">+_xll.EQNXTDZ($A$1,$B21,K$1,$B$1)</f>
        <v>0</v>
      </c>
      <c r="L21" s="125" cm="1">
        <f t="array" ref="L21">+_xll.EQNXTDZ($A$1,$B21,L$1,$B$1)</f>
        <v>0</v>
      </c>
      <c r="M21" s="125" cm="1">
        <f t="array" ref="M21">+_xll.EQNXTDZ($A$1,$B21,M$1,$B$1)</f>
        <v>0</v>
      </c>
      <c r="N21" s="125" cm="1">
        <f t="array" ref="N21">+_xll.EQNXTDZ($A$1,$B21,N$1,$B$1)</f>
        <v>0</v>
      </c>
      <c r="O21" s="125" cm="1">
        <f t="array" ref="O21">+_xll.EQNXTDZ($A$1,$B21,O$1,$B$1)</f>
        <v>0</v>
      </c>
      <c r="P21" s="125" cm="1">
        <f t="array" ref="P21">+_xll.EQNXTDZ($A$1,$B21,P$1,$B$1)</f>
        <v>0</v>
      </c>
      <c r="Q21" s="125" cm="1">
        <f t="array" ref="Q21">+_xll.EQNXTDZ($A$1,$B21,Q$1,$B$1)</f>
        <v>0</v>
      </c>
      <c r="R21" s="125" cm="1">
        <f t="array" ref="R21">+_xll.EQNXTDZ($A$1,$B21,R$1,$B$1)</f>
        <v>0</v>
      </c>
      <c r="S21" s="125" cm="1">
        <f t="array" ref="S21">+_xll.EQNXTDZ($A$1,$B21,S$1,$B$1)</f>
        <v>0</v>
      </c>
      <c r="T21" s="125" cm="1">
        <f t="array" ref="T21">+_xll.EQNXTDZ($A$1,$B21,T$1,$B$1)</f>
        <v>0</v>
      </c>
      <c r="U21" s="125" cm="1">
        <f t="array" ref="U21">+_xll.EQNXTDZ($A$1,$B21,U$1,$B$1)</f>
        <v>0</v>
      </c>
      <c r="V21" s="125" cm="1">
        <f t="array" ref="V21">+_xll.EQNXTDZ($A$1,$B21,V$1,$B$1)</f>
        <v>0</v>
      </c>
      <c r="W21" s="125" cm="1">
        <f t="array" ref="W21">+_xll.EQNXTDZ($A$1,$B21,W$1,$B$1)</f>
        <v>0.43</v>
      </c>
      <c r="X21" s="125" cm="1">
        <f t="array" ref="X21">+_xll.EQNXTDZ($A$1,$B21,X$1,$B$1)</f>
        <v>0.45</v>
      </c>
      <c r="Y21" s="125" cm="1">
        <f t="array" ref="Y21">+_xll.EQNXTDZ($A$1,$B21,Y$1,$B$1)</f>
        <v>0.36</v>
      </c>
      <c r="Z21" s="125" cm="1">
        <f t="array" ref="Z21">+_xll.EQNXTDZ($A$1,$B21,Z$1,$B$1)</f>
        <v>0.22</v>
      </c>
      <c r="AA21" s="125" cm="1">
        <f t="array" ref="AA21">+_xll.EQNXTDZ($A$1,$B21,AA$1,$B$1)</f>
        <v>1.98</v>
      </c>
      <c r="AB21" s="125" cm="1">
        <f t="array" ref="AB21">+_xll.EQNXTDZ($A$1,$B21,AB$1,$B$1)</f>
        <v>0.04</v>
      </c>
      <c r="AC21" s="125" cm="1">
        <f t="array" ref="AC21">+_xll.EQNXTDZ($A$1,$B21,AC$1,$B$1)</f>
        <v>0.39</v>
      </c>
      <c r="AD21" s="125" cm="1">
        <f t="array" ref="AD21">+_xll.EQNXTDZ($A$1,$B21,AD$1,$B$1)</f>
        <v>0.06</v>
      </c>
      <c r="AE21" s="125" cm="1">
        <f t="array" ref="AE21">+_xll.EQNXTDZ($A$1,$B21,AE$1,$B$1)</f>
        <v>2.4700000000000002</v>
      </c>
      <c r="AF21" s="125" cm="1">
        <f t="array" ref="AF21">+_xll.EQNXTDZ($A$1,$B21,AF$1,$B$1)</f>
        <v>0.06</v>
      </c>
      <c r="AG21" s="125" cm="1">
        <f t="array" ref="AG21">+_xll.EQNXTDZ($A$1,$B21,AG$1,$B$1)</f>
        <v>0</v>
      </c>
      <c r="AH21" s="125" cm="1">
        <f t="array" ref="AH21">+_xll.EQNXTDZ($A$1,$B21,AH$1,$B$1)</f>
        <v>0</v>
      </c>
      <c r="AI21" s="125" cm="1">
        <f t="array" ref="AI21">+_xll.EQNXTDZ($A$1,$B21,AI$1,$B$1)</f>
        <v>1.75</v>
      </c>
      <c r="AJ21" s="125" cm="1">
        <f t="array" ref="AJ21">+_xll.EQNXTDZ($A$1,$B21,AJ$1,$B$1)</f>
        <v>1.64</v>
      </c>
      <c r="AK21" s="125" cm="1">
        <f t="array" ref="AK21">+_xll.EQNXTDZ($A$1,$B21,AK$1,$B$1)</f>
        <v>1.75</v>
      </c>
      <c r="AL21" s="125" cm="1">
        <f t="array" ref="AL21">+_xll.EQNXTDZ($A$1,$B21,AL$1,$B$1)</f>
        <v>0.35</v>
      </c>
      <c r="AM21" s="125" cm="1">
        <f t="array" ref="AM21">+_xll.EQNXTDZ($A$1,$B21,AM$1,$B$1)</f>
        <v>0.16</v>
      </c>
      <c r="AN21" s="125" cm="1">
        <f t="array" ref="AN21">+_xll.EQNXTDZ($A$1,$B21,AN$1,$B$1)</f>
        <v>0.2</v>
      </c>
      <c r="AO21" s="125" cm="1">
        <f t="array" ref="AO21">+_xll.EQNXTDZ($A$1,$B21,AO$1,$B$1)</f>
        <v>0.13</v>
      </c>
      <c r="AP21" s="125" cm="1">
        <f t="array" ref="AP21">+_xll.EQNXTDZ($A$1,$B21,AP$1,$B$1)</f>
        <v>0.63</v>
      </c>
      <c r="AQ21" s="125" cm="1">
        <f t="array" ref="AQ21">+_xll.EQNXTDZ($A$1,$B21,AQ$1,$B$1)</f>
        <v>0.14000000000000001</v>
      </c>
      <c r="AR21" s="125" cm="1">
        <f t="array" ref="AR21">+_xll.EQNXTDZ($A$1,$B21,AR$1,$B$1)</f>
        <v>0.97</v>
      </c>
      <c r="AS21" s="125" cm="1">
        <f t="array" ref="AS21">+_xll.EQNXTDZ($A$1,$B21,AS$1,$B$1)</f>
        <v>0.54</v>
      </c>
      <c r="AT21" s="125" cm="1">
        <f t="array" ref="AT21">+_xll.EQNXTDZ($A$1,$B21,AT$1,$B$1)</f>
        <v>0.56000000000000005</v>
      </c>
      <c r="AU21" s="125" cm="1">
        <f t="array" ref="AU21">+_xll.EQNXTDZ($A$1,$B21,AU$1,$B$1)</f>
        <v>1.1299999999999999</v>
      </c>
      <c r="AV21" s="125" cm="1">
        <f t="array" ref="AV21">+_xll.EQNXTDZ($A$1,$B21,AV$1,$B$1)</f>
        <v>0</v>
      </c>
      <c r="AW21" s="125" cm="1">
        <f t="array" ref="AW21">+_xll.EQNXTDZ($A$1,$B21,AW$1,$B$1)</f>
        <v>0</v>
      </c>
      <c r="AX21" s="125" cm="1">
        <f t="array" ref="AX21">+_xll.EQNXTDZ($A$1,$B21,AX$1,$B$1)</f>
        <v>0</v>
      </c>
      <c r="AY21" s="125" cm="1">
        <f t="array" ref="AY21">+_xll.EQNXTDZ($A$1,$B21,AY$1,$B$1)</f>
        <v>0</v>
      </c>
      <c r="AZ21" s="125" cm="1">
        <f t="array" ref="AZ21">+_xll.EQNXTDZ($A$1,$B21,AZ$1,$B$1)</f>
        <v>0</v>
      </c>
      <c r="BA21" s="125" cm="1">
        <f t="array" ref="BA21">+_xll.EQNXTDZ($A$1,$B21,BA$1,$B$1)</f>
        <v>0</v>
      </c>
      <c r="BB21" s="125" cm="1">
        <f t="array" ref="BB21">+_xll.EQNXTDZ($A$1,$B21,BB$1,$B$1)</f>
        <v>0</v>
      </c>
      <c r="BC21" s="125" cm="1">
        <f t="array" ref="BC21">+_xll.EQNXTDZ($A$1,$B21,BC$1,$B$1)</f>
        <v>0</v>
      </c>
      <c r="BD21" s="125" cm="1">
        <f t="array" ref="BD21">+_xll.EQNXTDZ($A$1,$B21,BD$1,$B$1)</f>
        <v>0</v>
      </c>
      <c r="BE21" s="125" cm="1">
        <f t="array" ref="BE21">+_xll.EQNXTDZ($A$1,$B21,BE$1,$B$1)</f>
        <v>0</v>
      </c>
      <c r="BF21" s="125" cm="1">
        <f t="array" ref="BF21">+_xll.EQNXTDZ($A$1,$B21,BF$1,$B$1)</f>
        <v>0</v>
      </c>
      <c r="BG21" s="125" cm="1">
        <f t="array" ref="BG21">+_xll.EQNXTDZ($A$1,$B21,BG$1,$B$1)</f>
        <v>0</v>
      </c>
      <c r="BH21" s="125" cm="1">
        <f t="array" ref="BH21">+_xll.EQNXTDZ($A$1,$B21,BH$1,$B$1)</f>
        <v>0</v>
      </c>
      <c r="BI21" s="125" cm="1">
        <f t="array" ref="BI21">+_xll.EQNXTDZ($A$1,$B21,BI$1,$B$1)</f>
        <v>0</v>
      </c>
      <c r="BJ21" s="125" cm="1">
        <f t="array" ref="BJ21">+_xll.EQNXTDZ($A$1,$B21,BJ$1,$B$1)</f>
        <v>0</v>
      </c>
      <c r="BK21" s="125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5" cm="1">
        <f t="array" ref="C22">+_xll.EQNXTDZ($A$1,$B22,C$1,$B$1)</f>
        <v>0</v>
      </c>
      <c r="D22" s="125" cm="1">
        <f t="array" ref="D22">+_xll.EQNXTDZ($A$1,$B22,D$1,$B$1)</f>
        <v>0</v>
      </c>
      <c r="E22" s="125" cm="1">
        <f t="array" ref="E22">+_xll.EQNXTDZ($A$1,$B22,E$1,$B$1)</f>
        <v>0</v>
      </c>
      <c r="F22" s="125" cm="1">
        <f t="array" ref="F22">+_xll.EQNXTDZ($A$1,$B22,F$1,$B$1)</f>
        <v>0</v>
      </c>
      <c r="G22" s="125" cm="1">
        <f t="array" ref="G22">+_xll.EQNXTDZ($A$1,$B22,G$1,$B$1)</f>
        <v>0</v>
      </c>
      <c r="H22" s="125" cm="1">
        <f t="array" ref="H22">+_xll.EQNXTDZ($A$1,$B22,H$1,$B$1)</f>
        <v>0</v>
      </c>
      <c r="I22" s="125" cm="1">
        <f t="array" ref="I22">+_xll.EQNXTDZ($A$1,$B22,I$1,$B$1)</f>
        <v>0</v>
      </c>
      <c r="J22" s="125" cm="1">
        <f t="array" ref="J22">+_xll.EQNXTDZ($A$1,$B22,J$1,$B$1)</f>
        <v>0</v>
      </c>
      <c r="K22" s="125" cm="1">
        <f t="array" ref="K22">+_xll.EQNXTDZ($A$1,$B22,K$1,$B$1)</f>
        <v>0</v>
      </c>
      <c r="L22" s="125" cm="1">
        <f t="array" ref="L22">+_xll.EQNXTDZ($A$1,$B22,L$1,$B$1)</f>
        <v>0</v>
      </c>
      <c r="M22" s="125" cm="1">
        <f t="array" ref="M22">+_xll.EQNXTDZ($A$1,$B22,M$1,$B$1)</f>
        <v>0</v>
      </c>
      <c r="N22" s="125" cm="1">
        <f t="array" ref="N22">+_xll.EQNXTDZ($A$1,$B22,N$1,$B$1)</f>
        <v>0</v>
      </c>
      <c r="O22" s="125" cm="1">
        <f t="array" ref="O22">+_xll.EQNXTDZ($A$1,$B22,O$1,$B$1)</f>
        <v>0</v>
      </c>
      <c r="P22" s="125" cm="1">
        <f t="array" ref="P22">+_xll.EQNXTDZ($A$1,$B22,P$1,$B$1)</f>
        <v>0</v>
      </c>
      <c r="Q22" s="125" cm="1">
        <f t="array" ref="Q22">+_xll.EQNXTDZ($A$1,$B22,Q$1,$B$1)</f>
        <v>0</v>
      </c>
      <c r="R22" s="125" cm="1">
        <f t="array" ref="R22">+_xll.EQNXTDZ($A$1,$B22,R$1,$B$1)</f>
        <v>0</v>
      </c>
      <c r="S22" s="125" cm="1">
        <f t="array" ref="S22">+_xll.EQNXTDZ($A$1,$B22,S$1,$B$1)</f>
        <v>0</v>
      </c>
      <c r="T22" s="125" cm="1">
        <f t="array" ref="T22">+_xll.EQNXTDZ($A$1,$B22,T$1,$B$1)</f>
        <v>0</v>
      </c>
      <c r="U22" s="125" cm="1">
        <f t="array" ref="U22">+_xll.EQNXTDZ($A$1,$B22,U$1,$B$1)</f>
        <v>0</v>
      </c>
      <c r="V22" s="125" cm="1">
        <f t="array" ref="V22">+_xll.EQNXTDZ($A$1,$B22,V$1,$B$1)</f>
        <v>0</v>
      </c>
      <c r="W22" s="125" cm="1">
        <f t="array" ref="W22">+_xll.EQNXTDZ($A$1,$B22,W$1,$B$1)</f>
        <v>0</v>
      </c>
      <c r="X22" s="125" cm="1">
        <f t="array" ref="X22">+_xll.EQNXTDZ($A$1,$B22,X$1,$B$1)</f>
        <v>0</v>
      </c>
      <c r="Y22" s="125" cm="1">
        <f t="array" ref="Y22">+_xll.EQNXTDZ($A$1,$B22,Y$1,$B$1)</f>
        <v>0</v>
      </c>
      <c r="Z22" s="125" cm="1">
        <f t="array" ref="Z22">+_xll.EQNXTDZ($A$1,$B22,Z$1,$B$1)</f>
        <v>0</v>
      </c>
      <c r="AA22" s="125" cm="1">
        <f t="array" ref="AA22">+_xll.EQNXTDZ($A$1,$B22,AA$1,$B$1)</f>
        <v>0</v>
      </c>
      <c r="AB22" s="125" cm="1">
        <f t="array" ref="AB22">+_xll.EQNXTDZ($A$1,$B22,AB$1,$B$1)</f>
        <v>0</v>
      </c>
      <c r="AC22" s="125" cm="1">
        <f t="array" ref="AC22">+_xll.EQNXTDZ($A$1,$B22,AC$1,$B$1)</f>
        <v>0</v>
      </c>
      <c r="AD22" s="125" cm="1">
        <f t="array" ref="AD22">+_xll.EQNXTDZ($A$1,$B22,AD$1,$B$1)</f>
        <v>0</v>
      </c>
      <c r="AE22" s="125" cm="1">
        <f t="array" ref="AE22">+_xll.EQNXTDZ($A$1,$B22,AE$1,$B$1)</f>
        <v>0</v>
      </c>
      <c r="AF22" s="125" cm="1">
        <f t="array" ref="AF22">+_xll.EQNXTDZ($A$1,$B22,AF$1,$B$1)</f>
        <v>0</v>
      </c>
      <c r="AG22" s="125" cm="1">
        <f t="array" ref="AG22">+_xll.EQNXTDZ($A$1,$B22,AG$1,$B$1)</f>
        <v>0</v>
      </c>
      <c r="AH22" s="125" cm="1">
        <f t="array" ref="AH22">+_xll.EQNXTDZ($A$1,$B22,AH$1,$B$1)</f>
        <v>0</v>
      </c>
      <c r="AI22" s="125" cm="1">
        <f t="array" ref="AI22">+_xll.EQNXTDZ($A$1,$B22,AI$1,$B$1)</f>
        <v>0</v>
      </c>
      <c r="AJ22" s="125" cm="1">
        <f t="array" ref="AJ22">+_xll.EQNXTDZ($A$1,$B22,AJ$1,$B$1)</f>
        <v>0</v>
      </c>
      <c r="AK22" s="125" cm="1">
        <f t="array" ref="AK22">+_xll.EQNXTDZ($A$1,$B22,AK$1,$B$1)</f>
        <v>0</v>
      </c>
      <c r="AL22" s="125" cm="1">
        <f t="array" ref="AL22">+_xll.EQNXTDZ($A$1,$B22,AL$1,$B$1)</f>
        <v>0</v>
      </c>
      <c r="AM22" s="125" cm="1">
        <f t="array" ref="AM22">+_xll.EQNXTDZ($A$1,$B22,AM$1,$B$1)</f>
        <v>0</v>
      </c>
      <c r="AN22" s="125" cm="1">
        <f t="array" ref="AN22">+_xll.EQNXTDZ($A$1,$B22,AN$1,$B$1)</f>
        <v>0</v>
      </c>
      <c r="AO22" s="125" cm="1">
        <f t="array" ref="AO22">+_xll.EQNXTDZ($A$1,$B22,AO$1,$B$1)</f>
        <v>0</v>
      </c>
      <c r="AP22" s="125" cm="1">
        <f t="array" ref="AP22">+_xll.EQNXTDZ($A$1,$B22,AP$1,$B$1)</f>
        <v>0</v>
      </c>
      <c r="AQ22" s="125" cm="1">
        <f t="array" ref="AQ22">+_xll.EQNXTDZ($A$1,$B22,AQ$1,$B$1)</f>
        <v>0</v>
      </c>
      <c r="AR22" s="125" cm="1">
        <f t="array" ref="AR22">+_xll.EQNXTDZ($A$1,$B22,AR$1,$B$1)</f>
        <v>0</v>
      </c>
      <c r="AS22" s="125" cm="1">
        <f t="array" ref="AS22">+_xll.EQNXTDZ($A$1,$B22,AS$1,$B$1)</f>
        <v>0</v>
      </c>
      <c r="AT22" s="125" cm="1">
        <f t="array" ref="AT22">+_xll.EQNXTDZ($A$1,$B22,AT$1,$B$1)</f>
        <v>0</v>
      </c>
      <c r="AU22" s="125" cm="1">
        <f t="array" ref="AU22">+_xll.EQNXTDZ($A$1,$B22,AU$1,$B$1)</f>
        <v>0</v>
      </c>
      <c r="AV22" s="125" cm="1">
        <f t="array" ref="AV22">+_xll.EQNXTDZ($A$1,$B22,AV$1,$B$1)</f>
        <v>0</v>
      </c>
      <c r="AW22" s="125" cm="1">
        <f t="array" ref="AW22">+_xll.EQNXTDZ($A$1,$B22,AW$1,$B$1)</f>
        <v>0</v>
      </c>
      <c r="AX22" s="125" cm="1">
        <f t="array" ref="AX22">+_xll.EQNXTDZ($A$1,$B22,AX$1,$B$1)</f>
        <v>0</v>
      </c>
      <c r="AY22" s="125" cm="1">
        <f t="array" ref="AY22">+_xll.EQNXTDZ($A$1,$B22,AY$1,$B$1)</f>
        <v>0</v>
      </c>
      <c r="AZ22" s="125" cm="1">
        <f t="array" ref="AZ22">+_xll.EQNXTDZ($A$1,$B22,AZ$1,$B$1)</f>
        <v>0</v>
      </c>
      <c r="BA22" s="125" cm="1">
        <f t="array" ref="BA22">+_xll.EQNXTDZ($A$1,$B22,BA$1,$B$1)</f>
        <v>0</v>
      </c>
      <c r="BB22" s="125" cm="1">
        <f t="array" ref="BB22">+_xll.EQNXTDZ($A$1,$B22,BB$1,$B$1)</f>
        <v>0</v>
      </c>
      <c r="BC22" s="125" cm="1">
        <f t="array" ref="BC22">+_xll.EQNXTDZ($A$1,$B22,BC$1,$B$1)</f>
        <v>0</v>
      </c>
      <c r="BD22" s="125" cm="1">
        <f t="array" ref="BD22">+_xll.EQNXTDZ($A$1,$B22,BD$1,$B$1)</f>
        <v>0</v>
      </c>
      <c r="BE22" s="125" cm="1">
        <f t="array" ref="BE22">+_xll.EQNXTDZ($A$1,$B22,BE$1,$B$1)</f>
        <v>0</v>
      </c>
      <c r="BF22" s="125" cm="1">
        <f t="array" ref="BF22">+_xll.EQNXTDZ($A$1,$B22,BF$1,$B$1)</f>
        <v>0</v>
      </c>
      <c r="BG22" s="125" cm="1">
        <f t="array" ref="BG22">+_xll.EQNXTDZ($A$1,$B22,BG$1,$B$1)</f>
        <v>0</v>
      </c>
      <c r="BH22" s="125" cm="1">
        <f t="array" ref="BH22">+_xll.EQNXTDZ($A$1,$B22,BH$1,$B$1)</f>
        <v>0</v>
      </c>
      <c r="BI22" s="125" cm="1">
        <f t="array" ref="BI22">+_xll.EQNXTDZ($A$1,$B22,BI$1,$B$1)</f>
        <v>0</v>
      </c>
      <c r="BJ22" s="125" cm="1">
        <f t="array" ref="BJ22">+_xll.EQNXTDZ($A$1,$B22,BJ$1,$B$1)</f>
        <v>0</v>
      </c>
      <c r="BK22" s="125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5" cm="1">
        <f t="array" ref="C23">+_xll.EQNXTDZ($A$1,$B23,C$1,$B$1)</f>
        <v>0</v>
      </c>
      <c r="D23" s="125" cm="1">
        <f t="array" ref="D23">+_xll.EQNXTDZ($A$1,$B23,D$1,$B$1)</f>
        <v>0</v>
      </c>
      <c r="E23" s="125" cm="1">
        <f t="array" ref="E23">+_xll.EQNXTDZ($A$1,$B23,E$1,$B$1)</f>
        <v>0</v>
      </c>
      <c r="F23" s="125" cm="1">
        <f t="array" ref="F23">+_xll.EQNXTDZ($A$1,$B23,F$1,$B$1)</f>
        <v>0</v>
      </c>
      <c r="G23" s="125" cm="1">
        <f t="array" ref="G23">+_xll.EQNXTDZ($A$1,$B23,G$1,$B$1)</f>
        <v>0</v>
      </c>
      <c r="H23" s="125" cm="1">
        <f t="array" ref="H23">+_xll.EQNXTDZ($A$1,$B23,H$1,$B$1)</f>
        <v>0</v>
      </c>
      <c r="I23" s="125" cm="1">
        <f t="array" ref="I23">+_xll.EQNXTDZ($A$1,$B23,I$1,$B$1)</f>
        <v>0</v>
      </c>
      <c r="J23" s="125" cm="1">
        <f t="array" ref="J23">+_xll.EQNXTDZ($A$1,$B23,J$1,$B$1)</f>
        <v>0</v>
      </c>
      <c r="K23" s="125" cm="1">
        <f t="array" ref="K23">+_xll.EQNXTDZ($A$1,$B23,K$1,$B$1)</f>
        <v>0</v>
      </c>
      <c r="L23" s="125" cm="1">
        <f t="array" ref="L23">+_xll.EQNXTDZ($A$1,$B23,L$1,$B$1)</f>
        <v>0</v>
      </c>
      <c r="M23" s="125" cm="1">
        <f t="array" ref="M23">+_xll.EQNXTDZ($A$1,$B23,M$1,$B$1)</f>
        <v>0</v>
      </c>
      <c r="N23" s="125" cm="1">
        <f t="array" ref="N23">+_xll.EQNXTDZ($A$1,$B23,N$1,$B$1)</f>
        <v>0</v>
      </c>
      <c r="O23" s="125" cm="1">
        <f t="array" ref="O23">+_xll.EQNXTDZ($A$1,$B23,O$1,$B$1)</f>
        <v>0</v>
      </c>
      <c r="P23" s="125" cm="1">
        <f t="array" ref="P23">+_xll.EQNXTDZ($A$1,$B23,P$1,$B$1)</f>
        <v>0</v>
      </c>
      <c r="Q23" s="125" cm="1">
        <f t="array" ref="Q23">+_xll.EQNXTDZ($A$1,$B23,Q$1,$B$1)</f>
        <v>0</v>
      </c>
      <c r="R23" s="125" cm="1">
        <f t="array" ref="R23">+_xll.EQNXTDZ($A$1,$B23,R$1,$B$1)</f>
        <v>0</v>
      </c>
      <c r="S23" s="125" cm="1">
        <f t="array" ref="S23">+_xll.EQNXTDZ($A$1,$B23,S$1,$B$1)</f>
        <v>0</v>
      </c>
      <c r="T23" s="125" cm="1">
        <f t="array" ref="T23">+_xll.EQNXTDZ($A$1,$B23,T$1,$B$1)</f>
        <v>0</v>
      </c>
      <c r="U23" s="125" cm="1">
        <f t="array" ref="U23">+_xll.EQNXTDZ($A$1,$B23,U$1,$B$1)</f>
        <v>0</v>
      </c>
      <c r="V23" s="125" cm="1">
        <f t="array" ref="V23">+_xll.EQNXTDZ($A$1,$B23,V$1,$B$1)</f>
        <v>0</v>
      </c>
      <c r="W23" s="125" cm="1">
        <f t="array" ref="W23">+_xll.EQNXTDZ($A$1,$B23,W$1,$B$1)</f>
        <v>0</v>
      </c>
      <c r="X23" s="125" cm="1">
        <f t="array" ref="X23">+_xll.EQNXTDZ($A$1,$B23,X$1,$B$1)</f>
        <v>0</v>
      </c>
      <c r="Y23" s="125" cm="1">
        <f t="array" ref="Y23">+_xll.EQNXTDZ($A$1,$B23,Y$1,$B$1)</f>
        <v>0</v>
      </c>
      <c r="Z23" s="125" cm="1">
        <f t="array" ref="Z23">+_xll.EQNXTDZ($A$1,$B23,Z$1,$B$1)</f>
        <v>0</v>
      </c>
      <c r="AA23" s="125" cm="1">
        <f t="array" ref="AA23">+_xll.EQNXTDZ($A$1,$B23,AA$1,$B$1)</f>
        <v>0</v>
      </c>
      <c r="AB23" s="125" cm="1">
        <f t="array" ref="AB23">+_xll.EQNXTDZ($A$1,$B23,AB$1,$B$1)</f>
        <v>0</v>
      </c>
      <c r="AC23" s="125" cm="1">
        <f t="array" ref="AC23">+_xll.EQNXTDZ($A$1,$B23,AC$1,$B$1)</f>
        <v>0</v>
      </c>
      <c r="AD23" s="125" cm="1">
        <f t="array" ref="AD23">+_xll.EQNXTDZ($A$1,$B23,AD$1,$B$1)</f>
        <v>0</v>
      </c>
      <c r="AE23" s="125" cm="1">
        <f t="array" ref="AE23">+_xll.EQNXTDZ($A$1,$B23,AE$1,$B$1)</f>
        <v>0</v>
      </c>
      <c r="AF23" s="125" cm="1">
        <f t="array" ref="AF23">+_xll.EQNXTDZ($A$1,$B23,AF$1,$B$1)</f>
        <v>0</v>
      </c>
      <c r="AG23" s="125" cm="1">
        <f t="array" ref="AG23">+_xll.EQNXTDZ($A$1,$B23,AG$1,$B$1)</f>
        <v>0</v>
      </c>
      <c r="AH23" s="125" cm="1">
        <f t="array" ref="AH23">+_xll.EQNXTDZ($A$1,$B23,AH$1,$B$1)</f>
        <v>0</v>
      </c>
      <c r="AI23" s="125" cm="1">
        <f t="array" ref="AI23">+_xll.EQNXTDZ($A$1,$B23,AI$1,$B$1)</f>
        <v>0</v>
      </c>
      <c r="AJ23" s="125" cm="1">
        <f t="array" ref="AJ23">+_xll.EQNXTDZ($A$1,$B23,AJ$1,$B$1)</f>
        <v>0</v>
      </c>
      <c r="AK23" s="125" cm="1">
        <f t="array" ref="AK23">+_xll.EQNXTDZ($A$1,$B23,AK$1,$B$1)</f>
        <v>0</v>
      </c>
      <c r="AL23" s="125" cm="1">
        <f t="array" ref="AL23">+_xll.EQNXTDZ($A$1,$B23,AL$1,$B$1)</f>
        <v>0</v>
      </c>
      <c r="AM23" s="125" cm="1">
        <f t="array" ref="AM23">+_xll.EQNXTDZ($A$1,$B23,AM$1,$B$1)</f>
        <v>0</v>
      </c>
      <c r="AN23" s="125" cm="1">
        <f t="array" ref="AN23">+_xll.EQNXTDZ($A$1,$B23,AN$1,$B$1)</f>
        <v>0</v>
      </c>
      <c r="AO23" s="125" cm="1">
        <f t="array" ref="AO23">+_xll.EQNXTDZ($A$1,$B23,AO$1,$B$1)</f>
        <v>0</v>
      </c>
      <c r="AP23" s="125" cm="1">
        <f t="array" ref="AP23">+_xll.EQNXTDZ($A$1,$B23,AP$1,$B$1)</f>
        <v>0</v>
      </c>
      <c r="AQ23" s="125" cm="1">
        <f t="array" ref="AQ23">+_xll.EQNXTDZ($A$1,$B23,AQ$1,$B$1)</f>
        <v>0</v>
      </c>
      <c r="AR23" s="125" cm="1">
        <f t="array" ref="AR23">+_xll.EQNXTDZ($A$1,$B23,AR$1,$B$1)</f>
        <v>0</v>
      </c>
      <c r="AS23" s="125" cm="1">
        <f t="array" ref="AS23">+_xll.EQNXTDZ($A$1,$B23,AS$1,$B$1)</f>
        <v>0</v>
      </c>
      <c r="AT23" s="125" cm="1">
        <f t="array" ref="AT23">+_xll.EQNXTDZ($A$1,$B23,AT$1,$B$1)</f>
        <v>0</v>
      </c>
      <c r="AU23" s="125" cm="1">
        <f t="array" ref="AU23">+_xll.EQNXTDZ($A$1,$B23,AU$1,$B$1)</f>
        <v>0</v>
      </c>
      <c r="AV23" s="125" cm="1">
        <f t="array" ref="AV23">+_xll.EQNXTDZ($A$1,$B23,AV$1,$B$1)</f>
        <v>0</v>
      </c>
      <c r="AW23" s="125" cm="1">
        <f t="array" ref="AW23">+_xll.EQNXTDZ($A$1,$B23,AW$1,$B$1)</f>
        <v>0</v>
      </c>
      <c r="AX23" s="125" cm="1">
        <f t="array" ref="AX23">+_xll.EQNXTDZ($A$1,$B23,AX$1,$B$1)</f>
        <v>0</v>
      </c>
      <c r="AY23" s="125" cm="1">
        <f t="array" ref="AY23">+_xll.EQNXTDZ($A$1,$B23,AY$1,$B$1)</f>
        <v>0</v>
      </c>
      <c r="AZ23" s="125" cm="1">
        <f t="array" ref="AZ23">+_xll.EQNXTDZ($A$1,$B23,AZ$1,$B$1)</f>
        <v>0</v>
      </c>
      <c r="BA23" s="125" cm="1">
        <f t="array" ref="BA23">+_xll.EQNXTDZ($A$1,$B23,BA$1,$B$1)</f>
        <v>0</v>
      </c>
      <c r="BB23" s="125" cm="1">
        <f t="array" ref="BB23">+_xll.EQNXTDZ($A$1,$B23,BB$1,$B$1)</f>
        <v>0</v>
      </c>
      <c r="BC23" s="125" cm="1">
        <f t="array" ref="BC23">+_xll.EQNXTDZ($A$1,$B23,BC$1,$B$1)</f>
        <v>0</v>
      </c>
      <c r="BD23" s="125" cm="1">
        <f t="array" ref="BD23">+_xll.EQNXTDZ($A$1,$B23,BD$1,$B$1)</f>
        <v>0</v>
      </c>
      <c r="BE23" s="125" cm="1">
        <f t="array" ref="BE23">+_xll.EQNXTDZ($A$1,$B23,BE$1,$B$1)</f>
        <v>0</v>
      </c>
      <c r="BF23" s="125" cm="1">
        <f t="array" ref="BF23">+_xll.EQNXTDZ($A$1,$B23,BF$1,$B$1)</f>
        <v>0</v>
      </c>
      <c r="BG23" s="125" cm="1">
        <f t="array" ref="BG23">+_xll.EQNXTDZ($A$1,$B23,BG$1,$B$1)</f>
        <v>0</v>
      </c>
      <c r="BH23" s="125" cm="1">
        <f t="array" ref="BH23">+_xll.EQNXTDZ($A$1,$B23,BH$1,$B$1)</f>
        <v>0</v>
      </c>
      <c r="BI23" s="125" cm="1">
        <f t="array" ref="BI23">+_xll.EQNXTDZ($A$1,$B23,BI$1,$B$1)</f>
        <v>0</v>
      </c>
      <c r="BJ23" s="125" cm="1">
        <f t="array" ref="BJ23">+_xll.EQNXTDZ($A$1,$B23,BJ$1,$B$1)</f>
        <v>0</v>
      </c>
      <c r="BK23" s="125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5" cm="1">
        <f t="array" ref="C24">+_xll.EQNXTDZ($A$1,$B24,C$1,$B$1)</f>
        <v>0</v>
      </c>
      <c r="D24" s="125" cm="1">
        <f t="array" ref="D24">+_xll.EQNXTDZ($A$1,$B24,D$1,$B$1)</f>
        <v>0</v>
      </c>
      <c r="E24" s="125" cm="1">
        <f t="array" ref="E24">+_xll.EQNXTDZ($A$1,$B24,E$1,$B$1)</f>
        <v>0</v>
      </c>
      <c r="F24" s="125" cm="1">
        <f t="array" ref="F24">+_xll.EQNXTDZ($A$1,$B24,F$1,$B$1)</f>
        <v>0</v>
      </c>
      <c r="G24" s="125" cm="1">
        <f t="array" ref="G24">+_xll.EQNXTDZ($A$1,$B24,G$1,$B$1)</f>
        <v>0</v>
      </c>
      <c r="H24" s="125" cm="1">
        <f t="array" ref="H24">+_xll.EQNXTDZ($A$1,$B24,H$1,$B$1)</f>
        <v>0</v>
      </c>
      <c r="I24" s="125" cm="1">
        <f t="array" ref="I24">+_xll.EQNXTDZ($A$1,$B24,I$1,$B$1)</f>
        <v>0</v>
      </c>
      <c r="J24" s="125" cm="1">
        <f t="array" ref="J24">+_xll.EQNXTDZ($A$1,$B24,J$1,$B$1)</f>
        <v>0</v>
      </c>
      <c r="K24" s="125" cm="1">
        <f t="array" ref="K24">+_xll.EQNXTDZ($A$1,$B24,K$1,$B$1)</f>
        <v>0</v>
      </c>
      <c r="L24" s="125" cm="1">
        <f t="array" ref="L24">+_xll.EQNXTDZ($A$1,$B24,L$1,$B$1)</f>
        <v>0</v>
      </c>
      <c r="M24" s="125" cm="1">
        <f t="array" ref="M24">+_xll.EQNXTDZ($A$1,$B24,M$1,$B$1)</f>
        <v>0</v>
      </c>
      <c r="N24" s="125" cm="1">
        <f t="array" ref="N24">+_xll.EQNXTDZ($A$1,$B24,N$1,$B$1)</f>
        <v>0</v>
      </c>
      <c r="O24" s="125" cm="1">
        <f t="array" ref="O24">+_xll.EQNXTDZ($A$1,$B24,O$1,$B$1)</f>
        <v>0</v>
      </c>
      <c r="P24" s="125" cm="1">
        <f t="array" ref="P24">+_xll.EQNXTDZ($A$1,$B24,P$1,$B$1)</f>
        <v>0</v>
      </c>
      <c r="Q24" s="125" cm="1">
        <f t="array" ref="Q24">+_xll.EQNXTDZ($A$1,$B24,Q$1,$B$1)</f>
        <v>0</v>
      </c>
      <c r="R24" s="125" cm="1">
        <f t="array" ref="R24">+_xll.EQNXTDZ($A$1,$B24,R$1,$B$1)</f>
        <v>0</v>
      </c>
      <c r="S24" s="125" cm="1">
        <f t="array" ref="S24">+_xll.EQNXTDZ($A$1,$B24,S$1,$B$1)</f>
        <v>0</v>
      </c>
      <c r="T24" s="125" cm="1">
        <f t="array" ref="T24">+_xll.EQNXTDZ($A$1,$B24,T$1,$B$1)</f>
        <v>0</v>
      </c>
      <c r="U24" s="125" cm="1">
        <f t="array" ref="U24">+_xll.EQNXTDZ($A$1,$B24,U$1,$B$1)</f>
        <v>0</v>
      </c>
      <c r="V24" s="125" cm="1">
        <f t="array" ref="V24">+_xll.EQNXTDZ($A$1,$B24,V$1,$B$1)</f>
        <v>0</v>
      </c>
      <c r="W24" s="125" cm="1">
        <f t="array" ref="W24">+_xll.EQNXTDZ($A$1,$B24,W$1,$B$1)</f>
        <v>0</v>
      </c>
      <c r="X24" s="125" cm="1">
        <f t="array" ref="X24">+_xll.EQNXTDZ($A$1,$B24,X$1,$B$1)</f>
        <v>0</v>
      </c>
      <c r="Y24" s="125" cm="1">
        <f t="array" ref="Y24">+_xll.EQNXTDZ($A$1,$B24,Y$1,$B$1)</f>
        <v>0</v>
      </c>
      <c r="Z24" s="125" cm="1">
        <f t="array" ref="Z24">+_xll.EQNXTDZ($A$1,$B24,Z$1,$B$1)</f>
        <v>0</v>
      </c>
      <c r="AA24" s="125" cm="1">
        <f t="array" ref="AA24">+_xll.EQNXTDZ($A$1,$B24,AA$1,$B$1)</f>
        <v>0</v>
      </c>
      <c r="AB24" s="125" cm="1">
        <f t="array" ref="AB24">+_xll.EQNXTDZ($A$1,$B24,AB$1,$B$1)</f>
        <v>0</v>
      </c>
      <c r="AC24" s="125" cm="1">
        <f t="array" ref="AC24">+_xll.EQNXTDZ($A$1,$B24,AC$1,$B$1)</f>
        <v>0</v>
      </c>
      <c r="AD24" s="125" cm="1">
        <f t="array" ref="AD24">+_xll.EQNXTDZ($A$1,$B24,AD$1,$B$1)</f>
        <v>0</v>
      </c>
      <c r="AE24" s="125" cm="1">
        <f t="array" ref="AE24">+_xll.EQNXTDZ($A$1,$B24,AE$1,$B$1)</f>
        <v>0</v>
      </c>
      <c r="AF24" s="125" cm="1">
        <f t="array" ref="AF24">+_xll.EQNXTDZ($A$1,$B24,AF$1,$B$1)</f>
        <v>0</v>
      </c>
      <c r="AG24" s="125" cm="1">
        <f t="array" ref="AG24">+_xll.EQNXTDZ($A$1,$B24,AG$1,$B$1)</f>
        <v>0</v>
      </c>
      <c r="AH24" s="125" cm="1">
        <f t="array" ref="AH24">+_xll.EQNXTDZ($A$1,$B24,AH$1,$B$1)</f>
        <v>0</v>
      </c>
      <c r="AI24" s="125" cm="1">
        <f t="array" ref="AI24">+_xll.EQNXTDZ($A$1,$B24,AI$1,$B$1)</f>
        <v>0</v>
      </c>
      <c r="AJ24" s="125" cm="1">
        <f t="array" ref="AJ24">+_xll.EQNXTDZ($A$1,$B24,AJ$1,$B$1)</f>
        <v>0</v>
      </c>
      <c r="AK24" s="125" cm="1">
        <f t="array" ref="AK24">+_xll.EQNXTDZ($A$1,$B24,AK$1,$B$1)</f>
        <v>0</v>
      </c>
      <c r="AL24" s="125" cm="1">
        <f t="array" ref="AL24">+_xll.EQNXTDZ($A$1,$B24,AL$1,$B$1)</f>
        <v>0</v>
      </c>
      <c r="AM24" s="125" cm="1">
        <f t="array" ref="AM24">+_xll.EQNXTDZ($A$1,$B24,AM$1,$B$1)</f>
        <v>0</v>
      </c>
      <c r="AN24" s="125" cm="1">
        <f t="array" ref="AN24">+_xll.EQNXTDZ($A$1,$B24,AN$1,$B$1)</f>
        <v>0</v>
      </c>
      <c r="AO24" s="125" cm="1">
        <f t="array" ref="AO24">+_xll.EQNXTDZ($A$1,$B24,AO$1,$B$1)</f>
        <v>0</v>
      </c>
      <c r="AP24" s="125" cm="1">
        <f t="array" ref="AP24">+_xll.EQNXTDZ($A$1,$B24,AP$1,$B$1)</f>
        <v>0</v>
      </c>
      <c r="AQ24" s="125" cm="1">
        <f t="array" ref="AQ24">+_xll.EQNXTDZ($A$1,$B24,AQ$1,$B$1)</f>
        <v>0</v>
      </c>
      <c r="AR24" s="125" cm="1">
        <f t="array" ref="AR24">+_xll.EQNXTDZ($A$1,$B24,AR$1,$B$1)</f>
        <v>0</v>
      </c>
      <c r="AS24" s="125" cm="1">
        <f t="array" ref="AS24">+_xll.EQNXTDZ($A$1,$B24,AS$1,$B$1)</f>
        <v>0</v>
      </c>
      <c r="AT24" s="125" cm="1">
        <f t="array" ref="AT24">+_xll.EQNXTDZ($A$1,$B24,AT$1,$B$1)</f>
        <v>0</v>
      </c>
      <c r="AU24" s="125" cm="1">
        <f t="array" ref="AU24">+_xll.EQNXTDZ($A$1,$B24,AU$1,$B$1)</f>
        <v>0</v>
      </c>
      <c r="AV24" s="125" cm="1">
        <f t="array" ref="AV24">+_xll.EQNXTDZ($A$1,$B24,AV$1,$B$1)</f>
        <v>0</v>
      </c>
      <c r="AW24" s="125" cm="1">
        <f t="array" ref="AW24">+_xll.EQNXTDZ($A$1,$B24,AW$1,$B$1)</f>
        <v>0</v>
      </c>
      <c r="AX24" s="125" cm="1">
        <f t="array" ref="AX24">+_xll.EQNXTDZ($A$1,$B24,AX$1,$B$1)</f>
        <v>0</v>
      </c>
      <c r="AY24" s="125" cm="1">
        <f t="array" ref="AY24">+_xll.EQNXTDZ($A$1,$B24,AY$1,$B$1)</f>
        <v>0</v>
      </c>
      <c r="AZ24" s="125" cm="1">
        <f t="array" ref="AZ24">+_xll.EQNXTDZ($A$1,$B24,AZ$1,$B$1)</f>
        <v>0</v>
      </c>
      <c r="BA24" s="125" cm="1">
        <f t="array" ref="BA24">+_xll.EQNXTDZ($A$1,$B24,BA$1,$B$1)</f>
        <v>0</v>
      </c>
      <c r="BB24" s="125" cm="1">
        <f t="array" ref="BB24">+_xll.EQNXTDZ($A$1,$B24,BB$1,$B$1)</f>
        <v>0</v>
      </c>
      <c r="BC24" s="125" cm="1">
        <f t="array" ref="BC24">+_xll.EQNXTDZ($A$1,$B24,BC$1,$B$1)</f>
        <v>0</v>
      </c>
      <c r="BD24" s="125" cm="1">
        <f t="array" ref="BD24">+_xll.EQNXTDZ($A$1,$B24,BD$1,$B$1)</f>
        <v>0</v>
      </c>
      <c r="BE24" s="125" cm="1">
        <f t="array" ref="BE24">+_xll.EQNXTDZ($A$1,$B24,BE$1,$B$1)</f>
        <v>0</v>
      </c>
      <c r="BF24" s="125" cm="1">
        <f t="array" ref="BF24">+_xll.EQNXTDZ($A$1,$B24,BF$1,$B$1)</f>
        <v>0</v>
      </c>
      <c r="BG24" s="125" cm="1">
        <f t="array" ref="BG24">+_xll.EQNXTDZ($A$1,$B24,BG$1,$B$1)</f>
        <v>0</v>
      </c>
      <c r="BH24" s="125" cm="1">
        <f t="array" ref="BH24">+_xll.EQNXTDZ($A$1,$B24,BH$1,$B$1)</f>
        <v>0</v>
      </c>
      <c r="BI24" s="125" cm="1">
        <f t="array" ref="BI24">+_xll.EQNXTDZ($A$1,$B24,BI$1,$B$1)</f>
        <v>0</v>
      </c>
      <c r="BJ24" s="125" cm="1">
        <f t="array" ref="BJ24">+_xll.EQNXTDZ($A$1,$B24,BJ$1,$B$1)</f>
        <v>0</v>
      </c>
      <c r="BK24" s="125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5" cm="1">
        <f t="array" ref="C25">+_xll.EQNXTDZ($A$1,$B25,C$1,$B$1)</f>
        <v>0</v>
      </c>
      <c r="D25" s="125" cm="1">
        <f t="array" ref="D25">+_xll.EQNXTDZ($A$1,$B25,D$1,$B$1)</f>
        <v>0</v>
      </c>
      <c r="E25" s="125" cm="1">
        <f t="array" ref="E25">+_xll.EQNXTDZ($A$1,$B25,E$1,$B$1)</f>
        <v>0</v>
      </c>
      <c r="F25" s="125" cm="1">
        <f t="array" ref="F25">+_xll.EQNXTDZ($A$1,$B25,F$1,$B$1)</f>
        <v>0</v>
      </c>
      <c r="G25" s="125" cm="1">
        <f t="array" ref="G25">+_xll.EQNXTDZ($A$1,$B25,G$1,$B$1)</f>
        <v>0</v>
      </c>
      <c r="H25" s="125" cm="1">
        <f t="array" ref="H25">+_xll.EQNXTDZ($A$1,$B25,H$1,$B$1)</f>
        <v>0</v>
      </c>
      <c r="I25" s="125" cm="1">
        <f t="array" ref="I25">+_xll.EQNXTDZ($A$1,$B25,I$1,$B$1)</f>
        <v>0</v>
      </c>
      <c r="J25" s="125" cm="1">
        <f t="array" ref="J25">+_xll.EQNXTDZ($A$1,$B25,J$1,$B$1)</f>
        <v>0</v>
      </c>
      <c r="K25" s="125" cm="1">
        <f t="array" ref="K25">+_xll.EQNXTDZ($A$1,$B25,K$1,$B$1)</f>
        <v>0</v>
      </c>
      <c r="L25" s="125" cm="1">
        <f t="array" ref="L25">+_xll.EQNXTDZ($A$1,$B25,L$1,$B$1)</f>
        <v>0</v>
      </c>
      <c r="M25" s="125" cm="1">
        <f t="array" ref="M25">+_xll.EQNXTDZ($A$1,$B25,M$1,$B$1)</f>
        <v>0</v>
      </c>
      <c r="N25" s="125" cm="1">
        <f t="array" ref="N25">+_xll.EQNXTDZ($A$1,$B25,N$1,$B$1)</f>
        <v>0</v>
      </c>
      <c r="O25" s="125" cm="1">
        <f t="array" ref="O25">+_xll.EQNXTDZ($A$1,$B25,O$1,$B$1)</f>
        <v>0</v>
      </c>
      <c r="P25" s="125" cm="1">
        <f t="array" ref="P25">+_xll.EQNXTDZ($A$1,$B25,P$1,$B$1)</f>
        <v>0</v>
      </c>
      <c r="Q25" s="125" cm="1">
        <f t="array" ref="Q25">+_xll.EQNXTDZ($A$1,$B25,Q$1,$B$1)</f>
        <v>0</v>
      </c>
      <c r="R25" s="125" cm="1">
        <f t="array" ref="R25">+_xll.EQNXTDZ($A$1,$B25,R$1,$B$1)</f>
        <v>0</v>
      </c>
      <c r="S25" s="125" cm="1">
        <f t="array" ref="S25">+_xll.EQNXTDZ($A$1,$B25,S$1,$B$1)</f>
        <v>0</v>
      </c>
      <c r="T25" s="125" cm="1">
        <f t="array" ref="T25">+_xll.EQNXTDZ($A$1,$B25,T$1,$B$1)</f>
        <v>0</v>
      </c>
      <c r="U25" s="125" cm="1">
        <f t="array" ref="U25">+_xll.EQNXTDZ($A$1,$B25,U$1,$B$1)</f>
        <v>0</v>
      </c>
      <c r="V25" s="125" cm="1">
        <f t="array" ref="V25">+_xll.EQNXTDZ($A$1,$B25,V$1,$B$1)</f>
        <v>0</v>
      </c>
      <c r="W25" s="125" cm="1">
        <f t="array" ref="W25">+_xll.EQNXTDZ($A$1,$B25,W$1,$B$1)</f>
        <v>0</v>
      </c>
      <c r="X25" s="125" cm="1">
        <f t="array" ref="X25">+_xll.EQNXTDZ($A$1,$B25,X$1,$B$1)</f>
        <v>0</v>
      </c>
      <c r="Y25" s="125" cm="1">
        <f t="array" ref="Y25">+_xll.EQNXTDZ($A$1,$B25,Y$1,$B$1)</f>
        <v>0</v>
      </c>
      <c r="Z25" s="125" cm="1">
        <f t="array" ref="Z25">+_xll.EQNXTDZ($A$1,$B25,Z$1,$B$1)</f>
        <v>0</v>
      </c>
      <c r="AA25" s="125" cm="1">
        <f t="array" ref="AA25">+_xll.EQNXTDZ($A$1,$B25,AA$1,$B$1)</f>
        <v>0</v>
      </c>
      <c r="AB25" s="125" cm="1">
        <f t="array" ref="AB25">+_xll.EQNXTDZ($A$1,$B25,AB$1,$B$1)</f>
        <v>0</v>
      </c>
      <c r="AC25" s="125" cm="1">
        <f t="array" ref="AC25">+_xll.EQNXTDZ($A$1,$B25,AC$1,$B$1)</f>
        <v>0</v>
      </c>
      <c r="AD25" s="125" cm="1">
        <f t="array" ref="AD25">+_xll.EQNXTDZ($A$1,$B25,AD$1,$B$1)</f>
        <v>0</v>
      </c>
      <c r="AE25" s="125" cm="1">
        <f t="array" ref="AE25">+_xll.EQNXTDZ($A$1,$B25,AE$1,$B$1)</f>
        <v>0</v>
      </c>
      <c r="AF25" s="125" cm="1">
        <f t="array" ref="AF25">+_xll.EQNXTDZ($A$1,$B25,AF$1,$B$1)</f>
        <v>0</v>
      </c>
      <c r="AG25" s="125" cm="1">
        <f t="array" ref="AG25">+_xll.EQNXTDZ($A$1,$B25,AG$1,$B$1)</f>
        <v>0</v>
      </c>
      <c r="AH25" s="125" cm="1">
        <f t="array" ref="AH25">+_xll.EQNXTDZ($A$1,$B25,AH$1,$B$1)</f>
        <v>0</v>
      </c>
      <c r="AI25" s="125" cm="1">
        <f t="array" ref="AI25">+_xll.EQNXTDZ($A$1,$B25,AI$1,$B$1)</f>
        <v>0</v>
      </c>
      <c r="AJ25" s="125" cm="1">
        <f t="array" ref="AJ25">+_xll.EQNXTDZ($A$1,$B25,AJ$1,$B$1)</f>
        <v>0</v>
      </c>
      <c r="AK25" s="125" cm="1">
        <f t="array" ref="AK25">+_xll.EQNXTDZ($A$1,$B25,AK$1,$B$1)</f>
        <v>0</v>
      </c>
      <c r="AL25" s="125" cm="1">
        <f t="array" ref="AL25">+_xll.EQNXTDZ($A$1,$B25,AL$1,$B$1)</f>
        <v>0</v>
      </c>
      <c r="AM25" s="125" cm="1">
        <f t="array" ref="AM25">+_xll.EQNXTDZ($A$1,$B25,AM$1,$B$1)</f>
        <v>0</v>
      </c>
      <c r="AN25" s="125" cm="1">
        <f t="array" ref="AN25">+_xll.EQNXTDZ($A$1,$B25,AN$1,$B$1)</f>
        <v>0</v>
      </c>
      <c r="AO25" s="125" cm="1">
        <f t="array" ref="AO25">+_xll.EQNXTDZ($A$1,$B25,AO$1,$B$1)</f>
        <v>0</v>
      </c>
      <c r="AP25" s="125" cm="1">
        <f t="array" ref="AP25">+_xll.EQNXTDZ($A$1,$B25,AP$1,$B$1)</f>
        <v>0</v>
      </c>
      <c r="AQ25" s="125" cm="1">
        <f t="array" ref="AQ25">+_xll.EQNXTDZ($A$1,$B25,AQ$1,$B$1)</f>
        <v>0</v>
      </c>
      <c r="AR25" s="125" cm="1">
        <f t="array" ref="AR25">+_xll.EQNXTDZ($A$1,$B25,AR$1,$B$1)</f>
        <v>0</v>
      </c>
      <c r="AS25" s="125" cm="1">
        <f t="array" ref="AS25">+_xll.EQNXTDZ($A$1,$B25,AS$1,$B$1)</f>
        <v>0</v>
      </c>
      <c r="AT25" s="125" cm="1">
        <f t="array" ref="AT25">+_xll.EQNXTDZ($A$1,$B25,AT$1,$B$1)</f>
        <v>0</v>
      </c>
      <c r="AU25" s="125" cm="1">
        <f t="array" ref="AU25">+_xll.EQNXTDZ($A$1,$B25,AU$1,$B$1)</f>
        <v>0</v>
      </c>
      <c r="AV25" s="125" cm="1">
        <f t="array" ref="AV25">+_xll.EQNXTDZ($A$1,$B25,AV$1,$B$1)</f>
        <v>0</v>
      </c>
      <c r="AW25" s="125" cm="1">
        <f t="array" ref="AW25">+_xll.EQNXTDZ($A$1,$B25,AW$1,$B$1)</f>
        <v>0</v>
      </c>
      <c r="AX25" s="125" cm="1">
        <f t="array" ref="AX25">+_xll.EQNXTDZ($A$1,$B25,AX$1,$B$1)</f>
        <v>0</v>
      </c>
      <c r="AY25" s="125" cm="1">
        <f t="array" ref="AY25">+_xll.EQNXTDZ($A$1,$B25,AY$1,$B$1)</f>
        <v>0</v>
      </c>
      <c r="AZ25" s="125" cm="1">
        <f t="array" ref="AZ25">+_xll.EQNXTDZ($A$1,$B25,AZ$1,$B$1)</f>
        <v>0</v>
      </c>
      <c r="BA25" s="125" cm="1">
        <f t="array" ref="BA25">+_xll.EQNXTDZ($A$1,$B25,BA$1,$B$1)</f>
        <v>0</v>
      </c>
      <c r="BB25" s="125" cm="1">
        <f t="array" ref="BB25">+_xll.EQNXTDZ($A$1,$B25,BB$1,$B$1)</f>
        <v>0</v>
      </c>
      <c r="BC25" s="125" cm="1">
        <f t="array" ref="BC25">+_xll.EQNXTDZ($A$1,$B25,BC$1,$B$1)</f>
        <v>0</v>
      </c>
      <c r="BD25" s="125" cm="1">
        <f t="array" ref="BD25">+_xll.EQNXTDZ($A$1,$B25,BD$1,$B$1)</f>
        <v>0</v>
      </c>
      <c r="BE25" s="125" cm="1">
        <f t="array" ref="BE25">+_xll.EQNXTDZ($A$1,$B25,BE$1,$B$1)</f>
        <v>0</v>
      </c>
      <c r="BF25" s="125" cm="1">
        <f t="array" ref="BF25">+_xll.EQNXTDZ($A$1,$B25,BF$1,$B$1)</f>
        <v>0</v>
      </c>
      <c r="BG25" s="125" cm="1">
        <f t="array" ref="BG25">+_xll.EQNXTDZ($A$1,$B25,BG$1,$B$1)</f>
        <v>0</v>
      </c>
      <c r="BH25" s="125" cm="1">
        <f t="array" ref="BH25">+_xll.EQNXTDZ($A$1,$B25,BH$1,$B$1)</f>
        <v>0</v>
      </c>
      <c r="BI25" s="125" cm="1">
        <f t="array" ref="BI25">+_xll.EQNXTDZ($A$1,$B25,BI$1,$B$1)</f>
        <v>0</v>
      </c>
      <c r="BJ25" s="125" cm="1">
        <f t="array" ref="BJ25">+_xll.EQNXTDZ($A$1,$B25,BJ$1,$B$1)</f>
        <v>0</v>
      </c>
      <c r="BK25" s="125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5" cm="1">
        <f t="array" ref="C26">+_xll.EQNXTDZ($A$1,$B26,C$1,$B$1)</f>
        <v>0</v>
      </c>
      <c r="D26" s="125" cm="1">
        <f t="array" ref="D26">+_xll.EQNXTDZ($A$1,$B26,D$1,$B$1)</f>
        <v>0</v>
      </c>
      <c r="E26" s="125" cm="1">
        <f t="array" ref="E26">+_xll.EQNXTDZ($A$1,$B26,E$1,$B$1)</f>
        <v>0</v>
      </c>
      <c r="F26" s="125" cm="1">
        <f t="array" ref="F26">+_xll.EQNXTDZ($A$1,$B26,F$1,$B$1)</f>
        <v>0</v>
      </c>
      <c r="G26" s="125" cm="1">
        <f t="array" ref="G26">+_xll.EQNXTDZ($A$1,$B26,G$1,$B$1)</f>
        <v>0</v>
      </c>
      <c r="H26" s="125" cm="1">
        <f t="array" ref="H26">+_xll.EQNXTDZ($A$1,$B26,H$1,$B$1)</f>
        <v>0</v>
      </c>
      <c r="I26" s="125" cm="1">
        <f t="array" ref="I26">+_xll.EQNXTDZ($A$1,$B26,I$1,$B$1)</f>
        <v>0</v>
      </c>
      <c r="J26" s="125" cm="1">
        <f t="array" ref="J26">+_xll.EQNXTDZ($A$1,$B26,J$1,$B$1)</f>
        <v>0</v>
      </c>
      <c r="K26" s="125" cm="1">
        <f t="array" ref="K26">+_xll.EQNXTDZ($A$1,$B26,K$1,$B$1)</f>
        <v>0</v>
      </c>
      <c r="L26" s="125" cm="1">
        <f t="array" ref="L26">+_xll.EQNXTDZ($A$1,$B26,L$1,$B$1)</f>
        <v>0</v>
      </c>
      <c r="M26" s="125" cm="1">
        <f t="array" ref="M26">+_xll.EQNXTDZ($A$1,$B26,M$1,$B$1)</f>
        <v>0</v>
      </c>
      <c r="N26" s="125" cm="1">
        <f t="array" ref="N26">+_xll.EQNXTDZ($A$1,$B26,N$1,$B$1)</f>
        <v>0</v>
      </c>
      <c r="O26" s="125" cm="1">
        <f t="array" ref="O26">+_xll.EQNXTDZ($A$1,$B26,O$1,$B$1)</f>
        <v>0</v>
      </c>
      <c r="P26" s="125" cm="1">
        <f t="array" ref="P26">+_xll.EQNXTDZ($A$1,$B26,P$1,$B$1)</f>
        <v>0</v>
      </c>
      <c r="Q26" s="125" cm="1">
        <f t="array" ref="Q26">+_xll.EQNXTDZ($A$1,$B26,Q$1,$B$1)</f>
        <v>0</v>
      </c>
      <c r="R26" s="125" cm="1">
        <f t="array" ref="R26">+_xll.EQNXTDZ($A$1,$B26,R$1,$B$1)</f>
        <v>0</v>
      </c>
      <c r="S26" s="125" cm="1">
        <f t="array" ref="S26">+_xll.EQNXTDZ($A$1,$B26,S$1,$B$1)</f>
        <v>0</v>
      </c>
      <c r="T26" s="125" cm="1">
        <f t="array" ref="T26">+_xll.EQNXTDZ($A$1,$B26,T$1,$B$1)</f>
        <v>0</v>
      </c>
      <c r="U26" s="125" cm="1">
        <f t="array" ref="U26">+_xll.EQNXTDZ($A$1,$B26,U$1,$B$1)</f>
        <v>0</v>
      </c>
      <c r="V26" s="125" cm="1">
        <f t="array" ref="V26">+_xll.EQNXTDZ($A$1,$B26,V$1,$B$1)</f>
        <v>0</v>
      </c>
      <c r="W26" s="125" cm="1">
        <f t="array" ref="W26">+_xll.EQNXTDZ($A$1,$B26,W$1,$B$1)</f>
        <v>0</v>
      </c>
      <c r="X26" s="125" cm="1">
        <f t="array" ref="X26">+_xll.EQNXTDZ($A$1,$B26,X$1,$B$1)</f>
        <v>0</v>
      </c>
      <c r="Y26" s="125" cm="1">
        <f t="array" ref="Y26">+_xll.EQNXTDZ($A$1,$B26,Y$1,$B$1)</f>
        <v>0</v>
      </c>
      <c r="Z26" s="125" cm="1">
        <f t="array" ref="Z26">+_xll.EQNXTDZ($A$1,$B26,Z$1,$B$1)</f>
        <v>0</v>
      </c>
      <c r="AA26" s="125" cm="1">
        <f t="array" ref="AA26">+_xll.EQNXTDZ($A$1,$B26,AA$1,$B$1)</f>
        <v>0</v>
      </c>
      <c r="AB26" s="125" cm="1">
        <f t="array" ref="AB26">+_xll.EQNXTDZ($A$1,$B26,AB$1,$B$1)</f>
        <v>0</v>
      </c>
      <c r="AC26" s="125" cm="1">
        <f t="array" ref="AC26">+_xll.EQNXTDZ($A$1,$B26,AC$1,$B$1)</f>
        <v>0</v>
      </c>
      <c r="AD26" s="125" cm="1">
        <f t="array" ref="AD26">+_xll.EQNXTDZ($A$1,$B26,AD$1,$B$1)</f>
        <v>0</v>
      </c>
      <c r="AE26" s="125" cm="1">
        <f t="array" ref="AE26">+_xll.EQNXTDZ($A$1,$B26,AE$1,$B$1)</f>
        <v>0</v>
      </c>
      <c r="AF26" s="125" cm="1">
        <f t="array" ref="AF26">+_xll.EQNXTDZ($A$1,$B26,AF$1,$B$1)</f>
        <v>0</v>
      </c>
      <c r="AG26" s="125" cm="1">
        <f t="array" ref="AG26">+_xll.EQNXTDZ($A$1,$B26,AG$1,$B$1)</f>
        <v>0</v>
      </c>
      <c r="AH26" s="125" cm="1">
        <f t="array" ref="AH26">+_xll.EQNXTDZ($A$1,$B26,AH$1,$B$1)</f>
        <v>0</v>
      </c>
      <c r="AI26" s="125" cm="1">
        <f t="array" ref="AI26">+_xll.EQNXTDZ($A$1,$B26,AI$1,$B$1)</f>
        <v>0</v>
      </c>
      <c r="AJ26" s="125" cm="1">
        <f t="array" ref="AJ26">+_xll.EQNXTDZ($A$1,$B26,AJ$1,$B$1)</f>
        <v>0</v>
      </c>
      <c r="AK26" s="125" cm="1">
        <f t="array" ref="AK26">+_xll.EQNXTDZ($A$1,$B26,AK$1,$B$1)</f>
        <v>0</v>
      </c>
      <c r="AL26" s="125" cm="1">
        <f t="array" ref="AL26">+_xll.EQNXTDZ($A$1,$B26,AL$1,$B$1)</f>
        <v>0</v>
      </c>
      <c r="AM26" s="125" cm="1">
        <f t="array" ref="AM26">+_xll.EQNXTDZ($A$1,$B26,AM$1,$B$1)</f>
        <v>0</v>
      </c>
      <c r="AN26" s="125" cm="1">
        <f t="array" ref="AN26">+_xll.EQNXTDZ($A$1,$B26,AN$1,$B$1)</f>
        <v>0</v>
      </c>
      <c r="AO26" s="125" cm="1">
        <f t="array" ref="AO26">+_xll.EQNXTDZ($A$1,$B26,AO$1,$B$1)</f>
        <v>0</v>
      </c>
      <c r="AP26" s="125" cm="1">
        <f t="array" ref="AP26">+_xll.EQNXTDZ($A$1,$B26,AP$1,$B$1)</f>
        <v>0</v>
      </c>
      <c r="AQ26" s="125" cm="1">
        <f t="array" ref="AQ26">+_xll.EQNXTDZ($A$1,$B26,AQ$1,$B$1)</f>
        <v>0</v>
      </c>
      <c r="AR26" s="125" cm="1">
        <f t="array" ref="AR26">+_xll.EQNXTDZ($A$1,$B26,AR$1,$B$1)</f>
        <v>0</v>
      </c>
      <c r="AS26" s="125" cm="1">
        <f t="array" ref="AS26">+_xll.EQNXTDZ($A$1,$B26,AS$1,$B$1)</f>
        <v>0</v>
      </c>
      <c r="AT26" s="125" cm="1">
        <f t="array" ref="AT26">+_xll.EQNXTDZ($A$1,$B26,AT$1,$B$1)</f>
        <v>0</v>
      </c>
      <c r="AU26" s="125" cm="1">
        <f t="array" ref="AU26">+_xll.EQNXTDZ($A$1,$B26,AU$1,$B$1)</f>
        <v>0</v>
      </c>
      <c r="AV26" s="125" cm="1">
        <f t="array" ref="AV26">+_xll.EQNXTDZ($A$1,$B26,AV$1,$B$1)</f>
        <v>0</v>
      </c>
      <c r="AW26" s="125" cm="1">
        <f t="array" ref="AW26">+_xll.EQNXTDZ($A$1,$B26,AW$1,$B$1)</f>
        <v>0</v>
      </c>
      <c r="AX26" s="125" cm="1">
        <f t="array" ref="AX26">+_xll.EQNXTDZ($A$1,$B26,AX$1,$B$1)</f>
        <v>0</v>
      </c>
      <c r="AY26" s="125" cm="1">
        <f t="array" ref="AY26">+_xll.EQNXTDZ($A$1,$B26,AY$1,$B$1)</f>
        <v>0</v>
      </c>
      <c r="AZ26" s="125" cm="1">
        <f t="array" ref="AZ26">+_xll.EQNXTDZ($A$1,$B26,AZ$1,$B$1)</f>
        <v>0</v>
      </c>
      <c r="BA26" s="125" cm="1">
        <f t="array" ref="BA26">+_xll.EQNXTDZ($A$1,$B26,BA$1,$B$1)</f>
        <v>0</v>
      </c>
      <c r="BB26" s="125" cm="1">
        <f t="array" ref="BB26">+_xll.EQNXTDZ($A$1,$B26,BB$1,$B$1)</f>
        <v>0</v>
      </c>
      <c r="BC26" s="125" cm="1">
        <f t="array" ref="BC26">+_xll.EQNXTDZ($A$1,$B26,BC$1,$B$1)</f>
        <v>0</v>
      </c>
      <c r="BD26" s="125" cm="1">
        <f t="array" ref="BD26">+_xll.EQNXTDZ($A$1,$B26,BD$1,$B$1)</f>
        <v>0</v>
      </c>
      <c r="BE26" s="125" cm="1">
        <f t="array" ref="BE26">+_xll.EQNXTDZ($A$1,$B26,BE$1,$B$1)</f>
        <v>0</v>
      </c>
      <c r="BF26" s="125" cm="1">
        <f t="array" ref="BF26">+_xll.EQNXTDZ($A$1,$B26,BF$1,$B$1)</f>
        <v>0</v>
      </c>
      <c r="BG26" s="125" cm="1">
        <f t="array" ref="BG26">+_xll.EQNXTDZ($A$1,$B26,BG$1,$B$1)</f>
        <v>0</v>
      </c>
      <c r="BH26" s="125" cm="1">
        <f t="array" ref="BH26">+_xll.EQNXTDZ($A$1,$B26,BH$1,$B$1)</f>
        <v>0</v>
      </c>
      <c r="BI26" s="125" cm="1">
        <f t="array" ref="BI26">+_xll.EQNXTDZ($A$1,$B26,BI$1,$B$1)</f>
        <v>0</v>
      </c>
      <c r="BJ26" s="125" cm="1">
        <f t="array" ref="BJ26">+_xll.EQNXTDZ($A$1,$B26,BJ$1,$B$1)</f>
        <v>0</v>
      </c>
      <c r="BK26" s="125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5" cm="1">
        <f t="array" ref="C27">+_xll.EQNXTDZ($A$1,$B27,C$1,$B$1)</f>
        <v>0</v>
      </c>
      <c r="D27" s="125" cm="1">
        <f t="array" ref="D27">+_xll.EQNXTDZ($A$1,$B27,D$1,$B$1)</f>
        <v>0</v>
      </c>
      <c r="E27" s="125" cm="1">
        <f t="array" ref="E27">+_xll.EQNXTDZ($A$1,$B27,E$1,$B$1)</f>
        <v>0</v>
      </c>
      <c r="F27" s="125" cm="1">
        <f t="array" ref="F27">+_xll.EQNXTDZ($A$1,$B27,F$1,$B$1)</f>
        <v>0</v>
      </c>
      <c r="G27" s="125" cm="1">
        <f t="array" ref="G27">+_xll.EQNXTDZ($A$1,$B27,G$1,$B$1)</f>
        <v>0</v>
      </c>
      <c r="H27" s="125" cm="1">
        <f t="array" ref="H27">+_xll.EQNXTDZ($A$1,$B27,H$1,$B$1)</f>
        <v>0</v>
      </c>
      <c r="I27" s="125" cm="1">
        <f t="array" ref="I27">+_xll.EQNXTDZ($A$1,$B27,I$1,$B$1)</f>
        <v>0</v>
      </c>
      <c r="J27" s="125" cm="1">
        <f t="array" ref="J27">+_xll.EQNXTDZ($A$1,$B27,J$1,$B$1)</f>
        <v>0</v>
      </c>
      <c r="K27" s="125" cm="1">
        <f t="array" ref="K27">+_xll.EQNXTDZ($A$1,$B27,K$1,$B$1)</f>
        <v>0</v>
      </c>
      <c r="L27" s="125" cm="1">
        <f t="array" ref="L27">+_xll.EQNXTDZ($A$1,$B27,L$1,$B$1)</f>
        <v>0</v>
      </c>
      <c r="M27" s="125" cm="1">
        <f t="array" ref="M27">+_xll.EQNXTDZ($A$1,$B27,M$1,$B$1)</f>
        <v>-12.85</v>
      </c>
      <c r="N27" s="125" cm="1">
        <f t="array" ref="N27">+_xll.EQNXTDZ($A$1,$B27,N$1,$B$1)</f>
        <v>-19.329999999999998</v>
      </c>
      <c r="O27" s="125" cm="1">
        <f t="array" ref="O27">+_xll.EQNXTDZ($A$1,$B27,O$1,$B$1)</f>
        <v>-2.19</v>
      </c>
      <c r="P27" s="125" cm="1">
        <f t="array" ref="P27">+_xll.EQNXTDZ($A$1,$B27,P$1,$B$1)</f>
        <v>13.87</v>
      </c>
      <c r="Q27" s="125" cm="1">
        <f t="array" ref="Q27">+_xll.EQNXTDZ($A$1,$B27,Q$1,$B$1)</f>
        <v>16.829999999999998</v>
      </c>
      <c r="R27" s="125" cm="1">
        <f t="array" ref="R27">+_xll.EQNXTDZ($A$1,$B27,R$1,$B$1)</f>
        <v>10.28</v>
      </c>
      <c r="S27" s="125" cm="1">
        <f t="array" ref="S27">+_xll.EQNXTDZ($A$1,$B27,S$1,$B$1)</f>
        <v>33.880000000000003</v>
      </c>
      <c r="T27" s="125" cm="1">
        <f t="array" ref="T27">+_xll.EQNXTDZ($A$1,$B27,T$1,$B$1)</f>
        <v>15.47</v>
      </c>
      <c r="U27" s="125" cm="1">
        <f t="array" ref="U27">+_xll.EQNXTDZ($A$1,$B27,U$1,$B$1)</f>
        <v>28.14</v>
      </c>
      <c r="V27" s="125" cm="1">
        <f t="array" ref="V27">+_xll.EQNXTDZ($A$1,$B27,V$1,$B$1)</f>
        <v>54.7</v>
      </c>
      <c r="W27" s="125" cm="1">
        <f t="array" ref="W27">+_xll.EQNXTDZ($A$1,$B27,W$1,$B$1)</f>
        <v>138.96</v>
      </c>
      <c r="X27" s="125" cm="1">
        <f t="array" ref="X27">+_xll.EQNXTDZ($A$1,$B27,X$1,$B$1)</f>
        <v>155.1</v>
      </c>
      <c r="Y27" s="125" cm="1">
        <f t="array" ref="Y27">+_xll.EQNXTDZ($A$1,$B27,Y$1,$B$1)</f>
        <v>90.18</v>
      </c>
      <c r="Z27" s="125" cm="1">
        <f t="array" ref="Z27">+_xll.EQNXTDZ($A$1,$B27,Z$1,$B$1)</f>
        <v>275.64999999999998</v>
      </c>
      <c r="AA27" s="125" cm="1">
        <f t="array" ref="AA27">+_xll.EQNXTDZ($A$1,$B27,AA$1,$B$1)</f>
        <v>250.43</v>
      </c>
      <c r="AB27" s="125" cm="1">
        <f t="array" ref="AB27">+_xll.EQNXTDZ($A$1,$B27,AB$1,$B$1)</f>
        <v>187.87</v>
      </c>
      <c r="AC27" s="125" cm="1">
        <f t="array" ref="AC27">+_xll.EQNXTDZ($A$1,$B27,AC$1,$B$1)</f>
        <v>139.93</v>
      </c>
      <c r="AD27" s="125" cm="1">
        <f t="array" ref="AD27">+_xll.EQNXTDZ($A$1,$B27,AD$1,$B$1)</f>
        <v>117.94</v>
      </c>
      <c r="AE27" s="125" cm="1">
        <f t="array" ref="AE27">+_xll.EQNXTDZ($A$1,$B27,AE$1,$B$1)</f>
        <v>151.01</v>
      </c>
      <c r="AF27" s="125" cm="1">
        <f t="array" ref="AF27">+_xll.EQNXTDZ($A$1,$B27,AF$1,$B$1)</f>
        <v>100.91</v>
      </c>
      <c r="AG27" s="125" cm="1">
        <f t="array" ref="AG27">+_xll.EQNXTDZ($A$1,$B27,AG$1,$B$1)</f>
        <v>105.36</v>
      </c>
      <c r="AH27" s="125" cm="1">
        <f t="array" ref="AH27">+_xll.EQNXTDZ($A$1,$B27,AH$1,$B$1)</f>
        <v>89.44</v>
      </c>
      <c r="AI27" s="125" cm="1">
        <f t="array" ref="AI27">+_xll.EQNXTDZ($A$1,$B27,AI$1,$B$1)</f>
        <v>105.32</v>
      </c>
      <c r="AJ27" s="125" cm="1">
        <f t="array" ref="AJ27">+_xll.EQNXTDZ($A$1,$B27,AJ$1,$B$1)</f>
        <v>76.400000000000006</v>
      </c>
      <c r="AK27" s="125" cm="1">
        <f t="array" ref="AK27">+_xll.EQNXTDZ($A$1,$B27,AK$1,$B$1)</f>
        <v>95.85</v>
      </c>
      <c r="AL27" s="125" cm="1">
        <f t="array" ref="AL27">+_xll.EQNXTDZ($A$1,$B27,AL$1,$B$1)</f>
        <v>126.2</v>
      </c>
      <c r="AM27" s="125" cm="1">
        <f t="array" ref="AM27">+_xll.EQNXTDZ($A$1,$B27,AM$1,$B$1)</f>
        <v>153.32</v>
      </c>
      <c r="AN27" s="125" cm="1">
        <f t="array" ref="AN27">+_xll.EQNXTDZ($A$1,$B27,AN$1,$B$1)</f>
        <v>174.59</v>
      </c>
      <c r="AO27" s="125" cm="1">
        <f t="array" ref="AO27">+_xll.EQNXTDZ($A$1,$B27,AO$1,$B$1)</f>
        <v>420.15</v>
      </c>
      <c r="AP27" s="125" cm="1">
        <f t="array" ref="AP27">+_xll.EQNXTDZ($A$1,$B27,AP$1,$B$1)</f>
        <v>751.86</v>
      </c>
      <c r="AQ27" s="125" cm="1">
        <f t="array" ref="AQ27">+_xll.EQNXTDZ($A$1,$B27,AQ$1,$B$1)</f>
        <v>582.91</v>
      </c>
      <c r="AR27" s="125" cm="1">
        <f t="array" ref="AR27">+_xll.EQNXTDZ($A$1,$B27,AR$1,$B$1)</f>
        <v>571.85</v>
      </c>
      <c r="AS27" s="125" cm="1">
        <f t="array" ref="AS27">+_xll.EQNXTDZ($A$1,$B27,AS$1,$B$1)</f>
        <v>525.66999999999996</v>
      </c>
      <c r="AT27" s="125" cm="1">
        <f t="array" ref="AT27">+_xll.EQNXTDZ($A$1,$B27,AT$1,$B$1)</f>
        <v>342.57</v>
      </c>
      <c r="AU27" s="125" cm="1">
        <f t="array" ref="AU27">+_xll.EQNXTDZ($A$1,$B27,AU$1,$B$1)</f>
        <v>335.31</v>
      </c>
      <c r="AV27" s="125" cm="1">
        <f t="array" ref="AV27">+_xll.EQNXTDZ($A$1,$B27,AV$1,$B$1)</f>
        <v>0</v>
      </c>
      <c r="AW27" s="125" cm="1">
        <f t="array" ref="AW27">+_xll.EQNXTDZ($A$1,$B27,AW$1,$B$1)</f>
        <v>0</v>
      </c>
      <c r="AX27" s="125" cm="1">
        <f t="array" ref="AX27">+_xll.EQNXTDZ($A$1,$B27,AX$1,$B$1)</f>
        <v>0</v>
      </c>
      <c r="AY27" s="125" cm="1">
        <f t="array" ref="AY27">+_xll.EQNXTDZ($A$1,$B27,AY$1,$B$1)</f>
        <v>0</v>
      </c>
      <c r="AZ27" s="125" cm="1">
        <f t="array" ref="AZ27">+_xll.EQNXTDZ($A$1,$B27,AZ$1,$B$1)</f>
        <v>0</v>
      </c>
      <c r="BA27" s="125" cm="1">
        <f t="array" ref="BA27">+_xll.EQNXTDZ($A$1,$B27,BA$1,$B$1)</f>
        <v>0</v>
      </c>
      <c r="BB27" s="125" cm="1">
        <f t="array" ref="BB27">+_xll.EQNXTDZ($A$1,$B27,BB$1,$B$1)</f>
        <v>0</v>
      </c>
      <c r="BC27" s="125" cm="1">
        <f t="array" ref="BC27">+_xll.EQNXTDZ($A$1,$B27,BC$1,$B$1)</f>
        <v>0</v>
      </c>
      <c r="BD27" s="125" cm="1">
        <f t="array" ref="BD27">+_xll.EQNXTDZ($A$1,$B27,BD$1,$B$1)</f>
        <v>0</v>
      </c>
      <c r="BE27" s="125" cm="1">
        <f t="array" ref="BE27">+_xll.EQNXTDZ($A$1,$B27,BE$1,$B$1)</f>
        <v>0</v>
      </c>
      <c r="BF27" s="125" cm="1">
        <f t="array" ref="BF27">+_xll.EQNXTDZ($A$1,$B27,BF$1,$B$1)</f>
        <v>0</v>
      </c>
      <c r="BG27" s="125" cm="1">
        <f t="array" ref="BG27">+_xll.EQNXTDZ($A$1,$B27,BG$1,$B$1)</f>
        <v>0</v>
      </c>
      <c r="BH27" s="125" cm="1">
        <f t="array" ref="BH27">+_xll.EQNXTDZ($A$1,$B27,BH$1,$B$1)</f>
        <v>0</v>
      </c>
      <c r="BI27" s="125" cm="1">
        <f t="array" ref="BI27">+_xll.EQNXTDZ($A$1,$B27,BI$1,$B$1)</f>
        <v>0</v>
      </c>
      <c r="BJ27" s="125" cm="1">
        <f t="array" ref="BJ27">+_xll.EQNXTDZ($A$1,$B27,BJ$1,$B$1)</f>
        <v>0</v>
      </c>
      <c r="BK27" s="125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5" cm="1">
        <f t="array" ref="C28">+_xll.EQNXTDZ($A$1,$B28,C$1,$B$1)</f>
        <v>0</v>
      </c>
      <c r="D28" s="125" cm="1">
        <f t="array" ref="D28">+_xll.EQNXTDZ($A$1,$B28,D$1,$B$1)</f>
        <v>0</v>
      </c>
      <c r="E28" s="125" cm="1">
        <f t="array" ref="E28">+_xll.EQNXTDZ($A$1,$B28,E$1,$B$1)</f>
        <v>0</v>
      </c>
      <c r="F28" s="125" cm="1">
        <f t="array" ref="F28">+_xll.EQNXTDZ($A$1,$B28,F$1,$B$1)</f>
        <v>0</v>
      </c>
      <c r="G28" s="125" cm="1">
        <f t="array" ref="G28">+_xll.EQNXTDZ($A$1,$B28,G$1,$B$1)</f>
        <v>0</v>
      </c>
      <c r="H28" s="125" cm="1">
        <f t="array" ref="H28">+_xll.EQNXTDZ($A$1,$B28,H$1,$B$1)</f>
        <v>0</v>
      </c>
      <c r="I28" s="125" cm="1">
        <f t="array" ref="I28">+_xll.EQNXTDZ($A$1,$B28,I$1,$B$1)</f>
        <v>0</v>
      </c>
      <c r="J28" s="125" cm="1">
        <f t="array" ref="J28">+_xll.EQNXTDZ($A$1,$B28,J$1,$B$1)</f>
        <v>0</v>
      </c>
      <c r="K28" s="125" cm="1">
        <f t="array" ref="K28">+_xll.EQNXTDZ($A$1,$B28,K$1,$B$1)</f>
        <v>0</v>
      </c>
      <c r="L28" s="125" cm="1">
        <f t="array" ref="L28">+_xll.EQNXTDZ($A$1,$B28,L$1,$B$1)</f>
        <v>0</v>
      </c>
      <c r="M28" s="125" cm="1">
        <f t="array" ref="M28">+_xll.EQNXTDZ($A$1,$B28,M$1,$B$1)</f>
        <v>0</v>
      </c>
      <c r="N28" s="125" cm="1">
        <f t="array" ref="N28">+_xll.EQNXTDZ($A$1,$B28,N$1,$B$1)</f>
        <v>0</v>
      </c>
      <c r="O28" s="125" cm="1">
        <f t="array" ref="O28">+_xll.EQNXTDZ($A$1,$B28,O$1,$B$1)</f>
        <v>0</v>
      </c>
      <c r="P28" s="125" cm="1">
        <f t="array" ref="P28">+_xll.EQNXTDZ($A$1,$B28,P$1,$B$1)</f>
        <v>0</v>
      </c>
      <c r="Q28" s="125" cm="1">
        <f t="array" ref="Q28">+_xll.EQNXTDZ($A$1,$B28,Q$1,$B$1)</f>
        <v>0</v>
      </c>
      <c r="R28" s="125" cm="1">
        <f t="array" ref="R28">+_xll.EQNXTDZ($A$1,$B28,R$1,$B$1)</f>
        <v>0</v>
      </c>
      <c r="S28" s="125" cm="1">
        <f t="array" ref="S28">+_xll.EQNXTDZ($A$1,$B28,S$1,$B$1)</f>
        <v>0</v>
      </c>
      <c r="T28" s="125" cm="1">
        <f t="array" ref="T28">+_xll.EQNXTDZ($A$1,$B28,T$1,$B$1)</f>
        <v>0</v>
      </c>
      <c r="U28" s="125" cm="1">
        <f t="array" ref="U28">+_xll.EQNXTDZ($A$1,$B28,U$1,$B$1)</f>
        <v>0</v>
      </c>
      <c r="V28" s="125" cm="1">
        <f t="array" ref="V28">+_xll.EQNXTDZ($A$1,$B28,V$1,$B$1)</f>
        <v>0</v>
      </c>
      <c r="W28" s="125" cm="1">
        <f t="array" ref="W28">+_xll.EQNXTDZ($A$1,$B28,W$1,$B$1)</f>
        <v>0</v>
      </c>
      <c r="X28" s="125" cm="1">
        <f t="array" ref="X28">+_xll.EQNXTDZ($A$1,$B28,X$1,$B$1)</f>
        <v>0</v>
      </c>
      <c r="Y28" s="125" cm="1">
        <f t="array" ref="Y28">+_xll.EQNXTDZ($A$1,$B28,Y$1,$B$1)</f>
        <v>0</v>
      </c>
      <c r="Z28" s="125" cm="1">
        <f t="array" ref="Z28">+_xll.EQNXTDZ($A$1,$B28,Z$1,$B$1)</f>
        <v>0</v>
      </c>
      <c r="AA28" s="125" cm="1">
        <f t="array" ref="AA28">+_xll.EQNXTDZ($A$1,$B28,AA$1,$B$1)</f>
        <v>0</v>
      </c>
      <c r="AB28" s="125" cm="1">
        <f t="array" ref="AB28">+_xll.EQNXTDZ($A$1,$B28,AB$1,$B$1)</f>
        <v>0</v>
      </c>
      <c r="AC28" s="125" cm="1">
        <f t="array" ref="AC28">+_xll.EQNXTDZ($A$1,$B28,AC$1,$B$1)</f>
        <v>0</v>
      </c>
      <c r="AD28" s="125" cm="1">
        <f t="array" ref="AD28">+_xll.EQNXTDZ($A$1,$B28,AD$1,$B$1)</f>
        <v>0</v>
      </c>
      <c r="AE28" s="125" cm="1">
        <f t="array" ref="AE28">+_xll.EQNXTDZ($A$1,$B28,AE$1,$B$1)</f>
        <v>0</v>
      </c>
      <c r="AF28" s="125" cm="1">
        <f t="array" ref="AF28">+_xll.EQNXTDZ($A$1,$B28,AF$1,$B$1)</f>
        <v>0</v>
      </c>
      <c r="AG28" s="125" cm="1">
        <f t="array" ref="AG28">+_xll.EQNXTDZ($A$1,$B28,AG$1,$B$1)</f>
        <v>0</v>
      </c>
      <c r="AH28" s="125" cm="1">
        <f t="array" ref="AH28">+_xll.EQNXTDZ($A$1,$B28,AH$1,$B$1)</f>
        <v>0</v>
      </c>
      <c r="AI28" s="125" cm="1">
        <f t="array" ref="AI28">+_xll.EQNXTDZ($A$1,$B28,AI$1,$B$1)</f>
        <v>0</v>
      </c>
      <c r="AJ28" s="125" cm="1">
        <f t="array" ref="AJ28">+_xll.EQNXTDZ($A$1,$B28,AJ$1,$B$1)</f>
        <v>0</v>
      </c>
      <c r="AK28" s="125" cm="1">
        <f t="array" ref="AK28">+_xll.EQNXTDZ($A$1,$B28,AK$1,$B$1)</f>
        <v>0</v>
      </c>
      <c r="AL28" s="125" cm="1">
        <f t="array" ref="AL28">+_xll.EQNXTDZ($A$1,$B28,AL$1,$B$1)</f>
        <v>0</v>
      </c>
      <c r="AM28" s="125" cm="1">
        <f t="array" ref="AM28">+_xll.EQNXTDZ($A$1,$B28,AM$1,$B$1)</f>
        <v>0</v>
      </c>
      <c r="AN28" s="125" cm="1">
        <f t="array" ref="AN28">+_xll.EQNXTDZ($A$1,$B28,AN$1,$B$1)</f>
        <v>0</v>
      </c>
      <c r="AO28" s="125" cm="1">
        <f t="array" ref="AO28">+_xll.EQNXTDZ($A$1,$B28,AO$1,$B$1)</f>
        <v>0</v>
      </c>
      <c r="AP28" s="125" cm="1">
        <f t="array" ref="AP28">+_xll.EQNXTDZ($A$1,$B28,AP$1,$B$1)</f>
        <v>0</v>
      </c>
      <c r="AQ28" s="125" cm="1">
        <f t="array" ref="AQ28">+_xll.EQNXTDZ($A$1,$B28,AQ$1,$B$1)</f>
        <v>0</v>
      </c>
      <c r="AR28" s="125" cm="1">
        <f t="array" ref="AR28">+_xll.EQNXTDZ($A$1,$B28,AR$1,$B$1)</f>
        <v>0</v>
      </c>
      <c r="AS28" s="125" cm="1">
        <f t="array" ref="AS28">+_xll.EQNXTDZ($A$1,$B28,AS$1,$B$1)</f>
        <v>0</v>
      </c>
      <c r="AT28" s="125" cm="1">
        <f t="array" ref="AT28">+_xll.EQNXTDZ($A$1,$B28,AT$1,$B$1)</f>
        <v>0</v>
      </c>
      <c r="AU28" s="125" cm="1">
        <f t="array" ref="AU28">+_xll.EQNXTDZ($A$1,$B28,AU$1,$B$1)</f>
        <v>0</v>
      </c>
      <c r="AV28" s="125" cm="1">
        <f t="array" ref="AV28">+_xll.EQNXTDZ($A$1,$B28,AV$1,$B$1)</f>
        <v>0</v>
      </c>
      <c r="AW28" s="125" cm="1">
        <f t="array" ref="AW28">+_xll.EQNXTDZ($A$1,$B28,AW$1,$B$1)</f>
        <v>0</v>
      </c>
      <c r="AX28" s="125" cm="1">
        <f t="array" ref="AX28">+_xll.EQNXTDZ($A$1,$B28,AX$1,$B$1)</f>
        <v>0</v>
      </c>
      <c r="AY28" s="125" cm="1">
        <f t="array" ref="AY28">+_xll.EQNXTDZ($A$1,$B28,AY$1,$B$1)</f>
        <v>0</v>
      </c>
      <c r="AZ28" s="125" cm="1">
        <f t="array" ref="AZ28">+_xll.EQNXTDZ($A$1,$B28,AZ$1,$B$1)</f>
        <v>0</v>
      </c>
      <c r="BA28" s="125" cm="1">
        <f t="array" ref="BA28">+_xll.EQNXTDZ($A$1,$B28,BA$1,$B$1)</f>
        <v>0</v>
      </c>
      <c r="BB28" s="125" cm="1">
        <f t="array" ref="BB28">+_xll.EQNXTDZ($A$1,$B28,BB$1,$B$1)</f>
        <v>0</v>
      </c>
      <c r="BC28" s="125" cm="1">
        <f t="array" ref="BC28">+_xll.EQNXTDZ($A$1,$B28,BC$1,$B$1)</f>
        <v>0</v>
      </c>
      <c r="BD28" s="125" cm="1">
        <f t="array" ref="BD28">+_xll.EQNXTDZ($A$1,$B28,BD$1,$B$1)</f>
        <v>0</v>
      </c>
      <c r="BE28" s="125" cm="1">
        <f t="array" ref="BE28">+_xll.EQNXTDZ($A$1,$B28,BE$1,$B$1)</f>
        <v>0</v>
      </c>
      <c r="BF28" s="125" cm="1">
        <f t="array" ref="BF28">+_xll.EQNXTDZ($A$1,$B28,BF$1,$B$1)</f>
        <v>0</v>
      </c>
      <c r="BG28" s="125" cm="1">
        <f t="array" ref="BG28">+_xll.EQNXTDZ($A$1,$B28,BG$1,$B$1)</f>
        <v>0</v>
      </c>
      <c r="BH28" s="125" cm="1">
        <f t="array" ref="BH28">+_xll.EQNXTDZ($A$1,$B28,BH$1,$B$1)</f>
        <v>0</v>
      </c>
      <c r="BI28" s="125" cm="1">
        <f t="array" ref="BI28">+_xll.EQNXTDZ($A$1,$B28,BI$1,$B$1)</f>
        <v>0</v>
      </c>
      <c r="BJ28" s="125" cm="1">
        <f t="array" ref="BJ28">+_xll.EQNXTDZ($A$1,$B28,BJ$1,$B$1)</f>
        <v>0</v>
      </c>
      <c r="BK28" s="125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5" cm="1">
        <f t="array" ref="C29">+_xll.EQNXTDZ($A$1,$B29,C$1,$B$1)</f>
        <v>0</v>
      </c>
      <c r="D29" s="125" cm="1">
        <f t="array" ref="D29">+_xll.EQNXTDZ($A$1,$B29,D$1,$B$1)</f>
        <v>0</v>
      </c>
      <c r="E29" s="125" cm="1">
        <f t="array" ref="E29">+_xll.EQNXTDZ($A$1,$B29,E$1,$B$1)</f>
        <v>0</v>
      </c>
      <c r="F29" s="125" cm="1">
        <f t="array" ref="F29">+_xll.EQNXTDZ($A$1,$B29,F$1,$B$1)</f>
        <v>0</v>
      </c>
      <c r="G29" s="125" cm="1">
        <f t="array" ref="G29">+_xll.EQNXTDZ($A$1,$B29,G$1,$B$1)</f>
        <v>0</v>
      </c>
      <c r="H29" s="125" cm="1">
        <f t="array" ref="H29">+_xll.EQNXTDZ($A$1,$B29,H$1,$B$1)</f>
        <v>0</v>
      </c>
      <c r="I29" s="125" cm="1">
        <f t="array" ref="I29">+_xll.EQNXTDZ($A$1,$B29,I$1,$B$1)</f>
        <v>0</v>
      </c>
      <c r="J29" s="125" cm="1">
        <f t="array" ref="J29">+_xll.EQNXTDZ($A$1,$B29,J$1,$B$1)</f>
        <v>0</v>
      </c>
      <c r="K29" s="125" cm="1">
        <f t="array" ref="K29">+_xll.EQNXTDZ($A$1,$B29,K$1,$B$1)</f>
        <v>0</v>
      </c>
      <c r="L29" s="125" cm="1">
        <f t="array" ref="L29">+_xll.EQNXTDZ($A$1,$B29,L$1,$B$1)</f>
        <v>0</v>
      </c>
      <c r="M29" s="125" cm="1">
        <f t="array" ref="M29">+_xll.EQNXTDZ($A$1,$B29,M$1,$B$1)</f>
        <v>0</v>
      </c>
      <c r="N29" s="125" cm="1">
        <f t="array" ref="N29">+_xll.EQNXTDZ($A$1,$B29,N$1,$B$1)</f>
        <v>0</v>
      </c>
      <c r="O29" s="125" cm="1">
        <f t="array" ref="O29">+_xll.EQNXTDZ($A$1,$B29,O$1,$B$1)</f>
        <v>0</v>
      </c>
      <c r="P29" s="125" cm="1">
        <f t="array" ref="P29">+_xll.EQNXTDZ($A$1,$B29,P$1,$B$1)</f>
        <v>0</v>
      </c>
      <c r="Q29" s="125" cm="1">
        <f t="array" ref="Q29">+_xll.EQNXTDZ($A$1,$B29,Q$1,$B$1)</f>
        <v>0</v>
      </c>
      <c r="R29" s="125" cm="1">
        <f t="array" ref="R29">+_xll.EQNXTDZ($A$1,$B29,R$1,$B$1)</f>
        <v>0</v>
      </c>
      <c r="S29" s="125" cm="1">
        <f t="array" ref="S29">+_xll.EQNXTDZ($A$1,$B29,S$1,$B$1)</f>
        <v>0</v>
      </c>
      <c r="T29" s="125" cm="1">
        <f t="array" ref="T29">+_xll.EQNXTDZ($A$1,$B29,T$1,$B$1)</f>
        <v>0</v>
      </c>
      <c r="U29" s="125" cm="1">
        <f t="array" ref="U29">+_xll.EQNXTDZ($A$1,$B29,U$1,$B$1)</f>
        <v>0</v>
      </c>
      <c r="V29" s="125" cm="1">
        <f t="array" ref="V29">+_xll.EQNXTDZ($A$1,$B29,V$1,$B$1)</f>
        <v>0</v>
      </c>
      <c r="W29" s="125" cm="1">
        <f t="array" ref="W29">+_xll.EQNXTDZ($A$1,$B29,W$1,$B$1)</f>
        <v>0</v>
      </c>
      <c r="X29" s="125" cm="1">
        <f t="array" ref="X29">+_xll.EQNXTDZ($A$1,$B29,X$1,$B$1)</f>
        <v>0</v>
      </c>
      <c r="Y29" s="125" cm="1">
        <f t="array" ref="Y29">+_xll.EQNXTDZ($A$1,$B29,Y$1,$B$1)</f>
        <v>0</v>
      </c>
      <c r="Z29" s="125" cm="1">
        <f t="array" ref="Z29">+_xll.EQNXTDZ($A$1,$B29,Z$1,$B$1)</f>
        <v>0</v>
      </c>
      <c r="AA29" s="125" cm="1">
        <f t="array" ref="AA29">+_xll.EQNXTDZ($A$1,$B29,AA$1,$B$1)</f>
        <v>0</v>
      </c>
      <c r="AB29" s="125" cm="1">
        <f t="array" ref="AB29">+_xll.EQNXTDZ($A$1,$B29,AB$1,$B$1)</f>
        <v>0</v>
      </c>
      <c r="AC29" s="125" cm="1">
        <f t="array" ref="AC29">+_xll.EQNXTDZ($A$1,$B29,AC$1,$B$1)</f>
        <v>0</v>
      </c>
      <c r="AD29" s="125" cm="1">
        <f t="array" ref="AD29">+_xll.EQNXTDZ($A$1,$B29,AD$1,$B$1)</f>
        <v>0</v>
      </c>
      <c r="AE29" s="125" cm="1">
        <f t="array" ref="AE29">+_xll.EQNXTDZ($A$1,$B29,AE$1,$B$1)</f>
        <v>0</v>
      </c>
      <c r="AF29" s="125" cm="1">
        <f t="array" ref="AF29">+_xll.EQNXTDZ($A$1,$B29,AF$1,$B$1)</f>
        <v>0</v>
      </c>
      <c r="AG29" s="125" cm="1">
        <f t="array" ref="AG29">+_xll.EQNXTDZ($A$1,$B29,AG$1,$B$1)</f>
        <v>0</v>
      </c>
      <c r="AH29" s="125" cm="1">
        <f t="array" ref="AH29">+_xll.EQNXTDZ($A$1,$B29,AH$1,$B$1)</f>
        <v>0</v>
      </c>
      <c r="AI29" s="125" cm="1">
        <f t="array" ref="AI29">+_xll.EQNXTDZ($A$1,$B29,AI$1,$B$1)</f>
        <v>0</v>
      </c>
      <c r="AJ29" s="125" cm="1">
        <f t="array" ref="AJ29">+_xll.EQNXTDZ($A$1,$B29,AJ$1,$B$1)</f>
        <v>0</v>
      </c>
      <c r="AK29" s="125" cm="1">
        <f t="array" ref="AK29">+_xll.EQNXTDZ($A$1,$B29,AK$1,$B$1)</f>
        <v>0</v>
      </c>
      <c r="AL29" s="125" cm="1">
        <f t="array" ref="AL29">+_xll.EQNXTDZ($A$1,$B29,AL$1,$B$1)</f>
        <v>0</v>
      </c>
      <c r="AM29" s="125" cm="1">
        <f t="array" ref="AM29">+_xll.EQNXTDZ($A$1,$B29,AM$1,$B$1)</f>
        <v>0</v>
      </c>
      <c r="AN29" s="125" cm="1">
        <f t="array" ref="AN29">+_xll.EQNXTDZ($A$1,$B29,AN$1,$B$1)</f>
        <v>0</v>
      </c>
      <c r="AO29" s="125" cm="1">
        <f t="array" ref="AO29">+_xll.EQNXTDZ($A$1,$B29,AO$1,$B$1)</f>
        <v>0</v>
      </c>
      <c r="AP29" s="125" cm="1">
        <f t="array" ref="AP29">+_xll.EQNXTDZ($A$1,$B29,AP$1,$B$1)</f>
        <v>0</v>
      </c>
      <c r="AQ29" s="125" cm="1">
        <f t="array" ref="AQ29">+_xll.EQNXTDZ($A$1,$B29,AQ$1,$B$1)</f>
        <v>0</v>
      </c>
      <c r="AR29" s="125" cm="1">
        <f t="array" ref="AR29">+_xll.EQNXTDZ($A$1,$B29,AR$1,$B$1)</f>
        <v>0</v>
      </c>
      <c r="AS29" s="125" cm="1">
        <f t="array" ref="AS29">+_xll.EQNXTDZ($A$1,$B29,AS$1,$B$1)</f>
        <v>0</v>
      </c>
      <c r="AT29" s="125" cm="1">
        <f t="array" ref="AT29">+_xll.EQNXTDZ($A$1,$B29,AT$1,$B$1)</f>
        <v>0</v>
      </c>
      <c r="AU29" s="125" cm="1">
        <f t="array" ref="AU29">+_xll.EQNXTDZ($A$1,$B29,AU$1,$B$1)</f>
        <v>0</v>
      </c>
      <c r="AV29" s="125" cm="1">
        <f t="array" ref="AV29">+_xll.EQNXTDZ($A$1,$B29,AV$1,$B$1)</f>
        <v>0</v>
      </c>
      <c r="AW29" s="125" cm="1">
        <f t="array" ref="AW29">+_xll.EQNXTDZ($A$1,$B29,AW$1,$B$1)</f>
        <v>0</v>
      </c>
      <c r="AX29" s="125" cm="1">
        <f t="array" ref="AX29">+_xll.EQNXTDZ($A$1,$B29,AX$1,$B$1)</f>
        <v>0</v>
      </c>
      <c r="AY29" s="125" cm="1">
        <f t="array" ref="AY29">+_xll.EQNXTDZ($A$1,$B29,AY$1,$B$1)</f>
        <v>0</v>
      </c>
      <c r="AZ29" s="125" cm="1">
        <f t="array" ref="AZ29">+_xll.EQNXTDZ($A$1,$B29,AZ$1,$B$1)</f>
        <v>0</v>
      </c>
      <c r="BA29" s="125" cm="1">
        <f t="array" ref="BA29">+_xll.EQNXTDZ($A$1,$B29,BA$1,$B$1)</f>
        <v>0</v>
      </c>
      <c r="BB29" s="125" cm="1">
        <f t="array" ref="BB29">+_xll.EQNXTDZ($A$1,$B29,BB$1,$B$1)</f>
        <v>0</v>
      </c>
      <c r="BC29" s="125" cm="1">
        <f t="array" ref="BC29">+_xll.EQNXTDZ($A$1,$B29,BC$1,$B$1)</f>
        <v>0</v>
      </c>
      <c r="BD29" s="125" cm="1">
        <f t="array" ref="BD29">+_xll.EQNXTDZ($A$1,$B29,BD$1,$B$1)</f>
        <v>0</v>
      </c>
      <c r="BE29" s="125" cm="1">
        <f t="array" ref="BE29">+_xll.EQNXTDZ($A$1,$B29,BE$1,$B$1)</f>
        <v>0</v>
      </c>
      <c r="BF29" s="125" cm="1">
        <f t="array" ref="BF29">+_xll.EQNXTDZ($A$1,$B29,BF$1,$B$1)</f>
        <v>0</v>
      </c>
      <c r="BG29" s="125" cm="1">
        <f t="array" ref="BG29">+_xll.EQNXTDZ($A$1,$B29,BG$1,$B$1)</f>
        <v>0</v>
      </c>
      <c r="BH29" s="125" cm="1">
        <f t="array" ref="BH29">+_xll.EQNXTDZ($A$1,$B29,BH$1,$B$1)</f>
        <v>0</v>
      </c>
      <c r="BI29" s="125" cm="1">
        <f t="array" ref="BI29">+_xll.EQNXTDZ($A$1,$B29,BI$1,$B$1)</f>
        <v>0</v>
      </c>
      <c r="BJ29" s="125" cm="1">
        <f t="array" ref="BJ29">+_xll.EQNXTDZ($A$1,$B29,BJ$1,$B$1)</f>
        <v>0</v>
      </c>
      <c r="BK29" s="125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5" cm="1">
        <f t="array" ref="C30">+_xll.EQNXTDZ($A$1,$B30,C$1,$B$1)</f>
        <v>0</v>
      </c>
      <c r="D30" s="125" cm="1">
        <f t="array" ref="D30">+_xll.EQNXTDZ($A$1,$B30,D$1,$B$1)</f>
        <v>0</v>
      </c>
      <c r="E30" s="125" cm="1">
        <f t="array" ref="E30">+_xll.EQNXTDZ($A$1,$B30,E$1,$B$1)</f>
        <v>0</v>
      </c>
      <c r="F30" s="125" cm="1">
        <f t="array" ref="F30">+_xll.EQNXTDZ($A$1,$B30,F$1,$B$1)</f>
        <v>0</v>
      </c>
      <c r="G30" s="125" cm="1">
        <f t="array" ref="G30">+_xll.EQNXTDZ($A$1,$B30,G$1,$B$1)</f>
        <v>0</v>
      </c>
      <c r="H30" s="125" cm="1">
        <f t="array" ref="H30">+_xll.EQNXTDZ($A$1,$B30,H$1,$B$1)</f>
        <v>0</v>
      </c>
      <c r="I30" s="125" cm="1">
        <f t="array" ref="I30">+_xll.EQNXTDZ($A$1,$B30,I$1,$B$1)</f>
        <v>0</v>
      </c>
      <c r="J30" s="125" cm="1">
        <f t="array" ref="J30">+_xll.EQNXTDZ($A$1,$B30,J$1,$B$1)</f>
        <v>0</v>
      </c>
      <c r="K30" s="125" cm="1">
        <f t="array" ref="K30">+_xll.EQNXTDZ($A$1,$B30,K$1,$B$1)</f>
        <v>0</v>
      </c>
      <c r="L30" s="125" cm="1">
        <f t="array" ref="L30">+_xll.EQNXTDZ($A$1,$B30,L$1,$B$1)</f>
        <v>0</v>
      </c>
      <c r="M30" s="125" cm="1">
        <f t="array" ref="M30">+_xll.EQNXTDZ($A$1,$B30,M$1,$B$1)</f>
        <v>0</v>
      </c>
      <c r="N30" s="125" cm="1">
        <f t="array" ref="N30">+_xll.EQNXTDZ($A$1,$B30,N$1,$B$1)</f>
        <v>0</v>
      </c>
      <c r="O30" s="125" cm="1">
        <f t="array" ref="O30">+_xll.EQNXTDZ($A$1,$B30,O$1,$B$1)</f>
        <v>0</v>
      </c>
      <c r="P30" s="125" cm="1">
        <f t="array" ref="P30">+_xll.EQNXTDZ($A$1,$B30,P$1,$B$1)</f>
        <v>0</v>
      </c>
      <c r="Q30" s="125" cm="1">
        <f t="array" ref="Q30">+_xll.EQNXTDZ($A$1,$B30,Q$1,$B$1)</f>
        <v>0</v>
      </c>
      <c r="R30" s="125" cm="1">
        <f t="array" ref="R30">+_xll.EQNXTDZ($A$1,$B30,R$1,$B$1)</f>
        <v>0</v>
      </c>
      <c r="S30" s="125" cm="1">
        <f t="array" ref="S30">+_xll.EQNXTDZ($A$1,$B30,S$1,$B$1)</f>
        <v>0</v>
      </c>
      <c r="T30" s="125" cm="1">
        <f t="array" ref="T30">+_xll.EQNXTDZ($A$1,$B30,T$1,$B$1)</f>
        <v>0</v>
      </c>
      <c r="U30" s="125" cm="1">
        <f t="array" ref="U30">+_xll.EQNXTDZ($A$1,$B30,U$1,$B$1)</f>
        <v>0</v>
      </c>
      <c r="V30" s="125" cm="1">
        <f t="array" ref="V30">+_xll.EQNXTDZ($A$1,$B30,V$1,$B$1)</f>
        <v>0</v>
      </c>
      <c r="W30" s="125" cm="1">
        <f t="array" ref="W30">+_xll.EQNXTDZ($A$1,$B30,W$1,$B$1)</f>
        <v>0</v>
      </c>
      <c r="X30" s="125" cm="1">
        <f t="array" ref="X30">+_xll.EQNXTDZ($A$1,$B30,X$1,$B$1)</f>
        <v>0</v>
      </c>
      <c r="Y30" s="125" cm="1">
        <f t="array" ref="Y30">+_xll.EQNXTDZ($A$1,$B30,Y$1,$B$1)</f>
        <v>0</v>
      </c>
      <c r="Z30" s="125" cm="1">
        <f t="array" ref="Z30">+_xll.EQNXTDZ($A$1,$B30,Z$1,$B$1)</f>
        <v>0</v>
      </c>
      <c r="AA30" s="125" cm="1">
        <f t="array" ref="AA30">+_xll.EQNXTDZ($A$1,$B30,AA$1,$B$1)</f>
        <v>0</v>
      </c>
      <c r="AB30" s="125" cm="1">
        <f t="array" ref="AB30">+_xll.EQNXTDZ($A$1,$B30,AB$1,$B$1)</f>
        <v>0</v>
      </c>
      <c r="AC30" s="125" cm="1">
        <f t="array" ref="AC30">+_xll.EQNXTDZ($A$1,$B30,AC$1,$B$1)</f>
        <v>0</v>
      </c>
      <c r="AD30" s="125" cm="1">
        <f t="array" ref="AD30">+_xll.EQNXTDZ($A$1,$B30,AD$1,$B$1)</f>
        <v>0</v>
      </c>
      <c r="AE30" s="125" cm="1">
        <f t="array" ref="AE30">+_xll.EQNXTDZ($A$1,$B30,AE$1,$B$1)</f>
        <v>0</v>
      </c>
      <c r="AF30" s="125" cm="1">
        <f t="array" ref="AF30">+_xll.EQNXTDZ($A$1,$B30,AF$1,$B$1)</f>
        <v>0</v>
      </c>
      <c r="AG30" s="125" cm="1">
        <f t="array" ref="AG30">+_xll.EQNXTDZ($A$1,$B30,AG$1,$B$1)</f>
        <v>0</v>
      </c>
      <c r="AH30" s="125" cm="1">
        <f t="array" ref="AH30">+_xll.EQNXTDZ($A$1,$B30,AH$1,$B$1)</f>
        <v>0</v>
      </c>
      <c r="AI30" s="125" cm="1">
        <f t="array" ref="AI30">+_xll.EQNXTDZ($A$1,$B30,AI$1,$B$1)</f>
        <v>0</v>
      </c>
      <c r="AJ30" s="125" cm="1">
        <f t="array" ref="AJ30">+_xll.EQNXTDZ($A$1,$B30,AJ$1,$B$1)</f>
        <v>0</v>
      </c>
      <c r="AK30" s="125" cm="1">
        <f t="array" ref="AK30">+_xll.EQNXTDZ($A$1,$B30,AK$1,$B$1)</f>
        <v>0</v>
      </c>
      <c r="AL30" s="125" cm="1">
        <f t="array" ref="AL30">+_xll.EQNXTDZ($A$1,$B30,AL$1,$B$1)</f>
        <v>0</v>
      </c>
      <c r="AM30" s="125" cm="1">
        <f t="array" ref="AM30">+_xll.EQNXTDZ($A$1,$B30,AM$1,$B$1)</f>
        <v>0</v>
      </c>
      <c r="AN30" s="125" cm="1">
        <f t="array" ref="AN30">+_xll.EQNXTDZ($A$1,$B30,AN$1,$B$1)</f>
        <v>0</v>
      </c>
      <c r="AO30" s="125" cm="1">
        <f t="array" ref="AO30">+_xll.EQNXTDZ($A$1,$B30,AO$1,$B$1)</f>
        <v>0</v>
      </c>
      <c r="AP30" s="125" cm="1">
        <f t="array" ref="AP30">+_xll.EQNXTDZ($A$1,$B30,AP$1,$B$1)</f>
        <v>0</v>
      </c>
      <c r="AQ30" s="125" cm="1">
        <f t="array" ref="AQ30">+_xll.EQNXTDZ($A$1,$B30,AQ$1,$B$1)</f>
        <v>0</v>
      </c>
      <c r="AR30" s="125" cm="1">
        <f t="array" ref="AR30">+_xll.EQNXTDZ($A$1,$B30,AR$1,$B$1)</f>
        <v>0</v>
      </c>
      <c r="AS30" s="125" cm="1">
        <f t="array" ref="AS30">+_xll.EQNXTDZ($A$1,$B30,AS$1,$B$1)</f>
        <v>0</v>
      </c>
      <c r="AT30" s="125" cm="1">
        <f t="array" ref="AT30">+_xll.EQNXTDZ($A$1,$B30,AT$1,$B$1)</f>
        <v>0</v>
      </c>
      <c r="AU30" s="125" cm="1">
        <f t="array" ref="AU30">+_xll.EQNXTDZ($A$1,$B30,AU$1,$B$1)</f>
        <v>0</v>
      </c>
      <c r="AV30" s="125" cm="1">
        <f t="array" ref="AV30">+_xll.EQNXTDZ($A$1,$B30,AV$1,$B$1)</f>
        <v>0</v>
      </c>
      <c r="AW30" s="125" cm="1">
        <f t="array" ref="AW30">+_xll.EQNXTDZ($A$1,$B30,AW$1,$B$1)</f>
        <v>0</v>
      </c>
      <c r="AX30" s="125" cm="1">
        <f t="array" ref="AX30">+_xll.EQNXTDZ($A$1,$B30,AX$1,$B$1)</f>
        <v>0</v>
      </c>
      <c r="AY30" s="125" cm="1">
        <f t="array" ref="AY30">+_xll.EQNXTDZ($A$1,$B30,AY$1,$B$1)</f>
        <v>0</v>
      </c>
      <c r="AZ30" s="125" cm="1">
        <f t="array" ref="AZ30">+_xll.EQNXTDZ($A$1,$B30,AZ$1,$B$1)</f>
        <v>0</v>
      </c>
      <c r="BA30" s="125" cm="1">
        <f t="array" ref="BA30">+_xll.EQNXTDZ($A$1,$B30,BA$1,$B$1)</f>
        <v>0</v>
      </c>
      <c r="BB30" s="125" cm="1">
        <f t="array" ref="BB30">+_xll.EQNXTDZ($A$1,$B30,BB$1,$B$1)</f>
        <v>0</v>
      </c>
      <c r="BC30" s="125" cm="1">
        <f t="array" ref="BC30">+_xll.EQNXTDZ($A$1,$B30,BC$1,$B$1)</f>
        <v>0</v>
      </c>
      <c r="BD30" s="125" cm="1">
        <f t="array" ref="BD30">+_xll.EQNXTDZ($A$1,$B30,BD$1,$B$1)</f>
        <v>0</v>
      </c>
      <c r="BE30" s="125" cm="1">
        <f t="array" ref="BE30">+_xll.EQNXTDZ($A$1,$B30,BE$1,$B$1)</f>
        <v>0</v>
      </c>
      <c r="BF30" s="125" cm="1">
        <f t="array" ref="BF30">+_xll.EQNXTDZ($A$1,$B30,BF$1,$B$1)</f>
        <v>0</v>
      </c>
      <c r="BG30" s="125" cm="1">
        <f t="array" ref="BG30">+_xll.EQNXTDZ($A$1,$B30,BG$1,$B$1)</f>
        <v>0</v>
      </c>
      <c r="BH30" s="125" cm="1">
        <f t="array" ref="BH30">+_xll.EQNXTDZ($A$1,$B30,BH$1,$B$1)</f>
        <v>0</v>
      </c>
      <c r="BI30" s="125" cm="1">
        <f t="array" ref="BI30">+_xll.EQNXTDZ($A$1,$B30,BI$1,$B$1)</f>
        <v>0</v>
      </c>
      <c r="BJ30" s="125" cm="1">
        <f t="array" ref="BJ30">+_xll.EQNXTDZ($A$1,$B30,BJ$1,$B$1)</f>
        <v>0</v>
      </c>
      <c r="BK30" s="125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5" cm="1">
        <f t="array" ref="C31">+_xll.EQNXTDZ($A$1,$B31,C$1,$B$1)</f>
        <v>0</v>
      </c>
      <c r="D31" s="125" cm="1">
        <f t="array" ref="D31">+_xll.EQNXTDZ($A$1,$B31,D$1,$B$1)</f>
        <v>0</v>
      </c>
      <c r="E31" s="125" cm="1">
        <f t="array" ref="E31">+_xll.EQNXTDZ($A$1,$B31,E$1,$B$1)</f>
        <v>0</v>
      </c>
      <c r="F31" s="125" cm="1">
        <f t="array" ref="F31">+_xll.EQNXTDZ($A$1,$B31,F$1,$B$1)</f>
        <v>0</v>
      </c>
      <c r="G31" s="125" cm="1">
        <f t="array" ref="G31">+_xll.EQNXTDZ($A$1,$B31,G$1,$B$1)</f>
        <v>0</v>
      </c>
      <c r="H31" s="125" cm="1">
        <f t="array" ref="H31">+_xll.EQNXTDZ($A$1,$B31,H$1,$B$1)</f>
        <v>0</v>
      </c>
      <c r="I31" s="125" cm="1">
        <f t="array" ref="I31">+_xll.EQNXTDZ($A$1,$B31,I$1,$B$1)</f>
        <v>0</v>
      </c>
      <c r="J31" s="125" cm="1">
        <f t="array" ref="J31">+_xll.EQNXTDZ($A$1,$B31,J$1,$B$1)</f>
        <v>0</v>
      </c>
      <c r="K31" s="125" cm="1">
        <f t="array" ref="K31">+_xll.EQNXTDZ($A$1,$B31,K$1,$B$1)</f>
        <v>0</v>
      </c>
      <c r="L31" s="125" cm="1">
        <f t="array" ref="L31">+_xll.EQNXTDZ($A$1,$B31,L$1,$B$1)</f>
        <v>0</v>
      </c>
      <c r="M31" s="125" cm="1">
        <f t="array" ref="M31">+_xll.EQNXTDZ($A$1,$B31,M$1,$B$1)</f>
        <v>181.4</v>
      </c>
      <c r="N31" s="125" cm="1">
        <f t="array" ref="N31">+_xll.EQNXTDZ($A$1,$B31,N$1,$B$1)</f>
        <v>199.36</v>
      </c>
      <c r="O31" s="125" cm="1">
        <f t="array" ref="O31">+_xll.EQNXTDZ($A$1,$B31,O$1,$B$1)</f>
        <v>192.63</v>
      </c>
      <c r="P31" s="125" cm="1">
        <f t="array" ref="P31">+_xll.EQNXTDZ($A$1,$B31,P$1,$B$1)</f>
        <v>211.1</v>
      </c>
      <c r="Q31" s="125" cm="1">
        <f t="array" ref="Q31">+_xll.EQNXTDZ($A$1,$B31,Q$1,$B$1)</f>
        <v>222.32</v>
      </c>
      <c r="R31" s="125" cm="1">
        <f t="array" ref="R31">+_xll.EQNXTDZ($A$1,$B31,R$1,$B$1)</f>
        <v>265.39</v>
      </c>
      <c r="S31" s="125" cm="1">
        <f t="array" ref="S31">+_xll.EQNXTDZ($A$1,$B31,S$1,$B$1)</f>
        <v>221.92</v>
      </c>
      <c r="T31" s="125" cm="1">
        <f t="array" ref="T31">+_xll.EQNXTDZ($A$1,$B31,T$1,$B$1)</f>
        <v>274.77999999999997</v>
      </c>
      <c r="U31" s="125" cm="1">
        <f t="array" ref="U31">+_xll.EQNXTDZ($A$1,$B31,U$1,$B$1)</f>
        <v>268.64</v>
      </c>
      <c r="V31" s="125" cm="1">
        <f t="array" ref="V31">+_xll.EQNXTDZ($A$1,$B31,V$1,$B$1)</f>
        <v>296.48</v>
      </c>
      <c r="W31" s="125" cm="1">
        <f t="array" ref="W31">+_xll.EQNXTDZ($A$1,$B31,W$1,$B$1)</f>
        <v>220.22</v>
      </c>
      <c r="X31" s="125" cm="1">
        <f t="array" ref="X31">+_xll.EQNXTDZ($A$1,$B31,X$1,$B$1)</f>
        <v>341.98</v>
      </c>
      <c r="Y31" s="125" cm="1">
        <f t="array" ref="Y31">+_xll.EQNXTDZ($A$1,$B31,Y$1,$B$1)</f>
        <v>352.87</v>
      </c>
      <c r="Z31" s="125" cm="1">
        <f t="array" ref="Z31">+_xll.EQNXTDZ($A$1,$B31,Z$1,$B$1)</f>
        <v>127.82</v>
      </c>
      <c r="AA31" s="125" cm="1">
        <f t="array" ref="AA31">+_xll.EQNXTDZ($A$1,$B31,AA$1,$B$1)</f>
        <v>325.45</v>
      </c>
      <c r="AB31" s="125" cm="1">
        <f t="array" ref="AB31">+_xll.EQNXTDZ($A$1,$B31,AB$1,$B$1)</f>
        <v>287.89999999999998</v>
      </c>
      <c r="AC31" s="125" cm="1">
        <f t="array" ref="AC31">+_xll.EQNXTDZ($A$1,$B31,AC$1,$B$1)</f>
        <v>318.12</v>
      </c>
      <c r="AD31" s="125" cm="1">
        <f t="array" ref="AD31">+_xll.EQNXTDZ($A$1,$B31,AD$1,$B$1)</f>
        <v>403.96</v>
      </c>
      <c r="AE31" s="125" cm="1">
        <f t="array" ref="AE31">+_xll.EQNXTDZ($A$1,$B31,AE$1,$B$1)</f>
        <v>494.85</v>
      </c>
      <c r="AF31" s="125" cm="1">
        <f t="array" ref="AF31">+_xll.EQNXTDZ($A$1,$B31,AF$1,$B$1)</f>
        <v>479.6</v>
      </c>
      <c r="AG31" s="125" cm="1">
        <f t="array" ref="AG31">+_xll.EQNXTDZ($A$1,$B31,AG$1,$B$1)</f>
        <v>512.97</v>
      </c>
      <c r="AH31" s="125" cm="1">
        <f t="array" ref="AH31">+_xll.EQNXTDZ($A$1,$B31,AH$1,$B$1)</f>
        <v>615.03</v>
      </c>
      <c r="AI31" s="125" cm="1">
        <f t="array" ref="AI31">+_xll.EQNXTDZ($A$1,$B31,AI$1,$B$1)</f>
        <v>754.85</v>
      </c>
      <c r="AJ31" s="125" cm="1">
        <f t="array" ref="AJ31">+_xll.EQNXTDZ($A$1,$B31,AJ$1,$B$1)</f>
        <v>863.66</v>
      </c>
      <c r="AK31" s="125" cm="1">
        <f t="array" ref="AK31">+_xll.EQNXTDZ($A$1,$B31,AK$1,$B$1)</f>
        <v>902.27</v>
      </c>
      <c r="AL31" s="125" cm="1">
        <f t="array" ref="AL31">+_xll.EQNXTDZ($A$1,$B31,AL$1,$B$1)</f>
        <v>927.1</v>
      </c>
      <c r="AM31" s="125" cm="1">
        <f t="array" ref="AM31">+_xll.EQNXTDZ($A$1,$B31,AM$1,$B$1)</f>
        <v>1023.75</v>
      </c>
      <c r="AN31" s="125" cm="1">
        <f t="array" ref="AN31">+_xll.EQNXTDZ($A$1,$B31,AN$1,$B$1)</f>
        <v>1058.8499999999999</v>
      </c>
      <c r="AO31" s="125" cm="1">
        <f t="array" ref="AO31">+_xll.EQNXTDZ($A$1,$B31,AO$1,$B$1)</f>
        <v>753.15</v>
      </c>
      <c r="AP31" s="125" cm="1">
        <f t="array" ref="AP31">+_xll.EQNXTDZ($A$1,$B31,AP$1,$B$1)</f>
        <v>359.92</v>
      </c>
      <c r="AQ31" s="125" cm="1">
        <f t="array" ref="AQ31">+_xll.EQNXTDZ($A$1,$B31,AQ$1,$B$1)</f>
        <v>542.94000000000005</v>
      </c>
      <c r="AR31" s="125" cm="1">
        <f t="array" ref="AR31">+_xll.EQNXTDZ($A$1,$B31,AR$1,$B$1)</f>
        <v>577.76</v>
      </c>
      <c r="AS31" s="125" cm="1">
        <f t="array" ref="AS31">+_xll.EQNXTDZ($A$1,$B31,AS$1,$B$1)</f>
        <v>663.81</v>
      </c>
      <c r="AT31" s="125" cm="1">
        <f t="array" ref="AT31">+_xll.EQNXTDZ($A$1,$B31,AT$1,$B$1)</f>
        <v>812.74</v>
      </c>
      <c r="AU31" s="125" cm="1">
        <f t="array" ref="AU31">+_xll.EQNXTDZ($A$1,$B31,AU$1,$B$1)</f>
        <v>937.43</v>
      </c>
      <c r="AV31" s="125" cm="1">
        <f t="array" ref="AV31">+_xll.EQNXTDZ($A$1,$B31,AV$1,$B$1)</f>
        <v>0</v>
      </c>
      <c r="AW31" s="125" cm="1">
        <f t="array" ref="AW31">+_xll.EQNXTDZ($A$1,$B31,AW$1,$B$1)</f>
        <v>0</v>
      </c>
      <c r="AX31" s="125" cm="1">
        <f t="array" ref="AX31">+_xll.EQNXTDZ($A$1,$B31,AX$1,$B$1)</f>
        <v>0</v>
      </c>
      <c r="AY31" s="125" cm="1">
        <f t="array" ref="AY31">+_xll.EQNXTDZ($A$1,$B31,AY$1,$B$1)</f>
        <v>0</v>
      </c>
      <c r="AZ31" s="125" cm="1">
        <f t="array" ref="AZ31">+_xll.EQNXTDZ($A$1,$B31,AZ$1,$B$1)</f>
        <v>0</v>
      </c>
      <c r="BA31" s="125" cm="1">
        <f t="array" ref="BA31">+_xll.EQNXTDZ($A$1,$B31,BA$1,$B$1)</f>
        <v>0</v>
      </c>
      <c r="BB31" s="125" cm="1">
        <f t="array" ref="BB31">+_xll.EQNXTDZ($A$1,$B31,BB$1,$B$1)</f>
        <v>0</v>
      </c>
      <c r="BC31" s="125" cm="1">
        <f t="array" ref="BC31">+_xll.EQNXTDZ($A$1,$B31,BC$1,$B$1)</f>
        <v>0</v>
      </c>
      <c r="BD31" s="125" cm="1">
        <f t="array" ref="BD31">+_xll.EQNXTDZ($A$1,$B31,BD$1,$B$1)</f>
        <v>0</v>
      </c>
      <c r="BE31" s="125" cm="1">
        <f t="array" ref="BE31">+_xll.EQNXTDZ($A$1,$B31,BE$1,$B$1)</f>
        <v>0</v>
      </c>
      <c r="BF31" s="125" cm="1">
        <f t="array" ref="BF31">+_xll.EQNXTDZ($A$1,$B31,BF$1,$B$1)</f>
        <v>0</v>
      </c>
      <c r="BG31" s="125" cm="1">
        <f t="array" ref="BG31">+_xll.EQNXTDZ($A$1,$B31,BG$1,$B$1)</f>
        <v>0</v>
      </c>
      <c r="BH31" s="125" cm="1">
        <f t="array" ref="BH31">+_xll.EQNXTDZ($A$1,$B31,BH$1,$B$1)</f>
        <v>0</v>
      </c>
      <c r="BI31" s="125" cm="1">
        <f t="array" ref="BI31">+_xll.EQNXTDZ($A$1,$B31,BI$1,$B$1)</f>
        <v>0</v>
      </c>
      <c r="BJ31" s="125" cm="1">
        <f t="array" ref="BJ31">+_xll.EQNXTDZ($A$1,$B31,BJ$1,$B$1)</f>
        <v>0</v>
      </c>
      <c r="BK31" s="125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5" cm="1">
        <f t="array" ref="C32">+_xll.EQNXTDZ($A$1,$B32,C$1,$B$1)</f>
        <v>0</v>
      </c>
      <c r="D32" s="125" cm="1">
        <f t="array" ref="D32">+_xll.EQNXTDZ($A$1,$B32,D$1,$B$1)</f>
        <v>0</v>
      </c>
      <c r="E32" s="125" cm="1">
        <f t="array" ref="E32">+_xll.EQNXTDZ($A$1,$B32,E$1,$B$1)</f>
        <v>0</v>
      </c>
      <c r="F32" s="125" cm="1">
        <f t="array" ref="F32">+_xll.EQNXTDZ($A$1,$B32,F$1,$B$1)</f>
        <v>0</v>
      </c>
      <c r="G32" s="125" cm="1">
        <f t="array" ref="G32">+_xll.EQNXTDZ($A$1,$B32,G$1,$B$1)</f>
        <v>0</v>
      </c>
      <c r="H32" s="125" cm="1">
        <f t="array" ref="H32">+_xll.EQNXTDZ($A$1,$B32,H$1,$B$1)</f>
        <v>0</v>
      </c>
      <c r="I32" s="125" cm="1">
        <f t="array" ref="I32">+_xll.EQNXTDZ($A$1,$B32,I$1,$B$1)</f>
        <v>0</v>
      </c>
      <c r="J32" s="125" cm="1">
        <f t="array" ref="J32">+_xll.EQNXTDZ($A$1,$B32,J$1,$B$1)</f>
        <v>0</v>
      </c>
      <c r="K32" s="125" cm="1">
        <f t="array" ref="K32">+_xll.EQNXTDZ($A$1,$B32,K$1,$B$1)</f>
        <v>0</v>
      </c>
      <c r="L32" s="125" cm="1">
        <f t="array" ref="L32">+_xll.EQNXTDZ($A$1,$B32,L$1,$B$1)</f>
        <v>0</v>
      </c>
      <c r="M32" s="125" cm="1">
        <f t="array" ref="M32">+_xll.EQNXTDZ($A$1,$B32,M$1,$B$1)</f>
        <v>0.16</v>
      </c>
      <c r="N32" s="125" cm="1">
        <f t="array" ref="N32">+_xll.EQNXTDZ($A$1,$B32,N$1,$B$1)</f>
        <v>1.62</v>
      </c>
      <c r="O32" s="125" cm="1">
        <f t="array" ref="O32">+_xll.EQNXTDZ($A$1,$B32,O$1,$B$1)</f>
        <v>0.45</v>
      </c>
      <c r="P32" s="125" cm="1">
        <f t="array" ref="P32">+_xll.EQNXTDZ($A$1,$B32,P$1,$B$1)</f>
        <v>0.31</v>
      </c>
      <c r="Q32" s="125" cm="1">
        <f t="array" ref="Q32">+_xll.EQNXTDZ($A$1,$B32,Q$1,$B$1)</f>
        <v>0.37</v>
      </c>
      <c r="R32" s="125" cm="1">
        <f t="array" ref="R32">+_xll.EQNXTDZ($A$1,$B32,R$1,$B$1)</f>
        <v>0.42</v>
      </c>
      <c r="S32" s="125" cm="1">
        <f t="array" ref="S32">+_xll.EQNXTDZ($A$1,$B32,S$1,$B$1)</f>
        <v>0.46</v>
      </c>
      <c r="T32" s="125" cm="1">
        <f t="array" ref="T32">+_xll.EQNXTDZ($A$1,$B32,T$1,$B$1)</f>
        <v>0.24</v>
      </c>
      <c r="U32" s="125" cm="1">
        <f t="array" ref="U32">+_xll.EQNXTDZ($A$1,$B32,U$1,$B$1)</f>
        <v>0.09</v>
      </c>
      <c r="V32" s="125" cm="1">
        <f t="array" ref="V32">+_xll.EQNXTDZ($A$1,$B32,V$1,$B$1)</f>
        <v>0.41</v>
      </c>
      <c r="W32" s="125" cm="1">
        <f t="array" ref="W32">+_xll.EQNXTDZ($A$1,$B32,W$1,$B$1)</f>
        <v>0.41</v>
      </c>
      <c r="X32" s="125" cm="1">
        <f t="array" ref="X32">+_xll.EQNXTDZ($A$1,$B32,X$1,$B$1)</f>
        <v>0.57999999999999996</v>
      </c>
      <c r="Y32" s="125" cm="1">
        <f t="array" ref="Y32">+_xll.EQNXTDZ($A$1,$B32,Y$1,$B$1)</f>
        <v>0.94</v>
      </c>
      <c r="Z32" s="125" cm="1">
        <f t="array" ref="Z32">+_xll.EQNXTDZ($A$1,$B32,Z$1,$B$1)</f>
        <v>1.49</v>
      </c>
      <c r="AA32" s="125" cm="1">
        <f t="array" ref="AA32">+_xll.EQNXTDZ($A$1,$B32,AA$1,$B$1)</f>
        <v>2.06</v>
      </c>
      <c r="AB32" s="125" cm="1">
        <f t="array" ref="AB32">+_xll.EQNXTDZ($A$1,$B32,AB$1,$B$1)</f>
        <v>1.24</v>
      </c>
      <c r="AC32" s="125" cm="1">
        <f t="array" ref="AC32">+_xll.EQNXTDZ($A$1,$B32,AC$1,$B$1)</f>
        <v>1.18</v>
      </c>
      <c r="AD32" s="125" cm="1">
        <f t="array" ref="AD32">+_xll.EQNXTDZ($A$1,$B32,AD$1,$B$1)</f>
        <v>2.2999999999999998</v>
      </c>
      <c r="AE32" s="125" cm="1">
        <f t="array" ref="AE32">+_xll.EQNXTDZ($A$1,$B32,AE$1,$B$1)</f>
        <v>2.59</v>
      </c>
      <c r="AF32" s="125" cm="1">
        <f t="array" ref="AF32">+_xll.EQNXTDZ($A$1,$B32,AF$1,$B$1)</f>
        <v>0.93</v>
      </c>
      <c r="AG32" s="125" cm="1">
        <f t="array" ref="AG32">+_xll.EQNXTDZ($A$1,$B32,AG$1,$B$1)</f>
        <v>2.09</v>
      </c>
      <c r="AH32" s="125" cm="1">
        <f t="array" ref="AH32">+_xll.EQNXTDZ($A$1,$B32,AH$1,$B$1)</f>
        <v>1.82</v>
      </c>
      <c r="AI32" s="125" cm="1">
        <f t="array" ref="AI32">+_xll.EQNXTDZ($A$1,$B32,AI$1,$B$1)</f>
        <v>0.83</v>
      </c>
      <c r="AJ32" s="125" cm="1">
        <f t="array" ref="AJ32">+_xll.EQNXTDZ($A$1,$B32,AJ$1,$B$1)</f>
        <v>0.69</v>
      </c>
      <c r="AK32" s="125" cm="1">
        <f t="array" ref="AK32">+_xll.EQNXTDZ($A$1,$B32,AK$1,$B$1)</f>
        <v>0.65</v>
      </c>
      <c r="AL32" s="125" cm="1">
        <f t="array" ref="AL32">+_xll.EQNXTDZ($A$1,$B32,AL$1,$B$1)</f>
        <v>3.03</v>
      </c>
      <c r="AM32" s="125" cm="1">
        <f t="array" ref="AM32">+_xll.EQNXTDZ($A$1,$B32,AM$1,$B$1)</f>
        <v>1.61</v>
      </c>
      <c r="AN32" s="125" cm="1">
        <f t="array" ref="AN32">+_xll.EQNXTDZ($A$1,$B32,AN$1,$B$1)</f>
        <v>0.55000000000000004</v>
      </c>
      <c r="AO32" s="125" cm="1">
        <f t="array" ref="AO32">+_xll.EQNXTDZ($A$1,$B32,AO$1,$B$1)</f>
        <v>0.63</v>
      </c>
      <c r="AP32" s="125" cm="1">
        <f t="array" ref="AP32">+_xll.EQNXTDZ($A$1,$B32,AP$1,$B$1)</f>
        <v>1.55</v>
      </c>
      <c r="AQ32" s="125" cm="1">
        <f t="array" ref="AQ32">+_xll.EQNXTDZ($A$1,$B32,AQ$1,$B$1)</f>
        <v>1.08</v>
      </c>
      <c r="AR32" s="125" cm="1">
        <f t="array" ref="AR32">+_xll.EQNXTDZ($A$1,$B32,AR$1,$B$1)</f>
        <v>0.74</v>
      </c>
      <c r="AS32" s="125" cm="1">
        <f t="array" ref="AS32">+_xll.EQNXTDZ($A$1,$B32,AS$1,$B$1)</f>
        <v>0.67</v>
      </c>
      <c r="AT32" s="125" cm="1">
        <f t="array" ref="AT32">+_xll.EQNXTDZ($A$1,$B32,AT$1,$B$1)</f>
        <v>0.9</v>
      </c>
      <c r="AU32" s="125" cm="1">
        <f t="array" ref="AU32">+_xll.EQNXTDZ($A$1,$B32,AU$1,$B$1)</f>
        <v>1.31</v>
      </c>
      <c r="AV32" s="125" cm="1">
        <f t="array" ref="AV32">+_xll.EQNXTDZ($A$1,$B32,AV$1,$B$1)</f>
        <v>0</v>
      </c>
      <c r="AW32" s="125" cm="1">
        <f t="array" ref="AW32">+_xll.EQNXTDZ($A$1,$B32,AW$1,$B$1)</f>
        <v>0</v>
      </c>
      <c r="AX32" s="125" cm="1">
        <f t="array" ref="AX32">+_xll.EQNXTDZ($A$1,$B32,AX$1,$B$1)</f>
        <v>0</v>
      </c>
      <c r="AY32" s="125" cm="1">
        <f t="array" ref="AY32">+_xll.EQNXTDZ($A$1,$B32,AY$1,$B$1)</f>
        <v>0</v>
      </c>
      <c r="AZ32" s="125" cm="1">
        <f t="array" ref="AZ32">+_xll.EQNXTDZ($A$1,$B32,AZ$1,$B$1)</f>
        <v>0</v>
      </c>
      <c r="BA32" s="125" cm="1">
        <f t="array" ref="BA32">+_xll.EQNXTDZ($A$1,$B32,BA$1,$B$1)</f>
        <v>0</v>
      </c>
      <c r="BB32" s="125" cm="1">
        <f t="array" ref="BB32">+_xll.EQNXTDZ($A$1,$B32,BB$1,$B$1)</f>
        <v>0</v>
      </c>
      <c r="BC32" s="125" cm="1">
        <f t="array" ref="BC32">+_xll.EQNXTDZ($A$1,$B32,BC$1,$B$1)</f>
        <v>0</v>
      </c>
      <c r="BD32" s="125" cm="1">
        <f t="array" ref="BD32">+_xll.EQNXTDZ($A$1,$B32,BD$1,$B$1)</f>
        <v>0</v>
      </c>
      <c r="BE32" s="125" cm="1">
        <f t="array" ref="BE32">+_xll.EQNXTDZ($A$1,$B32,BE$1,$B$1)</f>
        <v>0</v>
      </c>
      <c r="BF32" s="125" cm="1">
        <f t="array" ref="BF32">+_xll.EQNXTDZ($A$1,$B32,BF$1,$B$1)</f>
        <v>0</v>
      </c>
      <c r="BG32" s="125" cm="1">
        <f t="array" ref="BG32">+_xll.EQNXTDZ($A$1,$B32,BG$1,$B$1)</f>
        <v>0</v>
      </c>
      <c r="BH32" s="125" cm="1">
        <f t="array" ref="BH32">+_xll.EQNXTDZ($A$1,$B32,BH$1,$B$1)</f>
        <v>0</v>
      </c>
      <c r="BI32" s="125" cm="1">
        <f t="array" ref="BI32">+_xll.EQNXTDZ($A$1,$B32,BI$1,$B$1)</f>
        <v>0</v>
      </c>
      <c r="BJ32" s="125" cm="1">
        <f t="array" ref="BJ32">+_xll.EQNXTDZ($A$1,$B32,BJ$1,$B$1)</f>
        <v>0</v>
      </c>
      <c r="BK32" s="125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5" cm="1">
        <f t="array" ref="C33">+_xll.EQNXTDZ($A$1,$B33,C$1,$B$1)</f>
        <v>0</v>
      </c>
      <c r="D33" s="125" cm="1">
        <f t="array" ref="D33">+_xll.EQNXTDZ($A$1,$B33,D$1,$B$1)</f>
        <v>0</v>
      </c>
      <c r="E33" s="125" cm="1">
        <f t="array" ref="E33">+_xll.EQNXTDZ($A$1,$B33,E$1,$B$1)</f>
        <v>0</v>
      </c>
      <c r="F33" s="125" cm="1">
        <f t="array" ref="F33">+_xll.EQNXTDZ($A$1,$B33,F$1,$B$1)</f>
        <v>0</v>
      </c>
      <c r="G33" s="125" cm="1">
        <f t="array" ref="G33">+_xll.EQNXTDZ($A$1,$B33,G$1,$B$1)</f>
        <v>0</v>
      </c>
      <c r="H33" s="125" cm="1">
        <f t="array" ref="H33">+_xll.EQNXTDZ($A$1,$B33,H$1,$B$1)</f>
        <v>0</v>
      </c>
      <c r="I33" s="125" cm="1">
        <f t="array" ref="I33">+_xll.EQNXTDZ($A$1,$B33,I$1,$B$1)</f>
        <v>0</v>
      </c>
      <c r="J33" s="125" cm="1">
        <f t="array" ref="J33">+_xll.EQNXTDZ($A$1,$B33,J$1,$B$1)</f>
        <v>0</v>
      </c>
      <c r="K33" s="125" cm="1">
        <f t="array" ref="K33">+_xll.EQNXTDZ($A$1,$B33,K$1,$B$1)</f>
        <v>0</v>
      </c>
      <c r="L33" s="125" cm="1">
        <f t="array" ref="L33">+_xll.EQNXTDZ($A$1,$B33,L$1,$B$1)</f>
        <v>0</v>
      </c>
      <c r="M33" s="125" cm="1">
        <f t="array" ref="M33">+_xll.EQNXTDZ($A$1,$B33,M$1,$B$1)</f>
        <v>88.41</v>
      </c>
      <c r="N33" s="125" cm="1">
        <f t="array" ref="N33">+_xll.EQNXTDZ($A$1,$B33,N$1,$B$1)</f>
        <v>100.6</v>
      </c>
      <c r="O33" s="125" cm="1">
        <f t="array" ref="O33">+_xll.EQNXTDZ($A$1,$B33,O$1,$B$1)</f>
        <v>80.930000000000007</v>
      </c>
      <c r="P33" s="125" cm="1">
        <f t="array" ref="P33">+_xll.EQNXTDZ($A$1,$B33,P$1,$B$1)</f>
        <v>97.45</v>
      </c>
      <c r="Q33" s="125" cm="1">
        <f t="array" ref="Q33">+_xll.EQNXTDZ($A$1,$B33,Q$1,$B$1)</f>
        <v>106.51</v>
      </c>
      <c r="R33" s="125" cm="1">
        <f t="array" ref="R33">+_xll.EQNXTDZ($A$1,$B33,R$1,$B$1)</f>
        <v>110.08</v>
      </c>
      <c r="S33" s="125" cm="1">
        <f t="array" ref="S33">+_xll.EQNXTDZ($A$1,$B33,S$1,$B$1)</f>
        <v>102.73</v>
      </c>
      <c r="T33" s="125" cm="1">
        <f t="array" ref="T33">+_xll.EQNXTDZ($A$1,$B33,T$1,$B$1)</f>
        <v>123.62</v>
      </c>
      <c r="U33" s="125" cm="1">
        <f t="array" ref="U33">+_xll.EQNXTDZ($A$1,$B33,U$1,$B$1)</f>
        <v>135.51</v>
      </c>
      <c r="V33" s="125" cm="1">
        <f t="array" ref="V33">+_xll.EQNXTDZ($A$1,$B33,V$1,$B$1)</f>
        <v>145.88</v>
      </c>
      <c r="W33" s="125" cm="1">
        <f t="array" ref="W33">+_xll.EQNXTDZ($A$1,$B33,W$1,$B$1)</f>
        <v>174.31</v>
      </c>
      <c r="X33" s="125" cm="1">
        <f t="array" ref="X33">+_xll.EQNXTDZ($A$1,$B33,X$1,$B$1)</f>
        <v>231.44</v>
      </c>
      <c r="Y33" s="125" cm="1">
        <f t="array" ref="Y33">+_xll.EQNXTDZ($A$1,$B33,Y$1,$B$1)</f>
        <v>235.8</v>
      </c>
      <c r="Z33" s="125" cm="1">
        <f t="array" ref="Z33">+_xll.EQNXTDZ($A$1,$B33,Z$1,$B$1)</f>
        <v>224.2</v>
      </c>
      <c r="AA33" s="125" cm="1">
        <f t="array" ref="AA33">+_xll.EQNXTDZ($A$1,$B33,AA$1,$B$1)</f>
        <v>237.27</v>
      </c>
      <c r="AB33" s="125" cm="1">
        <f t="array" ref="AB33">+_xll.EQNXTDZ($A$1,$B33,AB$1,$B$1)</f>
        <v>249.34</v>
      </c>
      <c r="AC33" s="125" cm="1">
        <f t="array" ref="AC33">+_xll.EQNXTDZ($A$1,$B33,AC$1,$B$1)</f>
        <v>228.56</v>
      </c>
      <c r="AD33" s="125" cm="1">
        <f t="array" ref="AD33">+_xll.EQNXTDZ($A$1,$B33,AD$1,$B$1)</f>
        <v>239.09</v>
      </c>
      <c r="AE33" s="125" cm="1">
        <f t="array" ref="AE33">+_xll.EQNXTDZ($A$1,$B33,AE$1,$B$1)</f>
        <v>267.14999999999998</v>
      </c>
      <c r="AF33" s="125" cm="1">
        <f t="array" ref="AF33">+_xll.EQNXTDZ($A$1,$B33,AF$1,$B$1)</f>
        <v>279.8</v>
      </c>
      <c r="AG33" s="125" cm="1">
        <f t="array" ref="AG33">+_xll.EQNXTDZ($A$1,$B33,AG$1,$B$1)</f>
        <v>273.23</v>
      </c>
      <c r="AH33" s="125" cm="1">
        <f t="array" ref="AH33">+_xll.EQNXTDZ($A$1,$B33,AH$1,$B$1)</f>
        <v>314.20999999999998</v>
      </c>
      <c r="AI33" s="125" cm="1">
        <f t="array" ref="AI33">+_xll.EQNXTDZ($A$1,$B33,AI$1,$B$1)</f>
        <v>345.64</v>
      </c>
      <c r="AJ33" s="125" cm="1">
        <f t="array" ref="AJ33">+_xll.EQNXTDZ($A$1,$B33,AJ$1,$B$1)</f>
        <v>384.92</v>
      </c>
      <c r="AK33" s="125" cm="1">
        <f t="array" ref="AK33">+_xll.EQNXTDZ($A$1,$B33,AK$1,$B$1)</f>
        <v>423.87</v>
      </c>
      <c r="AL33" s="125" cm="1">
        <f t="array" ref="AL33">+_xll.EQNXTDZ($A$1,$B33,AL$1,$B$1)</f>
        <v>441.5</v>
      </c>
      <c r="AM33" s="125" cm="1">
        <f t="array" ref="AM33">+_xll.EQNXTDZ($A$1,$B33,AM$1,$B$1)</f>
        <v>482.15</v>
      </c>
      <c r="AN33" s="125" cm="1">
        <f t="array" ref="AN33">+_xll.EQNXTDZ($A$1,$B33,AN$1,$B$1)</f>
        <v>510.31</v>
      </c>
      <c r="AO33" s="125" cm="1">
        <f t="array" ref="AO33">+_xll.EQNXTDZ($A$1,$B33,AO$1,$B$1)</f>
        <v>484.6</v>
      </c>
      <c r="AP33" s="125" cm="1">
        <f t="array" ref="AP33">+_xll.EQNXTDZ($A$1,$B33,AP$1,$B$1)</f>
        <v>474.87</v>
      </c>
      <c r="AQ33" s="125" cm="1">
        <f t="array" ref="AQ33">+_xll.EQNXTDZ($A$1,$B33,AQ$1,$B$1)</f>
        <v>477.78</v>
      </c>
      <c r="AR33" s="125" cm="1">
        <f t="array" ref="AR33">+_xll.EQNXTDZ($A$1,$B33,AR$1,$B$1)</f>
        <v>482.16</v>
      </c>
      <c r="AS33" s="125" cm="1">
        <f t="array" ref="AS33">+_xll.EQNXTDZ($A$1,$B33,AS$1,$B$1)</f>
        <v>479.52</v>
      </c>
      <c r="AT33" s="125" cm="1">
        <f t="array" ref="AT33">+_xll.EQNXTDZ($A$1,$B33,AT$1,$B$1)</f>
        <v>459.34</v>
      </c>
      <c r="AU33" s="125" cm="1">
        <f t="array" ref="AU33">+_xll.EQNXTDZ($A$1,$B33,AU$1,$B$1)</f>
        <v>478.05</v>
      </c>
      <c r="AV33" s="125" cm="1">
        <f t="array" ref="AV33">+_xll.EQNXTDZ($A$1,$B33,AV$1,$B$1)</f>
        <v>0</v>
      </c>
      <c r="AW33" s="125" cm="1">
        <f t="array" ref="AW33">+_xll.EQNXTDZ($A$1,$B33,AW$1,$B$1)</f>
        <v>0</v>
      </c>
      <c r="AX33" s="125" cm="1">
        <f t="array" ref="AX33">+_xll.EQNXTDZ($A$1,$B33,AX$1,$B$1)</f>
        <v>0</v>
      </c>
      <c r="AY33" s="125" cm="1">
        <f t="array" ref="AY33">+_xll.EQNXTDZ($A$1,$B33,AY$1,$B$1)</f>
        <v>0</v>
      </c>
      <c r="AZ33" s="125" cm="1">
        <f t="array" ref="AZ33">+_xll.EQNXTDZ($A$1,$B33,AZ$1,$B$1)</f>
        <v>0</v>
      </c>
      <c r="BA33" s="125" cm="1">
        <f t="array" ref="BA33">+_xll.EQNXTDZ($A$1,$B33,BA$1,$B$1)</f>
        <v>0</v>
      </c>
      <c r="BB33" s="125" cm="1">
        <f t="array" ref="BB33">+_xll.EQNXTDZ($A$1,$B33,BB$1,$B$1)</f>
        <v>0</v>
      </c>
      <c r="BC33" s="125" cm="1">
        <f t="array" ref="BC33">+_xll.EQNXTDZ($A$1,$B33,BC$1,$B$1)</f>
        <v>0</v>
      </c>
      <c r="BD33" s="125" cm="1">
        <f t="array" ref="BD33">+_xll.EQNXTDZ($A$1,$B33,BD$1,$B$1)</f>
        <v>0</v>
      </c>
      <c r="BE33" s="125" cm="1">
        <f t="array" ref="BE33">+_xll.EQNXTDZ($A$1,$B33,BE$1,$B$1)</f>
        <v>0</v>
      </c>
      <c r="BF33" s="125" cm="1">
        <f t="array" ref="BF33">+_xll.EQNXTDZ($A$1,$B33,BF$1,$B$1)</f>
        <v>0</v>
      </c>
      <c r="BG33" s="125" cm="1">
        <f t="array" ref="BG33">+_xll.EQNXTDZ($A$1,$B33,BG$1,$B$1)</f>
        <v>0</v>
      </c>
      <c r="BH33" s="125" cm="1">
        <f t="array" ref="BH33">+_xll.EQNXTDZ($A$1,$B33,BH$1,$B$1)</f>
        <v>0</v>
      </c>
      <c r="BI33" s="125" cm="1">
        <f t="array" ref="BI33">+_xll.EQNXTDZ($A$1,$B33,BI$1,$B$1)</f>
        <v>0</v>
      </c>
      <c r="BJ33" s="125" cm="1">
        <f t="array" ref="BJ33">+_xll.EQNXTDZ($A$1,$B33,BJ$1,$B$1)</f>
        <v>0</v>
      </c>
      <c r="BK33" s="125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5" cm="1">
        <f t="array" ref="C34">+_xll.EQNXTDZ($A$1,$B34,C$1,$B$1)</f>
        <v>0</v>
      </c>
      <c r="D34" s="125" cm="1">
        <f t="array" ref="D34">+_xll.EQNXTDZ($A$1,$B34,D$1,$B$1)</f>
        <v>0</v>
      </c>
      <c r="E34" s="125" cm="1">
        <f t="array" ref="E34">+_xll.EQNXTDZ($A$1,$B34,E$1,$B$1)</f>
        <v>0</v>
      </c>
      <c r="F34" s="125" cm="1">
        <f t="array" ref="F34">+_xll.EQNXTDZ($A$1,$B34,F$1,$B$1)</f>
        <v>0</v>
      </c>
      <c r="G34" s="125" cm="1">
        <f t="array" ref="G34">+_xll.EQNXTDZ($A$1,$B34,G$1,$B$1)</f>
        <v>0</v>
      </c>
      <c r="H34" s="125" cm="1">
        <f t="array" ref="H34">+_xll.EQNXTDZ($A$1,$B34,H$1,$B$1)</f>
        <v>0</v>
      </c>
      <c r="I34" s="125" cm="1">
        <f t="array" ref="I34">+_xll.EQNXTDZ($A$1,$B34,I$1,$B$1)</f>
        <v>0</v>
      </c>
      <c r="J34" s="125" cm="1">
        <f t="array" ref="J34">+_xll.EQNXTDZ($A$1,$B34,J$1,$B$1)</f>
        <v>0</v>
      </c>
      <c r="K34" s="125" cm="1">
        <f t="array" ref="K34">+_xll.EQNXTDZ($A$1,$B34,K$1,$B$1)</f>
        <v>0</v>
      </c>
      <c r="L34" s="125" cm="1">
        <f t="array" ref="L34">+_xll.EQNXTDZ($A$1,$B34,L$1,$B$1)</f>
        <v>0</v>
      </c>
      <c r="M34" s="125" cm="1">
        <f t="array" ref="M34">+_xll.EQNXTDZ($A$1,$B34,M$1,$B$1)</f>
        <v>0</v>
      </c>
      <c r="N34" s="125" cm="1">
        <f t="array" ref="N34">+_xll.EQNXTDZ($A$1,$B34,N$1,$B$1)</f>
        <v>0</v>
      </c>
      <c r="O34" s="125" cm="1">
        <f t="array" ref="O34">+_xll.EQNXTDZ($A$1,$B34,O$1,$B$1)</f>
        <v>0</v>
      </c>
      <c r="P34" s="125" cm="1">
        <f t="array" ref="P34">+_xll.EQNXTDZ($A$1,$B34,P$1,$B$1)</f>
        <v>0</v>
      </c>
      <c r="Q34" s="125" cm="1">
        <f t="array" ref="Q34">+_xll.EQNXTDZ($A$1,$B34,Q$1,$B$1)</f>
        <v>0</v>
      </c>
      <c r="R34" s="125" cm="1">
        <f t="array" ref="R34">+_xll.EQNXTDZ($A$1,$B34,R$1,$B$1)</f>
        <v>0</v>
      </c>
      <c r="S34" s="125" cm="1">
        <f t="array" ref="S34">+_xll.EQNXTDZ($A$1,$B34,S$1,$B$1)</f>
        <v>0</v>
      </c>
      <c r="T34" s="125" cm="1">
        <f t="array" ref="T34">+_xll.EQNXTDZ($A$1,$B34,T$1,$B$1)</f>
        <v>0</v>
      </c>
      <c r="U34" s="125" cm="1">
        <f t="array" ref="U34">+_xll.EQNXTDZ($A$1,$B34,U$1,$B$1)</f>
        <v>0</v>
      </c>
      <c r="V34" s="125" cm="1">
        <f t="array" ref="V34">+_xll.EQNXTDZ($A$1,$B34,V$1,$B$1)</f>
        <v>0</v>
      </c>
      <c r="W34" s="125" cm="1">
        <f t="array" ref="W34">+_xll.EQNXTDZ($A$1,$B34,W$1,$B$1)</f>
        <v>0</v>
      </c>
      <c r="X34" s="125" cm="1">
        <f t="array" ref="X34">+_xll.EQNXTDZ($A$1,$B34,X$1,$B$1)</f>
        <v>0</v>
      </c>
      <c r="Y34" s="125" cm="1">
        <f t="array" ref="Y34">+_xll.EQNXTDZ($A$1,$B34,Y$1,$B$1)</f>
        <v>0</v>
      </c>
      <c r="Z34" s="125" cm="1">
        <f t="array" ref="Z34">+_xll.EQNXTDZ($A$1,$B34,Z$1,$B$1)</f>
        <v>0</v>
      </c>
      <c r="AA34" s="125" cm="1">
        <f t="array" ref="AA34">+_xll.EQNXTDZ($A$1,$B34,AA$1,$B$1)</f>
        <v>0</v>
      </c>
      <c r="AB34" s="125" cm="1">
        <f t="array" ref="AB34">+_xll.EQNXTDZ($A$1,$B34,AB$1,$B$1)</f>
        <v>0</v>
      </c>
      <c r="AC34" s="125" cm="1">
        <f t="array" ref="AC34">+_xll.EQNXTDZ($A$1,$B34,AC$1,$B$1)</f>
        <v>0</v>
      </c>
      <c r="AD34" s="125" cm="1">
        <f t="array" ref="AD34">+_xll.EQNXTDZ($A$1,$B34,AD$1,$B$1)</f>
        <v>0</v>
      </c>
      <c r="AE34" s="125" cm="1">
        <f t="array" ref="AE34">+_xll.EQNXTDZ($A$1,$B34,AE$1,$B$1)</f>
        <v>0</v>
      </c>
      <c r="AF34" s="125" cm="1">
        <f t="array" ref="AF34">+_xll.EQNXTDZ($A$1,$B34,AF$1,$B$1)</f>
        <v>0</v>
      </c>
      <c r="AG34" s="125" cm="1">
        <f t="array" ref="AG34">+_xll.EQNXTDZ($A$1,$B34,AG$1,$B$1)</f>
        <v>0</v>
      </c>
      <c r="AH34" s="125" cm="1">
        <f t="array" ref="AH34">+_xll.EQNXTDZ($A$1,$B34,AH$1,$B$1)</f>
        <v>0</v>
      </c>
      <c r="AI34" s="125" cm="1">
        <f t="array" ref="AI34">+_xll.EQNXTDZ($A$1,$B34,AI$1,$B$1)</f>
        <v>0</v>
      </c>
      <c r="AJ34" s="125" cm="1">
        <f t="array" ref="AJ34">+_xll.EQNXTDZ($A$1,$B34,AJ$1,$B$1)</f>
        <v>0</v>
      </c>
      <c r="AK34" s="125" cm="1">
        <f t="array" ref="AK34">+_xll.EQNXTDZ($A$1,$B34,AK$1,$B$1)</f>
        <v>0</v>
      </c>
      <c r="AL34" s="125" cm="1">
        <f t="array" ref="AL34">+_xll.EQNXTDZ($A$1,$B34,AL$1,$B$1)</f>
        <v>0</v>
      </c>
      <c r="AM34" s="125" cm="1">
        <f t="array" ref="AM34">+_xll.EQNXTDZ($A$1,$B34,AM$1,$B$1)</f>
        <v>0</v>
      </c>
      <c r="AN34" s="125" cm="1">
        <f t="array" ref="AN34">+_xll.EQNXTDZ($A$1,$B34,AN$1,$B$1)</f>
        <v>0</v>
      </c>
      <c r="AO34" s="125" cm="1">
        <f t="array" ref="AO34">+_xll.EQNXTDZ($A$1,$B34,AO$1,$B$1)</f>
        <v>0</v>
      </c>
      <c r="AP34" s="125" cm="1">
        <f t="array" ref="AP34">+_xll.EQNXTDZ($A$1,$B34,AP$1,$B$1)</f>
        <v>0</v>
      </c>
      <c r="AQ34" s="125" cm="1">
        <f t="array" ref="AQ34">+_xll.EQNXTDZ($A$1,$B34,AQ$1,$B$1)</f>
        <v>0</v>
      </c>
      <c r="AR34" s="125" cm="1">
        <f t="array" ref="AR34">+_xll.EQNXTDZ($A$1,$B34,AR$1,$B$1)</f>
        <v>0</v>
      </c>
      <c r="AS34" s="125" cm="1">
        <f t="array" ref="AS34">+_xll.EQNXTDZ($A$1,$B34,AS$1,$B$1)</f>
        <v>0</v>
      </c>
      <c r="AT34" s="125" cm="1">
        <f t="array" ref="AT34">+_xll.EQNXTDZ($A$1,$B34,AT$1,$B$1)</f>
        <v>0</v>
      </c>
      <c r="AU34" s="125" cm="1">
        <f t="array" ref="AU34">+_xll.EQNXTDZ($A$1,$B34,AU$1,$B$1)</f>
        <v>0</v>
      </c>
      <c r="AV34" s="125" cm="1">
        <f t="array" ref="AV34">+_xll.EQNXTDZ($A$1,$B34,AV$1,$B$1)</f>
        <v>0</v>
      </c>
      <c r="AW34" s="125" cm="1">
        <f t="array" ref="AW34">+_xll.EQNXTDZ($A$1,$B34,AW$1,$B$1)</f>
        <v>0</v>
      </c>
      <c r="AX34" s="125" cm="1">
        <f t="array" ref="AX34">+_xll.EQNXTDZ($A$1,$B34,AX$1,$B$1)</f>
        <v>0</v>
      </c>
      <c r="AY34" s="125" cm="1">
        <f t="array" ref="AY34">+_xll.EQNXTDZ($A$1,$B34,AY$1,$B$1)</f>
        <v>0</v>
      </c>
      <c r="AZ34" s="125" cm="1">
        <f t="array" ref="AZ34">+_xll.EQNXTDZ($A$1,$B34,AZ$1,$B$1)</f>
        <v>0</v>
      </c>
      <c r="BA34" s="125" cm="1">
        <f t="array" ref="BA34">+_xll.EQNXTDZ($A$1,$B34,BA$1,$B$1)</f>
        <v>0</v>
      </c>
      <c r="BB34" s="125" cm="1">
        <f t="array" ref="BB34">+_xll.EQNXTDZ($A$1,$B34,BB$1,$B$1)</f>
        <v>0</v>
      </c>
      <c r="BC34" s="125" cm="1">
        <f t="array" ref="BC34">+_xll.EQNXTDZ($A$1,$B34,BC$1,$B$1)</f>
        <v>0</v>
      </c>
      <c r="BD34" s="125" cm="1">
        <f t="array" ref="BD34">+_xll.EQNXTDZ($A$1,$B34,BD$1,$B$1)</f>
        <v>0</v>
      </c>
      <c r="BE34" s="125" cm="1">
        <f t="array" ref="BE34">+_xll.EQNXTDZ($A$1,$B34,BE$1,$B$1)</f>
        <v>0</v>
      </c>
      <c r="BF34" s="125" cm="1">
        <f t="array" ref="BF34">+_xll.EQNXTDZ($A$1,$B34,BF$1,$B$1)</f>
        <v>0</v>
      </c>
      <c r="BG34" s="125" cm="1">
        <f t="array" ref="BG34">+_xll.EQNXTDZ($A$1,$B34,BG$1,$B$1)</f>
        <v>0</v>
      </c>
      <c r="BH34" s="125" cm="1">
        <f t="array" ref="BH34">+_xll.EQNXTDZ($A$1,$B34,BH$1,$B$1)</f>
        <v>0</v>
      </c>
      <c r="BI34" s="125" cm="1">
        <f t="array" ref="BI34">+_xll.EQNXTDZ($A$1,$B34,BI$1,$B$1)</f>
        <v>0</v>
      </c>
      <c r="BJ34" s="125" cm="1">
        <f t="array" ref="BJ34">+_xll.EQNXTDZ($A$1,$B34,BJ$1,$B$1)</f>
        <v>0</v>
      </c>
      <c r="BK34" s="125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5" cm="1">
        <f t="array" ref="C35">+_xll.EQNXTDZ($A$1,$B35,C$1,$B$1)</f>
        <v>0</v>
      </c>
      <c r="D35" s="125" cm="1">
        <f t="array" ref="D35">+_xll.EQNXTDZ($A$1,$B35,D$1,$B$1)</f>
        <v>0</v>
      </c>
      <c r="E35" s="125" cm="1">
        <f t="array" ref="E35">+_xll.EQNXTDZ($A$1,$B35,E$1,$B$1)</f>
        <v>0</v>
      </c>
      <c r="F35" s="125" cm="1">
        <f t="array" ref="F35">+_xll.EQNXTDZ($A$1,$B35,F$1,$B$1)</f>
        <v>0</v>
      </c>
      <c r="G35" s="125" cm="1">
        <f t="array" ref="G35">+_xll.EQNXTDZ($A$1,$B35,G$1,$B$1)</f>
        <v>0</v>
      </c>
      <c r="H35" s="125" cm="1">
        <f t="array" ref="H35">+_xll.EQNXTDZ($A$1,$B35,H$1,$B$1)</f>
        <v>0</v>
      </c>
      <c r="I35" s="125" cm="1">
        <f t="array" ref="I35">+_xll.EQNXTDZ($A$1,$B35,I$1,$B$1)</f>
        <v>0</v>
      </c>
      <c r="J35" s="125" cm="1">
        <f t="array" ref="J35">+_xll.EQNXTDZ($A$1,$B35,J$1,$B$1)</f>
        <v>0</v>
      </c>
      <c r="K35" s="125" cm="1">
        <f t="array" ref="K35">+_xll.EQNXTDZ($A$1,$B35,K$1,$B$1)</f>
        <v>0</v>
      </c>
      <c r="L35" s="125" cm="1">
        <f t="array" ref="L35">+_xll.EQNXTDZ($A$1,$B35,L$1,$B$1)</f>
        <v>0</v>
      </c>
      <c r="M35" s="125" cm="1">
        <f t="array" ref="M35">+_xll.EQNXTDZ($A$1,$B35,M$1,$B$1)</f>
        <v>0</v>
      </c>
      <c r="N35" s="125" cm="1">
        <f t="array" ref="N35">+_xll.EQNXTDZ($A$1,$B35,N$1,$B$1)</f>
        <v>0</v>
      </c>
      <c r="O35" s="125" cm="1">
        <f t="array" ref="O35">+_xll.EQNXTDZ($A$1,$B35,O$1,$B$1)</f>
        <v>0</v>
      </c>
      <c r="P35" s="125" cm="1">
        <f t="array" ref="P35">+_xll.EQNXTDZ($A$1,$B35,P$1,$B$1)</f>
        <v>0</v>
      </c>
      <c r="Q35" s="125" cm="1">
        <f t="array" ref="Q35">+_xll.EQNXTDZ($A$1,$B35,Q$1,$B$1)</f>
        <v>0</v>
      </c>
      <c r="R35" s="125" cm="1">
        <f t="array" ref="R35">+_xll.EQNXTDZ($A$1,$B35,R$1,$B$1)</f>
        <v>0</v>
      </c>
      <c r="S35" s="125" cm="1">
        <f t="array" ref="S35">+_xll.EQNXTDZ($A$1,$B35,S$1,$B$1)</f>
        <v>0</v>
      </c>
      <c r="T35" s="125" cm="1">
        <f t="array" ref="T35">+_xll.EQNXTDZ($A$1,$B35,T$1,$B$1)</f>
        <v>0</v>
      </c>
      <c r="U35" s="125" cm="1">
        <f t="array" ref="U35">+_xll.EQNXTDZ($A$1,$B35,U$1,$B$1)</f>
        <v>0</v>
      </c>
      <c r="V35" s="125" cm="1">
        <f t="array" ref="V35">+_xll.EQNXTDZ($A$1,$B35,V$1,$B$1)</f>
        <v>0</v>
      </c>
      <c r="W35" s="125" cm="1">
        <f t="array" ref="W35">+_xll.EQNXTDZ($A$1,$B35,W$1,$B$1)</f>
        <v>0</v>
      </c>
      <c r="X35" s="125" cm="1">
        <f t="array" ref="X35">+_xll.EQNXTDZ($A$1,$B35,X$1,$B$1)</f>
        <v>0</v>
      </c>
      <c r="Y35" s="125" cm="1">
        <f t="array" ref="Y35">+_xll.EQNXTDZ($A$1,$B35,Y$1,$B$1)</f>
        <v>0</v>
      </c>
      <c r="Z35" s="125" cm="1">
        <f t="array" ref="Z35">+_xll.EQNXTDZ($A$1,$B35,Z$1,$B$1)</f>
        <v>0</v>
      </c>
      <c r="AA35" s="125" cm="1">
        <f t="array" ref="AA35">+_xll.EQNXTDZ($A$1,$B35,AA$1,$B$1)</f>
        <v>0</v>
      </c>
      <c r="AB35" s="125" cm="1">
        <f t="array" ref="AB35">+_xll.EQNXTDZ($A$1,$B35,AB$1,$B$1)</f>
        <v>0</v>
      </c>
      <c r="AC35" s="125" cm="1">
        <f t="array" ref="AC35">+_xll.EQNXTDZ($A$1,$B35,AC$1,$B$1)</f>
        <v>0</v>
      </c>
      <c r="AD35" s="125" cm="1">
        <f t="array" ref="AD35">+_xll.EQNXTDZ($A$1,$B35,AD$1,$B$1)</f>
        <v>0</v>
      </c>
      <c r="AE35" s="125" cm="1">
        <f t="array" ref="AE35">+_xll.EQNXTDZ($A$1,$B35,AE$1,$B$1)</f>
        <v>0</v>
      </c>
      <c r="AF35" s="125" cm="1">
        <f t="array" ref="AF35">+_xll.EQNXTDZ($A$1,$B35,AF$1,$B$1)</f>
        <v>0</v>
      </c>
      <c r="AG35" s="125" cm="1">
        <f t="array" ref="AG35">+_xll.EQNXTDZ($A$1,$B35,AG$1,$B$1)</f>
        <v>0</v>
      </c>
      <c r="AH35" s="125" cm="1">
        <f t="array" ref="AH35">+_xll.EQNXTDZ($A$1,$B35,AH$1,$B$1)</f>
        <v>0</v>
      </c>
      <c r="AI35" s="125" cm="1">
        <f t="array" ref="AI35">+_xll.EQNXTDZ($A$1,$B35,AI$1,$B$1)</f>
        <v>0</v>
      </c>
      <c r="AJ35" s="125" cm="1">
        <f t="array" ref="AJ35">+_xll.EQNXTDZ($A$1,$B35,AJ$1,$B$1)</f>
        <v>0</v>
      </c>
      <c r="AK35" s="125" cm="1">
        <f t="array" ref="AK35">+_xll.EQNXTDZ($A$1,$B35,AK$1,$B$1)</f>
        <v>0</v>
      </c>
      <c r="AL35" s="125" cm="1">
        <f t="array" ref="AL35">+_xll.EQNXTDZ($A$1,$B35,AL$1,$B$1)</f>
        <v>0</v>
      </c>
      <c r="AM35" s="125" cm="1">
        <f t="array" ref="AM35">+_xll.EQNXTDZ($A$1,$B35,AM$1,$B$1)</f>
        <v>0</v>
      </c>
      <c r="AN35" s="125" cm="1">
        <f t="array" ref="AN35">+_xll.EQNXTDZ($A$1,$B35,AN$1,$B$1)</f>
        <v>0</v>
      </c>
      <c r="AO35" s="125" cm="1">
        <f t="array" ref="AO35">+_xll.EQNXTDZ($A$1,$B35,AO$1,$B$1)</f>
        <v>0</v>
      </c>
      <c r="AP35" s="125" cm="1">
        <f t="array" ref="AP35">+_xll.EQNXTDZ($A$1,$B35,AP$1,$B$1)</f>
        <v>0</v>
      </c>
      <c r="AQ35" s="125" cm="1">
        <f t="array" ref="AQ35">+_xll.EQNXTDZ($A$1,$B35,AQ$1,$B$1)</f>
        <v>0</v>
      </c>
      <c r="AR35" s="125" cm="1">
        <f t="array" ref="AR35">+_xll.EQNXTDZ($A$1,$B35,AR$1,$B$1)</f>
        <v>0</v>
      </c>
      <c r="AS35" s="125" cm="1">
        <f t="array" ref="AS35">+_xll.EQNXTDZ($A$1,$B35,AS$1,$B$1)</f>
        <v>0</v>
      </c>
      <c r="AT35" s="125" cm="1">
        <f t="array" ref="AT35">+_xll.EQNXTDZ($A$1,$B35,AT$1,$B$1)</f>
        <v>0</v>
      </c>
      <c r="AU35" s="125" cm="1">
        <f t="array" ref="AU35">+_xll.EQNXTDZ($A$1,$B35,AU$1,$B$1)</f>
        <v>0</v>
      </c>
      <c r="AV35" s="125" cm="1">
        <f t="array" ref="AV35">+_xll.EQNXTDZ($A$1,$B35,AV$1,$B$1)</f>
        <v>0</v>
      </c>
      <c r="AW35" s="125" cm="1">
        <f t="array" ref="AW35">+_xll.EQNXTDZ($A$1,$B35,AW$1,$B$1)</f>
        <v>0</v>
      </c>
      <c r="AX35" s="125" cm="1">
        <f t="array" ref="AX35">+_xll.EQNXTDZ($A$1,$B35,AX$1,$B$1)</f>
        <v>0</v>
      </c>
      <c r="AY35" s="125" cm="1">
        <f t="array" ref="AY35">+_xll.EQNXTDZ($A$1,$B35,AY$1,$B$1)</f>
        <v>0</v>
      </c>
      <c r="AZ35" s="125" cm="1">
        <f t="array" ref="AZ35">+_xll.EQNXTDZ($A$1,$B35,AZ$1,$B$1)</f>
        <v>0</v>
      </c>
      <c r="BA35" s="125" cm="1">
        <f t="array" ref="BA35">+_xll.EQNXTDZ($A$1,$B35,BA$1,$B$1)</f>
        <v>0</v>
      </c>
      <c r="BB35" s="125" cm="1">
        <f t="array" ref="BB35">+_xll.EQNXTDZ($A$1,$B35,BB$1,$B$1)</f>
        <v>0</v>
      </c>
      <c r="BC35" s="125" cm="1">
        <f t="array" ref="BC35">+_xll.EQNXTDZ($A$1,$B35,BC$1,$B$1)</f>
        <v>0</v>
      </c>
      <c r="BD35" s="125" cm="1">
        <f t="array" ref="BD35">+_xll.EQNXTDZ($A$1,$B35,BD$1,$B$1)</f>
        <v>0</v>
      </c>
      <c r="BE35" s="125" cm="1">
        <f t="array" ref="BE35">+_xll.EQNXTDZ($A$1,$B35,BE$1,$B$1)</f>
        <v>0</v>
      </c>
      <c r="BF35" s="125" cm="1">
        <f t="array" ref="BF35">+_xll.EQNXTDZ($A$1,$B35,BF$1,$B$1)</f>
        <v>0</v>
      </c>
      <c r="BG35" s="125" cm="1">
        <f t="array" ref="BG35">+_xll.EQNXTDZ($A$1,$B35,BG$1,$B$1)</f>
        <v>0</v>
      </c>
      <c r="BH35" s="125" cm="1">
        <f t="array" ref="BH35">+_xll.EQNXTDZ($A$1,$B35,BH$1,$B$1)</f>
        <v>0</v>
      </c>
      <c r="BI35" s="125" cm="1">
        <f t="array" ref="BI35">+_xll.EQNXTDZ($A$1,$B35,BI$1,$B$1)</f>
        <v>0</v>
      </c>
      <c r="BJ35" s="125" cm="1">
        <f t="array" ref="BJ35">+_xll.EQNXTDZ($A$1,$B35,BJ$1,$B$1)</f>
        <v>0</v>
      </c>
      <c r="BK35" s="125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5" cm="1">
        <f t="array" ref="C36">+_xll.EQNXTDZ($A$1,$B36,C$1,$B$1)</f>
        <v>0</v>
      </c>
      <c r="D36" s="125" cm="1">
        <f t="array" ref="D36">+_xll.EQNXTDZ($A$1,$B36,D$1,$B$1)</f>
        <v>0</v>
      </c>
      <c r="E36" s="125" cm="1">
        <f t="array" ref="E36">+_xll.EQNXTDZ($A$1,$B36,E$1,$B$1)</f>
        <v>0</v>
      </c>
      <c r="F36" s="125" cm="1">
        <f t="array" ref="F36">+_xll.EQNXTDZ($A$1,$B36,F$1,$B$1)</f>
        <v>0</v>
      </c>
      <c r="G36" s="125" cm="1">
        <f t="array" ref="G36">+_xll.EQNXTDZ($A$1,$B36,G$1,$B$1)</f>
        <v>0</v>
      </c>
      <c r="H36" s="125" cm="1">
        <f t="array" ref="H36">+_xll.EQNXTDZ($A$1,$B36,H$1,$B$1)</f>
        <v>0</v>
      </c>
      <c r="I36" s="125" cm="1">
        <f t="array" ref="I36">+_xll.EQNXTDZ($A$1,$B36,I$1,$B$1)</f>
        <v>0</v>
      </c>
      <c r="J36" s="125" cm="1">
        <f t="array" ref="J36">+_xll.EQNXTDZ($A$1,$B36,J$1,$B$1)</f>
        <v>0</v>
      </c>
      <c r="K36" s="125" cm="1">
        <f t="array" ref="K36">+_xll.EQNXTDZ($A$1,$B36,K$1,$B$1)</f>
        <v>0</v>
      </c>
      <c r="L36" s="125" cm="1">
        <f t="array" ref="L36">+_xll.EQNXTDZ($A$1,$B36,L$1,$B$1)</f>
        <v>0</v>
      </c>
      <c r="M36" s="125" cm="1">
        <f t="array" ref="M36">+_xll.EQNXTDZ($A$1,$B36,M$1,$B$1)</f>
        <v>0</v>
      </c>
      <c r="N36" s="125" cm="1">
        <f t="array" ref="N36">+_xll.EQNXTDZ($A$1,$B36,N$1,$B$1)</f>
        <v>0</v>
      </c>
      <c r="O36" s="125" cm="1">
        <f t="array" ref="O36">+_xll.EQNXTDZ($A$1,$B36,O$1,$B$1)</f>
        <v>0</v>
      </c>
      <c r="P36" s="125" cm="1">
        <f t="array" ref="P36">+_xll.EQNXTDZ($A$1,$B36,P$1,$B$1)</f>
        <v>0</v>
      </c>
      <c r="Q36" s="125" cm="1">
        <f t="array" ref="Q36">+_xll.EQNXTDZ($A$1,$B36,Q$1,$B$1)</f>
        <v>0</v>
      </c>
      <c r="R36" s="125" cm="1">
        <f t="array" ref="R36">+_xll.EQNXTDZ($A$1,$B36,R$1,$B$1)</f>
        <v>0</v>
      </c>
      <c r="S36" s="125" cm="1">
        <f t="array" ref="S36">+_xll.EQNXTDZ($A$1,$B36,S$1,$B$1)</f>
        <v>0</v>
      </c>
      <c r="T36" s="125" cm="1">
        <f t="array" ref="T36">+_xll.EQNXTDZ($A$1,$B36,T$1,$B$1)</f>
        <v>0</v>
      </c>
      <c r="U36" s="125" cm="1">
        <f t="array" ref="U36">+_xll.EQNXTDZ($A$1,$B36,U$1,$B$1)</f>
        <v>0</v>
      </c>
      <c r="V36" s="125" cm="1">
        <f t="array" ref="V36">+_xll.EQNXTDZ($A$1,$B36,V$1,$B$1)</f>
        <v>0</v>
      </c>
      <c r="W36" s="125" cm="1">
        <f t="array" ref="W36">+_xll.EQNXTDZ($A$1,$B36,W$1,$B$1)</f>
        <v>0</v>
      </c>
      <c r="X36" s="125" cm="1">
        <f t="array" ref="X36">+_xll.EQNXTDZ($A$1,$B36,X$1,$B$1)</f>
        <v>0</v>
      </c>
      <c r="Y36" s="125" cm="1">
        <f t="array" ref="Y36">+_xll.EQNXTDZ($A$1,$B36,Y$1,$B$1)</f>
        <v>0</v>
      </c>
      <c r="Z36" s="125" cm="1">
        <f t="array" ref="Z36">+_xll.EQNXTDZ($A$1,$B36,Z$1,$B$1)</f>
        <v>0</v>
      </c>
      <c r="AA36" s="125" cm="1">
        <f t="array" ref="AA36">+_xll.EQNXTDZ($A$1,$B36,AA$1,$B$1)</f>
        <v>0</v>
      </c>
      <c r="AB36" s="125" cm="1">
        <f t="array" ref="AB36">+_xll.EQNXTDZ($A$1,$B36,AB$1,$B$1)</f>
        <v>0</v>
      </c>
      <c r="AC36" s="125" cm="1">
        <f t="array" ref="AC36">+_xll.EQNXTDZ($A$1,$B36,AC$1,$B$1)</f>
        <v>0</v>
      </c>
      <c r="AD36" s="125" cm="1">
        <f t="array" ref="AD36">+_xll.EQNXTDZ($A$1,$B36,AD$1,$B$1)</f>
        <v>0</v>
      </c>
      <c r="AE36" s="125" cm="1">
        <f t="array" ref="AE36">+_xll.EQNXTDZ($A$1,$B36,AE$1,$B$1)</f>
        <v>0</v>
      </c>
      <c r="AF36" s="125" cm="1">
        <f t="array" ref="AF36">+_xll.EQNXTDZ($A$1,$B36,AF$1,$B$1)</f>
        <v>0</v>
      </c>
      <c r="AG36" s="125" cm="1">
        <f t="array" ref="AG36">+_xll.EQNXTDZ($A$1,$B36,AG$1,$B$1)</f>
        <v>0</v>
      </c>
      <c r="AH36" s="125" cm="1">
        <f t="array" ref="AH36">+_xll.EQNXTDZ($A$1,$B36,AH$1,$B$1)</f>
        <v>0</v>
      </c>
      <c r="AI36" s="125" cm="1">
        <f t="array" ref="AI36">+_xll.EQNXTDZ($A$1,$B36,AI$1,$B$1)</f>
        <v>0</v>
      </c>
      <c r="AJ36" s="125" cm="1">
        <f t="array" ref="AJ36">+_xll.EQNXTDZ($A$1,$B36,AJ$1,$B$1)</f>
        <v>0</v>
      </c>
      <c r="AK36" s="125" cm="1">
        <f t="array" ref="AK36">+_xll.EQNXTDZ($A$1,$B36,AK$1,$B$1)</f>
        <v>0</v>
      </c>
      <c r="AL36" s="125" cm="1">
        <f t="array" ref="AL36">+_xll.EQNXTDZ($A$1,$B36,AL$1,$B$1)</f>
        <v>0</v>
      </c>
      <c r="AM36" s="125" cm="1">
        <f t="array" ref="AM36">+_xll.EQNXTDZ($A$1,$B36,AM$1,$B$1)</f>
        <v>0</v>
      </c>
      <c r="AN36" s="125" cm="1">
        <f t="array" ref="AN36">+_xll.EQNXTDZ($A$1,$B36,AN$1,$B$1)</f>
        <v>0</v>
      </c>
      <c r="AO36" s="125" cm="1">
        <f t="array" ref="AO36">+_xll.EQNXTDZ($A$1,$B36,AO$1,$B$1)</f>
        <v>0</v>
      </c>
      <c r="AP36" s="125" cm="1">
        <f t="array" ref="AP36">+_xll.EQNXTDZ($A$1,$B36,AP$1,$B$1)</f>
        <v>0</v>
      </c>
      <c r="AQ36" s="125" cm="1">
        <f t="array" ref="AQ36">+_xll.EQNXTDZ($A$1,$B36,AQ$1,$B$1)</f>
        <v>0</v>
      </c>
      <c r="AR36" s="125" cm="1">
        <f t="array" ref="AR36">+_xll.EQNXTDZ($A$1,$B36,AR$1,$B$1)</f>
        <v>0</v>
      </c>
      <c r="AS36" s="125" cm="1">
        <f t="array" ref="AS36">+_xll.EQNXTDZ($A$1,$B36,AS$1,$B$1)</f>
        <v>0</v>
      </c>
      <c r="AT36" s="125" cm="1">
        <f t="array" ref="AT36">+_xll.EQNXTDZ($A$1,$B36,AT$1,$B$1)</f>
        <v>0</v>
      </c>
      <c r="AU36" s="125" cm="1">
        <f t="array" ref="AU36">+_xll.EQNXTDZ($A$1,$B36,AU$1,$B$1)</f>
        <v>0</v>
      </c>
      <c r="AV36" s="125" cm="1">
        <f t="array" ref="AV36">+_xll.EQNXTDZ($A$1,$B36,AV$1,$B$1)</f>
        <v>0</v>
      </c>
      <c r="AW36" s="125" cm="1">
        <f t="array" ref="AW36">+_xll.EQNXTDZ($A$1,$B36,AW$1,$B$1)</f>
        <v>0</v>
      </c>
      <c r="AX36" s="125" cm="1">
        <f t="array" ref="AX36">+_xll.EQNXTDZ($A$1,$B36,AX$1,$B$1)</f>
        <v>0</v>
      </c>
      <c r="AY36" s="125" cm="1">
        <f t="array" ref="AY36">+_xll.EQNXTDZ($A$1,$B36,AY$1,$B$1)</f>
        <v>0</v>
      </c>
      <c r="AZ36" s="125" cm="1">
        <f t="array" ref="AZ36">+_xll.EQNXTDZ($A$1,$B36,AZ$1,$B$1)</f>
        <v>0</v>
      </c>
      <c r="BA36" s="125" cm="1">
        <f t="array" ref="BA36">+_xll.EQNXTDZ($A$1,$B36,BA$1,$B$1)</f>
        <v>0</v>
      </c>
      <c r="BB36" s="125" cm="1">
        <f t="array" ref="BB36">+_xll.EQNXTDZ($A$1,$B36,BB$1,$B$1)</f>
        <v>0</v>
      </c>
      <c r="BC36" s="125" cm="1">
        <f t="array" ref="BC36">+_xll.EQNXTDZ($A$1,$B36,BC$1,$B$1)</f>
        <v>0</v>
      </c>
      <c r="BD36" s="125" cm="1">
        <f t="array" ref="BD36">+_xll.EQNXTDZ($A$1,$B36,BD$1,$B$1)</f>
        <v>0</v>
      </c>
      <c r="BE36" s="125" cm="1">
        <f t="array" ref="BE36">+_xll.EQNXTDZ($A$1,$B36,BE$1,$B$1)</f>
        <v>0</v>
      </c>
      <c r="BF36" s="125" cm="1">
        <f t="array" ref="BF36">+_xll.EQNXTDZ($A$1,$B36,BF$1,$B$1)</f>
        <v>0</v>
      </c>
      <c r="BG36" s="125" cm="1">
        <f t="array" ref="BG36">+_xll.EQNXTDZ($A$1,$B36,BG$1,$B$1)</f>
        <v>0</v>
      </c>
      <c r="BH36" s="125" cm="1">
        <f t="array" ref="BH36">+_xll.EQNXTDZ($A$1,$B36,BH$1,$B$1)</f>
        <v>0</v>
      </c>
      <c r="BI36" s="125" cm="1">
        <f t="array" ref="BI36">+_xll.EQNXTDZ($A$1,$B36,BI$1,$B$1)</f>
        <v>0</v>
      </c>
      <c r="BJ36" s="125" cm="1">
        <f t="array" ref="BJ36">+_xll.EQNXTDZ($A$1,$B36,BJ$1,$B$1)</f>
        <v>0</v>
      </c>
      <c r="BK36" s="125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5" cm="1">
        <f t="array" ref="C37">+_xll.EQNXTDZ($A$1,$B37,C$1,$B$1)</f>
        <v>0</v>
      </c>
      <c r="D37" s="125" cm="1">
        <f t="array" ref="D37">+_xll.EQNXTDZ($A$1,$B37,D$1,$B$1)</f>
        <v>0</v>
      </c>
      <c r="E37" s="125" cm="1">
        <f t="array" ref="E37">+_xll.EQNXTDZ($A$1,$B37,E$1,$B$1)</f>
        <v>0</v>
      </c>
      <c r="F37" s="125" cm="1">
        <f t="array" ref="F37">+_xll.EQNXTDZ($A$1,$B37,F$1,$B$1)</f>
        <v>0</v>
      </c>
      <c r="G37" s="125" cm="1">
        <f t="array" ref="G37">+_xll.EQNXTDZ($A$1,$B37,G$1,$B$1)</f>
        <v>0</v>
      </c>
      <c r="H37" s="125" cm="1">
        <f t="array" ref="H37">+_xll.EQNXTDZ($A$1,$B37,H$1,$B$1)</f>
        <v>0</v>
      </c>
      <c r="I37" s="125" cm="1">
        <f t="array" ref="I37">+_xll.EQNXTDZ($A$1,$B37,I$1,$B$1)</f>
        <v>0</v>
      </c>
      <c r="J37" s="125" cm="1">
        <f t="array" ref="J37">+_xll.EQNXTDZ($A$1,$B37,J$1,$B$1)</f>
        <v>0</v>
      </c>
      <c r="K37" s="125" cm="1">
        <f t="array" ref="K37">+_xll.EQNXTDZ($A$1,$B37,K$1,$B$1)</f>
        <v>0</v>
      </c>
      <c r="L37" s="125" cm="1">
        <f t="array" ref="L37">+_xll.EQNXTDZ($A$1,$B37,L$1,$B$1)</f>
        <v>0</v>
      </c>
      <c r="M37" s="125" cm="1">
        <f t="array" ref="M37">+_xll.EQNXTDZ($A$1,$B37,M$1,$B$1)</f>
        <v>1.17</v>
      </c>
      <c r="N37" s="125" cm="1">
        <f t="array" ref="N37">+_xll.EQNXTDZ($A$1,$B37,N$1,$B$1)</f>
        <v>1.48</v>
      </c>
      <c r="O37" s="125" cm="1">
        <f t="array" ref="O37">+_xll.EQNXTDZ($A$1,$B37,O$1,$B$1)</f>
        <v>1.52</v>
      </c>
      <c r="P37" s="125" cm="1">
        <f t="array" ref="P37">+_xll.EQNXTDZ($A$1,$B37,P$1,$B$1)</f>
        <v>1.6</v>
      </c>
      <c r="Q37" s="125" cm="1">
        <f t="array" ref="Q37">+_xll.EQNXTDZ($A$1,$B37,Q$1,$B$1)</f>
        <v>2.13</v>
      </c>
      <c r="R37" s="125" cm="1">
        <f t="array" ref="R37">+_xll.EQNXTDZ($A$1,$B37,R$1,$B$1)</f>
        <v>2.02</v>
      </c>
      <c r="S37" s="125" cm="1">
        <f t="array" ref="S37">+_xll.EQNXTDZ($A$1,$B37,S$1,$B$1)</f>
        <v>2.0499999999999998</v>
      </c>
      <c r="T37" s="125" cm="1">
        <f t="array" ref="T37">+_xll.EQNXTDZ($A$1,$B37,T$1,$B$1)</f>
        <v>3.27</v>
      </c>
      <c r="U37" s="125" cm="1">
        <f t="array" ref="U37">+_xll.EQNXTDZ($A$1,$B37,U$1,$B$1)</f>
        <v>6.21</v>
      </c>
      <c r="V37" s="125" cm="1">
        <f t="array" ref="V37">+_xll.EQNXTDZ($A$1,$B37,V$1,$B$1)</f>
        <v>5.09</v>
      </c>
      <c r="W37" s="125" cm="1">
        <f t="array" ref="W37">+_xll.EQNXTDZ($A$1,$B37,W$1,$B$1)</f>
        <v>5.8</v>
      </c>
      <c r="X37" s="125" cm="1">
        <f t="array" ref="X37">+_xll.EQNXTDZ($A$1,$B37,X$1,$B$1)</f>
        <v>10.66</v>
      </c>
      <c r="Y37" s="125" cm="1">
        <f t="array" ref="Y37">+_xll.EQNXTDZ($A$1,$B37,Y$1,$B$1)</f>
        <v>11.3</v>
      </c>
      <c r="Z37" s="125" cm="1">
        <f t="array" ref="Z37">+_xll.EQNXTDZ($A$1,$B37,Z$1,$B$1)</f>
        <v>10.46</v>
      </c>
      <c r="AA37" s="125" cm="1">
        <f t="array" ref="AA37">+_xll.EQNXTDZ($A$1,$B37,AA$1,$B$1)</f>
        <v>11.65</v>
      </c>
      <c r="AB37" s="125" cm="1">
        <f t="array" ref="AB37">+_xll.EQNXTDZ($A$1,$B37,AB$1,$B$1)</f>
        <v>11.24</v>
      </c>
      <c r="AC37" s="125" cm="1">
        <f t="array" ref="AC37">+_xll.EQNXTDZ($A$1,$B37,AC$1,$B$1)</f>
        <v>11.95</v>
      </c>
      <c r="AD37" s="125" cm="1">
        <f t="array" ref="AD37">+_xll.EQNXTDZ($A$1,$B37,AD$1,$B$1)</f>
        <v>11.58</v>
      </c>
      <c r="AE37" s="125" cm="1">
        <f t="array" ref="AE37">+_xll.EQNXTDZ($A$1,$B37,AE$1,$B$1)</f>
        <v>12.46</v>
      </c>
      <c r="AF37" s="125" cm="1">
        <f t="array" ref="AF37">+_xll.EQNXTDZ($A$1,$B37,AF$1,$B$1)</f>
        <v>11.92</v>
      </c>
      <c r="AG37" s="125" cm="1">
        <f t="array" ref="AG37">+_xll.EQNXTDZ($A$1,$B37,AG$1,$B$1)</f>
        <v>12.82</v>
      </c>
      <c r="AH37" s="125" cm="1">
        <f t="array" ref="AH37">+_xll.EQNXTDZ($A$1,$B37,AH$1,$B$1)</f>
        <v>12.61</v>
      </c>
      <c r="AI37" s="125" cm="1">
        <f t="array" ref="AI37">+_xll.EQNXTDZ($A$1,$B37,AI$1,$B$1)</f>
        <v>12.49</v>
      </c>
      <c r="AJ37" s="125" cm="1">
        <f t="array" ref="AJ37">+_xll.EQNXTDZ($A$1,$B37,AJ$1,$B$1)</f>
        <v>12.06</v>
      </c>
      <c r="AK37" s="125" cm="1">
        <f t="array" ref="AK37">+_xll.EQNXTDZ($A$1,$B37,AK$1,$B$1)</f>
        <v>12.28</v>
      </c>
      <c r="AL37" s="125" cm="1">
        <f t="array" ref="AL37">+_xll.EQNXTDZ($A$1,$B37,AL$1,$B$1)</f>
        <v>13.06</v>
      </c>
      <c r="AM37" s="125" cm="1">
        <f t="array" ref="AM37">+_xll.EQNXTDZ($A$1,$B37,AM$1,$B$1)</f>
        <v>13.75</v>
      </c>
      <c r="AN37" s="125" cm="1">
        <f t="array" ref="AN37">+_xll.EQNXTDZ($A$1,$B37,AN$1,$B$1)</f>
        <v>14.35</v>
      </c>
      <c r="AO37" s="125" cm="1">
        <f t="array" ref="AO37">+_xll.EQNXTDZ($A$1,$B37,AO$1,$B$1)</f>
        <v>17.190000000000001</v>
      </c>
      <c r="AP37" s="125" cm="1">
        <f t="array" ref="AP37">+_xll.EQNXTDZ($A$1,$B37,AP$1,$B$1)</f>
        <v>15.53</v>
      </c>
      <c r="AQ37" s="125" cm="1">
        <f t="array" ref="AQ37">+_xll.EQNXTDZ($A$1,$B37,AQ$1,$B$1)</f>
        <v>15.16</v>
      </c>
      <c r="AR37" s="125" cm="1">
        <f t="array" ref="AR37">+_xll.EQNXTDZ($A$1,$B37,AR$1,$B$1)</f>
        <v>15.22</v>
      </c>
      <c r="AS37" s="125" cm="1">
        <f t="array" ref="AS37">+_xll.EQNXTDZ($A$1,$B37,AS$1,$B$1)</f>
        <v>15.8</v>
      </c>
      <c r="AT37" s="125" cm="1">
        <f t="array" ref="AT37">+_xll.EQNXTDZ($A$1,$B37,AT$1,$B$1)</f>
        <v>16.38</v>
      </c>
      <c r="AU37" s="125" cm="1">
        <f t="array" ref="AU37">+_xll.EQNXTDZ($A$1,$B37,AU$1,$B$1)</f>
        <v>15.69</v>
      </c>
      <c r="AV37" s="125" cm="1">
        <f t="array" ref="AV37">+_xll.EQNXTDZ($A$1,$B37,AV$1,$B$1)</f>
        <v>0</v>
      </c>
      <c r="AW37" s="125" cm="1">
        <f t="array" ref="AW37">+_xll.EQNXTDZ($A$1,$B37,AW$1,$B$1)</f>
        <v>0</v>
      </c>
      <c r="AX37" s="125" cm="1">
        <f t="array" ref="AX37">+_xll.EQNXTDZ($A$1,$B37,AX$1,$B$1)</f>
        <v>0</v>
      </c>
      <c r="AY37" s="125" cm="1">
        <f t="array" ref="AY37">+_xll.EQNXTDZ($A$1,$B37,AY$1,$B$1)</f>
        <v>0</v>
      </c>
      <c r="AZ37" s="125" cm="1">
        <f t="array" ref="AZ37">+_xll.EQNXTDZ($A$1,$B37,AZ$1,$B$1)</f>
        <v>0</v>
      </c>
      <c r="BA37" s="125" cm="1">
        <f t="array" ref="BA37">+_xll.EQNXTDZ($A$1,$B37,BA$1,$B$1)</f>
        <v>0</v>
      </c>
      <c r="BB37" s="125" cm="1">
        <f t="array" ref="BB37">+_xll.EQNXTDZ($A$1,$B37,BB$1,$B$1)</f>
        <v>0</v>
      </c>
      <c r="BC37" s="125" cm="1">
        <f t="array" ref="BC37">+_xll.EQNXTDZ($A$1,$B37,BC$1,$B$1)</f>
        <v>0</v>
      </c>
      <c r="BD37" s="125" cm="1">
        <f t="array" ref="BD37">+_xll.EQNXTDZ($A$1,$B37,BD$1,$B$1)</f>
        <v>0</v>
      </c>
      <c r="BE37" s="125" cm="1">
        <f t="array" ref="BE37">+_xll.EQNXTDZ($A$1,$B37,BE$1,$B$1)</f>
        <v>0</v>
      </c>
      <c r="BF37" s="125" cm="1">
        <f t="array" ref="BF37">+_xll.EQNXTDZ($A$1,$B37,BF$1,$B$1)</f>
        <v>0</v>
      </c>
      <c r="BG37" s="125" cm="1">
        <f t="array" ref="BG37">+_xll.EQNXTDZ($A$1,$B37,BG$1,$B$1)</f>
        <v>0</v>
      </c>
      <c r="BH37" s="125" cm="1">
        <f t="array" ref="BH37">+_xll.EQNXTDZ($A$1,$B37,BH$1,$B$1)</f>
        <v>0</v>
      </c>
      <c r="BI37" s="125" cm="1">
        <f t="array" ref="BI37">+_xll.EQNXTDZ($A$1,$B37,BI$1,$B$1)</f>
        <v>0</v>
      </c>
      <c r="BJ37" s="125" cm="1">
        <f t="array" ref="BJ37">+_xll.EQNXTDZ($A$1,$B37,BJ$1,$B$1)</f>
        <v>0</v>
      </c>
      <c r="BK37" s="125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5" cm="1">
        <f t="array" ref="C38">+_xll.EQNXTDZ($A$1,$B38,C$1,$B$1)</f>
        <v>0</v>
      </c>
      <c r="D38" s="125" cm="1">
        <f t="array" ref="D38">+_xll.EQNXTDZ($A$1,$B38,D$1,$B$1)</f>
        <v>0</v>
      </c>
      <c r="E38" s="125" cm="1">
        <f t="array" ref="E38">+_xll.EQNXTDZ($A$1,$B38,E$1,$B$1)</f>
        <v>0</v>
      </c>
      <c r="F38" s="125" cm="1">
        <f t="array" ref="F38">+_xll.EQNXTDZ($A$1,$B38,F$1,$B$1)</f>
        <v>0</v>
      </c>
      <c r="G38" s="125" cm="1">
        <f t="array" ref="G38">+_xll.EQNXTDZ($A$1,$B38,G$1,$B$1)</f>
        <v>0</v>
      </c>
      <c r="H38" s="125" cm="1">
        <f t="array" ref="H38">+_xll.EQNXTDZ($A$1,$B38,H$1,$B$1)</f>
        <v>0</v>
      </c>
      <c r="I38" s="125" cm="1">
        <f t="array" ref="I38">+_xll.EQNXTDZ($A$1,$B38,I$1,$B$1)</f>
        <v>0</v>
      </c>
      <c r="J38" s="125" cm="1">
        <f t="array" ref="J38">+_xll.EQNXTDZ($A$1,$B38,J$1,$B$1)</f>
        <v>0</v>
      </c>
      <c r="K38" s="125" cm="1">
        <f t="array" ref="K38">+_xll.EQNXTDZ($A$1,$B38,K$1,$B$1)</f>
        <v>0</v>
      </c>
      <c r="L38" s="125" cm="1">
        <f t="array" ref="L38">+_xll.EQNXTDZ($A$1,$B38,L$1,$B$1)</f>
        <v>0</v>
      </c>
      <c r="M38" s="125" cm="1">
        <f t="array" ref="M38">+_xll.EQNXTDZ($A$1,$B38,M$1,$B$1)</f>
        <v>30.95</v>
      </c>
      <c r="N38" s="125" cm="1">
        <f t="array" ref="N38">+_xll.EQNXTDZ($A$1,$B38,N$1,$B$1)</f>
        <v>34.54</v>
      </c>
      <c r="O38" s="125" cm="1">
        <f t="array" ref="O38">+_xll.EQNXTDZ($A$1,$B38,O$1,$B$1)</f>
        <v>38.92</v>
      </c>
      <c r="P38" s="125" cm="1">
        <f t="array" ref="P38">+_xll.EQNXTDZ($A$1,$B38,P$1,$B$1)</f>
        <v>40.14</v>
      </c>
      <c r="Q38" s="125" cm="1">
        <f t="array" ref="Q38">+_xll.EQNXTDZ($A$1,$B38,Q$1,$B$1)</f>
        <v>40.590000000000003</v>
      </c>
      <c r="R38" s="125" cm="1">
        <f t="array" ref="R38">+_xll.EQNXTDZ($A$1,$B38,R$1,$B$1)</f>
        <v>53.97</v>
      </c>
      <c r="S38" s="125" cm="1">
        <f t="array" ref="S38">+_xll.EQNXTDZ($A$1,$B38,S$1,$B$1)</f>
        <v>41.29</v>
      </c>
      <c r="T38" s="125" cm="1">
        <f t="array" ref="T38">+_xll.EQNXTDZ($A$1,$B38,T$1,$B$1)</f>
        <v>52.3</v>
      </c>
      <c r="U38" s="125" cm="1">
        <f t="array" ref="U38">+_xll.EQNXTDZ($A$1,$B38,U$1,$B$1)</f>
        <v>26.13</v>
      </c>
      <c r="V38" s="125" cm="1">
        <f t="array" ref="V38">+_xll.EQNXTDZ($A$1,$B38,V$1,$B$1)</f>
        <v>37.93</v>
      </c>
      <c r="W38" s="125" cm="1">
        <f t="array" ref="W38">+_xll.EQNXTDZ($A$1,$B38,W$1,$B$1)</f>
        <v>9.74</v>
      </c>
      <c r="X38" s="125" cm="1">
        <f t="array" ref="X38">+_xll.EQNXTDZ($A$1,$B38,X$1,$B$1)</f>
        <v>25.84</v>
      </c>
      <c r="Y38" s="125" cm="1">
        <f t="array" ref="Y38">+_xll.EQNXTDZ($A$1,$B38,Y$1,$B$1)</f>
        <v>27.14</v>
      </c>
      <c r="Z38" s="125" cm="1">
        <f t="array" ref="Z38">+_xll.EQNXTDZ($A$1,$B38,Z$1,$B$1)</f>
        <v>-26.29</v>
      </c>
      <c r="AA38" s="125" cm="1">
        <f t="array" ref="AA38">+_xll.EQNXTDZ($A$1,$B38,AA$1,$B$1)</f>
        <v>22.31</v>
      </c>
      <c r="AB38" s="125" cm="1">
        <f t="array" ref="AB38">+_xll.EQNXTDZ($A$1,$B38,AB$1,$B$1)</f>
        <v>8.27</v>
      </c>
      <c r="AC38" s="125" cm="1">
        <f t="array" ref="AC38">+_xll.EQNXTDZ($A$1,$B38,AC$1,$B$1)</f>
        <v>19.09</v>
      </c>
      <c r="AD38" s="125" cm="1">
        <f t="array" ref="AD38">+_xll.EQNXTDZ($A$1,$B38,AD$1,$B$1)</f>
        <v>38.65</v>
      </c>
      <c r="AE38" s="125" cm="1">
        <f t="array" ref="AE38">+_xll.EQNXTDZ($A$1,$B38,AE$1,$B$1)</f>
        <v>58.7</v>
      </c>
      <c r="AF38" s="125" cm="1">
        <f t="array" ref="AF38">+_xll.EQNXTDZ($A$1,$B38,AF$1,$B$1)</f>
        <v>50.26</v>
      </c>
      <c r="AG38" s="125" cm="1">
        <f t="array" ref="AG38">+_xll.EQNXTDZ($A$1,$B38,AG$1,$B$1)</f>
        <v>53.86</v>
      </c>
      <c r="AH38" s="125" cm="1">
        <f t="array" ref="AH38">+_xll.EQNXTDZ($A$1,$B38,AH$1,$B$1)</f>
        <v>74.27</v>
      </c>
      <c r="AI38" s="125" cm="1">
        <f t="array" ref="AI38">+_xll.EQNXTDZ($A$1,$B38,AI$1,$B$1)</f>
        <v>100.98</v>
      </c>
      <c r="AJ38" s="125" cm="1">
        <f t="array" ref="AJ38">+_xll.EQNXTDZ($A$1,$B38,AJ$1,$B$1)</f>
        <v>118.91</v>
      </c>
      <c r="AK38" s="125" cm="1">
        <f t="array" ref="AK38">+_xll.EQNXTDZ($A$1,$B38,AK$1,$B$1)</f>
        <v>119.73</v>
      </c>
      <c r="AL38" s="125" cm="1">
        <f t="array" ref="AL38">+_xll.EQNXTDZ($A$1,$B38,AL$1,$B$1)</f>
        <v>122.23</v>
      </c>
      <c r="AM38" s="125" cm="1">
        <f t="array" ref="AM38">+_xll.EQNXTDZ($A$1,$B38,AM$1,$B$1)</f>
        <v>132.38</v>
      </c>
      <c r="AN38" s="125" cm="1">
        <f t="array" ref="AN38">+_xll.EQNXTDZ($A$1,$B38,AN$1,$B$1)</f>
        <v>137.08000000000001</v>
      </c>
      <c r="AO38" s="125" cm="1">
        <f t="array" ref="AO38">+_xll.EQNXTDZ($A$1,$B38,AO$1,$B$1)</f>
        <v>65.930000000000007</v>
      </c>
      <c r="AP38" s="125" cm="1">
        <f t="array" ref="AP38">+_xll.EQNXTDZ($A$1,$B38,AP$1,$B$1)</f>
        <v>-29.41</v>
      </c>
      <c r="AQ38" s="125" cm="1">
        <f t="array" ref="AQ38">+_xll.EQNXTDZ($A$1,$B38,AQ$1,$B$1)</f>
        <v>3.87</v>
      </c>
      <c r="AR38" s="125" cm="1">
        <f t="array" ref="AR38">+_xll.EQNXTDZ($A$1,$B38,AR$1,$B$1)</f>
        <v>20.93</v>
      </c>
      <c r="AS38" s="125" cm="1">
        <f t="array" ref="AS38">+_xll.EQNXTDZ($A$1,$B38,AS$1,$B$1)</f>
        <v>43.35</v>
      </c>
      <c r="AT38" s="125" cm="1">
        <f t="array" ref="AT38">+_xll.EQNXTDZ($A$1,$B38,AT$1,$B$1)</f>
        <v>85.83</v>
      </c>
      <c r="AU38" s="125" cm="1">
        <f t="array" ref="AU38">+_xll.EQNXTDZ($A$1,$B38,AU$1,$B$1)</f>
        <v>105.45</v>
      </c>
      <c r="AV38" s="125" cm="1">
        <f t="array" ref="AV38">+_xll.EQNXTDZ($A$1,$B38,AV$1,$B$1)</f>
        <v>0</v>
      </c>
      <c r="AW38" s="125" cm="1">
        <f t="array" ref="AW38">+_xll.EQNXTDZ($A$1,$B38,AW$1,$B$1)</f>
        <v>0</v>
      </c>
      <c r="AX38" s="125" cm="1">
        <f t="array" ref="AX38">+_xll.EQNXTDZ($A$1,$B38,AX$1,$B$1)</f>
        <v>0</v>
      </c>
      <c r="AY38" s="125" cm="1">
        <f t="array" ref="AY38">+_xll.EQNXTDZ($A$1,$B38,AY$1,$B$1)</f>
        <v>0</v>
      </c>
      <c r="AZ38" s="125" cm="1">
        <f t="array" ref="AZ38">+_xll.EQNXTDZ($A$1,$B38,AZ$1,$B$1)</f>
        <v>0</v>
      </c>
      <c r="BA38" s="125" cm="1">
        <f t="array" ref="BA38">+_xll.EQNXTDZ($A$1,$B38,BA$1,$B$1)</f>
        <v>0</v>
      </c>
      <c r="BB38" s="125" cm="1">
        <f t="array" ref="BB38">+_xll.EQNXTDZ($A$1,$B38,BB$1,$B$1)</f>
        <v>0</v>
      </c>
      <c r="BC38" s="125" cm="1">
        <f t="array" ref="BC38">+_xll.EQNXTDZ($A$1,$B38,BC$1,$B$1)</f>
        <v>0</v>
      </c>
      <c r="BD38" s="125" cm="1">
        <f t="array" ref="BD38">+_xll.EQNXTDZ($A$1,$B38,BD$1,$B$1)</f>
        <v>0</v>
      </c>
      <c r="BE38" s="125" cm="1">
        <f t="array" ref="BE38">+_xll.EQNXTDZ($A$1,$B38,BE$1,$B$1)</f>
        <v>0</v>
      </c>
      <c r="BF38" s="125" cm="1">
        <f t="array" ref="BF38">+_xll.EQNXTDZ($A$1,$B38,BF$1,$B$1)</f>
        <v>0</v>
      </c>
      <c r="BG38" s="125" cm="1">
        <f t="array" ref="BG38">+_xll.EQNXTDZ($A$1,$B38,BG$1,$B$1)</f>
        <v>0</v>
      </c>
      <c r="BH38" s="125" cm="1">
        <f t="array" ref="BH38">+_xll.EQNXTDZ($A$1,$B38,BH$1,$B$1)</f>
        <v>0</v>
      </c>
      <c r="BI38" s="125" cm="1">
        <f t="array" ref="BI38">+_xll.EQNXTDZ($A$1,$B38,BI$1,$B$1)</f>
        <v>0</v>
      </c>
      <c r="BJ38" s="125" cm="1">
        <f t="array" ref="BJ38">+_xll.EQNXTDZ($A$1,$B38,BJ$1,$B$1)</f>
        <v>0</v>
      </c>
      <c r="BK38" s="125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5" cm="1">
        <f t="array" ref="C39">+_xll.EQNXTDZ($A$1,$B39,C$1,$B$1)</f>
        <v>0</v>
      </c>
      <c r="D39" s="125" cm="1">
        <f t="array" ref="D39">+_xll.EQNXTDZ($A$1,$B39,D$1,$B$1)</f>
        <v>0</v>
      </c>
      <c r="E39" s="125" cm="1">
        <f t="array" ref="E39">+_xll.EQNXTDZ($A$1,$B39,E$1,$B$1)</f>
        <v>0</v>
      </c>
      <c r="F39" s="125" cm="1">
        <f t="array" ref="F39">+_xll.EQNXTDZ($A$1,$B39,F$1,$B$1)</f>
        <v>0</v>
      </c>
      <c r="G39" s="125" cm="1">
        <f t="array" ref="G39">+_xll.EQNXTDZ($A$1,$B39,G$1,$B$1)</f>
        <v>0</v>
      </c>
      <c r="H39" s="125" cm="1">
        <f t="array" ref="H39">+_xll.EQNXTDZ($A$1,$B39,H$1,$B$1)</f>
        <v>0</v>
      </c>
      <c r="I39" s="125" cm="1">
        <f t="array" ref="I39">+_xll.EQNXTDZ($A$1,$B39,I$1,$B$1)</f>
        <v>0</v>
      </c>
      <c r="J39" s="125" cm="1">
        <f t="array" ref="J39">+_xll.EQNXTDZ($A$1,$B39,J$1,$B$1)</f>
        <v>0</v>
      </c>
      <c r="K39" s="125" cm="1">
        <f t="array" ref="K39">+_xll.EQNXTDZ($A$1,$B39,K$1,$B$1)</f>
        <v>0</v>
      </c>
      <c r="L39" s="125" cm="1">
        <f t="array" ref="L39">+_xll.EQNXTDZ($A$1,$B39,L$1,$B$1)</f>
        <v>0</v>
      </c>
      <c r="M39" s="125" cm="1">
        <f t="array" ref="M39">+_xll.EQNXTDZ($A$1,$B39,M$1,$B$1)</f>
        <v>0</v>
      </c>
      <c r="N39" s="125" cm="1">
        <f t="array" ref="N39">+_xll.EQNXTDZ($A$1,$B39,N$1,$B$1)</f>
        <v>0</v>
      </c>
      <c r="O39" s="125" cm="1">
        <f t="array" ref="O39">+_xll.EQNXTDZ($A$1,$B39,O$1,$B$1)</f>
        <v>0</v>
      </c>
      <c r="P39" s="125" cm="1">
        <f t="array" ref="P39">+_xll.EQNXTDZ($A$1,$B39,P$1,$B$1)</f>
        <v>0</v>
      </c>
      <c r="Q39" s="125" cm="1">
        <f t="array" ref="Q39">+_xll.EQNXTDZ($A$1,$B39,Q$1,$B$1)</f>
        <v>0</v>
      </c>
      <c r="R39" s="125" cm="1">
        <f t="array" ref="R39">+_xll.EQNXTDZ($A$1,$B39,R$1,$B$1)</f>
        <v>0</v>
      </c>
      <c r="S39" s="125" cm="1">
        <f t="array" ref="S39">+_xll.EQNXTDZ($A$1,$B39,S$1,$B$1)</f>
        <v>0</v>
      </c>
      <c r="T39" s="125" cm="1">
        <f t="array" ref="T39">+_xll.EQNXTDZ($A$1,$B39,T$1,$B$1)</f>
        <v>0</v>
      </c>
      <c r="U39" s="125" cm="1">
        <f t="array" ref="U39">+_xll.EQNXTDZ($A$1,$B39,U$1,$B$1)</f>
        <v>0</v>
      </c>
      <c r="V39" s="125" cm="1">
        <f t="array" ref="V39">+_xll.EQNXTDZ($A$1,$B39,V$1,$B$1)</f>
        <v>0</v>
      </c>
      <c r="W39" s="125" cm="1">
        <f t="array" ref="W39">+_xll.EQNXTDZ($A$1,$B39,W$1,$B$1)</f>
        <v>-1.94</v>
      </c>
      <c r="X39" s="125" cm="1">
        <f t="array" ref="X39">+_xll.EQNXTDZ($A$1,$B39,X$1,$B$1)</f>
        <v>-2.62</v>
      </c>
      <c r="Y39" s="125" cm="1">
        <f t="array" ref="Y39">+_xll.EQNXTDZ($A$1,$B39,Y$1,$B$1)</f>
        <v>-0.36</v>
      </c>
      <c r="Z39" s="125" cm="1">
        <f t="array" ref="Z39">+_xll.EQNXTDZ($A$1,$B39,Z$1,$B$1)</f>
        <v>1.77</v>
      </c>
      <c r="AA39" s="125" cm="1">
        <f t="array" ref="AA39">+_xll.EQNXTDZ($A$1,$B39,AA$1,$B$1)</f>
        <v>20.59</v>
      </c>
      <c r="AB39" s="125" cm="1">
        <f t="array" ref="AB39">+_xll.EQNXTDZ($A$1,$B39,AB$1,$B$1)</f>
        <v>2.2000000000000002</v>
      </c>
      <c r="AC39" s="125" cm="1">
        <f t="array" ref="AC39">+_xll.EQNXTDZ($A$1,$B39,AC$1,$B$1)</f>
        <v>3.87</v>
      </c>
      <c r="AD39" s="125" cm="1">
        <f t="array" ref="AD39">+_xll.EQNXTDZ($A$1,$B39,AD$1,$B$1)</f>
        <v>2.88</v>
      </c>
      <c r="AE39" s="125" cm="1">
        <f t="array" ref="AE39">+_xll.EQNXTDZ($A$1,$B39,AE$1,$B$1)</f>
        <v>0</v>
      </c>
      <c r="AF39" s="125" cm="1">
        <f t="array" ref="AF39">+_xll.EQNXTDZ($A$1,$B39,AF$1,$B$1)</f>
        <v>0</v>
      </c>
      <c r="AG39" s="125" cm="1">
        <f t="array" ref="AG39">+_xll.EQNXTDZ($A$1,$B39,AG$1,$B$1)</f>
        <v>0</v>
      </c>
      <c r="AH39" s="125" cm="1">
        <f t="array" ref="AH39">+_xll.EQNXTDZ($A$1,$B39,AH$1,$B$1)</f>
        <v>0</v>
      </c>
      <c r="AI39" s="125" cm="1">
        <f t="array" ref="AI39">+_xll.EQNXTDZ($A$1,$B39,AI$1,$B$1)</f>
        <v>0</v>
      </c>
      <c r="AJ39" s="125" cm="1">
        <f t="array" ref="AJ39">+_xll.EQNXTDZ($A$1,$B39,AJ$1,$B$1)</f>
        <v>0</v>
      </c>
      <c r="AK39" s="125" cm="1">
        <f t="array" ref="AK39">+_xll.EQNXTDZ($A$1,$B39,AK$1,$B$1)</f>
        <v>0</v>
      </c>
      <c r="AL39" s="125" cm="1">
        <f t="array" ref="AL39">+_xll.EQNXTDZ($A$1,$B39,AL$1,$B$1)</f>
        <v>0</v>
      </c>
      <c r="AM39" s="125" cm="1">
        <f t="array" ref="AM39">+_xll.EQNXTDZ($A$1,$B39,AM$1,$B$1)</f>
        <v>0</v>
      </c>
      <c r="AN39" s="125" cm="1">
        <f t="array" ref="AN39">+_xll.EQNXTDZ($A$1,$B39,AN$1,$B$1)</f>
        <v>0</v>
      </c>
      <c r="AO39" s="125" cm="1">
        <f t="array" ref="AO39">+_xll.EQNXTDZ($A$1,$B39,AO$1,$B$1)</f>
        <v>0</v>
      </c>
      <c r="AP39" s="125" cm="1">
        <f t="array" ref="AP39">+_xll.EQNXTDZ($A$1,$B39,AP$1,$B$1)</f>
        <v>0</v>
      </c>
      <c r="AQ39" s="125" cm="1">
        <f t="array" ref="AQ39">+_xll.EQNXTDZ($A$1,$B39,AQ$1,$B$1)</f>
        <v>0</v>
      </c>
      <c r="AR39" s="125" cm="1">
        <f t="array" ref="AR39">+_xll.EQNXTDZ($A$1,$B39,AR$1,$B$1)</f>
        <v>0</v>
      </c>
      <c r="AS39" s="125" cm="1">
        <f t="array" ref="AS39">+_xll.EQNXTDZ($A$1,$B39,AS$1,$B$1)</f>
        <v>0</v>
      </c>
      <c r="AT39" s="125" cm="1">
        <f t="array" ref="AT39">+_xll.EQNXTDZ($A$1,$B39,AT$1,$B$1)</f>
        <v>0</v>
      </c>
      <c r="AU39" s="125" cm="1">
        <f t="array" ref="AU39">+_xll.EQNXTDZ($A$1,$B39,AU$1,$B$1)</f>
        <v>0</v>
      </c>
      <c r="AV39" s="125" cm="1">
        <f t="array" ref="AV39">+_xll.EQNXTDZ($A$1,$B39,AV$1,$B$1)</f>
        <v>0</v>
      </c>
      <c r="AW39" s="125" cm="1">
        <f t="array" ref="AW39">+_xll.EQNXTDZ($A$1,$B39,AW$1,$B$1)</f>
        <v>0</v>
      </c>
      <c r="AX39" s="125" cm="1">
        <f t="array" ref="AX39">+_xll.EQNXTDZ($A$1,$B39,AX$1,$B$1)</f>
        <v>0</v>
      </c>
      <c r="AY39" s="125" cm="1">
        <f t="array" ref="AY39">+_xll.EQNXTDZ($A$1,$B39,AY$1,$B$1)</f>
        <v>0</v>
      </c>
      <c r="AZ39" s="125" cm="1">
        <f t="array" ref="AZ39">+_xll.EQNXTDZ($A$1,$B39,AZ$1,$B$1)</f>
        <v>0</v>
      </c>
      <c r="BA39" s="125" cm="1">
        <f t="array" ref="BA39">+_xll.EQNXTDZ($A$1,$B39,BA$1,$B$1)</f>
        <v>0</v>
      </c>
      <c r="BB39" s="125" cm="1">
        <f t="array" ref="BB39">+_xll.EQNXTDZ($A$1,$B39,BB$1,$B$1)</f>
        <v>0</v>
      </c>
      <c r="BC39" s="125" cm="1">
        <f t="array" ref="BC39">+_xll.EQNXTDZ($A$1,$B39,BC$1,$B$1)</f>
        <v>0</v>
      </c>
      <c r="BD39" s="125" cm="1">
        <f t="array" ref="BD39">+_xll.EQNXTDZ($A$1,$B39,BD$1,$B$1)</f>
        <v>0</v>
      </c>
      <c r="BE39" s="125" cm="1">
        <f t="array" ref="BE39">+_xll.EQNXTDZ($A$1,$B39,BE$1,$B$1)</f>
        <v>0</v>
      </c>
      <c r="BF39" s="125" cm="1">
        <f t="array" ref="BF39">+_xll.EQNXTDZ($A$1,$B39,BF$1,$B$1)</f>
        <v>0</v>
      </c>
      <c r="BG39" s="125" cm="1">
        <f t="array" ref="BG39">+_xll.EQNXTDZ($A$1,$B39,BG$1,$B$1)</f>
        <v>0</v>
      </c>
      <c r="BH39" s="125" cm="1">
        <f t="array" ref="BH39">+_xll.EQNXTDZ($A$1,$B39,BH$1,$B$1)</f>
        <v>0</v>
      </c>
      <c r="BI39" s="125" cm="1">
        <f t="array" ref="BI39">+_xll.EQNXTDZ($A$1,$B39,BI$1,$B$1)</f>
        <v>0</v>
      </c>
      <c r="BJ39" s="125" cm="1">
        <f t="array" ref="BJ39">+_xll.EQNXTDZ($A$1,$B39,BJ$1,$B$1)</f>
        <v>0</v>
      </c>
      <c r="BK39" s="125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5" cm="1">
        <f t="array" ref="C40">+_xll.EQNXTDZ($A$1,$B40,C$1,$B$1)</f>
        <v>0</v>
      </c>
      <c r="D40" s="125" cm="1">
        <f t="array" ref="D40">+_xll.EQNXTDZ($A$1,$B40,D$1,$B$1)</f>
        <v>0</v>
      </c>
      <c r="E40" s="125" cm="1">
        <f t="array" ref="E40">+_xll.EQNXTDZ($A$1,$B40,E$1,$B$1)</f>
        <v>0</v>
      </c>
      <c r="F40" s="125" cm="1">
        <f t="array" ref="F40">+_xll.EQNXTDZ($A$1,$B40,F$1,$B$1)</f>
        <v>0</v>
      </c>
      <c r="G40" s="125" cm="1">
        <f t="array" ref="G40">+_xll.EQNXTDZ($A$1,$B40,G$1,$B$1)</f>
        <v>0</v>
      </c>
      <c r="H40" s="125" cm="1">
        <f t="array" ref="H40">+_xll.EQNXTDZ($A$1,$B40,H$1,$B$1)</f>
        <v>0</v>
      </c>
      <c r="I40" s="125" cm="1">
        <f t="array" ref="I40">+_xll.EQNXTDZ($A$1,$B40,I$1,$B$1)</f>
        <v>0</v>
      </c>
      <c r="J40" s="125" cm="1">
        <f t="array" ref="J40">+_xll.EQNXTDZ($A$1,$B40,J$1,$B$1)</f>
        <v>0</v>
      </c>
      <c r="K40" s="125" cm="1">
        <f t="array" ref="K40">+_xll.EQNXTDZ($A$1,$B40,K$1,$B$1)</f>
        <v>0</v>
      </c>
      <c r="L40" s="125" cm="1">
        <f t="array" ref="L40">+_xll.EQNXTDZ($A$1,$B40,L$1,$B$1)</f>
        <v>0</v>
      </c>
      <c r="M40" s="125" cm="1">
        <f t="array" ref="M40">+_xll.EQNXTDZ($A$1,$B40,M$1,$B$1)</f>
        <v>0</v>
      </c>
      <c r="N40" s="125" cm="1">
        <f t="array" ref="N40">+_xll.EQNXTDZ($A$1,$B40,N$1,$B$1)</f>
        <v>0</v>
      </c>
      <c r="O40" s="125" cm="1">
        <f t="array" ref="O40">+_xll.EQNXTDZ($A$1,$B40,O$1,$B$1)</f>
        <v>0</v>
      </c>
      <c r="P40" s="125" cm="1">
        <f t="array" ref="P40">+_xll.EQNXTDZ($A$1,$B40,P$1,$B$1)</f>
        <v>0</v>
      </c>
      <c r="Q40" s="125" cm="1">
        <f t="array" ref="Q40">+_xll.EQNXTDZ($A$1,$B40,Q$1,$B$1)</f>
        <v>0</v>
      </c>
      <c r="R40" s="125" cm="1">
        <f t="array" ref="R40">+_xll.EQNXTDZ($A$1,$B40,R$1,$B$1)</f>
        <v>0</v>
      </c>
      <c r="S40" s="125" cm="1">
        <f t="array" ref="S40">+_xll.EQNXTDZ($A$1,$B40,S$1,$B$1)</f>
        <v>0</v>
      </c>
      <c r="T40" s="125" cm="1">
        <f t="array" ref="T40">+_xll.EQNXTDZ($A$1,$B40,T$1,$B$1)</f>
        <v>0</v>
      </c>
      <c r="U40" s="125" cm="1">
        <f t="array" ref="U40">+_xll.EQNXTDZ($A$1,$B40,U$1,$B$1)</f>
        <v>0</v>
      </c>
      <c r="V40" s="125" cm="1">
        <f t="array" ref="V40">+_xll.EQNXTDZ($A$1,$B40,V$1,$B$1)</f>
        <v>0</v>
      </c>
      <c r="W40" s="125" cm="1">
        <f t="array" ref="W40">+_xll.EQNXTDZ($A$1,$B40,W$1,$B$1)</f>
        <v>0</v>
      </c>
      <c r="X40" s="125" cm="1">
        <f t="array" ref="X40">+_xll.EQNXTDZ($A$1,$B40,X$1,$B$1)</f>
        <v>0</v>
      </c>
      <c r="Y40" s="125" cm="1">
        <f t="array" ref="Y40">+_xll.EQNXTDZ($A$1,$B40,Y$1,$B$1)</f>
        <v>0</v>
      </c>
      <c r="Z40" s="125" cm="1">
        <f t="array" ref="Z40">+_xll.EQNXTDZ($A$1,$B40,Z$1,$B$1)</f>
        <v>0</v>
      </c>
      <c r="AA40" s="125" cm="1">
        <f t="array" ref="AA40">+_xll.EQNXTDZ($A$1,$B40,AA$1,$B$1)</f>
        <v>0</v>
      </c>
      <c r="AB40" s="125" cm="1">
        <f t="array" ref="AB40">+_xll.EQNXTDZ($A$1,$B40,AB$1,$B$1)</f>
        <v>0</v>
      </c>
      <c r="AC40" s="125" cm="1">
        <f t="array" ref="AC40">+_xll.EQNXTDZ($A$1,$B40,AC$1,$B$1)</f>
        <v>0</v>
      </c>
      <c r="AD40" s="125" cm="1">
        <f t="array" ref="AD40">+_xll.EQNXTDZ($A$1,$B40,AD$1,$B$1)</f>
        <v>0</v>
      </c>
      <c r="AE40" s="125" cm="1">
        <f t="array" ref="AE40">+_xll.EQNXTDZ($A$1,$B40,AE$1,$B$1)</f>
        <v>0</v>
      </c>
      <c r="AF40" s="125" cm="1">
        <f t="array" ref="AF40">+_xll.EQNXTDZ($A$1,$B40,AF$1,$B$1)</f>
        <v>0</v>
      </c>
      <c r="AG40" s="125" cm="1">
        <f t="array" ref="AG40">+_xll.EQNXTDZ($A$1,$B40,AG$1,$B$1)</f>
        <v>0</v>
      </c>
      <c r="AH40" s="125" cm="1">
        <f t="array" ref="AH40">+_xll.EQNXTDZ($A$1,$B40,AH$1,$B$1)</f>
        <v>0</v>
      </c>
      <c r="AI40" s="125" cm="1">
        <f t="array" ref="AI40">+_xll.EQNXTDZ($A$1,$B40,AI$1,$B$1)</f>
        <v>0</v>
      </c>
      <c r="AJ40" s="125" cm="1">
        <f t="array" ref="AJ40">+_xll.EQNXTDZ($A$1,$B40,AJ$1,$B$1)</f>
        <v>0</v>
      </c>
      <c r="AK40" s="125" cm="1">
        <f t="array" ref="AK40">+_xll.EQNXTDZ($A$1,$B40,AK$1,$B$1)</f>
        <v>0</v>
      </c>
      <c r="AL40" s="125" cm="1">
        <f t="array" ref="AL40">+_xll.EQNXTDZ($A$1,$B40,AL$1,$B$1)</f>
        <v>0</v>
      </c>
      <c r="AM40" s="125" cm="1">
        <f t="array" ref="AM40">+_xll.EQNXTDZ($A$1,$B40,AM$1,$B$1)</f>
        <v>0</v>
      </c>
      <c r="AN40" s="125" cm="1">
        <f t="array" ref="AN40">+_xll.EQNXTDZ($A$1,$B40,AN$1,$B$1)</f>
        <v>0</v>
      </c>
      <c r="AO40" s="125" cm="1">
        <f t="array" ref="AO40">+_xll.EQNXTDZ($A$1,$B40,AO$1,$B$1)</f>
        <v>0</v>
      </c>
      <c r="AP40" s="125" cm="1">
        <f t="array" ref="AP40">+_xll.EQNXTDZ($A$1,$B40,AP$1,$B$1)</f>
        <v>0</v>
      </c>
      <c r="AQ40" s="125" cm="1">
        <f t="array" ref="AQ40">+_xll.EQNXTDZ($A$1,$B40,AQ$1,$B$1)</f>
        <v>0</v>
      </c>
      <c r="AR40" s="125" cm="1">
        <f t="array" ref="AR40">+_xll.EQNXTDZ($A$1,$B40,AR$1,$B$1)</f>
        <v>0</v>
      </c>
      <c r="AS40" s="125" cm="1">
        <f t="array" ref="AS40">+_xll.EQNXTDZ($A$1,$B40,AS$1,$B$1)</f>
        <v>0</v>
      </c>
      <c r="AT40" s="125" cm="1">
        <f t="array" ref="AT40">+_xll.EQNXTDZ($A$1,$B40,AT$1,$B$1)</f>
        <v>0</v>
      </c>
      <c r="AU40" s="125" cm="1">
        <f t="array" ref="AU40">+_xll.EQNXTDZ($A$1,$B40,AU$1,$B$1)</f>
        <v>0</v>
      </c>
      <c r="AV40" s="125" cm="1">
        <f t="array" ref="AV40">+_xll.EQNXTDZ($A$1,$B40,AV$1,$B$1)</f>
        <v>0</v>
      </c>
      <c r="AW40" s="125" cm="1">
        <f t="array" ref="AW40">+_xll.EQNXTDZ($A$1,$B40,AW$1,$B$1)</f>
        <v>0</v>
      </c>
      <c r="AX40" s="125" cm="1">
        <f t="array" ref="AX40">+_xll.EQNXTDZ($A$1,$B40,AX$1,$B$1)</f>
        <v>0</v>
      </c>
      <c r="AY40" s="125" cm="1">
        <f t="array" ref="AY40">+_xll.EQNXTDZ($A$1,$B40,AY$1,$B$1)</f>
        <v>0</v>
      </c>
      <c r="AZ40" s="125" cm="1">
        <f t="array" ref="AZ40">+_xll.EQNXTDZ($A$1,$B40,AZ$1,$B$1)</f>
        <v>0</v>
      </c>
      <c r="BA40" s="125" cm="1">
        <f t="array" ref="BA40">+_xll.EQNXTDZ($A$1,$B40,BA$1,$B$1)</f>
        <v>0</v>
      </c>
      <c r="BB40" s="125" cm="1">
        <f t="array" ref="BB40">+_xll.EQNXTDZ($A$1,$B40,BB$1,$B$1)</f>
        <v>0</v>
      </c>
      <c r="BC40" s="125" cm="1">
        <f t="array" ref="BC40">+_xll.EQNXTDZ($A$1,$B40,BC$1,$B$1)</f>
        <v>0</v>
      </c>
      <c r="BD40" s="125" cm="1">
        <f t="array" ref="BD40">+_xll.EQNXTDZ($A$1,$B40,BD$1,$B$1)</f>
        <v>0</v>
      </c>
      <c r="BE40" s="125" cm="1">
        <f t="array" ref="BE40">+_xll.EQNXTDZ($A$1,$B40,BE$1,$B$1)</f>
        <v>0</v>
      </c>
      <c r="BF40" s="125" cm="1">
        <f t="array" ref="BF40">+_xll.EQNXTDZ($A$1,$B40,BF$1,$B$1)</f>
        <v>0</v>
      </c>
      <c r="BG40" s="125" cm="1">
        <f t="array" ref="BG40">+_xll.EQNXTDZ($A$1,$B40,BG$1,$B$1)</f>
        <v>0</v>
      </c>
      <c r="BH40" s="125" cm="1">
        <f t="array" ref="BH40">+_xll.EQNXTDZ($A$1,$B40,BH$1,$B$1)</f>
        <v>0</v>
      </c>
      <c r="BI40" s="125" cm="1">
        <f t="array" ref="BI40">+_xll.EQNXTDZ($A$1,$B40,BI$1,$B$1)</f>
        <v>0</v>
      </c>
      <c r="BJ40" s="125" cm="1">
        <f t="array" ref="BJ40">+_xll.EQNXTDZ($A$1,$B40,BJ$1,$B$1)</f>
        <v>0</v>
      </c>
      <c r="BK40" s="125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5" cm="1">
        <f t="array" ref="C41">+_xll.EQNXTDZ($A$1,$B41,C$1,$B$1)</f>
        <v>0</v>
      </c>
      <c r="D41" s="125" cm="1">
        <f t="array" ref="D41">+_xll.EQNXTDZ($A$1,$B41,D$1,$B$1)</f>
        <v>0</v>
      </c>
      <c r="E41" s="125" cm="1">
        <f t="array" ref="E41">+_xll.EQNXTDZ($A$1,$B41,E$1,$B$1)</f>
        <v>0</v>
      </c>
      <c r="F41" s="125" cm="1">
        <f t="array" ref="F41">+_xll.EQNXTDZ($A$1,$B41,F$1,$B$1)</f>
        <v>0</v>
      </c>
      <c r="G41" s="125" cm="1">
        <f t="array" ref="G41">+_xll.EQNXTDZ($A$1,$B41,G$1,$B$1)</f>
        <v>0</v>
      </c>
      <c r="H41" s="125" cm="1">
        <f t="array" ref="H41">+_xll.EQNXTDZ($A$1,$B41,H$1,$B$1)</f>
        <v>0</v>
      </c>
      <c r="I41" s="125" cm="1">
        <f t="array" ref="I41">+_xll.EQNXTDZ($A$1,$B41,I$1,$B$1)</f>
        <v>0</v>
      </c>
      <c r="J41" s="125" cm="1">
        <f t="array" ref="J41">+_xll.EQNXTDZ($A$1,$B41,J$1,$B$1)</f>
        <v>0</v>
      </c>
      <c r="K41" s="125" cm="1">
        <f t="array" ref="K41">+_xll.EQNXTDZ($A$1,$B41,K$1,$B$1)</f>
        <v>0</v>
      </c>
      <c r="L41" s="125" cm="1">
        <f t="array" ref="L41">+_xll.EQNXTDZ($A$1,$B41,L$1,$B$1)</f>
        <v>0</v>
      </c>
      <c r="M41" s="125" cm="1">
        <f t="array" ref="M41">+_xll.EQNXTDZ($A$1,$B41,M$1,$B$1)</f>
        <v>0</v>
      </c>
      <c r="N41" s="125" cm="1">
        <f t="array" ref="N41">+_xll.EQNXTDZ($A$1,$B41,N$1,$B$1)</f>
        <v>0</v>
      </c>
      <c r="O41" s="125" cm="1">
        <f t="array" ref="O41">+_xll.EQNXTDZ($A$1,$B41,O$1,$B$1)</f>
        <v>0</v>
      </c>
      <c r="P41" s="125" cm="1">
        <f t="array" ref="P41">+_xll.EQNXTDZ($A$1,$B41,P$1,$B$1)</f>
        <v>0</v>
      </c>
      <c r="Q41" s="125" cm="1">
        <f t="array" ref="Q41">+_xll.EQNXTDZ($A$1,$B41,Q$1,$B$1)</f>
        <v>0</v>
      </c>
      <c r="R41" s="125" cm="1">
        <f t="array" ref="R41">+_xll.EQNXTDZ($A$1,$B41,R$1,$B$1)</f>
        <v>0</v>
      </c>
      <c r="S41" s="125" cm="1">
        <f t="array" ref="S41">+_xll.EQNXTDZ($A$1,$B41,S$1,$B$1)</f>
        <v>0</v>
      </c>
      <c r="T41" s="125" cm="1">
        <f t="array" ref="T41">+_xll.EQNXTDZ($A$1,$B41,T$1,$B$1)</f>
        <v>0</v>
      </c>
      <c r="U41" s="125" cm="1">
        <f t="array" ref="U41">+_xll.EQNXTDZ($A$1,$B41,U$1,$B$1)</f>
        <v>0</v>
      </c>
      <c r="V41" s="125" cm="1">
        <f t="array" ref="V41">+_xll.EQNXTDZ($A$1,$B41,V$1,$B$1)</f>
        <v>0</v>
      </c>
      <c r="W41" s="125" cm="1">
        <f t="array" ref="W41">+_xll.EQNXTDZ($A$1,$B41,W$1,$B$1)</f>
        <v>0</v>
      </c>
      <c r="X41" s="125" cm="1">
        <f t="array" ref="X41">+_xll.EQNXTDZ($A$1,$B41,X$1,$B$1)</f>
        <v>0</v>
      </c>
      <c r="Y41" s="125" cm="1">
        <f t="array" ref="Y41">+_xll.EQNXTDZ($A$1,$B41,Y$1,$B$1)</f>
        <v>0</v>
      </c>
      <c r="Z41" s="125" cm="1">
        <f t="array" ref="Z41">+_xll.EQNXTDZ($A$1,$B41,Z$1,$B$1)</f>
        <v>0</v>
      </c>
      <c r="AA41" s="125" cm="1">
        <f t="array" ref="AA41">+_xll.EQNXTDZ($A$1,$B41,AA$1,$B$1)</f>
        <v>0</v>
      </c>
      <c r="AB41" s="125" cm="1">
        <f t="array" ref="AB41">+_xll.EQNXTDZ($A$1,$B41,AB$1,$B$1)</f>
        <v>0</v>
      </c>
      <c r="AC41" s="125" cm="1">
        <f t="array" ref="AC41">+_xll.EQNXTDZ($A$1,$B41,AC$1,$B$1)</f>
        <v>0</v>
      </c>
      <c r="AD41" s="125" cm="1">
        <f t="array" ref="AD41">+_xll.EQNXTDZ($A$1,$B41,AD$1,$B$1)</f>
        <v>0</v>
      </c>
      <c r="AE41" s="125" cm="1">
        <f t="array" ref="AE41">+_xll.EQNXTDZ($A$1,$B41,AE$1,$B$1)</f>
        <v>0</v>
      </c>
      <c r="AF41" s="125" cm="1">
        <f t="array" ref="AF41">+_xll.EQNXTDZ($A$1,$B41,AF$1,$B$1)</f>
        <v>0</v>
      </c>
      <c r="AG41" s="125" cm="1">
        <f t="array" ref="AG41">+_xll.EQNXTDZ($A$1,$B41,AG$1,$B$1)</f>
        <v>0</v>
      </c>
      <c r="AH41" s="125" cm="1">
        <f t="array" ref="AH41">+_xll.EQNXTDZ($A$1,$B41,AH$1,$B$1)</f>
        <v>0</v>
      </c>
      <c r="AI41" s="125" cm="1">
        <f t="array" ref="AI41">+_xll.EQNXTDZ($A$1,$B41,AI$1,$B$1)</f>
        <v>0</v>
      </c>
      <c r="AJ41" s="125" cm="1">
        <f t="array" ref="AJ41">+_xll.EQNXTDZ($A$1,$B41,AJ$1,$B$1)</f>
        <v>0</v>
      </c>
      <c r="AK41" s="125" cm="1">
        <f t="array" ref="AK41">+_xll.EQNXTDZ($A$1,$B41,AK$1,$B$1)</f>
        <v>0</v>
      </c>
      <c r="AL41" s="125" cm="1">
        <f t="array" ref="AL41">+_xll.EQNXTDZ($A$1,$B41,AL$1,$B$1)</f>
        <v>0</v>
      </c>
      <c r="AM41" s="125" cm="1">
        <f t="array" ref="AM41">+_xll.EQNXTDZ($A$1,$B41,AM$1,$B$1)</f>
        <v>0</v>
      </c>
      <c r="AN41" s="125" cm="1">
        <f t="array" ref="AN41">+_xll.EQNXTDZ($A$1,$B41,AN$1,$B$1)</f>
        <v>0</v>
      </c>
      <c r="AO41" s="125" cm="1">
        <f t="array" ref="AO41">+_xll.EQNXTDZ($A$1,$B41,AO$1,$B$1)</f>
        <v>0</v>
      </c>
      <c r="AP41" s="125" cm="1">
        <f t="array" ref="AP41">+_xll.EQNXTDZ($A$1,$B41,AP$1,$B$1)</f>
        <v>0</v>
      </c>
      <c r="AQ41" s="125" cm="1">
        <f t="array" ref="AQ41">+_xll.EQNXTDZ($A$1,$B41,AQ$1,$B$1)</f>
        <v>0</v>
      </c>
      <c r="AR41" s="125" cm="1">
        <f t="array" ref="AR41">+_xll.EQNXTDZ($A$1,$B41,AR$1,$B$1)</f>
        <v>0</v>
      </c>
      <c r="AS41" s="125" cm="1">
        <f t="array" ref="AS41">+_xll.EQNXTDZ($A$1,$B41,AS$1,$B$1)</f>
        <v>0</v>
      </c>
      <c r="AT41" s="125" cm="1">
        <f t="array" ref="AT41">+_xll.EQNXTDZ($A$1,$B41,AT$1,$B$1)</f>
        <v>0</v>
      </c>
      <c r="AU41" s="125" cm="1">
        <f t="array" ref="AU41">+_xll.EQNXTDZ($A$1,$B41,AU$1,$B$1)</f>
        <v>0</v>
      </c>
      <c r="AV41" s="125" cm="1">
        <f t="array" ref="AV41">+_xll.EQNXTDZ($A$1,$B41,AV$1,$B$1)</f>
        <v>0</v>
      </c>
      <c r="AW41" s="125" cm="1">
        <f t="array" ref="AW41">+_xll.EQNXTDZ($A$1,$B41,AW$1,$B$1)</f>
        <v>0</v>
      </c>
      <c r="AX41" s="125" cm="1">
        <f t="array" ref="AX41">+_xll.EQNXTDZ($A$1,$B41,AX$1,$B$1)</f>
        <v>0</v>
      </c>
      <c r="AY41" s="125" cm="1">
        <f t="array" ref="AY41">+_xll.EQNXTDZ($A$1,$B41,AY$1,$B$1)</f>
        <v>0</v>
      </c>
      <c r="AZ41" s="125" cm="1">
        <f t="array" ref="AZ41">+_xll.EQNXTDZ($A$1,$B41,AZ$1,$B$1)</f>
        <v>0</v>
      </c>
      <c r="BA41" s="125" cm="1">
        <f t="array" ref="BA41">+_xll.EQNXTDZ($A$1,$B41,BA$1,$B$1)</f>
        <v>0</v>
      </c>
      <c r="BB41" s="125" cm="1">
        <f t="array" ref="BB41">+_xll.EQNXTDZ($A$1,$B41,BB$1,$B$1)</f>
        <v>0</v>
      </c>
      <c r="BC41" s="125" cm="1">
        <f t="array" ref="BC41">+_xll.EQNXTDZ($A$1,$B41,BC$1,$B$1)</f>
        <v>0</v>
      </c>
      <c r="BD41" s="125" cm="1">
        <f t="array" ref="BD41">+_xll.EQNXTDZ($A$1,$B41,BD$1,$B$1)</f>
        <v>0</v>
      </c>
      <c r="BE41" s="125" cm="1">
        <f t="array" ref="BE41">+_xll.EQNXTDZ($A$1,$B41,BE$1,$B$1)</f>
        <v>0</v>
      </c>
      <c r="BF41" s="125" cm="1">
        <f t="array" ref="BF41">+_xll.EQNXTDZ($A$1,$B41,BF$1,$B$1)</f>
        <v>0</v>
      </c>
      <c r="BG41" s="125" cm="1">
        <f t="array" ref="BG41">+_xll.EQNXTDZ($A$1,$B41,BG$1,$B$1)</f>
        <v>0</v>
      </c>
      <c r="BH41" s="125" cm="1">
        <f t="array" ref="BH41">+_xll.EQNXTDZ($A$1,$B41,BH$1,$B$1)</f>
        <v>0</v>
      </c>
      <c r="BI41" s="125" cm="1">
        <f t="array" ref="BI41">+_xll.EQNXTDZ($A$1,$B41,BI$1,$B$1)</f>
        <v>0</v>
      </c>
      <c r="BJ41" s="125" cm="1">
        <f t="array" ref="BJ41">+_xll.EQNXTDZ($A$1,$B41,BJ$1,$B$1)</f>
        <v>0</v>
      </c>
      <c r="BK41" s="125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5" cm="1">
        <f t="array" ref="C42">+_xll.EQNXTDZ($A$1,$B42,C$1,$B$1)</f>
        <v>0</v>
      </c>
      <c r="D42" s="125" cm="1">
        <f t="array" ref="D42">+_xll.EQNXTDZ($A$1,$B42,D$1,$B$1)</f>
        <v>0</v>
      </c>
      <c r="E42" s="125" cm="1">
        <f t="array" ref="E42">+_xll.EQNXTDZ($A$1,$B42,E$1,$B$1)</f>
        <v>0</v>
      </c>
      <c r="F42" s="125" cm="1">
        <f t="array" ref="F42">+_xll.EQNXTDZ($A$1,$B42,F$1,$B$1)</f>
        <v>0</v>
      </c>
      <c r="G42" s="125" cm="1">
        <f t="array" ref="G42">+_xll.EQNXTDZ($A$1,$B42,G$1,$B$1)</f>
        <v>0</v>
      </c>
      <c r="H42" s="125" cm="1">
        <f t="array" ref="H42">+_xll.EQNXTDZ($A$1,$B42,H$1,$B$1)</f>
        <v>0</v>
      </c>
      <c r="I42" s="125" cm="1">
        <f t="array" ref="I42">+_xll.EQNXTDZ($A$1,$B42,I$1,$B$1)</f>
        <v>0</v>
      </c>
      <c r="J42" s="125" cm="1">
        <f t="array" ref="J42">+_xll.EQNXTDZ($A$1,$B42,J$1,$B$1)</f>
        <v>0</v>
      </c>
      <c r="K42" s="125" cm="1">
        <f t="array" ref="K42">+_xll.EQNXTDZ($A$1,$B42,K$1,$B$1)</f>
        <v>0</v>
      </c>
      <c r="L42" s="125" cm="1">
        <f t="array" ref="L42">+_xll.EQNXTDZ($A$1,$B42,L$1,$B$1)</f>
        <v>0</v>
      </c>
      <c r="M42" s="125" cm="1">
        <f t="array" ref="M42">+_xll.EQNXTDZ($A$1,$B42,M$1,$B$1)</f>
        <v>-1.3</v>
      </c>
      <c r="N42" s="125" cm="1">
        <f t="array" ref="N42">+_xll.EQNXTDZ($A$1,$B42,N$1,$B$1)</f>
        <v>-0.42</v>
      </c>
      <c r="O42" s="125" cm="1">
        <f t="array" ref="O42">+_xll.EQNXTDZ($A$1,$B42,O$1,$B$1)</f>
        <v>1.32</v>
      </c>
      <c r="P42" s="125" cm="1">
        <f t="array" ref="P42">+_xll.EQNXTDZ($A$1,$B42,P$1,$B$1)</f>
        <v>22.28</v>
      </c>
      <c r="Q42" s="125" cm="1">
        <f t="array" ref="Q42">+_xll.EQNXTDZ($A$1,$B42,Q$1,$B$1)</f>
        <v>-9.0299999999999994</v>
      </c>
      <c r="R42" s="125" cm="1">
        <f t="array" ref="R42">+_xll.EQNXTDZ($A$1,$B42,R$1,$B$1)</f>
        <v>-11.35</v>
      </c>
      <c r="S42" s="125" cm="1">
        <f t="array" ref="S42">+_xll.EQNXTDZ($A$1,$B42,S$1,$B$1)</f>
        <v>-11.83</v>
      </c>
      <c r="T42" s="125" cm="1">
        <f t="array" ref="T42">+_xll.EQNXTDZ($A$1,$B42,T$1,$B$1)</f>
        <v>-3.68</v>
      </c>
      <c r="U42" s="125" cm="1">
        <f t="array" ref="U42">+_xll.EQNXTDZ($A$1,$B42,U$1,$B$1)</f>
        <v>-4.12</v>
      </c>
      <c r="V42" s="125" cm="1">
        <f t="array" ref="V42">+_xll.EQNXTDZ($A$1,$B42,V$1,$B$1)</f>
        <v>3.46</v>
      </c>
      <c r="W42" s="125" cm="1">
        <f t="array" ref="W42">+_xll.EQNXTDZ($A$1,$B42,W$1,$B$1)</f>
        <v>-23.01</v>
      </c>
      <c r="X42" s="125" cm="1">
        <f t="array" ref="X42">+_xll.EQNXTDZ($A$1,$B42,X$1,$B$1)</f>
        <v>8.6300000000000008</v>
      </c>
      <c r="Y42" s="125" cm="1">
        <f t="array" ref="Y42">+_xll.EQNXTDZ($A$1,$B42,Y$1,$B$1)</f>
        <v>-12.57</v>
      </c>
      <c r="Z42" s="125" cm="1">
        <f t="array" ref="Z42">+_xll.EQNXTDZ($A$1,$B42,Z$1,$B$1)</f>
        <v>0.22</v>
      </c>
      <c r="AA42" s="125" cm="1">
        <f t="array" ref="AA42">+_xll.EQNXTDZ($A$1,$B42,AA$1,$B$1)</f>
        <v>35.979999999999997</v>
      </c>
      <c r="AB42" s="125" cm="1">
        <f t="array" ref="AB42">+_xll.EQNXTDZ($A$1,$B42,AB$1,$B$1)</f>
        <v>-0.68</v>
      </c>
      <c r="AC42" s="125" cm="1">
        <f t="array" ref="AC42">+_xll.EQNXTDZ($A$1,$B42,AC$1,$B$1)</f>
        <v>-8.9600000000000009</v>
      </c>
      <c r="AD42" s="125" cm="1">
        <f t="array" ref="AD42">+_xll.EQNXTDZ($A$1,$B42,AD$1,$B$1)</f>
        <v>2.12</v>
      </c>
      <c r="AE42" s="125" cm="1">
        <f t="array" ref="AE42">+_xll.EQNXTDZ($A$1,$B42,AE$1,$B$1)</f>
        <v>-77.849999999999994</v>
      </c>
      <c r="AF42" s="125" cm="1">
        <f t="array" ref="AF42">+_xll.EQNXTDZ($A$1,$B42,AF$1,$B$1)</f>
        <v>27.46</v>
      </c>
      <c r="AG42" s="125" cm="1">
        <f t="array" ref="AG42">+_xll.EQNXTDZ($A$1,$B42,AG$1,$B$1)</f>
        <v>-23.58</v>
      </c>
      <c r="AH42" s="125" cm="1">
        <f t="array" ref="AH42">+_xll.EQNXTDZ($A$1,$B42,AH$1,$B$1)</f>
        <v>-6.17</v>
      </c>
      <c r="AI42" s="125" cm="1">
        <f t="array" ref="AI42">+_xll.EQNXTDZ($A$1,$B42,AI$1,$B$1)</f>
        <v>10.7</v>
      </c>
      <c r="AJ42" s="125" cm="1">
        <f t="array" ref="AJ42">+_xll.EQNXTDZ($A$1,$B42,AJ$1,$B$1)</f>
        <v>-11.24</v>
      </c>
      <c r="AK42" s="125" cm="1">
        <f t="array" ref="AK42">+_xll.EQNXTDZ($A$1,$B42,AK$1,$B$1)</f>
        <v>-5.03</v>
      </c>
      <c r="AL42" s="125" cm="1">
        <f t="array" ref="AL42">+_xll.EQNXTDZ($A$1,$B42,AL$1,$B$1)</f>
        <v>11.07</v>
      </c>
      <c r="AM42" s="125" cm="1">
        <f t="array" ref="AM42">+_xll.EQNXTDZ($A$1,$B42,AM$1,$B$1)</f>
        <v>-9.51</v>
      </c>
      <c r="AN42" s="125" cm="1">
        <f t="array" ref="AN42">+_xll.EQNXTDZ($A$1,$B42,AN$1,$B$1)</f>
        <v>-14.52</v>
      </c>
      <c r="AO42" s="125" cm="1">
        <f t="array" ref="AO42">+_xll.EQNXTDZ($A$1,$B42,AO$1,$B$1)</f>
        <v>-7.94</v>
      </c>
      <c r="AP42" s="125" cm="1">
        <f t="array" ref="AP42">+_xll.EQNXTDZ($A$1,$B42,AP$1,$B$1)</f>
        <v>7.89</v>
      </c>
      <c r="AQ42" s="125" cm="1">
        <f t="array" ref="AQ42">+_xll.EQNXTDZ($A$1,$B42,AQ$1,$B$1)</f>
        <v>-12.62</v>
      </c>
      <c r="AR42" s="125" cm="1">
        <f t="array" ref="AR42">+_xll.EQNXTDZ($A$1,$B42,AR$1,$B$1)</f>
        <v>-2.79</v>
      </c>
      <c r="AS42" s="125" cm="1">
        <f t="array" ref="AS42">+_xll.EQNXTDZ($A$1,$B42,AS$1,$B$1)</f>
        <v>2.6</v>
      </c>
      <c r="AT42" s="125" cm="1">
        <f t="array" ref="AT42">+_xll.EQNXTDZ($A$1,$B42,AT$1,$B$1)</f>
        <v>2.63</v>
      </c>
      <c r="AU42" s="125" cm="1">
        <f t="array" ref="AU42">+_xll.EQNXTDZ($A$1,$B42,AU$1,$B$1)</f>
        <v>48.69</v>
      </c>
      <c r="AV42" s="125" cm="1">
        <f t="array" ref="AV42">+_xll.EQNXTDZ($A$1,$B42,AV$1,$B$1)</f>
        <v>0</v>
      </c>
      <c r="AW42" s="125" cm="1">
        <f t="array" ref="AW42">+_xll.EQNXTDZ($A$1,$B42,AW$1,$B$1)</f>
        <v>0</v>
      </c>
      <c r="AX42" s="125" cm="1">
        <f t="array" ref="AX42">+_xll.EQNXTDZ($A$1,$B42,AX$1,$B$1)</f>
        <v>0</v>
      </c>
      <c r="AY42" s="125" cm="1">
        <f t="array" ref="AY42">+_xll.EQNXTDZ($A$1,$B42,AY$1,$B$1)</f>
        <v>0</v>
      </c>
      <c r="AZ42" s="125" cm="1">
        <f t="array" ref="AZ42">+_xll.EQNXTDZ($A$1,$B42,AZ$1,$B$1)</f>
        <v>0</v>
      </c>
      <c r="BA42" s="125" cm="1">
        <f t="array" ref="BA42">+_xll.EQNXTDZ($A$1,$B42,BA$1,$B$1)</f>
        <v>0</v>
      </c>
      <c r="BB42" s="125" cm="1">
        <f t="array" ref="BB42">+_xll.EQNXTDZ($A$1,$B42,BB$1,$B$1)</f>
        <v>0</v>
      </c>
      <c r="BC42" s="125" cm="1">
        <f t="array" ref="BC42">+_xll.EQNXTDZ($A$1,$B42,BC$1,$B$1)</f>
        <v>0</v>
      </c>
      <c r="BD42" s="125" cm="1">
        <f t="array" ref="BD42">+_xll.EQNXTDZ($A$1,$B42,BD$1,$B$1)</f>
        <v>0</v>
      </c>
      <c r="BE42" s="125" cm="1">
        <f t="array" ref="BE42">+_xll.EQNXTDZ($A$1,$B42,BE$1,$B$1)</f>
        <v>0</v>
      </c>
      <c r="BF42" s="125" cm="1">
        <f t="array" ref="BF42">+_xll.EQNXTDZ($A$1,$B42,BF$1,$B$1)</f>
        <v>0</v>
      </c>
      <c r="BG42" s="125" cm="1">
        <f t="array" ref="BG42">+_xll.EQNXTDZ($A$1,$B42,BG$1,$B$1)</f>
        <v>0</v>
      </c>
      <c r="BH42" s="125" cm="1">
        <f t="array" ref="BH42">+_xll.EQNXTDZ($A$1,$B42,BH$1,$B$1)</f>
        <v>0</v>
      </c>
      <c r="BI42" s="125" cm="1">
        <f t="array" ref="BI42">+_xll.EQNXTDZ($A$1,$B42,BI$1,$B$1)</f>
        <v>0</v>
      </c>
      <c r="BJ42" s="125" cm="1">
        <f t="array" ref="BJ42">+_xll.EQNXTDZ($A$1,$B42,BJ$1,$B$1)</f>
        <v>0</v>
      </c>
      <c r="BK42" s="125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5" cm="1">
        <f t="array" ref="C43">+_xll.EQNXTDZ($A$1,$B43,C$1,$B$1)</f>
        <v>0</v>
      </c>
      <c r="D43" s="125" cm="1">
        <f t="array" ref="D43">+_xll.EQNXTDZ($A$1,$B43,D$1,$B$1)</f>
        <v>0</v>
      </c>
      <c r="E43" s="125" cm="1">
        <f t="array" ref="E43">+_xll.EQNXTDZ($A$1,$B43,E$1,$B$1)</f>
        <v>0</v>
      </c>
      <c r="F43" s="125" cm="1">
        <f t="array" ref="F43">+_xll.EQNXTDZ($A$1,$B43,F$1,$B$1)</f>
        <v>0</v>
      </c>
      <c r="G43" s="125" cm="1">
        <f t="array" ref="G43">+_xll.EQNXTDZ($A$1,$B43,G$1,$B$1)</f>
        <v>0</v>
      </c>
      <c r="H43" s="125" cm="1">
        <f t="array" ref="H43">+_xll.EQNXTDZ($A$1,$B43,H$1,$B$1)</f>
        <v>0</v>
      </c>
      <c r="I43" s="125" cm="1">
        <f t="array" ref="I43">+_xll.EQNXTDZ($A$1,$B43,I$1,$B$1)</f>
        <v>0</v>
      </c>
      <c r="J43" s="125" cm="1">
        <f t="array" ref="J43">+_xll.EQNXTDZ($A$1,$B43,J$1,$B$1)</f>
        <v>0</v>
      </c>
      <c r="K43" s="125" cm="1">
        <f t="array" ref="K43">+_xll.EQNXTDZ($A$1,$B43,K$1,$B$1)</f>
        <v>0</v>
      </c>
      <c r="L43" s="125" cm="1">
        <f t="array" ref="L43">+_xll.EQNXTDZ($A$1,$B43,L$1,$B$1)</f>
        <v>0</v>
      </c>
      <c r="M43" s="125" cm="1">
        <f t="array" ref="M43">+_xll.EQNXTDZ($A$1,$B43,M$1,$B$1)</f>
        <v>0</v>
      </c>
      <c r="N43" s="125" cm="1">
        <f t="array" ref="N43">+_xll.EQNXTDZ($A$1,$B43,N$1,$B$1)</f>
        <v>0</v>
      </c>
      <c r="O43" s="125" cm="1">
        <f t="array" ref="O43">+_xll.EQNXTDZ($A$1,$B43,O$1,$B$1)</f>
        <v>0</v>
      </c>
      <c r="P43" s="125" cm="1">
        <f t="array" ref="P43">+_xll.EQNXTDZ($A$1,$B43,P$1,$B$1)</f>
        <v>0</v>
      </c>
      <c r="Q43" s="125" cm="1">
        <f t="array" ref="Q43">+_xll.EQNXTDZ($A$1,$B43,Q$1,$B$1)</f>
        <v>0</v>
      </c>
      <c r="R43" s="125" cm="1">
        <f t="array" ref="R43">+_xll.EQNXTDZ($A$1,$B43,R$1,$B$1)</f>
        <v>0</v>
      </c>
      <c r="S43" s="125" cm="1">
        <f t="array" ref="S43">+_xll.EQNXTDZ($A$1,$B43,S$1,$B$1)</f>
        <v>0</v>
      </c>
      <c r="T43" s="125" cm="1">
        <f t="array" ref="T43">+_xll.EQNXTDZ($A$1,$B43,T$1,$B$1)</f>
        <v>0</v>
      </c>
      <c r="U43" s="125" cm="1">
        <f t="array" ref="U43">+_xll.EQNXTDZ($A$1,$B43,U$1,$B$1)</f>
        <v>-0.01</v>
      </c>
      <c r="V43" s="125" cm="1">
        <f t="array" ref="V43">+_xll.EQNXTDZ($A$1,$B43,V$1,$B$1)</f>
        <v>0</v>
      </c>
      <c r="W43" s="125" cm="1">
        <f t="array" ref="W43">+_xll.EQNXTDZ($A$1,$B43,W$1,$B$1)</f>
        <v>0.01</v>
      </c>
      <c r="X43" s="125" cm="1">
        <f t="array" ref="X43">+_xll.EQNXTDZ($A$1,$B43,X$1,$B$1)</f>
        <v>-0.01</v>
      </c>
      <c r="Y43" s="125" cm="1">
        <f t="array" ref="Y43">+_xll.EQNXTDZ($A$1,$B43,Y$1,$B$1)</f>
        <v>0.01</v>
      </c>
      <c r="Z43" s="125" cm="1">
        <f t="array" ref="Z43">+_xll.EQNXTDZ($A$1,$B43,Z$1,$B$1)</f>
        <v>0.01</v>
      </c>
      <c r="AA43" s="125" cm="1">
        <f t="array" ref="AA43">+_xll.EQNXTDZ($A$1,$B43,AA$1,$B$1)</f>
        <v>-0.88</v>
      </c>
      <c r="AB43" s="125" cm="1">
        <f t="array" ref="AB43">+_xll.EQNXTDZ($A$1,$B43,AB$1,$B$1)</f>
        <v>-0.02</v>
      </c>
      <c r="AC43" s="125" cm="1">
        <f t="array" ref="AC43">+_xll.EQNXTDZ($A$1,$B43,AC$1,$B$1)</f>
        <v>-0.01</v>
      </c>
      <c r="AD43" s="125" cm="1">
        <f t="array" ref="AD43">+_xll.EQNXTDZ($A$1,$B43,AD$1,$B$1)</f>
        <v>-0.04</v>
      </c>
      <c r="AE43" s="125" cm="1">
        <f t="array" ref="AE43">+_xll.EQNXTDZ($A$1,$B43,AE$1,$B$1)</f>
        <v>0</v>
      </c>
      <c r="AF43" s="125" cm="1">
        <f t="array" ref="AF43">+_xll.EQNXTDZ($A$1,$B43,AF$1,$B$1)</f>
        <v>0</v>
      </c>
      <c r="AG43" s="125" cm="1">
        <f t="array" ref="AG43">+_xll.EQNXTDZ($A$1,$B43,AG$1,$B$1)</f>
        <v>0</v>
      </c>
      <c r="AH43" s="125" cm="1">
        <f t="array" ref="AH43">+_xll.EQNXTDZ($A$1,$B43,AH$1,$B$1)</f>
        <v>0</v>
      </c>
      <c r="AI43" s="125" cm="1">
        <f t="array" ref="AI43">+_xll.EQNXTDZ($A$1,$B43,AI$1,$B$1)</f>
        <v>0</v>
      </c>
      <c r="AJ43" s="125" cm="1">
        <f t="array" ref="AJ43">+_xll.EQNXTDZ($A$1,$B43,AJ$1,$B$1)</f>
        <v>0</v>
      </c>
      <c r="AK43" s="125" cm="1">
        <f t="array" ref="AK43">+_xll.EQNXTDZ($A$1,$B43,AK$1,$B$1)</f>
        <v>0</v>
      </c>
      <c r="AL43" s="125" cm="1">
        <f t="array" ref="AL43">+_xll.EQNXTDZ($A$1,$B43,AL$1,$B$1)</f>
        <v>0</v>
      </c>
      <c r="AM43" s="125" cm="1">
        <f t="array" ref="AM43">+_xll.EQNXTDZ($A$1,$B43,AM$1,$B$1)</f>
        <v>0</v>
      </c>
      <c r="AN43" s="125" cm="1">
        <f t="array" ref="AN43">+_xll.EQNXTDZ($A$1,$B43,AN$1,$B$1)</f>
        <v>0</v>
      </c>
      <c r="AO43" s="125" cm="1">
        <f t="array" ref="AO43">+_xll.EQNXTDZ($A$1,$B43,AO$1,$B$1)</f>
        <v>0</v>
      </c>
      <c r="AP43" s="125" cm="1">
        <f t="array" ref="AP43">+_xll.EQNXTDZ($A$1,$B43,AP$1,$B$1)</f>
        <v>0</v>
      </c>
      <c r="AQ43" s="125" cm="1">
        <f t="array" ref="AQ43">+_xll.EQNXTDZ($A$1,$B43,AQ$1,$B$1)</f>
        <v>0</v>
      </c>
      <c r="AR43" s="125" cm="1">
        <f t="array" ref="AR43">+_xll.EQNXTDZ($A$1,$B43,AR$1,$B$1)</f>
        <v>0</v>
      </c>
      <c r="AS43" s="125" cm="1">
        <f t="array" ref="AS43">+_xll.EQNXTDZ($A$1,$B43,AS$1,$B$1)</f>
        <v>0</v>
      </c>
      <c r="AT43" s="125" cm="1">
        <f t="array" ref="AT43">+_xll.EQNXTDZ($A$1,$B43,AT$1,$B$1)</f>
        <v>0</v>
      </c>
      <c r="AU43" s="125" cm="1">
        <f t="array" ref="AU43">+_xll.EQNXTDZ($A$1,$B43,AU$1,$B$1)</f>
        <v>0</v>
      </c>
      <c r="AV43" s="125" cm="1">
        <f t="array" ref="AV43">+_xll.EQNXTDZ($A$1,$B43,AV$1,$B$1)</f>
        <v>0</v>
      </c>
      <c r="AW43" s="125" cm="1">
        <f t="array" ref="AW43">+_xll.EQNXTDZ($A$1,$B43,AW$1,$B$1)</f>
        <v>0</v>
      </c>
      <c r="AX43" s="125" cm="1">
        <f t="array" ref="AX43">+_xll.EQNXTDZ($A$1,$B43,AX$1,$B$1)</f>
        <v>0</v>
      </c>
      <c r="AY43" s="125" cm="1">
        <f t="array" ref="AY43">+_xll.EQNXTDZ($A$1,$B43,AY$1,$B$1)</f>
        <v>0</v>
      </c>
      <c r="AZ43" s="125" cm="1">
        <f t="array" ref="AZ43">+_xll.EQNXTDZ($A$1,$B43,AZ$1,$B$1)</f>
        <v>0</v>
      </c>
      <c r="BA43" s="125" cm="1">
        <f t="array" ref="BA43">+_xll.EQNXTDZ($A$1,$B43,BA$1,$B$1)</f>
        <v>0</v>
      </c>
      <c r="BB43" s="125" cm="1">
        <f t="array" ref="BB43">+_xll.EQNXTDZ($A$1,$B43,BB$1,$B$1)</f>
        <v>0</v>
      </c>
      <c r="BC43" s="125" cm="1">
        <f t="array" ref="BC43">+_xll.EQNXTDZ($A$1,$B43,BC$1,$B$1)</f>
        <v>0</v>
      </c>
      <c r="BD43" s="125" cm="1">
        <f t="array" ref="BD43">+_xll.EQNXTDZ($A$1,$B43,BD$1,$B$1)</f>
        <v>0</v>
      </c>
      <c r="BE43" s="125" cm="1">
        <f t="array" ref="BE43">+_xll.EQNXTDZ($A$1,$B43,BE$1,$B$1)</f>
        <v>0</v>
      </c>
      <c r="BF43" s="125" cm="1">
        <f t="array" ref="BF43">+_xll.EQNXTDZ($A$1,$B43,BF$1,$B$1)</f>
        <v>0</v>
      </c>
      <c r="BG43" s="125" cm="1">
        <f t="array" ref="BG43">+_xll.EQNXTDZ($A$1,$B43,BG$1,$B$1)</f>
        <v>0</v>
      </c>
      <c r="BH43" s="125" cm="1">
        <f t="array" ref="BH43">+_xll.EQNXTDZ($A$1,$B43,BH$1,$B$1)</f>
        <v>0</v>
      </c>
      <c r="BI43" s="125" cm="1">
        <f t="array" ref="BI43">+_xll.EQNXTDZ($A$1,$B43,BI$1,$B$1)</f>
        <v>0</v>
      </c>
      <c r="BJ43" s="125" cm="1">
        <f t="array" ref="BJ43">+_xll.EQNXTDZ($A$1,$B43,BJ$1,$B$1)</f>
        <v>0</v>
      </c>
      <c r="BK43" s="125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5" cm="1">
        <f t="array" ref="C44">+_xll.EQNXTDZ($A$1,$B44,C$1,$B$1)</f>
        <v>0</v>
      </c>
      <c r="D44" s="125" cm="1">
        <f t="array" ref="D44">+_xll.EQNXTDZ($A$1,$B44,D$1,$B$1)</f>
        <v>0</v>
      </c>
      <c r="E44" s="125" cm="1">
        <f t="array" ref="E44">+_xll.EQNXTDZ($A$1,$B44,E$1,$B$1)</f>
        <v>0</v>
      </c>
      <c r="F44" s="125" cm="1">
        <f t="array" ref="F44">+_xll.EQNXTDZ($A$1,$B44,F$1,$B$1)</f>
        <v>0</v>
      </c>
      <c r="G44" s="125" cm="1">
        <f t="array" ref="G44">+_xll.EQNXTDZ($A$1,$B44,G$1,$B$1)</f>
        <v>0</v>
      </c>
      <c r="H44" s="125" cm="1">
        <f t="array" ref="H44">+_xll.EQNXTDZ($A$1,$B44,H$1,$B$1)</f>
        <v>0</v>
      </c>
      <c r="I44" s="125" cm="1">
        <f t="array" ref="I44">+_xll.EQNXTDZ($A$1,$B44,I$1,$B$1)</f>
        <v>0</v>
      </c>
      <c r="J44" s="125" cm="1">
        <f t="array" ref="J44">+_xll.EQNXTDZ($A$1,$B44,J$1,$B$1)</f>
        <v>0</v>
      </c>
      <c r="K44" s="125" cm="1">
        <f t="array" ref="K44">+_xll.EQNXTDZ($A$1,$B44,K$1,$B$1)</f>
        <v>0</v>
      </c>
      <c r="L44" s="125" cm="1">
        <f t="array" ref="L44">+_xll.EQNXTDZ($A$1,$B44,L$1,$B$1)</f>
        <v>0</v>
      </c>
      <c r="M44" s="125" cm="1">
        <f t="array" ref="M44">+_xll.EQNXTDZ($A$1,$B44,M$1,$B$1)</f>
        <v>59.73</v>
      </c>
      <c r="N44" s="125" cm="1">
        <f t="array" ref="N44">+_xll.EQNXTDZ($A$1,$B44,N$1,$B$1)</f>
        <v>63.94</v>
      </c>
      <c r="O44" s="125" cm="1">
        <f t="array" ref="O44">+_xll.EQNXTDZ($A$1,$B44,O$1,$B$1)</f>
        <v>73.03</v>
      </c>
      <c r="P44" s="125" cm="1">
        <f t="array" ref="P44">+_xll.EQNXTDZ($A$1,$B44,P$1,$B$1)</f>
        <v>94.5</v>
      </c>
      <c r="Q44" s="125" cm="1">
        <f t="array" ref="Q44">+_xll.EQNXTDZ($A$1,$B44,Q$1,$B$1)</f>
        <v>64.430000000000007</v>
      </c>
      <c r="R44" s="125" cm="1">
        <f t="array" ref="R44">+_xll.EQNXTDZ($A$1,$B44,R$1,$B$1)</f>
        <v>88.39</v>
      </c>
      <c r="S44" s="125" cm="1">
        <f t="array" ref="S44">+_xll.EQNXTDZ($A$1,$B44,S$1,$B$1)</f>
        <v>64.48</v>
      </c>
      <c r="T44" s="125" cm="1">
        <f t="array" ref="T44">+_xll.EQNXTDZ($A$1,$B44,T$1,$B$1)</f>
        <v>92.15</v>
      </c>
      <c r="U44" s="125" cm="1">
        <f t="array" ref="U44">+_xll.EQNXTDZ($A$1,$B44,U$1,$B$1)</f>
        <v>96.75</v>
      </c>
      <c r="V44" s="125" cm="1">
        <f t="array" ref="V44">+_xll.EQNXTDZ($A$1,$B44,V$1,$B$1)</f>
        <v>111.45</v>
      </c>
      <c r="W44" s="125" cm="1">
        <f t="array" ref="W44">+_xll.EQNXTDZ($A$1,$B44,W$1,$B$1)</f>
        <v>5.83</v>
      </c>
      <c r="X44" s="125" cm="1">
        <f t="array" ref="X44">+_xll.EQNXTDZ($A$1,$B44,X$1,$B$1)</f>
        <v>80.62</v>
      </c>
      <c r="Y44" s="125" cm="1">
        <f t="array" ref="Y44">+_xll.EQNXTDZ($A$1,$B44,Y$1,$B$1)</f>
        <v>66.650000000000006</v>
      </c>
      <c r="Z44" s="125" cm="1">
        <f t="array" ref="Z44">+_xll.EQNXTDZ($A$1,$B44,Z$1,$B$1)</f>
        <v>-77.06</v>
      </c>
      <c r="AA44" s="125" cm="1">
        <f t="array" ref="AA44">+_xll.EQNXTDZ($A$1,$B44,AA$1,$B$1)</f>
        <v>111.97</v>
      </c>
      <c r="AB44" s="125" cm="1">
        <f t="array" ref="AB44">+_xll.EQNXTDZ($A$1,$B44,AB$1,$B$1)</f>
        <v>21.79</v>
      </c>
      <c r="AC44" s="125" cm="1">
        <f t="array" ref="AC44">+_xll.EQNXTDZ($A$1,$B44,AC$1,$B$1)</f>
        <v>54.6</v>
      </c>
      <c r="AD44" s="125" cm="1">
        <f t="array" ref="AD44">+_xll.EQNXTDZ($A$1,$B44,AD$1,$B$1)</f>
        <v>121.9</v>
      </c>
      <c r="AE44" s="125" cm="1">
        <f t="array" ref="AE44">+_xll.EQNXTDZ($A$1,$B44,AE$1,$B$1)</f>
        <v>81.28</v>
      </c>
      <c r="AF44" s="125" cm="1">
        <f t="array" ref="AF44">+_xll.EQNXTDZ($A$1,$B44,AF$1,$B$1)</f>
        <v>166.01</v>
      </c>
      <c r="AG44" s="125" cm="1">
        <f t="array" ref="AG44">+_xll.EQNXTDZ($A$1,$B44,AG$1,$B$1)</f>
        <v>151.57</v>
      </c>
      <c r="AH44" s="125" cm="1">
        <f t="array" ref="AH44">+_xll.EQNXTDZ($A$1,$B44,AH$1,$B$1)</f>
        <v>209.59</v>
      </c>
      <c r="AI44" s="125" cm="1">
        <f t="array" ref="AI44">+_xll.EQNXTDZ($A$1,$B44,AI$1,$B$1)</f>
        <v>307.27</v>
      </c>
      <c r="AJ44" s="125" cm="1">
        <f t="array" ref="AJ44">+_xll.EQNXTDZ($A$1,$B44,AJ$1,$B$1)</f>
        <v>337.22</v>
      </c>
      <c r="AK44" s="125" cm="1">
        <f t="array" ref="AK44">+_xll.EQNXTDZ($A$1,$B44,AK$1,$B$1)</f>
        <v>342.01</v>
      </c>
      <c r="AL44" s="125" cm="1">
        <f t="array" ref="AL44">+_xll.EQNXTDZ($A$1,$B44,AL$1,$B$1)</f>
        <v>364.41</v>
      </c>
      <c r="AM44" s="125" cm="1">
        <f t="array" ref="AM44">+_xll.EQNXTDZ($A$1,$B44,AM$1,$B$1)</f>
        <v>387.57</v>
      </c>
      <c r="AN44" s="125" cm="1">
        <f t="array" ref="AN44">+_xll.EQNXTDZ($A$1,$B44,AN$1,$B$1)</f>
        <v>383.14</v>
      </c>
      <c r="AO44" s="125" cm="1">
        <f t="array" ref="AO44">+_xll.EQNXTDZ($A$1,$B44,AO$1,$B$1)</f>
        <v>178.12</v>
      </c>
      <c r="AP44" s="125" cm="1">
        <f t="array" ref="AP44">+_xll.EQNXTDZ($A$1,$B44,AP$1,$B$1)</f>
        <v>-91.63</v>
      </c>
      <c r="AQ44" s="125" cm="1">
        <f t="array" ref="AQ44">+_xll.EQNXTDZ($A$1,$B44,AQ$1,$B$1)</f>
        <v>34.590000000000003</v>
      </c>
      <c r="AR44" s="125" cm="1">
        <f t="array" ref="AR44">+_xll.EQNXTDZ($A$1,$B44,AR$1,$B$1)</f>
        <v>57.4</v>
      </c>
      <c r="AS44" s="125" cm="1">
        <f t="array" ref="AS44">+_xll.EQNXTDZ($A$1,$B44,AS$1,$B$1)</f>
        <v>128.41</v>
      </c>
      <c r="AT44" s="125" cm="1">
        <f t="array" ref="AT44">+_xll.EQNXTDZ($A$1,$B44,AT$1,$B$1)</f>
        <v>254.72</v>
      </c>
      <c r="AU44" s="125" cm="1">
        <f t="array" ref="AU44">+_xll.EQNXTDZ($A$1,$B44,AU$1,$B$1)</f>
        <v>388.24</v>
      </c>
      <c r="AV44" s="125" cm="1">
        <f t="array" ref="AV44">+_xll.EQNXTDZ($A$1,$B44,AV$1,$B$1)</f>
        <v>0</v>
      </c>
      <c r="AW44" s="125" cm="1">
        <f t="array" ref="AW44">+_xll.EQNXTDZ($A$1,$B44,AW$1,$B$1)</f>
        <v>0</v>
      </c>
      <c r="AX44" s="125" cm="1">
        <f t="array" ref="AX44">+_xll.EQNXTDZ($A$1,$B44,AX$1,$B$1)</f>
        <v>0</v>
      </c>
      <c r="AY44" s="125" cm="1">
        <f t="array" ref="AY44">+_xll.EQNXTDZ($A$1,$B44,AY$1,$B$1)</f>
        <v>0</v>
      </c>
      <c r="AZ44" s="125" cm="1">
        <f t="array" ref="AZ44">+_xll.EQNXTDZ($A$1,$B44,AZ$1,$B$1)</f>
        <v>0</v>
      </c>
      <c r="BA44" s="125" cm="1">
        <f t="array" ref="BA44">+_xll.EQNXTDZ($A$1,$B44,BA$1,$B$1)</f>
        <v>0</v>
      </c>
      <c r="BB44" s="125" cm="1">
        <f t="array" ref="BB44">+_xll.EQNXTDZ($A$1,$B44,BB$1,$B$1)</f>
        <v>0</v>
      </c>
      <c r="BC44" s="125" cm="1">
        <f t="array" ref="BC44">+_xll.EQNXTDZ($A$1,$B44,BC$1,$B$1)</f>
        <v>0</v>
      </c>
      <c r="BD44" s="125" cm="1">
        <f t="array" ref="BD44">+_xll.EQNXTDZ($A$1,$B44,BD$1,$B$1)</f>
        <v>0</v>
      </c>
      <c r="BE44" s="125" cm="1">
        <f t="array" ref="BE44">+_xll.EQNXTDZ($A$1,$B44,BE$1,$B$1)</f>
        <v>0</v>
      </c>
      <c r="BF44" s="125" cm="1">
        <f t="array" ref="BF44">+_xll.EQNXTDZ($A$1,$B44,BF$1,$B$1)</f>
        <v>0</v>
      </c>
      <c r="BG44" s="125" cm="1">
        <f t="array" ref="BG44">+_xll.EQNXTDZ($A$1,$B44,BG$1,$B$1)</f>
        <v>0</v>
      </c>
      <c r="BH44" s="125" cm="1">
        <f t="array" ref="BH44">+_xll.EQNXTDZ($A$1,$B44,BH$1,$B$1)</f>
        <v>0</v>
      </c>
      <c r="BI44" s="125" cm="1">
        <f t="array" ref="BI44">+_xll.EQNXTDZ($A$1,$B44,BI$1,$B$1)</f>
        <v>0</v>
      </c>
      <c r="BJ44" s="125" cm="1">
        <f t="array" ref="BJ44">+_xll.EQNXTDZ($A$1,$B44,BJ$1,$B$1)</f>
        <v>0</v>
      </c>
      <c r="BK44" s="125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5" cm="1">
        <f t="array" ref="C45">+_xll.EQNXTDZ($A$1,$B45,C$1,$B$1)</f>
        <v>0</v>
      </c>
      <c r="D45" s="125" cm="1">
        <f t="array" ref="D45">+_xll.EQNXTDZ($A$1,$B45,D$1,$B$1)</f>
        <v>0</v>
      </c>
      <c r="E45" s="125" cm="1">
        <f t="array" ref="E45">+_xll.EQNXTDZ($A$1,$B45,E$1,$B$1)</f>
        <v>0</v>
      </c>
      <c r="F45" s="125" cm="1">
        <f t="array" ref="F45">+_xll.EQNXTDZ($A$1,$B45,F$1,$B$1)</f>
        <v>0</v>
      </c>
      <c r="G45" s="125" cm="1">
        <f t="array" ref="G45">+_xll.EQNXTDZ($A$1,$B45,G$1,$B$1)</f>
        <v>0</v>
      </c>
      <c r="H45" s="125" cm="1">
        <f t="array" ref="H45">+_xll.EQNXTDZ($A$1,$B45,H$1,$B$1)</f>
        <v>0</v>
      </c>
      <c r="I45" s="125" cm="1">
        <f t="array" ref="I45">+_xll.EQNXTDZ($A$1,$B45,I$1,$B$1)</f>
        <v>0</v>
      </c>
      <c r="J45" s="125" cm="1">
        <f t="array" ref="J45">+_xll.EQNXTDZ($A$1,$B45,J$1,$B$1)</f>
        <v>0</v>
      </c>
      <c r="K45" s="125" cm="1">
        <f t="array" ref="K45">+_xll.EQNXTDZ($A$1,$B45,K$1,$B$1)</f>
        <v>0</v>
      </c>
      <c r="L45" s="125" cm="1">
        <f t="array" ref="L45">+_xll.EQNXTDZ($A$1,$B45,L$1,$B$1)</f>
        <v>0</v>
      </c>
      <c r="M45" s="125" cm="1">
        <f t="array" ref="M45">+_xll.EQNXTDZ($A$1,$B45,M$1,$B$1)</f>
        <v>61.03</v>
      </c>
      <c r="N45" s="125" cm="1">
        <f t="array" ref="N45">+_xll.EQNXTDZ($A$1,$B45,N$1,$B$1)</f>
        <v>64.36</v>
      </c>
      <c r="O45" s="125" cm="1">
        <f t="array" ref="O45">+_xll.EQNXTDZ($A$1,$B45,O$1,$B$1)</f>
        <v>71.709999999999994</v>
      </c>
      <c r="P45" s="125" cm="1">
        <f t="array" ref="P45">+_xll.EQNXTDZ($A$1,$B45,P$1,$B$1)</f>
        <v>72.22</v>
      </c>
      <c r="Q45" s="125" cm="1">
        <f t="array" ref="Q45">+_xll.EQNXTDZ($A$1,$B45,Q$1,$B$1)</f>
        <v>73.459999999999994</v>
      </c>
      <c r="R45" s="125" cm="1">
        <f t="array" ref="R45">+_xll.EQNXTDZ($A$1,$B45,R$1,$B$1)</f>
        <v>99.74</v>
      </c>
      <c r="S45" s="125" cm="1">
        <f t="array" ref="S45">+_xll.EQNXTDZ($A$1,$B45,S$1,$B$1)</f>
        <v>76.31</v>
      </c>
      <c r="T45" s="125" cm="1">
        <f t="array" ref="T45">+_xll.EQNXTDZ($A$1,$B45,T$1,$B$1)</f>
        <v>95.83</v>
      </c>
      <c r="U45" s="125" cm="1">
        <f t="array" ref="U45">+_xll.EQNXTDZ($A$1,$B45,U$1,$B$1)</f>
        <v>100.88</v>
      </c>
      <c r="V45" s="125" cm="1">
        <f t="array" ref="V45">+_xll.EQNXTDZ($A$1,$B45,V$1,$B$1)</f>
        <v>107.99</v>
      </c>
      <c r="W45" s="125" cm="1">
        <f t="array" ref="W45">+_xll.EQNXTDZ($A$1,$B45,W$1,$B$1)</f>
        <v>28.84</v>
      </c>
      <c r="X45" s="125" cm="1">
        <f t="array" ref="X45">+_xll.EQNXTDZ($A$1,$B45,X$1,$B$1)</f>
        <v>72</v>
      </c>
      <c r="Y45" s="125" cm="1">
        <f t="array" ref="Y45">+_xll.EQNXTDZ($A$1,$B45,Y$1,$B$1)</f>
        <v>79.209999999999994</v>
      </c>
      <c r="Z45" s="125" cm="1">
        <f t="array" ref="Z45">+_xll.EQNXTDZ($A$1,$B45,Z$1,$B$1)</f>
        <v>-77.290000000000006</v>
      </c>
      <c r="AA45" s="125" cm="1">
        <f t="array" ref="AA45">+_xll.EQNXTDZ($A$1,$B45,AA$1,$B$1)</f>
        <v>76.87</v>
      </c>
      <c r="AB45" s="125" cm="1">
        <f t="array" ref="AB45">+_xll.EQNXTDZ($A$1,$B45,AB$1,$B$1)</f>
        <v>22.49</v>
      </c>
      <c r="AC45" s="125" cm="1">
        <f t="array" ref="AC45">+_xll.EQNXTDZ($A$1,$B45,AC$1,$B$1)</f>
        <v>63.57</v>
      </c>
      <c r="AD45" s="125" cm="1">
        <f t="array" ref="AD45">+_xll.EQNXTDZ($A$1,$B45,AD$1,$B$1)</f>
        <v>119.82</v>
      </c>
      <c r="AE45" s="125" cm="1">
        <f t="array" ref="AE45">+_xll.EQNXTDZ($A$1,$B45,AE$1,$B$1)</f>
        <v>159.13</v>
      </c>
      <c r="AF45" s="125" cm="1">
        <f t="array" ref="AF45">+_xll.EQNXTDZ($A$1,$B45,AF$1,$B$1)</f>
        <v>138.55000000000001</v>
      </c>
      <c r="AG45" s="125" cm="1">
        <f t="array" ref="AG45">+_xll.EQNXTDZ($A$1,$B45,AG$1,$B$1)</f>
        <v>175.15</v>
      </c>
      <c r="AH45" s="125" cm="1">
        <f t="array" ref="AH45">+_xll.EQNXTDZ($A$1,$B45,AH$1,$B$1)</f>
        <v>215.76</v>
      </c>
      <c r="AI45" s="125" cm="1">
        <f t="array" ref="AI45">+_xll.EQNXTDZ($A$1,$B45,AI$1,$B$1)</f>
        <v>296.57</v>
      </c>
      <c r="AJ45" s="125" cm="1">
        <f t="array" ref="AJ45">+_xll.EQNXTDZ($A$1,$B45,AJ$1,$B$1)</f>
        <v>348.46</v>
      </c>
      <c r="AK45" s="125" cm="1">
        <f t="array" ref="AK45">+_xll.EQNXTDZ($A$1,$B45,AK$1,$B$1)</f>
        <v>347.04</v>
      </c>
      <c r="AL45" s="125" cm="1">
        <f t="array" ref="AL45">+_xll.EQNXTDZ($A$1,$B45,AL$1,$B$1)</f>
        <v>353.34</v>
      </c>
      <c r="AM45" s="125" cm="1">
        <f t="array" ref="AM45">+_xll.EQNXTDZ($A$1,$B45,AM$1,$B$1)</f>
        <v>397.08</v>
      </c>
      <c r="AN45" s="125" cm="1">
        <f t="array" ref="AN45">+_xll.EQNXTDZ($A$1,$B45,AN$1,$B$1)</f>
        <v>397.66</v>
      </c>
      <c r="AO45" s="125" cm="1">
        <f t="array" ref="AO45">+_xll.EQNXTDZ($A$1,$B45,AO$1,$B$1)</f>
        <v>186.06</v>
      </c>
      <c r="AP45" s="125" cm="1">
        <f t="array" ref="AP45">+_xll.EQNXTDZ($A$1,$B45,AP$1,$B$1)</f>
        <v>-99.52</v>
      </c>
      <c r="AQ45" s="125" cm="1">
        <f t="array" ref="AQ45">+_xll.EQNXTDZ($A$1,$B45,AQ$1,$B$1)</f>
        <v>47.21</v>
      </c>
      <c r="AR45" s="125" cm="1">
        <f t="array" ref="AR45">+_xll.EQNXTDZ($A$1,$B45,AR$1,$B$1)</f>
        <v>60.19</v>
      </c>
      <c r="AS45" s="125" cm="1">
        <f t="array" ref="AS45">+_xll.EQNXTDZ($A$1,$B45,AS$1,$B$1)</f>
        <v>125.81</v>
      </c>
      <c r="AT45" s="125" cm="1">
        <f t="array" ref="AT45">+_xll.EQNXTDZ($A$1,$B45,AT$1,$B$1)</f>
        <v>252.09</v>
      </c>
      <c r="AU45" s="125" cm="1">
        <f t="array" ref="AU45">+_xll.EQNXTDZ($A$1,$B45,AU$1,$B$1)</f>
        <v>339.55</v>
      </c>
      <c r="AV45" s="125" cm="1">
        <f t="array" ref="AV45">+_xll.EQNXTDZ($A$1,$B45,AV$1,$B$1)</f>
        <v>0</v>
      </c>
      <c r="AW45" s="125" cm="1">
        <f t="array" ref="AW45">+_xll.EQNXTDZ($A$1,$B45,AW$1,$B$1)</f>
        <v>0</v>
      </c>
      <c r="AX45" s="125" cm="1">
        <f t="array" ref="AX45">+_xll.EQNXTDZ($A$1,$B45,AX$1,$B$1)</f>
        <v>0</v>
      </c>
      <c r="AY45" s="125" cm="1">
        <f t="array" ref="AY45">+_xll.EQNXTDZ($A$1,$B45,AY$1,$B$1)</f>
        <v>0</v>
      </c>
      <c r="AZ45" s="125" cm="1">
        <f t="array" ref="AZ45">+_xll.EQNXTDZ($A$1,$B45,AZ$1,$B$1)</f>
        <v>0</v>
      </c>
      <c r="BA45" s="125" cm="1">
        <f t="array" ref="BA45">+_xll.EQNXTDZ($A$1,$B45,BA$1,$B$1)</f>
        <v>0</v>
      </c>
      <c r="BB45" s="125" cm="1">
        <f t="array" ref="BB45">+_xll.EQNXTDZ($A$1,$B45,BB$1,$B$1)</f>
        <v>0</v>
      </c>
      <c r="BC45" s="125" cm="1">
        <f t="array" ref="BC45">+_xll.EQNXTDZ($A$1,$B45,BC$1,$B$1)</f>
        <v>0</v>
      </c>
      <c r="BD45" s="125" cm="1">
        <f t="array" ref="BD45">+_xll.EQNXTDZ($A$1,$B45,BD$1,$B$1)</f>
        <v>0</v>
      </c>
      <c r="BE45" s="125" cm="1">
        <f t="array" ref="BE45">+_xll.EQNXTDZ($A$1,$B45,BE$1,$B$1)</f>
        <v>0</v>
      </c>
      <c r="BF45" s="125" cm="1">
        <f t="array" ref="BF45">+_xll.EQNXTDZ($A$1,$B45,BF$1,$B$1)</f>
        <v>0</v>
      </c>
      <c r="BG45" s="125" cm="1">
        <f t="array" ref="BG45">+_xll.EQNXTDZ($A$1,$B45,BG$1,$B$1)</f>
        <v>0</v>
      </c>
      <c r="BH45" s="125" cm="1">
        <f t="array" ref="BH45">+_xll.EQNXTDZ($A$1,$B45,BH$1,$B$1)</f>
        <v>0</v>
      </c>
      <c r="BI45" s="125" cm="1">
        <f t="array" ref="BI45">+_xll.EQNXTDZ($A$1,$B45,BI$1,$B$1)</f>
        <v>0</v>
      </c>
      <c r="BJ45" s="125" cm="1">
        <f t="array" ref="BJ45">+_xll.EQNXTDZ($A$1,$B45,BJ$1,$B$1)</f>
        <v>0</v>
      </c>
      <c r="BK45" s="125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5" cm="1">
        <f t="array" ref="C46">+_xll.EQNXTDZ($A$1,$B46,C$1,$B$1)</f>
        <v>0</v>
      </c>
      <c r="D46" s="125" cm="1">
        <f t="array" ref="D46">+_xll.EQNXTDZ($A$1,$B46,D$1,$B$1)</f>
        <v>0</v>
      </c>
      <c r="E46" s="125" cm="1">
        <f t="array" ref="E46">+_xll.EQNXTDZ($A$1,$B46,E$1,$B$1)</f>
        <v>0</v>
      </c>
      <c r="F46" s="125" cm="1">
        <f t="array" ref="F46">+_xll.EQNXTDZ($A$1,$B46,F$1,$B$1)</f>
        <v>0</v>
      </c>
      <c r="G46" s="125" cm="1">
        <f t="array" ref="G46">+_xll.EQNXTDZ($A$1,$B46,G$1,$B$1)</f>
        <v>0</v>
      </c>
      <c r="H46" s="125" cm="1">
        <f t="array" ref="H46">+_xll.EQNXTDZ($A$1,$B46,H$1,$B$1)</f>
        <v>0</v>
      </c>
      <c r="I46" s="125" cm="1">
        <f t="array" ref="I46">+_xll.EQNXTDZ($A$1,$B46,I$1,$B$1)</f>
        <v>0</v>
      </c>
      <c r="J46" s="125" cm="1">
        <f t="array" ref="J46">+_xll.EQNXTDZ($A$1,$B46,J$1,$B$1)</f>
        <v>0</v>
      </c>
      <c r="K46" s="125" cm="1">
        <f t="array" ref="K46">+_xll.EQNXTDZ($A$1,$B46,K$1,$B$1)</f>
        <v>0</v>
      </c>
      <c r="L46" s="125" cm="1">
        <f t="array" ref="L46">+_xll.EQNXTDZ($A$1,$B46,L$1,$B$1)</f>
        <v>0</v>
      </c>
      <c r="M46" s="125" cm="1">
        <f t="array" ref="M46">+_xll.EQNXTDZ($A$1,$B46,M$1,$B$1)</f>
        <v>85.680999999999997</v>
      </c>
      <c r="N46" s="125" cm="1">
        <f t="array" ref="N46">+_xll.EQNXTDZ($A$1,$B46,N$1,$B$1)</f>
        <v>128.214</v>
      </c>
      <c r="O46" s="125" cm="1">
        <f t="array" ref="O46">+_xll.EQNXTDZ($A$1,$B46,O$1,$B$1)</f>
        <v>128.43</v>
      </c>
      <c r="P46" s="125" cm="1">
        <f t="array" ref="P46">+_xll.EQNXTDZ($A$1,$B46,P$1,$B$1)</f>
        <v>143.35599999999999</v>
      </c>
      <c r="Q46" s="125" cm="1">
        <f t="array" ref="Q46">+_xll.EQNXTDZ($A$1,$B46,Q$1,$B$1)</f>
        <v>143.36000000000001</v>
      </c>
      <c r="R46" s="125" cm="1">
        <f t="array" ref="R46">+_xll.EQNXTDZ($A$1,$B46,R$1,$B$1)</f>
        <v>143.87700000000001</v>
      </c>
      <c r="S46" s="125" cm="1">
        <f t="array" ref="S46">+_xll.EQNXTDZ($A$1,$B46,S$1,$B$1)</f>
        <v>143.55000000000001</v>
      </c>
      <c r="T46" s="125" cm="1">
        <f t="array" ref="T46">+_xll.EQNXTDZ($A$1,$B46,T$1,$B$1)</f>
        <v>143.637</v>
      </c>
      <c r="U46" s="125" cm="1">
        <f t="array" ref="U46">+_xll.EQNXTDZ($A$1,$B46,U$1,$B$1)</f>
        <v>143.79599999999999</v>
      </c>
      <c r="V46" s="125" cm="1">
        <f t="array" ref="V46">+_xll.EQNXTDZ($A$1,$B46,V$1,$B$1)</f>
        <v>143.87700000000001</v>
      </c>
      <c r="W46" s="125" cm="1">
        <f t="array" ref="W46">+_xll.EQNXTDZ($A$1,$B46,W$1,$B$1)</f>
        <v>143.99</v>
      </c>
      <c r="X46" s="125" cm="1">
        <f t="array" ref="X46">+_xll.EQNXTDZ($A$1,$B46,X$1,$B$1)</f>
        <v>144.05699999999999</v>
      </c>
      <c r="Y46" s="125" cm="1">
        <f t="array" ref="Y46">+_xll.EQNXTDZ($A$1,$B46,Y$1,$B$1)</f>
        <v>144.11000000000001</v>
      </c>
      <c r="Z46" s="125" cm="1">
        <f t="array" ref="Z46">+_xll.EQNXTDZ($A$1,$B46,Z$1,$B$1)</f>
        <v>155.49</v>
      </c>
      <c r="AA46" s="125" cm="1">
        <f t="array" ref="AA46">+_xll.EQNXTDZ($A$1,$B46,AA$1,$B$1)</f>
        <v>155.58000000000001</v>
      </c>
      <c r="AB46" s="125" cm="1">
        <f t="array" ref="AB46">+_xll.EQNXTDZ($A$1,$B46,AB$1,$B$1)</f>
        <v>155.61000000000001</v>
      </c>
      <c r="AC46" s="125" cm="1">
        <f t="array" ref="AC46">+_xll.EQNXTDZ($A$1,$B46,AC$1,$B$1)</f>
        <v>155.74</v>
      </c>
      <c r="AD46" s="125" cm="1">
        <f t="array" ref="AD46">+_xll.EQNXTDZ($A$1,$B46,AD$1,$B$1)</f>
        <v>155.79</v>
      </c>
      <c r="AE46" s="125" cm="1">
        <f t="array" ref="AE46">+_xll.EQNXTDZ($A$1,$B46,AE$1,$B$1)</f>
        <v>155.87</v>
      </c>
      <c r="AF46" s="125" cm="1">
        <f t="array" ref="AF46">+_xll.EQNXTDZ($A$1,$B46,AF$1,$B$1)</f>
        <v>155.93</v>
      </c>
      <c r="AG46" s="125" cm="1">
        <f t="array" ref="AG46">+_xll.EQNXTDZ($A$1,$B46,AG$1,$B$1)</f>
        <v>156.11000000000001</v>
      </c>
      <c r="AH46" s="125" cm="1">
        <f t="array" ref="AH46">+_xll.EQNXTDZ($A$1,$B46,AH$1,$B$1)</f>
        <v>156.16999999999999</v>
      </c>
      <c r="AI46" s="125" cm="1">
        <f t="array" ref="AI46">+_xll.EQNXTDZ($A$1,$B46,AI$1,$B$1)</f>
        <v>158.91</v>
      </c>
      <c r="AJ46" s="125" cm="1">
        <f t="array" ref="AJ46">+_xll.EQNXTDZ($A$1,$B46,AJ$1,$B$1)</f>
        <v>158.93</v>
      </c>
      <c r="AK46" s="125" cm="1">
        <f t="array" ref="AK46">+_xll.EQNXTDZ($A$1,$B46,AK$1,$B$1)</f>
        <v>159.11000000000001</v>
      </c>
      <c r="AL46" s="125" cm="1">
        <f t="array" ref="AL46">+_xll.EQNXTDZ($A$1,$B46,AL$1,$B$1)</f>
        <v>159.18</v>
      </c>
      <c r="AM46" s="125" cm="1">
        <f t="array" ref="AM46">+_xll.EQNXTDZ($A$1,$B46,AM$1,$B$1)</f>
        <v>159.38</v>
      </c>
      <c r="AN46" s="125" cm="1">
        <f t="array" ref="AN46">+_xll.EQNXTDZ($A$1,$B46,AN$1,$B$1)</f>
        <v>159.41</v>
      </c>
      <c r="AO46" s="125" cm="1">
        <f t="array" ref="AO46">+_xll.EQNXTDZ($A$1,$B46,AO$1,$B$1)</f>
        <v>159.46</v>
      </c>
      <c r="AP46" s="125" cm="1">
        <f t="array" ref="AP46">+_xll.EQNXTDZ($A$1,$B46,AP$1,$B$1)</f>
        <v>159.57</v>
      </c>
      <c r="AQ46" s="125" cm="1">
        <f t="array" ref="AQ46">+_xll.EQNXTDZ($A$1,$B46,AQ$1,$B$1)</f>
        <v>159.72</v>
      </c>
      <c r="AR46" s="125" cm="1">
        <f t="array" ref="AR46">+_xll.EQNXTDZ($A$1,$B46,AR$1,$B$1)</f>
        <v>159.74</v>
      </c>
      <c r="AS46" s="125" cm="1">
        <f t="array" ref="AS46">+_xll.EQNXTDZ($A$1,$B46,AS$1,$B$1)</f>
        <v>159.88</v>
      </c>
      <c r="AT46" s="125" cm="1">
        <f t="array" ref="AT46">+_xll.EQNXTDZ($A$1,$B46,AT$1,$B$1)</f>
        <v>160.08000000000001</v>
      </c>
      <c r="AU46" s="125" cm="1">
        <f t="array" ref="AU46">+_xll.EQNXTDZ($A$1,$B46,AU$1,$B$1)</f>
        <v>160.19999999999999</v>
      </c>
      <c r="AV46" s="125" cm="1">
        <f t="array" ref="AV46">+_xll.EQNXTDZ($A$1,$B46,AV$1,$B$1)</f>
        <v>0</v>
      </c>
      <c r="AW46" s="125" cm="1">
        <f t="array" ref="AW46">+_xll.EQNXTDZ($A$1,$B46,AW$1,$B$1)</f>
        <v>0</v>
      </c>
      <c r="AX46" s="125" cm="1">
        <f t="array" ref="AX46">+_xll.EQNXTDZ($A$1,$B46,AX$1,$B$1)</f>
        <v>0</v>
      </c>
      <c r="AY46" s="125" cm="1">
        <f t="array" ref="AY46">+_xll.EQNXTDZ($A$1,$B46,AY$1,$B$1)</f>
        <v>0</v>
      </c>
      <c r="AZ46" s="125" cm="1">
        <f t="array" ref="AZ46">+_xll.EQNXTDZ($A$1,$B46,AZ$1,$B$1)</f>
        <v>0</v>
      </c>
      <c r="BA46" s="125" cm="1">
        <f t="array" ref="BA46">+_xll.EQNXTDZ($A$1,$B46,BA$1,$B$1)</f>
        <v>0</v>
      </c>
      <c r="BB46" s="125" cm="1">
        <f t="array" ref="BB46">+_xll.EQNXTDZ($A$1,$B46,BB$1,$B$1)</f>
        <v>0</v>
      </c>
      <c r="BC46" s="125" cm="1">
        <f t="array" ref="BC46">+_xll.EQNXTDZ($A$1,$B46,BC$1,$B$1)</f>
        <v>0</v>
      </c>
      <c r="BD46" s="125" cm="1">
        <f t="array" ref="BD46">+_xll.EQNXTDZ($A$1,$B46,BD$1,$B$1)</f>
        <v>0</v>
      </c>
      <c r="BE46" s="125" cm="1">
        <f t="array" ref="BE46">+_xll.EQNXTDZ($A$1,$B46,BE$1,$B$1)</f>
        <v>0</v>
      </c>
      <c r="BF46" s="125" cm="1">
        <f t="array" ref="BF46">+_xll.EQNXTDZ($A$1,$B46,BF$1,$B$1)</f>
        <v>0</v>
      </c>
      <c r="BG46" s="125" cm="1">
        <f t="array" ref="BG46">+_xll.EQNXTDZ($A$1,$B46,BG$1,$B$1)</f>
        <v>0</v>
      </c>
      <c r="BH46" s="125" cm="1">
        <f t="array" ref="BH46">+_xll.EQNXTDZ($A$1,$B46,BH$1,$B$1)</f>
        <v>0</v>
      </c>
      <c r="BI46" s="125" cm="1">
        <f t="array" ref="BI46">+_xll.EQNXTDZ($A$1,$B46,BI$1,$B$1)</f>
        <v>0</v>
      </c>
      <c r="BJ46" s="125" cm="1">
        <f t="array" ref="BJ46">+_xll.EQNXTDZ($A$1,$B46,BJ$1,$B$1)</f>
        <v>0</v>
      </c>
      <c r="BK46" s="125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5" cm="1">
        <f t="array" ref="C47">+_xll.EQNXTDZ($A$1,$B47,C$1,$B$1)</f>
        <v>0</v>
      </c>
      <c r="D47" s="125" cm="1">
        <f t="array" ref="D47">+_xll.EQNXTDZ($A$1,$B47,D$1,$B$1)</f>
        <v>0</v>
      </c>
      <c r="E47" s="125" cm="1">
        <f t="array" ref="E47">+_xll.EQNXTDZ($A$1,$B47,E$1,$B$1)</f>
        <v>0</v>
      </c>
      <c r="F47" s="125" cm="1">
        <f t="array" ref="F47">+_xll.EQNXTDZ($A$1,$B47,F$1,$B$1)</f>
        <v>0</v>
      </c>
      <c r="G47" s="125" cm="1">
        <f t="array" ref="G47">+_xll.EQNXTDZ($A$1,$B47,G$1,$B$1)</f>
        <v>0</v>
      </c>
      <c r="H47" s="125" cm="1">
        <f t="array" ref="H47">+_xll.EQNXTDZ($A$1,$B47,H$1,$B$1)</f>
        <v>0</v>
      </c>
      <c r="I47" s="125" cm="1">
        <f t="array" ref="I47">+_xll.EQNXTDZ($A$1,$B47,I$1,$B$1)</f>
        <v>0</v>
      </c>
      <c r="J47" s="125" cm="1">
        <f t="array" ref="J47">+_xll.EQNXTDZ($A$1,$B47,J$1,$B$1)</f>
        <v>0</v>
      </c>
      <c r="K47" s="125" cm="1">
        <f t="array" ref="K47">+_xll.EQNXTDZ($A$1,$B47,K$1,$B$1)</f>
        <v>0</v>
      </c>
      <c r="L47" s="125" cm="1">
        <f t="array" ref="L47">+_xll.EQNXTDZ($A$1,$B47,L$1,$B$1)</f>
        <v>0</v>
      </c>
      <c r="M47" s="125" cm="1">
        <f t="array" ref="M47">+_xll.EQNXTDZ($A$1,$B47,M$1,$B$1)</f>
        <v>10</v>
      </c>
      <c r="N47" s="125" cm="1">
        <f t="array" ref="N47">+_xll.EQNXTDZ($A$1,$B47,N$1,$B$1)</f>
        <v>10</v>
      </c>
      <c r="O47" s="125" cm="1">
        <f t="array" ref="O47">+_xll.EQNXTDZ($A$1,$B47,O$1,$B$1)</f>
        <v>10</v>
      </c>
      <c r="P47" s="125" cm="1">
        <f t="array" ref="P47">+_xll.EQNXTDZ($A$1,$B47,P$1,$B$1)</f>
        <v>10</v>
      </c>
      <c r="Q47" s="125" cm="1">
        <f t="array" ref="Q47">+_xll.EQNXTDZ($A$1,$B47,Q$1,$B$1)</f>
        <v>10</v>
      </c>
      <c r="R47" s="125" cm="1">
        <f t="array" ref="R47">+_xll.EQNXTDZ($A$1,$B47,R$1,$B$1)</f>
        <v>10</v>
      </c>
      <c r="S47" s="125" cm="1">
        <f t="array" ref="S47">+_xll.EQNXTDZ($A$1,$B47,S$1,$B$1)</f>
        <v>10</v>
      </c>
      <c r="T47" s="125" cm="1">
        <f t="array" ref="T47">+_xll.EQNXTDZ($A$1,$B47,T$1,$B$1)</f>
        <v>10</v>
      </c>
      <c r="U47" s="125" cm="1">
        <f t="array" ref="U47">+_xll.EQNXTDZ($A$1,$B47,U$1,$B$1)</f>
        <v>10</v>
      </c>
      <c r="V47" s="125" cm="1">
        <f t="array" ref="V47">+_xll.EQNXTDZ($A$1,$B47,V$1,$B$1)</f>
        <v>10</v>
      </c>
      <c r="W47" s="125" cm="1">
        <f t="array" ref="W47">+_xll.EQNXTDZ($A$1,$B47,W$1,$B$1)</f>
        <v>10</v>
      </c>
      <c r="X47" s="125" cm="1">
        <f t="array" ref="X47">+_xll.EQNXTDZ($A$1,$B47,X$1,$B$1)</f>
        <v>10</v>
      </c>
      <c r="Y47" s="125" cm="1">
        <f t="array" ref="Y47">+_xll.EQNXTDZ($A$1,$B47,Y$1,$B$1)</f>
        <v>10</v>
      </c>
      <c r="Z47" s="125" cm="1">
        <f t="array" ref="Z47">+_xll.EQNXTDZ($A$1,$B47,Z$1,$B$1)</f>
        <v>10</v>
      </c>
      <c r="AA47" s="125" cm="1">
        <f t="array" ref="AA47">+_xll.EQNXTDZ($A$1,$B47,AA$1,$B$1)</f>
        <v>10</v>
      </c>
      <c r="AB47" s="125" cm="1">
        <f t="array" ref="AB47">+_xll.EQNXTDZ($A$1,$B47,AB$1,$B$1)</f>
        <v>10</v>
      </c>
      <c r="AC47" s="125" cm="1">
        <f t="array" ref="AC47">+_xll.EQNXTDZ($A$1,$B47,AC$1,$B$1)</f>
        <v>10</v>
      </c>
      <c r="AD47" s="125" cm="1">
        <f t="array" ref="AD47">+_xll.EQNXTDZ($A$1,$B47,AD$1,$B$1)</f>
        <v>10</v>
      </c>
      <c r="AE47" s="125" cm="1">
        <f t="array" ref="AE47">+_xll.EQNXTDZ($A$1,$B47,AE$1,$B$1)</f>
        <v>10</v>
      </c>
      <c r="AF47" s="125" cm="1">
        <f t="array" ref="AF47">+_xll.EQNXTDZ($A$1,$B47,AF$1,$B$1)</f>
        <v>10</v>
      </c>
      <c r="AG47" s="125" cm="1">
        <f t="array" ref="AG47">+_xll.EQNXTDZ($A$1,$B47,AG$1,$B$1)</f>
        <v>10</v>
      </c>
      <c r="AH47" s="125" cm="1">
        <f t="array" ref="AH47">+_xll.EQNXTDZ($A$1,$B47,AH$1,$B$1)</f>
        <v>10</v>
      </c>
      <c r="AI47" s="125" cm="1">
        <f t="array" ref="AI47">+_xll.EQNXTDZ($A$1,$B47,AI$1,$B$1)</f>
        <v>10</v>
      </c>
      <c r="AJ47" s="125" cm="1">
        <f t="array" ref="AJ47">+_xll.EQNXTDZ($A$1,$B47,AJ$1,$B$1)</f>
        <v>10</v>
      </c>
      <c r="AK47" s="125" cm="1">
        <f t="array" ref="AK47">+_xll.EQNXTDZ($A$1,$B47,AK$1,$B$1)</f>
        <v>10</v>
      </c>
      <c r="AL47" s="125" cm="1">
        <f t="array" ref="AL47">+_xll.EQNXTDZ($A$1,$B47,AL$1,$B$1)</f>
        <v>10</v>
      </c>
      <c r="AM47" s="125" cm="1">
        <f t="array" ref="AM47">+_xll.EQNXTDZ($A$1,$B47,AM$1,$B$1)</f>
        <v>10</v>
      </c>
      <c r="AN47" s="125" cm="1">
        <f t="array" ref="AN47">+_xll.EQNXTDZ($A$1,$B47,AN$1,$B$1)</f>
        <v>10</v>
      </c>
      <c r="AO47" s="125" cm="1">
        <f t="array" ref="AO47">+_xll.EQNXTDZ($A$1,$B47,AO$1,$B$1)</f>
        <v>10</v>
      </c>
      <c r="AP47" s="125" cm="1">
        <f t="array" ref="AP47">+_xll.EQNXTDZ($A$1,$B47,AP$1,$B$1)</f>
        <v>10</v>
      </c>
      <c r="AQ47" s="125" cm="1">
        <f t="array" ref="AQ47">+_xll.EQNXTDZ($A$1,$B47,AQ$1,$B$1)</f>
        <v>10</v>
      </c>
      <c r="AR47" s="125" cm="1">
        <f t="array" ref="AR47">+_xll.EQNXTDZ($A$1,$B47,AR$1,$B$1)</f>
        <v>10</v>
      </c>
      <c r="AS47" s="125" cm="1">
        <f t="array" ref="AS47">+_xll.EQNXTDZ($A$1,$B47,AS$1,$B$1)</f>
        <v>10</v>
      </c>
      <c r="AT47" s="125" cm="1">
        <f t="array" ref="AT47">+_xll.EQNXTDZ($A$1,$B47,AT$1,$B$1)</f>
        <v>10</v>
      </c>
      <c r="AU47" s="125" cm="1">
        <f t="array" ref="AU47">+_xll.EQNXTDZ($A$1,$B47,AU$1,$B$1)</f>
        <v>10</v>
      </c>
      <c r="AV47" s="125" cm="1">
        <f t="array" ref="AV47">+_xll.EQNXTDZ($A$1,$B47,AV$1,$B$1)</f>
        <v>0</v>
      </c>
      <c r="AW47" s="125" cm="1">
        <f t="array" ref="AW47">+_xll.EQNXTDZ($A$1,$B47,AW$1,$B$1)</f>
        <v>0</v>
      </c>
      <c r="AX47" s="125" cm="1">
        <f t="array" ref="AX47">+_xll.EQNXTDZ($A$1,$B47,AX$1,$B$1)</f>
        <v>0</v>
      </c>
      <c r="AY47" s="125" cm="1">
        <f t="array" ref="AY47">+_xll.EQNXTDZ($A$1,$B47,AY$1,$B$1)</f>
        <v>0</v>
      </c>
      <c r="AZ47" s="125" cm="1">
        <f t="array" ref="AZ47">+_xll.EQNXTDZ($A$1,$B47,AZ$1,$B$1)</f>
        <v>0</v>
      </c>
      <c r="BA47" s="125" cm="1">
        <f t="array" ref="BA47">+_xll.EQNXTDZ($A$1,$B47,BA$1,$B$1)</f>
        <v>0</v>
      </c>
      <c r="BB47" s="125" cm="1">
        <f t="array" ref="BB47">+_xll.EQNXTDZ($A$1,$B47,BB$1,$B$1)</f>
        <v>0</v>
      </c>
      <c r="BC47" s="125" cm="1">
        <f t="array" ref="BC47">+_xll.EQNXTDZ($A$1,$B47,BC$1,$B$1)</f>
        <v>0</v>
      </c>
      <c r="BD47" s="125" cm="1">
        <f t="array" ref="BD47">+_xll.EQNXTDZ($A$1,$B47,BD$1,$B$1)</f>
        <v>0</v>
      </c>
      <c r="BE47" s="125" cm="1">
        <f t="array" ref="BE47">+_xll.EQNXTDZ($A$1,$B47,BE$1,$B$1)</f>
        <v>0</v>
      </c>
      <c r="BF47" s="125" cm="1">
        <f t="array" ref="BF47">+_xll.EQNXTDZ($A$1,$B47,BF$1,$B$1)</f>
        <v>0</v>
      </c>
      <c r="BG47" s="125" cm="1">
        <f t="array" ref="BG47">+_xll.EQNXTDZ($A$1,$B47,BG$1,$B$1)</f>
        <v>0</v>
      </c>
      <c r="BH47" s="125" cm="1">
        <f t="array" ref="BH47">+_xll.EQNXTDZ($A$1,$B47,BH$1,$B$1)</f>
        <v>0</v>
      </c>
      <c r="BI47" s="125" cm="1">
        <f t="array" ref="BI47">+_xll.EQNXTDZ($A$1,$B47,BI$1,$B$1)</f>
        <v>0</v>
      </c>
      <c r="BJ47" s="125" cm="1">
        <f t="array" ref="BJ47">+_xll.EQNXTDZ($A$1,$B47,BJ$1,$B$1)</f>
        <v>0</v>
      </c>
      <c r="BK47" s="125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4" customFormat="1" x14ac:dyDescent="0.25">
      <c r="A50" s="124" t="s">
        <v>112</v>
      </c>
      <c r="B50" s="124" t="s">
        <v>323</v>
      </c>
      <c r="C50" s="125" cm="1">
        <f t="array" ref="C50">+_xll.EQNXTDZ($A$1,$B50,C$1,$B$1)</f>
        <v>0</v>
      </c>
      <c r="D50" s="125" cm="1">
        <f t="array" ref="D50">+_xll.EQNXTDZ($A$1,$B50,D$1,$B$1)</f>
        <v>0</v>
      </c>
      <c r="E50" s="125" cm="1">
        <f t="array" ref="E50">+_xll.EQNXTDZ($A$1,$B50,E$1,$B$1)</f>
        <v>0</v>
      </c>
      <c r="F50" s="125" cm="1">
        <f t="array" ref="F50">+_xll.EQNXTDZ($A$1,$B50,F$1,$B$1)</f>
        <v>0</v>
      </c>
      <c r="G50" s="125" cm="1">
        <f t="array" ref="G50">+_xll.EQNXTDZ($A$1,$B50,G$1,$B$1)</f>
        <v>0</v>
      </c>
      <c r="H50" s="125" cm="1">
        <f t="array" ref="H50">+_xll.EQNXTDZ($A$1,$B50,H$1,$B$1)</f>
        <v>0</v>
      </c>
      <c r="I50" s="125" cm="1">
        <f t="array" ref="I50">+_xll.EQNXTDZ($A$1,$B50,I$1,$B$1)</f>
        <v>0</v>
      </c>
      <c r="J50" s="125" cm="1">
        <f t="array" ref="J50">+_xll.EQNXTDZ($A$1,$B50,J$1,$B$1)</f>
        <v>0</v>
      </c>
      <c r="K50" s="125" cm="1">
        <f t="array" ref="K50">+_xll.EQNXTDZ($A$1,$B50,K$1,$B$1)</f>
        <v>0</v>
      </c>
      <c r="L50" s="125" cm="1">
        <f t="array" ref="L50">+_xll.EQNXTDZ($A$1,$B50,L$1,$B$1)</f>
        <v>0</v>
      </c>
      <c r="M50" s="125" cm="1">
        <f t="array" ref="M50">+_xll.EQNXTDZ($A$1,$B50,M$1,$B$1)</f>
        <v>85.680999999999997</v>
      </c>
      <c r="N50" s="125" cm="1">
        <f t="array" ref="N50">+_xll.EQNXTDZ($A$1,$B50,N$1,$B$1)</f>
        <v>128.214</v>
      </c>
      <c r="O50" s="125" cm="1">
        <f t="array" ref="O50">+_xll.EQNXTDZ($A$1,$B50,O$1,$B$1)</f>
        <v>128.43</v>
      </c>
      <c r="P50" s="125" cm="1">
        <f t="array" ref="P50">+_xll.EQNXTDZ($A$1,$B50,P$1,$B$1)</f>
        <v>143.35599999999999</v>
      </c>
      <c r="Q50" s="125" cm="1">
        <f t="array" ref="Q50">+_xll.EQNXTDZ($A$1,$B50,Q$1,$B$1)</f>
        <v>143.36000000000001</v>
      </c>
      <c r="R50" s="125" cm="1">
        <f t="array" ref="R50">+_xll.EQNXTDZ($A$1,$B50,R$1,$B$1)</f>
        <v>143.87700000000001</v>
      </c>
      <c r="S50" s="125" cm="1">
        <f t="array" ref="S50">+_xll.EQNXTDZ($A$1,$B50,S$1,$B$1)</f>
        <v>143.55000000000001</v>
      </c>
      <c r="T50" s="125" cm="1">
        <f t="array" ref="T50">+_xll.EQNXTDZ($A$1,$B50,T$1,$B$1)</f>
        <v>143.637</v>
      </c>
      <c r="U50" s="125" cm="1">
        <f t="array" ref="U50">+_xll.EQNXTDZ($A$1,$B50,U$1,$B$1)</f>
        <v>143.79599999999999</v>
      </c>
      <c r="V50" s="125" cm="1">
        <f t="array" ref="V50">+_xll.EQNXTDZ($A$1,$B50,V$1,$B$1)</f>
        <v>143.87700000000001</v>
      </c>
      <c r="W50" s="125" cm="1">
        <f t="array" ref="W50">+_xll.EQNXTDZ($A$1,$B50,W$1,$B$1)</f>
        <v>143.99</v>
      </c>
      <c r="X50" s="125" cm="1">
        <f t="array" ref="X50">+_xll.EQNXTDZ($A$1,$B50,X$1,$B$1)</f>
        <v>144.05699999999999</v>
      </c>
      <c r="Y50" s="125" cm="1">
        <f t="array" ref="Y50">+_xll.EQNXTDZ($A$1,$B50,Y$1,$B$1)</f>
        <v>144.11000000000001</v>
      </c>
      <c r="Z50" s="125" cm="1">
        <f t="array" ref="Z50">+_xll.EQNXTDZ($A$1,$B50,Z$1,$B$1)</f>
        <v>155.49</v>
      </c>
      <c r="AA50" s="125" cm="1">
        <f t="array" ref="AA50">+_xll.EQNXTDZ($A$1,$B50,AA$1,$B$1)</f>
        <v>155.58000000000001</v>
      </c>
      <c r="AB50" s="125" cm="1">
        <f t="array" ref="AB50">+_xll.EQNXTDZ($A$1,$B50,AB$1,$B$1)</f>
        <v>155.61000000000001</v>
      </c>
      <c r="AC50" s="125" cm="1">
        <f t="array" ref="AC50">+_xll.EQNXTDZ($A$1,$B50,AC$1,$B$1)</f>
        <v>155.74</v>
      </c>
      <c r="AD50" s="125" cm="1">
        <f t="array" ref="AD50">+_xll.EQNXTDZ($A$1,$B50,AD$1,$B$1)</f>
        <v>155.79</v>
      </c>
      <c r="AE50" s="125" cm="1">
        <f t="array" ref="AE50">+_xll.EQNXTDZ($A$1,$B50,AE$1,$B$1)</f>
        <v>155.87</v>
      </c>
      <c r="AF50" s="125" cm="1">
        <f t="array" ref="AF50">+_xll.EQNXTDZ($A$1,$B50,AF$1,$B$1)</f>
        <v>155.93</v>
      </c>
      <c r="AG50" s="125" cm="1">
        <f t="array" ref="AG50">+_xll.EQNXTDZ($A$1,$B50,AG$1,$B$1)</f>
        <v>156.11000000000001</v>
      </c>
      <c r="AH50" s="125" cm="1">
        <f t="array" ref="AH50">+_xll.EQNXTDZ($A$1,$B50,AH$1,$B$1)</f>
        <v>156.16999999999999</v>
      </c>
      <c r="AI50" s="125" cm="1">
        <f t="array" ref="AI50">+_xll.EQNXTDZ($A$1,$B50,AI$1,$B$1)</f>
        <v>158.91</v>
      </c>
      <c r="AJ50" s="125" cm="1">
        <f t="array" ref="AJ50">+_xll.EQNXTDZ($A$1,$B50,AJ$1,$B$1)</f>
        <v>158.93</v>
      </c>
      <c r="AK50" s="125" cm="1">
        <f t="array" ref="AK50">+_xll.EQNXTDZ($A$1,$B50,AK$1,$B$1)</f>
        <v>159.11000000000001</v>
      </c>
      <c r="AL50" s="125" cm="1">
        <f t="array" ref="AL50">+_xll.EQNXTDZ($A$1,$B50,AL$1,$B$1)</f>
        <v>159.18</v>
      </c>
      <c r="AM50" s="125" cm="1">
        <f t="array" ref="AM50">+_xll.EQNXTDZ($A$1,$B50,AM$1,$B$1)</f>
        <v>159.38</v>
      </c>
      <c r="AN50" s="125" cm="1">
        <f t="array" ref="AN50">+_xll.EQNXTDZ($A$1,$B50,AN$1,$B$1)</f>
        <v>159.41</v>
      </c>
      <c r="AO50" s="125" cm="1">
        <f t="array" ref="AO50">+_xll.EQNXTDZ($A$1,$B50,AO$1,$B$1)</f>
        <v>159.46</v>
      </c>
      <c r="AP50" s="125" cm="1">
        <f t="array" ref="AP50">+_xll.EQNXTDZ($A$1,$B50,AP$1,$B$1)</f>
        <v>159.57</v>
      </c>
      <c r="AQ50" s="125" cm="1">
        <f t="array" ref="AQ50">+_xll.EQNXTDZ($A$1,$B50,AQ$1,$B$1)</f>
        <v>159.72</v>
      </c>
      <c r="AR50" s="125" cm="1">
        <f t="array" ref="AR50">+_xll.EQNXTDZ($A$1,$B50,AR$1,$B$1)</f>
        <v>159.74</v>
      </c>
      <c r="AS50" s="125" cm="1">
        <f t="array" ref="AS50">+_xll.EQNXTDZ($A$1,$B50,AS$1,$B$1)</f>
        <v>159.88</v>
      </c>
      <c r="AT50" s="125" cm="1">
        <f t="array" ref="AT50">+_xll.EQNXTDZ($A$1,$B50,AT$1,$B$1)</f>
        <v>160.08000000000001</v>
      </c>
      <c r="AU50" s="125" cm="1">
        <f t="array" ref="AU50">+_xll.EQNXTDZ($A$1,$B50,AU$1,$B$1)</f>
        <v>160.19999999999999</v>
      </c>
      <c r="AV50" s="125" cm="1">
        <f t="array" ref="AV50">+_xll.EQNXTDZ($A$1,$B50,AV$1,$B$1)</f>
        <v>0</v>
      </c>
      <c r="AW50" s="125" cm="1">
        <f t="array" ref="AW50">+_xll.EQNXTDZ($A$1,$B50,AW$1,$B$1)</f>
        <v>0</v>
      </c>
      <c r="AX50" s="125" cm="1">
        <f t="array" ref="AX50">+_xll.EQNXTDZ($A$1,$B50,AX$1,$B$1)</f>
        <v>0</v>
      </c>
      <c r="AY50" s="125" cm="1">
        <f t="array" ref="AY50">+_xll.EQNXTDZ($A$1,$B50,AY$1,$B$1)</f>
        <v>0</v>
      </c>
      <c r="AZ50" s="125" cm="1">
        <f t="array" ref="AZ50">+_xll.EQNXTDZ($A$1,$B50,AZ$1,$B$1)</f>
        <v>0</v>
      </c>
      <c r="BA50" s="125" cm="1">
        <f t="array" ref="BA50">+_xll.EQNXTDZ($A$1,$B50,BA$1,$B$1)</f>
        <v>0</v>
      </c>
      <c r="BB50" s="125" cm="1">
        <f t="array" ref="BB50">+_xll.EQNXTDZ($A$1,$B50,BB$1,$B$1)</f>
        <v>0</v>
      </c>
      <c r="BC50" s="125" cm="1">
        <f t="array" ref="BC50">+_xll.EQNXTDZ($A$1,$B50,BC$1,$B$1)</f>
        <v>0</v>
      </c>
      <c r="BD50" s="125" cm="1">
        <f t="array" ref="BD50">+_xll.EQNXTDZ($A$1,$B50,BD$1,$B$1)</f>
        <v>0</v>
      </c>
      <c r="BE50" s="125" cm="1">
        <f t="array" ref="BE50">+_xll.EQNXTDZ($A$1,$B50,BE$1,$B$1)</f>
        <v>0</v>
      </c>
      <c r="BF50" s="125" cm="1">
        <f t="array" ref="BF50">+_xll.EQNXTDZ($A$1,$B50,BF$1,$B$1)</f>
        <v>0</v>
      </c>
      <c r="BG50" s="125" cm="1">
        <f t="array" ref="BG50">+_xll.EQNXTDZ($A$1,$B50,BG$1,$B$1)</f>
        <v>0</v>
      </c>
      <c r="BH50" s="125" cm="1">
        <f t="array" ref="BH50">+_xll.EQNXTDZ($A$1,$B50,BH$1,$B$1)</f>
        <v>0</v>
      </c>
      <c r="BI50" s="125" cm="1">
        <f t="array" ref="BI50">+_xll.EQNXTDZ($A$1,$B50,BI$1,$B$1)</f>
        <v>0</v>
      </c>
      <c r="BJ50" s="125" cm="1">
        <f t="array" ref="BJ50">+_xll.EQNXTDZ($A$1,$B50,BJ$1,$B$1)</f>
        <v>0</v>
      </c>
      <c r="BK50" s="125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5" cm="1">
        <f t="array" ref="C51">+_xll.EQNXTDZ($A$1,$B51,C$1,$B$1)</f>
        <v>0</v>
      </c>
      <c r="D51" s="125" cm="1">
        <f t="array" ref="D51">+_xll.EQNXTDZ($A$1,$B51,D$1,$B$1)</f>
        <v>0</v>
      </c>
      <c r="E51" s="125" cm="1">
        <f t="array" ref="E51">+_xll.EQNXTDZ($A$1,$B51,E$1,$B$1)</f>
        <v>0</v>
      </c>
      <c r="F51" s="125" cm="1">
        <f t="array" ref="F51">+_xll.EQNXTDZ($A$1,$B51,F$1,$B$1)</f>
        <v>0</v>
      </c>
      <c r="G51" s="125" cm="1">
        <f t="array" ref="G51">+_xll.EQNXTDZ($A$1,$B51,G$1,$B$1)</f>
        <v>0</v>
      </c>
      <c r="H51" s="125" cm="1">
        <f t="array" ref="H51">+_xll.EQNXTDZ($A$1,$B51,H$1,$B$1)</f>
        <v>0</v>
      </c>
      <c r="I51" s="125" cm="1">
        <f t="array" ref="I51">+_xll.EQNXTDZ($A$1,$B51,I$1,$B$1)</f>
        <v>0</v>
      </c>
      <c r="J51" s="125" cm="1">
        <f t="array" ref="J51">+_xll.EQNXTDZ($A$1,$B51,J$1,$B$1)</f>
        <v>0</v>
      </c>
      <c r="K51" s="125" cm="1">
        <f t="array" ref="K51">+_xll.EQNXTDZ($A$1,$B51,K$1,$B$1)</f>
        <v>0</v>
      </c>
      <c r="L51" s="125" cm="1">
        <f t="array" ref="L51">+_xll.EQNXTDZ($A$1,$B51,L$1,$B$1)</f>
        <v>0</v>
      </c>
      <c r="M51" s="125" cm="1">
        <f t="array" ref="M51">+_xll.EQNXTDZ($A$1,$B51,M$1,$B$1)</f>
        <v>10</v>
      </c>
      <c r="N51" s="125" cm="1">
        <f t="array" ref="N51">+_xll.EQNXTDZ($A$1,$B51,N$1,$B$1)</f>
        <v>10</v>
      </c>
      <c r="O51" s="125" cm="1">
        <f t="array" ref="O51">+_xll.EQNXTDZ($A$1,$B51,O$1,$B$1)</f>
        <v>10</v>
      </c>
      <c r="P51" s="125" cm="1">
        <f t="array" ref="P51">+_xll.EQNXTDZ($A$1,$B51,P$1,$B$1)</f>
        <v>10</v>
      </c>
      <c r="Q51" s="125" cm="1">
        <f t="array" ref="Q51">+_xll.EQNXTDZ($A$1,$B51,Q$1,$B$1)</f>
        <v>10</v>
      </c>
      <c r="R51" s="125" cm="1">
        <f t="array" ref="R51">+_xll.EQNXTDZ($A$1,$B51,R$1,$B$1)</f>
        <v>10</v>
      </c>
      <c r="S51" s="125" cm="1">
        <f t="array" ref="S51">+_xll.EQNXTDZ($A$1,$B51,S$1,$B$1)</f>
        <v>10</v>
      </c>
      <c r="T51" s="125" cm="1">
        <f t="array" ref="T51">+_xll.EQNXTDZ($A$1,$B51,T$1,$B$1)</f>
        <v>10</v>
      </c>
      <c r="U51" s="125" cm="1">
        <f t="array" ref="U51">+_xll.EQNXTDZ($A$1,$B51,U$1,$B$1)</f>
        <v>10</v>
      </c>
      <c r="V51" s="125" cm="1">
        <f t="array" ref="V51">+_xll.EQNXTDZ($A$1,$B51,V$1,$B$1)</f>
        <v>10</v>
      </c>
      <c r="W51" s="125" cm="1">
        <f t="array" ref="W51">+_xll.EQNXTDZ($A$1,$B51,W$1,$B$1)</f>
        <v>10</v>
      </c>
      <c r="X51" s="125" cm="1">
        <f t="array" ref="X51">+_xll.EQNXTDZ($A$1,$B51,X$1,$B$1)</f>
        <v>10</v>
      </c>
      <c r="Y51" s="125" cm="1">
        <f t="array" ref="Y51">+_xll.EQNXTDZ($A$1,$B51,Y$1,$B$1)</f>
        <v>10</v>
      </c>
      <c r="Z51" s="125" cm="1">
        <f t="array" ref="Z51">+_xll.EQNXTDZ($A$1,$B51,Z$1,$B$1)</f>
        <v>10</v>
      </c>
      <c r="AA51" s="125" cm="1">
        <f t="array" ref="AA51">+_xll.EQNXTDZ($A$1,$B51,AA$1,$B$1)</f>
        <v>10</v>
      </c>
      <c r="AB51" s="125" cm="1">
        <f t="array" ref="AB51">+_xll.EQNXTDZ($A$1,$B51,AB$1,$B$1)</f>
        <v>10</v>
      </c>
      <c r="AC51" s="125" cm="1">
        <f t="array" ref="AC51">+_xll.EQNXTDZ($A$1,$B51,AC$1,$B$1)</f>
        <v>10</v>
      </c>
      <c r="AD51" s="125" cm="1">
        <f t="array" ref="AD51">+_xll.EQNXTDZ($A$1,$B51,AD$1,$B$1)</f>
        <v>10</v>
      </c>
      <c r="AE51" s="125" cm="1">
        <f t="array" ref="AE51">+_xll.EQNXTDZ($A$1,$B51,AE$1,$B$1)</f>
        <v>10</v>
      </c>
      <c r="AF51" s="125" cm="1">
        <f t="array" ref="AF51">+_xll.EQNXTDZ($A$1,$B51,AF$1,$B$1)</f>
        <v>10</v>
      </c>
      <c r="AG51" s="125" cm="1">
        <f t="array" ref="AG51">+_xll.EQNXTDZ($A$1,$B51,AG$1,$B$1)</f>
        <v>10</v>
      </c>
      <c r="AH51" s="125" cm="1">
        <f t="array" ref="AH51">+_xll.EQNXTDZ($A$1,$B51,AH$1,$B$1)</f>
        <v>10</v>
      </c>
      <c r="AI51" s="125" cm="1">
        <f t="array" ref="AI51">+_xll.EQNXTDZ($A$1,$B51,AI$1,$B$1)</f>
        <v>10</v>
      </c>
      <c r="AJ51" s="125" cm="1">
        <f t="array" ref="AJ51">+_xll.EQNXTDZ($A$1,$B51,AJ$1,$B$1)</f>
        <v>10</v>
      </c>
      <c r="AK51" s="125" cm="1">
        <f t="array" ref="AK51">+_xll.EQNXTDZ($A$1,$B51,AK$1,$B$1)</f>
        <v>10</v>
      </c>
      <c r="AL51" s="125" cm="1">
        <f t="array" ref="AL51">+_xll.EQNXTDZ($A$1,$B51,AL$1,$B$1)</f>
        <v>10</v>
      </c>
      <c r="AM51" s="125" cm="1">
        <f t="array" ref="AM51">+_xll.EQNXTDZ($A$1,$B51,AM$1,$B$1)</f>
        <v>10</v>
      </c>
      <c r="AN51" s="125" cm="1">
        <f t="array" ref="AN51">+_xll.EQNXTDZ($A$1,$B51,AN$1,$B$1)</f>
        <v>10</v>
      </c>
      <c r="AO51" s="125" cm="1">
        <f t="array" ref="AO51">+_xll.EQNXTDZ($A$1,$B51,AO$1,$B$1)</f>
        <v>10</v>
      </c>
      <c r="AP51" s="125" cm="1">
        <f t="array" ref="AP51">+_xll.EQNXTDZ($A$1,$B51,AP$1,$B$1)</f>
        <v>10</v>
      </c>
      <c r="AQ51" s="125" cm="1">
        <f t="array" ref="AQ51">+_xll.EQNXTDZ($A$1,$B51,AQ$1,$B$1)</f>
        <v>10</v>
      </c>
      <c r="AR51" s="125" cm="1">
        <f t="array" ref="AR51">+_xll.EQNXTDZ($A$1,$B51,AR$1,$B$1)</f>
        <v>10</v>
      </c>
      <c r="AS51" s="125" cm="1">
        <f t="array" ref="AS51">+_xll.EQNXTDZ($A$1,$B51,AS$1,$B$1)</f>
        <v>10</v>
      </c>
      <c r="AT51" s="125" cm="1">
        <f t="array" ref="AT51">+_xll.EQNXTDZ($A$1,$B51,AT$1,$B$1)</f>
        <v>10</v>
      </c>
      <c r="AU51" s="125" cm="1">
        <f t="array" ref="AU51">+_xll.EQNXTDZ($A$1,$B51,AU$1,$B$1)</f>
        <v>10</v>
      </c>
      <c r="AV51" s="125" cm="1">
        <f t="array" ref="AV51">+_xll.EQNXTDZ($A$1,$B51,AV$1,$B$1)</f>
        <v>0</v>
      </c>
      <c r="AW51" s="125" cm="1">
        <f t="array" ref="AW51">+_xll.EQNXTDZ($A$1,$B51,AW$1,$B$1)</f>
        <v>0</v>
      </c>
      <c r="AX51" s="125" cm="1">
        <f t="array" ref="AX51">+_xll.EQNXTDZ($A$1,$B51,AX$1,$B$1)</f>
        <v>0</v>
      </c>
      <c r="AY51" s="125" cm="1">
        <f t="array" ref="AY51">+_xll.EQNXTDZ($A$1,$B51,AY$1,$B$1)</f>
        <v>0</v>
      </c>
      <c r="AZ51" s="125" cm="1">
        <f t="array" ref="AZ51">+_xll.EQNXTDZ($A$1,$B51,AZ$1,$B$1)</f>
        <v>0</v>
      </c>
      <c r="BA51" s="125" cm="1">
        <f t="array" ref="BA51">+_xll.EQNXTDZ($A$1,$B51,BA$1,$B$1)</f>
        <v>0</v>
      </c>
      <c r="BB51" s="125" cm="1">
        <f t="array" ref="BB51">+_xll.EQNXTDZ($A$1,$B51,BB$1,$B$1)</f>
        <v>0</v>
      </c>
      <c r="BC51" s="125" cm="1">
        <f t="array" ref="BC51">+_xll.EQNXTDZ($A$1,$B51,BC$1,$B$1)</f>
        <v>0</v>
      </c>
      <c r="BD51" s="125" cm="1">
        <f t="array" ref="BD51">+_xll.EQNXTDZ($A$1,$B51,BD$1,$B$1)</f>
        <v>0</v>
      </c>
      <c r="BE51" s="125" cm="1">
        <f t="array" ref="BE51">+_xll.EQNXTDZ($A$1,$B51,BE$1,$B$1)</f>
        <v>0</v>
      </c>
      <c r="BF51" s="125" cm="1">
        <f t="array" ref="BF51">+_xll.EQNXTDZ($A$1,$B51,BF$1,$B$1)</f>
        <v>0</v>
      </c>
      <c r="BG51" s="125" cm="1">
        <f t="array" ref="BG51">+_xll.EQNXTDZ($A$1,$B51,BG$1,$B$1)</f>
        <v>0</v>
      </c>
      <c r="BH51" s="125" cm="1">
        <f t="array" ref="BH51">+_xll.EQNXTDZ($A$1,$B51,BH$1,$B$1)</f>
        <v>0</v>
      </c>
      <c r="BI51" s="125" cm="1">
        <f t="array" ref="BI51">+_xll.EQNXTDZ($A$1,$B51,BI$1,$B$1)</f>
        <v>0</v>
      </c>
      <c r="BJ51" s="125" cm="1">
        <f t="array" ref="BJ51">+_xll.EQNXTDZ($A$1,$B51,BJ$1,$B$1)</f>
        <v>0</v>
      </c>
      <c r="BK51" s="125" cm="1">
        <f t="array" ref="BK51">+_xll.EQNXTDZ($A$1,$B51,BK$1,$B$1)</f>
        <v>0</v>
      </c>
    </row>
    <row r="53" spans="1:63" x14ac:dyDescent="0.25"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</row>
    <row r="54" spans="1:63" x14ac:dyDescent="0.25">
      <c r="A54" t="s">
        <v>16</v>
      </c>
      <c r="B54" t="s">
        <v>325</v>
      </c>
      <c r="C54" s="125" cm="1">
        <f t="array" ref="C54">+_xll.EQNXTDZ($A$1,$B54,C$1,$B$1)</f>
        <v>0</v>
      </c>
      <c r="D54" s="125" cm="1">
        <f t="array" ref="D54">+_xll.EQNXTDZ($A$1,$B54,D$1,$B$1)</f>
        <v>0</v>
      </c>
      <c r="E54" s="125" cm="1">
        <f t="array" ref="E54">+_xll.EQNXTDZ($A$1,$B54,E$1,$B$1)</f>
        <v>0</v>
      </c>
      <c r="F54" s="125" cm="1">
        <f t="array" ref="F54">+_xll.EQNXTDZ($A$1,$B54,F$1,$B$1)</f>
        <v>0</v>
      </c>
      <c r="G54" s="125" cm="1">
        <f t="array" ref="G54">+_xll.EQNXTDZ($A$1,$B54,G$1,$B$1)</f>
        <v>0</v>
      </c>
      <c r="H54" s="125" cm="1">
        <f t="array" ref="H54">+_xll.EQNXTDZ($A$1,$B54,H$1,$B$1)</f>
        <v>0</v>
      </c>
      <c r="I54" s="125" cm="1">
        <f t="array" ref="I54">+_xll.EQNXTDZ($A$1,$B54,I$1,$B$1)</f>
        <v>0</v>
      </c>
      <c r="J54" s="125" cm="1">
        <f t="array" ref="J54">+_xll.EQNXTDZ($A$1,$B54,J$1,$B$1)</f>
        <v>0</v>
      </c>
      <c r="K54" s="125" cm="1">
        <f t="array" ref="K54">+_xll.EQNXTDZ($A$1,$B54,K$1,$B$1)</f>
        <v>0</v>
      </c>
      <c r="L54" s="125" cm="1">
        <f t="array" ref="L54">+_xll.EQNXTDZ($A$1,$B54,L$1,$B$1)</f>
        <v>0</v>
      </c>
      <c r="M54" s="125" cm="1">
        <f t="array" ref="M54">+_xll.EQNXTDZ($A$1,$B54,M$1,$B$1)</f>
        <v>0</v>
      </c>
      <c r="N54" s="125" cm="1">
        <f t="array" ref="N54">+_xll.EQNXTDZ($A$1,$B54,N$1,$B$1)</f>
        <v>0</v>
      </c>
      <c r="O54" s="125" cm="1">
        <f t="array" ref="O54">+_xll.EQNXTDZ($A$1,$B54,O$1,$B$1)</f>
        <v>128.43</v>
      </c>
      <c r="P54" s="125" cm="1">
        <f t="array" ref="P54">+_xll.EQNXTDZ($A$1,$B54,P$1,$B$1)</f>
        <v>0</v>
      </c>
      <c r="Q54" s="125" cm="1">
        <f t="array" ref="Q54">+_xll.EQNXTDZ($A$1,$B54,Q$1,$B$1)</f>
        <v>143.36000000000001</v>
      </c>
      <c r="R54" s="125" cm="1">
        <f t="array" ref="R54">+_xll.EQNXTDZ($A$1,$B54,R$1,$B$1)</f>
        <v>0</v>
      </c>
      <c r="S54" s="125" cm="1">
        <f t="array" ref="S54">+_xll.EQNXTDZ($A$1,$B54,S$1,$B$1)</f>
        <v>143.55000000000001</v>
      </c>
      <c r="T54" s="125" cm="1">
        <f t="array" ref="T54">+_xll.EQNXTDZ($A$1,$B54,T$1,$B$1)</f>
        <v>0</v>
      </c>
      <c r="U54" s="125" cm="1">
        <f t="array" ref="U54">+_xll.EQNXTDZ($A$1,$B54,U$1,$B$1)</f>
        <v>143.80000000000001</v>
      </c>
      <c r="V54" s="125" cm="1">
        <f t="array" ref="V54">+_xll.EQNXTDZ($A$1,$B54,V$1,$B$1)</f>
        <v>0</v>
      </c>
      <c r="W54" s="125" cm="1">
        <f t="array" ref="W54">+_xll.EQNXTDZ($A$1,$B54,W$1,$B$1)</f>
        <v>143.99</v>
      </c>
      <c r="X54" s="125" cm="1">
        <f t="array" ref="X54">+_xll.EQNXTDZ($A$1,$B54,X$1,$B$1)</f>
        <v>0</v>
      </c>
      <c r="Y54" s="125" cm="1">
        <f t="array" ref="Y54">+_xll.EQNXTDZ($A$1,$B54,Y$1,$B$1)</f>
        <v>144.11000000000001</v>
      </c>
      <c r="Z54" s="125" cm="1">
        <f t="array" ref="Z54">+_xll.EQNXTDZ($A$1,$B54,Z$1,$B$1)</f>
        <v>0</v>
      </c>
      <c r="AA54" s="125" cm="1">
        <f t="array" ref="AA54">+_xll.EQNXTDZ($A$1,$B54,AA$1,$B$1)</f>
        <v>155.58000000000001</v>
      </c>
      <c r="AB54" s="125" cm="1">
        <f t="array" ref="AB54">+_xll.EQNXTDZ($A$1,$B54,AB$1,$B$1)</f>
        <v>0</v>
      </c>
      <c r="AC54" s="125" cm="1">
        <f t="array" ref="AC54">+_xll.EQNXTDZ($A$1,$B54,AC$1,$B$1)</f>
        <v>155.74</v>
      </c>
      <c r="AD54" s="125" cm="1">
        <f t="array" ref="AD54">+_xll.EQNXTDZ($A$1,$B54,AD$1,$B$1)</f>
        <v>0</v>
      </c>
      <c r="AE54" s="125" cm="1">
        <f t="array" ref="AE54">+_xll.EQNXTDZ($A$1,$B54,AE$1,$B$1)</f>
        <v>155.87</v>
      </c>
      <c r="AF54" s="125" cm="1">
        <f t="array" ref="AF54">+_xll.EQNXTDZ($A$1,$B54,AF$1,$B$1)</f>
        <v>0</v>
      </c>
      <c r="AG54" s="125" cm="1">
        <f t="array" ref="AG54">+_xll.EQNXTDZ($A$1,$B54,AG$1,$B$1)</f>
        <v>156.11000000000001</v>
      </c>
      <c r="AH54" s="125" cm="1">
        <f t="array" ref="AH54">+_xll.EQNXTDZ($A$1,$B54,AH$1,$B$1)</f>
        <v>0</v>
      </c>
      <c r="AI54" s="125" cm="1">
        <f t="array" ref="AI54">+_xll.EQNXTDZ($A$1,$B54,AI$1,$B$1)</f>
        <v>158.91</v>
      </c>
      <c r="AJ54" s="125" cm="1">
        <f t="array" ref="AJ54">+_xll.EQNXTDZ($A$1,$B54,AJ$1,$B$1)</f>
        <v>0</v>
      </c>
      <c r="AK54" s="125" cm="1">
        <f t="array" ref="AK54">+_xll.EQNXTDZ($A$1,$B54,AK$1,$B$1)</f>
        <v>159.11000000000001</v>
      </c>
      <c r="AL54" s="125" cm="1">
        <f t="array" ref="AL54">+_xll.EQNXTDZ($A$1,$B54,AL$1,$B$1)</f>
        <v>0</v>
      </c>
      <c r="AM54" s="125" cm="1">
        <f t="array" ref="AM54">+_xll.EQNXTDZ($A$1,$B54,AM$1,$B$1)</f>
        <v>159.38</v>
      </c>
      <c r="AN54" s="125" cm="1">
        <f t="array" ref="AN54">+_xll.EQNXTDZ($A$1,$B54,AN$1,$B$1)</f>
        <v>0</v>
      </c>
      <c r="AO54" s="125" cm="1">
        <f t="array" ref="AO54">+_xll.EQNXTDZ($A$1,$B54,AO$1,$B$1)</f>
        <v>159.46</v>
      </c>
      <c r="AP54" s="125" cm="1">
        <f t="array" ref="AP54">+_xll.EQNXTDZ($A$1,$B54,AP$1,$B$1)</f>
        <v>0</v>
      </c>
      <c r="AQ54" s="125" cm="1">
        <f t="array" ref="AQ54">+_xll.EQNXTDZ($A$1,$B54,AQ$1,$B$1)</f>
        <v>159.72</v>
      </c>
      <c r="AR54" s="125" cm="1">
        <f t="array" ref="AR54">+_xll.EQNXTDZ($A$1,$B54,AR$1,$B$1)</f>
        <v>0</v>
      </c>
      <c r="AS54" s="125" cm="1">
        <f t="array" ref="AS54">+_xll.EQNXTDZ($A$1,$B54,AS$1,$B$1)</f>
        <v>159.88</v>
      </c>
      <c r="AT54" s="125" cm="1">
        <f t="array" ref="AT54">+_xll.EQNXTDZ($A$1,$B54,AT$1,$B$1)</f>
        <v>0</v>
      </c>
      <c r="AU54" s="125" cm="1">
        <f t="array" ref="AU54">+_xll.EQNXTDZ($A$1,$B54,AU$1,$B$1)</f>
        <v>160.19999999999999</v>
      </c>
      <c r="AV54" s="125" cm="1">
        <f t="array" ref="AV54">+_xll.EQNXTDZ($A$1,$B54,AV$1,$B$1)</f>
        <v>0</v>
      </c>
      <c r="AW54" s="125" cm="1">
        <f t="array" ref="AW54">+_xll.EQNXTDZ($A$1,$B54,AW$1,$B$1)</f>
        <v>0</v>
      </c>
      <c r="AX54" s="125" cm="1">
        <f t="array" ref="AX54">+_xll.EQNXTDZ($A$1,$B54,AX$1,$B$1)</f>
        <v>0</v>
      </c>
      <c r="AY54" s="125" cm="1">
        <f t="array" ref="AY54">+_xll.EQNXTDZ($A$1,$B54,AY$1,$B$1)</f>
        <v>0</v>
      </c>
      <c r="AZ54" s="125" cm="1">
        <f t="array" ref="AZ54">+_xll.EQNXTDZ($A$1,$B54,AZ$1,$B$1)</f>
        <v>0</v>
      </c>
      <c r="BA54" s="125" cm="1">
        <f t="array" ref="BA54">+_xll.EQNXTDZ($A$1,$B54,BA$1,$B$1)</f>
        <v>0</v>
      </c>
      <c r="BB54" s="125" cm="1">
        <f t="array" ref="BB54">+_xll.EQNXTDZ($A$1,$B54,BB$1,$B$1)</f>
        <v>0</v>
      </c>
      <c r="BC54" s="125" cm="1">
        <f t="array" ref="BC54">+_xll.EQNXTDZ($A$1,$B54,BC$1,$B$1)</f>
        <v>0</v>
      </c>
      <c r="BD54" s="125" cm="1">
        <f t="array" ref="BD54">+_xll.EQNXTDZ($A$1,$B54,BD$1,$B$1)</f>
        <v>0</v>
      </c>
      <c r="BE54" s="125" cm="1">
        <f t="array" ref="BE54">+_xll.EQNXTDZ($A$1,$B54,BE$1,$B$1)</f>
        <v>0</v>
      </c>
      <c r="BF54" s="125" cm="1">
        <f t="array" ref="BF54">+_xll.EQNXTDZ($A$1,$B54,BF$1,$B$1)</f>
        <v>0</v>
      </c>
      <c r="BG54" s="125" cm="1">
        <f t="array" ref="BG54">+_xll.EQNXTDZ($A$1,$B54,BG$1,$B$1)</f>
        <v>0</v>
      </c>
      <c r="BH54" s="125" cm="1">
        <f t="array" ref="BH54">+_xll.EQNXTDZ($A$1,$B54,BH$1,$B$1)</f>
        <v>0</v>
      </c>
      <c r="BI54" s="125" cm="1">
        <f t="array" ref="BI54">+_xll.EQNXTDZ($A$1,$B54,BI$1,$B$1)</f>
        <v>0</v>
      </c>
      <c r="BJ54" s="125" cm="1">
        <f t="array" ref="BJ54">+_xll.EQNXTDZ($A$1,$B54,BJ$1,$B$1)</f>
        <v>0</v>
      </c>
      <c r="BK54" s="125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5" cm="1">
        <f t="array" ref="C55">+_xll.EQNXTDZ($A$1,$B55,C$1,$B$1)</f>
        <v>0</v>
      </c>
      <c r="D55" s="125" cm="1">
        <f t="array" ref="D55">+_xll.EQNXTDZ($A$1,$B55,D$1,$B$1)</f>
        <v>0</v>
      </c>
      <c r="E55" s="125" cm="1">
        <f t="array" ref="E55">+_xll.EQNXTDZ($A$1,$B55,E$1,$B$1)</f>
        <v>0</v>
      </c>
      <c r="F55" s="125" cm="1">
        <f t="array" ref="F55">+_xll.EQNXTDZ($A$1,$B55,F$1,$B$1)</f>
        <v>0</v>
      </c>
      <c r="G55" s="125" cm="1">
        <f t="array" ref="G55">+_xll.EQNXTDZ($A$1,$B55,G$1,$B$1)</f>
        <v>0</v>
      </c>
      <c r="H55" s="125" cm="1">
        <f t="array" ref="H55">+_xll.EQNXTDZ($A$1,$B55,H$1,$B$1)</f>
        <v>0</v>
      </c>
      <c r="I55" s="125" cm="1">
        <f t="array" ref="I55">+_xll.EQNXTDZ($A$1,$B55,I$1,$B$1)</f>
        <v>0</v>
      </c>
      <c r="J55" s="125" cm="1">
        <f t="array" ref="J55">+_xll.EQNXTDZ($A$1,$B55,J$1,$B$1)</f>
        <v>0</v>
      </c>
      <c r="K55" s="125" cm="1">
        <f t="array" ref="K55">+_xll.EQNXTDZ($A$1,$B55,K$1,$B$1)</f>
        <v>0</v>
      </c>
      <c r="L55" s="125" cm="1">
        <f t="array" ref="L55">+_xll.EQNXTDZ($A$1,$B55,L$1,$B$1)</f>
        <v>0</v>
      </c>
      <c r="M55" s="125" cm="1">
        <f t="array" ref="M55">+_xll.EQNXTDZ($A$1,$B55,M$1,$B$1)</f>
        <v>0</v>
      </c>
      <c r="N55" s="125" cm="1">
        <f t="array" ref="N55">+_xll.EQNXTDZ($A$1,$B55,N$1,$B$1)</f>
        <v>0</v>
      </c>
      <c r="O55" s="125" cm="1">
        <f t="array" ref="O55">+_xll.EQNXTDZ($A$1,$B55,O$1,$B$1)</f>
        <v>0</v>
      </c>
      <c r="P55" s="125" cm="1">
        <f t="array" ref="P55">+_xll.EQNXTDZ($A$1,$B55,P$1,$B$1)</f>
        <v>0</v>
      </c>
      <c r="Q55" s="125" cm="1">
        <f t="array" ref="Q55">+_xll.EQNXTDZ($A$1,$B55,Q$1,$B$1)</f>
        <v>0</v>
      </c>
      <c r="R55" s="125" cm="1">
        <f t="array" ref="R55">+_xll.EQNXTDZ($A$1,$B55,R$1,$B$1)</f>
        <v>0</v>
      </c>
      <c r="S55" s="125" cm="1">
        <f t="array" ref="S55">+_xll.EQNXTDZ($A$1,$B55,S$1,$B$1)</f>
        <v>0</v>
      </c>
      <c r="T55" s="125" cm="1">
        <f t="array" ref="T55">+_xll.EQNXTDZ($A$1,$B55,T$1,$B$1)</f>
        <v>0</v>
      </c>
      <c r="U55" s="125" cm="1">
        <f t="array" ref="U55">+_xll.EQNXTDZ($A$1,$B55,U$1,$B$1)</f>
        <v>0</v>
      </c>
      <c r="V55" s="125" cm="1">
        <f t="array" ref="V55">+_xll.EQNXTDZ($A$1,$B55,V$1,$B$1)</f>
        <v>0</v>
      </c>
      <c r="W55" s="125" cm="1">
        <f t="array" ref="W55">+_xll.EQNXTDZ($A$1,$B55,W$1,$B$1)</f>
        <v>0</v>
      </c>
      <c r="X55" s="125" cm="1">
        <f t="array" ref="X55">+_xll.EQNXTDZ($A$1,$B55,X$1,$B$1)</f>
        <v>0</v>
      </c>
      <c r="Y55" s="125" cm="1">
        <f t="array" ref="Y55">+_xll.EQNXTDZ($A$1,$B55,Y$1,$B$1)</f>
        <v>0</v>
      </c>
      <c r="Z55" s="125" cm="1">
        <f t="array" ref="Z55">+_xll.EQNXTDZ($A$1,$B55,Z$1,$B$1)</f>
        <v>0</v>
      </c>
      <c r="AA55" s="125" cm="1">
        <f t="array" ref="AA55">+_xll.EQNXTDZ($A$1,$B55,AA$1,$B$1)</f>
        <v>0</v>
      </c>
      <c r="AB55" s="125" cm="1">
        <f t="array" ref="AB55">+_xll.EQNXTDZ($A$1,$B55,AB$1,$B$1)</f>
        <v>0</v>
      </c>
      <c r="AC55" s="125" cm="1">
        <f t="array" ref="AC55">+_xll.EQNXTDZ($A$1,$B55,AC$1,$B$1)</f>
        <v>0</v>
      </c>
      <c r="AD55" s="125" cm="1">
        <f t="array" ref="AD55">+_xll.EQNXTDZ($A$1,$B55,AD$1,$B$1)</f>
        <v>0</v>
      </c>
      <c r="AE55" s="125" cm="1">
        <f t="array" ref="AE55">+_xll.EQNXTDZ($A$1,$B55,AE$1,$B$1)</f>
        <v>0</v>
      </c>
      <c r="AF55" s="125" cm="1">
        <f t="array" ref="AF55">+_xll.EQNXTDZ($A$1,$B55,AF$1,$B$1)</f>
        <v>0</v>
      </c>
      <c r="AG55" s="125" cm="1">
        <f t="array" ref="AG55">+_xll.EQNXTDZ($A$1,$B55,AG$1,$B$1)</f>
        <v>0</v>
      </c>
      <c r="AH55" s="125" cm="1">
        <f t="array" ref="AH55">+_xll.EQNXTDZ($A$1,$B55,AH$1,$B$1)</f>
        <v>0</v>
      </c>
      <c r="AI55" s="125" cm="1">
        <f t="array" ref="AI55">+_xll.EQNXTDZ($A$1,$B55,AI$1,$B$1)</f>
        <v>0</v>
      </c>
      <c r="AJ55" s="125" cm="1">
        <f t="array" ref="AJ55">+_xll.EQNXTDZ($A$1,$B55,AJ$1,$B$1)</f>
        <v>0</v>
      </c>
      <c r="AK55" s="125" cm="1">
        <f t="array" ref="AK55">+_xll.EQNXTDZ($A$1,$B55,AK$1,$B$1)</f>
        <v>0</v>
      </c>
      <c r="AL55" s="125" cm="1">
        <f t="array" ref="AL55">+_xll.EQNXTDZ($A$1,$B55,AL$1,$B$1)</f>
        <v>0</v>
      </c>
      <c r="AM55" s="125" cm="1">
        <f t="array" ref="AM55">+_xll.EQNXTDZ($A$1,$B55,AM$1,$B$1)</f>
        <v>0</v>
      </c>
      <c r="AN55" s="125" cm="1">
        <f t="array" ref="AN55">+_xll.EQNXTDZ($A$1,$B55,AN$1,$B$1)</f>
        <v>0</v>
      </c>
      <c r="AO55" s="125" cm="1">
        <f t="array" ref="AO55">+_xll.EQNXTDZ($A$1,$B55,AO$1,$B$1)</f>
        <v>0</v>
      </c>
      <c r="AP55" s="125" cm="1">
        <f t="array" ref="AP55">+_xll.EQNXTDZ($A$1,$B55,AP$1,$B$1)</f>
        <v>0</v>
      </c>
      <c r="AQ55" s="125" cm="1">
        <f t="array" ref="AQ55">+_xll.EQNXTDZ($A$1,$B55,AQ$1,$B$1)</f>
        <v>0</v>
      </c>
      <c r="AR55" s="125" cm="1">
        <f t="array" ref="AR55">+_xll.EQNXTDZ($A$1,$B55,AR$1,$B$1)</f>
        <v>0</v>
      </c>
      <c r="AS55" s="125" cm="1">
        <f t="array" ref="AS55">+_xll.EQNXTDZ($A$1,$B55,AS$1,$B$1)</f>
        <v>0</v>
      </c>
      <c r="AT55" s="125" cm="1">
        <f t="array" ref="AT55">+_xll.EQNXTDZ($A$1,$B55,AT$1,$B$1)</f>
        <v>0</v>
      </c>
      <c r="AU55" s="125" cm="1">
        <f t="array" ref="AU55">+_xll.EQNXTDZ($A$1,$B55,AU$1,$B$1)</f>
        <v>0</v>
      </c>
      <c r="AV55" s="125" cm="1">
        <f t="array" ref="AV55">+_xll.EQNXTDZ($A$1,$B55,AV$1,$B$1)</f>
        <v>0</v>
      </c>
      <c r="AW55" s="125" cm="1">
        <f t="array" ref="AW55">+_xll.EQNXTDZ($A$1,$B55,AW$1,$B$1)</f>
        <v>0</v>
      </c>
      <c r="AX55" s="125" cm="1">
        <f t="array" ref="AX55">+_xll.EQNXTDZ($A$1,$B55,AX$1,$B$1)</f>
        <v>0</v>
      </c>
      <c r="AY55" s="125" cm="1">
        <f t="array" ref="AY55">+_xll.EQNXTDZ($A$1,$B55,AY$1,$B$1)</f>
        <v>0</v>
      </c>
      <c r="AZ55" s="125" cm="1">
        <f t="array" ref="AZ55">+_xll.EQNXTDZ($A$1,$B55,AZ$1,$B$1)</f>
        <v>0</v>
      </c>
      <c r="BA55" s="125" cm="1">
        <f t="array" ref="BA55">+_xll.EQNXTDZ($A$1,$B55,BA$1,$B$1)</f>
        <v>0</v>
      </c>
      <c r="BB55" s="125" cm="1">
        <f t="array" ref="BB55">+_xll.EQNXTDZ($A$1,$B55,BB$1,$B$1)</f>
        <v>0</v>
      </c>
      <c r="BC55" s="125" cm="1">
        <f t="array" ref="BC55">+_xll.EQNXTDZ($A$1,$B55,BC$1,$B$1)</f>
        <v>0</v>
      </c>
      <c r="BD55" s="125" cm="1">
        <f t="array" ref="BD55">+_xll.EQNXTDZ($A$1,$B55,BD$1,$B$1)</f>
        <v>0</v>
      </c>
      <c r="BE55" s="125" cm="1">
        <f t="array" ref="BE55">+_xll.EQNXTDZ($A$1,$B55,BE$1,$B$1)</f>
        <v>0</v>
      </c>
      <c r="BF55" s="125" cm="1">
        <f t="array" ref="BF55">+_xll.EQNXTDZ($A$1,$B55,BF$1,$B$1)</f>
        <v>0</v>
      </c>
      <c r="BG55" s="125" cm="1">
        <f t="array" ref="BG55">+_xll.EQNXTDZ($A$1,$B55,BG$1,$B$1)</f>
        <v>0</v>
      </c>
      <c r="BH55" s="125" cm="1">
        <f t="array" ref="BH55">+_xll.EQNXTDZ($A$1,$B55,BH$1,$B$1)</f>
        <v>0</v>
      </c>
      <c r="BI55" s="125" cm="1">
        <f t="array" ref="BI55">+_xll.EQNXTDZ($A$1,$B55,BI$1,$B$1)</f>
        <v>0</v>
      </c>
      <c r="BJ55" s="125" cm="1">
        <f t="array" ref="BJ55">+_xll.EQNXTDZ($A$1,$B55,BJ$1,$B$1)</f>
        <v>0</v>
      </c>
      <c r="BK55" s="125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5" cm="1">
        <f t="array" ref="C56">+_xll.EQNXTDZ($A$1,$B56,C$1,$B$1)</f>
        <v>0</v>
      </c>
      <c r="D56" s="125" cm="1">
        <f t="array" ref="D56">+_xll.EQNXTDZ($A$1,$B56,D$1,$B$1)</f>
        <v>0</v>
      </c>
      <c r="E56" s="125" cm="1">
        <f t="array" ref="E56">+_xll.EQNXTDZ($A$1,$B56,E$1,$B$1)</f>
        <v>0</v>
      </c>
      <c r="F56" s="125" cm="1">
        <f t="array" ref="F56">+_xll.EQNXTDZ($A$1,$B56,F$1,$B$1)</f>
        <v>0</v>
      </c>
      <c r="G56" s="125" cm="1">
        <f t="array" ref="G56">+_xll.EQNXTDZ($A$1,$B56,G$1,$B$1)</f>
        <v>0</v>
      </c>
      <c r="H56" s="125" cm="1">
        <f t="array" ref="H56">+_xll.EQNXTDZ($A$1,$B56,H$1,$B$1)</f>
        <v>0</v>
      </c>
      <c r="I56" s="125" cm="1">
        <f t="array" ref="I56">+_xll.EQNXTDZ($A$1,$B56,I$1,$B$1)</f>
        <v>0</v>
      </c>
      <c r="J56" s="125" cm="1">
        <f t="array" ref="J56">+_xll.EQNXTDZ($A$1,$B56,J$1,$B$1)</f>
        <v>0</v>
      </c>
      <c r="K56" s="125" cm="1">
        <f t="array" ref="K56">+_xll.EQNXTDZ($A$1,$B56,K$1,$B$1)</f>
        <v>0</v>
      </c>
      <c r="L56" s="125" cm="1">
        <f t="array" ref="L56">+_xll.EQNXTDZ($A$1,$B56,L$1,$B$1)</f>
        <v>0</v>
      </c>
      <c r="M56" s="125" cm="1">
        <f t="array" ref="M56">+_xll.EQNXTDZ($A$1,$B56,M$1,$B$1)</f>
        <v>0</v>
      </c>
      <c r="N56" s="125" cm="1">
        <f t="array" ref="N56">+_xll.EQNXTDZ($A$1,$B56,N$1,$B$1)</f>
        <v>0</v>
      </c>
      <c r="O56" s="125" cm="1">
        <f t="array" ref="O56">+_xll.EQNXTDZ($A$1,$B56,O$1,$B$1)</f>
        <v>1309.05</v>
      </c>
      <c r="P56" s="125" cm="1">
        <f t="array" ref="P56">+_xll.EQNXTDZ($A$1,$B56,P$1,$B$1)</f>
        <v>0</v>
      </c>
      <c r="Q56" s="125" cm="1">
        <f t="array" ref="Q56">+_xll.EQNXTDZ($A$1,$B56,Q$1,$B$1)</f>
        <v>2069.7800000000002</v>
      </c>
      <c r="R56" s="125" cm="1">
        <f t="array" ref="R56">+_xll.EQNXTDZ($A$1,$B56,R$1,$B$1)</f>
        <v>0</v>
      </c>
      <c r="S56" s="125" cm="1">
        <f t="array" ref="S56">+_xll.EQNXTDZ($A$1,$B56,S$1,$B$1)</f>
        <v>2221.5100000000002</v>
      </c>
      <c r="T56" s="125" cm="1">
        <f t="array" ref="T56">+_xll.EQNXTDZ($A$1,$B56,T$1,$B$1)</f>
        <v>0</v>
      </c>
      <c r="U56" s="125" cm="1">
        <f t="array" ref="U56">+_xll.EQNXTDZ($A$1,$B56,U$1,$B$1)</f>
        <v>2411.35</v>
      </c>
      <c r="V56" s="125" cm="1">
        <f t="array" ref="V56">+_xll.EQNXTDZ($A$1,$B56,V$1,$B$1)</f>
        <v>0</v>
      </c>
      <c r="W56" s="125" cm="1">
        <f t="array" ref="W56">+_xll.EQNXTDZ($A$1,$B56,W$1,$B$1)</f>
        <v>2590.23</v>
      </c>
      <c r="X56" s="125" cm="1">
        <f t="array" ref="X56">+_xll.EQNXTDZ($A$1,$B56,X$1,$B$1)</f>
        <v>0</v>
      </c>
      <c r="Y56" s="125" cm="1">
        <f t="array" ref="Y56">+_xll.EQNXTDZ($A$1,$B56,Y$1,$B$1)</f>
        <v>2739.63</v>
      </c>
      <c r="Z56" s="125" cm="1">
        <f t="array" ref="Z56">+_xll.EQNXTDZ($A$1,$B56,Z$1,$B$1)</f>
        <v>0</v>
      </c>
      <c r="AA56" s="125" cm="1">
        <f t="array" ref="AA56">+_xll.EQNXTDZ($A$1,$B56,AA$1,$B$1)</f>
        <v>3535.97</v>
      </c>
      <c r="AB56" s="125" cm="1">
        <f t="array" ref="AB56">+_xll.EQNXTDZ($A$1,$B56,AB$1,$B$1)</f>
        <v>0</v>
      </c>
      <c r="AC56" s="125" cm="1">
        <f t="array" ref="AC56">+_xll.EQNXTDZ($A$1,$B56,AC$1,$B$1)</f>
        <v>3616</v>
      </c>
      <c r="AD56" s="125" cm="1">
        <f t="array" ref="AD56">+_xll.EQNXTDZ($A$1,$B56,AD$1,$B$1)</f>
        <v>0</v>
      </c>
      <c r="AE56" s="125" cm="1">
        <f t="array" ref="AE56">+_xll.EQNXTDZ($A$1,$B56,AE$1,$B$1)</f>
        <v>4011.04</v>
      </c>
      <c r="AF56" s="125" cm="1">
        <f t="array" ref="AF56">+_xll.EQNXTDZ($A$1,$B56,AF$1,$B$1)</f>
        <v>0</v>
      </c>
      <c r="AG56" s="125" cm="1">
        <f t="array" ref="AG56">+_xll.EQNXTDZ($A$1,$B56,AG$1,$B$1)</f>
        <v>4425.91</v>
      </c>
      <c r="AH56" s="125" cm="1">
        <f t="array" ref="AH56">+_xll.EQNXTDZ($A$1,$B56,AH$1,$B$1)</f>
        <v>0</v>
      </c>
      <c r="AI56" s="125" cm="1">
        <f t="array" ref="AI56">+_xll.EQNXTDZ($A$1,$B56,AI$1,$B$1)</f>
        <v>4948.0600000000004</v>
      </c>
      <c r="AJ56" s="125" cm="1">
        <f t="array" ref="AJ56">+_xll.EQNXTDZ($A$1,$B56,AJ$1,$B$1)</f>
        <v>0</v>
      </c>
      <c r="AK56" s="125" cm="1">
        <f t="array" ref="AK56">+_xll.EQNXTDZ($A$1,$B56,AK$1,$B$1)</f>
        <v>5638.63</v>
      </c>
      <c r="AL56" s="125" cm="1">
        <f t="array" ref="AL56">+_xll.EQNXTDZ($A$1,$B56,AL$1,$B$1)</f>
        <v>0</v>
      </c>
      <c r="AM56" s="125" cm="1">
        <f t="array" ref="AM56">+_xll.EQNXTDZ($A$1,$B56,AM$1,$B$1)</f>
        <v>6410.6</v>
      </c>
      <c r="AN56" s="125" cm="1">
        <f t="array" ref="AN56">+_xll.EQNXTDZ($A$1,$B56,AN$1,$B$1)</f>
        <v>0</v>
      </c>
      <c r="AO56" s="125" cm="1">
        <f t="array" ref="AO56">+_xll.EQNXTDZ($A$1,$B56,AO$1,$B$1)</f>
        <v>6828.95</v>
      </c>
      <c r="AP56" s="125" cm="1">
        <f t="array" ref="AP56">+_xll.EQNXTDZ($A$1,$B56,AP$1,$B$1)</f>
        <v>0</v>
      </c>
      <c r="AQ56" s="125" cm="1">
        <f t="array" ref="AQ56">+_xll.EQNXTDZ($A$1,$B56,AQ$1,$B$1)</f>
        <v>6796.25</v>
      </c>
      <c r="AR56" s="125" cm="1">
        <f t="array" ref="AR56">+_xll.EQNXTDZ($A$1,$B56,AR$1,$B$1)</f>
        <v>0</v>
      </c>
      <c r="AS56" s="125" cm="1">
        <f t="array" ref="AS56">+_xll.EQNXTDZ($A$1,$B56,AS$1,$B$1)</f>
        <v>7004.5</v>
      </c>
      <c r="AT56" s="125" cm="1">
        <f t="array" ref="AT56">+_xll.EQNXTDZ($A$1,$B56,AT$1,$B$1)</f>
        <v>0</v>
      </c>
      <c r="AU56" s="125" cm="1">
        <f t="array" ref="AU56">+_xll.EQNXTDZ($A$1,$B56,AU$1,$B$1)</f>
        <v>7682.05</v>
      </c>
      <c r="AV56" s="125" cm="1">
        <f t="array" ref="AV56">+_xll.EQNXTDZ($A$1,$B56,AV$1,$B$1)</f>
        <v>0</v>
      </c>
      <c r="AW56" s="125" cm="1">
        <f t="array" ref="AW56">+_xll.EQNXTDZ($A$1,$B56,AW$1,$B$1)</f>
        <v>0</v>
      </c>
      <c r="AX56" s="125" cm="1">
        <f t="array" ref="AX56">+_xll.EQNXTDZ($A$1,$B56,AX$1,$B$1)</f>
        <v>0</v>
      </c>
      <c r="AY56" s="125" cm="1">
        <f t="array" ref="AY56">+_xll.EQNXTDZ($A$1,$B56,AY$1,$B$1)</f>
        <v>0</v>
      </c>
      <c r="AZ56" s="125" cm="1">
        <f t="array" ref="AZ56">+_xll.EQNXTDZ($A$1,$B56,AZ$1,$B$1)</f>
        <v>0</v>
      </c>
      <c r="BA56" s="125" cm="1">
        <f t="array" ref="BA56">+_xll.EQNXTDZ($A$1,$B56,BA$1,$B$1)</f>
        <v>0</v>
      </c>
      <c r="BB56" s="125" cm="1">
        <f t="array" ref="BB56">+_xll.EQNXTDZ($A$1,$B56,BB$1,$B$1)</f>
        <v>0</v>
      </c>
      <c r="BC56" s="125" cm="1">
        <f t="array" ref="BC56">+_xll.EQNXTDZ($A$1,$B56,BC$1,$B$1)</f>
        <v>0</v>
      </c>
      <c r="BD56" s="125" cm="1">
        <f t="array" ref="BD56">+_xll.EQNXTDZ($A$1,$B56,BD$1,$B$1)</f>
        <v>0</v>
      </c>
      <c r="BE56" s="125" cm="1">
        <f t="array" ref="BE56">+_xll.EQNXTDZ($A$1,$B56,BE$1,$B$1)</f>
        <v>0</v>
      </c>
      <c r="BF56" s="125" cm="1">
        <f t="array" ref="BF56">+_xll.EQNXTDZ($A$1,$B56,BF$1,$B$1)</f>
        <v>0</v>
      </c>
      <c r="BG56" s="125" cm="1">
        <f t="array" ref="BG56">+_xll.EQNXTDZ($A$1,$B56,BG$1,$B$1)</f>
        <v>0</v>
      </c>
      <c r="BH56" s="125" cm="1">
        <f t="array" ref="BH56">+_xll.EQNXTDZ($A$1,$B56,BH$1,$B$1)</f>
        <v>0</v>
      </c>
      <c r="BI56" s="125" cm="1">
        <f t="array" ref="BI56">+_xll.EQNXTDZ($A$1,$B56,BI$1,$B$1)</f>
        <v>0</v>
      </c>
      <c r="BJ56" s="125" cm="1">
        <f t="array" ref="BJ56">+_xll.EQNXTDZ($A$1,$B56,BJ$1,$B$1)</f>
        <v>0</v>
      </c>
      <c r="BK56" s="125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5" cm="1">
        <f t="array" ref="C57">+_xll.EQNXTDZ($A$1,$B57,C$1,$B$1)</f>
        <v>0</v>
      </c>
      <c r="D57" s="125" cm="1">
        <f t="array" ref="D57">+_xll.EQNXTDZ($A$1,$B57,D$1,$B$1)</f>
        <v>0</v>
      </c>
      <c r="E57" s="125" cm="1">
        <f t="array" ref="E57">+_xll.EQNXTDZ($A$1,$B57,E$1,$B$1)</f>
        <v>0</v>
      </c>
      <c r="F57" s="125" cm="1">
        <f t="array" ref="F57">+_xll.EQNXTDZ($A$1,$B57,F$1,$B$1)</f>
        <v>0</v>
      </c>
      <c r="G57" s="125" cm="1">
        <f t="array" ref="G57">+_xll.EQNXTDZ($A$1,$B57,G$1,$B$1)</f>
        <v>0</v>
      </c>
      <c r="H57" s="125" cm="1">
        <f t="array" ref="H57">+_xll.EQNXTDZ($A$1,$B57,H$1,$B$1)</f>
        <v>0</v>
      </c>
      <c r="I57" s="125" cm="1">
        <f t="array" ref="I57">+_xll.EQNXTDZ($A$1,$B57,I$1,$B$1)</f>
        <v>0</v>
      </c>
      <c r="J57" s="125" cm="1">
        <f t="array" ref="J57">+_xll.EQNXTDZ($A$1,$B57,J$1,$B$1)</f>
        <v>0</v>
      </c>
      <c r="K57" s="125" cm="1">
        <f t="array" ref="K57">+_xll.EQNXTDZ($A$1,$B57,K$1,$B$1)</f>
        <v>0</v>
      </c>
      <c r="L57" s="125" cm="1">
        <f t="array" ref="L57">+_xll.EQNXTDZ($A$1,$B57,L$1,$B$1)</f>
        <v>0</v>
      </c>
      <c r="M57" s="125" cm="1">
        <f t="array" ref="M57">+_xll.EQNXTDZ($A$1,$B57,M$1,$B$1)</f>
        <v>0</v>
      </c>
      <c r="N57" s="125" cm="1">
        <f t="array" ref="N57">+_xll.EQNXTDZ($A$1,$B57,N$1,$B$1)</f>
        <v>0</v>
      </c>
      <c r="O57" s="125" cm="1">
        <f t="array" ref="O57">+_xll.EQNXTDZ($A$1,$B57,O$1,$B$1)</f>
        <v>1437.48</v>
      </c>
      <c r="P57" s="125" cm="1">
        <f t="array" ref="P57">+_xll.EQNXTDZ($A$1,$B57,P$1,$B$1)</f>
        <v>0</v>
      </c>
      <c r="Q57" s="125" cm="1">
        <f t="array" ref="Q57">+_xll.EQNXTDZ($A$1,$B57,Q$1,$B$1)</f>
        <v>2213.14</v>
      </c>
      <c r="R57" s="125" cm="1">
        <f t="array" ref="R57">+_xll.EQNXTDZ($A$1,$B57,R$1,$B$1)</f>
        <v>0</v>
      </c>
      <c r="S57" s="125" cm="1">
        <f t="array" ref="S57">+_xll.EQNXTDZ($A$1,$B57,S$1,$B$1)</f>
        <v>2365.06</v>
      </c>
      <c r="T57" s="125" cm="1">
        <f t="array" ref="T57">+_xll.EQNXTDZ($A$1,$B57,T$1,$B$1)</f>
        <v>0</v>
      </c>
      <c r="U57" s="125" cm="1">
        <f t="array" ref="U57">+_xll.EQNXTDZ($A$1,$B57,U$1,$B$1)</f>
        <v>2555.15</v>
      </c>
      <c r="V57" s="125" cm="1">
        <f t="array" ref="V57">+_xll.EQNXTDZ($A$1,$B57,V$1,$B$1)</f>
        <v>0</v>
      </c>
      <c r="W57" s="125" cm="1">
        <f t="array" ref="W57">+_xll.EQNXTDZ($A$1,$B57,W$1,$B$1)</f>
        <v>2734.22</v>
      </c>
      <c r="X57" s="125" cm="1">
        <f t="array" ref="X57">+_xll.EQNXTDZ($A$1,$B57,X$1,$B$1)</f>
        <v>0</v>
      </c>
      <c r="Y57" s="125" cm="1">
        <f t="array" ref="Y57">+_xll.EQNXTDZ($A$1,$B57,Y$1,$B$1)</f>
        <v>2883.74</v>
      </c>
      <c r="Z57" s="125" cm="1">
        <f t="array" ref="Z57">+_xll.EQNXTDZ($A$1,$B57,Z$1,$B$1)</f>
        <v>0</v>
      </c>
      <c r="AA57" s="125" cm="1">
        <f t="array" ref="AA57">+_xll.EQNXTDZ($A$1,$B57,AA$1,$B$1)</f>
        <v>3691.55</v>
      </c>
      <c r="AB57" s="125" cm="1">
        <f t="array" ref="AB57">+_xll.EQNXTDZ($A$1,$B57,AB$1,$B$1)</f>
        <v>0</v>
      </c>
      <c r="AC57" s="125" cm="1">
        <f t="array" ref="AC57">+_xll.EQNXTDZ($A$1,$B57,AC$1,$B$1)</f>
        <v>3771.74</v>
      </c>
      <c r="AD57" s="125" cm="1">
        <f t="array" ref="AD57">+_xll.EQNXTDZ($A$1,$B57,AD$1,$B$1)</f>
        <v>0</v>
      </c>
      <c r="AE57" s="125" cm="1">
        <f t="array" ref="AE57">+_xll.EQNXTDZ($A$1,$B57,AE$1,$B$1)</f>
        <v>4166.91</v>
      </c>
      <c r="AF57" s="125" cm="1">
        <f t="array" ref="AF57">+_xll.EQNXTDZ($A$1,$B57,AF$1,$B$1)</f>
        <v>0</v>
      </c>
      <c r="AG57" s="125" cm="1">
        <f t="array" ref="AG57">+_xll.EQNXTDZ($A$1,$B57,AG$1,$B$1)</f>
        <v>4582.0200000000004</v>
      </c>
      <c r="AH57" s="125" cm="1">
        <f t="array" ref="AH57">+_xll.EQNXTDZ($A$1,$B57,AH$1,$B$1)</f>
        <v>0</v>
      </c>
      <c r="AI57" s="125" cm="1">
        <f t="array" ref="AI57">+_xll.EQNXTDZ($A$1,$B57,AI$1,$B$1)</f>
        <v>5106.97</v>
      </c>
      <c r="AJ57" s="125" cm="1">
        <f t="array" ref="AJ57">+_xll.EQNXTDZ($A$1,$B57,AJ$1,$B$1)</f>
        <v>0</v>
      </c>
      <c r="AK57" s="125" cm="1">
        <f t="array" ref="AK57">+_xll.EQNXTDZ($A$1,$B57,AK$1,$B$1)</f>
        <v>5797.74</v>
      </c>
      <c r="AL57" s="125" cm="1">
        <f t="array" ref="AL57">+_xll.EQNXTDZ($A$1,$B57,AL$1,$B$1)</f>
        <v>0</v>
      </c>
      <c r="AM57" s="125" cm="1">
        <f t="array" ref="AM57">+_xll.EQNXTDZ($A$1,$B57,AM$1,$B$1)</f>
        <v>6569.98</v>
      </c>
      <c r="AN57" s="125" cm="1">
        <f t="array" ref="AN57">+_xll.EQNXTDZ($A$1,$B57,AN$1,$B$1)</f>
        <v>0</v>
      </c>
      <c r="AO57" s="125" cm="1">
        <f t="array" ref="AO57">+_xll.EQNXTDZ($A$1,$B57,AO$1,$B$1)</f>
        <v>6988.41</v>
      </c>
      <c r="AP57" s="125" cm="1">
        <f t="array" ref="AP57">+_xll.EQNXTDZ($A$1,$B57,AP$1,$B$1)</f>
        <v>0</v>
      </c>
      <c r="AQ57" s="125" cm="1">
        <f t="array" ref="AQ57">+_xll.EQNXTDZ($A$1,$B57,AQ$1,$B$1)</f>
        <v>6955.97</v>
      </c>
      <c r="AR57" s="125" cm="1">
        <f t="array" ref="AR57">+_xll.EQNXTDZ($A$1,$B57,AR$1,$B$1)</f>
        <v>0</v>
      </c>
      <c r="AS57" s="125" cm="1">
        <f t="array" ref="AS57">+_xll.EQNXTDZ($A$1,$B57,AS$1,$B$1)</f>
        <v>7164.38</v>
      </c>
      <c r="AT57" s="125" cm="1">
        <f t="array" ref="AT57">+_xll.EQNXTDZ($A$1,$B57,AT$1,$B$1)</f>
        <v>0</v>
      </c>
      <c r="AU57" s="125" cm="1">
        <f t="array" ref="AU57">+_xll.EQNXTDZ($A$1,$B57,AU$1,$B$1)</f>
        <v>7842.25</v>
      </c>
      <c r="AV57" s="125" cm="1">
        <f t="array" ref="AV57">+_xll.EQNXTDZ($A$1,$B57,AV$1,$B$1)</f>
        <v>0</v>
      </c>
      <c r="AW57" s="125" cm="1">
        <f t="array" ref="AW57">+_xll.EQNXTDZ($A$1,$B57,AW$1,$B$1)</f>
        <v>0</v>
      </c>
      <c r="AX57" s="125" cm="1">
        <f t="array" ref="AX57">+_xll.EQNXTDZ($A$1,$B57,AX$1,$B$1)</f>
        <v>0</v>
      </c>
      <c r="AY57" s="125" cm="1">
        <f t="array" ref="AY57">+_xll.EQNXTDZ($A$1,$B57,AY$1,$B$1)</f>
        <v>0</v>
      </c>
      <c r="AZ57" s="125" cm="1">
        <f t="array" ref="AZ57">+_xll.EQNXTDZ($A$1,$B57,AZ$1,$B$1)</f>
        <v>0</v>
      </c>
      <c r="BA57" s="125" cm="1">
        <f t="array" ref="BA57">+_xll.EQNXTDZ($A$1,$B57,BA$1,$B$1)</f>
        <v>0</v>
      </c>
      <c r="BB57" s="125" cm="1">
        <f t="array" ref="BB57">+_xll.EQNXTDZ($A$1,$B57,BB$1,$B$1)</f>
        <v>0</v>
      </c>
      <c r="BC57" s="125" cm="1">
        <f t="array" ref="BC57">+_xll.EQNXTDZ($A$1,$B57,BC$1,$B$1)</f>
        <v>0</v>
      </c>
      <c r="BD57" s="125" cm="1">
        <f t="array" ref="BD57">+_xll.EQNXTDZ($A$1,$B57,BD$1,$B$1)</f>
        <v>0</v>
      </c>
      <c r="BE57" s="125" cm="1">
        <f t="array" ref="BE57">+_xll.EQNXTDZ($A$1,$B57,BE$1,$B$1)</f>
        <v>0</v>
      </c>
      <c r="BF57" s="125" cm="1">
        <f t="array" ref="BF57">+_xll.EQNXTDZ($A$1,$B57,BF$1,$B$1)</f>
        <v>0</v>
      </c>
      <c r="BG57" s="125" cm="1">
        <f t="array" ref="BG57">+_xll.EQNXTDZ($A$1,$B57,BG$1,$B$1)</f>
        <v>0</v>
      </c>
      <c r="BH57" s="125" cm="1">
        <f t="array" ref="BH57">+_xll.EQNXTDZ($A$1,$B57,BH$1,$B$1)</f>
        <v>0</v>
      </c>
      <c r="BI57" s="125" cm="1">
        <f t="array" ref="BI57">+_xll.EQNXTDZ($A$1,$B57,BI$1,$B$1)</f>
        <v>0</v>
      </c>
      <c r="BJ57" s="125" cm="1">
        <f t="array" ref="BJ57">+_xll.EQNXTDZ($A$1,$B57,BJ$1,$B$1)</f>
        <v>0</v>
      </c>
      <c r="BK57" s="125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5" cm="1">
        <f t="array" ref="C58">+_xll.EQNXTDZ($A$1,$B58,C$1,$B$1)</f>
        <v>0</v>
      </c>
      <c r="D58" s="125" cm="1">
        <f t="array" ref="D58">+_xll.EQNXTDZ($A$1,$B58,D$1,$B$1)</f>
        <v>0</v>
      </c>
      <c r="E58" s="125" cm="1">
        <f t="array" ref="E58">+_xll.EQNXTDZ($A$1,$B58,E$1,$B$1)</f>
        <v>0</v>
      </c>
      <c r="F58" s="125" cm="1">
        <f t="array" ref="F58">+_xll.EQNXTDZ($A$1,$B58,F$1,$B$1)</f>
        <v>0</v>
      </c>
      <c r="G58" s="125" cm="1">
        <f t="array" ref="G58">+_xll.EQNXTDZ($A$1,$B58,G$1,$B$1)</f>
        <v>0</v>
      </c>
      <c r="H58" s="125" cm="1">
        <f t="array" ref="H58">+_xll.EQNXTDZ($A$1,$B58,H$1,$B$1)</f>
        <v>0</v>
      </c>
      <c r="I58" s="125" cm="1">
        <f t="array" ref="I58">+_xll.EQNXTDZ($A$1,$B58,I$1,$B$1)</f>
        <v>0</v>
      </c>
      <c r="J58" s="125" cm="1">
        <f t="array" ref="J58">+_xll.EQNXTDZ($A$1,$B58,J$1,$B$1)</f>
        <v>0</v>
      </c>
      <c r="K58" s="125" cm="1">
        <f t="array" ref="K58">+_xll.EQNXTDZ($A$1,$B58,K$1,$B$1)</f>
        <v>0</v>
      </c>
      <c r="L58" s="125" cm="1">
        <f t="array" ref="L58">+_xll.EQNXTDZ($A$1,$B58,L$1,$B$1)</f>
        <v>0</v>
      </c>
      <c r="M58" s="125" cm="1">
        <f t="array" ref="M58">+_xll.EQNXTDZ($A$1,$B58,M$1,$B$1)</f>
        <v>0</v>
      </c>
      <c r="N58" s="125" cm="1">
        <f t="array" ref="N58">+_xll.EQNXTDZ($A$1,$B58,N$1,$B$1)</f>
        <v>0</v>
      </c>
      <c r="O58" s="125" cm="1">
        <f t="array" ref="O58">+_xll.EQNXTDZ($A$1,$B58,O$1,$B$1)</f>
        <v>0</v>
      </c>
      <c r="P58" s="125" cm="1">
        <f t="array" ref="P58">+_xll.EQNXTDZ($A$1,$B58,P$1,$B$1)</f>
        <v>0</v>
      </c>
      <c r="Q58" s="125" cm="1">
        <f t="array" ref="Q58">+_xll.EQNXTDZ($A$1,$B58,Q$1,$B$1)</f>
        <v>0</v>
      </c>
      <c r="R58" s="125" cm="1">
        <f t="array" ref="R58">+_xll.EQNXTDZ($A$1,$B58,R$1,$B$1)</f>
        <v>0</v>
      </c>
      <c r="S58" s="125" cm="1">
        <f t="array" ref="S58">+_xll.EQNXTDZ($A$1,$B58,S$1,$B$1)</f>
        <v>0</v>
      </c>
      <c r="T58" s="125" cm="1">
        <f t="array" ref="T58">+_xll.EQNXTDZ($A$1,$B58,T$1,$B$1)</f>
        <v>0</v>
      </c>
      <c r="U58" s="125" cm="1">
        <f t="array" ref="U58">+_xll.EQNXTDZ($A$1,$B58,U$1,$B$1)</f>
        <v>0</v>
      </c>
      <c r="V58" s="125" cm="1">
        <f t="array" ref="V58">+_xll.EQNXTDZ($A$1,$B58,V$1,$B$1)</f>
        <v>0</v>
      </c>
      <c r="W58" s="125" cm="1">
        <f t="array" ref="W58">+_xll.EQNXTDZ($A$1,$B58,W$1,$B$1)</f>
        <v>108.95</v>
      </c>
      <c r="X58" s="125" cm="1">
        <f t="array" ref="X58">+_xll.EQNXTDZ($A$1,$B58,X$1,$B$1)</f>
        <v>0</v>
      </c>
      <c r="Y58" s="125" cm="1">
        <f t="array" ref="Y58">+_xll.EQNXTDZ($A$1,$B58,Y$1,$B$1)</f>
        <v>111.31</v>
      </c>
      <c r="Z58" s="125" cm="1">
        <f t="array" ref="Z58">+_xll.EQNXTDZ($A$1,$B58,Z$1,$B$1)</f>
        <v>0</v>
      </c>
      <c r="AA58" s="125" cm="1">
        <f t="array" ref="AA58">+_xll.EQNXTDZ($A$1,$B58,AA$1,$B$1)</f>
        <v>104.83</v>
      </c>
      <c r="AB58" s="125" cm="1">
        <f t="array" ref="AB58">+_xll.EQNXTDZ($A$1,$B58,AB$1,$B$1)</f>
        <v>0</v>
      </c>
      <c r="AC58" s="125" cm="1">
        <f t="array" ref="AC58">+_xll.EQNXTDZ($A$1,$B58,AC$1,$B$1)</f>
        <v>98.79</v>
      </c>
      <c r="AD58" s="125" cm="1">
        <f t="array" ref="AD58">+_xll.EQNXTDZ($A$1,$B58,AD$1,$B$1)</f>
        <v>0</v>
      </c>
      <c r="AE58" s="125" cm="1">
        <f t="array" ref="AE58">+_xll.EQNXTDZ($A$1,$B58,AE$1,$B$1)</f>
        <v>0</v>
      </c>
      <c r="AF58" s="125" cm="1">
        <f t="array" ref="AF58">+_xll.EQNXTDZ($A$1,$B58,AF$1,$B$1)</f>
        <v>0</v>
      </c>
      <c r="AG58" s="125" cm="1">
        <f t="array" ref="AG58">+_xll.EQNXTDZ($A$1,$B58,AG$1,$B$1)</f>
        <v>0</v>
      </c>
      <c r="AH58" s="125" cm="1">
        <f t="array" ref="AH58">+_xll.EQNXTDZ($A$1,$B58,AH$1,$B$1)</f>
        <v>0</v>
      </c>
      <c r="AI58" s="125" cm="1">
        <f t="array" ref="AI58">+_xll.EQNXTDZ($A$1,$B58,AI$1,$B$1)</f>
        <v>0</v>
      </c>
      <c r="AJ58" s="125" cm="1">
        <f t="array" ref="AJ58">+_xll.EQNXTDZ($A$1,$B58,AJ$1,$B$1)</f>
        <v>0</v>
      </c>
      <c r="AK58" s="125" cm="1">
        <f t="array" ref="AK58">+_xll.EQNXTDZ($A$1,$B58,AK$1,$B$1)</f>
        <v>0</v>
      </c>
      <c r="AL58" s="125" cm="1">
        <f t="array" ref="AL58">+_xll.EQNXTDZ($A$1,$B58,AL$1,$B$1)</f>
        <v>0</v>
      </c>
      <c r="AM58" s="125" cm="1">
        <f t="array" ref="AM58">+_xll.EQNXTDZ($A$1,$B58,AM$1,$B$1)</f>
        <v>0</v>
      </c>
      <c r="AN58" s="125" cm="1">
        <f t="array" ref="AN58">+_xll.EQNXTDZ($A$1,$B58,AN$1,$B$1)</f>
        <v>0</v>
      </c>
      <c r="AO58" s="125" cm="1">
        <f t="array" ref="AO58">+_xll.EQNXTDZ($A$1,$B58,AO$1,$B$1)</f>
        <v>0</v>
      </c>
      <c r="AP58" s="125" cm="1">
        <f t="array" ref="AP58">+_xll.EQNXTDZ($A$1,$B58,AP$1,$B$1)</f>
        <v>0</v>
      </c>
      <c r="AQ58" s="125" cm="1">
        <f t="array" ref="AQ58">+_xll.EQNXTDZ($A$1,$B58,AQ$1,$B$1)</f>
        <v>0</v>
      </c>
      <c r="AR58" s="125" cm="1">
        <f t="array" ref="AR58">+_xll.EQNXTDZ($A$1,$B58,AR$1,$B$1)</f>
        <v>0</v>
      </c>
      <c r="AS58" s="125" cm="1">
        <f t="array" ref="AS58">+_xll.EQNXTDZ($A$1,$B58,AS$1,$B$1)</f>
        <v>0</v>
      </c>
      <c r="AT58" s="125" cm="1">
        <f t="array" ref="AT58">+_xll.EQNXTDZ($A$1,$B58,AT$1,$B$1)</f>
        <v>0</v>
      </c>
      <c r="AU58" s="125" cm="1">
        <f t="array" ref="AU58">+_xll.EQNXTDZ($A$1,$B58,AU$1,$B$1)</f>
        <v>0</v>
      </c>
      <c r="AV58" s="125" cm="1">
        <f t="array" ref="AV58">+_xll.EQNXTDZ($A$1,$B58,AV$1,$B$1)</f>
        <v>0</v>
      </c>
      <c r="AW58" s="125" cm="1">
        <f t="array" ref="AW58">+_xll.EQNXTDZ($A$1,$B58,AW$1,$B$1)</f>
        <v>0</v>
      </c>
      <c r="AX58" s="125" cm="1">
        <f t="array" ref="AX58">+_xll.EQNXTDZ($A$1,$B58,AX$1,$B$1)</f>
        <v>0</v>
      </c>
      <c r="AY58" s="125" cm="1">
        <f t="array" ref="AY58">+_xll.EQNXTDZ($A$1,$B58,AY$1,$B$1)</f>
        <v>0</v>
      </c>
      <c r="AZ58" s="125" cm="1">
        <f t="array" ref="AZ58">+_xll.EQNXTDZ($A$1,$B58,AZ$1,$B$1)</f>
        <v>0</v>
      </c>
      <c r="BA58" s="125" cm="1">
        <f t="array" ref="BA58">+_xll.EQNXTDZ($A$1,$B58,BA$1,$B$1)</f>
        <v>0</v>
      </c>
      <c r="BB58" s="125" cm="1">
        <f t="array" ref="BB58">+_xll.EQNXTDZ($A$1,$B58,BB$1,$B$1)</f>
        <v>0</v>
      </c>
      <c r="BC58" s="125" cm="1">
        <f t="array" ref="BC58">+_xll.EQNXTDZ($A$1,$B58,BC$1,$B$1)</f>
        <v>0</v>
      </c>
      <c r="BD58" s="125" cm="1">
        <f t="array" ref="BD58">+_xll.EQNXTDZ($A$1,$B58,BD$1,$B$1)</f>
        <v>0</v>
      </c>
      <c r="BE58" s="125" cm="1">
        <f t="array" ref="BE58">+_xll.EQNXTDZ($A$1,$B58,BE$1,$B$1)</f>
        <v>0</v>
      </c>
      <c r="BF58" s="125" cm="1">
        <f t="array" ref="BF58">+_xll.EQNXTDZ($A$1,$B58,BF$1,$B$1)</f>
        <v>0</v>
      </c>
      <c r="BG58" s="125" cm="1">
        <f t="array" ref="BG58">+_xll.EQNXTDZ($A$1,$B58,BG$1,$B$1)</f>
        <v>0</v>
      </c>
      <c r="BH58" s="125" cm="1">
        <f t="array" ref="BH58">+_xll.EQNXTDZ($A$1,$B58,BH$1,$B$1)</f>
        <v>0</v>
      </c>
      <c r="BI58" s="125" cm="1">
        <f t="array" ref="BI58">+_xll.EQNXTDZ($A$1,$B58,BI$1,$B$1)</f>
        <v>0</v>
      </c>
      <c r="BJ58" s="125" cm="1">
        <f t="array" ref="BJ58">+_xll.EQNXTDZ($A$1,$B58,BJ$1,$B$1)</f>
        <v>0</v>
      </c>
      <c r="BK58" s="125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5" cm="1">
        <f t="array" ref="C59">+_xll.EQNXTDZ($A$1,$B59,C$1,$B$1)</f>
        <v>0</v>
      </c>
      <c r="D59" s="125" cm="1">
        <f t="array" ref="D59">+_xll.EQNXTDZ($A$1,$B59,D$1,$B$1)</f>
        <v>0</v>
      </c>
      <c r="E59" s="125" cm="1">
        <f t="array" ref="E59">+_xll.EQNXTDZ($A$1,$B59,E$1,$B$1)</f>
        <v>0</v>
      </c>
      <c r="F59" s="125" cm="1">
        <f t="array" ref="F59">+_xll.EQNXTDZ($A$1,$B59,F$1,$B$1)</f>
        <v>0</v>
      </c>
      <c r="G59" s="125" cm="1">
        <f t="array" ref="G59">+_xll.EQNXTDZ($A$1,$B59,G$1,$B$1)</f>
        <v>0</v>
      </c>
      <c r="H59" s="125" cm="1">
        <f t="array" ref="H59">+_xll.EQNXTDZ($A$1,$B59,H$1,$B$1)</f>
        <v>0</v>
      </c>
      <c r="I59" s="125" cm="1">
        <f t="array" ref="I59">+_xll.EQNXTDZ($A$1,$B59,I$1,$B$1)</f>
        <v>0</v>
      </c>
      <c r="J59" s="125" cm="1">
        <f t="array" ref="J59">+_xll.EQNXTDZ($A$1,$B59,J$1,$B$1)</f>
        <v>0</v>
      </c>
      <c r="K59" s="125" cm="1">
        <f t="array" ref="K59">+_xll.EQNXTDZ($A$1,$B59,K$1,$B$1)</f>
        <v>0</v>
      </c>
      <c r="L59" s="125" cm="1">
        <f t="array" ref="L59">+_xll.EQNXTDZ($A$1,$B59,L$1,$B$1)</f>
        <v>0</v>
      </c>
      <c r="M59" s="125" cm="1">
        <f t="array" ref="M59">+_xll.EQNXTDZ($A$1,$B59,M$1,$B$1)</f>
        <v>0</v>
      </c>
      <c r="N59" s="125" cm="1">
        <f t="array" ref="N59">+_xll.EQNXTDZ($A$1,$B59,N$1,$B$1)</f>
        <v>0</v>
      </c>
      <c r="O59" s="125" cm="1">
        <f t="array" ref="O59">+_xll.EQNXTDZ($A$1,$B59,O$1,$B$1)</f>
        <v>0</v>
      </c>
      <c r="P59" s="125" cm="1">
        <f t="array" ref="P59">+_xll.EQNXTDZ($A$1,$B59,P$1,$B$1)</f>
        <v>0</v>
      </c>
      <c r="Q59" s="125" cm="1">
        <f t="array" ref="Q59">+_xll.EQNXTDZ($A$1,$B59,Q$1,$B$1)</f>
        <v>0</v>
      </c>
      <c r="R59" s="125" cm="1">
        <f t="array" ref="R59">+_xll.EQNXTDZ($A$1,$B59,R$1,$B$1)</f>
        <v>0</v>
      </c>
      <c r="S59" s="125" cm="1">
        <f t="array" ref="S59">+_xll.EQNXTDZ($A$1,$B59,S$1,$B$1)</f>
        <v>0</v>
      </c>
      <c r="T59" s="125" cm="1">
        <f t="array" ref="T59">+_xll.EQNXTDZ($A$1,$B59,T$1,$B$1)</f>
        <v>0</v>
      </c>
      <c r="U59" s="125" cm="1">
        <f t="array" ref="U59">+_xll.EQNXTDZ($A$1,$B59,U$1,$B$1)</f>
        <v>0</v>
      </c>
      <c r="V59" s="125" cm="1">
        <f t="array" ref="V59">+_xll.EQNXTDZ($A$1,$B59,V$1,$B$1)</f>
        <v>0</v>
      </c>
      <c r="W59" s="125" cm="1">
        <f t="array" ref="W59">+_xll.EQNXTDZ($A$1,$B59,W$1,$B$1)</f>
        <v>0</v>
      </c>
      <c r="X59" s="125" cm="1">
        <f t="array" ref="X59">+_xll.EQNXTDZ($A$1,$B59,X$1,$B$1)</f>
        <v>0</v>
      </c>
      <c r="Y59" s="125" cm="1">
        <f t="array" ref="Y59">+_xll.EQNXTDZ($A$1,$B59,Y$1,$B$1)</f>
        <v>0</v>
      </c>
      <c r="Z59" s="125" cm="1">
        <f t="array" ref="Z59">+_xll.EQNXTDZ($A$1,$B59,Z$1,$B$1)</f>
        <v>0</v>
      </c>
      <c r="AA59" s="125" cm="1">
        <f t="array" ref="AA59">+_xll.EQNXTDZ($A$1,$B59,AA$1,$B$1)</f>
        <v>0</v>
      </c>
      <c r="AB59" s="125" cm="1">
        <f t="array" ref="AB59">+_xll.EQNXTDZ($A$1,$B59,AB$1,$B$1)</f>
        <v>0</v>
      </c>
      <c r="AC59" s="125" cm="1">
        <f t="array" ref="AC59">+_xll.EQNXTDZ($A$1,$B59,AC$1,$B$1)</f>
        <v>0</v>
      </c>
      <c r="AD59" s="125" cm="1">
        <f t="array" ref="AD59">+_xll.EQNXTDZ($A$1,$B59,AD$1,$B$1)</f>
        <v>0</v>
      </c>
      <c r="AE59" s="125" cm="1">
        <f t="array" ref="AE59">+_xll.EQNXTDZ($A$1,$B59,AE$1,$B$1)</f>
        <v>0</v>
      </c>
      <c r="AF59" s="125" cm="1">
        <f t="array" ref="AF59">+_xll.EQNXTDZ($A$1,$B59,AF$1,$B$1)</f>
        <v>0</v>
      </c>
      <c r="AG59" s="125" cm="1">
        <f t="array" ref="AG59">+_xll.EQNXTDZ($A$1,$B59,AG$1,$B$1)</f>
        <v>0</v>
      </c>
      <c r="AH59" s="125" cm="1">
        <f t="array" ref="AH59">+_xll.EQNXTDZ($A$1,$B59,AH$1,$B$1)</f>
        <v>0</v>
      </c>
      <c r="AI59" s="125" cm="1">
        <f t="array" ref="AI59">+_xll.EQNXTDZ($A$1,$B59,AI$1,$B$1)</f>
        <v>0</v>
      </c>
      <c r="AJ59" s="125" cm="1">
        <f t="array" ref="AJ59">+_xll.EQNXTDZ($A$1,$B59,AJ$1,$B$1)</f>
        <v>0</v>
      </c>
      <c r="AK59" s="125" cm="1">
        <f t="array" ref="AK59">+_xll.EQNXTDZ($A$1,$B59,AK$1,$B$1)</f>
        <v>0</v>
      </c>
      <c r="AL59" s="125" cm="1">
        <f t="array" ref="AL59">+_xll.EQNXTDZ($A$1,$B59,AL$1,$B$1)</f>
        <v>0</v>
      </c>
      <c r="AM59" s="125" cm="1">
        <f t="array" ref="AM59">+_xll.EQNXTDZ($A$1,$B59,AM$1,$B$1)</f>
        <v>0</v>
      </c>
      <c r="AN59" s="125" cm="1">
        <f t="array" ref="AN59">+_xll.EQNXTDZ($A$1,$B59,AN$1,$B$1)</f>
        <v>0</v>
      </c>
      <c r="AO59" s="125" cm="1">
        <f t="array" ref="AO59">+_xll.EQNXTDZ($A$1,$B59,AO$1,$B$1)</f>
        <v>0</v>
      </c>
      <c r="AP59" s="125" cm="1">
        <f t="array" ref="AP59">+_xll.EQNXTDZ($A$1,$B59,AP$1,$B$1)</f>
        <v>0</v>
      </c>
      <c r="AQ59" s="125" cm="1">
        <f t="array" ref="AQ59">+_xll.EQNXTDZ($A$1,$B59,AQ$1,$B$1)</f>
        <v>0</v>
      </c>
      <c r="AR59" s="125" cm="1">
        <f t="array" ref="AR59">+_xll.EQNXTDZ($A$1,$B59,AR$1,$B$1)</f>
        <v>0</v>
      </c>
      <c r="AS59" s="125" cm="1">
        <f t="array" ref="AS59">+_xll.EQNXTDZ($A$1,$B59,AS$1,$B$1)</f>
        <v>0</v>
      </c>
      <c r="AT59" s="125" cm="1">
        <f t="array" ref="AT59">+_xll.EQNXTDZ($A$1,$B59,AT$1,$B$1)</f>
        <v>0</v>
      </c>
      <c r="AU59" s="125" cm="1">
        <f t="array" ref="AU59">+_xll.EQNXTDZ($A$1,$B59,AU$1,$B$1)</f>
        <v>0</v>
      </c>
      <c r="AV59" s="125" cm="1">
        <f t="array" ref="AV59">+_xll.EQNXTDZ($A$1,$B59,AV$1,$B$1)</f>
        <v>0</v>
      </c>
      <c r="AW59" s="125" cm="1">
        <f t="array" ref="AW59">+_xll.EQNXTDZ($A$1,$B59,AW$1,$B$1)</f>
        <v>0</v>
      </c>
      <c r="AX59" s="125" cm="1">
        <f t="array" ref="AX59">+_xll.EQNXTDZ($A$1,$B59,AX$1,$B$1)</f>
        <v>0</v>
      </c>
      <c r="AY59" s="125" cm="1">
        <f t="array" ref="AY59">+_xll.EQNXTDZ($A$1,$B59,AY$1,$B$1)</f>
        <v>0</v>
      </c>
      <c r="AZ59" s="125" cm="1">
        <f t="array" ref="AZ59">+_xll.EQNXTDZ($A$1,$B59,AZ$1,$B$1)</f>
        <v>0</v>
      </c>
      <c r="BA59" s="125" cm="1">
        <f t="array" ref="BA59">+_xll.EQNXTDZ($A$1,$B59,BA$1,$B$1)</f>
        <v>0</v>
      </c>
      <c r="BB59" s="125" cm="1">
        <f t="array" ref="BB59">+_xll.EQNXTDZ($A$1,$B59,BB$1,$B$1)</f>
        <v>0</v>
      </c>
      <c r="BC59" s="125" cm="1">
        <f t="array" ref="BC59">+_xll.EQNXTDZ($A$1,$B59,BC$1,$B$1)</f>
        <v>0</v>
      </c>
      <c r="BD59" s="125" cm="1">
        <f t="array" ref="BD59">+_xll.EQNXTDZ($A$1,$B59,BD$1,$B$1)</f>
        <v>0</v>
      </c>
      <c r="BE59" s="125" cm="1">
        <f t="array" ref="BE59">+_xll.EQNXTDZ($A$1,$B59,BE$1,$B$1)</f>
        <v>0</v>
      </c>
      <c r="BF59" s="125" cm="1">
        <f t="array" ref="BF59">+_xll.EQNXTDZ($A$1,$B59,BF$1,$B$1)</f>
        <v>0</v>
      </c>
      <c r="BG59" s="125" cm="1">
        <f t="array" ref="BG59">+_xll.EQNXTDZ($A$1,$B59,BG$1,$B$1)</f>
        <v>0</v>
      </c>
      <c r="BH59" s="125" cm="1">
        <f t="array" ref="BH59">+_xll.EQNXTDZ($A$1,$B59,BH$1,$B$1)</f>
        <v>0</v>
      </c>
      <c r="BI59" s="125" cm="1">
        <f t="array" ref="BI59">+_xll.EQNXTDZ($A$1,$B59,BI$1,$B$1)</f>
        <v>0</v>
      </c>
      <c r="BJ59" s="125" cm="1">
        <f t="array" ref="BJ59">+_xll.EQNXTDZ($A$1,$B59,BJ$1,$B$1)</f>
        <v>0</v>
      </c>
      <c r="BK59" s="125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5" cm="1">
        <f t="array" ref="C60">+_xll.EQNXTDZ($A$1,$B60,C$1,$B$1)</f>
        <v>0</v>
      </c>
      <c r="D60" s="125" cm="1">
        <f t="array" ref="D60">+_xll.EQNXTDZ($A$1,$B60,D$1,$B$1)</f>
        <v>0</v>
      </c>
      <c r="E60" s="125" cm="1">
        <f t="array" ref="E60">+_xll.EQNXTDZ($A$1,$B60,E$1,$B$1)</f>
        <v>0</v>
      </c>
      <c r="F60" s="125" cm="1">
        <f t="array" ref="F60">+_xll.EQNXTDZ($A$1,$B60,F$1,$B$1)</f>
        <v>0</v>
      </c>
      <c r="G60" s="125" cm="1">
        <f t="array" ref="G60">+_xll.EQNXTDZ($A$1,$B60,G$1,$B$1)</f>
        <v>0</v>
      </c>
      <c r="H60" s="125" cm="1">
        <f t="array" ref="H60">+_xll.EQNXTDZ($A$1,$B60,H$1,$B$1)</f>
        <v>0</v>
      </c>
      <c r="I60" s="125" cm="1">
        <f t="array" ref="I60">+_xll.EQNXTDZ($A$1,$B60,I$1,$B$1)</f>
        <v>0</v>
      </c>
      <c r="J60" s="125" cm="1">
        <f t="array" ref="J60">+_xll.EQNXTDZ($A$1,$B60,J$1,$B$1)</f>
        <v>0</v>
      </c>
      <c r="K60" s="125" cm="1">
        <f t="array" ref="K60">+_xll.EQNXTDZ($A$1,$B60,K$1,$B$1)</f>
        <v>0</v>
      </c>
      <c r="L60" s="125" cm="1">
        <f t="array" ref="L60">+_xll.EQNXTDZ($A$1,$B60,L$1,$B$1)</f>
        <v>0</v>
      </c>
      <c r="M60" s="125" cm="1">
        <f t="array" ref="M60">+_xll.EQNXTDZ($A$1,$B60,M$1,$B$1)</f>
        <v>0</v>
      </c>
      <c r="N60" s="125" cm="1">
        <f t="array" ref="N60">+_xll.EQNXTDZ($A$1,$B60,N$1,$B$1)</f>
        <v>0</v>
      </c>
      <c r="O60" s="125" cm="1">
        <f t="array" ref="O60">+_xll.EQNXTDZ($A$1,$B60,O$1,$B$1)</f>
        <v>0</v>
      </c>
      <c r="P60" s="125" cm="1">
        <f t="array" ref="P60">+_xll.EQNXTDZ($A$1,$B60,P$1,$B$1)</f>
        <v>0</v>
      </c>
      <c r="Q60" s="125" cm="1">
        <f t="array" ref="Q60">+_xll.EQNXTDZ($A$1,$B60,Q$1,$B$1)</f>
        <v>0</v>
      </c>
      <c r="R60" s="125" cm="1">
        <f t="array" ref="R60">+_xll.EQNXTDZ($A$1,$B60,R$1,$B$1)</f>
        <v>0</v>
      </c>
      <c r="S60" s="125" cm="1">
        <f t="array" ref="S60">+_xll.EQNXTDZ($A$1,$B60,S$1,$B$1)</f>
        <v>0</v>
      </c>
      <c r="T60" s="125" cm="1">
        <f t="array" ref="T60">+_xll.EQNXTDZ($A$1,$B60,T$1,$B$1)</f>
        <v>0</v>
      </c>
      <c r="U60" s="125" cm="1">
        <f t="array" ref="U60">+_xll.EQNXTDZ($A$1,$B60,U$1,$B$1)</f>
        <v>0</v>
      </c>
      <c r="V60" s="125" cm="1">
        <f t="array" ref="V60">+_xll.EQNXTDZ($A$1,$B60,V$1,$B$1)</f>
        <v>0</v>
      </c>
      <c r="W60" s="125" cm="1">
        <f t="array" ref="W60">+_xll.EQNXTDZ($A$1,$B60,W$1,$B$1)</f>
        <v>0</v>
      </c>
      <c r="X60" s="125" cm="1">
        <f t="array" ref="X60">+_xll.EQNXTDZ($A$1,$B60,X$1,$B$1)</f>
        <v>0</v>
      </c>
      <c r="Y60" s="125" cm="1">
        <f t="array" ref="Y60">+_xll.EQNXTDZ($A$1,$B60,Y$1,$B$1)</f>
        <v>0</v>
      </c>
      <c r="Z60" s="125" cm="1">
        <f t="array" ref="Z60">+_xll.EQNXTDZ($A$1,$B60,Z$1,$B$1)</f>
        <v>0</v>
      </c>
      <c r="AA60" s="125" cm="1">
        <f t="array" ref="AA60">+_xll.EQNXTDZ($A$1,$B60,AA$1,$B$1)</f>
        <v>0</v>
      </c>
      <c r="AB60" s="125" cm="1">
        <f t="array" ref="AB60">+_xll.EQNXTDZ($A$1,$B60,AB$1,$B$1)</f>
        <v>0</v>
      </c>
      <c r="AC60" s="125" cm="1">
        <f t="array" ref="AC60">+_xll.EQNXTDZ($A$1,$B60,AC$1,$B$1)</f>
        <v>0</v>
      </c>
      <c r="AD60" s="125" cm="1">
        <f t="array" ref="AD60">+_xll.EQNXTDZ($A$1,$B60,AD$1,$B$1)</f>
        <v>0</v>
      </c>
      <c r="AE60" s="125" cm="1">
        <f t="array" ref="AE60">+_xll.EQNXTDZ($A$1,$B60,AE$1,$B$1)</f>
        <v>0</v>
      </c>
      <c r="AF60" s="125" cm="1">
        <f t="array" ref="AF60">+_xll.EQNXTDZ($A$1,$B60,AF$1,$B$1)</f>
        <v>0</v>
      </c>
      <c r="AG60" s="125" cm="1">
        <f t="array" ref="AG60">+_xll.EQNXTDZ($A$1,$B60,AG$1,$B$1)</f>
        <v>0</v>
      </c>
      <c r="AH60" s="125" cm="1">
        <f t="array" ref="AH60">+_xll.EQNXTDZ($A$1,$B60,AH$1,$B$1)</f>
        <v>0</v>
      </c>
      <c r="AI60" s="125" cm="1">
        <f t="array" ref="AI60">+_xll.EQNXTDZ($A$1,$B60,AI$1,$B$1)</f>
        <v>0</v>
      </c>
      <c r="AJ60" s="125" cm="1">
        <f t="array" ref="AJ60">+_xll.EQNXTDZ($A$1,$B60,AJ$1,$B$1)</f>
        <v>0</v>
      </c>
      <c r="AK60" s="125" cm="1">
        <f t="array" ref="AK60">+_xll.EQNXTDZ($A$1,$B60,AK$1,$B$1)</f>
        <v>0</v>
      </c>
      <c r="AL60" s="125" cm="1">
        <f t="array" ref="AL60">+_xll.EQNXTDZ($A$1,$B60,AL$1,$B$1)</f>
        <v>0</v>
      </c>
      <c r="AM60" s="125" cm="1">
        <f t="array" ref="AM60">+_xll.EQNXTDZ($A$1,$B60,AM$1,$B$1)</f>
        <v>0</v>
      </c>
      <c r="AN60" s="125" cm="1">
        <f t="array" ref="AN60">+_xll.EQNXTDZ($A$1,$B60,AN$1,$B$1)</f>
        <v>0</v>
      </c>
      <c r="AO60" s="125" cm="1">
        <f t="array" ref="AO60">+_xll.EQNXTDZ($A$1,$B60,AO$1,$B$1)</f>
        <v>0</v>
      </c>
      <c r="AP60" s="125" cm="1">
        <f t="array" ref="AP60">+_xll.EQNXTDZ($A$1,$B60,AP$1,$B$1)</f>
        <v>0</v>
      </c>
      <c r="AQ60" s="125" cm="1">
        <f t="array" ref="AQ60">+_xll.EQNXTDZ($A$1,$B60,AQ$1,$B$1)</f>
        <v>0</v>
      </c>
      <c r="AR60" s="125" cm="1">
        <f t="array" ref="AR60">+_xll.EQNXTDZ($A$1,$B60,AR$1,$B$1)</f>
        <v>0</v>
      </c>
      <c r="AS60" s="125" cm="1">
        <f t="array" ref="AS60">+_xll.EQNXTDZ($A$1,$B60,AS$1,$B$1)</f>
        <v>0</v>
      </c>
      <c r="AT60" s="125" cm="1">
        <f t="array" ref="AT60">+_xll.EQNXTDZ($A$1,$B60,AT$1,$B$1)</f>
        <v>0</v>
      </c>
      <c r="AU60" s="125" cm="1">
        <f t="array" ref="AU60">+_xll.EQNXTDZ($A$1,$B60,AU$1,$B$1)</f>
        <v>0</v>
      </c>
      <c r="AV60" s="125" cm="1">
        <f t="array" ref="AV60">+_xll.EQNXTDZ($A$1,$B60,AV$1,$B$1)</f>
        <v>0</v>
      </c>
      <c r="AW60" s="125" cm="1">
        <f t="array" ref="AW60">+_xll.EQNXTDZ($A$1,$B60,AW$1,$B$1)</f>
        <v>0</v>
      </c>
      <c r="AX60" s="125" cm="1">
        <f t="array" ref="AX60">+_xll.EQNXTDZ($A$1,$B60,AX$1,$B$1)</f>
        <v>0</v>
      </c>
      <c r="AY60" s="125" cm="1">
        <f t="array" ref="AY60">+_xll.EQNXTDZ($A$1,$B60,AY$1,$B$1)</f>
        <v>0</v>
      </c>
      <c r="AZ60" s="125" cm="1">
        <f t="array" ref="AZ60">+_xll.EQNXTDZ($A$1,$B60,AZ$1,$B$1)</f>
        <v>0</v>
      </c>
      <c r="BA60" s="125" cm="1">
        <f t="array" ref="BA60">+_xll.EQNXTDZ($A$1,$B60,BA$1,$B$1)</f>
        <v>0</v>
      </c>
      <c r="BB60" s="125" cm="1">
        <f t="array" ref="BB60">+_xll.EQNXTDZ($A$1,$B60,BB$1,$B$1)</f>
        <v>0</v>
      </c>
      <c r="BC60" s="125" cm="1">
        <f t="array" ref="BC60">+_xll.EQNXTDZ($A$1,$B60,BC$1,$B$1)</f>
        <v>0</v>
      </c>
      <c r="BD60" s="125" cm="1">
        <f t="array" ref="BD60">+_xll.EQNXTDZ($A$1,$B60,BD$1,$B$1)</f>
        <v>0</v>
      </c>
      <c r="BE60" s="125" cm="1">
        <f t="array" ref="BE60">+_xll.EQNXTDZ($A$1,$B60,BE$1,$B$1)</f>
        <v>0</v>
      </c>
      <c r="BF60" s="125" cm="1">
        <f t="array" ref="BF60">+_xll.EQNXTDZ($A$1,$B60,BF$1,$B$1)</f>
        <v>0</v>
      </c>
      <c r="BG60" s="125" cm="1">
        <f t="array" ref="BG60">+_xll.EQNXTDZ($A$1,$B60,BG$1,$B$1)</f>
        <v>0</v>
      </c>
      <c r="BH60" s="125" cm="1">
        <f t="array" ref="BH60">+_xll.EQNXTDZ($A$1,$B60,BH$1,$B$1)</f>
        <v>0</v>
      </c>
      <c r="BI60" s="125" cm="1">
        <f t="array" ref="BI60">+_xll.EQNXTDZ($A$1,$B60,BI$1,$B$1)</f>
        <v>0</v>
      </c>
      <c r="BJ60" s="125" cm="1">
        <f t="array" ref="BJ60">+_xll.EQNXTDZ($A$1,$B60,BJ$1,$B$1)</f>
        <v>0</v>
      </c>
      <c r="BK60" s="125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5" cm="1">
        <f t="array" ref="C61">+_xll.EQNXTDZ($A$1,$B61,C$1,$B$1)</f>
        <v>0</v>
      </c>
      <c r="D61" s="125" cm="1">
        <f t="array" ref="D61">+_xll.EQNXTDZ($A$1,$B61,D$1,$B$1)</f>
        <v>0</v>
      </c>
      <c r="E61" s="125" cm="1">
        <f t="array" ref="E61">+_xll.EQNXTDZ($A$1,$B61,E$1,$B$1)</f>
        <v>0</v>
      </c>
      <c r="F61" s="125" cm="1">
        <f t="array" ref="F61">+_xll.EQNXTDZ($A$1,$B61,F$1,$B$1)</f>
        <v>0</v>
      </c>
      <c r="G61" s="125" cm="1">
        <f t="array" ref="G61">+_xll.EQNXTDZ($A$1,$B61,G$1,$B$1)</f>
        <v>0</v>
      </c>
      <c r="H61" s="125" cm="1">
        <f t="array" ref="H61">+_xll.EQNXTDZ($A$1,$B61,H$1,$B$1)</f>
        <v>0</v>
      </c>
      <c r="I61" s="125" cm="1">
        <f t="array" ref="I61">+_xll.EQNXTDZ($A$1,$B61,I$1,$B$1)</f>
        <v>0</v>
      </c>
      <c r="J61" s="125" cm="1">
        <f t="array" ref="J61">+_xll.EQNXTDZ($A$1,$B61,J$1,$B$1)</f>
        <v>0</v>
      </c>
      <c r="K61" s="125" cm="1">
        <f t="array" ref="K61">+_xll.EQNXTDZ($A$1,$B61,K$1,$B$1)</f>
        <v>0</v>
      </c>
      <c r="L61" s="125" cm="1">
        <f t="array" ref="L61">+_xll.EQNXTDZ($A$1,$B61,L$1,$B$1)</f>
        <v>0</v>
      </c>
      <c r="M61" s="125" cm="1">
        <f t="array" ref="M61">+_xll.EQNXTDZ($A$1,$B61,M$1,$B$1)</f>
        <v>0</v>
      </c>
      <c r="N61" s="125" cm="1">
        <f t="array" ref="N61">+_xll.EQNXTDZ($A$1,$B61,N$1,$B$1)</f>
        <v>0</v>
      </c>
      <c r="O61" s="125" cm="1">
        <f t="array" ref="O61">+_xll.EQNXTDZ($A$1,$B61,O$1,$B$1)</f>
        <v>0</v>
      </c>
      <c r="P61" s="125" cm="1">
        <f t="array" ref="P61">+_xll.EQNXTDZ($A$1,$B61,P$1,$B$1)</f>
        <v>0</v>
      </c>
      <c r="Q61" s="125" cm="1">
        <f t="array" ref="Q61">+_xll.EQNXTDZ($A$1,$B61,Q$1,$B$1)</f>
        <v>0</v>
      </c>
      <c r="R61" s="125" cm="1">
        <f t="array" ref="R61">+_xll.EQNXTDZ($A$1,$B61,R$1,$B$1)</f>
        <v>0</v>
      </c>
      <c r="S61" s="125" cm="1">
        <f t="array" ref="S61">+_xll.EQNXTDZ($A$1,$B61,S$1,$B$1)</f>
        <v>0</v>
      </c>
      <c r="T61" s="125" cm="1">
        <f t="array" ref="T61">+_xll.EQNXTDZ($A$1,$B61,T$1,$B$1)</f>
        <v>0</v>
      </c>
      <c r="U61" s="125" cm="1">
        <f t="array" ref="U61">+_xll.EQNXTDZ($A$1,$B61,U$1,$B$1)</f>
        <v>0</v>
      </c>
      <c r="V61" s="125" cm="1">
        <f t="array" ref="V61">+_xll.EQNXTDZ($A$1,$B61,V$1,$B$1)</f>
        <v>0</v>
      </c>
      <c r="W61" s="125" cm="1">
        <f t="array" ref="W61">+_xll.EQNXTDZ($A$1,$B61,W$1,$B$1)</f>
        <v>0</v>
      </c>
      <c r="X61" s="125" cm="1">
        <f t="array" ref="X61">+_xll.EQNXTDZ($A$1,$B61,X$1,$B$1)</f>
        <v>0</v>
      </c>
      <c r="Y61" s="125" cm="1">
        <f t="array" ref="Y61">+_xll.EQNXTDZ($A$1,$B61,Y$1,$B$1)</f>
        <v>0</v>
      </c>
      <c r="Z61" s="125" cm="1">
        <f t="array" ref="Z61">+_xll.EQNXTDZ($A$1,$B61,Z$1,$B$1)</f>
        <v>0</v>
      </c>
      <c r="AA61" s="125" cm="1">
        <f t="array" ref="AA61">+_xll.EQNXTDZ($A$1,$B61,AA$1,$B$1)</f>
        <v>0</v>
      </c>
      <c r="AB61" s="125" cm="1">
        <f t="array" ref="AB61">+_xll.EQNXTDZ($A$1,$B61,AB$1,$B$1)</f>
        <v>0</v>
      </c>
      <c r="AC61" s="125" cm="1">
        <f t="array" ref="AC61">+_xll.EQNXTDZ($A$1,$B61,AC$1,$B$1)</f>
        <v>0</v>
      </c>
      <c r="AD61" s="125" cm="1">
        <f t="array" ref="AD61">+_xll.EQNXTDZ($A$1,$B61,AD$1,$B$1)</f>
        <v>0</v>
      </c>
      <c r="AE61" s="125" cm="1">
        <f t="array" ref="AE61">+_xll.EQNXTDZ($A$1,$B61,AE$1,$B$1)</f>
        <v>0</v>
      </c>
      <c r="AF61" s="125" cm="1">
        <f t="array" ref="AF61">+_xll.EQNXTDZ($A$1,$B61,AF$1,$B$1)</f>
        <v>0</v>
      </c>
      <c r="AG61" s="125" cm="1">
        <f t="array" ref="AG61">+_xll.EQNXTDZ($A$1,$B61,AG$1,$B$1)</f>
        <v>0</v>
      </c>
      <c r="AH61" s="125" cm="1">
        <f t="array" ref="AH61">+_xll.EQNXTDZ($A$1,$B61,AH$1,$B$1)</f>
        <v>0</v>
      </c>
      <c r="AI61" s="125" cm="1">
        <f t="array" ref="AI61">+_xll.EQNXTDZ($A$1,$B61,AI$1,$B$1)</f>
        <v>0</v>
      </c>
      <c r="AJ61" s="125" cm="1">
        <f t="array" ref="AJ61">+_xll.EQNXTDZ($A$1,$B61,AJ$1,$B$1)</f>
        <v>0</v>
      </c>
      <c r="AK61" s="125" cm="1">
        <f t="array" ref="AK61">+_xll.EQNXTDZ($A$1,$B61,AK$1,$B$1)</f>
        <v>0</v>
      </c>
      <c r="AL61" s="125" cm="1">
        <f t="array" ref="AL61">+_xll.EQNXTDZ($A$1,$B61,AL$1,$B$1)</f>
        <v>0</v>
      </c>
      <c r="AM61" s="125" cm="1">
        <f t="array" ref="AM61">+_xll.EQNXTDZ($A$1,$B61,AM$1,$B$1)</f>
        <v>0</v>
      </c>
      <c r="AN61" s="125" cm="1">
        <f t="array" ref="AN61">+_xll.EQNXTDZ($A$1,$B61,AN$1,$B$1)</f>
        <v>0</v>
      </c>
      <c r="AO61" s="125" cm="1">
        <f t="array" ref="AO61">+_xll.EQNXTDZ($A$1,$B61,AO$1,$B$1)</f>
        <v>0</v>
      </c>
      <c r="AP61" s="125" cm="1">
        <f t="array" ref="AP61">+_xll.EQNXTDZ($A$1,$B61,AP$1,$B$1)</f>
        <v>0</v>
      </c>
      <c r="AQ61" s="125" cm="1">
        <f t="array" ref="AQ61">+_xll.EQNXTDZ($A$1,$B61,AQ$1,$B$1)</f>
        <v>0</v>
      </c>
      <c r="AR61" s="125" cm="1">
        <f t="array" ref="AR61">+_xll.EQNXTDZ($A$1,$B61,AR$1,$B$1)</f>
        <v>0</v>
      </c>
      <c r="AS61" s="125" cm="1">
        <f t="array" ref="AS61">+_xll.EQNXTDZ($A$1,$B61,AS$1,$B$1)</f>
        <v>0</v>
      </c>
      <c r="AT61" s="125" cm="1">
        <f t="array" ref="AT61">+_xll.EQNXTDZ($A$1,$B61,AT$1,$B$1)</f>
        <v>0</v>
      </c>
      <c r="AU61" s="125" cm="1">
        <f t="array" ref="AU61">+_xll.EQNXTDZ($A$1,$B61,AU$1,$B$1)</f>
        <v>0</v>
      </c>
      <c r="AV61" s="125" cm="1">
        <f t="array" ref="AV61">+_xll.EQNXTDZ($A$1,$B61,AV$1,$B$1)</f>
        <v>0</v>
      </c>
      <c r="AW61" s="125" cm="1">
        <f t="array" ref="AW61">+_xll.EQNXTDZ($A$1,$B61,AW$1,$B$1)</f>
        <v>0</v>
      </c>
      <c r="AX61" s="125" cm="1">
        <f t="array" ref="AX61">+_xll.EQNXTDZ($A$1,$B61,AX$1,$B$1)</f>
        <v>0</v>
      </c>
      <c r="AY61" s="125" cm="1">
        <f t="array" ref="AY61">+_xll.EQNXTDZ($A$1,$B61,AY$1,$B$1)</f>
        <v>0</v>
      </c>
      <c r="AZ61" s="125" cm="1">
        <f t="array" ref="AZ61">+_xll.EQNXTDZ($A$1,$B61,AZ$1,$B$1)</f>
        <v>0</v>
      </c>
      <c r="BA61" s="125" cm="1">
        <f t="array" ref="BA61">+_xll.EQNXTDZ($A$1,$B61,BA$1,$B$1)</f>
        <v>0</v>
      </c>
      <c r="BB61" s="125" cm="1">
        <f t="array" ref="BB61">+_xll.EQNXTDZ($A$1,$B61,BB$1,$B$1)</f>
        <v>0</v>
      </c>
      <c r="BC61" s="125" cm="1">
        <f t="array" ref="BC61">+_xll.EQNXTDZ($A$1,$B61,BC$1,$B$1)</f>
        <v>0</v>
      </c>
      <c r="BD61" s="125" cm="1">
        <f t="array" ref="BD61">+_xll.EQNXTDZ($A$1,$B61,BD$1,$B$1)</f>
        <v>0</v>
      </c>
      <c r="BE61" s="125" cm="1">
        <f t="array" ref="BE61">+_xll.EQNXTDZ($A$1,$B61,BE$1,$B$1)</f>
        <v>0</v>
      </c>
      <c r="BF61" s="125" cm="1">
        <f t="array" ref="BF61">+_xll.EQNXTDZ($A$1,$B61,BF$1,$B$1)</f>
        <v>0</v>
      </c>
      <c r="BG61" s="125" cm="1">
        <f t="array" ref="BG61">+_xll.EQNXTDZ($A$1,$B61,BG$1,$B$1)</f>
        <v>0</v>
      </c>
      <c r="BH61" s="125" cm="1">
        <f t="array" ref="BH61">+_xll.EQNXTDZ($A$1,$B61,BH$1,$B$1)</f>
        <v>0</v>
      </c>
      <c r="BI61" s="125" cm="1">
        <f t="array" ref="BI61">+_xll.EQNXTDZ($A$1,$B61,BI$1,$B$1)</f>
        <v>0</v>
      </c>
      <c r="BJ61" s="125" cm="1">
        <f t="array" ref="BJ61">+_xll.EQNXTDZ($A$1,$B61,BJ$1,$B$1)</f>
        <v>0</v>
      </c>
      <c r="BK61" s="125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5" cm="1">
        <f t="array" ref="C62">+_xll.EQNXTDZ($A$1,$B62,C$1,$B$1)</f>
        <v>0</v>
      </c>
      <c r="D62" s="125" cm="1">
        <f t="array" ref="D62">+_xll.EQNXTDZ($A$1,$B62,D$1,$B$1)</f>
        <v>0</v>
      </c>
      <c r="E62" s="125" cm="1">
        <f t="array" ref="E62">+_xll.EQNXTDZ($A$1,$B62,E$1,$B$1)</f>
        <v>0</v>
      </c>
      <c r="F62" s="125" cm="1">
        <f t="array" ref="F62">+_xll.EQNXTDZ($A$1,$B62,F$1,$B$1)</f>
        <v>0</v>
      </c>
      <c r="G62" s="125" cm="1">
        <f t="array" ref="G62">+_xll.EQNXTDZ($A$1,$B62,G$1,$B$1)</f>
        <v>0</v>
      </c>
      <c r="H62" s="125" cm="1">
        <f t="array" ref="H62">+_xll.EQNXTDZ($A$1,$B62,H$1,$B$1)</f>
        <v>0</v>
      </c>
      <c r="I62" s="125" cm="1">
        <f t="array" ref="I62">+_xll.EQNXTDZ($A$1,$B62,I$1,$B$1)</f>
        <v>0</v>
      </c>
      <c r="J62" s="125" cm="1">
        <f t="array" ref="J62">+_xll.EQNXTDZ($A$1,$B62,J$1,$B$1)</f>
        <v>0</v>
      </c>
      <c r="K62" s="125" cm="1">
        <f t="array" ref="K62">+_xll.EQNXTDZ($A$1,$B62,K$1,$B$1)</f>
        <v>0</v>
      </c>
      <c r="L62" s="125" cm="1">
        <f t="array" ref="L62">+_xll.EQNXTDZ($A$1,$B62,L$1,$B$1)</f>
        <v>0</v>
      </c>
      <c r="M62" s="125" cm="1">
        <f t="array" ref="M62">+_xll.EQNXTDZ($A$1,$B62,M$1,$B$1)</f>
        <v>0</v>
      </c>
      <c r="N62" s="125" cm="1">
        <f t="array" ref="N62">+_xll.EQNXTDZ($A$1,$B62,N$1,$B$1)</f>
        <v>0</v>
      </c>
      <c r="O62" s="125" cm="1">
        <f t="array" ref="O62">+_xll.EQNXTDZ($A$1,$B62,O$1,$B$1)</f>
        <v>11.02</v>
      </c>
      <c r="P62" s="125" cm="1">
        <f t="array" ref="P62">+_xll.EQNXTDZ($A$1,$B62,P$1,$B$1)</f>
        <v>0</v>
      </c>
      <c r="Q62" s="125" cm="1">
        <f t="array" ref="Q62">+_xll.EQNXTDZ($A$1,$B62,Q$1,$B$1)</f>
        <v>34.29</v>
      </c>
      <c r="R62" s="125" cm="1">
        <f t="array" ref="R62">+_xll.EQNXTDZ($A$1,$B62,R$1,$B$1)</f>
        <v>0</v>
      </c>
      <c r="S62" s="125" cm="1">
        <f t="array" ref="S62">+_xll.EQNXTDZ($A$1,$B62,S$1,$B$1)</f>
        <v>9.9</v>
      </c>
      <c r="T62" s="125" cm="1">
        <f t="array" ref="T62">+_xll.EQNXTDZ($A$1,$B62,T$1,$B$1)</f>
        <v>0</v>
      </c>
      <c r="U62" s="125" cm="1">
        <f t="array" ref="U62">+_xll.EQNXTDZ($A$1,$B62,U$1,$B$1)</f>
        <v>11.38</v>
      </c>
      <c r="V62" s="125" cm="1">
        <f t="array" ref="V62">+_xll.EQNXTDZ($A$1,$B62,V$1,$B$1)</f>
        <v>0</v>
      </c>
      <c r="W62" s="125" cm="1">
        <f t="array" ref="W62">+_xll.EQNXTDZ($A$1,$B62,W$1,$B$1)</f>
        <v>11.21</v>
      </c>
      <c r="X62" s="125" cm="1">
        <f t="array" ref="X62">+_xll.EQNXTDZ($A$1,$B62,X$1,$B$1)</f>
        <v>0</v>
      </c>
      <c r="Y62" s="125" cm="1">
        <f t="array" ref="Y62">+_xll.EQNXTDZ($A$1,$B62,Y$1,$B$1)</f>
        <v>64.739999999999995</v>
      </c>
      <c r="Z62" s="125" cm="1">
        <f t="array" ref="Z62">+_xll.EQNXTDZ($A$1,$B62,Z$1,$B$1)</f>
        <v>0</v>
      </c>
      <c r="AA62" s="125" cm="1">
        <f t="array" ref="AA62">+_xll.EQNXTDZ($A$1,$B62,AA$1,$B$1)</f>
        <v>12.36</v>
      </c>
      <c r="AB62" s="125" cm="1">
        <f t="array" ref="AB62">+_xll.EQNXTDZ($A$1,$B62,AB$1,$B$1)</f>
        <v>0</v>
      </c>
      <c r="AC62" s="125" cm="1">
        <f t="array" ref="AC62">+_xll.EQNXTDZ($A$1,$B62,AC$1,$B$1)</f>
        <v>12.93</v>
      </c>
      <c r="AD62" s="125" cm="1">
        <f t="array" ref="AD62">+_xll.EQNXTDZ($A$1,$B62,AD$1,$B$1)</f>
        <v>0</v>
      </c>
      <c r="AE62" s="125" cm="1">
        <f t="array" ref="AE62">+_xll.EQNXTDZ($A$1,$B62,AE$1,$B$1)</f>
        <v>14.98</v>
      </c>
      <c r="AF62" s="125" cm="1">
        <f t="array" ref="AF62">+_xll.EQNXTDZ($A$1,$B62,AF$1,$B$1)</f>
        <v>0</v>
      </c>
      <c r="AG62" s="125" cm="1">
        <f t="array" ref="AG62">+_xll.EQNXTDZ($A$1,$B62,AG$1,$B$1)</f>
        <v>16.239999999999998</v>
      </c>
      <c r="AH62" s="125" cm="1">
        <f t="array" ref="AH62">+_xll.EQNXTDZ($A$1,$B62,AH$1,$B$1)</f>
        <v>0</v>
      </c>
      <c r="AI62" s="125" cm="1">
        <f t="array" ref="AI62">+_xll.EQNXTDZ($A$1,$B62,AI$1,$B$1)</f>
        <v>19.66</v>
      </c>
      <c r="AJ62" s="125" cm="1">
        <f t="array" ref="AJ62">+_xll.EQNXTDZ($A$1,$B62,AJ$1,$B$1)</f>
        <v>0</v>
      </c>
      <c r="AK62" s="125" cm="1">
        <f t="array" ref="AK62">+_xll.EQNXTDZ($A$1,$B62,AK$1,$B$1)</f>
        <v>51.33</v>
      </c>
      <c r="AL62" s="125" cm="1">
        <f t="array" ref="AL62">+_xll.EQNXTDZ($A$1,$B62,AL$1,$B$1)</f>
        <v>0</v>
      </c>
      <c r="AM62" s="125" cm="1">
        <f t="array" ref="AM62">+_xll.EQNXTDZ($A$1,$B62,AM$1,$B$1)</f>
        <v>24.86</v>
      </c>
      <c r="AN62" s="125" cm="1">
        <f t="array" ref="AN62">+_xll.EQNXTDZ($A$1,$B62,AN$1,$B$1)</f>
        <v>0</v>
      </c>
      <c r="AO62" s="125" cm="1">
        <f t="array" ref="AO62">+_xll.EQNXTDZ($A$1,$B62,AO$1,$B$1)</f>
        <v>67.19</v>
      </c>
      <c r="AP62" s="125" cm="1">
        <f t="array" ref="AP62">+_xll.EQNXTDZ($A$1,$B62,AP$1,$B$1)</f>
        <v>0</v>
      </c>
      <c r="AQ62" s="125" cm="1">
        <f t="array" ref="AQ62">+_xll.EQNXTDZ($A$1,$B62,AQ$1,$B$1)</f>
        <v>40.83</v>
      </c>
      <c r="AR62" s="125" cm="1">
        <f t="array" ref="AR62">+_xll.EQNXTDZ($A$1,$B62,AR$1,$B$1)</f>
        <v>0</v>
      </c>
      <c r="AS62" s="125" cm="1">
        <f t="array" ref="AS62">+_xll.EQNXTDZ($A$1,$B62,AS$1,$B$1)</f>
        <v>30.8</v>
      </c>
      <c r="AT62" s="125" cm="1">
        <f t="array" ref="AT62">+_xll.EQNXTDZ($A$1,$B62,AT$1,$B$1)</f>
        <v>0</v>
      </c>
      <c r="AU62" s="125" cm="1">
        <f t="array" ref="AU62">+_xll.EQNXTDZ($A$1,$B62,AU$1,$B$1)</f>
        <v>61.8</v>
      </c>
      <c r="AV62" s="125" cm="1">
        <f t="array" ref="AV62">+_xll.EQNXTDZ($A$1,$B62,AV$1,$B$1)</f>
        <v>0</v>
      </c>
      <c r="AW62" s="125" cm="1">
        <f t="array" ref="AW62">+_xll.EQNXTDZ($A$1,$B62,AW$1,$B$1)</f>
        <v>0</v>
      </c>
      <c r="AX62" s="125" cm="1">
        <f t="array" ref="AX62">+_xll.EQNXTDZ($A$1,$B62,AX$1,$B$1)</f>
        <v>0</v>
      </c>
      <c r="AY62" s="125" cm="1">
        <f t="array" ref="AY62">+_xll.EQNXTDZ($A$1,$B62,AY$1,$B$1)</f>
        <v>0</v>
      </c>
      <c r="AZ62" s="125" cm="1">
        <f t="array" ref="AZ62">+_xll.EQNXTDZ($A$1,$B62,AZ$1,$B$1)</f>
        <v>0</v>
      </c>
      <c r="BA62" s="125" cm="1">
        <f t="array" ref="BA62">+_xll.EQNXTDZ($A$1,$B62,BA$1,$B$1)</f>
        <v>0</v>
      </c>
      <c r="BB62" s="125" cm="1">
        <f t="array" ref="BB62">+_xll.EQNXTDZ($A$1,$B62,BB$1,$B$1)</f>
        <v>0</v>
      </c>
      <c r="BC62" s="125" cm="1">
        <f t="array" ref="BC62">+_xll.EQNXTDZ($A$1,$B62,BC$1,$B$1)</f>
        <v>0</v>
      </c>
      <c r="BD62" s="125" cm="1">
        <f t="array" ref="BD62">+_xll.EQNXTDZ($A$1,$B62,BD$1,$B$1)</f>
        <v>0</v>
      </c>
      <c r="BE62" s="125" cm="1">
        <f t="array" ref="BE62">+_xll.EQNXTDZ($A$1,$B62,BE$1,$B$1)</f>
        <v>0</v>
      </c>
      <c r="BF62" s="125" cm="1">
        <f t="array" ref="BF62">+_xll.EQNXTDZ($A$1,$B62,BF$1,$B$1)</f>
        <v>0</v>
      </c>
      <c r="BG62" s="125" cm="1">
        <f t="array" ref="BG62">+_xll.EQNXTDZ($A$1,$B62,BG$1,$B$1)</f>
        <v>0</v>
      </c>
      <c r="BH62" s="125" cm="1">
        <f t="array" ref="BH62">+_xll.EQNXTDZ($A$1,$B62,BH$1,$B$1)</f>
        <v>0</v>
      </c>
      <c r="BI62" s="125" cm="1">
        <f t="array" ref="BI62">+_xll.EQNXTDZ($A$1,$B62,BI$1,$B$1)</f>
        <v>0</v>
      </c>
      <c r="BJ62" s="125" cm="1">
        <f t="array" ref="BJ62">+_xll.EQNXTDZ($A$1,$B62,BJ$1,$B$1)</f>
        <v>0</v>
      </c>
      <c r="BK62" s="125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5" cm="1">
        <f t="array" ref="C63">+_xll.EQNXTDZ($A$1,$B63,C$1,$B$1)</f>
        <v>0</v>
      </c>
      <c r="D63" s="125" cm="1">
        <f t="array" ref="D63">+_xll.EQNXTDZ($A$1,$B63,D$1,$B$1)</f>
        <v>0</v>
      </c>
      <c r="E63" s="125" cm="1">
        <f t="array" ref="E63">+_xll.EQNXTDZ($A$1,$B63,E$1,$B$1)</f>
        <v>0</v>
      </c>
      <c r="F63" s="125" cm="1">
        <f t="array" ref="F63">+_xll.EQNXTDZ($A$1,$B63,F$1,$B$1)</f>
        <v>0</v>
      </c>
      <c r="G63" s="125" cm="1">
        <f t="array" ref="G63">+_xll.EQNXTDZ($A$1,$B63,G$1,$B$1)</f>
        <v>0</v>
      </c>
      <c r="H63" s="125" cm="1">
        <f t="array" ref="H63">+_xll.EQNXTDZ($A$1,$B63,H$1,$B$1)</f>
        <v>0</v>
      </c>
      <c r="I63" s="125" cm="1">
        <f t="array" ref="I63">+_xll.EQNXTDZ($A$1,$B63,I$1,$B$1)</f>
        <v>0</v>
      </c>
      <c r="J63" s="125" cm="1">
        <f t="array" ref="J63">+_xll.EQNXTDZ($A$1,$B63,J$1,$B$1)</f>
        <v>0</v>
      </c>
      <c r="K63" s="125" cm="1">
        <f t="array" ref="K63">+_xll.EQNXTDZ($A$1,$B63,K$1,$B$1)</f>
        <v>0</v>
      </c>
      <c r="L63" s="125" cm="1">
        <f t="array" ref="L63">+_xll.EQNXTDZ($A$1,$B63,L$1,$B$1)</f>
        <v>0</v>
      </c>
      <c r="M63" s="125" cm="1">
        <f t="array" ref="M63">+_xll.EQNXTDZ($A$1,$B63,M$1,$B$1)</f>
        <v>0</v>
      </c>
      <c r="N63" s="125" cm="1">
        <f t="array" ref="N63">+_xll.EQNXTDZ($A$1,$B63,N$1,$B$1)</f>
        <v>0</v>
      </c>
      <c r="O63" s="125" cm="1">
        <f t="array" ref="O63">+_xll.EQNXTDZ($A$1,$B63,O$1,$B$1)</f>
        <v>0</v>
      </c>
      <c r="P63" s="125" cm="1">
        <f t="array" ref="P63">+_xll.EQNXTDZ($A$1,$B63,P$1,$B$1)</f>
        <v>0</v>
      </c>
      <c r="Q63" s="125" cm="1">
        <f t="array" ref="Q63">+_xll.EQNXTDZ($A$1,$B63,Q$1,$B$1)</f>
        <v>0</v>
      </c>
      <c r="R63" s="125" cm="1">
        <f t="array" ref="R63">+_xll.EQNXTDZ($A$1,$B63,R$1,$B$1)</f>
        <v>0</v>
      </c>
      <c r="S63" s="125" cm="1">
        <f t="array" ref="S63">+_xll.EQNXTDZ($A$1,$B63,S$1,$B$1)</f>
        <v>0</v>
      </c>
      <c r="T63" s="125" cm="1">
        <f t="array" ref="T63">+_xll.EQNXTDZ($A$1,$B63,T$1,$B$1)</f>
        <v>0</v>
      </c>
      <c r="U63" s="125" cm="1">
        <f t="array" ref="U63">+_xll.EQNXTDZ($A$1,$B63,U$1,$B$1)</f>
        <v>0</v>
      </c>
      <c r="V63" s="125" cm="1">
        <f t="array" ref="V63">+_xll.EQNXTDZ($A$1,$B63,V$1,$B$1)</f>
        <v>0</v>
      </c>
      <c r="W63" s="125" cm="1">
        <f t="array" ref="W63">+_xll.EQNXTDZ($A$1,$B63,W$1,$B$1)</f>
        <v>0</v>
      </c>
      <c r="X63" s="125" cm="1">
        <f t="array" ref="X63">+_xll.EQNXTDZ($A$1,$B63,X$1,$B$1)</f>
        <v>0</v>
      </c>
      <c r="Y63" s="125" cm="1">
        <f t="array" ref="Y63">+_xll.EQNXTDZ($A$1,$B63,Y$1,$B$1)</f>
        <v>0</v>
      </c>
      <c r="Z63" s="125" cm="1">
        <f t="array" ref="Z63">+_xll.EQNXTDZ($A$1,$B63,Z$1,$B$1)</f>
        <v>0</v>
      </c>
      <c r="AA63" s="125" cm="1">
        <f t="array" ref="AA63">+_xll.EQNXTDZ($A$1,$B63,AA$1,$B$1)</f>
        <v>0</v>
      </c>
      <c r="AB63" s="125" cm="1">
        <f t="array" ref="AB63">+_xll.EQNXTDZ($A$1,$B63,AB$1,$B$1)</f>
        <v>0</v>
      </c>
      <c r="AC63" s="125" cm="1">
        <f t="array" ref="AC63">+_xll.EQNXTDZ($A$1,$B63,AC$1,$B$1)</f>
        <v>0</v>
      </c>
      <c r="AD63" s="125" cm="1">
        <f t="array" ref="AD63">+_xll.EQNXTDZ($A$1,$B63,AD$1,$B$1)</f>
        <v>0</v>
      </c>
      <c r="AE63" s="125" cm="1">
        <f t="array" ref="AE63">+_xll.EQNXTDZ($A$1,$B63,AE$1,$B$1)</f>
        <v>0</v>
      </c>
      <c r="AF63" s="125" cm="1">
        <f t="array" ref="AF63">+_xll.EQNXTDZ($A$1,$B63,AF$1,$B$1)</f>
        <v>0</v>
      </c>
      <c r="AG63" s="125" cm="1">
        <f t="array" ref="AG63">+_xll.EQNXTDZ($A$1,$B63,AG$1,$B$1)</f>
        <v>0</v>
      </c>
      <c r="AH63" s="125" cm="1">
        <f t="array" ref="AH63">+_xll.EQNXTDZ($A$1,$B63,AH$1,$B$1)</f>
        <v>0</v>
      </c>
      <c r="AI63" s="125" cm="1">
        <f t="array" ref="AI63">+_xll.EQNXTDZ($A$1,$B63,AI$1,$B$1)</f>
        <v>0</v>
      </c>
      <c r="AJ63" s="125" cm="1">
        <f t="array" ref="AJ63">+_xll.EQNXTDZ($A$1,$B63,AJ$1,$B$1)</f>
        <v>0</v>
      </c>
      <c r="AK63" s="125" cm="1">
        <f t="array" ref="AK63">+_xll.EQNXTDZ($A$1,$B63,AK$1,$B$1)</f>
        <v>0</v>
      </c>
      <c r="AL63" s="125" cm="1">
        <f t="array" ref="AL63">+_xll.EQNXTDZ($A$1,$B63,AL$1,$B$1)</f>
        <v>0</v>
      </c>
      <c r="AM63" s="125" cm="1">
        <f t="array" ref="AM63">+_xll.EQNXTDZ($A$1,$B63,AM$1,$B$1)</f>
        <v>0</v>
      </c>
      <c r="AN63" s="125" cm="1">
        <f t="array" ref="AN63">+_xll.EQNXTDZ($A$1,$B63,AN$1,$B$1)</f>
        <v>0</v>
      </c>
      <c r="AO63" s="125" cm="1">
        <f t="array" ref="AO63">+_xll.EQNXTDZ($A$1,$B63,AO$1,$B$1)</f>
        <v>0</v>
      </c>
      <c r="AP63" s="125" cm="1">
        <f t="array" ref="AP63">+_xll.EQNXTDZ($A$1,$B63,AP$1,$B$1)</f>
        <v>0</v>
      </c>
      <c r="AQ63" s="125" cm="1">
        <f t="array" ref="AQ63">+_xll.EQNXTDZ($A$1,$B63,AQ$1,$B$1)</f>
        <v>0</v>
      </c>
      <c r="AR63" s="125" cm="1">
        <f t="array" ref="AR63">+_xll.EQNXTDZ($A$1,$B63,AR$1,$B$1)</f>
        <v>0</v>
      </c>
      <c r="AS63" s="125" cm="1">
        <f t="array" ref="AS63">+_xll.EQNXTDZ($A$1,$B63,AS$1,$B$1)</f>
        <v>0</v>
      </c>
      <c r="AT63" s="125" cm="1">
        <f t="array" ref="AT63">+_xll.EQNXTDZ($A$1,$B63,AT$1,$B$1)</f>
        <v>0</v>
      </c>
      <c r="AU63" s="125" cm="1">
        <f t="array" ref="AU63">+_xll.EQNXTDZ($A$1,$B63,AU$1,$B$1)</f>
        <v>0</v>
      </c>
      <c r="AV63" s="125" cm="1">
        <f t="array" ref="AV63">+_xll.EQNXTDZ($A$1,$B63,AV$1,$B$1)</f>
        <v>0</v>
      </c>
      <c r="AW63" s="125" cm="1">
        <f t="array" ref="AW63">+_xll.EQNXTDZ($A$1,$B63,AW$1,$B$1)</f>
        <v>0</v>
      </c>
      <c r="AX63" s="125" cm="1">
        <f t="array" ref="AX63">+_xll.EQNXTDZ($A$1,$B63,AX$1,$B$1)</f>
        <v>0</v>
      </c>
      <c r="AY63" s="125" cm="1">
        <f t="array" ref="AY63">+_xll.EQNXTDZ($A$1,$B63,AY$1,$B$1)</f>
        <v>0</v>
      </c>
      <c r="AZ63" s="125" cm="1">
        <f t="array" ref="AZ63">+_xll.EQNXTDZ($A$1,$B63,AZ$1,$B$1)</f>
        <v>0</v>
      </c>
      <c r="BA63" s="125" cm="1">
        <f t="array" ref="BA63">+_xll.EQNXTDZ($A$1,$B63,BA$1,$B$1)</f>
        <v>0</v>
      </c>
      <c r="BB63" s="125" cm="1">
        <f t="array" ref="BB63">+_xll.EQNXTDZ($A$1,$B63,BB$1,$B$1)</f>
        <v>0</v>
      </c>
      <c r="BC63" s="125" cm="1">
        <f t="array" ref="BC63">+_xll.EQNXTDZ($A$1,$B63,BC$1,$B$1)</f>
        <v>0</v>
      </c>
      <c r="BD63" s="125" cm="1">
        <f t="array" ref="BD63">+_xll.EQNXTDZ($A$1,$B63,BD$1,$B$1)</f>
        <v>0</v>
      </c>
      <c r="BE63" s="125" cm="1">
        <f t="array" ref="BE63">+_xll.EQNXTDZ($A$1,$B63,BE$1,$B$1)</f>
        <v>0</v>
      </c>
      <c r="BF63" s="125" cm="1">
        <f t="array" ref="BF63">+_xll.EQNXTDZ($A$1,$B63,BF$1,$B$1)</f>
        <v>0</v>
      </c>
      <c r="BG63" s="125" cm="1">
        <f t="array" ref="BG63">+_xll.EQNXTDZ($A$1,$B63,BG$1,$B$1)</f>
        <v>0</v>
      </c>
      <c r="BH63" s="125" cm="1">
        <f t="array" ref="BH63">+_xll.EQNXTDZ($A$1,$B63,BH$1,$B$1)</f>
        <v>0</v>
      </c>
      <c r="BI63" s="125" cm="1">
        <f t="array" ref="BI63">+_xll.EQNXTDZ($A$1,$B63,BI$1,$B$1)</f>
        <v>0</v>
      </c>
      <c r="BJ63" s="125" cm="1">
        <f t="array" ref="BJ63">+_xll.EQNXTDZ($A$1,$B63,BJ$1,$B$1)</f>
        <v>0</v>
      </c>
      <c r="BK63" s="125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5" cm="1">
        <f t="array" ref="C64">+_xll.EQNXTDZ($A$1,$B64,C$1,$B$1)</f>
        <v>0</v>
      </c>
      <c r="D64" s="125" cm="1">
        <f t="array" ref="D64">+_xll.EQNXTDZ($A$1,$B64,D$1,$B$1)</f>
        <v>0</v>
      </c>
      <c r="E64" s="125" cm="1">
        <f t="array" ref="E64">+_xll.EQNXTDZ($A$1,$B64,E$1,$B$1)</f>
        <v>0</v>
      </c>
      <c r="F64" s="125" cm="1">
        <f t="array" ref="F64">+_xll.EQNXTDZ($A$1,$B64,F$1,$B$1)</f>
        <v>0</v>
      </c>
      <c r="G64" s="125" cm="1">
        <f t="array" ref="G64">+_xll.EQNXTDZ($A$1,$B64,G$1,$B$1)</f>
        <v>0</v>
      </c>
      <c r="H64" s="125" cm="1">
        <f t="array" ref="H64">+_xll.EQNXTDZ($A$1,$B64,H$1,$B$1)</f>
        <v>0</v>
      </c>
      <c r="I64" s="125" cm="1">
        <f t="array" ref="I64">+_xll.EQNXTDZ($A$1,$B64,I$1,$B$1)</f>
        <v>0</v>
      </c>
      <c r="J64" s="125" cm="1">
        <f t="array" ref="J64">+_xll.EQNXTDZ($A$1,$B64,J$1,$B$1)</f>
        <v>0</v>
      </c>
      <c r="K64" s="125" cm="1">
        <f t="array" ref="K64">+_xll.EQNXTDZ($A$1,$B64,K$1,$B$1)</f>
        <v>0</v>
      </c>
      <c r="L64" s="125" cm="1">
        <f t="array" ref="L64">+_xll.EQNXTDZ($A$1,$B64,L$1,$B$1)</f>
        <v>0</v>
      </c>
      <c r="M64" s="125" cm="1">
        <f t="array" ref="M64">+_xll.EQNXTDZ($A$1,$B64,M$1,$B$1)</f>
        <v>0</v>
      </c>
      <c r="N64" s="125" cm="1">
        <f t="array" ref="N64">+_xll.EQNXTDZ($A$1,$B64,N$1,$B$1)</f>
        <v>0</v>
      </c>
      <c r="O64" s="125" cm="1">
        <f t="array" ref="O64">+_xll.EQNXTDZ($A$1,$B64,O$1,$B$1)</f>
        <v>6.53</v>
      </c>
      <c r="P64" s="125" cm="1">
        <f t="array" ref="P64">+_xll.EQNXTDZ($A$1,$B64,P$1,$B$1)</f>
        <v>0</v>
      </c>
      <c r="Q64" s="125" cm="1">
        <f t="array" ref="Q64">+_xll.EQNXTDZ($A$1,$B64,Q$1,$B$1)</f>
        <v>9.98</v>
      </c>
      <c r="R64" s="125" cm="1">
        <f t="array" ref="R64">+_xll.EQNXTDZ($A$1,$B64,R$1,$B$1)</f>
        <v>0</v>
      </c>
      <c r="S64" s="125" cm="1">
        <f t="array" ref="S64">+_xll.EQNXTDZ($A$1,$B64,S$1,$B$1)</f>
        <v>11.88</v>
      </c>
      <c r="T64" s="125" cm="1">
        <f t="array" ref="T64">+_xll.EQNXTDZ($A$1,$B64,T$1,$B$1)</f>
        <v>0</v>
      </c>
      <c r="U64" s="125" cm="1">
        <f t="array" ref="U64">+_xll.EQNXTDZ($A$1,$B64,U$1,$B$1)</f>
        <v>13.35</v>
      </c>
      <c r="V64" s="125" cm="1">
        <f t="array" ref="V64">+_xll.EQNXTDZ($A$1,$B64,V$1,$B$1)</f>
        <v>0</v>
      </c>
      <c r="W64" s="125" cm="1">
        <f t="array" ref="W64">+_xll.EQNXTDZ($A$1,$B64,W$1,$B$1)</f>
        <v>20.309999999999999</v>
      </c>
      <c r="X64" s="125" cm="1">
        <f t="array" ref="X64">+_xll.EQNXTDZ($A$1,$B64,X$1,$B$1)</f>
        <v>0</v>
      </c>
      <c r="Y64" s="125" cm="1">
        <f t="array" ref="Y64">+_xll.EQNXTDZ($A$1,$B64,Y$1,$B$1)</f>
        <v>24.41</v>
      </c>
      <c r="Z64" s="125" cm="1">
        <f t="array" ref="Z64">+_xll.EQNXTDZ($A$1,$B64,Z$1,$B$1)</f>
        <v>0</v>
      </c>
      <c r="AA64" s="125" cm="1">
        <f t="array" ref="AA64">+_xll.EQNXTDZ($A$1,$B64,AA$1,$B$1)</f>
        <v>25.53</v>
      </c>
      <c r="AB64" s="125" cm="1">
        <f t="array" ref="AB64">+_xll.EQNXTDZ($A$1,$B64,AB$1,$B$1)</f>
        <v>0</v>
      </c>
      <c r="AC64" s="125" cm="1">
        <f t="array" ref="AC64">+_xll.EQNXTDZ($A$1,$B64,AC$1,$B$1)</f>
        <v>28.95</v>
      </c>
      <c r="AD64" s="125" cm="1">
        <f t="array" ref="AD64">+_xll.EQNXTDZ($A$1,$B64,AD$1,$B$1)</f>
        <v>0</v>
      </c>
      <c r="AE64" s="125" cm="1">
        <f t="array" ref="AE64">+_xll.EQNXTDZ($A$1,$B64,AE$1,$B$1)</f>
        <v>31.25</v>
      </c>
      <c r="AF64" s="125" cm="1">
        <f t="array" ref="AF64">+_xll.EQNXTDZ($A$1,$B64,AF$1,$B$1)</f>
        <v>0</v>
      </c>
      <c r="AG64" s="125" cm="1">
        <f t="array" ref="AG64">+_xll.EQNXTDZ($A$1,$B64,AG$1,$B$1)</f>
        <v>34.49</v>
      </c>
      <c r="AH64" s="125" cm="1">
        <f t="array" ref="AH64">+_xll.EQNXTDZ($A$1,$B64,AH$1,$B$1)</f>
        <v>0</v>
      </c>
      <c r="AI64" s="125" cm="1">
        <f t="array" ref="AI64">+_xll.EQNXTDZ($A$1,$B64,AI$1,$B$1)</f>
        <v>36.630000000000003</v>
      </c>
      <c r="AJ64" s="125" cm="1">
        <f t="array" ref="AJ64">+_xll.EQNXTDZ($A$1,$B64,AJ$1,$B$1)</f>
        <v>0</v>
      </c>
      <c r="AK64" s="125" cm="1">
        <f t="array" ref="AK64">+_xll.EQNXTDZ($A$1,$B64,AK$1,$B$1)</f>
        <v>42.1</v>
      </c>
      <c r="AL64" s="125" cm="1">
        <f t="array" ref="AL64">+_xll.EQNXTDZ($A$1,$B64,AL$1,$B$1)</f>
        <v>0</v>
      </c>
      <c r="AM64" s="125" cm="1">
        <f t="array" ref="AM64">+_xll.EQNXTDZ($A$1,$B64,AM$1,$B$1)</f>
        <v>47.46</v>
      </c>
      <c r="AN64" s="125" cm="1">
        <f t="array" ref="AN64">+_xll.EQNXTDZ($A$1,$B64,AN$1,$B$1)</f>
        <v>0</v>
      </c>
      <c r="AO64" s="125" cm="1">
        <f t="array" ref="AO64">+_xll.EQNXTDZ($A$1,$B64,AO$1,$B$1)</f>
        <v>55.16</v>
      </c>
      <c r="AP64" s="125" cm="1">
        <f t="array" ref="AP64">+_xll.EQNXTDZ($A$1,$B64,AP$1,$B$1)</f>
        <v>0</v>
      </c>
      <c r="AQ64" s="125" cm="1">
        <f t="array" ref="AQ64">+_xll.EQNXTDZ($A$1,$B64,AQ$1,$B$1)</f>
        <v>58.79</v>
      </c>
      <c r="AR64" s="125" cm="1">
        <f t="array" ref="AR64">+_xll.EQNXTDZ($A$1,$B64,AR$1,$B$1)</f>
        <v>0</v>
      </c>
      <c r="AS64" s="125" cm="1">
        <f t="array" ref="AS64">+_xll.EQNXTDZ($A$1,$B64,AS$1,$B$1)</f>
        <v>60.11</v>
      </c>
      <c r="AT64" s="125" cm="1">
        <f t="array" ref="AT64">+_xll.EQNXTDZ($A$1,$B64,AT$1,$B$1)</f>
        <v>0</v>
      </c>
      <c r="AU64" s="125" cm="1">
        <f t="array" ref="AU64">+_xll.EQNXTDZ($A$1,$B64,AU$1,$B$1)</f>
        <v>75.91</v>
      </c>
      <c r="AV64" s="125" cm="1">
        <f t="array" ref="AV64">+_xll.EQNXTDZ($A$1,$B64,AV$1,$B$1)</f>
        <v>0</v>
      </c>
      <c r="AW64" s="125" cm="1">
        <f t="array" ref="AW64">+_xll.EQNXTDZ($A$1,$B64,AW$1,$B$1)</f>
        <v>0</v>
      </c>
      <c r="AX64" s="125" cm="1">
        <f t="array" ref="AX64">+_xll.EQNXTDZ($A$1,$B64,AX$1,$B$1)</f>
        <v>0</v>
      </c>
      <c r="AY64" s="125" cm="1">
        <f t="array" ref="AY64">+_xll.EQNXTDZ($A$1,$B64,AY$1,$B$1)</f>
        <v>0</v>
      </c>
      <c r="AZ64" s="125" cm="1">
        <f t="array" ref="AZ64">+_xll.EQNXTDZ($A$1,$B64,AZ$1,$B$1)</f>
        <v>0</v>
      </c>
      <c r="BA64" s="125" cm="1">
        <f t="array" ref="BA64">+_xll.EQNXTDZ($A$1,$B64,BA$1,$B$1)</f>
        <v>0</v>
      </c>
      <c r="BB64" s="125" cm="1">
        <f t="array" ref="BB64">+_xll.EQNXTDZ($A$1,$B64,BB$1,$B$1)</f>
        <v>0</v>
      </c>
      <c r="BC64" s="125" cm="1">
        <f t="array" ref="BC64">+_xll.EQNXTDZ($A$1,$B64,BC$1,$B$1)</f>
        <v>0</v>
      </c>
      <c r="BD64" s="125" cm="1">
        <f t="array" ref="BD64">+_xll.EQNXTDZ($A$1,$B64,BD$1,$B$1)</f>
        <v>0</v>
      </c>
      <c r="BE64" s="125" cm="1">
        <f t="array" ref="BE64">+_xll.EQNXTDZ($A$1,$B64,BE$1,$B$1)</f>
        <v>0</v>
      </c>
      <c r="BF64" s="125" cm="1">
        <f t="array" ref="BF64">+_xll.EQNXTDZ($A$1,$B64,BF$1,$B$1)</f>
        <v>0</v>
      </c>
      <c r="BG64" s="125" cm="1">
        <f t="array" ref="BG64">+_xll.EQNXTDZ($A$1,$B64,BG$1,$B$1)</f>
        <v>0</v>
      </c>
      <c r="BH64" s="125" cm="1">
        <f t="array" ref="BH64">+_xll.EQNXTDZ($A$1,$B64,BH$1,$B$1)</f>
        <v>0</v>
      </c>
      <c r="BI64" s="125" cm="1">
        <f t="array" ref="BI64">+_xll.EQNXTDZ($A$1,$B64,BI$1,$B$1)</f>
        <v>0</v>
      </c>
      <c r="BJ64" s="125" cm="1">
        <f t="array" ref="BJ64">+_xll.EQNXTDZ($A$1,$B64,BJ$1,$B$1)</f>
        <v>0</v>
      </c>
      <c r="BK64" s="125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5" cm="1">
        <f t="array" ref="C65">+_xll.EQNXTDZ($A$1,$B65,C$1,$B$1)</f>
        <v>0</v>
      </c>
      <c r="D65" s="125" cm="1">
        <f t="array" ref="D65">+_xll.EQNXTDZ($A$1,$B65,D$1,$B$1)</f>
        <v>0</v>
      </c>
      <c r="E65" s="125" cm="1">
        <f t="array" ref="E65">+_xll.EQNXTDZ($A$1,$B65,E$1,$B$1)</f>
        <v>0</v>
      </c>
      <c r="F65" s="125" cm="1">
        <f t="array" ref="F65">+_xll.EQNXTDZ($A$1,$B65,F$1,$B$1)</f>
        <v>0</v>
      </c>
      <c r="G65" s="125" cm="1">
        <f t="array" ref="G65">+_xll.EQNXTDZ($A$1,$B65,G$1,$B$1)</f>
        <v>0</v>
      </c>
      <c r="H65" s="125" cm="1">
        <f t="array" ref="H65">+_xll.EQNXTDZ($A$1,$B65,H$1,$B$1)</f>
        <v>0</v>
      </c>
      <c r="I65" s="125" cm="1">
        <f t="array" ref="I65">+_xll.EQNXTDZ($A$1,$B65,I$1,$B$1)</f>
        <v>0</v>
      </c>
      <c r="J65" s="125" cm="1">
        <f t="array" ref="J65">+_xll.EQNXTDZ($A$1,$B65,J$1,$B$1)</f>
        <v>0</v>
      </c>
      <c r="K65" s="125" cm="1">
        <f t="array" ref="K65">+_xll.EQNXTDZ($A$1,$B65,K$1,$B$1)</f>
        <v>0</v>
      </c>
      <c r="L65" s="125" cm="1">
        <f t="array" ref="L65">+_xll.EQNXTDZ($A$1,$B65,L$1,$B$1)</f>
        <v>0</v>
      </c>
      <c r="M65" s="125" cm="1">
        <f t="array" ref="M65">+_xll.EQNXTDZ($A$1,$B65,M$1,$B$1)</f>
        <v>0</v>
      </c>
      <c r="N65" s="125" cm="1">
        <f t="array" ref="N65">+_xll.EQNXTDZ($A$1,$B65,N$1,$B$1)</f>
        <v>0</v>
      </c>
      <c r="O65" s="125" cm="1">
        <f t="array" ref="O65">+_xll.EQNXTDZ($A$1,$B65,O$1,$B$1)</f>
        <v>1455.03</v>
      </c>
      <c r="P65" s="125" cm="1">
        <f t="array" ref="P65">+_xll.EQNXTDZ($A$1,$B65,P$1,$B$1)</f>
        <v>0</v>
      </c>
      <c r="Q65" s="125" cm="1">
        <f t="array" ref="Q65">+_xll.EQNXTDZ($A$1,$B65,Q$1,$B$1)</f>
        <v>2257.41</v>
      </c>
      <c r="R65" s="125" cm="1">
        <f t="array" ref="R65">+_xll.EQNXTDZ($A$1,$B65,R$1,$B$1)</f>
        <v>0</v>
      </c>
      <c r="S65" s="125" cm="1">
        <f t="array" ref="S65">+_xll.EQNXTDZ($A$1,$B65,S$1,$B$1)</f>
        <v>2386.84</v>
      </c>
      <c r="T65" s="125" cm="1">
        <f t="array" ref="T65">+_xll.EQNXTDZ($A$1,$B65,T$1,$B$1)</f>
        <v>0</v>
      </c>
      <c r="U65" s="125" cm="1">
        <f t="array" ref="U65">+_xll.EQNXTDZ($A$1,$B65,U$1,$B$1)</f>
        <v>2579.88</v>
      </c>
      <c r="V65" s="125" cm="1">
        <f t="array" ref="V65">+_xll.EQNXTDZ($A$1,$B65,V$1,$B$1)</f>
        <v>0</v>
      </c>
      <c r="W65" s="125" cm="1">
        <f t="array" ref="W65">+_xll.EQNXTDZ($A$1,$B65,W$1,$B$1)</f>
        <v>2874.69</v>
      </c>
      <c r="X65" s="125" cm="1">
        <f t="array" ref="X65">+_xll.EQNXTDZ($A$1,$B65,X$1,$B$1)</f>
        <v>0</v>
      </c>
      <c r="Y65" s="125" cm="1">
        <f t="array" ref="Y65">+_xll.EQNXTDZ($A$1,$B65,Y$1,$B$1)</f>
        <v>3084.2</v>
      </c>
      <c r="Z65" s="125" cm="1">
        <f t="array" ref="Z65">+_xll.EQNXTDZ($A$1,$B65,Z$1,$B$1)</f>
        <v>0</v>
      </c>
      <c r="AA65" s="125" cm="1">
        <f t="array" ref="AA65">+_xll.EQNXTDZ($A$1,$B65,AA$1,$B$1)</f>
        <v>3834.27</v>
      </c>
      <c r="AB65" s="125" cm="1">
        <f t="array" ref="AB65">+_xll.EQNXTDZ($A$1,$B65,AB$1,$B$1)</f>
        <v>0</v>
      </c>
      <c r="AC65" s="125" cm="1">
        <f t="array" ref="AC65">+_xll.EQNXTDZ($A$1,$B65,AC$1,$B$1)</f>
        <v>3912.41</v>
      </c>
      <c r="AD65" s="125" cm="1">
        <f t="array" ref="AD65">+_xll.EQNXTDZ($A$1,$B65,AD$1,$B$1)</f>
        <v>0</v>
      </c>
      <c r="AE65" s="125" cm="1">
        <f t="array" ref="AE65">+_xll.EQNXTDZ($A$1,$B65,AE$1,$B$1)</f>
        <v>4213.1400000000003</v>
      </c>
      <c r="AF65" s="125" cm="1">
        <f t="array" ref="AF65">+_xll.EQNXTDZ($A$1,$B65,AF$1,$B$1)</f>
        <v>0</v>
      </c>
      <c r="AG65" s="125" cm="1">
        <f t="array" ref="AG65">+_xll.EQNXTDZ($A$1,$B65,AG$1,$B$1)</f>
        <v>4632.75</v>
      </c>
      <c r="AH65" s="125" cm="1">
        <f t="array" ref="AH65">+_xll.EQNXTDZ($A$1,$B65,AH$1,$B$1)</f>
        <v>0</v>
      </c>
      <c r="AI65" s="125" cm="1">
        <f t="array" ref="AI65">+_xll.EQNXTDZ($A$1,$B65,AI$1,$B$1)</f>
        <v>5163.26</v>
      </c>
      <c r="AJ65" s="125" cm="1">
        <f t="array" ref="AJ65">+_xll.EQNXTDZ($A$1,$B65,AJ$1,$B$1)</f>
        <v>0</v>
      </c>
      <c r="AK65" s="125" cm="1">
        <f t="array" ref="AK65">+_xll.EQNXTDZ($A$1,$B65,AK$1,$B$1)</f>
        <v>5891.17</v>
      </c>
      <c r="AL65" s="125" cm="1">
        <f t="array" ref="AL65">+_xll.EQNXTDZ($A$1,$B65,AL$1,$B$1)</f>
        <v>0</v>
      </c>
      <c r="AM65" s="125" cm="1">
        <f t="array" ref="AM65">+_xll.EQNXTDZ($A$1,$B65,AM$1,$B$1)</f>
        <v>6642.3</v>
      </c>
      <c r="AN65" s="125" cm="1">
        <f t="array" ref="AN65">+_xll.EQNXTDZ($A$1,$B65,AN$1,$B$1)</f>
        <v>0</v>
      </c>
      <c r="AO65" s="125" cm="1">
        <f t="array" ref="AO65">+_xll.EQNXTDZ($A$1,$B65,AO$1,$B$1)</f>
        <v>7110.76</v>
      </c>
      <c r="AP65" s="125" cm="1">
        <f t="array" ref="AP65">+_xll.EQNXTDZ($A$1,$B65,AP$1,$B$1)</f>
        <v>0</v>
      </c>
      <c r="AQ65" s="125" cm="1">
        <f t="array" ref="AQ65">+_xll.EQNXTDZ($A$1,$B65,AQ$1,$B$1)</f>
        <v>7055.59</v>
      </c>
      <c r="AR65" s="125" cm="1">
        <f t="array" ref="AR65">+_xll.EQNXTDZ($A$1,$B65,AR$1,$B$1)</f>
        <v>0</v>
      </c>
      <c r="AS65" s="125" cm="1">
        <f t="array" ref="AS65">+_xll.EQNXTDZ($A$1,$B65,AS$1,$B$1)</f>
        <v>7255.29</v>
      </c>
      <c r="AT65" s="125" cm="1">
        <f t="array" ref="AT65">+_xll.EQNXTDZ($A$1,$B65,AT$1,$B$1)</f>
        <v>0</v>
      </c>
      <c r="AU65" s="125" cm="1">
        <f t="array" ref="AU65">+_xll.EQNXTDZ($A$1,$B65,AU$1,$B$1)</f>
        <v>7979.96</v>
      </c>
      <c r="AV65" s="125" cm="1">
        <f t="array" ref="AV65">+_xll.EQNXTDZ($A$1,$B65,AV$1,$B$1)</f>
        <v>0</v>
      </c>
      <c r="AW65" s="125" cm="1">
        <f t="array" ref="AW65">+_xll.EQNXTDZ($A$1,$B65,AW$1,$B$1)</f>
        <v>0</v>
      </c>
      <c r="AX65" s="125" cm="1">
        <f t="array" ref="AX65">+_xll.EQNXTDZ($A$1,$B65,AX$1,$B$1)</f>
        <v>0</v>
      </c>
      <c r="AY65" s="125" cm="1">
        <f t="array" ref="AY65">+_xll.EQNXTDZ($A$1,$B65,AY$1,$B$1)</f>
        <v>0</v>
      </c>
      <c r="AZ65" s="125" cm="1">
        <f t="array" ref="AZ65">+_xll.EQNXTDZ($A$1,$B65,AZ$1,$B$1)</f>
        <v>0</v>
      </c>
      <c r="BA65" s="125" cm="1">
        <f t="array" ref="BA65">+_xll.EQNXTDZ($A$1,$B65,BA$1,$B$1)</f>
        <v>0</v>
      </c>
      <c r="BB65" s="125" cm="1">
        <f t="array" ref="BB65">+_xll.EQNXTDZ($A$1,$B65,BB$1,$B$1)</f>
        <v>0</v>
      </c>
      <c r="BC65" s="125" cm="1">
        <f t="array" ref="BC65">+_xll.EQNXTDZ($A$1,$B65,BC$1,$B$1)</f>
        <v>0</v>
      </c>
      <c r="BD65" s="125" cm="1">
        <f t="array" ref="BD65">+_xll.EQNXTDZ($A$1,$B65,BD$1,$B$1)</f>
        <v>0</v>
      </c>
      <c r="BE65" s="125" cm="1">
        <f t="array" ref="BE65">+_xll.EQNXTDZ($A$1,$B65,BE$1,$B$1)</f>
        <v>0</v>
      </c>
      <c r="BF65" s="125" cm="1">
        <f t="array" ref="BF65">+_xll.EQNXTDZ($A$1,$B65,BF$1,$B$1)</f>
        <v>0</v>
      </c>
      <c r="BG65" s="125" cm="1">
        <f t="array" ref="BG65">+_xll.EQNXTDZ($A$1,$B65,BG$1,$B$1)</f>
        <v>0</v>
      </c>
      <c r="BH65" s="125" cm="1">
        <f t="array" ref="BH65">+_xll.EQNXTDZ($A$1,$B65,BH$1,$B$1)</f>
        <v>0</v>
      </c>
      <c r="BI65" s="125" cm="1">
        <f t="array" ref="BI65">+_xll.EQNXTDZ($A$1,$B65,BI$1,$B$1)</f>
        <v>0</v>
      </c>
      <c r="BJ65" s="125" cm="1">
        <f t="array" ref="BJ65">+_xll.EQNXTDZ($A$1,$B65,BJ$1,$B$1)</f>
        <v>0</v>
      </c>
      <c r="BK65" s="125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5" cm="1">
        <f t="array" ref="C66">+_xll.EQNXTDZ($A$1,$B66,C$1,$B$1)</f>
        <v>0</v>
      </c>
      <c r="D66" s="125" cm="1">
        <f t="array" ref="D66">+_xll.EQNXTDZ($A$1,$B66,D$1,$B$1)</f>
        <v>0</v>
      </c>
      <c r="E66" s="125" cm="1">
        <f t="array" ref="E66">+_xll.EQNXTDZ($A$1,$B66,E$1,$B$1)</f>
        <v>0</v>
      </c>
      <c r="F66" s="125" cm="1">
        <f t="array" ref="F66">+_xll.EQNXTDZ($A$1,$B66,F$1,$B$1)</f>
        <v>0</v>
      </c>
      <c r="G66" s="125" cm="1">
        <f t="array" ref="G66">+_xll.EQNXTDZ($A$1,$B66,G$1,$B$1)</f>
        <v>0</v>
      </c>
      <c r="H66" s="125" cm="1">
        <f t="array" ref="H66">+_xll.EQNXTDZ($A$1,$B66,H$1,$B$1)</f>
        <v>0</v>
      </c>
      <c r="I66" s="125" cm="1">
        <f t="array" ref="I66">+_xll.EQNXTDZ($A$1,$B66,I$1,$B$1)</f>
        <v>0</v>
      </c>
      <c r="J66" s="125" cm="1">
        <f t="array" ref="J66">+_xll.EQNXTDZ($A$1,$B66,J$1,$B$1)</f>
        <v>0</v>
      </c>
      <c r="K66" s="125" cm="1">
        <f t="array" ref="K66">+_xll.EQNXTDZ($A$1,$B66,K$1,$B$1)</f>
        <v>0</v>
      </c>
      <c r="L66" s="125" cm="1">
        <f t="array" ref="L66">+_xll.EQNXTDZ($A$1,$B66,L$1,$B$1)</f>
        <v>0</v>
      </c>
      <c r="M66" s="125" cm="1">
        <f t="array" ref="M66">+_xll.EQNXTDZ($A$1,$B66,M$1,$B$1)</f>
        <v>0</v>
      </c>
      <c r="N66" s="125" cm="1">
        <f t="array" ref="N66">+_xll.EQNXTDZ($A$1,$B66,N$1,$B$1)</f>
        <v>0</v>
      </c>
      <c r="O66" s="125" cm="1">
        <f t="array" ref="O66">+_xll.EQNXTDZ($A$1,$B66,O$1,$B$1)</f>
        <v>17.22</v>
      </c>
      <c r="P66" s="125" cm="1">
        <f t="array" ref="P66">+_xll.EQNXTDZ($A$1,$B66,P$1,$B$1)</f>
        <v>0</v>
      </c>
      <c r="Q66" s="125" cm="1">
        <f t="array" ref="Q66">+_xll.EQNXTDZ($A$1,$B66,Q$1,$B$1)</f>
        <v>22.74</v>
      </c>
      <c r="R66" s="125" cm="1">
        <f t="array" ref="R66">+_xll.EQNXTDZ($A$1,$B66,R$1,$B$1)</f>
        <v>0</v>
      </c>
      <c r="S66" s="125" cm="1">
        <f t="array" ref="S66">+_xll.EQNXTDZ($A$1,$B66,S$1,$B$1)</f>
        <v>27.11</v>
      </c>
      <c r="T66" s="125" cm="1">
        <f t="array" ref="T66">+_xll.EQNXTDZ($A$1,$B66,T$1,$B$1)</f>
        <v>0</v>
      </c>
      <c r="U66" s="125" cm="1">
        <f t="array" ref="U66">+_xll.EQNXTDZ($A$1,$B66,U$1,$B$1)</f>
        <v>35.15</v>
      </c>
      <c r="V66" s="125" cm="1">
        <f t="array" ref="V66">+_xll.EQNXTDZ($A$1,$B66,V$1,$B$1)</f>
        <v>0</v>
      </c>
      <c r="W66" s="125" cm="1">
        <f t="array" ref="W66">+_xll.EQNXTDZ($A$1,$B66,W$1,$B$1)</f>
        <v>207.16</v>
      </c>
      <c r="X66" s="125" cm="1">
        <f t="array" ref="X66">+_xll.EQNXTDZ($A$1,$B66,X$1,$B$1)</f>
        <v>0</v>
      </c>
      <c r="Y66" s="125" cm="1">
        <f t="array" ref="Y66">+_xll.EQNXTDZ($A$1,$B66,Y$1,$B$1)</f>
        <v>195.09</v>
      </c>
      <c r="Z66" s="125" cm="1">
        <f t="array" ref="Z66">+_xll.EQNXTDZ($A$1,$B66,Z$1,$B$1)</f>
        <v>0</v>
      </c>
      <c r="AA66" s="125" cm="1">
        <f t="array" ref="AA66">+_xll.EQNXTDZ($A$1,$B66,AA$1,$B$1)</f>
        <v>188.31</v>
      </c>
      <c r="AB66" s="125" cm="1">
        <f t="array" ref="AB66">+_xll.EQNXTDZ($A$1,$B66,AB$1,$B$1)</f>
        <v>0</v>
      </c>
      <c r="AC66" s="125" cm="1">
        <f t="array" ref="AC66">+_xll.EQNXTDZ($A$1,$B66,AC$1,$B$1)</f>
        <v>184.02</v>
      </c>
      <c r="AD66" s="125" cm="1">
        <f t="array" ref="AD66">+_xll.EQNXTDZ($A$1,$B66,AD$1,$B$1)</f>
        <v>0</v>
      </c>
      <c r="AE66" s="125" cm="1">
        <f t="array" ref="AE66">+_xll.EQNXTDZ($A$1,$B66,AE$1,$B$1)</f>
        <v>181.52</v>
      </c>
      <c r="AF66" s="125" cm="1">
        <f t="array" ref="AF66">+_xll.EQNXTDZ($A$1,$B66,AF$1,$B$1)</f>
        <v>0</v>
      </c>
      <c r="AG66" s="125" cm="1">
        <f t="array" ref="AG66">+_xll.EQNXTDZ($A$1,$B66,AG$1,$B$1)</f>
        <v>170.45</v>
      </c>
      <c r="AH66" s="125" cm="1">
        <f t="array" ref="AH66">+_xll.EQNXTDZ($A$1,$B66,AH$1,$B$1)</f>
        <v>0</v>
      </c>
      <c r="AI66" s="125" cm="1">
        <f t="array" ref="AI66">+_xll.EQNXTDZ($A$1,$B66,AI$1,$B$1)</f>
        <v>162.54</v>
      </c>
      <c r="AJ66" s="125" cm="1">
        <f t="array" ref="AJ66">+_xll.EQNXTDZ($A$1,$B66,AJ$1,$B$1)</f>
        <v>0</v>
      </c>
      <c r="AK66" s="125" cm="1">
        <f t="array" ref="AK66">+_xll.EQNXTDZ($A$1,$B66,AK$1,$B$1)</f>
        <v>151.13999999999999</v>
      </c>
      <c r="AL66" s="125" cm="1">
        <f t="array" ref="AL66">+_xll.EQNXTDZ($A$1,$B66,AL$1,$B$1)</f>
        <v>0</v>
      </c>
      <c r="AM66" s="125" cm="1">
        <f t="array" ref="AM66">+_xll.EQNXTDZ($A$1,$B66,AM$1,$B$1)</f>
        <v>148.66999999999999</v>
      </c>
      <c r="AN66" s="125" cm="1">
        <f t="array" ref="AN66">+_xll.EQNXTDZ($A$1,$B66,AN$1,$B$1)</f>
        <v>0</v>
      </c>
      <c r="AO66" s="125" cm="1">
        <f t="array" ref="AO66">+_xll.EQNXTDZ($A$1,$B66,AO$1,$B$1)</f>
        <v>154.83000000000001</v>
      </c>
      <c r="AP66" s="125" cm="1">
        <f t="array" ref="AP66">+_xll.EQNXTDZ($A$1,$B66,AP$1,$B$1)</f>
        <v>0</v>
      </c>
      <c r="AQ66" s="125" cm="1">
        <f t="array" ref="AQ66">+_xll.EQNXTDZ($A$1,$B66,AQ$1,$B$1)</f>
        <v>144.28</v>
      </c>
      <c r="AR66" s="125" cm="1">
        <f t="array" ref="AR66">+_xll.EQNXTDZ($A$1,$B66,AR$1,$B$1)</f>
        <v>0</v>
      </c>
      <c r="AS66" s="125" cm="1">
        <f t="array" ref="AS66">+_xll.EQNXTDZ($A$1,$B66,AS$1,$B$1)</f>
        <v>134.22</v>
      </c>
      <c r="AT66" s="125" cm="1">
        <f t="array" ref="AT66">+_xll.EQNXTDZ($A$1,$B66,AT$1,$B$1)</f>
        <v>0</v>
      </c>
      <c r="AU66" s="125" cm="1">
        <f t="array" ref="AU66">+_xll.EQNXTDZ($A$1,$B66,AU$1,$B$1)</f>
        <v>124.45</v>
      </c>
      <c r="AV66" s="125" cm="1">
        <f t="array" ref="AV66">+_xll.EQNXTDZ($A$1,$B66,AV$1,$B$1)</f>
        <v>0</v>
      </c>
      <c r="AW66" s="125" cm="1">
        <f t="array" ref="AW66">+_xll.EQNXTDZ($A$1,$B66,AW$1,$B$1)</f>
        <v>0</v>
      </c>
      <c r="AX66" s="125" cm="1">
        <f t="array" ref="AX66">+_xll.EQNXTDZ($A$1,$B66,AX$1,$B$1)</f>
        <v>0</v>
      </c>
      <c r="AY66" s="125" cm="1">
        <f t="array" ref="AY66">+_xll.EQNXTDZ($A$1,$B66,AY$1,$B$1)</f>
        <v>0</v>
      </c>
      <c r="AZ66" s="125" cm="1">
        <f t="array" ref="AZ66">+_xll.EQNXTDZ($A$1,$B66,AZ$1,$B$1)</f>
        <v>0</v>
      </c>
      <c r="BA66" s="125" cm="1">
        <f t="array" ref="BA66">+_xll.EQNXTDZ($A$1,$B66,BA$1,$B$1)</f>
        <v>0</v>
      </c>
      <c r="BB66" s="125" cm="1">
        <f t="array" ref="BB66">+_xll.EQNXTDZ($A$1,$B66,BB$1,$B$1)</f>
        <v>0</v>
      </c>
      <c r="BC66" s="125" cm="1">
        <f t="array" ref="BC66">+_xll.EQNXTDZ($A$1,$B66,BC$1,$B$1)</f>
        <v>0</v>
      </c>
      <c r="BD66" s="125" cm="1">
        <f t="array" ref="BD66">+_xll.EQNXTDZ($A$1,$B66,BD$1,$B$1)</f>
        <v>0</v>
      </c>
      <c r="BE66" s="125" cm="1">
        <f t="array" ref="BE66">+_xll.EQNXTDZ($A$1,$B66,BE$1,$B$1)</f>
        <v>0</v>
      </c>
      <c r="BF66" s="125" cm="1">
        <f t="array" ref="BF66">+_xll.EQNXTDZ($A$1,$B66,BF$1,$B$1)</f>
        <v>0</v>
      </c>
      <c r="BG66" s="125" cm="1">
        <f t="array" ref="BG66">+_xll.EQNXTDZ($A$1,$B66,BG$1,$B$1)</f>
        <v>0</v>
      </c>
      <c r="BH66" s="125" cm="1">
        <f t="array" ref="BH66">+_xll.EQNXTDZ($A$1,$B66,BH$1,$B$1)</f>
        <v>0</v>
      </c>
      <c r="BI66" s="125" cm="1">
        <f t="array" ref="BI66">+_xll.EQNXTDZ($A$1,$B66,BI$1,$B$1)</f>
        <v>0</v>
      </c>
      <c r="BJ66" s="125" cm="1">
        <f t="array" ref="BJ66">+_xll.EQNXTDZ($A$1,$B66,BJ$1,$B$1)</f>
        <v>0</v>
      </c>
      <c r="BK66" s="125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5" cm="1">
        <f t="array" ref="C67">+_xll.EQNXTDZ($A$1,$B67,C$1,$B$1)</f>
        <v>0</v>
      </c>
      <c r="D67" s="125" cm="1">
        <f t="array" ref="D67">+_xll.EQNXTDZ($A$1,$B67,D$1,$B$1)</f>
        <v>0</v>
      </c>
      <c r="E67" s="125" cm="1">
        <f t="array" ref="E67">+_xll.EQNXTDZ($A$1,$B67,E$1,$B$1)</f>
        <v>0</v>
      </c>
      <c r="F67" s="125" cm="1">
        <f t="array" ref="F67">+_xll.EQNXTDZ($A$1,$B67,F$1,$B$1)</f>
        <v>0</v>
      </c>
      <c r="G67" s="125" cm="1">
        <f t="array" ref="G67">+_xll.EQNXTDZ($A$1,$B67,G$1,$B$1)</f>
        <v>0</v>
      </c>
      <c r="H67" s="125" cm="1">
        <f t="array" ref="H67">+_xll.EQNXTDZ($A$1,$B67,H$1,$B$1)</f>
        <v>0</v>
      </c>
      <c r="I67" s="125" cm="1">
        <f t="array" ref="I67">+_xll.EQNXTDZ($A$1,$B67,I$1,$B$1)</f>
        <v>0</v>
      </c>
      <c r="J67" s="125" cm="1">
        <f t="array" ref="J67">+_xll.EQNXTDZ($A$1,$B67,J$1,$B$1)</f>
        <v>0</v>
      </c>
      <c r="K67" s="125" cm="1">
        <f t="array" ref="K67">+_xll.EQNXTDZ($A$1,$B67,K$1,$B$1)</f>
        <v>0</v>
      </c>
      <c r="L67" s="125" cm="1">
        <f t="array" ref="L67">+_xll.EQNXTDZ($A$1,$B67,L$1,$B$1)</f>
        <v>0</v>
      </c>
      <c r="M67" s="125" cm="1">
        <f t="array" ref="M67">+_xll.EQNXTDZ($A$1,$B67,M$1,$B$1)</f>
        <v>0</v>
      </c>
      <c r="N67" s="125" cm="1">
        <f t="array" ref="N67">+_xll.EQNXTDZ($A$1,$B67,N$1,$B$1)</f>
        <v>0</v>
      </c>
      <c r="O67" s="125" cm="1">
        <f t="array" ref="O67">+_xll.EQNXTDZ($A$1,$B67,O$1,$B$1)</f>
        <v>0</v>
      </c>
      <c r="P67" s="125" cm="1">
        <f t="array" ref="P67">+_xll.EQNXTDZ($A$1,$B67,P$1,$B$1)</f>
        <v>0</v>
      </c>
      <c r="Q67" s="125" cm="1">
        <f t="array" ref="Q67">+_xll.EQNXTDZ($A$1,$B67,Q$1,$B$1)</f>
        <v>0</v>
      </c>
      <c r="R67" s="125" cm="1">
        <f t="array" ref="R67">+_xll.EQNXTDZ($A$1,$B67,R$1,$B$1)</f>
        <v>0</v>
      </c>
      <c r="S67" s="125" cm="1">
        <f t="array" ref="S67">+_xll.EQNXTDZ($A$1,$B67,S$1,$B$1)</f>
        <v>0</v>
      </c>
      <c r="T67" s="125" cm="1">
        <f t="array" ref="T67">+_xll.EQNXTDZ($A$1,$B67,T$1,$B$1)</f>
        <v>0</v>
      </c>
      <c r="U67" s="125" cm="1">
        <f t="array" ref="U67">+_xll.EQNXTDZ($A$1,$B67,U$1,$B$1)</f>
        <v>0</v>
      </c>
      <c r="V67" s="125" cm="1">
        <f t="array" ref="V67">+_xll.EQNXTDZ($A$1,$B67,V$1,$B$1)</f>
        <v>0</v>
      </c>
      <c r="W67" s="125" cm="1">
        <f t="array" ref="W67">+_xll.EQNXTDZ($A$1,$B67,W$1,$B$1)</f>
        <v>0</v>
      </c>
      <c r="X67" s="125" cm="1">
        <f t="array" ref="X67">+_xll.EQNXTDZ($A$1,$B67,X$1,$B$1)</f>
        <v>0</v>
      </c>
      <c r="Y67" s="125" cm="1">
        <f t="array" ref="Y67">+_xll.EQNXTDZ($A$1,$B67,Y$1,$B$1)</f>
        <v>0</v>
      </c>
      <c r="Z67" s="125" cm="1">
        <f t="array" ref="Z67">+_xll.EQNXTDZ($A$1,$B67,Z$1,$B$1)</f>
        <v>0</v>
      </c>
      <c r="AA67" s="125" cm="1">
        <f t="array" ref="AA67">+_xll.EQNXTDZ($A$1,$B67,AA$1,$B$1)</f>
        <v>0</v>
      </c>
      <c r="AB67" s="125" cm="1">
        <f t="array" ref="AB67">+_xll.EQNXTDZ($A$1,$B67,AB$1,$B$1)</f>
        <v>0</v>
      </c>
      <c r="AC67" s="125" cm="1">
        <f t="array" ref="AC67">+_xll.EQNXTDZ($A$1,$B67,AC$1,$B$1)</f>
        <v>0</v>
      </c>
      <c r="AD67" s="125" cm="1">
        <f t="array" ref="AD67">+_xll.EQNXTDZ($A$1,$B67,AD$1,$B$1)</f>
        <v>0</v>
      </c>
      <c r="AE67" s="125" cm="1">
        <f t="array" ref="AE67">+_xll.EQNXTDZ($A$1,$B67,AE$1,$B$1)</f>
        <v>0</v>
      </c>
      <c r="AF67" s="125" cm="1">
        <f t="array" ref="AF67">+_xll.EQNXTDZ($A$1,$B67,AF$1,$B$1)</f>
        <v>0</v>
      </c>
      <c r="AG67" s="125" cm="1">
        <f t="array" ref="AG67">+_xll.EQNXTDZ($A$1,$B67,AG$1,$B$1)</f>
        <v>0</v>
      </c>
      <c r="AH67" s="125" cm="1">
        <f t="array" ref="AH67">+_xll.EQNXTDZ($A$1,$B67,AH$1,$B$1)</f>
        <v>0</v>
      </c>
      <c r="AI67" s="125" cm="1">
        <f t="array" ref="AI67">+_xll.EQNXTDZ($A$1,$B67,AI$1,$B$1)</f>
        <v>0</v>
      </c>
      <c r="AJ67" s="125" cm="1">
        <f t="array" ref="AJ67">+_xll.EQNXTDZ($A$1,$B67,AJ$1,$B$1)</f>
        <v>0</v>
      </c>
      <c r="AK67" s="125" cm="1">
        <f t="array" ref="AK67">+_xll.EQNXTDZ($A$1,$B67,AK$1,$B$1)</f>
        <v>0</v>
      </c>
      <c r="AL67" s="125" cm="1">
        <f t="array" ref="AL67">+_xll.EQNXTDZ($A$1,$B67,AL$1,$B$1)</f>
        <v>0</v>
      </c>
      <c r="AM67" s="125" cm="1">
        <f t="array" ref="AM67">+_xll.EQNXTDZ($A$1,$B67,AM$1,$B$1)</f>
        <v>0</v>
      </c>
      <c r="AN67" s="125" cm="1">
        <f t="array" ref="AN67">+_xll.EQNXTDZ($A$1,$B67,AN$1,$B$1)</f>
        <v>0</v>
      </c>
      <c r="AO67" s="125" cm="1">
        <f t="array" ref="AO67">+_xll.EQNXTDZ($A$1,$B67,AO$1,$B$1)</f>
        <v>0</v>
      </c>
      <c r="AP67" s="125" cm="1">
        <f t="array" ref="AP67">+_xll.EQNXTDZ($A$1,$B67,AP$1,$B$1)</f>
        <v>0</v>
      </c>
      <c r="AQ67" s="125" cm="1">
        <f t="array" ref="AQ67">+_xll.EQNXTDZ($A$1,$B67,AQ$1,$B$1)</f>
        <v>0</v>
      </c>
      <c r="AR67" s="125" cm="1">
        <f t="array" ref="AR67">+_xll.EQNXTDZ($A$1,$B67,AR$1,$B$1)</f>
        <v>0</v>
      </c>
      <c r="AS67" s="125" cm="1">
        <f t="array" ref="AS67">+_xll.EQNXTDZ($A$1,$B67,AS$1,$B$1)</f>
        <v>0</v>
      </c>
      <c r="AT67" s="125" cm="1">
        <f t="array" ref="AT67">+_xll.EQNXTDZ($A$1,$B67,AT$1,$B$1)</f>
        <v>0</v>
      </c>
      <c r="AU67" s="125" cm="1">
        <f t="array" ref="AU67">+_xll.EQNXTDZ($A$1,$B67,AU$1,$B$1)</f>
        <v>0</v>
      </c>
      <c r="AV67" s="125" cm="1">
        <f t="array" ref="AV67">+_xll.EQNXTDZ($A$1,$B67,AV$1,$B$1)</f>
        <v>0</v>
      </c>
      <c r="AW67" s="125" cm="1">
        <f t="array" ref="AW67">+_xll.EQNXTDZ($A$1,$B67,AW$1,$B$1)</f>
        <v>0</v>
      </c>
      <c r="AX67" s="125" cm="1">
        <f t="array" ref="AX67">+_xll.EQNXTDZ($A$1,$B67,AX$1,$B$1)</f>
        <v>0</v>
      </c>
      <c r="AY67" s="125" cm="1">
        <f t="array" ref="AY67">+_xll.EQNXTDZ($A$1,$B67,AY$1,$B$1)</f>
        <v>0</v>
      </c>
      <c r="AZ67" s="125" cm="1">
        <f t="array" ref="AZ67">+_xll.EQNXTDZ($A$1,$B67,AZ$1,$B$1)</f>
        <v>0</v>
      </c>
      <c r="BA67" s="125" cm="1">
        <f t="array" ref="BA67">+_xll.EQNXTDZ($A$1,$B67,BA$1,$B$1)</f>
        <v>0</v>
      </c>
      <c r="BB67" s="125" cm="1">
        <f t="array" ref="BB67">+_xll.EQNXTDZ($A$1,$B67,BB$1,$B$1)</f>
        <v>0</v>
      </c>
      <c r="BC67" s="125" cm="1">
        <f t="array" ref="BC67">+_xll.EQNXTDZ($A$1,$B67,BC$1,$B$1)</f>
        <v>0</v>
      </c>
      <c r="BD67" s="125" cm="1">
        <f t="array" ref="BD67">+_xll.EQNXTDZ($A$1,$B67,BD$1,$B$1)</f>
        <v>0</v>
      </c>
      <c r="BE67" s="125" cm="1">
        <f t="array" ref="BE67">+_xll.EQNXTDZ($A$1,$B67,BE$1,$B$1)</f>
        <v>0</v>
      </c>
      <c r="BF67" s="125" cm="1">
        <f t="array" ref="BF67">+_xll.EQNXTDZ($A$1,$B67,BF$1,$B$1)</f>
        <v>0</v>
      </c>
      <c r="BG67" s="125" cm="1">
        <f t="array" ref="BG67">+_xll.EQNXTDZ($A$1,$B67,BG$1,$B$1)</f>
        <v>0</v>
      </c>
      <c r="BH67" s="125" cm="1">
        <f t="array" ref="BH67">+_xll.EQNXTDZ($A$1,$B67,BH$1,$B$1)</f>
        <v>0</v>
      </c>
      <c r="BI67" s="125" cm="1">
        <f t="array" ref="BI67">+_xll.EQNXTDZ($A$1,$B67,BI$1,$B$1)</f>
        <v>0</v>
      </c>
      <c r="BJ67" s="125" cm="1">
        <f t="array" ref="BJ67">+_xll.EQNXTDZ($A$1,$B67,BJ$1,$B$1)</f>
        <v>0</v>
      </c>
      <c r="BK67" s="125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5" cm="1">
        <f t="array" ref="C68">+_xll.EQNXTDZ($A$1,$B68,C$1,$B$1)</f>
        <v>0</v>
      </c>
      <c r="D68" s="125" cm="1">
        <f t="array" ref="D68">+_xll.EQNXTDZ($A$1,$B68,D$1,$B$1)</f>
        <v>0</v>
      </c>
      <c r="E68" s="125" cm="1">
        <f t="array" ref="E68">+_xll.EQNXTDZ($A$1,$B68,E$1,$B$1)</f>
        <v>0</v>
      </c>
      <c r="F68" s="125" cm="1">
        <f t="array" ref="F68">+_xll.EQNXTDZ($A$1,$B68,F$1,$B$1)</f>
        <v>0</v>
      </c>
      <c r="G68" s="125" cm="1">
        <f t="array" ref="G68">+_xll.EQNXTDZ($A$1,$B68,G$1,$B$1)</f>
        <v>0</v>
      </c>
      <c r="H68" s="125" cm="1">
        <f t="array" ref="H68">+_xll.EQNXTDZ($A$1,$B68,H$1,$B$1)</f>
        <v>0</v>
      </c>
      <c r="I68" s="125" cm="1">
        <f t="array" ref="I68">+_xll.EQNXTDZ($A$1,$B68,I$1,$B$1)</f>
        <v>0</v>
      </c>
      <c r="J68" s="125" cm="1">
        <f t="array" ref="J68">+_xll.EQNXTDZ($A$1,$B68,J$1,$B$1)</f>
        <v>0</v>
      </c>
      <c r="K68" s="125" cm="1">
        <f t="array" ref="K68">+_xll.EQNXTDZ($A$1,$B68,K$1,$B$1)</f>
        <v>0</v>
      </c>
      <c r="L68" s="125" cm="1">
        <f t="array" ref="L68">+_xll.EQNXTDZ($A$1,$B68,L$1,$B$1)</f>
        <v>0</v>
      </c>
      <c r="M68" s="125" cm="1">
        <f t="array" ref="M68">+_xll.EQNXTDZ($A$1,$B68,M$1,$B$1)</f>
        <v>0</v>
      </c>
      <c r="N68" s="125" cm="1">
        <f t="array" ref="N68">+_xll.EQNXTDZ($A$1,$B68,N$1,$B$1)</f>
        <v>0</v>
      </c>
      <c r="O68" s="125" cm="1">
        <f t="array" ref="O68">+_xll.EQNXTDZ($A$1,$B68,O$1,$B$1)</f>
        <v>0</v>
      </c>
      <c r="P68" s="125" cm="1">
        <f t="array" ref="P68">+_xll.EQNXTDZ($A$1,$B68,P$1,$B$1)</f>
        <v>0</v>
      </c>
      <c r="Q68" s="125" cm="1">
        <f t="array" ref="Q68">+_xll.EQNXTDZ($A$1,$B68,Q$1,$B$1)</f>
        <v>0</v>
      </c>
      <c r="R68" s="125" cm="1">
        <f t="array" ref="R68">+_xll.EQNXTDZ($A$1,$B68,R$1,$B$1)</f>
        <v>0</v>
      </c>
      <c r="S68" s="125" cm="1">
        <f t="array" ref="S68">+_xll.EQNXTDZ($A$1,$B68,S$1,$B$1)</f>
        <v>0</v>
      </c>
      <c r="T68" s="125" cm="1">
        <f t="array" ref="T68">+_xll.EQNXTDZ($A$1,$B68,T$1,$B$1)</f>
        <v>0</v>
      </c>
      <c r="U68" s="125" cm="1">
        <f t="array" ref="U68">+_xll.EQNXTDZ($A$1,$B68,U$1,$B$1)</f>
        <v>0</v>
      </c>
      <c r="V68" s="125" cm="1">
        <f t="array" ref="V68">+_xll.EQNXTDZ($A$1,$B68,V$1,$B$1)</f>
        <v>0</v>
      </c>
      <c r="W68" s="125" cm="1">
        <f t="array" ref="W68">+_xll.EQNXTDZ($A$1,$B68,W$1,$B$1)</f>
        <v>0</v>
      </c>
      <c r="X68" s="125" cm="1">
        <f t="array" ref="X68">+_xll.EQNXTDZ($A$1,$B68,X$1,$B$1)</f>
        <v>0</v>
      </c>
      <c r="Y68" s="125" cm="1">
        <f t="array" ref="Y68">+_xll.EQNXTDZ($A$1,$B68,Y$1,$B$1)</f>
        <v>0</v>
      </c>
      <c r="Z68" s="125" cm="1">
        <f t="array" ref="Z68">+_xll.EQNXTDZ($A$1,$B68,Z$1,$B$1)</f>
        <v>0</v>
      </c>
      <c r="AA68" s="125" cm="1">
        <f t="array" ref="AA68">+_xll.EQNXTDZ($A$1,$B68,AA$1,$B$1)</f>
        <v>0</v>
      </c>
      <c r="AB68" s="125" cm="1">
        <f t="array" ref="AB68">+_xll.EQNXTDZ($A$1,$B68,AB$1,$B$1)</f>
        <v>0</v>
      </c>
      <c r="AC68" s="125" cm="1">
        <f t="array" ref="AC68">+_xll.EQNXTDZ($A$1,$B68,AC$1,$B$1)</f>
        <v>0</v>
      </c>
      <c r="AD68" s="125" cm="1">
        <f t="array" ref="AD68">+_xll.EQNXTDZ($A$1,$B68,AD$1,$B$1)</f>
        <v>0</v>
      </c>
      <c r="AE68" s="125" cm="1">
        <f t="array" ref="AE68">+_xll.EQNXTDZ($A$1,$B68,AE$1,$B$1)</f>
        <v>0</v>
      </c>
      <c r="AF68" s="125" cm="1">
        <f t="array" ref="AF68">+_xll.EQNXTDZ($A$1,$B68,AF$1,$B$1)</f>
        <v>0</v>
      </c>
      <c r="AG68" s="125" cm="1">
        <f t="array" ref="AG68">+_xll.EQNXTDZ($A$1,$B68,AG$1,$B$1)</f>
        <v>0</v>
      </c>
      <c r="AH68" s="125" cm="1">
        <f t="array" ref="AH68">+_xll.EQNXTDZ($A$1,$B68,AH$1,$B$1)</f>
        <v>0</v>
      </c>
      <c r="AI68" s="125" cm="1">
        <f t="array" ref="AI68">+_xll.EQNXTDZ($A$1,$B68,AI$1,$B$1)</f>
        <v>0</v>
      </c>
      <c r="AJ68" s="125" cm="1">
        <f t="array" ref="AJ68">+_xll.EQNXTDZ($A$1,$B68,AJ$1,$B$1)</f>
        <v>0</v>
      </c>
      <c r="AK68" s="125" cm="1">
        <f t="array" ref="AK68">+_xll.EQNXTDZ($A$1,$B68,AK$1,$B$1)</f>
        <v>0</v>
      </c>
      <c r="AL68" s="125" cm="1">
        <f t="array" ref="AL68">+_xll.EQNXTDZ($A$1,$B68,AL$1,$B$1)</f>
        <v>0</v>
      </c>
      <c r="AM68" s="125" cm="1">
        <f t="array" ref="AM68">+_xll.EQNXTDZ($A$1,$B68,AM$1,$B$1)</f>
        <v>0</v>
      </c>
      <c r="AN68" s="125" cm="1">
        <f t="array" ref="AN68">+_xll.EQNXTDZ($A$1,$B68,AN$1,$B$1)</f>
        <v>0</v>
      </c>
      <c r="AO68" s="125" cm="1">
        <f t="array" ref="AO68">+_xll.EQNXTDZ($A$1,$B68,AO$1,$B$1)</f>
        <v>0</v>
      </c>
      <c r="AP68" s="125" cm="1">
        <f t="array" ref="AP68">+_xll.EQNXTDZ($A$1,$B68,AP$1,$B$1)</f>
        <v>0</v>
      </c>
      <c r="AQ68" s="125" cm="1">
        <f t="array" ref="AQ68">+_xll.EQNXTDZ($A$1,$B68,AQ$1,$B$1)</f>
        <v>0</v>
      </c>
      <c r="AR68" s="125" cm="1">
        <f t="array" ref="AR68">+_xll.EQNXTDZ($A$1,$B68,AR$1,$B$1)</f>
        <v>0</v>
      </c>
      <c r="AS68" s="125" cm="1">
        <f t="array" ref="AS68">+_xll.EQNXTDZ($A$1,$B68,AS$1,$B$1)</f>
        <v>0</v>
      </c>
      <c r="AT68" s="125" cm="1">
        <f t="array" ref="AT68">+_xll.EQNXTDZ($A$1,$B68,AT$1,$B$1)</f>
        <v>0</v>
      </c>
      <c r="AU68" s="125" cm="1">
        <f t="array" ref="AU68">+_xll.EQNXTDZ($A$1,$B68,AU$1,$B$1)</f>
        <v>0</v>
      </c>
      <c r="AV68" s="125" cm="1">
        <f t="array" ref="AV68">+_xll.EQNXTDZ($A$1,$B68,AV$1,$B$1)</f>
        <v>0</v>
      </c>
      <c r="AW68" s="125" cm="1">
        <f t="array" ref="AW68">+_xll.EQNXTDZ($A$1,$B68,AW$1,$B$1)</f>
        <v>0</v>
      </c>
      <c r="AX68" s="125" cm="1">
        <f t="array" ref="AX68">+_xll.EQNXTDZ($A$1,$B68,AX$1,$B$1)</f>
        <v>0</v>
      </c>
      <c r="AY68" s="125" cm="1">
        <f t="array" ref="AY68">+_xll.EQNXTDZ($A$1,$B68,AY$1,$B$1)</f>
        <v>0</v>
      </c>
      <c r="AZ68" s="125" cm="1">
        <f t="array" ref="AZ68">+_xll.EQNXTDZ($A$1,$B68,AZ$1,$B$1)</f>
        <v>0</v>
      </c>
      <c r="BA68" s="125" cm="1">
        <f t="array" ref="BA68">+_xll.EQNXTDZ($A$1,$B68,BA$1,$B$1)</f>
        <v>0</v>
      </c>
      <c r="BB68" s="125" cm="1">
        <f t="array" ref="BB68">+_xll.EQNXTDZ($A$1,$B68,BB$1,$B$1)</f>
        <v>0</v>
      </c>
      <c r="BC68" s="125" cm="1">
        <f t="array" ref="BC68">+_xll.EQNXTDZ($A$1,$B68,BC$1,$B$1)</f>
        <v>0</v>
      </c>
      <c r="BD68" s="125" cm="1">
        <f t="array" ref="BD68">+_xll.EQNXTDZ($A$1,$B68,BD$1,$B$1)</f>
        <v>0</v>
      </c>
      <c r="BE68" s="125" cm="1">
        <f t="array" ref="BE68">+_xll.EQNXTDZ($A$1,$B68,BE$1,$B$1)</f>
        <v>0</v>
      </c>
      <c r="BF68" s="125" cm="1">
        <f t="array" ref="BF68">+_xll.EQNXTDZ($A$1,$B68,BF$1,$B$1)</f>
        <v>0</v>
      </c>
      <c r="BG68" s="125" cm="1">
        <f t="array" ref="BG68">+_xll.EQNXTDZ($A$1,$B68,BG$1,$B$1)</f>
        <v>0</v>
      </c>
      <c r="BH68" s="125" cm="1">
        <f t="array" ref="BH68">+_xll.EQNXTDZ($A$1,$B68,BH$1,$B$1)</f>
        <v>0</v>
      </c>
      <c r="BI68" s="125" cm="1">
        <f t="array" ref="BI68">+_xll.EQNXTDZ($A$1,$B68,BI$1,$B$1)</f>
        <v>0</v>
      </c>
      <c r="BJ68" s="125" cm="1">
        <f t="array" ref="BJ68">+_xll.EQNXTDZ($A$1,$B68,BJ$1,$B$1)</f>
        <v>0</v>
      </c>
      <c r="BK68" s="125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5" cm="1">
        <f t="array" ref="C69">+_xll.EQNXTDZ($A$1,$B69,C$1,$B$1)</f>
        <v>0</v>
      </c>
      <c r="D69" s="125" cm="1">
        <f t="array" ref="D69">+_xll.EQNXTDZ($A$1,$B69,D$1,$B$1)</f>
        <v>0</v>
      </c>
      <c r="E69" s="125" cm="1">
        <f t="array" ref="E69">+_xll.EQNXTDZ($A$1,$B69,E$1,$B$1)</f>
        <v>0</v>
      </c>
      <c r="F69" s="125" cm="1">
        <f t="array" ref="F69">+_xll.EQNXTDZ($A$1,$B69,F$1,$B$1)</f>
        <v>0</v>
      </c>
      <c r="G69" s="125" cm="1">
        <f t="array" ref="G69">+_xll.EQNXTDZ($A$1,$B69,G$1,$B$1)</f>
        <v>0</v>
      </c>
      <c r="H69" s="125" cm="1">
        <f t="array" ref="H69">+_xll.EQNXTDZ($A$1,$B69,H$1,$B$1)</f>
        <v>0</v>
      </c>
      <c r="I69" s="125" cm="1">
        <f t="array" ref="I69">+_xll.EQNXTDZ($A$1,$B69,I$1,$B$1)</f>
        <v>0</v>
      </c>
      <c r="J69" s="125" cm="1">
        <f t="array" ref="J69">+_xll.EQNXTDZ($A$1,$B69,J$1,$B$1)</f>
        <v>0</v>
      </c>
      <c r="K69" s="125" cm="1">
        <f t="array" ref="K69">+_xll.EQNXTDZ($A$1,$B69,K$1,$B$1)</f>
        <v>0</v>
      </c>
      <c r="L69" s="125" cm="1">
        <f t="array" ref="L69">+_xll.EQNXTDZ($A$1,$B69,L$1,$B$1)</f>
        <v>0</v>
      </c>
      <c r="M69" s="125" cm="1">
        <f t="array" ref="M69">+_xll.EQNXTDZ($A$1,$B69,M$1,$B$1)</f>
        <v>0</v>
      </c>
      <c r="N69" s="125" cm="1">
        <f t="array" ref="N69">+_xll.EQNXTDZ($A$1,$B69,N$1,$B$1)</f>
        <v>0</v>
      </c>
      <c r="O69" s="125" cm="1">
        <f t="array" ref="O69">+_xll.EQNXTDZ($A$1,$B69,O$1,$B$1)</f>
        <v>17.22</v>
      </c>
      <c r="P69" s="125" cm="1">
        <f t="array" ref="P69">+_xll.EQNXTDZ($A$1,$B69,P$1,$B$1)</f>
        <v>0</v>
      </c>
      <c r="Q69" s="125" cm="1">
        <f t="array" ref="Q69">+_xll.EQNXTDZ($A$1,$B69,Q$1,$B$1)</f>
        <v>22.74</v>
      </c>
      <c r="R69" s="125" cm="1">
        <f t="array" ref="R69">+_xll.EQNXTDZ($A$1,$B69,R$1,$B$1)</f>
        <v>0</v>
      </c>
      <c r="S69" s="125" cm="1">
        <f t="array" ref="S69">+_xll.EQNXTDZ($A$1,$B69,S$1,$B$1)</f>
        <v>27.11</v>
      </c>
      <c r="T69" s="125" cm="1">
        <f t="array" ref="T69">+_xll.EQNXTDZ($A$1,$B69,T$1,$B$1)</f>
        <v>0</v>
      </c>
      <c r="U69" s="125" cm="1">
        <f t="array" ref="U69">+_xll.EQNXTDZ($A$1,$B69,U$1,$B$1)</f>
        <v>35.15</v>
      </c>
      <c r="V69" s="125" cm="1">
        <f t="array" ref="V69">+_xll.EQNXTDZ($A$1,$B69,V$1,$B$1)</f>
        <v>0</v>
      </c>
      <c r="W69" s="125" cm="1">
        <f t="array" ref="W69">+_xll.EQNXTDZ($A$1,$B69,W$1,$B$1)</f>
        <v>207.16</v>
      </c>
      <c r="X69" s="125" cm="1">
        <f t="array" ref="X69">+_xll.EQNXTDZ($A$1,$B69,X$1,$B$1)</f>
        <v>0</v>
      </c>
      <c r="Y69" s="125" cm="1">
        <f t="array" ref="Y69">+_xll.EQNXTDZ($A$1,$B69,Y$1,$B$1)</f>
        <v>195.09</v>
      </c>
      <c r="Z69" s="125" cm="1">
        <f t="array" ref="Z69">+_xll.EQNXTDZ($A$1,$B69,Z$1,$B$1)</f>
        <v>0</v>
      </c>
      <c r="AA69" s="125" cm="1">
        <f t="array" ref="AA69">+_xll.EQNXTDZ($A$1,$B69,AA$1,$B$1)</f>
        <v>188.31</v>
      </c>
      <c r="AB69" s="125" cm="1">
        <f t="array" ref="AB69">+_xll.EQNXTDZ($A$1,$B69,AB$1,$B$1)</f>
        <v>0</v>
      </c>
      <c r="AC69" s="125" cm="1">
        <f t="array" ref="AC69">+_xll.EQNXTDZ($A$1,$B69,AC$1,$B$1)</f>
        <v>184.02</v>
      </c>
      <c r="AD69" s="125" cm="1">
        <f t="array" ref="AD69">+_xll.EQNXTDZ($A$1,$B69,AD$1,$B$1)</f>
        <v>0</v>
      </c>
      <c r="AE69" s="125" cm="1">
        <f t="array" ref="AE69">+_xll.EQNXTDZ($A$1,$B69,AE$1,$B$1)</f>
        <v>181.52</v>
      </c>
      <c r="AF69" s="125" cm="1">
        <f t="array" ref="AF69">+_xll.EQNXTDZ($A$1,$B69,AF$1,$B$1)</f>
        <v>0</v>
      </c>
      <c r="AG69" s="125" cm="1">
        <f t="array" ref="AG69">+_xll.EQNXTDZ($A$1,$B69,AG$1,$B$1)</f>
        <v>170.45</v>
      </c>
      <c r="AH69" s="125" cm="1">
        <f t="array" ref="AH69">+_xll.EQNXTDZ($A$1,$B69,AH$1,$B$1)</f>
        <v>0</v>
      </c>
      <c r="AI69" s="125" cm="1">
        <f t="array" ref="AI69">+_xll.EQNXTDZ($A$1,$B69,AI$1,$B$1)</f>
        <v>162.54</v>
      </c>
      <c r="AJ69" s="125" cm="1">
        <f t="array" ref="AJ69">+_xll.EQNXTDZ($A$1,$B69,AJ$1,$B$1)</f>
        <v>0</v>
      </c>
      <c r="AK69" s="125" cm="1">
        <f t="array" ref="AK69">+_xll.EQNXTDZ($A$1,$B69,AK$1,$B$1)</f>
        <v>151.13999999999999</v>
      </c>
      <c r="AL69" s="125" cm="1">
        <f t="array" ref="AL69">+_xll.EQNXTDZ($A$1,$B69,AL$1,$B$1)</f>
        <v>0</v>
      </c>
      <c r="AM69" s="125" cm="1">
        <f t="array" ref="AM69">+_xll.EQNXTDZ($A$1,$B69,AM$1,$B$1)</f>
        <v>148.66999999999999</v>
      </c>
      <c r="AN69" s="125" cm="1">
        <f t="array" ref="AN69">+_xll.EQNXTDZ($A$1,$B69,AN$1,$B$1)</f>
        <v>0</v>
      </c>
      <c r="AO69" s="125" cm="1">
        <f t="array" ref="AO69">+_xll.EQNXTDZ($A$1,$B69,AO$1,$B$1)</f>
        <v>154.83000000000001</v>
      </c>
      <c r="AP69" s="125" cm="1">
        <f t="array" ref="AP69">+_xll.EQNXTDZ($A$1,$B69,AP$1,$B$1)</f>
        <v>0</v>
      </c>
      <c r="AQ69" s="125" cm="1">
        <f t="array" ref="AQ69">+_xll.EQNXTDZ($A$1,$B69,AQ$1,$B$1)</f>
        <v>144.28</v>
      </c>
      <c r="AR69" s="125" cm="1">
        <f t="array" ref="AR69">+_xll.EQNXTDZ($A$1,$B69,AR$1,$B$1)</f>
        <v>0</v>
      </c>
      <c r="AS69" s="125" cm="1">
        <f t="array" ref="AS69">+_xll.EQNXTDZ($A$1,$B69,AS$1,$B$1)</f>
        <v>134.22</v>
      </c>
      <c r="AT69" s="125" cm="1">
        <f t="array" ref="AT69">+_xll.EQNXTDZ($A$1,$B69,AT$1,$B$1)</f>
        <v>0</v>
      </c>
      <c r="AU69" s="125" cm="1">
        <f t="array" ref="AU69">+_xll.EQNXTDZ($A$1,$B69,AU$1,$B$1)</f>
        <v>124.45</v>
      </c>
      <c r="AV69" s="125" cm="1">
        <f t="array" ref="AV69">+_xll.EQNXTDZ($A$1,$B69,AV$1,$B$1)</f>
        <v>0</v>
      </c>
      <c r="AW69" s="125" cm="1">
        <f t="array" ref="AW69">+_xll.EQNXTDZ($A$1,$B69,AW$1,$B$1)</f>
        <v>0</v>
      </c>
      <c r="AX69" s="125" cm="1">
        <f t="array" ref="AX69">+_xll.EQNXTDZ($A$1,$B69,AX$1,$B$1)</f>
        <v>0</v>
      </c>
      <c r="AY69" s="125" cm="1">
        <f t="array" ref="AY69">+_xll.EQNXTDZ($A$1,$B69,AY$1,$B$1)</f>
        <v>0</v>
      </c>
      <c r="AZ69" s="125" cm="1">
        <f t="array" ref="AZ69">+_xll.EQNXTDZ($A$1,$B69,AZ$1,$B$1)</f>
        <v>0</v>
      </c>
      <c r="BA69" s="125" cm="1">
        <f t="array" ref="BA69">+_xll.EQNXTDZ($A$1,$B69,BA$1,$B$1)</f>
        <v>0</v>
      </c>
      <c r="BB69" s="125" cm="1">
        <f t="array" ref="BB69">+_xll.EQNXTDZ($A$1,$B69,BB$1,$B$1)</f>
        <v>0</v>
      </c>
      <c r="BC69" s="125" cm="1">
        <f t="array" ref="BC69">+_xll.EQNXTDZ($A$1,$B69,BC$1,$B$1)</f>
        <v>0</v>
      </c>
      <c r="BD69" s="125" cm="1">
        <f t="array" ref="BD69">+_xll.EQNXTDZ($A$1,$B69,BD$1,$B$1)</f>
        <v>0</v>
      </c>
      <c r="BE69" s="125" cm="1">
        <f t="array" ref="BE69">+_xll.EQNXTDZ($A$1,$B69,BE$1,$B$1)</f>
        <v>0</v>
      </c>
      <c r="BF69" s="125" cm="1">
        <f t="array" ref="BF69">+_xll.EQNXTDZ($A$1,$B69,BF$1,$B$1)</f>
        <v>0</v>
      </c>
      <c r="BG69" s="125" cm="1">
        <f t="array" ref="BG69">+_xll.EQNXTDZ($A$1,$B69,BG$1,$B$1)</f>
        <v>0</v>
      </c>
      <c r="BH69" s="125" cm="1">
        <f t="array" ref="BH69">+_xll.EQNXTDZ($A$1,$B69,BH$1,$B$1)</f>
        <v>0</v>
      </c>
      <c r="BI69" s="125" cm="1">
        <f t="array" ref="BI69">+_xll.EQNXTDZ($A$1,$B69,BI$1,$B$1)</f>
        <v>0</v>
      </c>
      <c r="BJ69" s="125" cm="1">
        <f t="array" ref="BJ69">+_xll.EQNXTDZ($A$1,$B69,BJ$1,$B$1)</f>
        <v>0</v>
      </c>
      <c r="BK69" s="125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5" cm="1">
        <f t="array" ref="C70">+_xll.EQNXTDZ($A$1,$B70,C$1,$B$1)</f>
        <v>0</v>
      </c>
      <c r="D70" s="125" cm="1">
        <f t="array" ref="D70">+_xll.EQNXTDZ($A$1,$B70,D$1,$B$1)</f>
        <v>0</v>
      </c>
      <c r="E70" s="125" cm="1">
        <f t="array" ref="E70">+_xll.EQNXTDZ($A$1,$B70,E$1,$B$1)</f>
        <v>0</v>
      </c>
      <c r="F70" s="125" cm="1">
        <f t="array" ref="F70">+_xll.EQNXTDZ($A$1,$B70,F$1,$B$1)</f>
        <v>0</v>
      </c>
      <c r="G70" s="125" cm="1">
        <f t="array" ref="G70">+_xll.EQNXTDZ($A$1,$B70,G$1,$B$1)</f>
        <v>0</v>
      </c>
      <c r="H70" s="125" cm="1">
        <f t="array" ref="H70">+_xll.EQNXTDZ($A$1,$B70,H$1,$B$1)</f>
        <v>0</v>
      </c>
      <c r="I70" s="125" cm="1">
        <f t="array" ref="I70">+_xll.EQNXTDZ($A$1,$B70,I$1,$B$1)</f>
        <v>0</v>
      </c>
      <c r="J70" s="125" cm="1">
        <f t="array" ref="J70">+_xll.EQNXTDZ($A$1,$B70,J$1,$B$1)</f>
        <v>0</v>
      </c>
      <c r="K70" s="125" cm="1">
        <f t="array" ref="K70">+_xll.EQNXTDZ($A$1,$B70,K$1,$B$1)</f>
        <v>0</v>
      </c>
      <c r="L70" s="125" cm="1">
        <f t="array" ref="L70">+_xll.EQNXTDZ($A$1,$B70,L$1,$B$1)</f>
        <v>0</v>
      </c>
      <c r="M70" s="125" cm="1">
        <f t="array" ref="M70">+_xll.EQNXTDZ($A$1,$B70,M$1,$B$1)</f>
        <v>0</v>
      </c>
      <c r="N70" s="125" cm="1">
        <f t="array" ref="N70">+_xll.EQNXTDZ($A$1,$B70,N$1,$B$1)</f>
        <v>0</v>
      </c>
      <c r="O70" s="125" cm="1">
        <f t="array" ref="O70">+_xll.EQNXTDZ($A$1,$B70,O$1,$B$1)</f>
        <v>0</v>
      </c>
      <c r="P70" s="125" cm="1">
        <f t="array" ref="P70">+_xll.EQNXTDZ($A$1,$B70,P$1,$B$1)</f>
        <v>0</v>
      </c>
      <c r="Q70" s="125" cm="1">
        <f t="array" ref="Q70">+_xll.EQNXTDZ($A$1,$B70,Q$1,$B$1)</f>
        <v>0</v>
      </c>
      <c r="R70" s="125" cm="1">
        <f t="array" ref="R70">+_xll.EQNXTDZ($A$1,$B70,R$1,$B$1)</f>
        <v>0</v>
      </c>
      <c r="S70" s="125" cm="1">
        <f t="array" ref="S70">+_xll.EQNXTDZ($A$1,$B70,S$1,$B$1)</f>
        <v>0</v>
      </c>
      <c r="T70" s="125" cm="1">
        <f t="array" ref="T70">+_xll.EQNXTDZ($A$1,$B70,T$1,$B$1)</f>
        <v>0</v>
      </c>
      <c r="U70" s="125" cm="1">
        <f t="array" ref="U70">+_xll.EQNXTDZ($A$1,$B70,U$1,$B$1)</f>
        <v>0</v>
      </c>
      <c r="V70" s="125" cm="1">
        <f t="array" ref="V70">+_xll.EQNXTDZ($A$1,$B70,V$1,$B$1)</f>
        <v>0</v>
      </c>
      <c r="W70" s="125" cm="1">
        <f t="array" ref="W70">+_xll.EQNXTDZ($A$1,$B70,W$1,$B$1)</f>
        <v>317.58</v>
      </c>
      <c r="X70" s="125" cm="1">
        <f t="array" ref="X70">+_xll.EQNXTDZ($A$1,$B70,X$1,$B$1)</f>
        <v>0</v>
      </c>
      <c r="Y70" s="125" cm="1">
        <f t="array" ref="Y70">+_xll.EQNXTDZ($A$1,$B70,Y$1,$B$1)</f>
        <v>317.58</v>
      </c>
      <c r="Z70" s="125" cm="1">
        <f t="array" ref="Z70">+_xll.EQNXTDZ($A$1,$B70,Z$1,$B$1)</f>
        <v>0</v>
      </c>
      <c r="AA70" s="125" cm="1">
        <f t="array" ref="AA70">+_xll.EQNXTDZ($A$1,$B70,AA$1,$B$1)</f>
        <v>317.58</v>
      </c>
      <c r="AB70" s="125" cm="1">
        <f t="array" ref="AB70">+_xll.EQNXTDZ($A$1,$B70,AB$1,$B$1)</f>
        <v>0</v>
      </c>
      <c r="AC70" s="125" cm="1">
        <f t="array" ref="AC70">+_xll.EQNXTDZ($A$1,$B70,AC$1,$B$1)</f>
        <v>317.58</v>
      </c>
      <c r="AD70" s="125" cm="1">
        <f t="array" ref="AD70">+_xll.EQNXTDZ($A$1,$B70,AD$1,$B$1)</f>
        <v>0</v>
      </c>
      <c r="AE70" s="125" cm="1">
        <f t="array" ref="AE70">+_xll.EQNXTDZ($A$1,$B70,AE$1,$B$1)</f>
        <v>375.68</v>
      </c>
      <c r="AF70" s="125" cm="1">
        <f t="array" ref="AF70">+_xll.EQNXTDZ($A$1,$B70,AF$1,$B$1)</f>
        <v>0</v>
      </c>
      <c r="AG70" s="125" cm="1">
        <f t="array" ref="AG70">+_xll.EQNXTDZ($A$1,$B70,AG$1,$B$1)</f>
        <v>375.68</v>
      </c>
      <c r="AH70" s="125" cm="1">
        <f t="array" ref="AH70">+_xll.EQNXTDZ($A$1,$B70,AH$1,$B$1)</f>
        <v>0</v>
      </c>
      <c r="AI70" s="125" cm="1">
        <f t="array" ref="AI70">+_xll.EQNXTDZ($A$1,$B70,AI$1,$B$1)</f>
        <v>375.68</v>
      </c>
      <c r="AJ70" s="125" cm="1">
        <f t="array" ref="AJ70">+_xll.EQNXTDZ($A$1,$B70,AJ$1,$B$1)</f>
        <v>0</v>
      </c>
      <c r="AK70" s="125" cm="1">
        <f t="array" ref="AK70">+_xll.EQNXTDZ($A$1,$B70,AK$1,$B$1)</f>
        <v>375.68</v>
      </c>
      <c r="AL70" s="125" cm="1">
        <f t="array" ref="AL70">+_xll.EQNXTDZ($A$1,$B70,AL$1,$B$1)</f>
        <v>0</v>
      </c>
      <c r="AM70" s="125" cm="1">
        <f t="array" ref="AM70">+_xll.EQNXTDZ($A$1,$B70,AM$1,$B$1)</f>
        <v>375.68</v>
      </c>
      <c r="AN70" s="125" cm="1">
        <f t="array" ref="AN70">+_xll.EQNXTDZ($A$1,$B70,AN$1,$B$1)</f>
        <v>0</v>
      </c>
      <c r="AO70" s="125" cm="1">
        <f t="array" ref="AO70">+_xll.EQNXTDZ($A$1,$B70,AO$1,$B$1)</f>
        <v>375.68</v>
      </c>
      <c r="AP70" s="125" cm="1">
        <f t="array" ref="AP70">+_xll.EQNXTDZ($A$1,$B70,AP$1,$B$1)</f>
        <v>0</v>
      </c>
      <c r="AQ70" s="125" cm="1">
        <f t="array" ref="AQ70">+_xll.EQNXTDZ($A$1,$B70,AQ$1,$B$1)</f>
        <v>375.68</v>
      </c>
      <c r="AR70" s="125" cm="1">
        <f t="array" ref="AR70">+_xll.EQNXTDZ($A$1,$B70,AR$1,$B$1)</f>
        <v>0</v>
      </c>
      <c r="AS70" s="125" cm="1">
        <f t="array" ref="AS70">+_xll.EQNXTDZ($A$1,$B70,AS$1,$B$1)</f>
        <v>375.68</v>
      </c>
      <c r="AT70" s="125" cm="1">
        <f t="array" ref="AT70">+_xll.EQNXTDZ($A$1,$B70,AT$1,$B$1)</f>
        <v>0</v>
      </c>
      <c r="AU70" s="125" cm="1">
        <f t="array" ref="AU70">+_xll.EQNXTDZ($A$1,$B70,AU$1,$B$1)</f>
        <v>375.68</v>
      </c>
      <c r="AV70" s="125" cm="1">
        <f t="array" ref="AV70">+_xll.EQNXTDZ($A$1,$B70,AV$1,$B$1)</f>
        <v>0</v>
      </c>
      <c r="AW70" s="125" cm="1">
        <f t="array" ref="AW70">+_xll.EQNXTDZ($A$1,$B70,AW$1,$B$1)</f>
        <v>0</v>
      </c>
      <c r="AX70" s="125" cm="1">
        <f t="array" ref="AX70">+_xll.EQNXTDZ($A$1,$B70,AX$1,$B$1)</f>
        <v>0</v>
      </c>
      <c r="AY70" s="125" cm="1">
        <f t="array" ref="AY70">+_xll.EQNXTDZ($A$1,$B70,AY$1,$B$1)</f>
        <v>0</v>
      </c>
      <c r="AZ70" s="125" cm="1">
        <f t="array" ref="AZ70">+_xll.EQNXTDZ($A$1,$B70,AZ$1,$B$1)</f>
        <v>0</v>
      </c>
      <c r="BA70" s="125" cm="1">
        <f t="array" ref="BA70">+_xll.EQNXTDZ($A$1,$B70,BA$1,$B$1)</f>
        <v>0</v>
      </c>
      <c r="BB70" s="125" cm="1">
        <f t="array" ref="BB70">+_xll.EQNXTDZ($A$1,$B70,BB$1,$B$1)</f>
        <v>0</v>
      </c>
      <c r="BC70" s="125" cm="1">
        <f t="array" ref="BC70">+_xll.EQNXTDZ($A$1,$B70,BC$1,$B$1)</f>
        <v>0</v>
      </c>
      <c r="BD70" s="125" cm="1">
        <f t="array" ref="BD70">+_xll.EQNXTDZ($A$1,$B70,BD$1,$B$1)</f>
        <v>0</v>
      </c>
      <c r="BE70" s="125" cm="1">
        <f t="array" ref="BE70">+_xll.EQNXTDZ($A$1,$B70,BE$1,$B$1)</f>
        <v>0</v>
      </c>
      <c r="BF70" s="125" cm="1">
        <f t="array" ref="BF70">+_xll.EQNXTDZ($A$1,$B70,BF$1,$B$1)</f>
        <v>0</v>
      </c>
      <c r="BG70" s="125" cm="1">
        <f t="array" ref="BG70">+_xll.EQNXTDZ($A$1,$B70,BG$1,$B$1)</f>
        <v>0</v>
      </c>
      <c r="BH70" s="125" cm="1">
        <f t="array" ref="BH70">+_xll.EQNXTDZ($A$1,$B70,BH$1,$B$1)</f>
        <v>0</v>
      </c>
      <c r="BI70" s="125" cm="1">
        <f t="array" ref="BI70">+_xll.EQNXTDZ($A$1,$B70,BI$1,$B$1)</f>
        <v>0</v>
      </c>
      <c r="BJ70" s="125" cm="1">
        <f t="array" ref="BJ70">+_xll.EQNXTDZ($A$1,$B70,BJ$1,$B$1)</f>
        <v>0</v>
      </c>
      <c r="BK70" s="125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5" cm="1">
        <f t="array" ref="C71">+_xll.EQNXTDZ($A$1,$B71,C$1,$B$1)</f>
        <v>0</v>
      </c>
      <c r="D71" s="125" cm="1">
        <f t="array" ref="D71">+_xll.EQNXTDZ($A$1,$B71,D$1,$B$1)</f>
        <v>0</v>
      </c>
      <c r="E71" s="125" cm="1">
        <f t="array" ref="E71">+_xll.EQNXTDZ($A$1,$B71,E$1,$B$1)</f>
        <v>0</v>
      </c>
      <c r="F71" s="125" cm="1">
        <f t="array" ref="F71">+_xll.EQNXTDZ($A$1,$B71,F$1,$B$1)</f>
        <v>0</v>
      </c>
      <c r="G71" s="125" cm="1">
        <f t="array" ref="G71">+_xll.EQNXTDZ($A$1,$B71,G$1,$B$1)</f>
        <v>0</v>
      </c>
      <c r="H71" s="125" cm="1">
        <f t="array" ref="H71">+_xll.EQNXTDZ($A$1,$B71,H$1,$B$1)</f>
        <v>0</v>
      </c>
      <c r="I71" s="125" cm="1">
        <f t="array" ref="I71">+_xll.EQNXTDZ($A$1,$B71,I$1,$B$1)</f>
        <v>0</v>
      </c>
      <c r="J71" s="125" cm="1">
        <f t="array" ref="J71">+_xll.EQNXTDZ($A$1,$B71,J$1,$B$1)</f>
        <v>0</v>
      </c>
      <c r="K71" s="125" cm="1">
        <f t="array" ref="K71">+_xll.EQNXTDZ($A$1,$B71,K$1,$B$1)</f>
        <v>0</v>
      </c>
      <c r="L71" s="125" cm="1">
        <f t="array" ref="L71">+_xll.EQNXTDZ($A$1,$B71,L$1,$B$1)</f>
        <v>0</v>
      </c>
      <c r="M71" s="125" cm="1">
        <f t="array" ref="M71">+_xll.EQNXTDZ($A$1,$B71,M$1,$B$1)</f>
        <v>0</v>
      </c>
      <c r="N71" s="125" cm="1">
        <f t="array" ref="N71">+_xll.EQNXTDZ($A$1,$B71,N$1,$B$1)</f>
        <v>0</v>
      </c>
      <c r="O71" s="125" cm="1">
        <f t="array" ref="O71">+_xll.EQNXTDZ($A$1,$B71,O$1,$B$1)</f>
        <v>0</v>
      </c>
      <c r="P71" s="125" cm="1">
        <f t="array" ref="P71">+_xll.EQNXTDZ($A$1,$B71,P$1,$B$1)</f>
        <v>0</v>
      </c>
      <c r="Q71" s="125" cm="1">
        <f t="array" ref="Q71">+_xll.EQNXTDZ($A$1,$B71,Q$1,$B$1)</f>
        <v>0</v>
      </c>
      <c r="R71" s="125" cm="1">
        <f t="array" ref="R71">+_xll.EQNXTDZ($A$1,$B71,R$1,$B$1)</f>
        <v>0</v>
      </c>
      <c r="S71" s="125" cm="1">
        <f t="array" ref="S71">+_xll.EQNXTDZ($A$1,$B71,S$1,$B$1)</f>
        <v>0</v>
      </c>
      <c r="T71" s="125" cm="1">
        <f t="array" ref="T71">+_xll.EQNXTDZ($A$1,$B71,T$1,$B$1)</f>
        <v>0</v>
      </c>
      <c r="U71" s="125" cm="1">
        <f t="array" ref="U71">+_xll.EQNXTDZ($A$1,$B71,U$1,$B$1)</f>
        <v>0</v>
      </c>
      <c r="V71" s="125" cm="1">
        <f t="array" ref="V71">+_xll.EQNXTDZ($A$1,$B71,V$1,$B$1)</f>
        <v>0</v>
      </c>
      <c r="W71" s="125" cm="1">
        <f t="array" ref="W71">+_xll.EQNXTDZ($A$1,$B71,W$1,$B$1)</f>
        <v>0</v>
      </c>
      <c r="X71" s="125" cm="1">
        <f t="array" ref="X71">+_xll.EQNXTDZ($A$1,$B71,X$1,$B$1)</f>
        <v>0</v>
      </c>
      <c r="Y71" s="125" cm="1">
        <f t="array" ref="Y71">+_xll.EQNXTDZ($A$1,$B71,Y$1,$B$1)</f>
        <v>0</v>
      </c>
      <c r="Z71" s="125" cm="1">
        <f t="array" ref="Z71">+_xll.EQNXTDZ($A$1,$B71,Z$1,$B$1)</f>
        <v>0</v>
      </c>
      <c r="AA71" s="125" cm="1">
        <f t="array" ref="AA71">+_xll.EQNXTDZ($A$1,$B71,AA$1,$B$1)</f>
        <v>0</v>
      </c>
      <c r="AB71" s="125" cm="1">
        <f t="array" ref="AB71">+_xll.EQNXTDZ($A$1,$B71,AB$1,$B$1)</f>
        <v>0</v>
      </c>
      <c r="AC71" s="125" cm="1">
        <f t="array" ref="AC71">+_xll.EQNXTDZ($A$1,$B71,AC$1,$B$1)</f>
        <v>0</v>
      </c>
      <c r="AD71" s="125" cm="1">
        <f t="array" ref="AD71">+_xll.EQNXTDZ($A$1,$B71,AD$1,$B$1)</f>
        <v>0</v>
      </c>
      <c r="AE71" s="125" cm="1">
        <f t="array" ref="AE71">+_xll.EQNXTDZ($A$1,$B71,AE$1,$B$1)</f>
        <v>0</v>
      </c>
      <c r="AF71" s="125" cm="1">
        <f t="array" ref="AF71">+_xll.EQNXTDZ($A$1,$B71,AF$1,$B$1)</f>
        <v>0</v>
      </c>
      <c r="AG71" s="125" cm="1">
        <f t="array" ref="AG71">+_xll.EQNXTDZ($A$1,$B71,AG$1,$B$1)</f>
        <v>0</v>
      </c>
      <c r="AH71" s="125" cm="1">
        <f t="array" ref="AH71">+_xll.EQNXTDZ($A$1,$B71,AH$1,$B$1)</f>
        <v>0</v>
      </c>
      <c r="AI71" s="125" cm="1">
        <f t="array" ref="AI71">+_xll.EQNXTDZ($A$1,$B71,AI$1,$B$1)</f>
        <v>0</v>
      </c>
      <c r="AJ71" s="125" cm="1">
        <f t="array" ref="AJ71">+_xll.EQNXTDZ($A$1,$B71,AJ$1,$B$1)</f>
        <v>0</v>
      </c>
      <c r="AK71" s="125" cm="1">
        <f t="array" ref="AK71">+_xll.EQNXTDZ($A$1,$B71,AK$1,$B$1)</f>
        <v>0</v>
      </c>
      <c r="AL71" s="125" cm="1">
        <f t="array" ref="AL71">+_xll.EQNXTDZ($A$1,$B71,AL$1,$B$1)</f>
        <v>0</v>
      </c>
      <c r="AM71" s="125" cm="1">
        <f t="array" ref="AM71">+_xll.EQNXTDZ($A$1,$B71,AM$1,$B$1)</f>
        <v>0</v>
      </c>
      <c r="AN71" s="125" cm="1">
        <f t="array" ref="AN71">+_xll.EQNXTDZ($A$1,$B71,AN$1,$B$1)</f>
        <v>0</v>
      </c>
      <c r="AO71" s="125" cm="1">
        <f t="array" ref="AO71">+_xll.EQNXTDZ($A$1,$B71,AO$1,$B$1)</f>
        <v>0</v>
      </c>
      <c r="AP71" s="125" cm="1">
        <f t="array" ref="AP71">+_xll.EQNXTDZ($A$1,$B71,AP$1,$B$1)</f>
        <v>0</v>
      </c>
      <c r="AQ71" s="125" cm="1">
        <f t="array" ref="AQ71">+_xll.EQNXTDZ($A$1,$B71,AQ$1,$B$1)</f>
        <v>0</v>
      </c>
      <c r="AR71" s="125" cm="1">
        <f t="array" ref="AR71">+_xll.EQNXTDZ($A$1,$B71,AR$1,$B$1)</f>
        <v>0</v>
      </c>
      <c r="AS71" s="125" cm="1">
        <f t="array" ref="AS71">+_xll.EQNXTDZ($A$1,$B71,AS$1,$B$1)</f>
        <v>0</v>
      </c>
      <c r="AT71" s="125" cm="1">
        <f t="array" ref="AT71">+_xll.EQNXTDZ($A$1,$B71,AT$1,$B$1)</f>
        <v>0</v>
      </c>
      <c r="AU71" s="125" cm="1">
        <f t="array" ref="AU71">+_xll.EQNXTDZ($A$1,$B71,AU$1,$B$1)</f>
        <v>0</v>
      </c>
      <c r="AV71" s="125" cm="1">
        <f t="array" ref="AV71">+_xll.EQNXTDZ($A$1,$B71,AV$1,$B$1)</f>
        <v>0</v>
      </c>
      <c r="AW71" s="125" cm="1">
        <f t="array" ref="AW71">+_xll.EQNXTDZ($A$1,$B71,AW$1,$B$1)</f>
        <v>0</v>
      </c>
      <c r="AX71" s="125" cm="1">
        <f t="array" ref="AX71">+_xll.EQNXTDZ($A$1,$B71,AX$1,$B$1)</f>
        <v>0</v>
      </c>
      <c r="AY71" s="125" cm="1">
        <f t="array" ref="AY71">+_xll.EQNXTDZ($A$1,$B71,AY$1,$B$1)</f>
        <v>0</v>
      </c>
      <c r="AZ71" s="125" cm="1">
        <f t="array" ref="AZ71">+_xll.EQNXTDZ($A$1,$B71,AZ$1,$B$1)</f>
        <v>0</v>
      </c>
      <c r="BA71" s="125" cm="1">
        <f t="array" ref="BA71">+_xll.EQNXTDZ($A$1,$B71,BA$1,$B$1)</f>
        <v>0</v>
      </c>
      <c r="BB71" s="125" cm="1">
        <f t="array" ref="BB71">+_xll.EQNXTDZ($A$1,$B71,BB$1,$B$1)</f>
        <v>0</v>
      </c>
      <c r="BC71" s="125" cm="1">
        <f t="array" ref="BC71">+_xll.EQNXTDZ($A$1,$B71,BC$1,$B$1)</f>
        <v>0</v>
      </c>
      <c r="BD71" s="125" cm="1">
        <f t="array" ref="BD71">+_xll.EQNXTDZ($A$1,$B71,BD$1,$B$1)</f>
        <v>0</v>
      </c>
      <c r="BE71" s="125" cm="1">
        <f t="array" ref="BE71">+_xll.EQNXTDZ($A$1,$B71,BE$1,$B$1)</f>
        <v>0</v>
      </c>
      <c r="BF71" s="125" cm="1">
        <f t="array" ref="BF71">+_xll.EQNXTDZ($A$1,$B71,BF$1,$B$1)</f>
        <v>0</v>
      </c>
      <c r="BG71" s="125" cm="1">
        <f t="array" ref="BG71">+_xll.EQNXTDZ($A$1,$B71,BG$1,$B$1)</f>
        <v>0</v>
      </c>
      <c r="BH71" s="125" cm="1">
        <f t="array" ref="BH71">+_xll.EQNXTDZ($A$1,$B71,BH$1,$B$1)</f>
        <v>0</v>
      </c>
      <c r="BI71" s="125" cm="1">
        <f t="array" ref="BI71">+_xll.EQNXTDZ($A$1,$B71,BI$1,$B$1)</f>
        <v>0</v>
      </c>
      <c r="BJ71" s="125" cm="1">
        <f t="array" ref="BJ71">+_xll.EQNXTDZ($A$1,$B71,BJ$1,$B$1)</f>
        <v>0</v>
      </c>
      <c r="BK71" s="125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5" cm="1">
        <f t="array" ref="C72">+_xll.EQNXTDZ($A$1,$B72,C$1,$B$1)</f>
        <v>0</v>
      </c>
      <c r="D72" s="125" cm="1">
        <f t="array" ref="D72">+_xll.EQNXTDZ($A$1,$B72,D$1,$B$1)</f>
        <v>0</v>
      </c>
      <c r="E72" s="125" cm="1">
        <f t="array" ref="E72">+_xll.EQNXTDZ($A$1,$B72,E$1,$B$1)</f>
        <v>0</v>
      </c>
      <c r="F72" s="125" cm="1">
        <f t="array" ref="F72">+_xll.EQNXTDZ($A$1,$B72,F$1,$B$1)</f>
        <v>0</v>
      </c>
      <c r="G72" s="125" cm="1">
        <f t="array" ref="G72">+_xll.EQNXTDZ($A$1,$B72,G$1,$B$1)</f>
        <v>0</v>
      </c>
      <c r="H72" s="125" cm="1">
        <f t="array" ref="H72">+_xll.EQNXTDZ($A$1,$B72,H$1,$B$1)</f>
        <v>0</v>
      </c>
      <c r="I72" s="125" cm="1">
        <f t="array" ref="I72">+_xll.EQNXTDZ($A$1,$B72,I$1,$B$1)</f>
        <v>0</v>
      </c>
      <c r="J72" s="125" cm="1">
        <f t="array" ref="J72">+_xll.EQNXTDZ($A$1,$B72,J$1,$B$1)</f>
        <v>0</v>
      </c>
      <c r="K72" s="125" cm="1">
        <f t="array" ref="K72">+_xll.EQNXTDZ($A$1,$B72,K$1,$B$1)</f>
        <v>0</v>
      </c>
      <c r="L72" s="125" cm="1">
        <f t="array" ref="L72">+_xll.EQNXTDZ($A$1,$B72,L$1,$B$1)</f>
        <v>0</v>
      </c>
      <c r="M72" s="125" cm="1">
        <f t="array" ref="M72">+_xll.EQNXTDZ($A$1,$B72,M$1,$B$1)</f>
        <v>0</v>
      </c>
      <c r="N72" s="125" cm="1">
        <f t="array" ref="N72">+_xll.EQNXTDZ($A$1,$B72,N$1,$B$1)</f>
        <v>0</v>
      </c>
      <c r="O72" s="125" cm="1">
        <f t="array" ref="O72">+_xll.EQNXTDZ($A$1,$B72,O$1,$B$1)</f>
        <v>0</v>
      </c>
      <c r="P72" s="125" cm="1">
        <f t="array" ref="P72">+_xll.EQNXTDZ($A$1,$B72,P$1,$B$1)</f>
        <v>0</v>
      </c>
      <c r="Q72" s="125" cm="1">
        <f t="array" ref="Q72">+_xll.EQNXTDZ($A$1,$B72,Q$1,$B$1)</f>
        <v>0</v>
      </c>
      <c r="R72" s="125" cm="1">
        <f t="array" ref="R72">+_xll.EQNXTDZ($A$1,$B72,R$1,$B$1)</f>
        <v>0</v>
      </c>
      <c r="S72" s="125" cm="1">
        <f t="array" ref="S72">+_xll.EQNXTDZ($A$1,$B72,S$1,$B$1)</f>
        <v>0</v>
      </c>
      <c r="T72" s="125" cm="1">
        <f t="array" ref="T72">+_xll.EQNXTDZ($A$1,$B72,T$1,$B$1)</f>
        <v>0</v>
      </c>
      <c r="U72" s="125" cm="1">
        <f t="array" ref="U72">+_xll.EQNXTDZ($A$1,$B72,U$1,$B$1)</f>
        <v>0</v>
      </c>
      <c r="V72" s="125" cm="1">
        <f t="array" ref="V72">+_xll.EQNXTDZ($A$1,$B72,V$1,$B$1)</f>
        <v>0</v>
      </c>
      <c r="W72" s="125" cm="1">
        <f t="array" ref="W72">+_xll.EQNXTDZ($A$1,$B72,W$1,$B$1)</f>
        <v>0</v>
      </c>
      <c r="X72" s="125" cm="1">
        <f t="array" ref="X72">+_xll.EQNXTDZ($A$1,$B72,X$1,$B$1)</f>
        <v>0</v>
      </c>
      <c r="Y72" s="125" cm="1">
        <f t="array" ref="Y72">+_xll.EQNXTDZ($A$1,$B72,Y$1,$B$1)</f>
        <v>0</v>
      </c>
      <c r="Z72" s="125" cm="1">
        <f t="array" ref="Z72">+_xll.EQNXTDZ($A$1,$B72,Z$1,$B$1)</f>
        <v>0</v>
      </c>
      <c r="AA72" s="125" cm="1">
        <f t="array" ref="AA72">+_xll.EQNXTDZ($A$1,$B72,AA$1,$B$1)</f>
        <v>0</v>
      </c>
      <c r="AB72" s="125" cm="1">
        <f t="array" ref="AB72">+_xll.EQNXTDZ($A$1,$B72,AB$1,$B$1)</f>
        <v>0</v>
      </c>
      <c r="AC72" s="125" cm="1">
        <f t="array" ref="AC72">+_xll.EQNXTDZ($A$1,$B72,AC$1,$B$1)</f>
        <v>0</v>
      </c>
      <c r="AD72" s="125" cm="1">
        <f t="array" ref="AD72">+_xll.EQNXTDZ($A$1,$B72,AD$1,$B$1)</f>
        <v>0</v>
      </c>
      <c r="AE72" s="125" cm="1">
        <f t="array" ref="AE72">+_xll.EQNXTDZ($A$1,$B72,AE$1,$B$1)</f>
        <v>0</v>
      </c>
      <c r="AF72" s="125" cm="1">
        <f t="array" ref="AF72">+_xll.EQNXTDZ($A$1,$B72,AF$1,$B$1)</f>
        <v>0</v>
      </c>
      <c r="AG72" s="125" cm="1">
        <f t="array" ref="AG72">+_xll.EQNXTDZ($A$1,$B72,AG$1,$B$1)</f>
        <v>0</v>
      </c>
      <c r="AH72" s="125" cm="1">
        <f t="array" ref="AH72">+_xll.EQNXTDZ($A$1,$B72,AH$1,$B$1)</f>
        <v>0</v>
      </c>
      <c r="AI72" s="125" cm="1">
        <f t="array" ref="AI72">+_xll.EQNXTDZ($A$1,$B72,AI$1,$B$1)</f>
        <v>0</v>
      </c>
      <c r="AJ72" s="125" cm="1">
        <f t="array" ref="AJ72">+_xll.EQNXTDZ($A$1,$B72,AJ$1,$B$1)</f>
        <v>0</v>
      </c>
      <c r="AK72" s="125" cm="1">
        <f t="array" ref="AK72">+_xll.EQNXTDZ($A$1,$B72,AK$1,$B$1)</f>
        <v>0</v>
      </c>
      <c r="AL72" s="125" cm="1">
        <f t="array" ref="AL72">+_xll.EQNXTDZ($A$1,$B72,AL$1,$B$1)</f>
        <v>0</v>
      </c>
      <c r="AM72" s="125" cm="1">
        <f t="array" ref="AM72">+_xll.EQNXTDZ($A$1,$B72,AM$1,$B$1)</f>
        <v>0</v>
      </c>
      <c r="AN72" s="125" cm="1">
        <f t="array" ref="AN72">+_xll.EQNXTDZ($A$1,$B72,AN$1,$B$1)</f>
        <v>0</v>
      </c>
      <c r="AO72" s="125" cm="1">
        <f t="array" ref="AO72">+_xll.EQNXTDZ($A$1,$B72,AO$1,$B$1)</f>
        <v>0</v>
      </c>
      <c r="AP72" s="125" cm="1">
        <f t="array" ref="AP72">+_xll.EQNXTDZ($A$1,$B72,AP$1,$B$1)</f>
        <v>0</v>
      </c>
      <c r="AQ72" s="125" cm="1">
        <f t="array" ref="AQ72">+_xll.EQNXTDZ($A$1,$B72,AQ$1,$B$1)</f>
        <v>0</v>
      </c>
      <c r="AR72" s="125" cm="1">
        <f t="array" ref="AR72">+_xll.EQNXTDZ($A$1,$B72,AR$1,$B$1)</f>
        <v>0</v>
      </c>
      <c r="AS72" s="125" cm="1">
        <f t="array" ref="AS72">+_xll.EQNXTDZ($A$1,$B72,AS$1,$B$1)</f>
        <v>0</v>
      </c>
      <c r="AT72" s="125" cm="1">
        <f t="array" ref="AT72">+_xll.EQNXTDZ($A$1,$B72,AT$1,$B$1)</f>
        <v>0</v>
      </c>
      <c r="AU72" s="125" cm="1">
        <f t="array" ref="AU72">+_xll.EQNXTDZ($A$1,$B72,AU$1,$B$1)</f>
        <v>0</v>
      </c>
      <c r="AV72" s="125" cm="1">
        <f t="array" ref="AV72">+_xll.EQNXTDZ($A$1,$B72,AV$1,$B$1)</f>
        <v>0</v>
      </c>
      <c r="AW72" s="125" cm="1">
        <f t="array" ref="AW72">+_xll.EQNXTDZ($A$1,$B72,AW$1,$B$1)</f>
        <v>0</v>
      </c>
      <c r="AX72" s="125" cm="1">
        <f t="array" ref="AX72">+_xll.EQNXTDZ($A$1,$B72,AX$1,$B$1)</f>
        <v>0</v>
      </c>
      <c r="AY72" s="125" cm="1">
        <f t="array" ref="AY72">+_xll.EQNXTDZ($A$1,$B72,AY$1,$B$1)</f>
        <v>0</v>
      </c>
      <c r="AZ72" s="125" cm="1">
        <f t="array" ref="AZ72">+_xll.EQNXTDZ($A$1,$B72,AZ$1,$B$1)</f>
        <v>0</v>
      </c>
      <c r="BA72" s="125" cm="1">
        <f t="array" ref="BA72">+_xll.EQNXTDZ($A$1,$B72,BA$1,$B$1)</f>
        <v>0</v>
      </c>
      <c r="BB72" s="125" cm="1">
        <f t="array" ref="BB72">+_xll.EQNXTDZ($A$1,$B72,BB$1,$B$1)</f>
        <v>0</v>
      </c>
      <c r="BC72" s="125" cm="1">
        <f t="array" ref="BC72">+_xll.EQNXTDZ($A$1,$B72,BC$1,$B$1)</f>
        <v>0</v>
      </c>
      <c r="BD72" s="125" cm="1">
        <f t="array" ref="BD72">+_xll.EQNXTDZ($A$1,$B72,BD$1,$B$1)</f>
        <v>0</v>
      </c>
      <c r="BE72" s="125" cm="1">
        <f t="array" ref="BE72">+_xll.EQNXTDZ($A$1,$B72,BE$1,$B$1)</f>
        <v>0</v>
      </c>
      <c r="BF72" s="125" cm="1">
        <f t="array" ref="BF72">+_xll.EQNXTDZ($A$1,$B72,BF$1,$B$1)</f>
        <v>0</v>
      </c>
      <c r="BG72" s="125" cm="1">
        <f t="array" ref="BG72">+_xll.EQNXTDZ($A$1,$B72,BG$1,$B$1)</f>
        <v>0</v>
      </c>
      <c r="BH72" s="125" cm="1">
        <f t="array" ref="BH72">+_xll.EQNXTDZ($A$1,$B72,BH$1,$B$1)</f>
        <v>0</v>
      </c>
      <c r="BI72" s="125" cm="1">
        <f t="array" ref="BI72">+_xll.EQNXTDZ($A$1,$B72,BI$1,$B$1)</f>
        <v>0</v>
      </c>
      <c r="BJ72" s="125" cm="1">
        <f t="array" ref="BJ72">+_xll.EQNXTDZ($A$1,$B72,BJ$1,$B$1)</f>
        <v>0</v>
      </c>
      <c r="BK72" s="125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5" cm="1">
        <f t="array" ref="C73">+_xll.EQNXTDZ($A$1,$B73,C$1,$B$1)</f>
        <v>0</v>
      </c>
      <c r="D73" s="125" cm="1">
        <f t="array" ref="D73">+_xll.EQNXTDZ($A$1,$B73,D$1,$B$1)</f>
        <v>0</v>
      </c>
      <c r="E73" s="125" cm="1">
        <f t="array" ref="E73">+_xll.EQNXTDZ($A$1,$B73,E$1,$B$1)</f>
        <v>0</v>
      </c>
      <c r="F73" s="125" cm="1">
        <f t="array" ref="F73">+_xll.EQNXTDZ($A$1,$B73,F$1,$B$1)</f>
        <v>0</v>
      </c>
      <c r="G73" s="125" cm="1">
        <f t="array" ref="G73">+_xll.EQNXTDZ($A$1,$B73,G$1,$B$1)</f>
        <v>0</v>
      </c>
      <c r="H73" s="125" cm="1">
        <f t="array" ref="H73">+_xll.EQNXTDZ($A$1,$B73,H$1,$B$1)</f>
        <v>0</v>
      </c>
      <c r="I73" s="125" cm="1">
        <f t="array" ref="I73">+_xll.EQNXTDZ($A$1,$B73,I$1,$B$1)</f>
        <v>0</v>
      </c>
      <c r="J73" s="125" cm="1">
        <f t="array" ref="J73">+_xll.EQNXTDZ($A$1,$B73,J$1,$B$1)</f>
        <v>0</v>
      </c>
      <c r="K73" s="125" cm="1">
        <f t="array" ref="K73">+_xll.EQNXTDZ($A$1,$B73,K$1,$B$1)</f>
        <v>0</v>
      </c>
      <c r="L73" s="125" cm="1">
        <f t="array" ref="L73">+_xll.EQNXTDZ($A$1,$B73,L$1,$B$1)</f>
        <v>0</v>
      </c>
      <c r="M73" s="125" cm="1">
        <f t="array" ref="M73">+_xll.EQNXTDZ($A$1,$B73,M$1,$B$1)</f>
        <v>0</v>
      </c>
      <c r="N73" s="125" cm="1">
        <f t="array" ref="N73">+_xll.EQNXTDZ($A$1,$B73,N$1,$B$1)</f>
        <v>0</v>
      </c>
      <c r="O73" s="125" cm="1">
        <f t="array" ref="O73">+_xll.EQNXTDZ($A$1,$B73,O$1,$B$1)</f>
        <v>0</v>
      </c>
      <c r="P73" s="125" cm="1">
        <f t="array" ref="P73">+_xll.EQNXTDZ($A$1,$B73,P$1,$B$1)</f>
        <v>0</v>
      </c>
      <c r="Q73" s="125" cm="1">
        <f t="array" ref="Q73">+_xll.EQNXTDZ($A$1,$B73,Q$1,$B$1)</f>
        <v>0</v>
      </c>
      <c r="R73" s="125" cm="1">
        <f t="array" ref="R73">+_xll.EQNXTDZ($A$1,$B73,R$1,$B$1)</f>
        <v>0</v>
      </c>
      <c r="S73" s="125" cm="1">
        <f t="array" ref="S73">+_xll.EQNXTDZ($A$1,$B73,S$1,$B$1)</f>
        <v>0</v>
      </c>
      <c r="T73" s="125" cm="1">
        <f t="array" ref="T73">+_xll.EQNXTDZ($A$1,$B73,T$1,$B$1)</f>
        <v>0</v>
      </c>
      <c r="U73" s="125" cm="1">
        <f t="array" ref="U73">+_xll.EQNXTDZ($A$1,$B73,U$1,$B$1)</f>
        <v>0</v>
      </c>
      <c r="V73" s="125" cm="1">
        <f t="array" ref="V73">+_xll.EQNXTDZ($A$1,$B73,V$1,$B$1)</f>
        <v>0</v>
      </c>
      <c r="W73" s="125" cm="1">
        <f t="array" ref="W73">+_xll.EQNXTDZ($A$1,$B73,W$1,$B$1)</f>
        <v>0</v>
      </c>
      <c r="X73" s="125" cm="1">
        <f t="array" ref="X73">+_xll.EQNXTDZ($A$1,$B73,X$1,$B$1)</f>
        <v>0</v>
      </c>
      <c r="Y73" s="125" cm="1">
        <f t="array" ref="Y73">+_xll.EQNXTDZ($A$1,$B73,Y$1,$B$1)</f>
        <v>0</v>
      </c>
      <c r="Z73" s="125" cm="1">
        <f t="array" ref="Z73">+_xll.EQNXTDZ($A$1,$B73,Z$1,$B$1)</f>
        <v>0</v>
      </c>
      <c r="AA73" s="125" cm="1">
        <f t="array" ref="AA73">+_xll.EQNXTDZ($A$1,$B73,AA$1,$B$1)</f>
        <v>0</v>
      </c>
      <c r="AB73" s="125" cm="1">
        <f t="array" ref="AB73">+_xll.EQNXTDZ($A$1,$B73,AB$1,$B$1)</f>
        <v>0</v>
      </c>
      <c r="AC73" s="125" cm="1">
        <f t="array" ref="AC73">+_xll.EQNXTDZ($A$1,$B73,AC$1,$B$1)</f>
        <v>0</v>
      </c>
      <c r="AD73" s="125" cm="1">
        <f t="array" ref="AD73">+_xll.EQNXTDZ($A$1,$B73,AD$1,$B$1)</f>
        <v>0</v>
      </c>
      <c r="AE73" s="125" cm="1">
        <f t="array" ref="AE73">+_xll.EQNXTDZ($A$1,$B73,AE$1,$B$1)</f>
        <v>0</v>
      </c>
      <c r="AF73" s="125" cm="1">
        <f t="array" ref="AF73">+_xll.EQNXTDZ($A$1,$B73,AF$1,$B$1)</f>
        <v>0</v>
      </c>
      <c r="AG73" s="125" cm="1">
        <f t="array" ref="AG73">+_xll.EQNXTDZ($A$1,$B73,AG$1,$B$1)</f>
        <v>0</v>
      </c>
      <c r="AH73" s="125" cm="1">
        <f t="array" ref="AH73">+_xll.EQNXTDZ($A$1,$B73,AH$1,$B$1)</f>
        <v>0</v>
      </c>
      <c r="AI73" s="125" cm="1">
        <f t="array" ref="AI73">+_xll.EQNXTDZ($A$1,$B73,AI$1,$B$1)</f>
        <v>0</v>
      </c>
      <c r="AJ73" s="125" cm="1">
        <f t="array" ref="AJ73">+_xll.EQNXTDZ($A$1,$B73,AJ$1,$B$1)</f>
        <v>0</v>
      </c>
      <c r="AK73" s="125" cm="1">
        <f t="array" ref="AK73">+_xll.EQNXTDZ($A$1,$B73,AK$1,$B$1)</f>
        <v>0</v>
      </c>
      <c r="AL73" s="125" cm="1">
        <f t="array" ref="AL73">+_xll.EQNXTDZ($A$1,$B73,AL$1,$B$1)</f>
        <v>0</v>
      </c>
      <c r="AM73" s="125" cm="1">
        <f t="array" ref="AM73">+_xll.EQNXTDZ($A$1,$B73,AM$1,$B$1)</f>
        <v>0</v>
      </c>
      <c r="AN73" s="125" cm="1">
        <f t="array" ref="AN73">+_xll.EQNXTDZ($A$1,$B73,AN$1,$B$1)</f>
        <v>0</v>
      </c>
      <c r="AO73" s="125" cm="1">
        <f t="array" ref="AO73">+_xll.EQNXTDZ($A$1,$B73,AO$1,$B$1)</f>
        <v>0</v>
      </c>
      <c r="AP73" s="125" cm="1">
        <f t="array" ref="AP73">+_xll.EQNXTDZ($A$1,$B73,AP$1,$B$1)</f>
        <v>0</v>
      </c>
      <c r="AQ73" s="125" cm="1">
        <f t="array" ref="AQ73">+_xll.EQNXTDZ($A$1,$B73,AQ$1,$B$1)</f>
        <v>0</v>
      </c>
      <c r="AR73" s="125" cm="1">
        <f t="array" ref="AR73">+_xll.EQNXTDZ($A$1,$B73,AR$1,$B$1)</f>
        <v>0</v>
      </c>
      <c r="AS73" s="125" cm="1">
        <f t="array" ref="AS73">+_xll.EQNXTDZ($A$1,$B73,AS$1,$B$1)</f>
        <v>0</v>
      </c>
      <c r="AT73" s="125" cm="1">
        <f t="array" ref="AT73">+_xll.EQNXTDZ($A$1,$B73,AT$1,$B$1)</f>
        <v>0</v>
      </c>
      <c r="AU73" s="125" cm="1">
        <f t="array" ref="AU73">+_xll.EQNXTDZ($A$1,$B73,AU$1,$B$1)</f>
        <v>0</v>
      </c>
      <c r="AV73" s="125" cm="1">
        <f t="array" ref="AV73">+_xll.EQNXTDZ($A$1,$B73,AV$1,$B$1)</f>
        <v>0</v>
      </c>
      <c r="AW73" s="125" cm="1">
        <f t="array" ref="AW73">+_xll.EQNXTDZ($A$1,$B73,AW$1,$B$1)</f>
        <v>0</v>
      </c>
      <c r="AX73" s="125" cm="1">
        <f t="array" ref="AX73">+_xll.EQNXTDZ($A$1,$B73,AX$1,$B$1)</f>
        <v>0</v>
      </c>
      <c r="AY73" s="125" cm="1">
        <f t="array" ref="AY73">+_xll.EQNXTDZ($A$1,$B73,AY$1,$B$1)</f>
        <v>0</v>
      </c>
      <c r="AZ73" s="125" cm="1">
        <f t="array" ref="AZ73">+_xll.EQNXTDZ($A$1,$B73,AZ$1,$B$1)</f>
        <v>0</v>
      </c>
      <c r="BA73" s="125" cm="1">
        <f t="array" ref="BA73">+_xll.EQNXTDZ($A$1,$B73,BA$1,$B$1)</f>
        <v>0</v>
      </c>
      <c r="BB73" s="125" cm="1">
        <f t="array" ref="BB73">+_xll.EQNXTDZ($A$1,$B73,BB$1,$B$1)</f>
        <v>0</v>
      </c>
      <c r="BC73" s="125" cm="1">
        <f t="array" ref="BC73">+_xll.EQNXTDZ($A$1,$B73,BC$1,$B$1)</f>
        <v>0</v>
      </c>
      <c r="BD73" s="125" cm="1">
        <f t="array" ref="BD73">+_xll.EQNXTDZ($A$1,$B73,BD$1,$B$1)</f>
        <v>0</v>
      </c>
      <c r="BE73" s="125" cm="1">
        <f t="array" ref="BE73">+_xll.EQNXTDZ($A$1,$B73,BE$1,$B$1)</f>
        <v>0</v>
      </c>
      <c r="BF73" s="125" cm="1">
        <f t="array" ref="BF73">+_xll.EQNXTDZ($A$1,$B73,BF$1,$B$1)</f>
        <v>0</v>
      </c>
      <c r="BG73" s="125" cm="1">
        <f t="array" ref="BG73">+_xll.EQNXTDZ($A$1,$B73,BG$1,$B$1)</f>
        <v>0</v>
      </c>
      <c r="BH73" s="125" cm="1">
        <f t="array" ref="BH73">+_xll.EQNXTDZ($A$1,$B73,BH$1,$B$1)</f>
        <v>0</v>
      </c>
      <c r="BI73" s="125" cm="1">
        <f t="array" ref="BI73">+_xll.EQNXTDZ($A$1,$B73,BI$1,$B$1)</f>
        <v>0</v>
      </c>
      <c r="BJ73" s="125" cm="1">
        <f t="array" ref="BJ73">+_xll.EQNXTDZ($A$1,$B73,BJ$1,$B$1)</f>
        <v>0</v>
      </c>
      <c r="BK73" s="125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5" cm="1">
        <f t="array" ref="C74">+_xll.EQNXTDZ($A$1,$B74,C$1,$B$1)</f>
        <v>0</v>
      </c>
      <c r="D74" s="125" cm="1">
        <f t="array" ref="D74">+_xll.EQNXTDZ($A$1,$B74,D$1,$B$1)</f>
        <v>0</v>
      </c>
      <c r="E74" s="125" cm="1">
        <f t="array" ref="E74">+_xll.EQNXTDZ($A$1,$B74,E$1,$B$1)</f>
        <v>0</v>
      </c>
      <c r="F74" s="125" cm="1">
        <f t="array" ref="F74">+_xll.EQNXTDZ($A$1,$B74,F$1,$B$1)</f>
        <v>0</v>
      </c>
      <c r="G74" s="125" cm="1">
        <f t="array" ref="G74">+_xll.EQNXTDZ($A$1,$B74,G$1,$B$1)</f>
        <v>0</v>
      </c>
      <c r="H74" s="125" cm="1">
        <f t="array" ref="H74">+_xll.EQNXTDZ($A$1,$B74,H$1,$B$1)</f>
        <v>0</v>
      </c>
      <c r="I74" s="125" cm="1">
        <f t="array" ref="I74">+_xll.EQNXTDZ($A$1,$B74,I$1,$B$1)</f>
        <v>0</v>
      </c>
      <c r="J74" s="125" cm="1">
        <f t="array" ref="J74">+_xll.EQNXTDZ($A$1,$B74,J$1,$B$1)</f>
        <v>0</v>
      </c>
      <c r="K74" s="125" cm="1">
        <f t="array" ref="K74">+_xll.EQNXTDZ($A$1,$B74,K$1,$B$1)</f>
        <v>0</v>
      </c>
      <c r="L74" s="125" cm="1">
        <f t="array" ref="L74">+_xll.EQNXTDZ($A$1,$B74,L$1,$B$1)</f>
        <v>0</v>
      </c>
      <c r="M74" s="125" cm="1">
        <f t="array" ref="M74">+_xll.EQNXTDZ($A$1,$B74,M$1,$B$1)</f>
        <v>0</v>
      </c>
      <c r="N74" s="125" cm="1">
        <f t="array" ref="N74">+_xll.EQNXTDZ($A$1,$B74,N$1,$B$1)</f>
        <v>0</v>
      </c>
      <c r="O74" s="125" cm="1">
        <f t="array" ref="O74">+_xll.EQNXTDZ($A$1,$B74,O$1,$B$1)</f>
        <v>0</v>
      </c>
      <c r="P74" s="125" cm="1">
        <f t="array" ref="P74">+_xll.EQNXTDZ($A$1,$B74,P$1,$B$1)</f>
        <v>0</v>
      </c>
      <c r="Q74" s="125" cm="1">
        <f t="array" ref="Q74">+_xll.EQNXTDZ($A$1,$B74,Q$1,$B$1)</f>
        <v>0</v>
      </c>
      <c r="R74" s="125" cm="1">
        <f t="array" ref="R74">+_xll.EQNXTDZ($A$1,$B74,R$1,$B$1)</f>
        <v>0</v>
      </c>
      <c r="S74" s="125" cm="1">
        <f t="array" ref="S74">+_xll.EQNXTDZ($A$1,$B74,S$1,$B$1)</f>
        <v>0</v>
      </c>
      <c r="T74" s="125" cm="1">
        <f t="array" ref="T74">+_xll.EQNXTDZ($A$1,$B74,T$1,$B$1)</f>
        <v>0</v>
      </c>
      <c r="U74" s="125" cm="1">
        <f t="array" ref="U74">+_xll.EQNXTDZ($A$1,$B74,U$1,$B$1)</f>
        <v>0</v>
      </c>
      <c r="V74" s="125" cm="1">
        <f t="array" ref="V74">+_xll.EQNXTDZ($A$1,$B74,V$1,$B$1)</f>
        <v>0</v>
      </c>
      <c r="W74" s="125" cm="1">
        <f t="array" ref="W74">+_xll.EQNXTDZ($A$1,$B74,W$1,$B$1)</f>
        <v>0</v>
      </c>
      <c r="X74" s="125" cm="1">
        <f t="array" ref="X74">+_xll.EQNXTDZ($A$1,$B74,X$1,$B$1)</f>
        <v>0</v>
      </c>
      <c r="Y74" s="125" cm="1">
        <f t="array" ref="Y74">+_xll.EQNXTDZ($A$1,$B74,Y$1,$B$1)</f>
        <v>0</v>
      </c>
      <c r="Z74" s="125" cm="1">
        <f t="array" ref="Z74">+_xll.EQNXTDZ($A$1,$B74,Z$1,$B$1)</f>
        <v>0</v>
      </c>
      <c r="AA74" s="125" cm="1">
        <f t="array" ref="AA74">+_xll.EQNXTDZ($A$1,$B74,AA$1,$B$1)</f>
        <v>0</v>
      </c>
      <c r="AB74" s="125" cm="1">
        <f t="array" ref="AB74">+_xll.EQNXTDZ($A$1,$B74,AB$1,$B$1)</f>
        <v>0</v>
      </c>
      <c r="AC74" s="125" cm="1">
        <f t="array" ref="AC74">+_xll.EQNXTDZ($A$1,$B74,AC$1,$B$1)</f>
        <v>0</v>
      </c>
      <c r="AD74" s="125" cm="1">
        <f t="array" ref="AD74">+_xll.EQNXTDZ($A$1,$B74,AD$1,$B$1)</f>
        <v>0</v>
      </c>
      <c r="AE74" s="125" cm="1">
        <f t="array" ref="AE74">+_xll.EQNXTDZ($A$1,$B74,AE$1,$B$1)</f>
        <v>0</v>
      </c>
      <c r="AF74" s="125" cm="1">
        <f t="array" ref="AF74">+_xll.EQNXTDZ($A$1,$B74,AF$1,$B$1)</f>
        <v>0</v>
      </c>
      <c r="AG74" s="125" cm="1">
        <f t="array" ref="AG74">+_xll.EQNXTDZ($A$1,$B74,AG$1,$B$1)</f>
        <v>0</v>
      </c>
      <c r="AH74" s="125" cm="1">
        <f t="array" ref="AH74">+_xll.EQNXTDZ($A$1,$B74,AH$1,$B$1)</f>
        <v>0</v>
      </c>
      <c r="AI74" s="125" cm="1">
        <f t="array" ref="AI74">+_xll.EQNXTDZ($A$1,$B74,AI$1,$B$1)</f>
        <v>0</v>
      </c>
      <c r="AJ74" s="125" cm="1">
        <f t="array" ref="AJ74">+_xll.EQNXTDZ($A$1,$B74,AJ$1,$B$1)</f>
        <v>0</v>
      </c>
      <c r="AK74" s="125" cm="1">
        <f t="array" ref="AK74">+_xll.EQNXTDZ($A$1,$B74,AK$1,$B$1)</f>
        <v>0</v>
      </c>
      <c r="AL74" s="125" cm="1">
        <f t="array" ref="AL74">+_xll.EQNXTDZ($A$1,$B74,AL$1,$B$1)</f>
        <v>0</v>
      </c>
      <c r="AM74" s="125" cm="1">
        <f t="array" ref="AM74">+_xll.EQNXTDZ($A$1,$B74,AM$1,$B$1)</f>
        <v>0</v>
      </c>
      <c r="AN74" s="125" cm="1">
        <f t="array" ref="AN74">+_xll.EQNXTDZ($A$1,$B74,AN$1,$B$1)</f>
        <v>0</v>
      </c>
      <c r="AO74" s="125" cm="1">
        <f t="array" ref="AO74">+_xll.EQNXTDZ($A$1,$B74,AO$1,$B$1)</f>
        <v>0</v>
      </c>
      <c r="AP74" s="125" cm="1">
        <f t="array" ref="AP74">+_xll.EQNXTDZ($A$1,$B74,AP$1,$B$1)</f>
        <v>0</v>
      </c>
      <c r="AQ74" s="125" cm="1">
        <f t="array" ref="AQ74">+_xll.EQNXTDZ($A$1,$B74,AQ$1,$B$1)</f>
        <v>0</v>
      </c>
      <c r="AR74" s="125" cm="1">
        <f t="array" ref="AR74">+_xll.EQNXTDZ($A$1,$B74,AR$1,$B$1)</f>
        <v>0</v>
      </c>
      <c r="AS74" s="125" cm="1">
        <f t="array" ref="AS74">+_xll.EQNXTDZ($A$1,$B74,AS$1,$B$1)</f>
        <v>0</v>
      </c>
      <c r="AT74" s="125" cm="1">
        <f t="array" ref="AT74">+_xll.EQNXTDZ($A$1,$B74,AT$1,$B$1)</f>
        <v>0</v>
      </c>
      <c r="AU74" s="125" cm="1">
        <f t="array" ref="AU74">+_xll.EQNXTDZ($A$1,$B74,AU$1,$B$1)</f>
        <v>0</v>
      </c>
      <c r="AV74" s="125" cm="1">
        <f t="array" ref="AV74">+_xll.EQNXTDZ($A$1,$B74,AV$1,$B$1)</f>
        <v>0</v>
      </c>
      <c r="AW74" s="125" cm="1">
        <f t="array" ref="AW74">+_xll.EQNXTDZ($A$1,$B74,AW$1,$B$1)</f>
        <v>0</v>
      </c>
      <c r="AX74" s="125" cm="1">
        <f t="array" ref="AX74">+_xll.EQNXTDZ($A$1,$B74,AX$1,$B$1)</f>
        <v>0</v>
      </c>
      <c r="AY74" s="125" cm="1">
        <f t="array" ref="AY74">+_xll.EQNXTDZ($A$1,$B74,AY$1,$B$1)</f>
        <v>0</v>
      </c>
      <c r="AZ74" s="125" cm="1">
        <f t="array" ref="AZ74">+_xll.EQNXTDZ($A$1,$B74,AZ$1,$B$1)</f>
        <v>0</v>
      </c>
      <c r="BA74" s="125" cm="1">
        <f t="array" ref="BA74">+_xll.EQNXTDZ($A$1,$B74,BA$1,$B$1)</f>
        <v>0</v>
      </c>
      <c r="BB74" s="125" cm="1">
        <f t="array" ref="BB74">+_xll.EQNXTDZ($A$1,$B74,BB$1,$B$1)</f>
        <v>0</v>
      </c>
      <c r="BC74" s="125" cm="1">
        <f t="array" ref="BC74">+_xll.EQNXTDZ($A$1,$B74,BC$1,$B$1)</f>
        <v>0</v>
      </c>
      <c r="BD74" s="125" cm="1">
        <f t="array" ref="BD74">+_xll.EQNXTDZ($A$1,$B74,BD$1,$B$1)</f>
        <v>0</v>
      </c>
      <c r="BE74" s="125" cm="1">
        <f t="array" ref="BE74">+_xll.EQNXTDZ($A$1,$B74,BE$1,$B$1)</f>
        <v>0</v>
      </c>
      <c r="BF74" s="125" cm="1">
        <f t="array" ref="BF74">+_xll.EQNXTDZ($A$1,$B74,BF$1,$B$1)</f>
        <v>0</v>
      </c>
      <c r="BG74" s="125" cm="1">
        <f t="array" ref="BG74">+_xll.EQNXTDZ($A$1,$B74,BG$1,$B$1)</f>
        <v>0</v>
      </c>
      <c r="BH74" s="125" cm="1">
        <f t="array" ref="BH74">+_xll.EQNXTDZ($A$1,$B74,BH$1,$B$1)</f>
        <v>0</v>
      </c>
      <c r="BI74" s="125" cm="1">
        <f t="array" ref="BI74">+_xll.EQNXTDZ($A$1,$B74,BI$1,$B$1)</f>
        <v>0</v>
      </c>
      <c r="BJ74" s="125" cm="1">
        <f t="array" ref="BJ74">+_xll.EQNXTDZ($A$1,$B74,BJ$1,$B$1)</f>
        <v>0</v>
      </c>
      <c r="BK74" s="125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5" cm="1">
        <f t="array" ref="C75">+_xll.EQNXTDZ($A$1,$B75,C$1,$B$1)</f>
        <v>0</v>
      </c>
      <c r="D75" s="125" cm="1">
        <f t="array" ref="D75">+_xll.EQNXTDZ($A$1,$B75,D$1,$B$1)</f>
        <v>0</v>
      </c>
      <c r="E75" s="125" cm="1">
        <f t="array" ref="E75">+_xll.EQNXTDZ($A$1,$B75,E$1,$B$1)</f>
        <v>0</v>
      </c>
      <c r="F75" s="125" cm="1">
        <f t="array" ref="F75">+_xll.EQNXTDZ($A$1,$B75,F$1,$B$1)</f>
        <v>0</v>
      </c>
      <c r="G75" s="125" cm="1">
        <f t="array" ref="G75">+_xll.EQNXTDZ($A$1,$B75,G$1,$B$1)</f>
        <v>0</v>
      </c>
      <c r="H75" s="125" cm="1">
        <f t="array" ref="H75">+_xll.EQNXTDZ($A$1,$B75,H$1,$B$1)</f>
        <v>0</v>
      </c>
      <c r="I75" s="125" cm="1">
        <f t="array" ref="I75">+_xll.EQNXTDZ($A$1,$B75,I$1,$B$1)</f>
        <v>0</v>
      </c>
      <c r="J75" s="125" cm="1">
        <f t="array" ref="J75">+_xll.EQNXTDZ($A$1,$B75,J$1,$B$1)</f>
        <v>0</v>
      </c>
      <c r="K75" s="125" cm="1">
        <f t="array" ref="K75">+_xll.EQNXTDZ($A$1,$B75,K$1,$B$1)</f>
        <v>0</v>
      </c>
      <c r="L75" s="125" cm="1">
        <f t="array" ref="L75">+_xll.EQNXTDZ($A$1,$B75,L$1,$B$1)</f>
        <v>0</v>
      </c>
      <c r="M75" s="125" cm="1">
        <f t="array" ref="M75">+_xll.EQNXTDZ($A$1,$B75,M$1,$B$1)</f>
        <v>0</v>
      </c>
      <c r="N75" s="125" cm="1">
        <f t="array" ref="N75">+_xll.EQNXTDZ($A$1,$B75,N$1,$B$1)</f>
        <v>0</v>
      </c>
      <c r="O75" s="125" cm="1">
        <f t="array" ref="O75">+_xll.EQNXTDZ($A$1,$B75,O$1,$B$1)</f>
        <v>0</v>
      </c>
      <c r="P75" s="125" cm="1">
        <f t="array" ref="P75">+_xll.EQNXTDZ($A$1,$B75,P$1,$B$1)</f>
        <v>0</v>
      </c>
      <c r="Q75" s="125" cm="1">
        <f t="array" ref="Q75">+_xll.EQNXTDZ($A$1,$B75,Q$1,$B$1)</f>
        <v>0</v>
      </c>
      <c r="R75" s="125" cm="1">
        <f t="array" ref="R75">+_xll.EQNXTDZ($A$1,$B75,R$1,$B$1)</f>
        <v>0</v>
      </c>
      <c r="S75" s="125" cm="1">
        <f t="array" ref="S75">+_xll.EQNXTDZ($A$1,$B75,S$1,$B$1)</f>
        <v>0</v>
      </c>
      <c r="T75" s="125" cm="1">
        <f t="array" ref="T75">+_xll.EQNXTDZ($A$1,$B75,T$1,$B$1)</f>
        <v>0</v>
      </c>
      <c r="U75" s="125" cm="1">
        <f t="array" ref="U75">+_xll.EQNXTDZ($A$1,$B75,U$1,$B$1)</f>
        <v>0</v>
      </c>
      <c r="V75" s="125" cm="1">
        <f t="array" ref="V75">+_xll.EQNXTDZ($A$1,$B75,V$1,$B$1)</f>
        <v>0</v>
      </c>
      <c r="W75" s="125" cm="1">
        <f t="array" ref="W75">+_xll.EQNXTDZ($A$1,$B75,W$1,$B$1)</f>
        <v>0</v>
      </c>
      <c r="X75" s="125" cm="1">
        <f t="array" ref="X75">+_xll.EQNXTDZ($A$1,$B75,X$1,$B$1)</f>
        <v>0</v>
      </c>
      <c r="Y75" s="125" cm="1">
        <f t="array" ref="Y75">+_xll.EQNXTDZ($A$1,$B75,Y$1,$B$1)</f>
        <v>0</v>
      </c>
      <c r="Z75" s="125" cm="1">
        <f t="array" ref="Z75">+_xll.EQNXTDZ($A$1,$B75,Z$1,$B$1)</f>
        <v>0</v>
      </c>
      <c r="AA75" s="125" cm="1">
        <f t="array" ref="AA75">+_xll.EQNXTDZ($A$1,$B75,AA$1,$B$1)</f>
        <v>0</v>
      </c>
      <c r="AB75" s="125" cm="1">
        <f t="array" ref="AB75">+_xll.EQNXTDZ($A$1,$B75,AB$1,$B$1)</f>
        <v>0</v>
      </c>
      <c r="AC75" s="125" cm="1">
        <f t="array" ref="AC75">+_xll.EQNXTDZ($A$1,$B75,AC$1,$B$1)</f>
        <v>0</v>
      </c>
      <c r="AD75" s="125" cm="1">
        <f t="array" ref="AD75">+_xll.EQNXTDZ($A$1,$B75,AD$1,$B$1)</f>
        <v>0</v>
      </c>
      <c r="AE75" s="125" cm="1">
        <f t="array" ref="AE75">+_xll.EQNXTDZ($A$1,$B75,AE$1,$B$1)</f>
        <v>0</v>
      </c>
      <c r="AF75" s="125" cm="1">
        <f t="array" ref="AF75">+_xll.EQNXTDZ($A$1,$B75,AF$1,$B$1)</f>
        <v>0</v>
      </c>
      <c r="AG75" s="125" cm="1">
        <f t="array" ref="AG75">+_xll.EQNXTDZ($A$1,$B75,AG$1,$B$1)</f>
        <v>0</v>
      </c>
      <c r="AH75" s="125" cm="1">
        <f t="array" ref="AH75">+_xll.EQNXTDZ($A$1,$B75,AH$1,$B$1)</f>
        <v>0</v>
      </c>
      <c r="AI75" s="125" cm="1">
        <f t="array" ref="AI75">+_xll.EQNXTDZ($A$1,$B75,AI$1,$B$1)</f>
        <v>0</v>
      </c>
      <c r="AJ75" s="125" cm="1">
        <f t="array" ref="AJ75">+_xll.EQNXTDZ($A$1,$B75,AJ$1,$B$1)</f>
        <v>0</v>
      </c>
      <c r="AK75" s="125" cm="1">
        <f t="array" ref="AK75">+_xll.EQNXTDZ($A$1,$B75,AK$1,$B$1)</f>
        <v>0</v>
      </c>
      <c r="AL75" s="125" cm="1">
        <f t="array" ref="AL75">+_xll.EQNXTDZ($A$1,$B75,AL$1,$B$1)</f>
        <v>0</v>
      </c>
      <c r="AM75" s="125" cm="1">
        <f t="array" ref="AM75">+_xll.EQNXTDZ($A$1,$B75,AM$1,$B$1)</f>
        <v>0</v>
      </c>
      <c r="AN75" s="125" cm="1">
        <f t="array" ref="AN75">+_xll.EQNXTDZ($A$1,$B75,AN$1,$B$1)</f>
        <v>0</v>
      </c>
      <c r="AO75" s="125" cm="1">
        <f t="array" ref="AO75">+_xll.EQNXTDZ($A$1,$B75,AO$1,$B$1)</f>
        <v>0</v>
      </c>
      <c r="AP75" s="125" cm="1">
        <f t="array" ref="AP75">+_xll.EQNXTDZ($A$1,$B75,AP$1,$B$1)</f>
        <v>0</v>
      </c>
      <c r="AQ75" s="125" cm="1">
        <f t="array" ref="AQ75">+_xll.EQNXTDZ($A$1,$B75,AQ$1,$B$1)</f>
        <v>0</v>
      </c>
      <c r="AR75" s="125" cm="1">
        <f t="array" ref="AR75">+_xll.EQNXTDZ($A$1,$B75,AR$1,$B$1)</f>
        <v>0</v>
      </c>
      <c r="AS75" s="125" cm="1">
        <f t="array" ref="AS75">+_xll.EQNXTDZ($A$1,$B75,AS$1,$B$1)</f>
        <v>0</v>
      </c>
      <c r="AT75" s="125" cm="1">
        <f t="array" ref="AT75">+_xll.EQNXTDZ($A$1,$B75,AT$1,$B$1)</f>
        <v>0</v>
      </c>
      <c r="AU75" s="125" cm="1">
        <f t="array" ref="AU75">+_xll.EQNXTDZ($A$1,$B75,AU$1,$B$1)</f>
        <v>0</v>
      </c>
      <c r="AV75" s="125" cm="1">
        <f t="array" ref="AV75">+_xll.EQNXTDZ($A$1,$B75,AV$1,$B$1)</f>
        <v>0</v>
      </c>
      <c r="AW75" s="125" cm="1">
        <f t="array" ref="AW75">+_xll.EQNXTDZ($A$1,$B75,AW$1,$B$1)</f>
        <v>0</v>
      </c>
      <c r="AX75" s="125" cm="1">
        <f t="array" ref="AX75">+_xll.EQNXTDZ($A$1,$B75,AX$1,$B$1)</f>
        <v>0</v>
      </c>
      <c r="AY75" s="125" cm="1">
        <f t="array" ref="AY75">+_xll.EQNXTDZ($A$1,$B75,AY$1,$B$1)</f>
        <v>0</v>
      </c>
      <c r="AZ75" s="125" cm="1">
        <f t="array" ref="AZ75">+_xll.EQNXTDZ($A$1,$B75,AZ$1,$B$1)</f>
        <v>0</v>
      </c>
      <c r="BA75" s="125" cm="1">
        <f t="array" ref="BA75">+_xll.EQNXTDZ($A$1,$B75,BA$1,$B$1)</f>
        <v>0</v>
      </c>
      <c r="BB75" s="125" cm="1">
        <f t="array" ref="BB75">+_xll.EQNXTDZ($A$1,$B75,BB$1,$B$1)</f>
        <v>0</v>
      </c>
      <c r="BC75" s="125" cm="1">
        <f t="array" ref="BC75">+_xll.EQNXTDZ($A$1,$B75,BC$1,$B$1)</f>
        <v>0</v>
      </c>
      <c r="BD75" s="125" cm="1">
        <f t="array" ref="BD75">+_xll.EQNXTDZ($A$1,$B75,BD$1,$B$1)</f>
        <v>0</v>
      </c>
      <c r="BE75" s="125" cm="1">
        <f t="array" ref="BE75">+_xll.EQNXTDZ($A$1,$B75,BE$1,$B$1)</f>
        <v>0</v>
      </c>
      <c r="BF75" s="125" cm="1">
        <f t="array" ref="BF75">+_xll.EQNXTDZ($A$1,$B75,BF$1,$B$1)</f>
        <v>0</v>
      </c>
      <c r="BG75" s="125" cm="1">
        <f t="array" ref="BG75">+_xll.EQNXTDZ($A$1,$B75,BG$1,$B$1)</f>
        <v>0</v>
      </c>
      <c r="BH75" s="125" cm="1">
        <f t="array" ref="BH75">+_xll.EQNXTDZ($A$1,$B75,BH$1,$B$1)</f>
        <v>0</v>
      </c>
      <c r="BI75" s="125" cm="1">
        <f t="array" ref="BI75">+_xll.EQNXTDZ($A$1,$B75,BI$1,$B$1)</f>
        <v>0</v>
      </c>
      <c r="BJ75" s="125" cm="1">
        <f t="array" ref="BJ75">+_xll.EQNXTDZ($A$1,$B75,BJ$1,$B$1)</f>
        <v>0</v>
      </c>
      <c r="BK75" s="125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5" cm="1">
        <f t="array" ref="C76">+_xll.EQNXTDZ($A$1,$B76,C$1,$B$1)</f>
        <v>0</v>
      </c>
      <c r="D76" s="125" cm="1">
        <f t="array" ref="D76">+_xll.EQNXTDZ($A$1,$B76,D$1,$B$1)</f>
        <v>0</v>
      </c>
      <c r="E76" s="125" cm="1">
        <f t="array" ref="E76">+_xll.EQNXTDZ($A$1,$B76,E$1,$B$1)</f>
        <v>0</v>
      </c>
      <c r="F76" s="125" cm="1">
        <f t="array" ref="F76">+_xll.EQNXTDZ($A$1,$B76,F$1,$B$1)</f>
        <v>0</v>
      </c>
      <c r="G76" s="125" cm="1">
        <f t="array" ref="G76">+_xll.EQNXTDZ($A$1,$B76,G$1,$B$1)</f>
        <v>0</v>
      </c>
      <c r="H76" s="125" cm="1">
        <f t="array" ref="H76">+_xll.EQNXTDZ($A$1,$B76,H$1,$B$1)</f>
        <v>0</v>
      </c>
      <c r="I76" s="125" cm="1">
        <f t="array" ref="I76">+_xll.EQNXTDZ($A$1,$B76,I$1,$B$1)</f>
        <v>0</v>
      </c>
      <c r="J76" s="125" cm="1">
        <f t="array" ref="J76">+_xll.EQNXTDZ($A$1,$B76,J$1,$B$1)</f>
        <v>0</v>
      </c>
      <c r="K76" s="125" cm="1">
        <f t="array" ref="K76">+_xll.EQNXTDZ($A$1,$B76,K$1,$B$1)</f>
        <v>0</v>
      </c>
      <c r="L76" s="125" cm="1">
        <f t="array" ref="L76">+_xll.EQNXTDZ($A$1,$B76,L$1,$B$1)</f>
        <v>0</v>
      </c>
      <c r="M76" s="125" cm="1">
        <f t="array" ref="M76">+_xll.EQNXTDZ($A$1,$B76,M$1,$B$1)</f>
        <v>0</v>
      </c>
      <c r="N76" s="125" cm="1">
        <f t="array" ref="N76">+_xll.EQNXTDZ($A$1,$B76,N$1,$B$1)</f>
        <v>0</v>
      </c>
      <c r="O76" s="125" cm="1">
        <f t="array" ref="O76">+_xll.EQNXTDZ($A$1,$B76,O$1,$B$1)</f>
        <v>0</v>
      </c>
      <c r="P76" s="125" cm="1">
        <f t="array" ref="P76">+_xll.EQNXTDZ($A$1,$B76,P$1,$B$1)</f>
        <v>0</v>
      </c>
      <c r="Q76" s="125" cm="1">
        <f t="array" ref="Q76">+_xll.EQNXTDZ($A$1,$B76,Q$1,$B$1)</f>
        <v>0</v>
      </c>
      <c r="R76" s="125" cm="1">
        <f t="array" ref="R76">+_xll.EQNXTDZ($A$1,$B76,R$1,$B$1)</f>
        <v>0</v>
      </c>
      <c r="S76" s="125" cm="1">
        <f t="array" ref="S76">+_xll.EQNXTDZ($A$1,$B76,S$1,$B$1)</f>
        <v>0</v>
      </c>
      <c r="T76" s="125" cm="1">
        <f t="array" ref="T76">+_xll.EQNXTDZ($A$1,$B76,T$1,$B$1)</f>
        <v>0</v>
      </c>
      <c r="U76" s="125" cm="1">
        <f t="array" ref="U76">+_xll.EQNXTDZ($A$1,$B76,U$1,$B$1)</f>
        <v>0</v>
      </c>
      <c r="V76" s="125" cm="1">
        <f t="array" ref="V76">+_xll.EQNXTDZ($A$1,$B76,V$1,$B$1)</f>
        <v>0</v>
      </c>
      <c r="W76" s="125" cm="1">
        <f t="array" ref="W76">+_xll.EQNXTDZ($A$1,$B76,W$1,$B$1)</f>
        <v>0</v>
      </c>
      <c r="X76" s="125" cm="1">
        <f t="array" ref="X76">+_xll.EQNXTDZ($A$1,$B76,X$1,$B$1)</f>
        <v>0</v>
      </c>
      <c r="Y76" s="125" cm="1">
        <f t="array" ref="Y76">+_xll.EQNXTDZ($A$1,$B76,Y$1,$B$1)</f>
        <v>0</v>
      </c>
      <c r="Z76" s="125" cm="1">
        <f t="array" ref="Z76">+_xll.EQNXTDZ($A$1,$B76,Z$1,$B$1)</f>
        <v>0</v>
      </c>
      <c r="AA76" s="125" cm="1">
        <f t="array" ref="AA76">+_xll.EQNXTDZ($A$1,$B76,AA$1,$B$1)</f>
        <v>0</v>
      </c>
      <c r="AB76" s="125" cm="1">
        <f t="array" ref="AB76">+_xll.EQNXTDZ($A$1,$B76,AB$1,$B$1)</f>
        <v>0</v>
      </c>
      <c r="AC76" s="125" cm="1">
        <f t="array" ref="AC76">+_xll.EQNXTDZ($A$1,$B76,AC$1,$B$1)</f>
        <v>0</v>
      </c>
      <c r="AD76" s="125" cm="1">
        <f t="array" ref="AD76">+_xll.EQNXTDZ($A$1,$B76,AD$1,$B$1)</f>
        <v>0</v>
      </c>
      <c r="AE76" s="125" cm="1">
        <f t="array" ref="AE76">+_xll.EQNXTDZ($A$1,$B76,AE$1,$B$1)</f>
        <v>0</v>
      </c>
      <c r="AF76" s="125" cm="1">
        <f t="array" ref="AF76">+_xll.EQNXTDZ($A$1,$B76,AF$1,$B$1)</f>
        <v>0</v>
      </c>
      <c r="AG76" s="125" cm="1">
        <f t="array" ref="AG76">+_xll.EQNXTDZ($A$1,$B76,AG$1,$B$1)</f>
        <v>0</v>
      </c>
      <c r="AH76" s="125" cm="1">
        <f t="array" ref="AH76">+_xll.EQNXTDZ($A$1,$B76,AH$1,$B$1)</f>
        <v>0</v>
      </c>
      <c r="AI76" s="125" cm="1">
        <f t="array" ref="AI76">+_xll.EQNXTDZ($A$1,$B76,AI$1,$B$1)</f>
        <v>0</v>
      </c>
      <c r="AJ76" s="125" cm="1">
        <f t="array" ref="AJ76">+_xll.EQNXTDZ($A$1,$B76,AJ$1,$B$1)</f>
        <v>0</v>
      </c>
      <c r="AK76" s="125" cm="1">
        <f t="array" ref="AK76">+_xll.EQNXTDZ($A$1,$B76,AK$1,$B$1)</f>
        <v>0</v>
      </c>
      <c r="AL76" s="125" cm="1">
        <f t="array" ref="AL76">+_xll.EQNXTDZ($A$1,$B76,AL$1,$B$1)</f>
        <v>0</v>
      </c>
      <c r="AM76" s="125" cm="1">
        <f t="array" ref="AM76">+_xll.EQNXTDZ($A$1,$B76,AM$1,$B$1)</f>
        <v>0</v>
      </c>
      <c r="AN76" s="125" cm="1">
        <f t="array" ref="AN76">+_xll.EQNXTDZ($A$1,$B76,AN$1,$B$1)</f>
        <v>0</v>
      </c>
      <c r="AO76" s="125" cm="1">
        <f t="array" ref="AO76">+_xll.EQNXTDZ($A$1,$B76,AO$1,$B$1)</f>
        <v>0</v>
      </c>
      <c r="AP76" s="125" cm="1">
        <f t="array" ref="AP76">+_xll.EQNXTDZ($A$1,$B76,AP$1,$B$1)</f>
        <v>0</v>
      </c>
      <c r="AQ76" s="125" cm="1">
        <f t="array" ref="AQ76">+_xll.EQNXTDZ($A$1,$B76,AQ$1,$B$1)</f>
        <v>0</v>
      </c>
      <c r="AR76" s="125" cm="1">
        <f t="array" ref="AR76">+_xll.EQNXTDZ($A$1,$B76,AR$1,$B$1)</f>
        <v>0</v>
      </c>
      <c r="AS76" s="125" cm="1">
        <f t="array" ref="AS76">+_xll.EQNXTDZ($A$1,$B76,AS$1,$B$1)</f>
        <v>0</v>
      </c>
      <c r="AT76" s="125" cm="1">
        <f t="array" ref="AT76">+_xll.EQNXTDZ($A$1,$B76,AT$1,$B$1)</f>
        <v>0</v>
      </c>
      <c r="AU76" s="125" cm="1">
        <f t="array" ref="AU76">+_xll.EQNXTDZ($A$1,$B76,AU$1,$B$1)</f>
        <v>0</v>
      </c>
      <c r="AV76" s="125" cm="1">
        <f t="array" ref="AV76">+_xll.EQNXTDZ($A$1,$B76,AV$1,$B$1)</f>
        <v>0</v>
      </c>
      <c r="AW76" s="125" cm="1">
        <f t="array" ref="AW76">+_xll.EQNXTDZ($A$1,$B76,AW$1,$B$1)</f>
        <v>0</v>
      </c>
      <c r="AX76" s="125" cm="1">
        <f t="array" ref="AX76">+_xll.EQNXTDZ($A$1,$B76,AX$1,$B$1)</f>
        <v>0</v>
      </c>
      <c r="AY76" s="125" cm="1">
        <f t="array" ref="AY76">+_xll.EQNXTDZ($A$1,$B76,AY$1,$B$1)</f>
        <v>0</v>
      </c>
      <c r="AZ76" s="125" cm="1">
        <f t="array" ref="AZ76">+_xll.EQNXTDZ($A$1,$B76,AZ$1,$B$1)</f>
        <v>0</v>
      </c>
      <c r="BA76" s="125" cm="1">
        <f t="array" ref="BA76">+_xll.EQNXTDZ($A$1,$B76,BA$1,$B$1)</f>
        <v>0</v>
      </c>
      <c r="BB76" s="125" cm="1">
        <f t="array" ref="BB76">+_xll.EQNXTDZ($A$1,$B76,BB$1,$B$1)</f>
        <v>0</v>
      </c>
      <c r="BC76" s="125" cm="1">
        <f t="array" ref="BC76">+_xll.EQNXTDZ($A$1,$B76,BC$1,$B$1)</f>
        <v>0</v>
      </c>
      <c r="BD76" s="125" cm="1">
        <f t="array" ref="BD76">+_xll.EQNXTDZ($A$1,$B76,BD$1,$B$1)</f>
        <v>0</v>
      </c>
      <c r="BE76" s="125" cm="1">
        <f t="array" ref="BE76">+_xll.EQNXTDZ($A$1,$B76,BE$1,$B$1)</f>
        <v>0</v>
      </c>
      <c r="BF76" s="125" cm="1">
        <f t="array" ref="BF76">+_xll.EQNXTDZ($A$1,$B76,BF$1,$B$1)</f>
        <v>0</v>
      </c>
      <c r="BG76" s="125" cm="1">
        <f t="array" ref="BG76">+_xll.EQNXTDZ($A$1,$B76,BG$1,$B$1)</f>
        <v>0</v>
      </c>
      <c r="BH76" s="125" cm="1">
        <f t="array" ref="BH76">+_xll.EQNXTDZ($A$1,$B76,BH$1,$B$1)</f>
        <v>0</v>
      </c>
      <c r="BI76" s="125" cm="1">
        <f t="array" ref="BI76">+_xll.EQNXTDZ($A$1,$B76,BI$1,$B$1)</f>
        <v>0</v>
      </c>
      <c r="BJ76" s="125" cm="1">
        <f t="array" ref="BJ76">+_xll.EQNXTDZ($A$1,$B76,BJ$1,$B$1)</f>
        <v>0</v>
      </c>
      <c r="BK76" s="125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5" cm="1">
        <f t="array" ref="C77">+_xll.EQNXTDZ($A$1,$B77,C$1,$B$1)</f>
        <v>0</v>
      </c>
      <c r="D77" s="125" cm="1">
        <f t="array" ref="D77">+_xll.EQNXTDZ($A$1,$B77,D$1,$B$1)</f>
        <v>0</v>
      </c>
      <c r="E77" s="125" cm="1">
        <f t="array" ref="E77">+_xll.EQNXTDZ($A$1,$B77,E$1,$B$1)</f>
        <v>0</v>
      </c>
      <c r="F77" s="125" cm="1">
        <f t="array" ref="F77">+_xll.EQNXTDZ($A$1,$B77,F$1,$B$1)</f>
        <v>0</v>
      </c>
      <c r="G77" s="125" cm="1">
        <f t="array" ref="G77">+_xll.EQNXTDZ($A$1,$B77,G$1,$B$1)</f>
        <v>0</v>
      </c>
      <c r="H77" s="125" cm="1">
        <f t="array" ref="H77">+_xll.EQNXTDZ($A$1,$B77,H$1,$B$1)</f>
        <v>0</v>
      </c>
      <c r="I77" s="125" cm="1">
        <f t="array" ref="I77">+_xll.EQNXTDZ($A$1,$B77,I$1,$B$1)</f>
        <v>0</v>
      </c>
      <c r="J77" s="125" cm="1">
        <f t="array" ref="J77">+_xll.EQNXTDZ($A$1,$B77,J$1,$B$1)</f>
        <v>0</v>
      </c>
      <c r="K77" s="125" cm="1">
        <f t="array" ref="K77">+_xll.EQNXTDZ($A$1,$B77,K$1,$B$1)</f>
        <v>0</v>
      </c>
      <c r="L77" s="125" cm="1">
        <f t="array" ref="L77">+_xll.EQNXTDZ($A$1,$B77,L$1,$B$1)</f>
        <v>0</v>
      </c>
      <c r="M77" s="125" cm="1">
        <f t="array" ref="M77">+_xll.EQNXTDZ($A$1,$B77,M$1,$B$1)</f>
        <v>0</v>
      </c>
      <c r="N77" s="125" cm="1">
        <f t="array" ref="N77">+_xll.EQNXTDZ($A$1,$B77,N$1,$B$1)</f>
        <v>0</v>
      </c>
      <c r="O77" s="125" cm="1">
        <f t="array" ref="O77">+_xll.EQNXTDZ($A$1,$B77,O$1,$B$1)</f>
        <v>9.5399999999999991</v>
      </c>
      <c r="P77" s="125" cm="1">
        <f t="array" ref="P77">+_xll.EQNXTDZ($A$1,$B77,P$1,$B$1)</f>
        <v>0</v>
      </c>
      <c r="Q77" s="125" cm="1">
        <f t="array" ref="Q77">+_xll.EQNXTDZ($A$1,$B77,Q$1,$B$1)</f>
        <v>13.48</v>
      </c>
      <c r="R77" s="125" cm="1">
        <f t="array" ref="R77">+_xll.EQNXTDZ($A$1,$B77,R$1,$B$1)</f>
        <v>0</v>
      </c>
      <c r="S77" s="125" cm="1">
        <f t="array" ref="S77">+_xll.EQNXTDZ($A$1,$B77,S$1,$B$1)</f>
        <v>21.52</v>
      </c>
      <c r="T77" s="125" cm="1">
        <f t="array" ref="T77">+_xll.EQNXTDZ($A$1,$B77,T$1,$B$1)</f>
        <v>0</v>
      </c>
      <c r="U77" s="125" cm="1">
        <f t="array" ref="U77">+_xll.EQNXTDZ($A$1,$B77,U$1,$B$1)</f>
        <v>121.2</v>
      </c>
      <c r="V77" s="125" cm="1">
        <f t="array" ref="V77">+_xll.EQNXTDZ($A$1,$B77,V$1,$B$1)</f>
        <v>0</v>
      </c>
      <c r="W77" s="125" cm="1">
        <f t="array" ref="W77">+_xll.EQNXTDZ($A$1,$B77,W$1,$B$1)</f>
        <v>87.34</v>
      </c>
      <c r="X77" s="125" cm="1">
        <f t="array" ref="X77">+_xll.EQNXTDZ($A$1,$B77,X$1,$B$1)</f>
        <v>0</v>
      </c>
      <c r="Y77" s="125" cm="1">
        <f t="array" ref="Y77">+_xll.EQNXTDZ($A$1,$B77,Y$1,$B$1)</f>
        <v>86.82</v>
      </c>
      <c r="Z77" s="125" cm="1">
        <f t="array" ref="Z77">+_xll.EQNXTDZ($A$1,$B77,Z$1,$B$1)</f>
        <v>0</v>
      </c>
      <c r="AA77" s="125" cm="1">
        <f t="array" ref="AA77">+_xll.EQNXTDZ($A$1,$B77,AA$1,$B$1)</f>
        <v>112.4</v>
      </c>
      <c r="AB77" s="125" cm="1">
        <f t="array" ref="AB77">+_xll.EQNXTDZ($A$1,$B77,AB$1,$B$1)</f>
        <v>0</v>
      </c>
      <c r="AC77" s="125" cm="1">
        <f t="array" ref="AC77">+_xll.EQNXTDZ($A$1,$B77,AC$1,$B$1)</f>
        <v>120.54</v>
      </c>
      <c r="AD77" s="125" cm="1">
        <f t="array" ref="AD77">+_xll.EQNXTDZ($A$1,$B77,AD$1,$B$1)</f>
        <v>0</v>
      </c>
      <c r="AE77" s="125" cm="1">
        <f t="array" ref="AE77">+_xll.EQNXTDZ($A$1,$B77,AE$1,$B$1)</f>
        <v>123.62</v>
      </c>
      <c r="AF77" s="125" cm="1">
        <f t="array" ref="AF77">+_xll.EQNXTDZ($A$1,$B77,AF$1,$B$1)</f>
        <v>0</v>
      </c>
      <c r="AG77" s="125" cm="1">
        <f t="array" ref="AG77">+_xll.EQNXTDZ($A$1,$B77,AG$1,$B$1)</f>
        <v>169.19</v>
      </c>
      <c r="AH77" s="125" cm="1">
        <f t="array" ref="AH77">+_xll.EQNXTDZ($A$1,$B77,AH$1,$B$1)</f>
        <v>0</v>
      </c>
      <c r="AI77" s="125" cm="1">
        <f t="array" ref="AI77">+_xll.EQNXTDZ($A$1,$B77,AI$1,$B$1)</f>
        <v>123.44</v>
      </c>
      <c r="AJ77" s="125" cm="1">
        <f t="array" ref="AJ77">+_xll.EQNXTDZ($A$1,$B77,AJ$1,$B$1)</f>
        <v>0</v>
      </c>
      <c r="AK77" s="125" cm="1">
        <f t="array" ref="AK77">+_xll.EQNXTDZ($A$1,$B77,AK$1,$B$1)</f>
        <v>132.32</v>
      </c>
      <c r="AL77" s="125" cm="1">
        <f t="array" ref="AL77">+_xll.EQNXTDZ($A$1,$B77,AL$1,$B$1)</f>
        <v>0</v>
      </c>
      <c r="AM77" s="125" cm="1">
        <f t="array" ref="AM77">+_xll.EQNXTDZ($A$1,$B77,AM$1,$B$1)</f>
        <v>169.15</v>
      </c>
      <c r="AN77" s="125" cm="1">
        <f t="array" ref="AN77">+_xll.EQNXTDZ($A$1,$B77,AN$1,$B$1)</f>
        <v>0</v>
      </c>
      <c r="AO77" s="125" cm="1">
        <f t="array" ref="AO77">+_xll.EQNXTDZ($A$1,$B77,AO$1,$B$1)</f>
        <v>154.75</v>
      </c>
      <c r="AP77" s="125" cm="1">
        <f t="array" ref="AP77">+_xll.EQNXTDZ($A$1,$B77,AP$1,$B$1)</f>
        <v>0</v>
      </c>
      <c r="AQ77" s="125" cm="1">
        <f t="array" ref="AQ77">+_xll.EQNXTDZ($A$1,$B77,AQ$1,$B$1)</f>
        <v>147.79</v>
      </c>
      <c r="AR77" s="125" cm="1">
        <f t="array" ref="AR77">+_xll.EQNXTDZ($A$1,$B77,AR$1,$B$1)</f>
        <v>0</v>
      </c>
      <c r="AS77" s="125" cm="1">
        <f t="array" ref="AS77">+_xll.EQNXTDZ($A$1,$B77,AS$1,$B$1)</f>
        <v>240.01</v>
      </c>
      <c r="AT77" s="125" cm="1">
        <f t="array" ref="AT77">+_xll.EQNXTDZ($A$1,$B77,AT$1,$B$1)</f>
        <v>0</v>
      </c>
      <c r="AU77" s="125" cm="1">
        <f t="array" ref="AU77">+_xll.EQNXTDZ($A$1,$B77,AU$1,$B$1)</f>
        <v>119.96</v>
      </c>
      <c r="AV77" s="125" cm="1">
        <f t="array" ref="AV77">+_xll.EQNXTDZ($A$1,$B77,AV$1,$B$1)</f>
        <v>0</v>
      </c>
      <c r="AW77" s="125" cm="1">
        <f t="array" ref="AW77">+_xll.EQNXTDZ($A$1,$B77,AW$1,$B$1)</f>
        <v>0</v>
      </c>
      <c r="AX77" s="125" cm="1">
        <f t="array" ref="AX77">+_xll.EQNXTDZ($A$1,$B77,AX$1,$B$1)</f>
        <v>0</v>
      </c>
      <c r="AY77" s="125" cm="1">
        <f t="array" ref="AY77">+_xll.EQNXTDZ($A$1,$B77,AY$1,$B$1)</f>
        <v>0</v>
      </c>
      <c r="AZ77" s="125" cm="1">
        <f t="array" ref="AZ77">+_xll.EQNXTDZ($A$1,$B77,AZ$1,$B$1)</f>
        <v>0</v>
      </c>
      <c r="BA77" s="125" cm="1">
        <f t="array" ref="BA77">+_xll.EQNXTDZ($A$1,$B77,BA$1,$B$1)</f>
        <v>0</v>
      </c>
      <c r="BB77" s="125" cm="1">
        <f t="array" ref="BB77">+_xll.EQNXTDZ($A$1,$B77,BB$1,$B$1)</f>
        <v>0</v>
      </c>
      <c r="BC77" s="125" cm="1">
        <f t="array" ref="BC77">+_xll.EQNXTDZ($A$1,$B77,BC$1,$B$1)</f>
        <v>0</v>
      </c>
      <c r="BD77" s="125" cm="1">
        <f t="array" ref="BD77">+_xll.EQNXTDZ($A$1,$B77,BD$1,$B$1)</f>
        <v>0</v>
      </c>
      <c r="BE77" s="125" cm="1">
        <f t="array" ref="BE77">+_xll.EQNXTDZ($A$1,$B77,BE$1,$B$1)</f>
        <v>0</v>
      </c>
      <c r="BF77" s="125" cm="1">
        <f t="array" ref="BF77">+_xll.EQNXTDZ($A$1,$B77,BF$1,$B$1)</f>
        <v>0</v>
      </c>
      <c r="BG77" s="125" cm="1">
        <f t="array" ref="BG77">+_xll.EQNXTDZ($A$1,$B77,BG$1,$B$1)</f>
        <v>0</v>
      </c>
      <c r="BH77" s="125" cm="1">
        <f t="array" ref="BH77">+_xll.EQNXTDZ($A$1,$B77,BH$1,$B$1)</f>
        <v>0</v>
      </c>
      <c r="BI77" s="125" cm="1">
        <f t="array" ref="BI77">+_xll.EQNXTDZ($A$1,$B77,BI$1,$B$1)</f>
        <v>0</v>
      </c>
      <c r="BJ77" s="125" cm="1">
        <f t="array" ref="BJ77">+_xll.EQNXTDZ($A$1,$B77,BJ$1,$B$1)</f>
        <v>0</v>
      </c>
      <c r="BK77" s="125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5" cm="1">
        <f t="array" ref="C78">+_xll.EQNXTDZ($A$1,$B78,C$1,$B$1)</f>
        <v>0</v>
      </c>
      <c r="D78" s="125" cm="1">
        <f t="array" ref="D78">+_xll.EQNXTDZ($A$1,$B78,D$1,$B$1)</f>
        <v>0</v>
      </c>
      <c r="E78" s="125" cm="1">
        <f t="array" ref="E78">+_xll.EQNXTDZ($A$1,$B78,E$1,$B$1)</f>
        <v>0</v>
      </c>
      <c r="F78" s="125" cm="1">
        <f t="array" ref="F78">+_xll.EQNXTDZ($A$1,$B78,F$1,$B$1)</f>
        <v>0</v>
      </c>
      <c r="G78" s="125" cm="1">
        <f t="array" ref="G78">+_xll.EQNXTDZ($A$1,$B78,G$1,$B$1)</f>
        <v>0</v>
      </c>
      <c r="H78" s="125" cm="1">
        <f t="array" ref="H78">+_xll.EQNXTDZ($A$1,$B78,H$1,$B$1)</f>
        <v>0</v>
      </c>
      <c r="I78" s="125" cm="1">
        <f t="array" ref="I78">+_xll.EQNXTDZ($A$1,$B78,I$1,$B$1)</f>
        <v>0</v>
      </c>
      <c r="J78" s="125" cm="1">
        <f t="array" ref="J78">+_xll.EQNXTDZ($A$1,$B78,J$1,$B$1)</f>
        <v>0</v>
      </c>
      <c r="K78" s="125" cm="1">
        <f t="array" ref="K78">+_xll.EQNXTDZ($A$1,$B78,K$1,$B$1)</f>
        <v>0</v>
      </c>
      <c r="L78" s="125" cm="1">
        <f t="array" ref="L78">+_xll.EQNXTDZ($A$1,$B78,L$1,$B$1)</f>
        <v>0</v>
      </c>
      <c r="M78" s="125" cm="1">
        <f t="array" ref="M78">+_xll.EQNXTDZ($A$1,$B78,M$1,$B$1)</f>
        <v>0</v>
      </c>
      <c r="N78" s="125" cm="1">
        <f t="array" ref="N78">+_xll.EQNXTDZ($A$1,$B78,N$1,$B$1)</f>
        <v>0</v>
      </c>
      <c r="O78" s="125" cm="1">
        <f t="array" ref="O78">+_xll.EQNXTDZ($A$1,$B78,O$1,$B$1)</f>
        <v>0.2</v>
      </c>
      <c r="P78" s="125" cm="1">
        <f t="array" ref="P78">+_xll.EQNXTDZ($A$1,$B78,P$1,$B$1)</f>
        <v>0</v>
      </c>
      <c r="Q78" s="125" cm="1">
        <f t="array" ref="Q78">+_xll.EQNXTDZ($A$1,$B78,Q$1,$B$1)</f>
        <v>0.2</v>
      </c>
      <c r="R78" s="125" cm="1">
        <f t="array" ref="R78">+_xll.EQNXTDZ($A$1,$B78,R$1,$B$1)</f>
        <v>0</v>
      </c>
      <c r="S78" s="125" cm="1">
        <f t="array" ref="S78">+_xll.EQNXTDZ($A$1,$B78,S$1,$B$1)</f>
        <v>0.2</v>
      </c>
      <c r="T78" s="125" cm="1">
        <f t="array" ref="T78">+_xll.EQNXTDZ($A$1,$B78,T$1,$B$1)</f>
        <v>0</v>
      </c>
      <c r="U78" s="125" cm="1">
        <f t="array" ref="U78">+_xll.EQNXTDZ($A$1,$B78,U$1,$B$1)</f>
        <v>0.2</v>
      </c>
      <c r="V78" s="125" cm="1">
        <f t="array" ref="V78">+_xll.EQNXTDZ($A$1,$B78,V$1,$B$1)</f>
        <v>0</v>
      </c>
      <c r="W78" s="125" cm="1">
        <f t="array" ref="W78">+_xll.EQNXTDZ($A$1,$B78,W$1,$B$1)</f>
        <v>45.56</v>
      </c>
      <c r="X78" s="125" cm="1">
        <f t="array" ref="X78">+_xll.EQNXTDZ($A$1,$B78,X$1,$B$1)</f>
        <v>0</v>
      </c>
      <c r="Y78" s="125" cm="1">
        <f t="array" ref="Y78">+_xll.EQNXTDZ($A$1,$B78,Y$1,$B$1)</f>
        <v>50.99</v>
      </c>
      <c r="Z78" s="125" cm="1">
        <f t="array" ref="Z78">+_xll.EQNXTDZ($A$1,$B78,Z$1,$B$1)</f>
        <v>0</v>
      </c>
      <c r="AA78" s="125" cm="1">
        <f t="array" ref="AA78">+_xll.EQNXTDZ($A$1,$B78,AA$1,$B$1)</f>
        <v>0.54</v>
      </c>
      <c r="AB78" s="125" cm="1">
        <f t="array" ref="AB78">+_xll.EQNXTDZ($A$1,$B78,AB$1,$B$1)</f>
        <v>0</v>
      </c>
      <c r="AC78" s="125" cm="1">
        <f t="array" ref="AC78">+_xll.EQNXTDZ($A$1,$B78,AC$1,$B$1)</f>
        <v>107.56</v>
      </c>
      <c r="AD78" s="125" cm="1">
        <f t="array" ref="AD78">+_xll.EQNXTDZ($A$1,$B78,AD$1,$B$1)</f>
        <v>0</v>
      </c>
      <c r="AE78" s="125" cm="1">
        <f t="array" ref="AE78">+_xll.EQNXTDZ($A$1,$B78,AE$1,$B$1)</f>
        <v>0.54</v>
      </c>
      <c r="AF78" s="125" cm="1">
        <f t="array" ref="AF78">+_xll.EQNXTDZ($A$1,$B78,AF$1,$B$1)</f>
        <v>0</v>
      </c>
      <c r="AG78" s="125" cm="1">
        <f t="array" ref="AG78">+_xll.EQNXTDZ($A$1,$B78,AG$1,$B$1)</f>
        <v>389.72</v>
      </c>
      <c r="AH78" s="125" cm="1">
        <f t="array" ref="AH78">+_xll.EQNXTDZ($A$1,$B78,AH$1,$B$1)</f>
        <v>0</v>
      </c>
      <c r="AI78" s="125" cm="1">
        <f t="array" ref="AI78">+_xll.EQNXTDZ($A$1,$B78,AI$1,$B$1)</f>
        <v>454.52</v>
      </c>
      <c r="AJ78" s="125" cm="1">
        <f t="array" ref="AJ78">+_xll.EQNXTDZ($A$1,$B78,AJ$1,$B$1)</f>
        <v>0</v>
      </c>
      <c r="AK78" s="125" cm="1">
        <f t="array" ref="AK78">+_xll.EQNXTDZ($A$1,$B78,AK$1,$B$1)</f>
        <v>740.54</v>
      </c>
      <c r="AL78" s="125" cm="1">
        <f t="array" ref="AL78">+_xll.EQNXTDZ($A$1,$B78,AL$1,$B$1)</f>
        <v>0</v>
      </c>
      <c r="AM78" s="125" cm="1">
        <f t="array" ref="AM78">+_xll.EQNXTDZ($A$1,$B78,AM$1,$B$1)</f>
        <v>1438.9</v>
      </c>
      <c r="AN78" s="125" cm="1">
        <f t="array" ref="AN78">+_xll.EQNXTDZ($A$1,$B78,AN$1,$B$1)</f>
        <v>0</v>
      </c>
      <c r="AO78" s="125" cm="1">
        <f t="array" ref="AO78">+_xll.EQNXTDZ($A$1,$B78,AO$1,$B$1)</f>
        <v>1302.52</v>
      </c>
      <c r="AP78" s="125" cm="1">
        <f t="array" ref="AP78">+_xll.EQNXTDZ($A$1,$B78,AP$1,$B$1)</f>
        <v>0</v>
      </c>
      <c r="AQ78" s="125" cm="1">
        <f t="array" ref="AQ78">+_xll.EQNXTDZ($A$1,$B78,AQ$1,$B$1)</f>
        <v>893</v>
      </c>
      <c r="AR78" s="125" cm="1">
        <f t="array" ref="AR78">+_xll.EQNXTDZ($A$1,$B78,AR$1,$B$1)</f>
        <v>0</v>
      </c>
      <c r="AS78" s="125" cm="1">
        <f t="array" ref="AS78">+_xll.EQNXTDZ($A$1,$B78,AS$1,$B$1)</f>
        <v>1238.04</v>
      </c>
      <c r="AT78" s="125" cm="1">
        <f t="array" ref="AT78">+_xll.EQNXTDZ($A$1,$B78,AT$1,$B$1)</f>
        <v>0</v>
      </c>
      <c r="AU78" s="125" cm="1">
        <f t="array" ref="AU78">+_xll.EQNXTDZ($A$1,$B78,AU$1,$B$1)</f>
        <v>1075.3399999999999</v>
      </c>
      <c r="AV78" s="125" cm="1">
        <f t="array" ref="AV78">+_xll.EQNXTDZ($A$1,$B78,AV$1,$B$1)</f>
        <v>0</v>
      </c>
      <c r="AW78" s="125" cm="1">
        <f t="array" ref="AW78">+_xll.EQNXTDZ($A$1,$B78,AW$1,$B$1)</f>
        <v>0</v>
      </c>
      <c r="AX78" s="125" cm="1">
        <f t="array" ref="AX78">+_xll.EQNXTDZ($A$1,$B78,AX$1,$B$1)</f>
        <v>0</v>
      </c>
      <c r="AY78" s="125" cm="1">
        <f t="array" ref="AY78">+_xll.EQNXTDZ($A$1,$B78,AY$1,$B$1)</f>
        <v>0</v>
      </c>
      <c r="AZ78" s="125" cm="1">
        <f t="array" ref="AZ78">+_xll.EQNXTDZ($A$1,$B78,AZ$1,$B$1)</f>
        <v>0</v>
      </c>
      <c r="BA78" s="125" cm="1">
        <f t="array" ref="BA78">+_xll.EQNXTDZ($A$1,$B78,BA$1,$B$1)</f>
        <v>0</v>
      </c>
      <c r="BB78" s="125" cm="1">
        <f t="array" ref="BB78">+_xll.EQNXTDZ($A$1,$B78,BB$1,$B$1)</f>
        <v>0</v>
      </c>
      <c r="BC78" s="125" cm="1">
        <f t="array" ref="BC78">+_xll.EQNXTDZ($A$1,$B78,BC$1,$B$1)</f>
        <v>0</v>
      </c>
      <c r="BD78" s="125" cm="1">
        <f t="array" ref="BD78">+_xll.EQNXTDZ($A$1,$B78,BD$1,$B$1)</f>
        <v>0</v>
      </c>
      <c r="BE78" s="125" cm="1">
        <f t="array" ref="BE78">+_xll.EQNXTDZ($A$1,$B78,BE$1,$B$1)</f>
        <v>0</v>
      </c>
      <c r="BF78" s="125" cm="1">
        <f t="array" ref="BF78">+_xll.EQNXTDZ($A$1,$B78,BF$1,$B$1)</f>
        <v>0</v>
      </c>
      <c r="BG78" s="125" cm="1">
        <f t="array" ref="BG78">+_xll.EQNXTDZ($A$1,$B78,BG$1,$B$1)</f>
        <v>0</v>
      </c>
      <c r="BH78" s="125" cm="1">
        <f t="array" ref="BH78">+_xll.EQNXTDZ($A$1,$B78,BH$1,$B$1)</f>
        <v>0</v>
      </c>
      <c r="BI78" s="125" cm="1">
        <f t="array" ref="BI78">+_xll.EQNXTDZ($A$1,$B78,BI$1,$B$1)</f>
        <v>0</v>
      </c>
      <c r="BJ78" s="125" cm="1">
        <f t="array" ref="BJ78">+_xll.EQNXTDZ($A$1,$B78,BJ$1,$B$1)</f>
        <v>0</v>
      </c>
      <c r="BK78" s="125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5" cm="1">
        <f t="array" ref="C79">+_xll.EQNXTDZ($A$1,$B79,C$1,$B$1)</f>
        <v>0</v>
      </c>
      <c r="D79" s="125" cm="1">
        <f t="array" ref="D79">+_xll.EQNXTDZ($A$1,$B79,D$1,$B$1)</f>
        <v>0</v>
      </c>
      <c r="E79" s="125" cm="1">
        <f t="array" ref="E79">+_xll.EQNXTDZ($A$1,$B79,E$1,$B$1)</f>
        <v>0</v>
      </c>
      <c r="F79" s="125" cm="1">
        <f t="array" ref="F79">+_xll.EQNXTDZ($A$1,$B79,F$1,$B$1)</f>
        <v>0</v>
      </c>
      <c r="G79" s="125" cm="1">
        <f t="array" ref="G79">+_xll.EQNXTDZ($A$1,$B79,G$1,$B$1)</f>
        <v>0</v>
      </c>
      <c r="H79" s="125" cm="1">
        <f t="array" ref="H79">+_xll.EQNXTDZ($A$1,$B79,H$1,$B$1)</f>
        <v>0</v>
      </c>
      <c r="I79" s="125" cm="1">
        <f t="array" ref="I79">+_xll.EQNXTDZ($A$1,$B79,I$1,$B$1)</f>
        <v>0</v>
      </c>
      <c r="J79" s="125" cm="1">
        <f t="array" ref="J79">+_xll.EQNXTDZ($A$1,$B79,J$1,$B$1)</f>
        <v>0</v>
      </c>
      <c r="K79" s="125" cm="1">
        <f t="array" ref="K79">+_xll.EQNXTDZ($A$1,$B79,K$1,$B$1)</f>
        <v>0</v>
      </c>
      <c r="L79" s="125" cm="1">
        <f t="array" ref="L79">+_xll.EQNXTDZ($A$1,$B79,L$1,$B$1)</f>
        <v>0</v>
      </c>
      <c r="M79" s="125" cm="1">
        <f t="array" ref="M79">+_xll.EQNXTDZ($A$1,$B79,M$1,$B$1)</f>
        <v>0</v>
      </c>
      <c r="N79" s="125" cm="1">
        <f t="array" ref="N79">+_xll.EQNXTDZ($A$1,$B79,N$1,$B$1)</f>
        <v>0</v>
      </c>
      <c r="O79" s="125" cm="1">
        <f t="array" ref="O79">+_xll.EQNXTDZ($A$1,$B79,O$1,$B$1)</f>
        <v>0</v>
      </c>
      <c r="P79" s="125" cm="1">
        <f t="array" ref="P79">+_xll.EQNXTDZ($A$1,$B79,P$1,$B$1)</f>
        <v>0</v>
      </c>
      <c r="Q79" s="125" cm="1">
        <f t="array" ref="Q79">+_xll.EQNXTDZ($A$1,$B79,Q$1,$B$1)</f>
        <v>0</v>
      </c>
      <c r="R79" s="125" cm="1">
        <f t="array" ref="R79">+_xll.EQNXTDZ($A$1,$B79,R$1,$B$1)</f>
        <v>0</v>
      </c>
      <c r="S79" s="125" cm="1">
        <f t="array" ref="S79">+_xll.EQNXTDZ($A$1,$B79,S$1,$B$1)</f>
        <v>0</v>
      </c>
      <c r="T79" s="125" cm="1">
        <f t="array" ref="T79">+_xll.EQNXTDZ($A$1,$B79,T$1,$B$1)</f>
        <v>0</v>
      </c>
      <c r="U79" s="125" cm="1">
        <f t="array" ref="U79">+_xll.EQNXTDZ($A$1,$B79,U$1,$B$1)</f>
        <v>0</v>
      </c>
      <c r="V79" s="125" cm="1">
        <f t="array" ref="V79">+_xll.EQNXTDZ($A$1,$B79,V$1,$B$1)</f>
        <v>0</v>
      </c>
      <c r="W79" s="125" cm="1">
        <f t="array" ref="W79">+_xll.EQNXTDZ($A$1,$B79,W$1,$B$1)</f>
        <v>0</v>
      </c>
      <c r="X79" s="125" cm="1">
        <f t="array" ref="X79">+_xll.EQNXTDZ($A$1,$B79,X$1,$B$1)</f>
        <v>0</v>
      </c>
      <c r="Y79" s="125" cm="1">
        <f t="array" ref="Y79">+_xll.EQNXTDZ($A$1,$B79,Y$1,$B$1)</f>
        <v>0</v>
      </c>
      <c r="Z79" s="125" cm="1">
        <f t="array" ref="Z79">+_xll.EQNXTDZ($A$1,$B79,Z$1,$B$1)</f>
        <v>0</v>
      </c>
      <c r="AA79" s="125" cm="1">
        <f t="array" ref="AA79">+_xll.EQNXTDZ($A$1,$B79,AA$1,$B$1)</f>
        <v>0</v>
      </c>
      <c r="AB79" s="125" cm="1">
        <f t="array" ref="AB79">+_xll.EQNXTDZ($A$1,$B79,AB$1,$B$1)</f>
        <v>0</v>
      </c>
      <c r="AC79" s="125" cm="1">
        <f t="array" ref="AC79">+_xll.EQNXTDZ($A$1,$B79,AC$1,$B$1)</f>
        <v>0</v>
      </c>
      <c r="AD79" s="125" cm="1">
        <f t="array" ref="AD79">+_xll.EQNXTDZ($A$1,$B79,AD$1,$B$1)</f>
        <v>0</v>
      </c>
      <c r="AE79" s="125" cm="1">
        <f t="array" ref="AE79">+_xll.EQNXTDZ($A$1,$B79,AE$1,$B$1)</f>
        <v>0</v>
      </c>
      <c r="AF79" s="125" cm="1">
        <f t="array" ref="AF79">+_xll.EQNXTDZ($A$1,$B79,AF$1,$B$1)</f>
        <v>0</v>
      </c>
      <c r="AG79" s="125" cm="1">
        <f t="array" ref="AG79">+_xll.EQNXTDZ($A$1,$B79,AG$1,$B$1)</f>
        <v>0</v>
      </c>
      <c r="AH79" s="125" cm="1">
        <f t="array" ref="AH79">+_xll.EQNXTDZ($A$1,$B79,AH$1,$B$1)</f>
        <v>0</v>
      </c>
      <c r="AI79" s="125" cm="1">
        <f t="array" ref="AI79">+_xll.EQNXTDZ($A$1,$B79,AI$1,$B$1)</f>
        <v>0</v>
      </c>
      <c r="AJ79" s="125" cm="1">
        <f t="array" ref="AJ79">+_xll.EQNXTDZ($A$1,$B79,AJ$1,$B$1)</f>
        <v>0</v>
      </c>
      <c r="AK79" s="125" cm="1">
        <f t="array" ref="AK79">+_xll.EQNXTDZ($A$1,$B79,AK$1,$B$1)</f>
        <v>0</v>
      </c>
      <c r="AL79" s="125" cm="1">
        <f t="array" ref="AL79">+_xll.EQNXTDZ($A$1,$B79,AL$1,$B$1)</f>
        <v>0</v>
      </c>
      <c r="AM79" s="125" cm="1">
        <f t="array" ref="AM79">+_xll.EQNXTDZ($A$1,$B79,AM$1,$B$1)</f>
        <v>0</v>
      </c>
      <c r="AN79" s="125" cm="1">
        <f t="array" ref="AN79">+_xll.EQNXTDZ($A$1,$B79,AN$1,$B$1)</f>
        <v>0</v>
      </c>
      <c r="AO79" s="125" cm="1">
        <f t="array" ref="AO79">+_xll.EQNXTDZ($A$1,$B79,AO$1,$B$1)</f>
        <v>0</v>
      </c>
      <c r="AP79" s="125" cm="1">
        <f t="array" ref="AP79">+_xll.EQNXTDZ($A$1,$B79,AP$1,$B$1)</f>
        <v>0</v>
      </c>
      <c r="AQ79" s="125" cm="1">
        <f t="array" ref="AQ79">+_xll.EQNXTDZ($A$1,$B79,AQ$1,$B$1)</f>
        <v>0</v>
      </c>
      <c r="AR79" s="125" cm="1">
        <f t="array" ref="AR79">+_xll.EQNXTDZ($A$1,$B79,AR$1,$B$1)</f>
        <v>0</v>
      </c>
      <c r="AS79" s="125" cm="1">
        <f t="array" ref="AS79">+_xll.EQNXTDZ($A$1,$B79,AS$1,$B$1)</f>
        <v>0</v>
      </c>
      <c r="AT79" s="125" cm="1">
        <f t="array" ref="AT79">+_xll.EQNXTDZ($A$1,$B79,AT$1,$B$1)</f>
        <v>0</v>
      </c>
      <c r="AU79" s="125" cm="1">
        <f t="array" ref="AU79">+_xll.EQNXTDZ($A$1,$B79,AU$1,$B$1)</f>
        <v>0</v>
      </c>
      <c r="AV79" s="125" cm="1">
        <f t="array" ref="AV79">+_xll.EQNXTDZ($A$1,$B79,AV$1,$B$1)</f>
        <v>0</v>
      </c>
      <c r="AW79" s="125" cm="1">
        <f t="array" ref="AW79">+_xll.EQNXTDZ($A$1,$B79,AW$1,$B$1)</f>
        <v>0</v>
      </c>
      <c r="AX79" s="125" cm="1">
        <f t="array" ref="AX79">+_xll.EQNXTDZ($A$1,$B79,AX$1,$B$1)</f>
        <v>0</v>
      </c>
      <c r="AY79" s="125" cm="1">
        <f t="array" ref="AY79">+_xll.EQNXTDZ($A$1,$B79,AY$1,$B$1)</f>
        <v>0</v>
      </c>
      <c r="AZ79" s="125" cm="1">
        <f t="array" ref="AZ79">+_xll.EQNXTDZ($A$1,$B79,AZ$1,$B$1)</f>
        <v>0</v>
      </c>
      <c r="BA79" s="125" cm="1">
        <f t="array" ref="BA79">+_xll.EQNXTDZ($A$1,$B79,BA$1,$B$1)</f>
        <v>0</v>
      </c>
      <c r="BB79" s="125" cm="1">
        <f t="array" ref="BB79">+_xll.EQNXTDZ($A$1,$B79,BB$1,$B$1)</f>
        <v>0</v>
      </c>
      <c r="BC79" s="125" cm="1">
        <f t="array" ref="BC79">+_xll.EQNXTDZ($A$1,$B79,BC$1,$B$1)</f>
        <v>0</v>
      </c>
      <c r="BD79" s="125" cm="1">
        <f t="array" ref="BD79">+_xll.EQNXTDZ($A$1,$B79,BD$1,$B$1)</f>
        <v>0</v>
      </c>
      <c r="BE79" s="125" cm="1">
        <f t="array" ref="BE79">+_xll.EQNXTDZ($A$1,$B79,BE$1,$B$1)</f>
        <v>0</v>
      </c>
      <c r="BF79" s="125" cm="1">
        <f t="array" ref="BF79">+_xll.EQNXTDZ($A$1,$B79,BF$1,$B$1)</f>
        <v>0</v>
      </c>
      <c r="BG79" s="125" cm="1">
        <f t="array" ref="BG79">+_xll.EQNXTDZ($A$1,$B79,BG$1,$B$1)</f>
        <v>0</v>
      </c>
      <c r="BH79" s="125" cm="1">
        <f t="array" ref="BH79">+_xll.EQNXTDZ($A$1,$B79,BH$1,$B$1)</f>
        <v>0</v>
      </c>
      <c r="BI79" s="125" cm="1">
        <f t="array" ref="BI79">+_xll.EQNXTDZ($A$1,$B79,BI$1,$B$1)</f>
        <v>0</v>
      </c>
      <c r="BJ79" s="125" cm="1">
        <f t="array" ref="BJ79">+_xll.EQNXTDZ($A$1,$B79,BJ$1,$B$1)</f>
        <v>0</v>
      </c>
      <c r="BK79" s="125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5" cm="1">
        <f t="array" ref="C80">+_xll.EQNXTDZ($A$1,$B80,C$1,$B$1)</f>
        <v>0</v>
      </c>
      <c r="D80" s="125" cm="1">
        <f t="array" ref="D80">+_xll.EQNXTDZ($A$1,$B80,D$1,$B$1)</f>
        <v>0</v>
      </c>
      <c r="E80" s="125" cm="1">
        <f t="array" ref="E80">+_xll.EQNXTDZ($A$1,$B80,E$1,$B$1)</f>
        <v>0</v>
      </c>
      <c r="F80" s="125" cm="1">
        <f t="array" ref="F80">+_xll.EQNXTDZ($A$1,$B80,F$1,$B$1)</f>
        <v>0</v>
      </c>
      <c r="G80" s="125" cm="1">
        <f t="array" ref="G80">+_xll.EQNXTDZ($A$1,$B80,G$1,$B$1)</f>
        <v>0</v>
      </c>
      <c r="H80" s="125" cm="1">
        <f t="array" ref="H80">+_xll.EQNXTDZ($A$1,$B80,H$1,$B$1)</f>
        <v>0</v>
      </c>
      <c r="I80" s="125" cm="1">
        <f t="array" ref="I80">+_xll.EQNXTDZ($A$1,$B80,I$1,$B$1)</f>
        <v>0</v>
      </c>
      <c r="J80" s="125" cm="1">
        <f t="array" ref="J80">+_xll.EQNXTDZ($A$1,$B80,J$1,$B$1)</f>
        <v>0</v>
      </c>
      <c r="K80" s="125" cm="1">
        <f t="array" ref="K80">+_xll.EQNXTDZ($A$1,$B80,K$1,$B$1)</f>
        <v>0</v>
      </c>
      <c r="L80" s="125" cm="1">
        <f t="array" ref="L80">+_xll.EQNXTDZ($A$1,$B80,L$1,$B$1)</f>
        <v>0</v>
      </c>
      <c r="M80" s="125" cm="1">
        <f t="array" ref="M80">+_xll.EQNXTDZ($A$1,$B80,M$1,$B$1)</f>
        <v>0</v>
      </c>
      <c r="N80" s="125" cm="1">
        <f t="array" ref="N80">+_xll.EQNXTDZ($A$1,$B80,N$1,$B$1)</f>
        <v>0</v>
      </c>
      <c r="O80" s="125" cm="1">
        <f t="array" ref="O80">+_xll.EQNXTDZ($A$1,$B80,O$1,$B$1)</f>
        <v>5.46</v>
      </c>
      <c r="P80" s="125" cm="1">
        <f t="array" ref="P80">+_xll.EQNXTDZ($A$1,$B80,P$1,$B$1)</f>
        <v>0</v>
      </c>
      <c r="Q80" s="125" cm="1">
        <f t="array" ref="Q80">+_xll.EQNXTDZ($A$1,$B80,Q$1,$B$1)</f>
        <v>0</v>
      </c>
      <c r="R80" s="125" cm="1">
        <f t="array" ref="R80">+_xll.EQNXTDZ($A$1,$B80,R$1,$B$1)</f>
        <v>0</v>
      </c>
      <c r="S80" s="125" cm="1">
        <f t="array" ref="S80">+_xll.EQNXTDZ($A$1,$B80,S$1,$B$1)</f>
        <v>0.09</v>
      </c>
      <c r="T80" s="125" cm="1">
        <f t="array" ref="T80">+_xll.EQNXTDZ($A$1,$B80,T$1,$B$1)</f>
        <v>0</v>
      </c>
      <c r="U80" s="125" cm="1">
        <f t="array" ref="U80">+_xll.EQNXTDZ($A$1,$B80,U$1,$B$1)</f>
        <v>0.31</v>
      </c>
      <c r="V80" s="125" cm="1">
        <f t="array" ref="V80">+_xll.EQNXTDZ($A$1,$B80,V$1,$B$1)</f>
        <v>0</v>
      </c>
      <c r="W80" s="125" cm="1">
        <f t="array" ref="W80">+_xll.EQNXTDZ($A$1,$B80,W$1,$B$1)</f>
        <v>0.22</v>
      </c>
      <c r="X80" s="125" cm="1">
        <f t="array" ref="X80">+_xll.EQNXTDZ($A$1,$B80,X$1,$B$1)</f>
        <v>0</v>
      </c>
      <c r="Y80" s="125" cm="1">
        <f t="array" ref="Y80">+_xll.EQNXTDZ($A$1,$B80,Y$1,$B$1)</f>
        <v>0</v>
      </c>
      <c r="Z80" s="125" cm="1">
        <f t="array" ref="Z80">+_xll.EQNXTDZ($A$1,$B80,Z$1,$B$1)</f>
        <v>0</v>
      </c>
      <c r="AA80" s="125" cm="1">
        <f t="array" ref="AA80">+_xll.EQNXTDZ($A$1,$B80,AA$1,$B$1)</f>
        <v>0</v>
      </c>
      <c r="AB80" s="125" cm="1">
        <f t="array" ref="AB80">+_xll.EQNXTDZ($A$1,$B80,AB$1,$B$1)</f>
        <v>0</v>
      </c>
      <c r="AC80" s="125" cm="1">
        <f t="array" ref="AC80">+_xll.EQNXTDZ($A$1,$B80,AC$1,$B$1)</f>
        <v>0</v>
      </c>
      <c r="AD80" s="125" cm="1">
        <f t="array" ref="AD80">+_xll.EQNXTDZ($A$1,$B80,AD$1,$B$1)</f>
        <v>0</v>
      </c>
      <c r="AE80" s="125" cm="1">
        <f t="array" ref="AE80">+_xll.EQNXTDZ($A$1,$B80,AE$1,$B$1)</f>
        <v>0</v>
      </c>
      <c r="AF80" s="125" cm="1">
        <f t="array" ref="AF80">+_xll.EQNXTDZ($A$1,$B80,AF$1,$B$1)</f>
        <v>0</v>
      </c>
      <c r="AG80" s="125" cm="1">
        <f t="array" ref="AG80">+_xll.EQNXTDZ($A$1,$B80,AG$1,$B$1)</f>
        <v>0</v>
      </c>
      <c r="AH80" s="125" cm="1">
        <f t="array" ref="AH80">+_xll.EQNXTDZ($A$1,$B80,AH$1,$B$1)</f>
        <v>0</v>
      </c>
      <c r="AI80" s="125" cm="1">
        <f t="array" ref="AI80">+_xll.EQNXTDZ($A$1,$B80,AI$1,$B$1)</f>
        <v>0</v>
      </c>
      <c r="AJ80" s="125" cm="1">
        <f t="array" ref="AJ80">+_xll.EQNXTDZ($A$1,$B80,AJ$1,$B$1)</f>
        <v>0</v>
      </c>
      <c r="AK80" s="125" cm="1">
        <f t="array" ref="AK80">+_xll.EQNXTDZ($A$1,$B80,AK$1,$B$1)</f>
        <v>0</v>
      </c>
      <c r="AL80" s="125" cm="1">
        <f t="array" ref="AL80">+_xll.EQNXTDZ($A$1,$B80,AL$1,$B$1)</f>
        <v>0</v>
      </c>
      <c r="AM80" s="125" cm="1">
        <f t="array" ref="AM80">+_xll.EQNXTDZ($A$1,$B80,AM$1,$B$1)</f>
        <v>0</v>
      </c>
      <c r="AN80" s="125" cm="1">
        <f t="array" ref="AN80">+_xll.EQNXTDZ($A$1,$B80,AN$1,$B$1)</f>
        <v>0</v>
      </c>
      <c r="AO80" s="125" cm="1">
        <f t="array" ref="AO80">+_xll.EQNXTDZ($A$1,$B80,AO$1,$B$1)</f>
        <v>0</v>
      </c>
      <c r="AP80" s="125" cm="1">
        <f t="array" ref="AP80">+_xll.EQNXTDZ($A$1,$B80,AP$1,$B$1)</f>
        <v>0</v>
      </c>
      <c r="AQ80" s="125" cm="1">
        <f t="array" ref="AQ80">+_xll.EQNXTDZ($A$1,$B80,AQ$1,$B$1)</f>
        <v>0</v>
      </c>
      <c r="AR80" s="125" cm="1">
        <f t="array" ref="AR80">+_xll.EQNXTDZ($A$1,$B80,AR$1,$B$1)</f>
        <v>0</v>
      </c>
      <c r="AS80" s="125" cm="1">
        <f t="array" ref="AS80">+_xll.EQNXTDZ($A$1,$B80,AS$1,$B$1)</f>
        <v>0</v>
      </c>
      <c r="AT80" s="125" cm="1">
        <f t="array" ref="AT80">+_xll.EQNXTDZ($A$1,$B80,AT$1,$B$1)</f>
        <v>0</v>
      </c>
      <c r="AU80" s="125" cm="1">
        <f t="array" ref="AU80">+_xll.EQNXTDZ($A$1,$B80,AU$1,$B$1)</f>
        <v>0</v>
      </c>
      <c r="AV80" s="125" cm="1">
        <f t="array" ref="AV80">+_xll.EQNXTDZ($A$1,$B80,AV$1,$B$1)</f>
        <v>0</v>
      </c>
      <c r="AW80" s="125" cm="1">
        <f t="array" ref="AW80">+_xll.EQNXTDZ($A$1,$B80,AW$1,$B$1)</f>
        <v>0</v>
      </c>
      <c r="AX80" s="125" cm="1">
        <f t="array" ref="AX80">+_xll.EQNXTDZ($A$1,$B80,AX$1,$B$1)</f>
        <v>0</v>
      </c>
      <c r="AY80" s="125" cm="1">
        <f t="array" ref="AY80">+_xll.EQNXTDZ($A$1,$B80,AY$1,$B$1)</f>
        <v>0</v>
      </c>
      <c r="AZ80" s="125" cm="1">
        <f t="array" ref="AZ80">+_xll.EQNXTDZ($A$1,$B80,AZ$1,$B$1)</f>
        <v>0</v>
      </c>
      <c r="BA80" s="125" cm="1">
        <f t="array" ref="BA80">+_xll.EQNXTDZ($A$1,$B80,BA$1,$B$1)</f>
        <v>0</v>
      </c>
      <c r="BB80" s="125" cm="1">
        <f t="array" ref="BB80">+_xll.EQNXTDZ($A$1,$B80,BB$1,$B$1)</f>
        <v>0</v>
      </c>
      <c r="BC80" s="125" cm="1">
        <f t="array" ref="BC80">+_xll.EQNXTDZ($A$1,$B80,BC$1,$B$1)</f>
        <v>0</v>
      </c>
      <c r="BD80" s="125" cm="1">
        <f t="array" ref="BD80">+_xll.EQNXTDZ($A$1,$B80,BD$1,$B$1)</f>
        <v>0</v>
      </c>
      <c r="BE80" s="125" cm="1">
        <f t="array" ref="BE80">+_xll.EQNXTDZ($A$1,$B80,BE$1,$B$1)</f>
        <v>0</v>
      </c>
      <c r="BF80" s="125" cm="1">
        <f t="array" ref="BF80">+_xll.EQNXTDZ($A$1,$B80,BF$1,$B$1)</f>
        <v>0</v>
      </c>
      <c r="BG80" s="125" cm="1">
        <f t="array" ref="BG80">+_xll.EQNXTDZ($A$1,$B80,BG$1,$B$1)</f>
        <v>0</v>
      </c>
      <c r="BH80" s="125" cm="1">
        <f t="array" ref="BH80">+_xll.EQNXTDZ($A$1,$B80,BH$1,$B$1)</f>
        <v>0</v>
      </c>
      <c r="BI80" s="125" cm="1">
        <f t="array" ref="BI80">+_xll.EQNXTDZ($A$1,$B80,BI$1,$B$1)</f>
        <v>0</v>
      </c>
      <c r="BJ80" s="125" cm="1">
        <f t="array" ref="BJ80">+_xll.EQNXTDZ($A$1,$B80,BJ$1,$B$1)</f>
        <v>0</v>
      </c>
      <c r="BK80" s="125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5" cm="1">
        <f t="array" ref="C81">+_xll.EQNXTDZ($A$1,$B81,C$1,$B$1)</f>
        <v>0</v>
      </c>
      <c r="D81" s="125" cm="1">
        <f t="array" ref="D81">+_xll.EQNXTDZ($A$1,$B81,D$1,$B$1)</f>
        <v>0</v>
      </c>
      <c r="E81" s="125" cm="1">
        <f t="array" ref="E81">+_xll.EQNXTDZ($A$1,$B81,E$1,$B$1)</f>
        <v>0</v>
      </c>
      <c r="F81" s="125" cm="1">
        <f t="array" ref="F81">+_xll.EQNXTDZ($A$1,$B81,F$1,$B$1)</f>
        <v>0</v>
      </c>
      <c r="G81" s="125" cm="1">
        <f t="array" ref="G81">+_xll.EQNXTDZ($A$1,$B81,G$1,$B$1)</f>
        <v>0</v>
      </c>
      <c r="H81" s="125" cm="1">
        <f t="array" ref="H81">+_xll.EQNXTDZ($A$1,$B81,H$1,$B$1)</f>
        <v>0</v>
      </c>
      <c r="I81" s="125" cm="1">
        <f t="array" ref="I81">+_xll.EQNXTDZ($A$1,$B81,I$1,$B$1)</f>
        <v>0</v>
      </c>
      <c r="J81" s="125" cm="1">
        <f t="array" ref="J81">+_xll.EQNXTDZ($A$1,$B81,J$1,$B$1)</f>
        <v>0</v>
      </c>
      <c r="K81" s="125" cm="1">
        <f t="array" ref="K81">+_xll.EQNXTDZ($A$1,$B81,K$1,$B$1)</f>
        <v>0</v>
      </c>
      <c r="L81" s="125" cm="1">
        <f t="array" ref="L81">+_xll.EQNXTDZ($A$1,$B81,L$1,$B$1)</f>
        <v>0</v>
      </c>
      <c r="M81" s="125" cm="1">
        <f t="array" ref="M81">+_xll.EQNXTDZ($A$1,$B81,M$1,$B$1)</f>
        <v>0</v>
      </c>
      <c r="N81" s="125" cm="1">
        <f t="array" ref="N81">+_xll.EQNXTDZ($A$1,$B81,N$1,$B$1)</f>
        <v>0</v>
      </c>
      <c r="O81" s="125" cm="1">
        <f t="array" ref="O81">+_xll.EQNXTDZ($A$1,$B81,O$1,$B$1)</f>
        <v>143.06</v>
      </c>
      <c r="P81" s="125" cm="1">
        <f t="array" ref="P81">+_xll.EQNXTDZ($A$1,$B81,P$1,$B$1)</f>
        <v>0</v>
      </c>
      <c r="Q81" s="125" cm="1">
        <f t="array" ref="Q81">+_xll.EQNXTDZ($A$1,$B81,Q$1,$B$1)</f>
        <v>411.25</v>
      </c>
      <c r="R81" s="125" cm="1">
        <f t="array" ref="R81">+_xll.EQNXTDZ($A$1,$B81,R$1,$B$1)</f>
        <v>0</v>
      </c>
      <c r="S81" s="125" cm="1">
        <f t="array" ref="S81">+_xll.EQNXTDZ($A$1,$B81,S$1,$B$1)</f>
        <v>615.54999999999995</v>
      </c>
      <c r="T81" s="125" cm="1">
        <f t="array" ref="T81">+_xll.EQNXTDZ($A$1,$B81,T$1,$B$1)</f>
        <v>0</v>
      </c>
      <c r="U81" s="125" cm="1">
        <f t="array" ref="U81">+_xll.EQNXTDZ($A$1,$B81,U$1,$B$1)</f>
        <v>677.98</v>
      </c>
      <c r="V81" s="125" cm="1">
        <f t="array" ref="V81">+_xll.EQNXTDZ($A$1,$B81,V$1,$B$1)</f>
        <v>0</v>
      </c>
      <c r="W81" s="125" cm="1">
        <f t="array" ref="W81">+_xll.EQNXTDZ($A$1,$B81,W$1,$B$1)</f>
        <v>717.64</v>
      </c>
      <c r="X81" s="125" cm="1">
        <f t="array" ref="X81">+_xll.EQNXTDZ($A$1,$B81,X$1,$B$1)</f>
        <v>0</v>
      </c>
      <c r="Y81" s="125" cm="1">
        <f t="array" ref="Y81">+_xll.EQNXTDZ($A$1,$B81,Y$1,$B$1)</f>
        <v>1855.39</v>
      </c>
      <c r="Z81" s="125" cm="1">
        <f t="array" ref="Z81">+_xll.EQNXTDZ($A$1,$B81,Z$1,$B$1)</f>
        <v>0</v>
      </c>
      <c r="AA81" s="125" cm="1">
        <f t="array" ref="AA81">+_xll.EQNXTDZ($A$1,$B81,AA$1,$B$1)</f>
        <v>2484.38</v>
      </c>
      <c r="AB81" s="125" cm="1">
        <f t="array" ref="AB81">+_xll.EQNXTDZ($A$1,$B81,AB$1,$B$1)</f>
        <v>0</v>
      </c>
      <c r="AC81" s="125" cm="1">
        <f t="array" ref="AC81">+_xll.EQNXTDZ($A$1,$B81,AC$1,$B$1)</f>
        <v>1515.9</v>
      </c>
      <c r="AD81" s="125" cm="1">
        <f t="array" ref="AD81">+_xll.EQNXTDZ($A$1,$B81,AD$1,$B$1)</f>
        <v>0</v>
      </c>
      <c r="AE81" s="125" cm="1">
        <f t="array" ref="AE81">+_xll.EQNXTDZ($A$1,$B81,AE$1,$B$1)</f>
        <v>1761.39</v>
      </c>
      <c r="AF81" s="125" cm="1">
        <f t="array" ref="AF81">+_xll.EQNXTDZ($A$1,$B81,AF$1,$B$1)</f>
        <v>0</v>
      </c>
      <c r="AG81" s="125" cm="1">
        <f t="array" ref="AG81">+_xll.EQNXTDZ($A$1,$B81,AG$1,$B$1)</f>
        <v>757.86</v>
      </c>
      <c r="AH81" s="125" cm="1">
        <f t="array" ref="AH81">+_xll.EQNXTDZ($A$1,$B81,AH$1,$B$1)</f>
        <v>0</v>
      </c>
      <c r="AI81" s="125" cm="1">
        <f t="array" ref="AI81">+_xll.EQNXTDZ($A$1,$B81,AI$1,$B$1)</f>
        <v>1436.43</v>
      </c>
      <c r="AJ81" s="125" cm="1">
        <f t="array" ref="AJ81">+_xll.EQNXTDZ($A$1,$B81,AJ$1,$B$1)</f>
        <v>0</v>
      </c>
      <c r="AK81" s="125" cm="1">
        <f t="array" ref="AK81">+_xll.EQNXTDZ($A$1,$B81,AK$1,$B$1)</f>
        <v>1408.3</v>
      </c>
      <c r="AL81" s="125" cm="1">
        <f t="array" ref="AL81">+_xll.EQNXTDZ($A$1,$B81,AL$1,$B$1)</f>
        <v>0</v>
      </c>
      <c r="AM81" s="125" cm="1">
        <f t="array" ref="AM81">+_xll.EQNXTDZ($A$1,$B81,AM$1,$B$1)</f>
        <v>1313.91</v>
      </c>
      <c r="AN81" s="125" cm="1">
        <f t="array" ref="AN81">+_xll.EQNXTDZ($A$1,$B81,AN$1,$B$1)</f>
        <v>0</v>
      </c>
      <c r="AO81" s="125" cm="1">
        <f t="array" ref="AO81">+_xll.EQNXTDZ($A$1,$B81,AO$1,$B$1)</f>
        <v>733.21</v>
      </c>
      <c r="AP81" s="125" cm="1">
        <f t="array" ref="AP81">+_xll.EQNXTDZ($A$1,$B81,AP$1,$B$1)</f>
        <v>0</v>
      </c>
      <c r="AQ81" s="125" cm="1">
        <f t="array" ref="AQ81">+_xll.EQNXTDZ($A$1,$B81,AQ$1,$B$1)</f>
        <v>1442.96</v>
      </c>
      <c r="AR81" s="125" cm="1">
        <f t="array" ref="AR81">+_xll.EQNXTDZ($A$1,$B81,AR$1,$B$1)</f>
        <v>0</v>
      </c>
      <c r="AS81" s="125" cm="1">
        <f t="array" ref="AS81">+_xll.EQNXTDZ($A$1,$B81,AS$1,$B$1)</f>
        <v>937.46</v>
      </c>
      <c r="AT81" s="125" cm="1">
        <f t="array" ref="AT81">+_xll.EQNXTDZ($A$1,$B81,AT$1,$B$1)</f>
        <v>0</v>
      </c>
      <c r="AU81" s="125" cm="1">
        <f t="array" ref="AU81">+_xll.EQNXTDZ($A$1,$B81,AU$1,$B$1)</f>
        <v>1327</v>
      </c>
      <c r="AV81" s="125" cm="1">
        <f t="array" ref="AV81">+_xll.EQNXTDZ($A$1,$B81,AV$1,$B$1)</f>
        <v>0</v>
      </c>
      <c r="AW81" s="125" cm="1">
        <f t="array" ref="AW81">+_xll.EQNXTDZ($A$1,$B81,AW$1,$B$1)</f>
        <v>0</v>
      </c>
      <c r="AX81" s="125" cm="1">
        <f t="array" ref="AX81">+_xll.EQNXTDZ($A$1,$B81,AX$1,$B$1)</f>
        <v>0</v>
      </c>
      <c r="AY81" s="125" cm="1">
        <f t="array" ref="AY81">+_xll.EQNXTDZ($A$1,$B81,AY$1,$B$1)</f>
        <v>0</v>
      </c>
      <c r="AZ81" s="125" cm="1">
        <f t="array" ref="AZ81">+_xll.EQNXTDZ($A$1,$B81,AZ$1,$B$1)</f>
        <v>0</v>
      </c>
      <c r="BA81" s="125" cm="1">
        <f t="array" ref="BA81">+_xll.EQNXTDZ($A$1,$B81,BA$1,$B$1)</f>
        <v>0</v>
      </c>
      <c r="BB81" s="125" cm="1">
        <f t="array" ref="BB81">+_xll.EQNXTDZ($A$1,$B81,BB$1,$B$1)</f>
        <v>0</v>
      </c>
      <c r="BC81" s="125" cm="1">
        <f t="array" ref="BC81">+_xll.EQNXTDZ($A$1,$B81,BC$1,$B$1)</f>
        <v>0</v>
      </c>
      <c r="BD81" s="125" cm="1">
        <f t="array" ref="BD81">+_xll.EQNXTDZ($A$1,$B81,BD$1,$B$1)</f>
        <v>0</v>
      </c>
      <c r="BE81" s="125" cm="1">
        <f t="array" ref="BE81">+_xll.EQNXTDZ($A$1,$B81,BE$1,$B$1)</f>
        <v>0</v>
      </c>
      <c r="BF81" s="125" cm="1">
        <f t="array" ref="BF81">+_xll.EQNXTDZ($A$1,$B81,BF$1,$B$1)</f>
        <v>0</v>
      </c>
      <c r="BG81" s="125" cm="1">
        <f t="array" ref="BG81">+_xll.EQNXTDZ($A$1,$B81,BG$1,$B$1)</f>
        <v>0</v>
      </c>
      <c r="BH81" s="125" cm="1">
        <f t="array" ref="BH81">+_xll.EQNXTDZ($A$1,$B81,BH$1,$B$1)</f>
        <v>0</v>
      </c>
      <c r="BI81" s="125" cm="1">
        <f t="array" ref="BI81">+_xll.EQNXTDZ($A$1,$B81,BI$1,$B$1)</f>
        <v>0</v>
      </c>
      <c r="BJ81" s="125" cm="1">
        <f t="array" ref="BJ81">+_xll.EQNXTDZ($A$1,$B81,BJ$1,$B$1)</f>
        <v>0</v>
      </c>
      <c r="BK81" s="125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5" cm="1">
        <f t="array" ref="C82">+_xll.EQNXTDZ($A$1,$B82,C$1,$B$1)</f>
        <v>0</v>
      </c>
      <c r="D82" s="125" cm="1">
        <f t="array" ref="D82">+_xll.EQNXTDZ($A$1,$B82,D$1,$B$1)</f>
        <v>0</v>
      </c>
      <c r="E82" s="125" cm="1">
        <f t="array" ref="E82">+_xll.EQNXTDZ($A$1,$B82,E$1,$B$1)</f>
        <v>0</v>
      </c>
      <c r="F82" s="125" cm="1">
        <f t="array" ref="F82">+_xll.EQNXTDZ($A$1,$B82,F$1,$B$1)</f>
        <v>0</v>
      </c>
      <c r="G82" s="125" cm="1">
        <f t="array" ref="G82">+_xll.EQNXTDZ($A$1,$B82,G$1,$B$1)</f>
        <v>0</v>
      </c>
      <c r="H82" s="125" cm="1">
        <f t="array" ref="H82">+_xll.EQNXTDZ($A$1,$B82,H$1,$B$1)</f>
        <v>0</v>
      </c>
      <c r="I82" s="125" cm="1">
        <f t="array" ref="I82">+_xll.EQNXTDZ($A$1,$B82,I$1,$B$1)</f>
        <v>0</v>
      </c>
      <c r="J82" s="125" cm="1">
        <f t="array" ref="J82">+_xll.EQNXTDZ($A$1,$B82,J$1,$B$1)</f>
        <v>0</v>
      </c>
      <c r="K82" s="125" cm="1">
        <f t="array" ref="K82">+_xll.EQNXTDZ($A$1,$B82,K$1,$B$1)</f>
        <v>0</v>
      </c>
      <c r="L82" s="125" cm="1">
        <f t="array" ref="L82">+_xll.EQNXTDZ($A$1,$B82,L$1,$B$1)</f>
        <v>0</v>
      </c>
      <c r="M82" s="125" cm="1">
        <f t="array" ref="M82">+_xll.EQNXTDZ($A$1,$B82,M$1,$B$1)</f>
        <v>0</v>
      </c>
      <c r="N82" s="125" cm="1">
        <f t="array" ref="N82">+_xll.EQNXTDZ($A$1,$B82,N$1,$B$1)</f>
        <v>0</v>
      </c>
      <c r="O82" s="125" cm="1">
        <f t="array" ref="O82">+_xll.EQNXTDZ($A$1,$B82,O$1,$B$1)</f>
        <v>12.56</v>
      </c>
      <c r="P82" s="125" cm="1">
        <f t="array" ref="P82">+_xll.EQNXTDZ($A$1,$B82,P$1,$B$1)</f>
        <v>0</v>
      </c>
      <c r="Q82" s="125" cm="1">
        <f t="array" ref="Q82">+_xll.EQNXTDZ($A$1,$B82,Q$1,$B$1)</f>
        <v>37.64</v>
      </c>
      <c r="R82" s="125" cm="1">
        <f t="array" ref="R82">+_xll.EQNXTDZ($A$1,$B82,R$1,$B$1)</f>
        <v>0</v>
      </c>
      <c r="S82" s="125" cm="1">
        <f t="array" ref="S82">+_xll.EQNXTDZ($A$1,$B82,S$1,$B$1)</f>
        <v>46.7</v>
      </c>
      <c r="T82" s="125" cm="1">
        <f t="array" ref="T82">+_xll.EQNXTDZ($A$1,$B82,T$1,$B$1)</f>
        <v>0</v>
      </c>
      <c r="U82" s="125" cm="1">
        <f t="array" ref="U82">+_xll.EQNXTDZ($A$1,$B82,U$1,$B$1)</f>
        <v>32.1</v>
      </c>
      <c r="V82" s="125" cm="1">
        <f t="array" ref="V82">+_xll.EQNXTDZ($A$1,$B82,V$1,$B$1)</f>
        <v>0</v>
      </c>
      <c r="W82" s="125" cm="1">
        <f t="array" ref="W82">+_xll.EQNXTDZ($A$1,$B82,W$1,$B$1)</f>
        <v>58.36</v>
      </c>
      <c r="X82" s="125" cm="1">
        <f t="array" ref="X82">+_xll.EQNXTDZ($A$1,$B82,X$1,$B$1)</f>
        <v>0</v>
      </c>
      <c r="Y82" s="125" cm="1">
        <f t="array" ref="Y82">+_xll.EQNXTDZ($A$1,$B82,Y$1,$B$1)</f>
        <v>47.51</v>
      </c>
      <c r="Z82" s="125" cm="1">
        <f t="array" ref="Z82">+_xll.EQNXTDZ($A$1,$B82,Z$1,$B$1)</f>
        <v>0</v>
      </c>
      <c r="AA82" s="125" cm="1">
        <f t="array" ref="AA82">+_xll.EQNXTDZ($A$1,$B82,AA$1,$B$1)</f>
        <v>132.44999999999999</v>
      </c>
      <c r="AB82" s="125" cm="1">
        <f t="array" ref="AB82">+_xll.EQNXTDZ($A$1,$B82,AB$1,$B$1)</f>
        <v>0</v>
      </c>
      <c r="AC82" s="125" cm="1">
        <f t="array" ref="AC82">+_xll.EQNXTDZ($A$1,$B82,AC$1,$B$1)</f>
        <v>97.37</v>
      </c>
      <c r="AD82" s="125" cm="1">
        <f t="array" ref="AD82">+_xll.EQNXTDZ($A$1,$B82,AD$1,$B$1)</f>
        <v>0</v>
      </c>
      <c r="AE82" s="125" cm="1">
        <f t="array" ref="AE82">+_xll.EQNXTDZ($A$1,$B82,AE$1,$B$1)</f>
        <v>118.48</v>
      </c>
      <c r="AF82" s="125" cm="1">
        <f t="array" ref="AF82">+_xll.EQNXTDZ($A$1,$B82,AF$1,$B$1)</f>
        <v>0</v>
      </c>
      <c r="AG82" s="125" cm="1">
        <f t="array" ref="AG82">+_xll.EQNXTDZ($A$1,$B82,AG$1,$B$1)</f>
        <v>110.84</v>
      </c>
      <c r="AH82" s="125" cm="1">
        <f t="array" ref="AH82">+_xll.EQNXTDZ($A$1,$B82,AH$1,$B$1)</f>
        <v>0</v>
      </c>
      <c r="AI82" s="125" cm="1">
        <f t="array" ref="AI82">+_xll.EQNXTDZ($A$1,$B82,AI$1,$B$1)</f>
        <v>181.22</v>
      </c>
      <c r="AJ82" s="125" cm="1">
        <f t="array" ref="AJ82">+_xll.EQNXTDZ($A$1,$B82,AJ$1,$B$1)</f>
        <v>0</v>
      </c>
      <c r="AK82" s="125" cm="1">
        <f t="array" ref="AK82">+_xll.EQNXTDZ($A$1,$B82,AK$1,$B$1)</f>
        <v>173.73</v>
      </c>
      <c r="AL82" s="125" cm="1">
        <f t="array" ref="AL82">+_xll.EQNXTDZ($A$1,$B82,AL$1,$B$1)</f>
        <v>0</v>
      </c>
      <c r="AM82" s="125" cm="1">
        <f t="array" ref="AM82">+_xll.EQNXTDZ($A$1,$B82,AM$1,$B$1)</f>
        <v>182.61</v>
      </c>
      <c r="AN82" s="125" cm="1">
        <f t="array" ref="AN82">+_xll.EQNXTDZ($A$1,$B82,AN$1,$B$1)</f>
        <v>0</v>
      </c>
      <c r="AO82" s="125" cm="1">
        <f t="array" ref="AO82">+_xll.EQNXTDZ($A$1,$B82,AO$1,$B$1)</f>
        <v>148.97</v>
      </c>
      <c r="AP82" s="125" cm="1">
        <f t="array" ref="AP82">+_xll.EQNXTDZ($A$1,$B82,AP$1,$B$1)</f>
        <v>0</v>
      </c>
      <c r="AQ82" s="125" cm="1">
        <f t="array" ref="AQ82">+_xll.EQNXTDZ($A$1,$B82,AQ$1,$B$1)</f>
        <v>169.04</v>
      </c>
      <c r="AR82" s="125" cm="1">
        <f t="array" ref="AR82">+_xll.EQNXTDZ($A$1,$B82,AR$1,$B$1)</f>
        <v>0</v>
      </c>
      <c r="AS82" s="125" cm="1">
        <f t="array" ref="AS82">+_xll.EQNXTDZ($A$1,$B82,AS$1,$B$1)</f>
        <v>342.44</v>
      </c>
      <c r="AT82" s="125" cm="1">
        <f t="array" ref="AT82">+_xll.EQNXTDZ($A$1,$B82,AT$1,$B$1)</f>
        <v>0</v>
      </c>
      <c r="AU82" s="125" cm="1">
        <f t="array" ref="AU82">+_xll.EQNXTDZ($A$1,$B82,AU$1,$B$1)</f>
        <v>657.21</v>
      </c>
      <c r="AV82" s="125" cm="1">
        <f t="array" ref="AV82">+_xll.EQNXTDZ($A$1,$B82,AV$1,$B$1)</f>
        <v>0</v>
      </c>
      <c r="AW82" s="125" cm="1">
        <f t="array" ref="AW82">+_xll.EQNXTDZ($A$1,$B82,AW$1,$B$1)</f>
        <v>0</v>
      </c>
      <c r="AX82" s="125" cm="1">
        <f t="array" ref="AX82">+_xll.EQNXTDZ($A$1,$B82,AX$1,$B$1)</f>
        <v>0</v>
      </c>
      <c r="AY82" s="125" cm="1">
        <f t="array" ref="AY82">+_xll.EQNXTDZ($A$1,$B82,AY$1,$B$1)</f>
        <v>0</v>
      </c>
      <c r="AZ82" s="125" cm="1">
        <f t="array" ref="AZ82">+_xll.EQNXTDZ($A$1,$B82,AZ$1,$B$1)</f>
        <v>0</v>
      </c>
      <c r="BA82" s="125" cm="1">
        <f t="array" ref="BA82">+_xll.EQNXTDZ($A$1,$B82,BA$1,$B$1)</f>
        <v>0</v>
      </c>
      <c r="BB82" s="125" cm="1">
        <f t="array" ref="BB82">+_xll.EQNXTDZ($A$1,$B82,BB$1,$B$1)</f>
        <v>0</v>
      </c>
      <c r="BC82" s="125" cm="1">
        <f t="array" ref="BC82">+_xll.EQNXTDZ($A$1,$B82,BC$1,$B$1)</f>
        <v>0</v>
      </c>
      <c r="BD82" s="125" cm="1">
        <f t="array" ref="BD82">+_xll.EQNXTDZ($A$1,$B82,BD$1,$B$1)</f>
        <v>0</v>
      </c>
      <c r="BE82" s="125" cm="1">
        <f t="array" ref="BE82">+_xll.EQNXTDZ($A$1,$B82,BE$1,$B$1)</f>
        <v>0</v>
      </c>
      <c r="BF82" s="125" cm="1">
        <f t="array" ref="BF82">+_xll.EQNXTDZ($A$1,$B82,BF$1,$B$1)</f>
        <v>0</v>
      </c>
      <c r="BG82" s="125" cm="1">
        <f t="array" ref="BG82">+_xll.EQNXTDZ($A$1,$B82,BG$1,$B$1)</f>
        <v>0</v>
      </c>
      <c r="BH82" s="125" cm="1">
        <f t="array" ref="BH82">+_xll.EQNXTDZ($A$1,$B82,BH$1,$B$1)</f>
        <v>0</v>
      </c>
      <c r="BI82" s="125" cm="1">
        <f t="array" ref="BI82">+_xll.EQNXTDZ($A$1,$B82,BI$1,$B$1)</f>
        <v>0</v>
      </c>
      <c r="BJ82" s="125" cm="1">
        <f t="array" ref="BJ82">+_xll.EQNXTDZ($A$1,$B82,BJ$1,$B$1)</f>
        <v>0</v>
      </c>
      <c r="BK82" s="125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5" cm="1">
        <f t="array" ref="C83">+_xll.EQNXTDZ($A$1,$B83,C$1,$B$1)</f>
        <v>0</v>
      </c>
      <c r="D83" s="125" cm="1">
        <f t="array" ref="D83">+_xll.EQNXTDZ($A$1,$B83,D$1,$B$1)</f>
        <v>0</v>
      </c>
      <c r="E83" s="125" cm="1">
        <f t="array" ref="E83">+_xll.EQNXTDZ($A$1,$B83,E$1,$B$1)</f>
        <v>0</v>
      </c>
      <c r="F83" s="125" cm="1">
        <f t="array" ref="F83">+_xll.EQNXTDZ($A$1,$B83,F$1,$B$1)</f>
        <v>0</v>
      </c>
      <c r="G83" s="125" cm="1">
        <f t="array" ref="G83">+_xll.EQNXTDZ($A$1,$B83,G$1,$B$1)</f>
        <v>0</v>
      </c>
      <c r="H83" s="125" cm="1">
        <f t="array" ref="H83">+_xll.EQNXTDZ($A$1,$B83,H$1,$B$1)</f>
        <v>0</v>
      </c>
      <c r="I83" s="125" cm="1">
        <f t="array" ref="I83">+_xll.EQNXTDZ($A$1,$B83,I$1,$B$1)</f>
        <v>0</v>
      </c>
      <c r="J83" s="125" cm="1">
        <f t="array" ref="J83">+_xll.EQNXTDZ($A$1,$B83,J$1,$B$1)</f>
        <v>0</v>
      </c>
      <c r="K83" s="125" cm="1">
        <f t="array" ref="K83">+_xll.EQNXTDZ($A$1,$B83,K$1,$B$1)</f>
        <v>0</v>
      </c>
      <c r="L83" s="125" cm="1">
        <f t="array" ref="L83">+_xll.EQNXTDZ($A$1,$B83,L$1,$B$1)</f>
        <v>0</v>
      </c>
      <c r="M83" s="125" cm="1">
        <f t="array" ref="M83">+_xll.EQNXTDZ($A$1,$B83,M$1,$B$1)</f>
        <v>0</v>
      </c>
      <c r="N83" s="125" cm="1">
        <f t="array" ref="N83">+_xll.EQNXTDZ($A$1,$B83,N$1,$B$1)</f>
        <v>0</v>
      </c>
      <c r="O83" s="125" cm="1">
        <f t="array" ref="O83">+_xll.EQNXTDZ($A$1,$B83,O$1,$B$1)</f>
        <v>4895.53</v>
      </c>
      <c r="P83" s="125" cm="1">
        <f t="array" ref="P83">+_xll.EQNXTDZ($A$1,$B83,P$1,$B$1)</f>
        <v>0</v>
      </c>
      <c r="Q83" s="125" cm="1">
        <f t="array" ref="Q83">+_xll.EQNXTDZ($A$1,$B83,Q$1,$B$1)</f>
        <v>5682.93</v>
      </c>
      <c r="R83" s="125" cm="1">
        <f t="array" ref="R83">+_xll.EQNXTDZ($A$1,$B83,R$1,$B$1)</f>
        <v>0</v>
      </c>
      <c r="S83" s="125" cm="1">
        <f t="array" ref="S83">+_xll.EQNXTDZ($A$1,$B83,S$1,$B$1)</f>
        <v>6602.83</v>
      </c>
      <c r="T83" s="125" cm="1">
        <f t="array" ref="T83">+_xll.EQNXTDZ($A$1,$B83,T$1,$B$1)</f>
        <v>0</v>
      </c>
      <c r="U83" s="125" cm="1">
        <f t="array" ref="U83">+_xll.EQNXTDZ($A$1,$B83,U$1,$B$1)</f>
        <v>7406.89</v>
      </c>
      <c r="V83" s="125" cm="1">
        <f t="array" ref="V83">+_xll.EQNXTDZ($A$1,$B83,V$1,$B$1)</f>
        <v>0</v>
      </c>
      <c r="W83" s="125" cm="1">
        <f t="array" ref="W83">+_xll.EQNXTDZ($A$1,$B83,W$1,$B$1)</f>
        <v>11098.91</v>
      </c>
      <c r="X83" s="125" cm="1">
        <f t="array" ref="X83">+_xll.EQNXTDZ($A$1,$B83,X$1,$B$1)</f>
        <v>0</v>
      </c>
      <c r="Y83" s="125" cm="1">
        <f t="array" ref="Y83">+_xll.EQNXTDZ($A$1,$B83,Y$1,$B$1)</f>
        <v>10197.549999999999</v>
      </c>
      <c r="Z83" s="125" cm="1">
        <f t="array" ref="Z83">+_xll.EQNXTDZ($A$1,$B83,Z$1,$B$1)</f>
        <v>0</v>
      </c>
      <c r="AA83" s="125" cm="1">
        <f t="array" ref="AA83">+_xll.EQNXTDZ($A$1,$B83,AA$1,$B$1)</f>
        <v>11720.48</v>
      </c>
      <c r="AB83" s="125" cm="1">
        <f t="array" ref="AB83">+_xll.EQNXTDZ($A$1,$B83,AB$1,$B$1)</f>
        <v>0</v>
      </c>
      <c r="AC83" s="125" cm="1">
        <f t="array" ref="AC83">+_xll.EQNXTDZ($A$1,$B83,AC$1,$B$1)</f>
        <v>11776.11</v>
      </c>
      <c r="AD83" s="125" cm="1">
        <f t="array" ref="AD83">+_xll.EQNXTDZ($A$1,$B83,AD$1,$B$1)</f>
        <v>0</v>
      </c>
      <c r="AE83" s="125" cm="1">
        <f t="array" ref="AE83">+_xll.EQNXTDZ($A$1,$B83,AE$1,$B$1)</f>
        <v>14765.33</v>
      </c>
      <c r="AF83" s="125" cm="1">
        <f t="array" ref="AF83">+_xll.EQNXTDZ($A$1,$B83,AF$1,$B$1)</f>
        <v>0</v>
      </c>
      <c r="AG83" s="125" cm="1">
        <f t="array" ref="AG83">+_xll.EQNXTDZ($A$1,$B83,AG$1,$B$1)</f>
        <v>15195.94</v>
      </c>
      <c r="AH83" s="125" cm="1">
        <f t="array" ref="AH83">+_xll.EQNXTDZ($A$1,$B83,AH$1,$B$1)</f>
        <v>0</v>
      </c>
      <c r="AI83" s="125" cm="1">
        <f t="array" ref="AI83">+_xll.EQNXTDZ($A$1,$B83,AI$1,$B$1)</f>
        <v>19043.34</v>
      </c>
      <c r="AJ83" s="125" cm="1">
        <f t="array" ref="AJ83">+_xll.EQNXTDZ($A$1,$B83,AJ$1,$B$1)</f>
        <v>0</v>
      </c>
      <c r="AK83" s="125" cm="1">
        <f t="array" ref="AK83">+_xll.EQNXTDZ($A$1,$B83,AK$1,$B$1)</f>
        <v>20880.09</v>
      </c>
      <c r="AL83" s="125" cm="1">
        <f t="array" ref="AL83">+_xll.EQNXTDZ($A$1,$B83,AL$1,$B$1)</f>
        <v>0</v>
      </c>
      <c r="AM83" s="125" cm="1">
        <f t="array" ref="AM83">+_xll.EQNXTDZ($A$1,$B83,AM$1,$B$1)</f>
        <v>25104.99</v>
      </c>
      <c r="AN83" s="125" cm="1">
        <f t="array" ref="AN83">+_xll.EQNXTDZ($A$1,$B83,AN$1,$B$1)</f>
        <v>0</v>
      </c>
      <c r="AO83" s="125" cm="1">
        <f t="array" ref="AO83">+_xll.EQNXTDZ($A$1,$B83,AO$1,$B$1)</f>
        <v>23530.34</v>
      </c>
      <c r="AP83" s="125" cm="1">
        <f t="array" ref="AP83">+_xll.EQNXTDZ($A$1,$B83,AP$1,$B$1)</f>
        <v>0</v>
      </c>
      <c r="AQ83" s="125" cm="1">
        <f t="array" ref="AQ83">+_xll.EQNXTDZ($A$1,$B83,AQ$1,$B$1)</f>
        <v>24274.45</v>
      </c>
      <c r="AR83" s="125" cm="1">
        <f t="array" ref="AR83">+_xll.EQNXTDZ($A$1,$B83,AR$1,$B$1)</f>
        <v>0</v>
      </c>
      <c r="AS83" s="125" cm="1">
        <f t="array" ref="AS83">+_xll.EQNXTDZ($A$1,$B83,AS$1,$B$1)</f>
        <v>24116.39</v>
      </c>
      <c r="AT83" s="125" cm="1">
        <f t="array" ref="AT83">+_xll.EQNXTDZ($A$1,$B83,AT$1,$B$1)</f>
        <v>0</v>
      </c>
      <c r="AU83" s="125" cm="1">
        <f t="array" ref="AU83">+_xll.EQNXTDZ($A$1,$B83,AU$1,$B$1)</f>
        <v>27922.73</v>
      </c>
      <c r="AV83" s="125" cm="1">
        <f t="array" ref="AV83">+_xll.EQNXTDZ($A$1,$B83,AV$1,$B$1)</f>
        <v>0</v>
      </c>
      <c r="AW83" s="125" cm="1">
        <f t="array" ref="AW83">+_xll.EQNXTDZ($A$1,$B83,AW$1,$B$1)</f>
        <v>0</v>
      </c>
      <c r="AX83" s="125" cm="1">
        <f t="array" ref="AX83">+_xll.EQNXTDZ($A$1,$B83,AX$1,$B$1)</f>
        <v>0</v>
      </c>
      <c r="AY83" s="125" cm="1">
        <f t="array" ref="AY83">+_xll.EQNXTDZ($A$1,$B83,AY$1,$B$1)</f>
        <v>0</v>
      </c>
      <c r="AZ83" s="125" cm="1">
        <f t="array" ref="AZ83">+_xll.EQNXTDZ($A$1,$B83,AZ$1,$B$1)</f>
        <v>0</v>
      </c>
      <c r="BA83" s="125" cm="1">
        <f t="array" ref="BA83">+_xll.EQNXTDZ($A$1,$B83,BA$1,$B$1)</f>
        <v>0</v>
      </c>
      <c r="BB83" s="125" cm="1">
        <f t="array" ref="BB83">+_xll.EQNXTDZ($A$1,$B83,BB$1,$B$1)</f>
        <v>0</v>
      </c>
      <c r="BC83" s="125" cm="1">
        <f t="array" ref="BC83">+_xll.EQNXTDZ($A$1,$B83,BC$1,$B$1)</f>
        <v>0</v>
      </c>
      <c r="BD83" s="125" cm="1">
        <f t="array" ref="BD83">+_xll.EQNXTDZ($A$1,$B83,BD$1,$B$1)</f>
        <v>0</v>
      </c>
      <c r="BE83" s="125" cm="1">
        <f t="array" ref="BE83">+_xll.EQNXTDZ($A$1,$B83,BE$1,$B$1)</f>
        <v>0</v>
      </c>
      <c r="BF83" s="125" cm="1">
        <f t="array" ref="BF83">+_xll.EQNXTDZ($A$1,$B83,BF$1,$B$1)</f>
        <v>0</v>
      </c>
      <c r="BG83" s="125" cm="1">
        <f t="array" ref="BG83">+_xll.EQNXTDZ($A$1,$B83,BG$1,$B$1)</f>
        <v>0</v>
      </c>
      <c r="BH83" s="125" cm="1">
        <f t="array" ref="BH83">+_xll.EQNXTDZ($A$1,$B83,BH$1,$B$1)</f>
        <v>0</v>
      </c>
      <c r="BI83" s="125" cm="1">
        <f t="array" ref="BI83">+_xll.EQNXTDZ($A$1,$B83,BI$1,$B$1)</f>
        <v>0</v>
      </c>
      <c r="BJ83" s="125" cm="1">
        <f t="array" ref="BJ83">+_xll.EQNXTDZ($A$1,$B83,BJ$1,$B$1)</f>
        <v>0</v>
      </c>
      <c r="BK83" s="125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5" cm="1">
        <f t="array" ref="C84">+_xll.EQNXTDZ($A$1,$B84,C$1,$B$1)</f>
        <v>0</v>
      </c>
      <c r="D84" s="125" cm="1">
        <f t="array" ref="D84">+_xll.EQNXTDZ($A$1,$B84,D$1,$B$1)</f>
        <v>0</v>
      </c>
      <c r="E84" s="125" cm="1">
        <f t="array" ref="E84">+_xll.EQNXTDZ($A$1,$B84,E$1,$B$1)</f>
        <v>0</v>
      </c>
      <c r="F84" s="125" cm="1">
        <f t="array" ref="F84">+_xll.EQNXTDZ($A$1,$B84,F$1,$B$1)</f>
        <v>0</v>
      </c>
      <c r="G84" s="125" cm="1">
        <f t="array" ref="G84">+_xll.EQNXTDZ($A$1,$B84,G$1,$B$1)</f>
        <v>0</v>
      </c>
      <c r="H84" s="125" cm="1">
        <f t="array" ref="H84">+_xll.EQNXTDZ($A$1,$B84,H$1,$B$1)</f>
        <v>0</v>
      </c>
      <c r="I84" s="125" cm="1">
        <f t="array" ref="I84">+_xll.EQNXTDZ($A$1,$B84,I$1,$B$1)</f>
        <v>0</v>
      </c>
      <c r="J84" s="125" cm="1">
        <f t="array" ref="J84">+_xll.EQNXTDZ($A$1,$B84,J$1,$B$1)</f>
        <v>0</v>
      </c>
      <c r="K84" s="125" cm="1">
        <f t="array" ref="K84">+_xll.EQNXTDZ($A$1,$B84,K$1,$B$1)</f>
        <v>0</v>
      </c>
      <c r="L84" s="125" cm="1">
        <f t="array" ref="L84">+_xll.EQNXTDZ($A$1,$B84,L$1,$B$1)</f>
        <v>0</v>
      </c>
      <c r="M84" s="125" cm="1">
        <f t="array" ref="M84">+_xll.EQNXTDZ($A$1,$B84,M$1,$B$1)</f>
        <v>0</v>
      </c>
      <c r="N84" s="125" cm="1">
        <f t="array" ref="N84">+_xll.EQNXTDZ($A$1,$B84,N$1,$B$1)</f>
        <v>0</v>
      </c>
      <c r="O84" s="125" cm="1">
        <f t="array" ref="O84">+_xll.EQNXTDZ($A$1,$B84,O$1,$B$1)</f>
        <v>5056.8100000000004</v>
      </c>
      <c r="P84" s="125" cm="1">
        <f t="array" ref="P84">+_xll.EQNXTDZ($A$1,$B84,P$1,$B$1)</f>
        <v>0</v>
      </c>
      <c r="Q84" s="125" cm="1">
        <f t="array" ref="Q84">+_xll.EQNXTDZ($A$1,$B84,Q$1,$B$1)</f>
        <v>6132.02</v>
      </c>
      <c r="R84" s="125" cm="1">
        <f t="array" ref="R84">+_xll.EQNXTDZ($A$1,$B84,R$1,$B$1)</f>
        <v>0</v>
      </c>
      <c r="S84" s="125" cm="1">
        <f t="array" ref="S84">+_xll.EQNXTDZ($A$1,$B84,S$1,$B$1)</f>
        <v>7265.37</v>
      </c>
      <c r="T84" s="125" cm="1">
        <f t="array" ref="T84">+_xll.EQNXTDZ($A$1,$B84,T$1,$B$1)</f>
        <v>0</v>
      </c>
      <c r="U84" s="125" cm="1">
        <f t="array" ref="U84">+_xll.EQNXTDZ($A$1,$B84,U$1,$B$1)</f>
        <v>8117.48</v>
      </c>
      <c r="V84" s="125" cm="1">
        <f t="array" ref="V84">+_xll.EQNXTDZ($A$1,$B84,V$1,$B$1)</f>
        <v>0</v>
      </c>
      <c r="W84" s="125" cm="1">
        <f t="array" ref="W84">+_xll.EQNXTDZ($A$1,$B84,W$1,$B$1)</f>
        <v>11920.69</v>
      </c>
      <c r="X84" s="125" cm="1">
        <f t="array" ref="X84">+_xll.EQNXTDZ($A$1,$B84,X$1,$B$1)</f>
        <v>0</v>
      </c>
      <c r="Y84" s="125" cm="1">
        <f t="array" ref="Y84">+_xll.EQNXTDZ($A$1,$B84,Y$1,$B$1)</f>
        <v>12151.44</v>
      </c>
      <c r="Z84" s="125" cm="1">
        <f t="array" ref="Z84">+_xll.EQNXTDZ($A$1,$B84,Z$1,$B$1)</f>
        <v>0</v>
      </c>
      <c r="AA84" s="125" cm="1">
        <f t="array" ref="AA84">+_xll.EQNXTDZ($A$1,$B84,AA$1,$B$1)</f>
        <v>14337.85</v>
      </c>
      <c r="AB84" s="125" cm="1">
        <f t="array" ref="AB84">+_xll.EQNXTDZ($A$1,$B84,AB$1,$B$1)</f>
        <v>0</v>
      </c>
      <c r="AC84" s="125" cm="1">
        <f t="array" ref="AC84">+_xll.EQNXTDZ($A$1,$B84,AC$1,$B$1)</f>
        <v>13496.94</v>
      </c>
      <c r="AD84" s="125" cm="1">
        <f t="array" ref="AD84">+_xll.EQNXTDZ($A$1,$B84,AD$1,$B$1)</f>
        <v>0</v>
      </c>
      <c r="AE84" s="125" cm="1">
        <f t="array" ref="AE84">+_xll.EQNXTDZ($A$1,$B84,AE$1,$B$1)</f>
        <v>16645.740000000002</v>
      </c>
      <c r="AF84" s="125" cm="1">
        <f t="array" ref="AF84">+_xll.EQNXTDZ($A$1,$B84,AF$1,$B$1)</f>
        <v>0</v>
      </c>
      <c r="AG84" s="125" cm="1">
        <f t="array" ref="AG84">+_xll.EQNXTDZ($A$1,$B84,AG$1,$B$1)</f>
        <v>16454.36</v>
      </c>
      <c r="AH84" s="125" cm="1">
        <f t="array" ref="AH84">+_xll.EQNXTDZ($A$1,$B84,AH$1,$B$1)</f>
        <v>0</v>
      </c>
      <c r="AI84" s="125" cm="1">
        <f t="array" ref="AI84">+_xll.EQNXTDZ($A$1,$B84,AI$1,$B$1)</f>
        <v>21115.51</v>
      </c>
      <c r="AJ84" s="125" cm="1">
        <f t="array" ref="AJ84">+_xll.EQNXTDZ($A$1,$B84,AJ$1,$B$1)</f>
        <v>0</v>
      </c>
      <c r="AK84" s="125" cm="1">
        <f t="array" ref="AK84">+_xll.EQNXTDZ($A$1,$B84,AK$1,$B$1)</f>
        <v>23202.66</v>
      </c>
      <c r="AL84" s="125" cm="1">
        <f t="array" ref="AL84">+_xll.EQNXTDZ($A$1,$B84,AL$1,$B$1)</f>
        <v>0</v>
      </c>
      <c r="AM84" s="125" cm="1">
        <f t="array" ref="AM84">+_xll.EQNXTDZ($A$1,$B84,AM$1,$B$1)</f>
        <v>28040.41</v>
      </c>
      <c r="AN84" s="125" cm="1">
        <f t="array" ref="AN84">+_xll.EQNXTDZ($A$1,$B84,AN$1,$B$1)</f>
        <v>0</v>
      </c>
      <c r="AO84" s="125" cm="1">
        <f t="array" ref="AO84">+_xll.EQNXTDZ($A$1,$B84,AO$1,$B$1)</f>
        <v>25715.040000000001</v>
      </c>
      <c r="AP84" s="125" cm="1">
        <f t="array" ref="AP84">+_xll.EQNXTDZ($A$1,$B84,AP$1,$B$1)</f>
        <v>0</v>
      </c>
      <c r="AQ84" s="125" cm="1">
        <f t="array" ref="AQ84">+_xll.EQNXTDZ($A$1,$B84,AQ$1,$B$1)</f>
        <v>26779.45</v>
      </c>
      <c r="AR84" s="125" cm="1">
        <f t="array" ref="AR84">+_xll.EQNXTDZ($A$1,$B84,AR$1,$B$1)</f>
        <v>0</v>
      </c>
      <c r="AS84" s="125" cm="1">
        <f t="array" ref="AS84">+_xll.EQNXTDZ($A$1,$B84,AS$1,$B$1)</f>
        <v>26634.33</v>
      </c>
      <c r="AT84" s="125" cm="1">
        <f t="array" ref="AT84">+_xll.EQNXTDZ($A$1,$B84,AT$1,$B$1)</f>
        <v>0</v>
      </c>
      <c r="AU84" s="125" cm="1">
        <f t="array" ref="AU84">+_xll.EQNXTDZ($A$1,$B84,AU$1,$B$1)</f>
        <v>30982.28</v>
      </c>
      <c r="AV84" s="125" cm="1">
        <f t="array" ref="AV84">+_xll.EQNXTDZ($A$1,$B84,AV$1,$B$1)</f>
        <v>0</v>
      </c>
      <c r="AW84" s="125" cm="1">
        <f t="array" ref="AW84">+_xll.EQNXTDZ($A$1,$B84,AW$1,$B$1)</f>
        <v>0</v>
      </c>
      <c r="AX84" s="125" cm="1">
        <f t="array" ref="AX84">+_xll.EQNXTDZ($A$1,$B84,AX$1,$B$1)</f>
        <v>0</v>
      </c>
      <c r="AY84" s="125" cm="1">
        <f t="array" ref="AY84">+_xll.EQNXTDZ($A$1,$B84,AY$1,$B$1)</f>
        <v>0</v>
      </c>
      <c r="AZ84" s="125" cm="1">
        <f t="array" ref="AZ84">+_xll.EQNXTDZ($A$1,$B84,AZ$1,$B$1)</f>
        <v>0</v>
      </c>
      <c r="BA84" s="125" cm="1">
        <f t="array" ref="BA84">+_xll.EQNXTDZ($A$1,$B84,BA$1,$B$1)</f>
        <v>0</v>
      </c>
      <c r="BB84" s="125" cm="1">
        <f t="array" ref="BB84">+_xll.EQNXTDZ($A$1,$B84,BB$1,$B$1)</f>
        <v>0</v>
      </c>
      <c r="BC84" s="125" cm="1">
        <f t="array" ref="BC84">+_xll.EQNXTDZ($A$1,$B84,BC$1,$B$1)</f>
        <v>0</v>
      </c>
      <c r="BD84" s="125" cm="1">
        <f t="array" ref="BD84">+_xll.EQNXTDZ($A$1,$B84,BD$1,$B$1)</f>
        <v>0</v>
      </c>
      <c r="BE84" s="125" cm="1">
        <f t="array" ref="BE84">+_xll.EQNXTDZ($A$1,$B84,BE$1,$B$1)</f>
        <v>0</v>
      </c>
      <c r="BF84" s="125" cm="1">
        <f t="array" ref="BF84">+_xll.EQNXTDZ($A$1,$B84,BF$1,$B$1)</f>
        <v>0</v>
      </c>
      <c r="BG84" s="125" cm="1">
        <f t="array" ref="BG84">+_xll.EQNXTDZ($A$1,$B84,BG$1,$B$1)</f>
        <v>0</v>
      </c>
      <c r="BH84" s="125" cm="1">
        <f t="array" ref="BH84">+_xll.EQNXTDZ($A$1,$B84,BH$1,$B$1)</f>
        <v>0</v>
      </c>
      <c r="BI84" s="125" cm="1">
        <f t="array" ref="BI84">+_xll.EQNXTDZ($A$1,$B84,BI$1,$B$1)</f>
        <v>0</v>
      </c>
      <c r="BJ84" s="125" cm="1">
        <f t="array" ref="BJ84">+_xll.EQNXTDZ($A$1,$B84,BJ$1,$B$1)</f>
        <v>0</v>
      </c>
      <c r="BK84" s="125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5" cm="1">
        <f t="array" ref="C85">+_xll.EQNXTDZ($A$1,$B85,C$1,$B$1)</f>
        <v>0</v>
      </c>
      <c r="D85" s="125" cm="1">
        <f t="array" ref="D85">+_xll.EQNXTDZ($A$1,$B85,D$1,$B$1)</f>
        <v>0</v>
      </c>
      <c r="E85" s="125" cm="1">
        <f t="array" ref="E85">+_xll.EQNXTDZ($A$1,$B85,E$1,$B$1)</f>
        <v>0</v>
      </c>
      <c r="F85" s="125" cm="1">
        <f t="array" ref="F85">+_xll.EQNXTDZ($A$1,$B85,F$1,$B$1)</f>
        <v>0</v>
      </c>
      <c r="G85" s="125" cm="1">
        <f t="array" ref="G85">+_xll.EQNXTDZ($A$1,$B85,G$1,$B$1)</f>
        <v>0</v>
      </c>
      <c r="H85" s="125" cm="1">
        <f t="array" ref="H85">+_xll.EQNXTDZ($A$1,$B85,H$1,$B$1)</f>
        <v>0</v>
      </c>
      <c r="I85" s="125" cm="1">
        <f t="array" ref="I85">+_xll.EQNXTDZ($A$1,$B85,I$1,$B$1)</f>
        <v>0</v>
      </c>
      <c r="J85" s="125" cm="1">
        <f t="array" ref="J85">+_xll.EQNXTDZ($A$1,$B85,J$1,$B$1)</f>
        <v>0</v>
      </c>
      <c r="K85" s="125" cm="1">
        <f t="array" ref="K85">+_xll.EQNXTDZ($A$1,$B85,K$1,$B$1)</f>
        <v>0</v>
      </c>
      <c r="L85" s="125" cm="1">
        <f t="array" ref="L85">+_xll.EQNXTDZ($A$1,$B85,L$1,$B$1)</f>
        <v>0</v>
      </c>
      <c r="M85" s="125" cm="1">
        <f t="array" ref="M85">+_xll.EQNXTDZ($A$1,$B85,M$1,$B$1)</f>
        <v>0</v>
      </c>
      <c r="N85" s="125" cm="1">
        <f t="array" ref="N85">+_xll.EQNXTDZ($A$1,$B85,N$1,$B$1)</f>
        <v>0</v>
      </c>
      <c r="O85" s="125" cm="1">
        <f t="array" ref="O85">+_xll.EQNXTDZ($A$1,$B85,O$1,$B$1)</f>
        <v>0</v>
      </c>
      <c r="P85" s="125" cm="1">
        <f t="array" ref="P85">+_xll.EQNXTDZ($A$1,$B85,P$1,$B$1)</f>
        <v>0</v>
      </c>
      <c r="Q85" s="125" cm="1">
        <f t="array" ref="Q85">+_xll.EQNXTDZ($A$1,$B85,Q$1,$B$1)</f>
        <v>0</v>
      </c>
      <c r="R85" s="125" cm="1">
        <f t="array" ref="R85">+_xll.EQNXTDZ($A$1,$B85,R$1,$B$1)</f>
        <v>0</v>
      </c>
      <c r="S85" s="125" cm="1">
        <f t="array" ref="S85">+_xll.EQNXTDZ($A$1,$B85,S$1,$B$1)</f>
        <v>0</v>
      </c>
      <c r="T85" s="125" cm="1">
        <f t="array" ref="T85">+_xll.EQNXTDZ($A$1,$B85,T$1,$B$1)</f>
        <v>0</v>
      </c>
      <c r="U85" s="125" cm="1">
        <f t="array" ref="U85">+_xll.EQNXTDZ($A$1,$B85,U$1,$B$1)</f>
        <v>0</v>
      </c>
      <c r="V85" s="125" cm="1">
        <f t="array" ref="V85">+_xll.EQNXTDZ($A$1,$B85,V$1,$B$1)</f>
        <v>0</v>
      </c>
      <c r="W85" s="125" cm="1">
        <f t="array" ref="W85">+_xll.EQNXTDZ($A$1,$B85,W$1,$B$1)</f>
        <v>0</v>
      </c>
      <c r="X85" s="125" cm="1">
        <f t="array" ref="X85">+_xll.EQNXTDZ($A$1,$B85,X$1,$B$1)</f>
        <v>0</v>
      </c>
      <c r="Y85" s="125" cm="1">
        <f t="array" ref="Y85">+_xll.EQNXTDZ($A$1,$B85,Y$1,$B$1)</f>
        <v>0</v>
      </c>
      <c r="Z85" s="125" cm="1">
        <f t="array" ref="Z85">+_xll.EQNXTDZ($A$1,$B85,Z$1,$B$1)</f>
        <v>0</v>
      </c>
      <c r="AA85" s="125" cm="1">
        <f t="array" ref="AA85">+_xll.EQNXTDZ($A$1,$B85,AA$1,$B$1)</f>
        <v>0</v>
      </c>
      <c r="AB85" s="125" cm="1">
        <f t="array" ref="AB85">+_xll.EQNXTDZ($A$1,$B85,AB$1,$B$1)</f>
        <v>0</v>
      </c>
      <c r="AC85" s="125" cm="1">
        <f t="array" ref="AC85">+_xll.EQNXTDZ($A$1,$B85,AC$1,$B$1)</f>
        <v>0</v>
      </c>
      <c r="AD85" s="125" cm="1">
        <f t="array" ref="AD85">+_xll.EQNXTDZ($A$1,$B85,AD$1,$B$1)</f>
        <v>0</v>
      </c>
      <c r="AE85" s="125" cm="1">
        <f t="array" ref="AE85">+_xll.EQNXTDZ($A$1,$B85,AE$1,$B$1)</f>
        <v>0</v>
      </c>
      <c r="AF85" s="125" cm="1">
        <f t="array" ref="AF85">+_xll.EQNXTDZ($A$1,$B85,AF$1,$B$1)</f>
        <v>0</v>
      </c>
      <c r="AG85" s="125" cm="1">
        <f t="array" ref="AG85">+_xll.EQNXTDZ($A$1,$B85,AG$1,$B$1)</f>
        <v>0</v>
      </c>
      <c r="AH85" s="125" cm="1">
        <f t="array" ref="AH85">+_xll.EQNXTDZ($A$1,$B85,AH$1,$B$1)</f>
        <v>0</v>
      </c>
      <c r="AI85" s="125" cm="1">
        <f t="array" ref="AI85">+_xll.EQNXTDZ($A$1,$B85,AI$1,$B$1)</f>
        <v>0</v>
      </c>
      <c r="AJ85" s="125" cm="1">
        <f t="array" ref="AJ85">+_xll.EQNXTDZ($A$1,$B85,AJ$1,$B$1)</f>
        <v>0</v>
      </c>
      <c r="AK85" s="125" cm="1">
        <f t="array" ref="AK85">+_xll.EQNXTDZ($A$1,$B85,AK$1,$B$1)</f>
        <v>0</v>
      </c>
      <c r="AL85" s="125" cm="1">
        <f t="array" ref="AL85">+_xll.EQNXTDZ($A$1,$B85,AL$1,$B$1)</f>
        <v>0</v>
      </c>
      <c r="AM85" s="125" cm="1">
        <f t="array" ref="AM85">+_xll.EQNXTDZ($A$1,$B85,AM$1,$B$1)</f>
        <v>0</v>
      </c>
      <c r="AN85" s="125" cm="1">
        <f t="array" ref="AN85">+_xll.EQNXTDZ($A$1,$B85,AN$1,$B$1)</f>
        <v>0</v>
      </c>
      <c r="AO85" s="125" cm="1">
        <f t="array" ref="AO85">+_xll.EQNXTDZ($A$1,$B85,AO$1,$B$1)</f>
        <v>0</v>
      </c>
      <c r="AP85" s="125" cm="1">
        <f t="array" ref="AP85">+_xll.EQNXTDZ($A$1,$B85,AP$1,$B$1)</f>
        <v>0</v>
      </c>
      <c r="AQ85" s="125" cm="1">
        <f t="array" ref="AQ85">+_xll.EQNXTDZ($A$1,$B85,AQ$1,$B$1)</f>
        <v>0</v>
      </c>
      <c r="AR85" s="125" cm="1">
        <f t="array" ref="AR85">+_xll.EQNXTDZ($A$1,$B85,AR$1,$B$1)</f>
        <v>0</v>
      </c>
      <c r="AS85" s="125" cm="1">
        <f t="array" ref="AS85">+_xll.EQNXTDZ($A$1,$B85,AS$1,$B$1)</f>
        <v>0</v>
      </c>
      <c r="AT85" s="125" cm="1">
        <f t="array" ref="AT85">+_xll.EQNXTDZ($A$1,$B85,AT$1,$B$1)</f>
        <v>0</v>
      </c>
      <c r="AU85" s="125" cm="1">
        <f t="array" ref="AU85">+_xll.EQNXTDZ($A$1,$B85,AU$1,$B$1)</f>
        <v>0</v>
      </c>
      <c r="AV85" s="125" cm="1">
        <f t="array" ref="AV85">+_xll.EQNXTDZ($A$1,$B85,AV$1,$B$1)</f>
        <v>0</v>
      </c>
      <c r="AW85" s="125" cm="1">
        <f t="array" ref="AW85">+_xll.EQNXTDZ($A$1,$B85,AW$1,$B$1)</f>
        <v>0</v>
      </c>
      <c r="AX85" s="125" cm="1">
        <f t="array" ref="AX85">+_xll.EQNXTDZ($A$1,$B85,AX$1,$B$1)</f>
        <v>0</v>
      </c>
      <c r="AY85" s="125" cm="1">
        <f t="array" ref="AY85">+_xll.EQNXTDZ($A$1,$B85,AY$1,$B$1)</f>
        <v>0</v>
      </c>
      <c r="AZ85" s="125" cm="1">
        <f t="array" ref="AZ85">+_xll.EQNXTDZ($A$1,$B85,AZ$1,$B$1)</f>
        <v>0</v>
      </c>
      <c r="BA85" s="125" cm="1">
        <f t="array" ref="BA85">+_xll.EQNXTDZ($A$1,$B85,BA$1,$B$1)</f>
        <v>0</v>
      </c>
      <c r="BB85" s="125" cm="1">
        <f t="array" ref="BB85">+_xll.EQNXTDZ($A$1,$B85,BB$1,$B$1)</f>
        <v>0</v>
      </c>
      <c r="BC85" s="125" cm="1">
        <f t="array" ref="BC85">+_xll.EQNXTDZ($A$1,$B85,BC$1,$B$1)</f>
        <v>0</v>
      </c>
      <c r="BD85" s="125" cm="1">
        <f t="array" ref="BD85">+_xll.EQNXTDZ($A$1,$B85,BD$1,$B$1)</f>
        <v>0</v>
      </c>
      <c r="BE85" s="125" cm="1">
        <f t="array" ref="BE85">+_xll.EQNXTDZ($A$1,$B85,BE$1,$B$1)</f>
        <v>0</v>
      </c>
      <c r="BF85" s="125" cm="1">
        <f t="array" ref="BF85">+_xll.EQNXTDZ($A$1,$B85,BF$1,$B$1)</f>
        <v>0</v>
      </c>
      <c r="BG85" s="125" cm="1">
        <f t="array" ref="BG85">+_xll.EQNXTDZ($A$1,$B85,BG$1,$B$1)</f>
        <v>0</v>
      </c>
      <c r="BH85" s="125" cm="1">
        <f t="array" ref="BH85">+_xll.EQNXTDZ($A$1,$B85,BH$1,$B$1)</f>
        <v>0</v>
      </c>
      <c r="BI85" s="125" cm="1">
        <f t="array" ref="BI85">+_xll.EQNXTDZ($A$1,$B85,BI$1,$B$1)</f>
        <v>0</v>
      </c>
      <c r="BJ85" s="125" cm="1">
        <f t="array" ref="BJ85">+_xll.EQNXTDZ($A$1,$B85,BJ$1,$B$1)</f>
        <v>0</v>
      </c>
      <c r="BK85" s="125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5" cm="1">
        <f t="array" ref="C86">+_xll.EQNXTDZ($A$1,$B86,C$1,$B$1)</f>
        <v>0</v>
      </c>
      <c r="D86" s="125" cm="1">
        <f t="array" ref="D86">+_xll.EQNXTDZ($A$1,$B86,D$1,$B$1)</f>
        <v>0</v>
      </c>
      <c r="E86" s="125" cm="1">
        <f t="array" ref="E86">+_xll.EQNXTDZ($A$1,$B86,E$1,$B$1)</f>
        <v>0</v>
      </c>
      <c r="F86" s="125" cm="1">
        <f t="array" ref="F86">+_xll.EQNXTDZ($A$1,$B86,F$1,$B$1)</f>
        <v>0</v>
      </c>
      <c r="G86" s="125" cm="1">
        <f t="array" ref="G86">+_xll.EQNXTDZ($A$1,$B86,G$1,$B$1)</f>
        <v>0</v>
      </c>
      <c r="H86" s="125" cm="1">
        <f t="array" ref="H86">+_xll.EQNXTDZ($A$1,$B86,H$1,$B$1)</f>
        <v>0</v>
      </c>
      <c r="I86" s="125" cm="1">
        <f t="array" ref="I86">+_xll.EQNXTDZ($A$1,$B86,I$1,$B$1)</f>
        <v>0</v>
      </c>
      <c r="J86" s="125" cm="1">
        <f t="array" ref="J86">+_xll.EQNXTDZ($A$1,$B86,J$1,$B$1)</f>
        <v>0</v>
      </c>
      <c r="K86" s="125" cm="1">
        <f t="array" ref="K86">+_xll.EQNXTDZ($A$1,$B86,K$1,$B$1)</f>
        <v>0</v>
      </c>
      <c r="L86" s="125" cm="1">
        <f t="array" ref="L86">+_xll.EQNXTDZ($A$1,$B86,L$1,$B$1)</f>
        <v>0</v>
      </c>
      <c r="M86" s="125" cm="1">
        <f t="array" ref="M86">+_xll.EQNXTDZ($A$1,$B86,M$1,$B$1)</f>
        <v>0</v>
      </c>
      <c r="N86" s="125" cm="1">
        <f t="array" ref="N86">+_xll.EQNXTDZ($A$1,$B86,N$1,$B$1)</f>
        <v>0</v>
      </c>
      <c r="O86" s="125" cm="1">
        <f t="array" ref="O86">+_xll.EQNXTDZ($A$1,$B86,O$1,$B$1)</f>
        <v>2754.46</v>
      </c>
      <c r="P86" s="125" cm="1">
        <f t="array" ref="P86">+_xll.EQNXTDZ($A$1,$B86,P$1,$B$1)</f>
        <v>0</v>
      </c>
      <c r="Q86" s="125" cm="1">
        <f t="array" ref="Q86">+_xll.EQNXTDZ($A$1,$B86,Q$1,$B$1)</f>
        <v>2710.76</v>
      </c>
      <c r="R86" s="125" cm="1">
        <f t="array" ref="R86">+_xll.EQNXTDZ($A$1,$B86,R$1,$B$1)</f>
        <v>0</v>
      </c>
      <c r="S86" s="125" cm="1">
        <f t="array" ref="S86">+_xll.EQNXTDZ($A$1,$B86,S$1,$B$1)</f>
        <v>4114.5</v>
      </c>
      <c r="T86" s="125" cm="1">
        <f t="array" ref="T86">+_xll.EQNXTDZ($A$1,$B86,T$1,$B$1)</f>
        <v>0</v>
      </c>
      <c r="U86" s="125" cm="1">
        <f t="array" ref="U86">+_xll.EQNXTDZ($A$1,$B86,U$1,$B$1)</f>
        <v>5114.42</v>
      </c>
      <c r="V86" s="125" cm="1">
        <f t="array" ref="V86">+_xll.EQNXTDZ($A$1,$B86,V$1,$B$1)</f>
        <v>0</v>
      </c>
      <c r="W86" s="125" cm="1">
        <f t="array" ref="W86">+_xll.EQNXTDZ($A$1,$B86,W$1,$B$1)</f>
        <v>8644.06</v>
      </c>
      <c r="X86" s="125" cm="1">
        <f t="array" ref="X86">+_xll.EQNXTDZ($A$1,$B86,X$1,$B$1)</f>
        <v>0</v>
      </c>
      <c r="Y86" s="125" cm="1">
        <f t="array" ref="Y86">+_xll.EQNXTDZ($A$1,$B86,Y$1,$B$1)</f>
        <v>7966.42</v>
      </c>
      <c r="Z86" s="125" cm="1">
        <f t="array" ref="Z86">+_xll.EQNXTDZ($A$1,$B86,Z$1,$B$1)</f>
        <v>0</v>
      </c>
      <c r="AA86" s="125" cm="1">
        <f t="array" ref="AA86">+_xll.EQNXTDZ($A$1,$B86,AA$1,$B$1)</f>
        <v>9163.68</v>
      </c>
      <c r="AB86" s="125" cm="1">
        <f t="array" ref="AB86">+_xll.EQNXTDZ($A$1,$B86,AB$1,$B$1)</f>
        <v>0</v>
      </c>
      <c r="AC86" s="125" cm="1">
        <f t="array" ref="AC86">+_xll.EQNXTDZ($A$1,$B86,AC$1,$B$1)</f>
        <v>8263.92</v>
      </c>
      <c r="AD86" s="125" cm="1">
        <f t="array" ref="AD86">+_xll.EQNXTDZ($A$1,$B86,AD$1,$B$1)</f>
        <v>0</v>
      </c>
      <c r="AE86" s="125" cm="1">
        <f t="array" ref="AE86">+_xll.EQNXTDZ($A$1,$B86,AE$1,$B$1)</f>
        <v>11424.85</v>
      </c>
      <c r="AF86" s="125" cm="1">
        <f t="array" ref="AF86">+_xll.EQNXTDZ($A$1,$B86,AF$1,$B$1)</f>
        <v>0</v>
      </c>
      <c r="AG86" s="125" cm="1">
        <f t="array" ref="AG86">+_xll.EQNXTDZ($A$1,$B86,AG$1,$B$1)</f>
        <v>11131.84</v>
      </c>
      <c r="AH86" s="125" cm="1">
        <f t="array" ref="AH86">+_xll.EQNXTDZ($A$1,$B86,AH$1,$B$1)</f>
        <v>0</v>
      </c>
      <c r="AI86" s="125" cm="1">
        <f t="array" ref="AI86">+_xll.EQNXTDZ($A$1,$B86,AI$1,$B$1)</f>
        <v>14562</v>
      </c>
      <c r="AJ86" s="125" cm="1">
        <f t="array" ref="AJ86">+_xll.EQNXTDZ($A$1,$B86,AJ$1,$B$1)</f>
        <v>0</v>
      </c>
      <c r="AK86" s="125" cm="1">
        <f t="array" ref="AK86">+_xll.EQNXTDZ($A$1,$B86,AK$1,$B$1)</f>
        <v>15359.42</v>
      </c>
      <c r="AL86" s="125" cm="1">
        <f t="array" ref="AL86">+_xll.EQNXTDZ($A$1,$B86,AL$1,$B$1)</f>
        <v>0</v>
      </c>
      <c r="AM86" s="125" cm="1">
        <f t="array" ref="AM86">+_xll.EQNXTDZ($A$1,$B86,AM$1,$B$1)</f>
        <v>19773.650000000001</v>
      </c>
      <c r="AN86" s="125" cm="1">
        <f t="array" ref="AN86">+_xll.EQNXTDZ($A$1,$B86,AN$1,$B$1)</f>
        <v>0</v>
      </c>
      <c r="AO86" s="125" cm="1">
        <f t="array" ref="AO86">+_xll.EQNXTDZ($A$1,$B86,AO$1,$B$1)</f>
        <v>17199.52</v>
      </c>
      <c r="AP86" s="125" cm="1">
        <f t="array" ref="AP86">+_xll.EQNXTDZ($A$1,$B86,AP$1,$B$1)</f>
        <v>0</v>
      </c>
      <c r="AQ86" s="125" cm="1">
        <f t="array" ref="AQ86">+_xll.EQNXTDZ($A$1,$B86,AQ$1,$B$1)</f>
        <v>18878.73</v>
      </c>
      <c r="AR86" s="125" cm="1">
        <f t="array" ref="AR86">+_xll.EQNXTDZ($A$1,$B86,AR$1,$B$1)</f>
        <v>0</v>
      </c>
      <c r="AS86" s="125" cm="1">
        <f t="array" ref="AS86">+_xll.EQNXTDZ($A$1,$B86,AS$1,$B$1)</f>
        <v>18890.09</v>
      </c>
      <c r="AT86" s="125" cm="1">
        <f t="array" ref="AT86">+_xll.EQNXTDZ($A$1,$B86,AT$1,$B$1)</f>
        <v>0</v>
      </c>
      <c r="AU86" s="125" cm="1">
        <f t="array" ref="AU86">+_xll.EQNXTDZ($A$1,$B86,AU$1,$B$1)</f>
        <v>22728.880000000001</v>
      </c>
      <c r="AV86" s="125" cm="1">
        <f t="array" ref="AV86">+_xll.EQNXTDZ($A$1,$B86,AV$1,$B$1)</f>
        <v>0</v>
      </c>
      <c r="AW86" s="125" cm="1">
        <f t="array" ref="AW86">+_xll.EQNXTDZ($A$1,$B86,AW$1,$B$1)</f>
        <v>0</v>
      </c>
      <c r="AX86" s="125" cm="1">
        <f t="array" ref="AX86">+_xll.EQNXTDZ($A$1,$B86,AX$1,$B$1)</f>
        <v>0</v>
      </c>
      <c r="AY86" s="125" cm="1">
        <f t="array" ref="AY86">+_xll.EQNXTDZ($A$1,$B86,AY$1,$B$1)</f>
        <v>0</v>
      </c>
      <c r="AZ86" s="125" cm="1">
        <f t="array" ref="AZ86">+_xll.EQNXTDZ($A$1,$B86,AZ$1,$B$1)</f>
        <v>0</v>
      </c>
      <c r="BA86" s="125" cm="1">
        <f t="array" ref="BA86">+_xll.EQNXTDZ($A$1,$B86,BA$1,$B$1)</f>
        <v>0</v>
      </c>
      <c r="BB86" s="125" cm="1">
        <f t="array" ref="BB86">+_xll.EQNXTDZ($A$1,$B86,BB$1,$B$1)</f>
        <v>0</v>
      </c>
      <c r="BC86" s="125" cm="1">
        <f t="array" ref="BC86">+_xll.EQNXTDZ($A$1,$B86,BC$1,$B$1)</f>
        <v>0</v>
      </c>
      <c r="BD86" s="125" cm="1">
        <f t="array" ref="BD86">+_xll.EQNXTDZ($A$1,$B86,BD$1,$B$1)</f>
        <v>0</v>
      </c>
      <c r="BE86" s="125" cm="1">
        <f t="array" ref="BE86">+_xll.EQNXTDZ($A$1,$B86,BE$1,$B$1)</f>
        <v>0</v>
      </c>
      <c r="BF86" s="125" cm="1">
        <f t="array" ref="BF86">+_xll.EQNXTDZ($A$1,$B86,BF$1,$B$1)</f>
        <v>0</v>
      </c>
      <c r="BG86" s="125" cm="1">
        <f t="array" ref="BG86">+_xll.EQNXTDZ($A$1,$B86,BG$1,$B$1)</f>
        <v>0</v>
      </c>
      <c r="BH86" s="125" cm="1">
        <f t="array" ref="BH86">+_xll.EQNXTDZ($A$1,$B86,BH$1,$B$1)</f>
        <v>0</v>
      </c>
      <c r="BI86" s="125" cm="1">
        <f t="array" ref="BI86">+_xll.EQNXTDZ($A$1,$B86,BI$1,$B$1)</f>
        <v>0</v>
      </c>
      <c r="BJ86" s="125" cm="1">
        <f t="array" ref="BJ86">+_xll.EQNXTDZ($A$1,$B86,BJ$1,$B$1)</f>
        <v>0</v>
      </c>
      <c r="BK86" s="125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5" cm="1">
        <f t="array" ref="C87">+_xll.EQNXTDZ($A$1,$B87,C$1,$B$1)</f>
        <v>0</v>
      </c>
      <c r="D87" s="125" cm="1">
        <f t="array" ref="D87">+_xll.EQNXTDZ($A$1,$B87,D$1,$B$1)</f>
        <v>0</v>
      </c>
      <c r="E87" s="125" cm="1">
        <f t="array" ref="E87">+_xll.EQNXTDZ($A$1,$B87,E$1,$B$1)</f>
        <v>0</v>
      </c>
      <c r="F87" s="125" cm="1">
        <f t="array" ref="F87">+_xll.EQNXTDZ($A$1,$B87,F$1,$B$1)</f>
        <v>0</v>
      </c>
      <c r="G87" s="125" cm="1">
        <f t="array" ref="G87">+_xll.EQNXTDZ($A$1,$B87,G$1,$B$1)</f>
        <v>0</v>
      </c>
      <c r="H87" s="125" cm="1">
        <f t="array" ref="H87">+_xll.EQNXTDZ($A$1,$B87,H$1,$B$1)</f>
        <v>0</v>
      </c>
      <c r="I87" s="125" cm="1">
        <f t="array" ref="I87">+_xll.EQNXTDZ($A$1,$B87,I$1,$B$1)</f>
        <v>0</v>
      </c>
      <c r="J87" s="125" cm="1">
        <f t="array" ref="J87">+_xll.EQNXTDZ($A$1,$B87,J$1,$B$1)</f>
        <v>0</v>
      </c>
      <c r="K87" s="125" cm="1">
        <f t="array" ref="K87">+_xll.EQNXTDZ($A$1,$B87,K$1,$B$1)</f>
        <v>0</v>
      </c>
      <c r="L87" s="125" cm="1">
        <f t="array" ref="L87">+_xll.EQNXTDZ($A$1,$B87,L$1,$B$1)</f>
        <v>0</v>
      </c>
      <c r="M87" s="125" cm="1">
        <f t="array" ref="M87">+_xll.EQNXTDZ($A$1,$B87,M$1,$B$1)</f>
        <v>0</v>
      </c>
      <c r="N87" s="125" cm="1">
        <f t="array" ref="N87">+_xll.EQNXTDZ($A$1,$B87,N$1,$B$1)</f>
        <v>0</v>
      </c>
      <c r="O87" s="125" cm="1">
        <f t="array" ref="O87">+_xll.EQNXTDZ($A$1,$B87,O$1,$B$1)</f>
        <v>35.08</v>
      </c>
      <c r="P87" s="125" cm="1">
        <f t="array" ref="P87">+_xll.EQNXTDZ($A$1,$B87,P$1,$B$1)</f>
        <v>0</v>
      </c>
      <c r="Q87" s="125" cm="1">
        <f t="array" ref="Q87">+_xll.EQNXTDZ($A$1,$B87,Q$1,$B$1)</f>
        <v>0</v>
      </c>
      <c r="R87" s="125" cm="1">
        <f t="array" ref="R87">+_xll.EQNXTDZ($A$1,$B87,R$1,$B$1)</f>
        <v>0</v>
      </c>
      <c r="S87" s="125" cm="1">
        <f t="array" ref="S87">+_xll.EQNXTDZ($A$1,$B87,S$1,$B$1)</f>
        <v>103.73</v>
      </c>
      <c r="T87" s="125" cm="1">
        <f t="array" ref="T87">+_xll.EQNXTDZ($A$1,$B87,T$1,$B$1)</f>
        <v>0</v>
      </c>
      <c r="U87" s="125" cm="1">
        <f t="array" ref="U87">+_xll.EQNXTDZ($A$1,$B87,U$1,$B$1)</f>
        <v>94.9</v>
      </c>
      <c r="V87" s="125" cm="1">
        <f t="array" ref="V87">+_xll.EQNXTDZ($A$1,$B87,V$1,$B$1)</f>
        <v>0</v>
      </c>
      <c r="W87" s="125" cm="1">
        <f t="array" ref="W87">+_xll.EQNXTDZ($A$1,$B87,W$1,$B$1)</f>
        <v>108.65</v>
      </c>
      <c r="X87" s="125" cm="1">
        <f t="array" ref="X87">+_xll.EQNXTDZ($A$1,$B87,X$1,$B$1)</f>
        <v>0</v>
      </c>
      <c r="Y87" s="125" cm="1">
        <f t="array" ref="Y87">+_xll.EQNXTDZ($A$1,$B87,Y$1,$B$1)</f>
        <v>145.07</v>
      </c>
      <c r="Z87" s="125" cm="1">
        <f t="array" ref="Z87">+_xll.EQNXTDZ($A$1,$B87,Z$1,$B$1)</f>
        <v>0</v>
      </c>
      <c r="AA87" s="125" cm="1">
        <f t="array" ref="AA87">+_xll.EQNXTDZ($A$1,$B87,AA$1,$B$1)</f>
        <v>201.69</v>
      </c>
      <c r="AB87" s="125" cm="1">
        <f t="array" ref="AB87">+_xll.EQNXTDZ($A$1,$B87,AB$1,$B$1)</f>
        <v>0</v>
      </c>
      <c r="AC87" s="125" cm="1">
        <f t="array" ref="AC87">+_xll.EQNXTDZ($A$1,$B87,AC$1,$B$1)</f>
        <v>218.07</v>
      </c>
      <c r="AD87" s="125" cm="1">
        <f t="array" ref="AD87">+_xll.EQNXTDZ($A$1,$B87,AD$1,$B$1)</f>
        <v>0</v>
      </c>
      <c r="AE87" s="125" cm="1">
        <f t="array" ref="AE87">+_xll.EQNXTDZ($A$1,$B87,AE$1,$B$1)</f>
        <v>259.02</v>
      </c>
      <c r="AF87" s="125" cm="1">
        <f t="array" ref="AF87">+_xll.EQNXTDZ($A$1,$B87,AF$1,$B$1)</f>
        <v>0</v>
      </c>
      <c r="AG87" s="125" cm="1">
        <f t="array" ref="AG87">+_xll.EQNXTDZ($A$1,$B87,AG$1,$B$1)</f>
        <v>250.04</v>
      </c>
      <c r="AH87" s="125" cm="1">
        <f t="array" ref="AH87">+_xll.EQNXTDZ($A$1,$B87,AH$1,$B$1)</f>
        <v>0</v>
      </c>
      <c r="AI87" s="125" cm="1">
        <f t="array" ref="AI87">+_xll.EQNXTDZ($A$1,$B87,AI$1,$B$1)</f>
        <v>303.7</v>
      </c>
      <c r="AJ87" s="125" cm="1">
        <f t="array" ref="AJ87">+_xll.EQNXTDZ($A$1,$B87,AJ$1,$B$1)</f>
        <v>0</v>
      </c>
      <c r="AK87" s="125" cm="1">
        <f t="array" ref="AK87">+_xll.EQNXTDZ($A$1,$B87,AK$1,$B$1)</f>
        <v>306.87</v>
      </c>
      <c r="AL87" s="125" cm="1">
        <f t="array" ref="AL87">+_xll.EQNXTDZ($A$1,$B87,AL$1,$B$1)</f>
        <v>0</v>
      </c>
      <c r="AM87" s="125" cm="1">
        <f t="array" ref="AM87">+_xll.EQNXTDZ($A$1,$B87,AM$1,$B$1)</f>
        <v>256.35000000000002</v>
      </c>
      <c r="AN87" s="125" cm="1">
        <f t="array" ref="AN87">+_xll.EQNXTDZ($A$1,$B87,AN$1,$B$1)</f>
        <v>0</v>
      </c>
      <c r="AO87" s="125" cm="1">
        <f t="array" ref="AO87">+_xll.EQNXTDZ($A$1,$B87,AO$1,$B$1)</f>
        <v>227.97</v>
      </c>
      <c r="AP87" s="125" cm="1">
        <f t="array" ref="AP87">+_xll.EQNXTDZ($A$1,$B87,AP$1,$B$1)</f>
        <v>0</v>
      </c>
      <c r="AQ87" s="125" cm="1">
        <f t="array" ref="AQ87">+_xll.EQNXTDZ($A$1,$B87,AQ$1,$B$1)</f>
        <v>160.57</v>
      </c>
      <c r="AR87" s="125" cm="1">
        <f t="array" ref="AR87">+_xll.EQNXTDZ($A$1,$B87,AR$1,$B$1)</f>
        <v>0</v>
      </c>
      <c r="AS87" s="125" cm="1">
        <f t="array" ref="AS87">+_xll.EQNXTDZ($A$1,$B87,AS$1,$B$1)</f>
        <v>214.55</v>
      </c>
      <c r="AT87" s="125" cm="1">
        <f t="array" ref="AT87">+_xll.EQNXTDZ($A$1,$B87,AT$1,$B$1)</f>
        <v>0</v>
      </c>
      <c r="AU87" s="125" cm="1">
        <f t="array" ref="AU87">+_xll.EQNXTDZ($A$1,$B87,AU$1,$B$1)</f>
        <v>198.24</v>
      </c>
      <c r="AV87" s="125" cm="1">
        <f t="array" ref="AV87">+_xll.EQNXTDZ($A$1,$B87,AV$1,$B$1)</f>
        <v>0</v>
      </c>
      <c r="AW87" s="125" cm="1">
        <f t="array" ref="AW87">+_xll.EQNXTDZ($A$1,$B87,AW$1,$B$1)</f>
        <v>0</v>
      </c>
      <c r="AX87" s="125" cm="1">
        <f t="array" ref="AX87">+_xll.EQNXTDZ($A$1,$B87,AX$1,$B$1)</f>
        <v>0</v>
      </c>
      <c r="AY87" s="125" cm="1">
        <f t="array" ref="AY87">+_xll.EQNXTDZ($A$1,$B87,AY$1,$B$1)</f>
        <v>0</v>
      </c>
      <c r="AZ87" s="125" cm="1">
        <f t="array" ref="AZ87">+_xll.EQNXTDZ($A$1,$B87,AZ$1,$B$1)</f>
        <v>0</v>
      </c>
      <c r="BA87" s="125" cm="1">
        <f t="array" ref="BA87">+_xll.EQNXTDZ($A$1,$B87,BA$1,$B$1)</f>
        <v>0</v>
      </c>
      <c r="BB87" s="125" cm="1">
        <f t="array" ref="BB87">+_xll.EQNXTDZ($A$1,$B87,BB$1,$B$1)</f>
        <v>0</v>
      </c>
      <c r="BC87" s="125" cm="1">
        <f t="array" ref="BC87">+_xll.EQNXTDZ($A$1,$B87,BC$1,$B$1)</f>
        <v>0</v>
      </c>
      <c r="BD87" s="125" cm="1">
        <f t="array" ref="BD87">+_xll.EQNXTDZ($A$1,$B87,BD$1,$B$1)</f>
        <v>0</v>
      </c>
      <c r="BE87" s="125" cm="1">
        <f t="array" ref="BE87">+_xll.EQNXTDZ($A$1,$B87,BE$1,$B$1)</f>
        <v>0</v>
      </c>
      <c r="BF87" s="125" cm="1">
        <f t="array" ref="BF87">+_xll.EQNXTDZ($A$1,$B87,BF$1,$B$1)</f>
        <v>0</v>
      </c>
      <c r="BG87" s="125" cm="1">
        <f t="array" ref="BG87">+_xll.EQNXTDZ($A$1,$B87,BG$1,$B$1)</f>
        <v>0</v>
      </c>
      <c r="BH87" s="125" cm="1">
        <f t="array" ref="BH87">+_xll.EQNXTDZ($A$1,$B87,BH$1,$B$1)</f>
        <v>0</v>
      </c>
      <c r="BI87" s="125" cm="1">
        <f t="array" ref="BI87">+_xll.EQNXTDZ($A$1,$B87,BI$1,$B$1)</f>
        <v>0</v>
      </c>
      <c r="BJ87" s="125" cm="1">
        <f t="array" ref="BJ87">+_xll.EQNXTDZ($A$1,$B87,BJ$1,$B$1)</f>
        <v>0</v>
      </c>
      <c r="BK87" s="125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5" cm="1">
        <f t="array" ref="C88">+_xll.EQNXTDZ($A$1,$B88,C$1,$B$1)</f>
        <v>0</v>
      </c>
      <c r="D88" s="125" cm="1">
        <f t="array" ref="D88">+_xll.EQNXTDZ($A$1,$B88,D$1,$B$1)</f>
        <v>0</v>
      </c>
      <c r="E88" s="125" cm="1">
        <f t="array" ref="E88">+_xll.EQNXTDZ($A$1,$B88,E$1,$B$1)</f>
        <v>0</v>
      </c>
      <c r="F88" s="125" cm="1">
        <f t="array" ref="F88">+_xll.EQNXTDZ($A$1,$B88,F$1,$B$1)</f>
        <v>0</v>
      </c>
      <c r="G88" s="125" cm="1">
        <f t="array" ref="G88">+_xll.EQNXTDZ($A$1,$B88,G$1,$B$1)</f>
        <v>0</v>
      </c>
      <c r="H88" s="125" cm="1">
        <f t="array" ref="H88">+_xll.EQNXTDZ($A$1,$B88,H$1,$B$1)</f>
        <v>0</v>
      </c>
      <c r="I88" s="125" cm="1">
        <f t="array" ref="I88">+_xll.EQNXTDZ($A$1,$B88,I$1,$B$1)</f>
        <v>0</v>
      </c>
      <c r="J88" s="125" cm="1">
        <f t="array" ref="J88">+_xll.EQNXTDZ($A$1,$B88,J$1,$B$1)</f>
        <v>0</v>
      </c>
      <c r="K88" s="125" cm="1">
        <f t="array" ref="K88">+_xll.EQNXTDZ($A$1,$B88,K$1,$B$1)</f>
        <v>0</v>
      </c>
      <c r="L88" s="125" cm="1">
        <f t="array" ref="L88">+_xll.EQNXTDZ($A$1,$B88,L$1,$B$1)</f>
        <v>0</v>
      </c>
      <c r="M88" s="125" cm="1">
        <f t="array" ref="M88">+_xll.EQNXTDZ($A$1,$B88,M$1,$B$1)</f>
        <v>0</v>
      </c>
      <c r="N88" s="125" cm="1">
        <f t="array" ref="N88">+_xll.EQNXTDZ($A$1,$B88,N$1,$B$1)</f>
        <v>0</v>
      </c>
      <c r="O88" s="125" cm="1">
        <f t="array" ref="O88">+_xll.EQNXTDZ($A$1,$B88,O$1,$B$1)</f>
        <v>869</v>
      </c>
      <c r="P88" s="125" cm="1">
        <f t="array" ref="P88">+_xll.EQNXTDZ($A$1,$B88,P$1,$B$1)</f>
        <v>0</v>
      </c>
      <c r="Q88" s="125" cm="1">
        <f t="array" ref="Q88">+_xll.EQNXTDZ($A$1,$B88,Q$1,$B$1)</f>
        <v>1237.0999999999999</v>
      </c>
      <c r="R88" s="125" cm="1">
        <f t="array" ref="R88">+_xll.EQNXTDZ($A$1,$B88,R$1,$B$1)</f>
        <v>0</v>
      </c>
      <c r="S88" s="125" cm="1">
        <f t="array" ref="S88">+_xll.EQNXTDZ($A$1,$B88,S$1,$B$1)</f>
        <v>752.07</v>
      </c>
      <c r="T88" s="125" cm="1">
        <f t="array" ref="T88">+_xll.EQNXTDZ($A$1,$B88,T$1,$B$1)</f>
        <v>0</v>
      </c>
      <c r="U88" s="125" cm="1">
        <f t="array" ref="U88">+_xll.EQNXTDZ($A$1,$B88,U$1,$B$1)</f>
        <v>527.45000000000005</v>
      </c>
      <c r="V88" s="125" cm="1">
        <f t="array" ref="V88">+_xll.EQNXTDZ($A$1,$B88,V$1,$B$1)</f>
        <v>0</v>
      </c>
      <c r="W88" s="125" cm="1">
        <f t="array" ref="W88">+_xll.EQNXTDZ($A$1,$B88,W$1,$B$1)</f>
        <v>962.81</v>
      </c>
      <c r="X88" s="125" cm="1">
        <f t="array" ref="X88">+_xll.EQNXTDZ($A$1,$B88,X$1,$B$1)</f>
        <v>0</v>
      </c>
      <c r="Y88" s="125" cm="1">
        <f t="array" ref="Y88">+_xll.EQNXTDZ($A$1,$B88,Y$1,$B$1)</f>
        <v>1662.96</v>
      </c>
      <c r="Z88" s="125" cm="1">
        <f t="array" ref="Z88">+_xll.EQNXTDZ($A$1,$B88,Z$1,$B$1)</f>
        <v>0</v>
      </c>
      <c r="AA88" s="125" cm="1">
        <f t="array" ref="AA88">+_xll.EQNXTDZ($A$1,$B88,AA$1,$B$1)</f>
        <v>1860.59</v>
      </c>
      <c r="AB88" s="125" cm="1">
        <f t="array" ref="AB88">+_xll.EQNXTDZ($A$1,$B88,AB$1,$B$1)</f>
        <v>0</v>
      </c>
      <c r="AC88" s="125" cm="1">
        <f t="array" ref="AC88">+_xll.EQNXTDZ($A$1,$B88,AC$1,$B$1)</f>
        <v>1871.96</v>
      </c>
      <c r="AD88" s="125" cm="1">
        <f t="array" ref="AD88">+_xll.EQNXTDZ($A$1,$B88,AD$1,$B$1)</f>
        <v>0</v>
      </c>
      <c r="AE88" s="125" cm="1">
        <f t="array" ref="AE88">+_xll.EQNXTDZ($A$1,$B88,AE$1,$B$1)</f>
        <v>1584.94</v>
      </c>
      <c r="AF88" s="125" cm="1">
        <f t="array" ref="AF88">+_xll.EQNXTDZ($A$1,$B88,AF$1,$B$1)</f>
        <v>0</v>
      </c>
      <c r="AG88" s="125" cm="1">
        <f t="array" ref="AG88">+_xll.EQNXTDZ($A$1,$B88,AG$1,$B$1)</f>
        <v>1258.18</v>
      </c>
      <c r="AH88" s="125" cm="1">
        <f t="array" ref="AH88">+_xll.EQNXTDZ($A$1,$B88,AH$1,$B$1)</f>
        <v>0</v>
      </c>
      <c r="AI88" s="125" cm="1">
        <f t="array" ref="AI88">+_xll.EQNXTDZ($A$1,$B88,AI$1,$B$1)</f>
        <v>1829.14</v>
      </c>
      <c r="AJ88" s="125" cm="1">
        <f t="array" ref="AJ88">+_xll.EQNXTDZ($A$1,$B88,AJ$1,$B$1)</f>
        <v>0</v>
      </c>
      <c r="AK88" s="125" cm="1">
        <f t="array" ref="AK88">+_xll.EQNXTDZ($A$1,$B88,AK$1,$B$1)</f>
        <v>2396.29</v>
      </c>
      <c r="AL88" s="125" cm="1">
        <f t="array" ref="AL88">+_xll.EQNXTDZ($A$1,$B88,AL$1,$B$1)</f>
        <v>0</v>
      </c>
      <c r="AM88" s="125" cm="1">
        <f t="array" ref="AM88">+_xll.EQNXTDZ($A$1,$B88,AM$1,$B$1)</f>
        <v>2198.5300000000002</v>
      </c>
      <c r="AN88" s="125" cm="1">
        <f t="array" ref="AN88">+_xll.EQNXTDZ($A$1,$B88,AN$1,$B$1)</f>
        <v>0</v>
      </c>
      <c r="AO88" s="125" cm="1">
        <f t="array" ref="AO88">+_xll.EQNXTDZ($A$1,$B88,AO$1,$B$1)</f>
        <v>2105.42</v>
      </c>
      <c r="AP88" s="125" cm="1">
        <f t="array" ref="AP88">+_xll.EQNXTDZ($A$1,$B88,AP$1,$B$1)</f>
        <v>0</v>
      </c>
      <c r="AQ88" s="125" cm="1">
        <f t="array" ref="AQ88">+_xll.EQNXTDZ($A$1,$B88,AQ$1,$B$1)</f>
        <v>1707.56</v>
      </c>
      <c r="AR88" s="125" cm="1">
        <f t="array" ref="AR88">+_xll.EQNXTDZ($A$1,$B88,AR$1,$B$1)</f>
        <v>0</v>
      </c>
      <c r="AS88" s="125" cm="1">
        <f t="array" ref="AS88">+_xll.EQNXTDZ($A$1,$B88,AS$1,$B$1)</f>
        <v>1319.07</v>
      </c>
      <c r="AT88" s="125" cm="1">
        <f t="array" ref="AT88">+_xll.EQNXTDZ($A$1,$B88,AT$1,$B$1)</f>
        <v>0</v>
      </c>
      <c r="AU88" s="125" cm="1">
        <f t="array" ref="AU88">+_xll.EQNXTDZ($A$1,$B88,AU$1,$B$1)</f>
        <v>1023.15</v>
      </c>
      <c r="AV88" s="125" cm="1">
        <f t="array" ref="AV88">+_xll.EQNXTDZ($A$1,$B88,AV$1,$B$1)</f>
        <v>0</v>
      </c>
      <c r="AW88" s="125" cm="1">
        <f t="array" ref="AW88">+_xll.EQNXTDZ($A$1,$B88,AW$1,$B$1)</f>
        <v>0</v>
      </c>
      <c r="AX88" s="125" cm="1">
        <f t="array" ref="AX88">+_xll.EQNXTDZ($A$1,$B88,AX$1,$B$1)</f>
        <v>0</v>
      </c>
      <c r="AY88" s="125" cm="1">
        <f t="array" ref="AY88">+_xll.EQNXTDZ($A$1,$B88,AY$1,$B$1)</f>
        <v>0</v>
      </c>
      <c r="AZ88" s="125" cm="1">
        <f t="array" ref="AZ88">+_xll.EQNXTDZ($A$1,$B88,AZ$1,$B$1)</f>
        <v>0</v>
      </c>
      <c r="BA88" s="125" cm="1">
        <f t="array" ref="BA88">+_xll.EQNXTDZ($A$1,$B88,BA$1,$B$1)</f>
        <v>0</v>
      </c>
      <c r="BB88" s="125" cm="1">
        <f t="array" ref="BB88">+_xll.EQNXTDZ($A$1,$B88,BB$1,$B$1)</f>
        <v>0</v>
      </c>
      <c r="BC88" s="125" cm="1">
        <f t="array" ref="BC88">+_xll.EQNXTDZ($A$1,$B88,BC$1,$B$1)</f>
        <v>0</v>
      </c>
      <c r="BD88" s="125" cm="1">
        <f t="array" ref="BD88">+_xll.EQNXTDZ($A$1,$B88,BD$1,$B$1)</f>
        <v>0</v>
      </c>
      <c r="BE88" s="125" cm="1">
        <f t="array" ref="BE88">+_xll.EQNXTDZ($A$1,$B88,BE$1,$B$1)</f>
        <v>0</v>
      </c>
      <c r="BF88" s="125" cm="1">
        <f t="array" ref="BF88">+_xll.EQNXTDZ($A$1,$B88,BF$1,$B$1)</f>
        <v>0</v>
      </c>
      <c r="BG88" s="125" cm="1">
        <f t="array" ref="BG88">+_xll.EQNXTDZ($A$1,$B88,BG$1,$B$1)</f>
        <v>0</v>
      </c>
      <c r="BH88" s="125" cm="1">
        <f t="array" ref="BH88">+_xll.EQNXTDZ($A$1,$B88,BH$1,$B$1)</f>
        <v>0</v>
      </c>
      <c r="BI88" s="125" cm="1">
        <f t="array" ref="BI88">+_xll.EQNXTDZ($A$1,$B88,BI$1,$B$1)</f>
        <v>0</v>
      </c>
      <c r="BJ88" s="125" cm="1">
        <f t="array" ref="BJ88">+_xll.EQNXTDZ($A$1,$B88,BJ$1,$B$1)</f>
        <v>0</v>
      </c>
      <c r="BK88" s="125" cm="1">
        <f t="array" ref="BK88">+_xll.EQNXTDZ($A$1,$B88,BK$1,$B$1)</f>
        <v>0</v>
      </c>
    </row>
    <row r="89" spans="1:63" x14ac:dyDescent="0.25">
      <c r="A89" s="145" t="s">
        <v>485</v>
      </c>
      <c r="B89" t="s">
        <v>495</v>
      </c>
      <c r="C89" s="125" cm="1">
        <f t="array" ref="C89">+_xll.EQNXTDZ($A$1,$B89,C$1,$B$1)</f>
        <v>0</v>
      </c>
      <c r="D89" s="125" cm="1">
        <f t="array" ref="D89">+_xll.EQNXTDZ($A$1,$B89,D$1,$B$1)</f>
        <v>0</v>
      </c>
      <c r="E89" s="125" cm="1">
        <f t="array" ref="E89">+_xll.EQNXTDZ($A$1,$B89,E$1,$B$1)</f>
        <v>0</v>
      </c>
      <c r="F89" s="125" cm="1">
        <f t="array" ref="F89">+_xll.EQNXTDZ($A$1,$B89,F$1,$B$1)</f>
        <v>0</v>
      </c>
      <c r="G89" s="125" cm="1">
        <f t="array" ref="G89">+_xll.EQNXTDZ($A$1,$B89,G$1,$B$1)</f>
        <v>0</v>
      </c>
      <c r="H89" s="125" cm="1">
        <f t="array" ref="H89">+_xll.EQNXTDZ($A$1,$B89,H$1,$B$1)</f>
        <v>0</v>
      </c>
      <c r="I89" s="125" cm="1">
        <f t="array" ref="I89">+_xll.EQNXTDZ($A$1,$B89,I$1,$B$1)</f>
        <v>0</v>
      </c>
      <c r="J89" s="125" cm="1">
        <f t="array" ref="J89">+_xll.EQNXTDZ($A$1,$B89,J$1,$B$1)</f>
        <v>0</v>
      </c>
      <c r="K89" s="125" cm="1">
        <f t="array" ref="K89">+_xll.EQNXTDZ($A$1,$B89,K$1,$B$1)</f>
        <v>0</v>
      </c>
      <c r="L89" s="125" cm="1">
        <f t="array" ref="L89">+_xll.EQNXTDZ($A$1,$B89,L$1,$B$1)</f>
        <v>0</v>
      </c>
      <c r="M89" s="125" cm="1">
        <f t="array" ref="M89">+_xll.EQNXTDZ($A$1,$B89,M$1,$B$1)</f>
        <v>0</v>
      </c>
      <c r="N89" s="125" cm="1">
        <f t="array" ref="N89">+_xll.EQNXTDZ($A$1,$B89,N$1,$B$1)</f>
        <v>0</v>
      </c>
      <c r="O89" s="125" cm="1">
        <f t="array" ref="O89">+_xll.EQNXTDZ($A$1,$B89,O$1,$B$1)</f>
        <v>0</v>
      </c>
      <c r="P89" s="125" cm="1">
        <f t="array" ref="P89">+_xll.EQNXTDZ($A$1,$B89,P$1,$B$1)</f>
        <v>0</v>
      </c>
      <c r="Q89" s="125" cm="1">
        <f t="array" ref="Q89">+_xll.EQNXTDZ($A$1,$B89,Q$1,$B$1)</f>
        <v>0</v>
      </c>
      <c r="R89" s="125" cm="1">
        <f t="array" ref="R89">+_xll.EQNXTDZ($A$1,$B89,R$1,$B$1)</f>
        <v>0</v>
      </c>
      <c r="S89" s="125" cm="1">
        <f t="array" ref="S89">+_xll.EQNXTDZ($A$1,$B89,S$1,$B$1)</f>
        <v>0</v>
      </c>
      <c r="T89" s="125" cm="1">
        <f t="array" ref="T89">+_xll.EQNXTDZ($A$1,$B89,T$1,$B$1)</f>
        <v>0</v>
      </c>
      <c r="U89" s="125" cm="1">
        <f t="array" ref="U89">+_xll.EQNXTDZ($A$1,$B89,U$1,$B$1)</f>
        <v>0</v>
      </c>
      <c r="V89" s="125" cm="1">
        <f t="array" ref="V89">+_xll.EQNXTDZ($A$1,$B89,V$1,$B$1)</f>
        <v>0</v>
      </c>
      <c r="W89" s="125" cm="1">
        <f t="array" ref="W89">+_xll.EQNXTDZ($A$1,$B89,W$1,$B$1)</f>
        <v>0</v>
      </c>
      <c r="X89" s="125" cm="1">
        <f t="array" ref="X89">+_xll.EQNXTDZ($A$1,$B89,X$1,$B$1)</f>
        <v>0</v>
      </c>
      <c r="Y89" s="125" cm="1">
        <f t="array" ref="Y89">+_xll.EQNXTDZ($A$1,$B89,Y$1,$B$1)</f>
        <v>0</v>
      </c>
      <c r="Z89" s="125" cm="1">
        <f t="array" ref="Z89">+_xll.EQNXTDZ($A$1,$B89,Z$1,$B$1)</f>
        <v>0</v>
      </c>
      <c r="AA89" s="125" cm="1">
        <f t="array" ref="AA89">+_xll.EQNXTDZ($A$1,$B89,AA$1,$B$1)</f>
        <v>0</v>
      </c>
      <c r="AB89" s="125" cm="1">
        <f t="array" ref="AB89">+_xll.EQNXTDZ($A$1,$B89,AB$1,$B$1)</f>
        <v>0</v>
      </c>
      <c r="AC89" s="125" cm="1">
        <f t="array" ref="AC89">+_xll.EQNXTDZ($A$1,$B89,AC$1,$B$1)</f>
        <v>0</v>
      </c>
      <c r="AD89" s="125" cm="1">
        <f t="array" ref="AD89">+_xll.EQNXTDZ($A$1,$B89,AD$1,$B$1)</f>
        <v>0</v>
      </c>
      <c r="AE89" s="125" cm="1">
        <f t="array" ref="AE89">+_xll.EQNXTDZ($A$1,$B89,AE$1,$B$1)</f>
        <v>0</v>
      </c>
      <c r="AF89" s="125" cm="1">
        <f t="array" ref="AF89">+_xll.EQNXTDZ($A$1,$B89,AF$1,$B$1)</f>
        <v>0</v>
      </c>
      <c r="AG89" s="125" cm="1">
        <f t="array" ref="AG89">+_xll.EQNXTDZ($A$1,$B89,AG$1,$B$1)</f>
        <v>0</v>
      </c>
      <c r="AH89" s="125" cm="1">
        <f t="array" ref="AH89">+_xll.EQNXTDZ($A$1,$B89,AH$1,$B$1)</f>
        <v>0</v>
      </c>
      <c r="AI89" s="125" cm="1">
        <f t="array" ref="AI89">+_xll.EQNXTDZ($A$1,$B89,AI$1,$B$1)</f>
        <v>0</v>
      </c>
      <c r="AJ89" s="125" cm="1">
        <f t="array" ref="AJ89">+_xll.EQNXTDZ($A$1,$B89,AJ$1,$B$1)</f>
        <v>0</v>
      </c>
      <c r="AK89" s="125" cm="1">
        <f t="array" ref="AK89">+_xll.EQNXTDZ($A$1,$B89,AK$1,$B$1)</f>
        <v>0</v>
      </c>
      <c r="AL89" s="125" cm="1">
        <f t="array" ref="AL89">+_xll.EQNXTDZ($A$1,$B89,AL$1,$B$1)</f>
        <v>0</v>
      </c>
      <c r="AM89" s="125" cm="1">
        <f t="array" ref="AM89">+_xll.EQNXTDZ($A$1,$B89,AM$1,$B$1)</f>
        <v>0</v>
      </c>
      <c r="AN89" s="125" cm="1">
        <f t="array" ref="AN89">+_xll.EQNXTDZ($A$1,$B89,AN$1,$B$1)</f>
        <v>0</v>
      </c>
      <c r="AO89" s="125" cm="1">
        <f t="array" ref="AO89">+_xll.EQNXTDZ($A$1,$B89,AO$1,$B$1)</f>
        <v>0</v>
      </c>
      <c r="AP89" s="125" cm="1">
        <f t="array" ref="AP89">+_xll.EQNXTDZ($A$1,$B89,AP$1,$B$1)</f>
        <v>0</v>
      </c>
      <c r="AQ89" s="125" cm="1">
        <f t="array" ref="AQ89">+_xll.EQNXTDZ($A$1,$B89,AQ$1,$B$1)</f>
        <v>0</v>
      </c>
      <c r="AR89" s="125" cm="1">
        <f t="array" ref="AR89">+_xll.EQNXTDZ($A$1,$B89,AR$1,$B$1)</f>
        <v>0</v>
      </c>
      <c r="AS89" s="125" cm="1">
        <f t="array" ref="AS89">+_xll.EQNXTDZ($A$1,$B89,AS$1,$B$1)</f>
        <v>0</v>
      </c>
      <c r="AT89" s="125" cm="1">
        <f t="array" ref="AT89">+_xll.EQNXTDZ($A$1,$B89,AT$1,$B$1)</f>
        <v>0</v>
      </c>
      <c r="AU89" s="125" cm="1">
        <f t="array" ref="AU89">+_xll.EQNXTDZ($A$1,$B89,AU$1,$B$1)</f>
        <v>0</v>
      </c>
      <c r="AV89" s="125" cm="1">
        <f t="array" ref="AV89">+_xll.EQNXTDZ($A$1,$B89,AV$1,$B$1)</f>
        <v>0</v>
      </c>
      <c r="AW89" s="125" cm="1">
        <f t="array" ref="AW89">+_xll.EQNXTDZ($A$1,$B89,AW$1,$B$1)</f>
        <v>0</v>
      </c>
      <c r="AX89" s="125" cm="1">
        <f t="array" ref="AX89">+_xll.EQNXTDZ($A$1,$B89,AX$1,$B$1)</f>
        <v>0</v>
      </c>
      <c r="AY89" s="125" cm="1">
        <f t="array" ref="AY89">+_xll.EQNXTDZ($A$1,$B89,AY$1,$B$1)</f>
        <v>0</v>
      </c>
      <c r="AZ89" s="125" cm="1">
        <f t="array" ref="AZ89">+_xll.EQNXTDZ($A$1,$B89,AZ$1,$B$1)</f>
        <v>0</v>
      </c>
      <c r="BA89" s="125" cm="1">
        <f t="array" ref="BA89">+_xll.EQNXTDZ($A$1,$B89,BA$1,$B$1)</f>
        <v>0</v>
      </c>
      <c r="BB89" s="125" cm="1">
        <f t="array" ref="BB89">+_xll.EQNXTDZ($A$1,$B89,BB$1,$B$1)</f>
        <v>0</v>
      </c>
      <c r="BC89" s="125" cm="1">
        <f t="array" ref="BC89">+_xll.EQNXTDZ($A$1,$B89,BC$1,$B$1)</f>
        <v>0</v>
      </c>
      <c r="BD89" s="125" cm="1">
        <f t="array" ref="BD89">+_xll.EQNXTDZ($A$1,$B89,BD$1,$B$1)</f>
        <v>0</v>
      </c>
      <c r="BE89" s="125" cm="1">
        <f t="array" ref="BE89">+_xll.EQNXTDZ($A$1,$B89,BE$1,$B$1)</f>
        <v>0</v>
      </c>
      <c r="BF89" s="125" cm="1">
        <f t="array" ref="BF89">+_xll.EQNXTDZ($A$1,$B89,BF$1,$B$1)</f>
        <v>0</v>
      </c>
      <c r="BG89" s="125" cm="1">
        <f t="array" ref="BG89">+_xll.EQNXTDZ($A$1,$B89,BG$1,$B$1)</f>
        <v>0</v>
      </c>
      <c r="BH89" s="125" cm="1">
        <f t="array" ref="BH89">+_xll.EQNXTDZ($A$1,$B89,BH$1,$B$1)</f>
        <v>0</v>
      </c>
      <c r="BI89" s="125" cm="1">
        <f t="array" ref="BI89">+_xll.EQNXTDZ($A$1,$B89,BI$1,$B$1)</f>
        <v>0</v>
      </c>
      <c r="BJ89" s="125" cm="1">
        <f t="array" ref="BJ89">+_xll.EQNXTDZ($A$1,$B89,BJ$1,$B$1)</f>
        <v>0</v>
      </c>
      <c r="BK89" s="125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5" cm="1">
        <f t="array" ref="C90">+_xll.EQNXTDZ($A$1,$B90,C$1,$B$1)</f>
        <v>0</v>
      </c>
      <c r="D90" s="125" cm="1">
        <f t="array" ref="D90">+_xll.EQNXTDZ($A$1,$B90,D$1,$B$1)</f>
        <v>0</v>
      </c>
      <c r="E90" s="125" cm="1">
        <f t="array" ref="E90">+_xll.EQNXTDZ($A$1,$B90,E$1,$B$1)</f>
        <v>0</v>
      </c>
      <c r="F90" s="125" cm="1">
        <f t="array" ref="F90">+_xll.EQNXTDZ($A$1,$B90,F$1,$B$1)</f>
        <v>0</v>
      </c>
      <c r="G90" s="125" cm="1">
        <f t="array" ref="G90">+_xll.EQNXTDZ($A$1,$B90,G$1,$B$1)</f>
        <v>0</v>
      </c>
      <c r="H90" s="125" cm="1">
        <f t="array" ref="H90">+_xll.EQNXTDZ($A$1,$B90,H$1,$B$1)</f>
        <v>0</v>
      </c>
      <c r="I90" s="125" cm="1">
        <f t="array" ref="I90">+_xll.EQNXTDZ($A$1,$B90,I$1,$B$1)</f>
        <v>0</v>
      </c>
      <c r="J90" s="125" cm="1">
        <f t="array" ref="J90">+_xll.EQNXTDZ($A$1,$B90,J$1,$B$1)</f>
        <v>0</v>
      </c>
      <c r="K90" s="125" cm="1">
        <f t="array" ref="K90">+_xll.EQNXTDZ($A$1,$B90,K$1,$B$1)</f>
        <v>0</v>
      </c>
      <c r="L90" s="125" cm="1">
        <f t="array" ref="L90">+_xll.EQNXTDZ($A$1,$B90,L$1,$B$1)</f>
        <v>0</v>
      </c>
      <c r="M90" s="125" cm="1">
        <f t="array" ref="M90">+_xll.EQNXTDZ($A$1,$B90,M$1,$B$1)</f>
        <v>0</v>
      </c>
      <c r="N90" s="125" cm="1">
        <f t="array" ref="N90">+_xll.EQNXTDZ($A$1,$B90,N$1,$B$1)</f>
        <v>0</v>
      </c>
      <c r="O90" s="125" cm="1">
        <f t="array" ref="O90">+_xll.EQNXTDZ($A$1,$B90,O$1,$B$1)</f>
        <v>0</v>
      </c>
      <c r="P90" s="125" cm="1">
        <f t="array" ref="P90">+_xll.EQNXTDZ($A$1,$B90,P$1,$B$1)</f>
        <v>0</v>
      </c>
      <c r="Q90" s="125" cm="1">
        <f t="array" ref="Q90">+_xll.EQNXTDZ($A$1,$B90,Q$1,$B$1)</f>
        <v>0</v>
      </c>
      <c r="R90" s="125" cm="1">
        <f t="array" ref="R90">+_xll.EQNXTDZ($A$1,$B90,R$1,$B$1)</f>
        <v>0</v>
      </c>
      <c r="S90" s="125" cm="1">
        <f t="array" ref="S90">+_xll.EQNXTDZ($A$1,$B90,S$1,$B$1)</f>
        <v>0</v>
      </c>
      <c r="T90" s="125" cm="1">
        <f t="array" ref="T90">+_xll.EQNXTDZ($A$1,$B90,T$1,$B$1)</f>
        <v>0</v>
      </c>
      <c r="U90" s="125" cm="1">
        <f t="array" ref="U90">+_xll.EQNXTDZ($A$1,$B90,U$1,$B$1)</f>
        <v>0</v>
      </c>
      <c r="V90" s="125" cm="1">
        <f t="array" ref="V90">+_xll.EQNXTDZ($A$1,$B90,V$1,$B$1)</f>
        <v>0</v>
      </c>
      <c r="W90" s="125" cm="1">
        <f t="array" ref="W90">+_xll.EQNXTDZ($A$1,$B90,W$1,$B$1)</f>
        <v>0</v>
      </c>
      <c r="X90" s="125" cm="1">
        <f t="array" ref="X90">+_xll.EQNXTDZ($A$1,$B90,X$1,$B$1)</f>
        <v>0</v>
      </c>
      <c r="Y90" s="125" cm="1">
        <f t="array" ref="Y90">+_xll.EQNXTDZ($A$1,$B90,Y$1,$B$1)</f>
        <v>0</v>
      </c>
      <c r="Z90" s="125" cm="1">
        <f t="array" ref="Z90">+_xll.EQNXTDZ($A$1,$B90,Z$1,$B$1)</f>
        <v>0</v>
      </c>
      <c r="AA90" s="125" cm="1">
        <f t="array" ref="AA90">+_xll.EQNXTDZ($A$1,$B90,AA$1,$B$1)</f>
        <v>0</v>
      </c>
      <c r="AB90" s="125" cm="1">
        <f t="array" ref="AB90">+_xll.EQNXTDZ($A$1,$B90,AB$1,$B$1)</f>
        <v>0</v>
      </c>
      <c r="AC90" s="125" cm="1">
        <f t="array" ref="AC90">+_xll.EQNXTDZ($A$1,$B90,AC$1,$B$1)</f>
        <v>0</v>
      </c>
      <c r="AD90" s="125" cm="1">
        <f t="array" ref="AD90">+_xll.EQNXTDZ($A$1,$B90,AD$1,$B$1)</f>
        <v>0</v>
      </c>
      <c r="AE90" s="125" cm="1">
        <f t="array" ref="AE90">+_xll.EQNXTDZ($A$1,$B90,AE$1,$B$1)</f>
        <v>0</v>
      </c>
      <c r="AF90" s="125" cm="1">
        <f t="array" ref="AF90">+_xll.EQNXTDZ($A$1,$B90,AF$1,$B$1)</f>
        <v>0</v>
      </c>
      <c r="AG90" s="125" cm="1">
        <f t="array" ref="AG90">+_xll.EQNXTDZ($A$1,$B90,AG$1,$B$1)</f>
        <v>0</v>
      </c>
      <c r="AH90" s="125" cm="1">
        <f t="array" ref="AH90">+_xll.EQNXTDZ($A$1,$B90,AH$1,$B$1)</f>
        <v>0</v>
      </c>
      <c r="AI90" s="125" cm="1">
        <f t="array" ref="AI90">+_xll.EQNXTDZ($A$1,$B90,AI$1,$B$1)</f>
        <v>0</v>
      </c>
      <c r="AJ90" s="125" cm="1">
        <f t="array" ref="AJ90">+_xll.EQNXTDZ($A$1,$B90,AJ$1,$B$1)</f>
        <v>0</v>
      </c>
      <c r="AK90" s="125" cm="1">
        <f t="array" ref="AK90">+_xll.EQNXTDZ($A$1,$B90,AK$1,$B$1)</f>
        <v>0</v>
      </c>
      <c r="AL90" s="125" cm="1">
        <f t="array" ref="AL90">+_xll.EQNXTDZ($A$1,$B90,AL$1,$B$1)</f>
        <v>0</v>
      </c>
      <c r="AM90" s="125" cm="1">
        <f t="array" ref="AM90">+_xll.EQNXTDZ($A$1,$B90,AM$1,$B$1)</f>
        <v>0</v>
      </c>
      <c r="AN90" s="125" cm="1">
        <f t="array" ref="AN90">+_xll.EQNXTDZ($A$1,$B90,AN$1,$B$1)</f>
        <v>0</v>
      </c>
      <c r="AO90" s="125" cm="1">
        <f t="array" ref="AO90">+_xll.EQNXTDZ($A$1,$B90,AO$1,$B$1)</f>
        <v>0</v>
      </c>
      <c r="AP90" s="125" cm="1">
        <f t="array" ref="AP90">+_xll.EQNXTDZ($A$1,$B90,AP$1,$B$1)</f>
        <v>0</v>
      </c>
      <c r="AQ90" s="125" cm="1">
        <f t="array" ref="AQ90">+_xll.EQNXTDZ($A$1,$B90,AQ$1,$B$1)</f>
        <v>0</v>
      </c>
      <c r="AR90" s="125" cm="1">
        <f t="array" ref="AR90">+_xll.EQNXTDZ($A$1,$B90,AR$1,$B$1)</f>
        <v>0</v>
      </c>
      <c r="AS90" s="125" cm="1">
        <f t="array" ref="AS90">+_xll.EQNXTDZ($A$1,$B90,AS$1,$B$1)</f>
        <v>0</v>
      </c>
      <c r="AT90" s="125" cm="1">
        <f t="array" ref="AT90">+_xll.EQNXTDZ($A$1,$B90,AT$1,$B$1)</f>
        <v>0</v>
      </c>
      <c r="AU90" s="125" cm="1">
        <f t="array" ref="AU90">+_xll.EQNXTDZ($A$1,$B90,AU$1,$B$1)</f>
        <v>0</v>
      </c>
      <c r="AV90" s="125" cm="1">
        <f t="array" ref="AV90">+_xll.EQNXTDZ($A$1,$B90,AV$1,$B$1)</f>
        <v>0</v>
      </c>
      <c r="AW90" s="125" cm="1">
        <f t="array" ref="AW90">+_xll.EQNXTDZ($A$1,$B90,AW$1,$B$1)</f>
        <v>0</v>
      </c>
      <c r="AX90" s="125" cm="1">
        <f t="array" ref="AX90">+_xll.EQNXTDZ($A$1,$B90,AX$1,$B$1)</f>
        <v>0</v>
      </c>
      <c r="AY90" s="125" cm="1">
        <f t="array" ref="AY90">+_xll.EQNXTDZ($A$1,$B90,AY$1,$B$1)</f>
        <v>0</v>
      </c>
      <c r="AZ90" s="125" cm="1">
        <f t="array" ref="AZ90">+_xll.EQNXTDZ($A$1,$B90,AZ$1,$B$1)</f>
        <v>0</v>
      </c>
      <c r="BA90" s="125" cm="1">
        <f t="array" ref="BA90">+_xll.EQNXTDZ($A$1,$B90,BA$1,$B$1)</f>
        <v>0</v>
      </c>
      <c r="BB90" s="125" cm="1">
        <f t="array" ref="BB90">+_xll.EQNXTDZ($A$1,$B90,BB$1,$B$1)</f>
        <v>0</v>
      </c>
      <c r="BC90" s="125" cm="1">
        <f t="array" ref="BC90">+_xll.EQNXTDZ($A$1,$B90,BC$1,$B$1)</f>
        <v>0</v>
      </c>
      <c r="BD90" s="125" cm="1">
        <f t="array" ref="BD90">+_xll.EQNXTDZ($A$1,$B90,BD$1,$B$1)</f>
        <v>0</v>
      </c>
      <c r="BE90" s="125" cm="1">
        <f t="array" ref="BE90">+_xll.EQNXTDZ($A$1,$B90,BE$1,$B$1)</f>
        <v>0</v>
      </c>
      <c r="BF90" s="125" cm="1">
        <f t="array" ref="BF90">+_xll.EQNXTDZ($A$1,$B90,BF$1,$B$1)</f>
        <v>0</v>
      </c>
      <c r="BG90" s="125" cm="1">
        <f t="array" ref="BG90">+_xll.EQNXTDZ($A$1,$B90,BG$1,$B$1)</f>
        <v>0</v>
      </c>
      <c r="BH90" s="125" cm="1">
        <f t="array" ref="BH90">+_xll.EQNXTDZ($A$1,$B90,BH$1,$B$1)</f>
        <v>0</v>
      </c>
      <c r="BI90" s="125" cm="1">
        <f t="array" ref="BI90">+_xll.EQNXTDZ($A$1,$B90,BI$1,$B$1)</f>
        <v>0</v>
      </c>
      <c r="BJ90" s="125" cm="1">
        <f t="array" ref="BJ90">+_xll.EQNXTDZ($A$1,$B90,BJ$1,$B$1)</f>
        <v>0</v>
      </c>
      <c r="BK90" s="125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5" cm="1">
        <f t="array" ref="C91">+_xll.EQNXTDZ($A$1,$B91,C$1,$B$1)</f>
        <v>0</v>
      </c>
      <c r="D91" s="125" cm="1">
        <f t="array" ref="D91">+_xll.EQNXTDZ($A$1,$B91,D$1,$B$1)</f>
        <v>0</v>
      </c>
      <c r="E91" s="125" cm="1">
        <f t="array" ref="E91">+_xll.EQNXTDZ($A$1,$B91,E$1,$B$1)</f>
        <v>0</v>
      </c>
      <c r="F91" s="125" cm="1">
        <f t="array" ref="F91">+_xll.EQNXTDZ($A$1,$B91,F$1,$B$1)</f>
        <v>0</v>
      </c>
      <c r="G91" s="125" cm="1">
        <f t="array" ref="G91">+_xll.EQNXTDZ($A$1,$B91,G$1,$B$1)</f>
        <v>0</v>
      </c>
      <c r="H91" s="125" cm="1">
        <f t="array" ref="H91">+_xll.EQNXTDZ($A$1,$B91,H$1,$B$1)</f>
        <v>0</v>
      </c>
      <c r="I91" s="125" cm="1">
        <f t="array" ref="I91">+_xll.EQNXTDZ($A$1,$B91,I$1,$B$1)</f>
        <v>0</v>
      </c>
      <c r="J91" s="125" cm="1">
        <f t="array" ref="J91">+_xll.EQNXTDZ($A$1,$B91,J$1,$B$1)</f>
        <v>0</v>
      </c>
      <c r="K91" s="125" cm="1">
        <f t="array" ref="K91">+_xll.EQNXTDZ($A$1,$B91,K$1,$B$1)</f>
        <v>0</v>
      </c>
      <c r="L91" s="125" cm="1">
        <f t="array" ref="L91">+_xll.EQNXTDZ($A$1,$B91,L$1,$B$1)</f>
        <v>0</v>
      </c>
      <c r="M91" s="125" cm="1">
        <f t="array" ref="M91">+_xll.EQNXTDZ($A$1,$B91,M$1,$B$1)</f>
        <v>0</v>
      </c>
      <c r="N91" s="125" cm="1">
        <f t="array" ref="N91">+_xll.EQNXTDZ($A$1,$B91,N$1,$B$1)</f>
        <v>0</v>
      </c>
      <c r="O91" s="125" cm="1">
        <f t="array" ref="O91">+_xll.EQNXTDZ($A$1,$B91,O$1,$B$1)</f>
        <v>3658.54</v>
      </c>
      <c r="P91" s="125" cm="1">
        <f t="array" ref="P91">+_xll.EQNXTDZ($A$1,$B91,P$1,$B$1)</f>
        <v>0</v>
      </c>
      <c r="Q91" s="125" cm="1">
        <f t="array" ref="Q91">+_xll.EQNXTDZ($A$1,$B91,Q$1,$B$1)</f>
        <v>3947.86</v>
      </c>
      <c r="R91" s="125" cm="1">
        <f t="array" ref="R91">+_xll.EQNXTDZ($A$1,$B91,R$1,$B$1)</f>
        <v>0</v>
      </c>
      <c r="S91" s="125" cm="1">
        <f t="array" ref="S91">+_xll.EQNXTDZ($A$1,$B91,S$1,$B$1)</f>
        <v>4970.3</v>
      </c>
      <c r="T91" s="125" cm="1">
        <f t="array" ref="T91">+_xll.EQNXTDZ($A$1,$B91,T$1,$B$1)</f>
        <v>0</v>
      </c>
      <c r="U91" s="125" cm="1">
        <f t="array" ref="U91">+_xll.EQNXTDZ($A$1,$B91,U$1,$B$1)</f>
        <v>5736.77</v>
      </c>
      <c r="V91" s="125" cm="1">
        <f t="array" ref="V91">+_xll.EQNXTDZ($A$1,$B91,V$1,$B$1)</f>
        <v>0</v>
      </c>
      <c r="W91" s="125" cm="1">
        <f t="array" ref="W91">+_xll.EQNXTDZ($A$1,$B91,W$1,$B$1)</f>
        <v>9715.52</v>
      </c>
      <c r="X91" s="125" cm="1">
        <f t="array" ref="X91">+_xll.EQNXTDZ($A$1,$B91,X$1,$B$1)</f>
        <v>0</v>
      </c>
      <c r="Y91" s="125" cm="1">
        <f t="array" ref="Y91">+_xll.EQNXTDZ($A$1,$B91,Y$1,$B$1)</f>
        <v>9774.4500000000007</v>
      </c>
      <c r="Z91" s="125" cm="1">
        <f t="array" ref="Z91">+_xll.EQNXTDZ($A$1,$B91,Z$1,$B$1)</f>
        <v>0</v>
      </c>
      <c r="AA91" s="125" cm="1">
        <f t="array" ref="AA91">+_xll.EQNXTDZ($A$1,$B91,AA$1,$B$1)</f>
        <v>11225.96</v>
      </c>
      <c r="AB91" s="125" cm="1">
        <f t="array" ref="AB91">+_xll.EQNXTDZ($A$1,$B91,AB$1,$B$1)</f>
        <v>0</v>
      </c>
      <c r="AC91" s="125" cm="1">
        <f t="array" ref="AC91">+_xll.EQNXTDZ($A$1,$B91,AC$1,$B$1)</f>
        <v>10353.950000000001</v>
      </c>
      <c r="AD91" s="125" cm="1">
        <f t="array" ref="AD91">+_xll.EQNXTDZ($A$1,$B91,AD$1,$B$1)</f>
        <v>0</v>
      </c>
      <c r="AE91" s="125" cm="1">
        <f t="array" ref="AE91">+_xll.EQNXTDZ($A$1,$B91,AE$1,$B$1)</f>
        <v>13268.81</v>
      </c>
      <c r="AF91" s="125" cm="1">
        <f t="array" ref="AF91">+_xll.EQNXTDZ($A$1,$B91,AF$1,$B$1)</f>
        <v>0</v>
      </c>
      <c r="AG91" s="125" cm="1">
        <f t="array" ref="AG91">+_xll.EQNXTDZ($A$1,$B91,AG$1,$B$1)</f>
        <v>12640.06</v>
      </c>
      <c r="AH91" s="125" cm="1">
        <f t="array" ref="AH91">+_xll.EQNXTDZ($A$1,$B91,AH$1,$B$1)</f>
        <v>0</v>
      </c>
      <c r="AI91" s="125" cm="1">
        <f t="array" ref="AI91">+_xll.EQNXTDZ($A$1,$B91,AI$1,$B$1)</f>
        <v>16694.84</v>
      </c>
      <c r="AJ91" s="125" cm="1">
        <f t="array" ref="AJ91">+_xll.EQNXTDZ($A$1,$B91,AJ$1,$B$1)</f>
        <v>0</v>
      </c>
      <c r="AK91" s="125" cm="1">
        <f t="array" ref="AK91">+_xll.EQNXTDZ($A$1,$B91,AK$1,$B$1)</f>
        <v>18062.580000000002</v>
      </c>
      <c r="AL91" s="125" cm="1">
        <f t="array" ref="AL91">+_xll.EQNXTDZ($A$1,$B91,AL$1,$B$1)</f>
        <v>0</v>
      </c>
      <c r="AM91" s="125" cm="1">
        <f t="array" ref="AM91">+_xll.EQNXTDZ($A$1,$B91,AM$1,$B$1)</f>
        <v>22228.53</v>
      </c>
      <c r="AN91" s="125" cm="1">
        <f t="array" ref="AN91">+_xll.EQNXTDZ($A$1,$B91,AN$1,$B$1)</f>
        <v>0</v>
      </c>
      <c r="AO91" s="125" cm="1">
        <f t="array" ref="AO91">+_xll.EQNXTDZ($A$1,$B91,AO$1,$B$1)</f>
        <v>19532.91</v>
      </c>
      <c r="AP91" s="125" cm="1">
        <f t="array" ref="AP91">+_xll.EQNXTDZ($A$1,$B91,AP$1,$B$1)</f>
        <v>0</v>
      </c>
      <c r="AQ91" s="125" cm="1">
        <f t="array" ref="AQ91">+_xll.EQNXTDZ($A$1,$B91,AQ$1,$B$1)</f>
        <v>20746.86</v>
      </c>
      <c r="AR91" s="125" cm="1">
        <f t="array" ref="AR91">+_xll.EQNXTDZ($A$1,$B91,AR$1,$B$1)</f>
        <v>0</v>
      </c>
      <c r="AS91" s="125" cm="1">
        <f t="array" ref="AS91">+_xll.EQNXTDZ($A$1,$B91,AS$1,$B$1)</f>
        <v>20423.71</v>
      </c>
      <c r="AT91" s="125" cm="1">
        <f t="array" ref="AT91">+_xll.EQNXTDZ($A$1,$B91,AT$1,$B$1)</f>
        <v>0</v>
      </c>
      <c r="AU91" s="125" cm="1">
        <f t="array" ref="AU91">+_xll.EQNXTDZ($A$1,$B91,AU$1,$B$1)</f>
        <v>23950.27</v>
      </c>
      <c r="AV91" s="125" cm="1">
        <f t="array" ref="AV91">+_xll.EQNXTDZ($A$1,$B91,AV$1,$B$1)</f>
        <v>0</v>
      </c>
      <c r="AW91" s="125" cm="1">
        <f t="array" ref="AW91">+_xll.EQNXTDZ($A$1,$B91,AW$1,$B$1)</f>
        <v>0</v>
      </c>
      <c r="AX91" s="125" cm="1">
        <f t="array" ref="AX91">+_xll.EQNXTDZ($A$1,$B91,AX$1,$B$1)</f>
        <v>0</v>
      </c>
      <c r="AY91" s="125" cm="1">
        <f t="array" ref="AY91">+_xll.EQNXTDZ($A$1,$B91,AY$1,$B$1)</f>
        <v>0</v>
      </c>
      <c r="AZ91" s="125" cm="1">
        <f t="array" ref="AZ91">+_xll.EQNXTDZ($A$1,$B91,AZ$1,$B$1)</f>
        <v>0</v>
      </c>
      <c r="BA91" s="125" cm="1">
        <f t="array" ref="BA91">+_xll.EQNXTDZ($A$1,$B91,BA$1,$B$1)</f>
        <v>0</v>
      </c>
      <c r="BB91" s="125" cm="1">
        <f t="array" ref="BB91">+_xll.EQNXTDZ($A$1,$B91,BB$1,$B$1)</f>
        <v>0</v>
      </c>
      <c r="BC91" s="125" cm="1">
        <f t="array" ref="BC91">+_xll.EQNXTDZ($A$1,$B91,BC$1,$B$1)</f>
        <v>0</v>
      </c>
      <c r="BD91" s="125" cm="1">
        <f t="array" ref="BD91">+_xll.EQNXTDZ($A$1,$B91,BD$1,$B$1)</f>
        <v>0</v>
      </c>
      <c r="BE91" s="125" cm="1">
        <f t="array" ref="BE91">+_xll.EQNXTDZ($A$1,$B91,BE$1,$B$1)</f>
        <v>0</v>
      </c>
      <c r="BF91" s="125" cm="1">
        <f t="array" ref="BF91">+_xll.EQNXTDZ($A$1,$B91,BF$1,$B$1)</f>
        <v>0</v>
      </c>
      <c r="BG91" s="125" cm="1">
        <f t="array" ref="BG91">+_xll.EQNXTDZ($A$1,$B91,BG$1,$B$1)</f>
        <v>0</v>
      </c>
      <c r="BH91" s="125" cm="1">
        <f t="array" ref="BH91">+_xll.EQNXTDZ($A$1,$B91,BH$1,$B$1)</f>
        <v>0</v>
      </c>
      <c r="BI91" s="125" cm="1">
        <f t="array" ref="BI91">+_xll.EQNXTDZ($A$1,$B91,BI$1,$B$1)</f>
        <v>0</v>
      </c>
      <c r="BJ91" s="125" cm="1">
        <f t="array" ref="BJ91">+_xll.EQNXTDZ($A$1,$B91,BJ$1,$B$1)</f>
        <v>0</v>
      </c>
      <c r="BK91" s="125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5" cm="1">
        <f t="array" ref="C92">+_xll.EQNXTDZ($A$1,$B92,C$1,$B$1)</f>
        <v>0</v>
      </c>
      <c r="D92" s="125" cm="1">
        <f t="array" ref="D92">+_xll.EQNXTDZ($A$1,$B92,D$1,$B$1)</f>
        <v>0</v>
      </c>
      <c r="E92" s="125" cm="1">
        <f t="array" ref="E92">+_xll.EQNXTDZ($A$1,$B92,E$1,$B$1)</f>
        <v>0</v>
      </c>
      <c r="F92" s="125" cm="1">
        <f t="array" ref="F92">+_xll.EQNXTDZ($A$1,$B92,F$1,$B$1)</f>
        <v>0</v>
      </c>
      <c r="G92" s="125" cm="1">
        <f t="array" ref="G92">+_xll.EQNXTDZ($A$1,$B92,G$1,$B$1)</f>
        <v>0</v>
      </c>
      <c r="H92" s="125" cm="1">
        <f t="array" ref="H92">+_xll.EQNXTDZ($A$1,$B92,H$1,$B$1)</f>
        <v>0</v>
      </c>
      <c r="I92" s="125" cm="1">
        <f t="array" ref="I92">+_xll.EQNXTDZ($A$1,$B92,I$1,$B$1)</f>
        <v>0</v>
      </c>
      <c r="J92" s="125" cm="1">
        <f t="array" ref="J92">+_xll.EQNXTDZ($A$1,$B92,J$1,$B$1)</f>
        <v>0</v>
      </c>
      <c r="K92" s="125" cm="1">
        <f t="array" ref="K92">+_xll.EQNXTDZ($A$1,$B92,K$1,$B$1)</f>
        <v>0</v>
      </c>
      <c r="L92" s="125" cm="1">
        <f t="array" ref="L92">+_xll.EQNXTDZ($A$1,$B92,L$1,$B$1)</f>
        <v>0</v>
      </c>
      <c r="M92" s="125" cm="1">
        <f t="array" ref="M92">+_xll.EQNXTDZ($A$1,$B92,M$1,$B$1)</f>
        <v>0</v>
      </c>
      <c r="N92" s="125" cm="1">
        <f t="array" ref="N92">+_xll.EQNXTDZ($A$1,$B92,N$1,$B$1)</f>
        <v>0</v>
      </c>
      <c r="O92" s="125" cm="1">
        <f t="array" ref="O92">+_xll.EQNXTDZ($A$1,$B92,O$1,$B$1)</f>
        <v>1398.27</v>
      </c>
      <c r="P92" s="125" cm="1">
        <f t="array" ref="P92">+_xll.EQNXTDZ($A$1,$B92,P$1,$B$1)</f>
        <v>0</v>
      </c>
      <c r="Q92" s="125" cm="1">
        <f t="array" ref="Q92">+_xll.EQNXTDZ($A$1,$B92,Q$1,$B$1)</f>
        <v>2184.16</v>
      </c>
      <c r="R92" s="125" cm="1">
        <f t="array" ref="R92">+_xll.EQNXTDZ($A$1,$B92,R$1,$B$1)</f>
        <v>0</v>
      </c>
      <c r="S92" s="125" cm="1">
        <f t="array" ref="S92">+_xll.EQNXTDZ($A$1,$B92,S$1,$B$1)</f>
        <v>2295.0700000000002</v>
      </c>
      <c r="T92" s="125" cm="1">
        <f t="array" ref="T92">+_xll.EQNXTDZ($A$1,$B92,T$1,$B$1)</f>
        <v>0</v>
      </c>
      <c r="U92" s="125" cm="1">
        <f t="array" ref="U92">+_xll.EQNXTDZ($A$1,$B92,U$1,$B$1)</f>
        <v>2380.71</v>
      </c>
      <c r="V92" s="125" cm="1">
        <f t="array" ref="V92">+_xll.EQNXTDZ($A$1,$B92,V$1,$B$1)</f>
        <v>0</v>
      </c>
      <c r="W92" s="125" cm="1">
        <f t="array" ref="W92">+_xll.EQNXTDZ($A$1,$B92,W$1,$B$1)</f>
        <v>2205.17</v>
      </c>
      <c r="X92" s="125" cm="1">
        <f t="array" ref="X92">+_xll.EQNXTDZ($A$1,$B92,X$1,$B$1)</f>
        <v>0</v>
      </c>
      <c r="Y92" s="125" cm="1">
        <f t="array" ref="Y92">+_xll.EQNXTDZ($A$1,$B92,Y$1,$B$1)</f>
        <v>2376.9899999999998</v>
      </c>
      <c r="Z92" s="125" cm="1">
        <f t="array" ref="Z92">+_xll.EQNXTDZ($A$1,$B92,Z$1,$B$1)</f>
        <v>0</v>
      </c>
      <c r="AA92" s="125" cm="1">
        <f t="array" ref="AA92">+_xll.EQNXTDZ($A$1,$B92,AA$1,$B$1)</f>
        <v>3111.89</v>
      </c>
      <c r="AB92" s="125" cm="1">
        <f t="array" ref="AB92">+_xll.EQNXTDZ($A$1,$B92,AB$1,$B$1)</f>
        <v>0</v>
      </c>
      <c r="AC92" s="125" cm="1">
        <f t="array" ref="AC92">+_xll.EQNXTDZ($A$1,$B92,AC$1,$B$1)</f>
        <v>3142.99</v>
      </c>
      <c r="AD92" s="125" cm="1">
        <f t="array" ref="AD92">+_xll.EQNXTDZ($A$1,$B92,AD$1,$B$1)</f>
        <v>0</v>
      </c>
      <c r="AE92" s="125" cm="1">
        <f t="array" ref="AE92">+_xll.EQNXTDZ($A$1,$B92,AE$1,$B$1)</f>
        <v>3376.93</v>
      </c>
      <c r="AF92" s="125" cm="1">
        <f t="array" ref="AF92">+_xll.EQNXTDZ($A$1,$B92,AF$1,$B$1)</f>
        <v>0</v>
      </c>
      <c r="AG92" s="125" cm="1">
        <f t="array" ref="AG92">+_xll.EQNXTDZ($A$1,$B92,AG$1,$B$1)</f>
        <v>3814.3</v>
      </c>
      <c r="AH92" s="125" cm="1">
        <f t="array" ref="AH92">+_xll.EQNXTDZ($A$1,$B92,AH$1,$B$1)</f>
        <v>0</v>
      </c>
      <c r="AI92" s="125" cm="1">
        <f t="array" ref="AI92">+_xll.EQNXTDZ($A$1,$B92,AI$1,$B$1)</f>
        <v>4420.67</v>
      </c>
      <c r="AJ92" s="125" cm="1">
        <f t="array" ref="AJ92">+_xll.EQNXTDZ($A$1,$B92,AJ$1,$B$1)</f>
        <v>0</v>
      </c>
      <c r="AK92" s="125" cm="1">
        <f t="array" ref="AK92">+_xll.EQNXTDZ($A$1,$B92,AK$1,$B$1)</f>
        <v>5140.08</v>
      </c>
      <c r="AL92" s="125" cm="1">
        <f t="array" ref="AL92">+_xll.EQNXTDZ($A$1,$B92,AL$1,$B$1)</f>
        <v>0</v>
      </c>
      <c r="AM92" s="125" cm="1">
        <f t="array" ref="AM92">+_xll.EQNXTDZ($A$1,$B92,AM$1,$B$1)</f>
        <v>5811.88</v>
      </c>
      <c r="AN92" s="125" cm="1">
        <f t="array" ref="AN92">+_xll.EQNXTDZ($A$1,$B92,AN$1,$B$1)</f>
        <v>0</v>
      </c>
      <c r="AO92" s="125" cm="1">
        <f t="array" ref="AO92">+_xll.EQNXTDZ($A$1,$B92,AO$1,$B$1)</f>
        <v>6182.13</v>
      </c>
      <c r="AP92" s="125" cm="1">
        <f t="array" ref="AP92">+_xll.EQNXTDZ($A$1,$B92,AP$1,$B$1)</f>
        <v>0</v>
      </c>
      <c r="AQ92" s="125" cm="1">
        <f t="array" ref="AQ92">+_xll.EQNXTDZ($A$1,$B92,AQ$1,$B$1)</f>
        <v>6032.59</v>
      </c>
      <c r="AR92" s="125" cm="1">
        <f t="array" ref="AR92">+_xll.EQNXTDZ($A$1,$B92,AR$1,$B$1)</f>
        <v>0</v>
      </c>
      <c r="AS92" s="125" cm="1">
        <f t="array" ref="AS92">+_xll.EQNXTDZ($A$1,$B92,AS$1,$B$1)</f>
        <v>6210.62</v>
      </c>
      <c r="AT92" s="125" cm="1">
        <f t="array" ref="AT92">+_xll.EQNXTDZ($A$1,$B92,AT$1,$B$1)</f>
        <v>0</v>
      </c>
      <c r="AU92" s="125" cm="1">
        <f t="array" ref="AU92">+_xll.EQNXTDZ($A$1,$B92,AU$1,$B$1)</f>
        <v>7032.01</v>
      </c>
      <c r="AV92" s="125" cm="1">
        <f t="array" ref="AV92">+_xll.EQNXTDZ($A$1,$B92,AV$1,$B$1)</f>
        <v>0</v>
      </c>
      <c r="AW92" s="125" cm="1">
        <f t="array" ref="AW92">+_xll.EQNXTDZ($A$1,$B92,AW$1,$B$1)</f>
        <v>0</v>
      </c>
      <c r="AX92" s="125" cm="1">
        <f t="array" ref="AX92">+_xll.EQNXTDZ($A$1,$B92,AX$1,$B$1)</f>
        <v>0</v>
      </c>
      <c r="AY92" s="125" cm="1">
        <f t="array" ref="AY92">+_xll.EQNXTDZ($A$1,$B92,AY$1,$B$1)</f>
        <v>0</v>
      </c>
      <c r="AZ92" s="125" cm="1">
        <f t="array" ref="AZ92">+_xll.EQNXTDZ($A$1,$B92,AZ$1,$B$1)</f>
        <v>0</v>
      </c>
      <c r="BA92" s="125" cm="1">
        <f t="array" ref="BA92">+_xll.EQNXTDZ($A$1,$B92,BA$1,$B$1)</f>
        <v>0</v>
      </c>
      <c r="BB92" s="125" cm="1">
        <f t="array" ref="BB92">+_xll.EQNXTDZ($A$1,$B92,BB$1,$B$1)</f>
        <v>0</v>
      </c>
      <c r="BC92" s="125" cm="1">
        <f t="array" ref="BC92">+_xll.EQNXTDZ($A$1,$B92,BC$1,$B$1)</f>
        <v>0</v>
      </c>
      <c r="BD92" s="125" cm="1">
        <f t="array" ref="BD92">+_xll.EQNXTDZ($A$1,$B92,BD$1,$B$1)</f>
        <v>0</v>
      </c>
      <c r="BE92" s="125" cm="1">
        <f t="array" ref="BE92">+_xll.EQNXTDZ($A$1,$B92,BE$1,$B$1)</f>
        <v>0</v>
      </c>
      <c r="BF92" s="125" cm="1">
        <f t="array" ref="BF92">+_xll.EQNXTDZ($A$1,$B92,BF$1,$B$1)</f>
        <v>0</v>
      </c>
      <c r="BG92" s="125" cm="1">
        <f t="array" ref="BG92">+_xll.EQNXTDZ($A$1,$B92,BG$1,$B$1)</f>
        <v>0</v>
      </c>
      <c r="BH92" s="125" cm="1">
        <f t="array" ref="BH92">+_xll.EQNXTDZ($A$1,$B92,BH$1,$B$1)</f>
        <v>0</v>
      </c>
      <c r="BI92" s="125" cm="1">
        <f t="array" ref="BI92">+_xll.EQNXTDZ($A$1,$B92,BI$1,$B$1)</f>
        <v>0</v>
      </c>
      <c r="BJ92" s="125" cm="1">
        <f t="array" ref="BJ92">+_xll.EQNXTDZ($A$1,$B92,BJ$1,$B$1)</f>
        <v>0</v>
      </c>
      <c r="BK92" s="125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5" cm="1">
        <f t="array" ref="C93">+_xll.EQNXTDZ($A$1,$B93,C$1,$B$1)</f>
        <v>0</v>
      </c>
      <c r="D93" s="125" cm="1">
        <f t="array" ref="D93">+_xll.EQNXTDZ($A$1,$B93,D$1,$B$1)</f>
        <v>0</v>
      </c>
      <c r="E93" s="125" cm="1">
        <f t="array" ref="E93">+_xll.EQNXTDZ($A$1,$B93,E$1,$B$1)</f>
        <v>0</v>
      </c>
      <c r="F93" s="125" cm="1">
        <f t="array" ref="F93">+_xll.EQNXTDZ($A$1,$B93,F$1,$B$1)</f>
        <v>0</v>
      </c>
      <c r="G93" s="125" cm="1">
        <f t="array" ref="G93">+_xll.EQNXTDZ($A$1,$B93,G$1,$B$1)</f>
        <v>0</v>
      </c>
      <c r="H93" s="125" cm="1">
        <f t="array" ref="H93">+_xll.EQNXTDZ($A$1,$B93,H$1,$B$1)</f>
        <v>0</v>
      </c>
      <c r="I93" s="125" cm="1">
        <f t="array" ref="I93">+_xll.EQNXTDZ($A$1,$B93,I$1,$B$1)</f>
        <v>0</v>
      </c>
      <c r="J93" s="125" cm="1">
        <f t="array" ref="J93">+_xll.EQNXTDZ($A$1,$B93,J$1,$B$1)</f>
        <v>0</v>
      </c>
      <c r="K93" s="125" cm="1">
        <f t="array" ref="K93">+_xll.EQNXTDZ($A$1,$B93,K$1,$B$1)</f>
        <v>0</v>
      </c>
      <c r="L93" s="125" cm="1">
        <f t="array" ref="L93">+_xll.EQNXTDZ($A$1,$B93,L$1,$B$1)</f>
        <v>0</v>
      </c>
      <c r="M93" s="125" cm="1">
        <f t="array" ref="M93">+_xll.EQNXTDZ($A$1,$B93,M$1,$B$1)</f>
        <v>0</v>
      </c>
      <c r="N93" s="125" cm="1">
        <f t="array" ref="N93">+_xll.EQNXTDZ($A$1,$B93,N$1,$B$1)</f>
        <v>0</v>
      </c>
      <c r="O93" s="125" cm="1">
        <f t="array" ref="O93">+_xll.EQNXTDZ($A$1,$B93,O$1,$B$1)</f>
        <v>0</v>
      </c>
      <c r="P93" s="125" cm="1">
        <f t="array" ref="P93">+_xll.EQNXTDZ($A$1,$B93,P$1,$B$1)</f>
        <v>0</v>
      </c>
      <c r="Q93" s="125" cm="1">
        <f t="array" ref="Q93">+_xll.EQNXTDZ($A$1,$B93,Q$1,$B$1)</f>
        <v>0</v>
      </c>
      <c r="R93" s="125" cm="1">
        <f t="array" ref="R93">+_xll.EQNXTDZ($A$1,$B93,R$1,$B$1)</f>
        <v>0</v>
      </c>
      <c r="S93" s="125" cm="1">
        <f t="array" ref="S93">+_xll.EQNXTDZ($A$1,$B93,S$1,$B$1)</f>
        <v>0</v>
      </c>
      <c r="T93" s="125" cm="1">
        <f t="array" ref="T93">+_xll.EQNXTDZ($A$1,$B93,T$1,$B$1)</f>
        <v>0</v>
      </c>
      <c r="U93" s="125" cm="1">
        <f t="array" ref="U93">+_xll.EQNXTDZ($A$1,$B93,U$1,$B$1)</f>
        <v>0</v>
      </c>
      <c r="V93" s="125" cm="1">
        <f t="array" ref="V93">+_xll.EQNXTDZ($A$1,$B93,V$1,$B$1)</f>
        <v>0</v>
      </c>
      <c r="W93" s="125" cm="1">
        <f t="array" ref="W93">+_xll.EQNXTDZ($A$1,$B93,W$1,$B$1)</f>
        <v>0</v>
      </c>
      <c r="X93" s="125" cm="1">
        <f t="array" ref="X93">+_xll.EQNXTDZ($A$1,$B93,X$1,$B$1)</f>
        <v>0</v>
      </c>
      <c r="Y93" s="125" cm="1">
        <f t="array" ref="Y93">+_xll.EQNXTDZ($A$1,$B93,Y$1,$B$1)</f>
        <v>0</v>
      </c>
      <c r="Z93" s="125" cm="1">
        <f t="array" ref="Z93">+_xll.EQNXTDZ($A$1,$B93,Z$1,$B$1)</f>
        <v>0</v>
      </c>
      <c r="AA93" s="125" cm="1">
        <f t="array" ref="AA93">+_xll.EQNXTDZ($A$1,$B93,AA$1,$B$1)</f>
        <v>0</v>
      </c>
      <c r="AB93" s="125" cm="1">
        <f t="array" ref="AB93">+_xll.EQNXTDZ($A$1,$B93,AB$1,$B$1)</f>
        <v>0</v>
      </c>
      <c r="AC93" s="125" cm="1">
        <f t="array" ref="AC93">+_xll.EQNXTDZ($A$1,$B93,AC$1,$B$1)</f>
        <v>0</v>
      </c>
      <c r="AD93" s="125" cm="1">
        <f t="array" ref="AD93">+_xll.EQNXTDZ($A$1,$B93,AD$1,$B$1)</f>
        <v>0</v>
      </c>
      <c r="AE93" s="125" cm="1">
        <f t="array" ref="AE93">+_xll.EQNXTDZ($A$1,$B93,AE$1,$B$1)</f>
        <v>0</v>
      </c>
      <c r="AF93" s="125" cm="1">
        <f t="array" ref="AF93">+_xll.EQNXTDZ($A$1,$B93,AF$1,$B$1)</f>
        <v>0</v>
      </c>
      <c r="AG93" s="125" cm="1">
        <f t="array" ref="AG93">+_xll.EQNXTDZ($A$1,$B93,AG$1,$B$1)</f>
        <v>0</v>
      </c>
      <c r="AH93" s="125" cm="1">
        <f t="array" ref="AH93">+_xll.EQNXTDZ($A$1,$B93,AH$1,$B$1)</f>
        <v>0</v>
      </c>
      <c r="AI93" s="125" cm="1">
        <f t="array" ref="AI93">+_xll.EQNXTDZ($A$1,$B93,AI$1,$B$1)</f>
        <v>0</v>
      </c>
      <c r="AJ93" s="125" cm="1">
        <f t="array" ref="AJ93">+_xll.EQNXTDZ($A$1,$B93,AJ$1,$B$1)</f>
        <v>0</v>
      </c>
      <c r="AK93" s="125" cm="1">
        <f t="array" ref="AK93">+_xll.EQNXTDZ($A$1,$B93,AK$1,$B$1)</f>
        <v>0</v>
      </c>
      <c r="AL93" s="125" cm="1">
        <f t="array" ref="AL93">+_xll.EQNXTDZ($A$1,$B93,AL$1,$B$1)</f>
        <v>0</v>
      </c>
      <c r="AM93" s="125" cm="1">
        <f t="array" ref="AM93">+_xll.EQNXTDZ($A$1,$B93,AM$1,$B$1)</f>
        <v>0</v>
      </c>
      <c r="AN93" s="125" cm="1">
        <f t="array" ref="AN93">+_xll.EQNXTDZ($A$1,$B93,AN$1,$B$1)</f>
        <v>0</v>
      </c>
      <c r="AO93" s="125" cm="1">
        <f t="array" ref="AO93">+_xll.EQNXTDZ($A$1,$B93,AO$1,$B$1)</f>
        <v>0</v>
      </c>
      <c r="AP93" s="125" cm="1">
        <f t="array" ref="AP93">+_xll.EQNXTDZ($A$1,$B93,AP$1,$B$1)</f>
        <v>0</v>
      </c>
      <c r="AQ93" s="125" cm="1">
        <f t="array" ref="AQ93">+_xll.EQNXTDZ($A$1,$B93,AQ$1,$B$1)</f>
        <v>0</v>
      </c>
      <c r="AR93" s="125" cm="1">
        <f t="array" ref="AR93">+_xll.EQNXTDZ($A$1,$B93,AR$1,$B$1)</f>
        <v>0</v>
      </c>
      <c r="AS93" s="125" cm="1">
        <f t="array" ref="AS93">+_xll.EQNXTDZ($A$1,$B93,AS$1,$B$1)</f>
        <v>0</v>
      </c>
      <c r="AT93" s="125" cm="1">
        <f t="array" ref="AT93">+_xll.EQNXTDZ($A$1,$B93,AT$1,$B$1)</f>
        <v>0</v>
      </c>
      <c r="AU93" s="125" cm="1">
        <f t="array" ref="AU93">+_xll.EQNXTDZ($A$1,$B93,AU$1,$B$1)</f>
        <v>0</v>
      </c>
      <c r="AV93" s="125" cm="1">
        <f t="array" ref="AV93">+_xll.EQNXTDZ($A$1,$B93,AV$1,$B$1)</f>
        <v>0</v>
      </c>
      <c r="AW93" s="125" cm="1">
        <f t="array" ref="AW93">+_xll.EQNXTDZ($A$1,$B93,AW$1,$B$1)</f>
        <v>0</v>
      </c>
      <c r="AX93" s="125" cm="1">
        <f t="array" ref="AX93">+_xll.EQNXTDZ($A$1,$B93,AX$1,$B$1)</f>
        <v>0</v>
      </c>
      <c r="AY93" s="125" cm="1">
        <f t="array" ref="AY93">+_xll.EQNXTDZ($A$1,$B93,AY$1,$B$1)</f>
        <v>0</v>
      </c>
      <c r="AZ93" s="125" cm="1">
        <f t="array" ref="AZ93">+_xll.EQNXTDZ($A$1,$B93,AZ$1,$B$1)</f>
        <v>0</v>
      </c>
      <c r="BA93" s="125" cm="1">
        <f t="array" ref="BA93">+_xll.EQNXTDZ($A$1,$B93,BA$1,$B$1)</f>
        <v>0</v>
      </c>
      <c r="BB93" s="125" cm="1">
        <f t="array" ref="BB93">+_xll.EQNXTDZ($A$1,$B93,BB$1,$B$1)</f>
        <v>0</v>
      </c>
      <c r="BC93" s="125" cm="1">
        <f t="array" ref="BC93">+_xll.EQNXTDZ($A$1,$B93,BC$1,$B$1)</f>
        <v>0</v>
      </c>
      <c r="BD93" s="125" cm="1">
        <f t="array" ref="BD93">+_xll.EQNXTDZ($A$1,$B93,BD$1,$B$1)</f>
        <v>0</v>
      </c>
      <c r="BE93" s="125" cm="1">
        <f t="array" ref="BE93">+_xll.EQNXTDZ($A$1,$B93,BE$1,$B$1)</f>
        <v>0</v>
      </c>
      <c r="BF93" s="125" cm="1">
        <f t="array" ref="BF93">+_xll.EQNXTDZ($A$1,$B93,BF$1,$B$1)</f>
        <v>0</v>
      </c>
      <c r="BG93" s="125" cm="1">
        <f t="array" ref="BG93">+_xll.EQNXTDZ($A$1,$B93,BG$1,$B$1)</f>
        <v>0</v>
      </c>
      <c r="BH93" s="125" cm="1">
        <f t="array" ref="BH93">+_xll.EQNXTDZ($A$1,$B93,BH$1,$B$1)</f>
        <v>0</v>
      </c>
      <c r="BI93" s="125" cm="1">
        <f t="array" ref="BI93">+_xll.EQNXTDZ($A$1,$B93,BI$1,$B$1)</f>
        <v>0</v>
      </c>
      <c r="BJ93" s="125" cm="1">
        <f t="array" ref="BJ93">+_xll.EQNXTDZ($A$1,$B93,BJ$1,$B$1)</f>
        <v>0</v>
      </c>
      <c r="BK93" s="125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5" cm="1">
        <f t="array" ref="C94">+_xll.EQNXTDZ($A$1,$B94,C$1,$B$1)</f>
        <v>0</v>
      </c>
      <c r="D94" s="125" cm="1">
        <f t="array" ref="D94">+_xll.EQNXTDZ($A$1,$B94,D$1,$B$1)</f>
        <v>0</v>
      </c>
      <c r="E94" s="125" cm="1">
        <f t="array" ref="E94">+_xll.EQNXTDZ($A$1,$B94,E$1,$B$1)</f>
        <v>0</v>
      </c>
      <c r="F94" s="125" cm="1">
        <f t="array" ref="F94">+_xll.EQNXTDZ($A$1,$B94,F$1,$B$1)</f>
        <v>0</v>
      </c>
      <c r="G94" s="125" cm="1">
        <f t="array" ref="G94">+_xll.EQNXTDZ($A$1,$B94,G$1,$B$1)</f>
        <v>0</v>
      </c>
      <c r="H94" s="125" cm="1">
        <f t="array" ref="H94">+_xll.EQNXTDZ($A$1,$B94,H$1,$B$1)</f>
        <v>0</v>
      </c>
      <c r="I94" s="125" cm="1">
        <f t="array" ref="I94">+_xll.EQNXTDZ($A$1,$B94,I$1,$B$1)</f>
        <v>0</v>
      </c>
      <c r="J94" s="125" cm="1">
        <f t="array" ref="J94">+_xll.EQNXTDZ($A$1,$B94,J$1,$B$1)</f>
        <v>0</v>
      </c>
      <c r="K94" s="125" cm="1">
        <f t="array" ref="K94">+_xll.EQNXTDZ($A$1,$B94,K$1,$B$1)</f>
        <v>0</v>
      </c>
      <c r="L94" s="125" cm="1">
        <f t="array" ref="L94">+_xll.EQNXTDZ($A$1,$B94,L$1,$B$1)</f>
        <v>0</v>
      </c>
      <c r="M94" s="125" cm="1">
        <f t="array" ref="M94">+_xll.EQNXTDZ($A$1,$B94,M$1,$B$1)</f>
        <v>0</v>
      </c>
      <c r="N94" s="125" cm="1">
        <f t="array" ref="N94">+_xll.EQNXTDZ($A$1,$B94,N$1,$B$1)</f>
        <v>0</v>
      </c>
      <c r="O94" s="125" cm="1">
        <f t="array" ref="O94">+_xll.EQNXTDZ($A$1,$B94,O$1,$B$1)</f>
        <v>30</v>
      </c>
      <c r="P94" s="125" cm="1">
        <f t="array" ref="P94">+_xll.EQNXTDZ($A$1,$B94,P$1,$B$1)</f>
        <v>0</v>
      </c>
      <c r="Q94" s="125" cm="1">
        <f t="array" ref="Q94">+_xll.EQNXTDZ($A$1,$B94,Q$1,$B$1)</f>
        <v>37.03</v>
      </c>
      <c r="R94" s="125" cm="1">
        <f t="array" ref="R94">+_xll.EQNXTDZ($A$1,$B94,R$1,$B$1)</f>
        <v>0</v>
      </c>
      <c r="S94" s="125" cm="1">
        <f t="array" ref="S94">+_xll.EQNXTDZ($A$1,$B94,S$1,$B$1)</f>
        <v>43.14</v>
      </c>
      <c r="T94" s="125" cm="1">
        <f t="array" ref="T94">+_xll.EQNXTDZ($A$1,$B94,T$1,$B$1)</f>
        <v>0</v>
      </c>
      <c r="U94" s="125" cm="1">
        <f t="array" ref="U94">+_xll.EQNXTDZ($A$1,$B94,U$1,$B$1)</f>
        <v>42.82</v>
      </c>
      <c r="V94" s="125" cm="1">
        <f t="array" ref="V94">+_xll.EQNXTDZ($A$1,$B94,V$1,$B$1)</f>
        <v>0</v>
      </c>
      <c r="W94" s="125" cm="1">
        <f t="array" ref="W94">+_xll.EQNXTDZ($A$1,$B94,W$1,$B$1)</f>
        <v>57.44</v>
      </c>
      <c r="X94" s="125" cm="1">
        <f t="array" ref="X94">+_xll.EQNXTDZ($A$1,$B94,X$1,$B$1)</f>
        <v>0</v>
      </c>
      <c r="Y94" s="125" cm="1">
        <f t="array" ref="Y94">+_xll.EQNXTDZ($A$1,$B94,Y$1,$B$1)</f>
        <v>107.72</v>
      </c>
      <c r="Z94" s="125" cm="1">
        <f t="array" ref="Z94">+_xll.EQNXTDZ($A$1,$B94,Z$1,$B$1)</f>
        <v>0</v>
      </c>
      <c r="AA94" s="125" cm="1">
        <f t="array" ref="AA94">+_xll.EQNXTDZ($A$1,$B94,AA$1,$B$1)</f>
        <v>104.09</v>
      </c>
      <c r="AB94" s="125" cm="1">
        <f t="array" ref="AB94">+_xll.EQNXTDZ($A$1,$B94,AB$1,$B$1)</f>
        <v>0</v>
      </c>
      <c r="AC94" s="125" cm="1">
        <f t="array" ref="AC94">+_xll.EQNXTDZ($A$1,$B94,AC$1,$B$1)</f>
        <v>147.28</v>
      </c>
      <c r="AD94" s="125" cm="1">
        <f t="array" ref="AD94">+_xll.EQNXTDZ($A$1,$B94,AD$1,$B$1)</f>
        <v>0</v>
      </c>
      <c r="AE94" s="125" cm="1">
        <f t="array" ref="AE94">+_xll.EQNXTDZ($A$1,$B94,AE$1,$B$1)</f>
        <v>155.38999999999999</v>
      </c>
      <c r="AF94" s="125" cm="1">
        <f t="array" ref="AF94">+_xll.EQNXTDZ($A$1,$B94,AF$1,$B$1)</f>
        <v>0</v>
      </c>
      <c r="AG94" s="125" cm="1">
        <f t="array" ref="AG94">+_xll.EQNXTDZ($A$1,$B94,AG$1,$B$1)</f>
        <v>103.13</v>
      </c>
      <c r="AH94" s="125" cm="1">
        <f t="array" ref="AH94">+_xll.EQNXTDZ($A$1,$B94,AH$1,$B$1)</f>
        <v>0</v>
      </c>
      <c r="AI94" s="125" cm="1">
        <f t="array" ref="AI94">+_xll.EQNXTDZ($A$1,$B94,AI$1,$B$1)</f>
        <v>80.930000000000007</v>
      </c>
      <c r="AJ94" s="125" cm="1">
        <f t="array" ref="AJ94">+_xll.EQNXTDZ($A$1,$B94,AJ$1,$B$1)</f>
        <v>0</v>
      </c>
      <c r="AK94" s="125" cm="1">
        <f t="array" ref="AK94">+_xll.EQNXTDZ($A$1,$B94,AK$1,$B$1)</f>
        <v>91.95</v>
      </c>
      <c r="AL94" s="125" cm="1">
        <f t="array" ref="AL94">+_xll.EQNXTDZ($A$1,$B94,AL$1,$B$1)</f>
        <v>0</v>
      </c>
      <c r="AM94" s="125" cm="1">
        <f t="array" ref="AM94">+_xll.EQNXTDZ($A$1,$B94,AM$1,$B$1)</f>
        <v>136.91999999999999</v>
      </c>
      <c r="AN94" s="125" cm="1">
        <f t="array" ref="AN94">+_xll.EQNXTDZ($A$1,$B94,AN$1,$B$1)</f>
        <v>0</v>
      </c>
      <c r="AO94" s="125" cm="1">
        <f t="array" ref="AO94">+_xll.EQNXTDZ($A$1,$B94,AO$1,$B$1)</f>
        <v>243.37</v>
      </c>
      <c r="AP94" s="125" cm="1">
        <f t="array" ref="AP94">+_xll.EQNXTDZ($A$1,$B94,AP$1,$B$1)</f>
        <v>0</v>
      </c>
      <c r="AQ94" s="125" cm="1">
        <f t="array" ref="AQ94">+_xll.EQNXTDZ($A$1,$B94,AQ$1,$B$1)</f>
        <v>355.25</v>
      </c>
      <c r="AR94" s="125" cm="1">
        <f t="array" ref="AR94">+_xll.EQNXTDZ($A$1,$B94,AR$1,$B$1)</f>
        <v>0</v>
      </c>
      <c r="AS94" s="125" cm="1">
        <f t="array" ref="AS94">+_xll.EQNXTDZ($A$1,$B94,AS$1,$B$1)</f>
        <v>294.76</v>
      </c>
      <c r="AT94" s="125" cm="1">
        <f t="array" ref="AT94">+_xll.EQNXTDZ($A$1,$B94,AT$1,$B$1)</f>
        <v>0</v>
      </c>
      <c r="AU94" s="125" cm="1">
        <f t="array" ref="AU94">+_xll.EQNXTDZ($A$1,$B94,AU$1,$B$1)</f>
        <v>327.86</v>
      </c>
      <c r="AV94" s="125" cm="1">
        <f t="array" ref="AV94">+_xll.EQNXTDZ($A$1,$B94,AV$1,$B$1)</f>
        <v>0</v>
      </c>
      <c r="AW94" s="125" cm="1">
        <f t="array" ref="AW94">+_xll.EQNXTDZ($A$1,$B94,AW$1,$B$1)</f>
        <v>0</v>
      </c>
      <c r="AX94" s="125" cm="1">
        <f t="array" ref="AX94">+_xll.EQNXTDZ($A$1,$B94,AX$1,$B$1)</f>
        <v>0</v>
      </c>
      <c r="AY94" s="125" cm="1">
        <f t="array" ref="AY94">+_xll.EQNXTDZ($A$1,$B94,AY$1,$B$1)</f>
        <v>0</v>
      </c>
      <c r="AZ94" s="125" cm="1">
        <f t="array" ref="AZ94">+_xll.EQNXTDZ($A$1,$B94,AZ$1,$B$1)</f>
        <v>0</v>
      </c>
      <c r="BA94" s="125" cm="1">
        <f t="array" ref="BA94">+_xll.EQNXTDZ($A$1,$B94,BA$1,$B$1)</f>
        <v>0</v>
      </c>
      <c r="BB94" s="125" cm="1">
        <f t="array" ref="BB94">+_xll.EQNXTDZ($A$1,$B94,BB$1,$B$1)</f>
        <v>0</v>
      </c>
      <c r="BC94" s="125" cm="1">
        <f t="array" ref="BC94">+_xll.EQNXTDZ($A$1,$B94,BC$1,$B$1)</f>
        <v>0</v>
      </c>
      <c r="BD94" s="125" cm="1">
        <f t="array" ref="BD94">+_xll.EQNXTDZ($A$1,$B94,BD$1,$B$1)</f>
        <v>0</v>
      </c>
      <c r="BE94" s="125" cm="1">
        <f t="array" ref="BE94">+_xll.EQNXTDZ($A$1,$B94,BE$1,$B$1)</f>
        <v>0</v>
      </c>
      <c r="BF94" s="125" cm="1">
        <f t="array" ref="BF94">+_xll.EQNXTDZ($A$1,$B94,BF$1,$B$1)</f>
        <v>0</v>
      </c>
      <c r="BG94" s="125" cm="1">
        <f t="array" ref="BG94">+_xll.EQNXTDZ($A$1,$B94,BG$1,$B$1)</f>
        <v>0</v>
      </c>
      <c r="BH94" s="125" cm="1">
        <f t="array" ref="BH94">+_xll.EQNXTDZ($A$1,$B94,BH$1,$B$1)</f>
        <v>0</v>
      </c>
      <c r="BI94" s="125" cm="1">
        <f t="array" ref="BI94">+_xll.EQNXTDZ($A$1,$B94,BI$1,$B$1)</f>
        <v>0</v>
      </c>
      <c r="BJ94" s="125" cm="1">
        <f t="array" ref="BJ94">+_xll.EQNXTDZ($A$1,$B94,BJ$1,$B$1)</f>
        <v>0</v>
      </c>
      <c r="BK94" s="125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5" cm="1">
        <f t="array" ref="C95">+_xll.EQNXTDZ($A$1,$B95,C$1,$B$1)</f>
        <v>0</v>
      </c>
      <c r="D95" s="125" cm="1">
        <f t="array" ref="D95">+_xll.EQNXTDZ($A$1,$B95,D$1,$B$1)</f>
        <v>0</v>
      </c>
      <c r="E95" s="125" cm="1">
        <f t="array" ref="E95">+_xll.EQNXTDZ($A$1,$B95,E$1,$B$1)</f>
        <v>0</v>
      </c>
      <c r="F95" s="125" cm="1">
        <f t="array" ref="F95">+_xll.EQNXTDZ($A$1,$B95,F$1,$B$1)</f>
        <v>0</v>
      </c>
      <c r="G95" s="125" cm="1">
        <f t="array" ref="G95">+_xll.EQNXTDZ($A$1,$B95,G$1,$B$1)</f>
        <v>0</v>
      </c>
      <c r="H95" s="125" cm="1">
        <f t="array" ref="H95">+_xll.EQNXTDZ($A$1,$B95,H$1,$B$1)</f>
        <v>0</v>
      </c>
      <c r="I95" s="125" cm="1">
        <f t="array" ref="I95">+_xll.EQNXTDZ($A$1,$B95,I$1,$B$1)</f>
        <v>0</v>
      </c>
      <c r="J95" s="125" cm="1">
        <f t="array" ref="J95">+_xll.EQNXTDZ($A$1,$B95,J$1,$B$1)</f>
        <v>0</v>
      </c>
      <c r="K95" s="125" cm="1">
        <f t="array" ref="K95">+_xll.EQNXTDZ($A$1,$B95,K$1,$B$1)</f>
        <v>0</v>
      </c>
      <c r="L95" s="125" cm="1">
        <f t="array" ref="L95">+_xll.EQNXTDZ($A$1,$B95,L$1,$B$1)</f>
        <v>0</v>
      </c>
      <c r="M95" s="125" cm="1">
        <f t="array" ref="M95">+_xll.EQNXTDZ($A$1,$B95,M$1,$B$1)</f>
        <v>0</v>
      </c>
      <c r="N95" s="125" cm="1">
        <f t="array" ref="N95">+_xll.EQNXTDZ($A$1,$B95,N$1,$B$1)</f>
        <v>0</v>
      </c>
      <c r="O95" s="125" cm="1">
        <f t="array" ref="O95">+_xll.EQNXTDZ($A$1,$B95,O$1,$B$1)</f>
        <v>1455.03</v>
      </c>
      <c r="P95" s="125" cm="1">
        <f t="array" ref="P95">+_xll.EQNXTDZ($A$1,$B95,P$1,$B$1)</f>
        <v>0</v>
      </c>
      <c r="Q95" s="125" cm="1">
        <f t="array" ref="Q95">+_xll.EQNXTDZ($A$1,$B95,Q$1,$B$1)</f>
        <v>2257.41</v>
      </c>
      <c r="R95" s="125" cm="1">
        <f t="array" ref="R95">+_xll.EQNXTDZ($A$1,$B95,R$1,$B$1)</f>
        <v>0</v>
      </c>
      <c r="S95" s="125" cm="1">
        <f t="array" ref="S95">+_xll.EQNXTDZ($A$1,$B95,S$1,$B$1)</f>
        <v>2386.84</v>
      </c>
      <c r="T95" s="125" cm="1">
        <f t="array" ref="T95">+_xll.EQNXTDZ($A$1,$B95,T$1,$B$1)</f>
        <v>0</v>
      </c>
      <c r="U95" s="125" cm="1">
        <f t="array" ref="U95">+_xll.EQNXTDZ($A$1,$B95,U$1,$B$1)</f>
        <v>2579.88</v>
      </c>
      <c r="V95" s="125" cm="1">
        <f t="array" ref="V95">+_xll.EQNXTDZ($A$1,$B95,V$1,$B$1)</f>
        <v>0</v>
      </c>
      <c r="W95" s="125" cm="1">
        <f t="array" ref="W95">+_xll.EQNXTDZ($A$1,$B95,W$1,$B$1)</f>
        <v>2874.69</v>
      </c>
      <c r="X95" s="125" cm="1">
        <f t="array" ref="X95">+_xll.EQNXTDZ($A$1,$B95,X$1,$B$1)</f>
        <v>0</v>
      </c>
      <c r="Y95" s="125" cm="1">
        <f t="array" ref="Y95">+_xll.EQNXTDZ($A$1,$B95,Y$1,$B$1)</f>
        <v>3084.2</v>
      </c>
      <c r="Z95" s="125" cm="1">
        <f t="array" ref="Z95">+_xll.EQNXTDZ($A$1,$B95,Z$1,$B$1)</f>
        <v>0</v>
      </c>
      <c r="AA95" s="125" cm="1">
        <f t="array" ref="AA95">+_xll.EQNXTDZ($A$1,$B95,AA$1,$B$1)</f>
        <v>3834.27</v>
      </c>
      <c r="AB95" s="125" cm="1">
        <f t="array" ref="AB95">+_xll.EQNXTDZ($A$1,$B95,AB$1,$B$1)</f>
        <v>0</v>
      </c>
      <c r="AC95" s="125" cm="1">
        <f t="array" ref="AC95">+_xll.EQNXTDZ($A$1,$B95,AC$1,$B$1)</f>
        <v>3912.41</v>
      </c>
      <c r="AD95" s="125" cm="1">
        <f t="array" ref="AD95">+_xll.EQNXTDZ($A$1,$B95,AD$1,$B$1)</f>
        <v>0</v>
      </c>
      <c r="AE95" s="125" cm="1">
        <f t="array" ref="AE95">+_xll.EQNXTDZ($A$1,$B95,AE$1,$B$1)</f>
        <v>4213.1400000000003</v>
      </c>
      <c r="AF95" s="125" cm="1">
        <f t="array" ref="AF95">+_xll.EQNXTDZ($A$1,$B95,AF$1,$B$1)</f>
        <v>0</v>
      </c>
      <c r="AG95" s="125" cm="1">
        <f t="array" ref="AG95">+_xll.EQNXTDZ($A$1,$B95,AG$1,$B$1)</f>
        <v>4632.75</v>
      </c>
      <c r="AH95" s="125" cm="1">
        <f t="array" ref="AH95">+_xll.EQNXTDZ($A$1,$B95,AH$1,$B$1)</f>
        <v>0</v>
      </c>
      <c r="AI95" s="125" cm="1">
        <f t="array" ref="AI95">+_xll.EQNXTDZ($A$1,$B95,AI$1,$B$1)</f>
        <v>5163.26</v>
      </c>
      <c r="AJ95" s="125" cm="1">
        <f t="array" ref="AJ95">+_xll.EQNXTDZ($A$1,$B95,AJ$1,$B$1)</f>
        <v>0</v>
      </c>
      <c r="AK95" s="125" cm="1">
        <f t="array" ref="AK95">+_xll.EQNXTDZ($A$1,$B95,AK$1,$B$1)</f>
        <v>5891.17</v>
      </c>
      <c r="AL95" s="125" cm="1">
        <f t="array" ref="AL95">+_xll.EQNXTDZ($A$1,$B95,AL$1,$B$1)</f>
        <v>0</v>
      </c>
      <c r="AM95" s="125" cm="1">
        <f t="array" ref="AM95">+_xll.EQNXTDZ($A$1,$B95,AM$1,$B$1)</f>
        <v>6642.3</v>
      </c>
      <c r="AN95" s="125" cm="1">
        <f t="array" ref="AN95">+_xll.EQNXTDZ($A$1,$B95,AN$1,$B$1)</f>
        <v>0</v>
      </c>
      <c r="AO95" s="125" cm="1">
        <f t="array" ref="AO95">+_xll.EQNXTDZ($A$1,$B95,AO$1,$B$1)</f>
        <v>7110.76</v>
      </c>
      <c r="AP95" s="125" cm="1">
        <f t="array" ref="AP95">+_xll.EQNXTDZ($A$1,$B95,AP$1,$B$1)</f>
        <v>0</v>
      </c>
      <c r="AQ95" s="125" cm="1">
        <f t="array" ref="AQ95">+_xll.EQNXTDZ($A$1,$B95,AQ$1,$B$1)</f>
        <v>7055.59</v>
      </c>
      <c r="AR95" s="125" cm="1">
        <f t="array" ref="AR95">+_xll.EQNXTDZ($A$1,$B95,AR$1,$B$1)</f>
        <v>0</v>
      </c>
      <c r="AS95" s="125" cm="1">
        <f t="array" ref="AS95">+_xll.EQNXTDZ($A$1,$B95,AS$1,$B$1)</f>
        <v>7255.29</v>
      </c>
      <c r="AT95" s="125" cm="1">
        <f t="array" ref="AT95">+_xll.EQNXTDZ($A$1,$B95,AT$1,$B$1)</f>
        <v>0</v>
      </c>
      <c r="AU95" s="125" cm="1">
        <f t="array" ref="AU95">+_xll.EQNXTDZ($A$1,$B95,AU$1,$B$1)</f>
        <v>7979.96</v>
      </c>
      <c r="AV95" s="125" cm="1">
        <f t="array" ref="AV95">+_xll.EQNXTDZ($A$1,$B95,AV$1,$B$1)</f>
        <v>0</v>
      </c>
      <c r="AW95" s="125" cm="1">
        <f t="array" ref="AW95">+_xll.EQNXTDZ($A$1,$B95,AW$1,$B$1)</f>
        <v>0</v>
      </c>
      <c r="AX95" s="125" cm="1">
        <f t="array" ref="AX95">+_xll.EQNXTDZ($A$1,$B95,AX$1,$B$1)</f>
        <v>0</v>
      </c>
      <c r="AY95" s="125" cm="1">
        <f t="array" ref="AY95">+_xll.EQNXTDZ($A$1,$B95,AY$1,$B$1)</f>
        <v>0</v>
      </c>
      <c r="AZ95" s="125" cm="1">
        <f t="array" ref="AZ95">+_xll.EQNXTDZ($A$1,$B95,AZ$1,$B$1)</f>
        <v>0</v>
      </c>
      <c r="BA95" s="125" cm="1">
        <f t="array" ref="BA95">+_xll.EQNXTDZ($A$1,$B95,BA$1,$B$1)</f>
        <v>0</v>
      </c>
      <c r="BB95" s="125" cm="1">
        <f t="array" ref="BB95">+_xll.EQNXTDZ($A$1,$B95,BB$1,$B$1)</f>
        <v>0</v>
      </c>
      <c r="BC95" s="125" cm="1">
        <f t="array" ref="BC95">+_xll.EQNXTDZ($A$1,$B95,BC$1,$B$1)</f>
        <v>0</v>
      </c>
      <c r="BD95" s="125" cm="1">
        <f t="array" ref="BD95">+_xll.EQNXTDZ($A$1,$B95,BD$1,$B$1)</f>
        <v>0</v>
      </c>
      <c r="BE95" s="125" cm="1">
        <f t="array" ref="BE95">+_xll.EQNXTDZ($A$1,$B95,BE$1,$B$1)</f>
        <v>0</v>
      </c>
      <c r="BF95" s="125" cm="1">
        <f t="array" ref="BF95">+_xll.EQNXTDZ($A$1,$B95,BF$1,$B$1)</f>
        <v>0</v>
      </c>
      <c r="BG95" s="125" cm="1">
        <f t="array" ref="BG95">+_xll.EQNXTDZ($A$1,$B95,BG$1,$B$1)</f>
        <v>0</v>
      </c>
      <c r="BH95" s="125" cm="1">
        <f t="array" ref="BH95">+_xll.EQNXTDZ($A$1,$B95,BH$1,$B$1)</f>
        <v>0</v>
      </c>
      <c r="BI95" s="125" cm="1">
        <f t="array" ref="BI95">+_xll.EQNXTDZ($A$1,$B95,BI$1,$B$1)</f>
        <v>0</v>
      </c>
      <c r="BJ95" s="125" cm="1">
        <f t="array" ref="BJ95">+_xll.EQNXTDZ($A$1,$B95,BJ$1,$B$1)</f>
        <v>0</v>
      </c>
      <c r="BK95" s="125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5" cm="1">
        <f t="array" ref="C96">+_xll.EQNXTDZ($A$1,$B96,C$1,$B$1)</f>
        <v>0</v>
      </c>
      <c r="D96" s="125" cm="1">
        <f t="array" ref="D96">+_xll.EQNXTDZ($A$1,$B96,D$1,$B$1)</f>
        <v>0</v>
      </c>
      <c r="E96" s="125" cm="1">
        <f t="array" ref="E96">+_xll.EQNXTDZ($A$1,$B96,E$1,$B$1)</f>
        <v>0</v>
      </c>
      <c r="F96" s="125" cm="1">
        <f t="array" ref="F96">+_xll.EQNXTDZ($A$1,$B96,F$1,$B$1)</f>
        <v>0</v>
      </c>
      <c r="G96" s="125" cm="1">
        <f t="array" ref="G96">+_xll.EQNXTDZ($A$1,$B96,G$1,$B$1)</f>
        <v>0</v>
      </c>
      <c r="H96" s="125" cm="1">
        <f t="array" ref="H96">+_xll.EQNXTDZ($A$1,$B96,H$1,$B$1)</f>
        <v>0</v>
      </c>
      <c r="I96" s="125" cm="1">
        <f t="array" ref="I96">+_xll.EQNXTDZ($A$1,$B96,I$1,$B$1)</f>
        <v>0</v>
      </c>
      <c r="J96" s="125" cm="1">
        <f t="array" ref="J96">+_xll.EQNXTDZ($A$1,$B96,J$1,$B$1)</f>
        <v>0</v>
      </c>
      <c r="K96" s="125" cm="1">
        <f t="array" ref="K96">+_xll.EQNXTDZ($A$1,$B96,K$1,$B$1)</f>
        <v>0</v>
      </c>
      <c r="L96" s="125" cm="1">
        <f t="array" ref="L96">+_xll.EQNXTDZ($A$1,$B96,L$1,$B$1)</f>
        <v>0</v>
      </c>
      <c r="M96" s="125" cm="1">
        <f t="array" ref="M96">+_xll.EQNXTDZ($A$1,$B96,M$1,$B$1)</f>
        <v>0</v>
      </c>
      <c r="N96" s="125" cm="1">
        <f t="array" ref="N96">+_xll.EQNXTDZ($A$1,$B96,N$1,$B$1)</f>
        <v>0</v>
      </c>
      <c r="O96" s="125" cm="1">
        <f t="array" ref="O96">+_xll.EQNXTDZ($A$1,$B96,O$1,$B$1)</f>
        <v>0</v>
      </c>
      <c r="P96" s="125" cm="1">
        <f t="array" ref="P96">+_xll.EQNXTDZ($A$1,$B96,P$1,$B$1)</f>
        <v>0</v>
      </c>
      <c r="Q96" s="125" cm="1">
        <f t="array" ref="Q96">+_xll.EQNXTDZ($A$1,$B96,Q$1,$B$1)</f>
        <v>0</v>
      </c>
      <c r="R96" s="125" cm="1">
        <f t="array" ref="R96">+_xll.EQNXTDZ($A$1,$B96,R$1,$B$1)</f>
        <v>0</v>
      </c>
      <c r="S96" s="125" cm="1">
        <f t="array" ref="S96">+_xll.EQNXTDZ($A$1,$B96,S$1,$B$1)</f>
        <v>0</v>
      </c>
      <c r="T96" s="125" cm="1">
        <f t="array" ref="T96">+_xll.EQNXTDZ($A$1,$B96,T$1,$B$1)</f>
        <v>0</v>
      </c>
      <c r="U96" s="125" cm="1">
        <f t="array" ref="U96">+_xll.EQNXTDZ($A$1,$B96,U$1,$B$1)</f>
        <v>0</v>
      </c>
      <c r="V96" s="125" cm="1">
        <f t="array" ref="V96">+_xll.EQNXTDZ($A$1,$B96,V$1,$B$1)</f>
        <v>0</v>
      </c>
      <c r="W96" s="125" cm="1">
        <f t="array" ref="W96">+_xll.EQNXTDZ($A$1,$B96,W$1,$B$1)</f>
        <v>0</v>
      </c>
      <c r="X96" s="125" cm="1">
        <f t="array" ref="X96">+_xll.EQNXTDZ($A$1,$B96,X$1,$B$1)</f>
        <v>0</v>
      </c>
      <c r="Y96" s="125" cm="1">
        <f t="array" ref="Y96">+_xll.EQNXTDZ($A$1,$B96,Y$1,$B$1)</f>
        <v>0</v>
      </c>
      <c r="Z96" s="125" cm="1">
        <f t="array" ref="Z96">+_xll.EQNXTDZ($A$1,$B96,Z$1,$B$1)</f>
        <v>0</v>
      </c>
      <c r="AA96" s="125" cm="1">
        <f t="array" ref="AA96">+_xll.EQNXTDZ($A$1,$B96,AA$1,$B$1)</f>
        <v>0</v>
      </c>
      <c r="AB96" s="125" cm="1">
        <f t="array" ref="AB96">+_xll.EQNXTDZ($A$1,$B96,AB$1,$B$1)</f>
        <v>0</v>
      </c>
      <c r="AC96" s="125" cm="1">
        <f t="array" ref="AC96">+_xll.EQNXTDZ($A$1,$B96,AC$1,$B$1)</f>
        <v>0</v>
      </c>
      <c r="AD96" s="125" cm="1">
        <f t="array" ref="AD96">+_xll.EQNXTDZ($A$1,$B96,AD$1,$B$1)</f>
        <v>0</v>
      </c>
      <c r="AE96" s="125" cm="1">
        <f t="array" ref="AE96">+_xll.EQNXTDZ($A$1,$B96,AE$1,$B$1)</f>
        <v>0</v>
      </c>
      <c r="AF96" s="125" cm="1">
        <f t="array" ref="AF96">+_xll.EQNXTDZ($A$1,$B96,AF$1,$B$1)</f>
        <v>0</v>
      </c>
      <c r="AG96" s="125" cm="1">
        <f t="array" ref="AG96">+_xll.EQNXTDZ($A$1,$B96,AG$1,$B$1)</f>
        <v>0</v>
      </c>
      <c r="AH96" s="125" cm="1">
        <f t="array" ref="AH96">+_xll.EQNXTDZ($A$1,$B96,AH$1,$B$1)</f>
        <v>0</v>
      </c>
      <c r="AI96" s="125" cm="1">
        <f t="array" ref="AI96">+_xll.EQNXTDZ($A$1,$B96,AI$1,$B$1)</f>
        <v>0</v>
      </c>
      <c r="AJ96" s="125" cm="1">
        <f t="array" ref="AJ96">+_xll.EQNXTDZ($A$1,$B96,AJ$1,$B$1)</f>
        <v>0</v>
      </c>
      <c r="AK96" s="125" cm="1">
        <f t="array" ref="AK96">+_xll.EQNXTDZ($A$1,$B96,AK$1,$B$1)</f>
        <v>0</v>
      </c>
      <c r="AL96" s="125" cm="1">
        <f t="array" ref="AL96">+_xll.EQNXTDZ($A$1,$B96,AL$1,$B$1)</f>
        <v>0</v>
      </c>
      <c r="AM96" s="125" cm="1">
        <f t="array" ref="AM96">+_xll.EQNXTDZ($A$1,$B96,AM$1,$B$1)</f>
        <v>0</v>
      </c>
      <c r="AN96" s="125" cm="1">
        <f t="array" ref="AN96">+_xll.EQNXTDZ($A$1,$B96,AN$1,$B$1)</f>
        <v>0</v>
      </c>
      <c r="AO96" s="125" cm="1">
        <f t="array" ref="AO96">+_xll.EQNXTDZ($A$1,$B96,AO$1,$B$1)</f>
        <v>0</v>
      </c>
      <c r="AP96" s="125" cm="1">
        <f t="array" ref="AP96">+_xll.EQNXTDZ($A$1,$B96,AP$1,$B$1)</f>
        <v>0</v>
      </c>
      <c r="AQ96" s="125" cm="1">
        <f t="array" ref="AQ96">+_xll.EQNXTDZ($A$1,$B96,AQ$1,$B$1)</f>
        <v>0</v>
      </c>
      <c r="AR96" s="125" cm="1">
        <f t="array" ref="AR96">+_xll.EQNXTDZ($A$1,$B96,AR$1,$B$1)</f>
        <v>0</v>
      </c>
      <c r="AS96" s="125" cm="1">
        <f t="array" ref="AS96">+_xll.EQNXTDZ($A$1,$B96,AS$1,$B$1)</f>
        <v>0</v>
      </c>
      <c r="AT96" s="125" cm="1">
        <f t="array" ref="AT96">+_xll.EQNXTDZ($A$1,$B96,AT$1,$B$1)</f>
        <v>0</v>
      </c>
      <c r="AU96" s="125" cm="1">
        <f t="array" ref="AU96">+_xll.EQNXTDZ($A$1,$B96,AU$1,$B$1)</f>
        <v>0</v>
      </c>
      <c r="AV96" s="125" cm="1">
        <f t="array" ref="AV96">+_xll.EQNXTDZ($A$1,$B96,AV$1,$B$1)</f>
        <v>0</v>
      </c>
      <c r="AW96" s="125" cm="1">
        <f t="array" ref="AW96">+_xll.EQNXTDZ($A$1,$B96,AW$1,$B$1)</f>
        <v>0</v>
      </c>
      <c r="AX96" s="125" cm="1">
        <f t="array" ref="AX96">+_xll.EQNXTDZ($A$1,$B96,AX$1,$B$1)</f>
        <v>0</v>
      </c>
      <c r="AY96" s="125" cm="1">
        <f t="array" ref="AY96">+_xll.EQNXTDZ($A$1,$B96,AY$1,$B$1)</f>
        <v>0</v>
      </c>
      <c r="AZ96" s="125" cm="1">
        <f t="array" ref="AZ96">+_xll.EQNXTDZ($A$1,$B96,AZ$1,$B$1)</f>
        <v>0</v>
      </c>
      <c r="BA96" s="125" cm="1">
        <f t="array" ref="BA96">+_xll.EQNXTDZ($A$1,$B96,BA$1,$B$1)</f>
        <v>0</v>
      </c>
      <c r="BB96" s="125" cm="1">
        <f t="array" ref="BB96">+_xll.EQNXTDZ($A$1,$B96,BB$1,$B$1)</f>
        <v>0</v>
      </c>
      <c r="BC96" s="125" cm="1">
        <f t="array" ref="BC96">+_xll.EQNXTDZ($A$1,$B96,BC$1,$B$1)</f>
        <v>0</v>
      </c>
      <c r="BD96" s="125" cm="1">
        <f t="array" ref="BD96">+_xll.EQNXTDZ($A$1,$B96,BD$1,$B$1)</f>
        <v>0</v>
      </c>
      <c r="BE96" s="125" cm="1">
        <f t="array" ref="BE96">+_xll.EQNXTDZ($A$1,$B96,BE$1,$B$1)</f>
        <v>0</v>
      </c>
      <c r="BF96" s="125" cm="1">
        <f t="array" ref="BF96">+_xll.EQNXTDZ($A$1,$B96,BF$1,$B$1)</f>
        <v>0</v>
      </c>
      <c r="BG96" s="125" cm="1">
        <f t="array" ref="BG96">+_xll.EQNXTDZ($A$1,$B96,BG$1,$B$1)</f>
        <v>0</v>
      </c>
      <c r="BH96" s="125" cm="1">
        <f t="array" ref="BH96">+_xll.EQNXTDZ($A$1,$B96,BH$1,$B$1)</f>
        <v>0</v>
      </c>
      <c r="BI96" s="125" cm="1">
        <f t="array" ref="BI96">+_xll.EQNXTDZ($A$1,$B96,BI$1,$B$1)</f>
        <v>0</v>
      </c>
      <c r="BJ96" s="125" cm="1">
        <f t="array" ref="BJ96">+_xll.EQNXTDZ($A$1,$B96,BJ$1,$B$1)</f>
        <v>0</v>
      </c>
      <c r="BK96" s="125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5" cm="1">
        <f t="array" ref="C97">+_xll.EQNXTDZ($A$1,$B97,C$1,$B$1)</f>
        <v>0</v>
      </c>
      <c r="D97" s="125" cm="1">
        <f t="array" ref="D97">+_xll.EQNXTDZ($A$1,$B97,D$1,$B$1)</f>
        <v>0</v>
      </c>
      <c r="E97" s="125" cm="1">
        <f t="array" ref="E97">+_xll.EQNXTDZ($A$1,$B97,E$1,$B$1)</f>
        <v>0</v>
      </c>
      <c r="F97" s="125" cm="1">
        <f t="array" ref="F97">+_xll.EQNXTDZ($A$1,$B97,F$1,$B$1)</f>
        <v>0</v>
      </c>
      <c r="G97" s="125" cm="1">
        <f t="array" ref="G97">+_xll.EQNXTDZ($A$1,$B97,G$1,$B$1)</f>
        <v>0</v>
      </c>
      <c r="H97" s="125" cm="1">
        <f t="array" ref="H97">+_xll.EQNXTDZ($A$1,$B97,H$1,$B$1)</f>
        <v>0</v>
      </c>
      <c r="I97" s="125" cm="1">
        <f t="array" ref="I97">+_xll.EQNXTDZ($A$1,$B97,I$1,$B$1)</f>
        <v>0</v>
      </c>
      <c r="J97" s="125" cm="1">
        <f t="array" ref="J97">+_xll.EQNXTDZ($A$1,$B97,J$1,$B$1)</f>
        <v>0</v>
      </c>
      <c r="K97" s="125" cm="1">
        <f t="array" ref="K97">+_xll.EQNXTDZ($A$1,$B97,K$1,$B$1)</f>
        <v>0</v>
      </c>
      <c r="L97" s="125" cm="1">
        <f t="array" ref="L97">+_xll.EQNXTDZ($A$1,$B97,L$1,$B$1)</f>
        <v>0</v>
      </c>
      <c r="M97" s="125" cm="1">
        <f t="array" ref="M97">+_xll.EQNXTDZ($A$1,$B97,M$1,$B$1)</f>
        <v>0</v>
      </c>
      <c r="N97" s="125" cm="1">
        <f t="array" ref="N97">+_xll.EQNXTDZ($A$1,$B97,N$1,$B$1)</f>
        <v>0</v>
      </c>
      <c r="O97" s="125" cm="1">
        <f t="array" ref="O97">+_xll.EQNXTDZ($A$1,$B97,O$1,$B$1)</f>
        <v>0</v>
      </c>
      <c r="P97" s="125" cm="1">
        <f t="array" ref="P97">+_xll.EQNXTDZ($A$1,$B97,P$1,$B$1)</f>
        <v>0</v>
      </c>
      <c r="Q97" s="125" cm="1">
        <f t="array" ref="Q97">+_xll.EQNXTDZ($A$1,$B97,Q$1,$B$1)</f>
        <v>0</v>
      </c>
      <c r="R97" s="125" cm="1">
        <f t="array" ref="R97">+_xll.EQNXTDZ($A$1,$B97,R$1,$B$1)</f>
        <v>0</v>
      </c>
      <c r="S97" s="125" cm="1">
        <f t="array" ref="S97">+_xll.EQNXTDZ($A$1,$B97,S$1,$B$1)</f>
        <v>0</v>
      </c>
      <c r="T97" s="125" cm="1">
        <f t="array" ref="T97">+_xll.EQNXTDZ($A$1,$B97,T$1,$B$1)</f>
        <v>0</v>
      </c>
      <c r="U97" s="125" cm="1">
        <f t="array" ref="U97">+_xll.EQNXTDZ($A$1,$B97,U$1,$B$1)</f>
        <v>0</v>
      </c>
      <c r="V97" s="125" cm="1">
        <f t="array" ref="V97">+_xll.EQNXTDZ($A$1,$B97,V$1,$B$1)</f>
        <v>0</v>
      </c>
      <c r="W97" s="125" cm="1">
        <f t="array" ref="W97">+_xll.EQNXTDZ($A$1,$B97,W$1,$B$1)</f>
        <v>0</v>
      </c>
      <c r="X97" s="125" cm="1">
        <f t="array" ref="X97">+_xll.EQNXTDZ($A$1,$B97,X$1,$B$1)</f>
        <v>0</v>
      </c>
      <c r="Y97" s="125" cm="1">
        <f t="array" ref="Y97">+_xll.EQNXTDZ($A$1,$B97,Y$1,$B$1)</f>
        <v>0</v>
      </c>
      <c r="Z97" s="125" cm="1">
        <f t="array" ref="Z97">+_xll.EQNXTDZ($A$1,$B97,Z$1,$B$1)</f>
        <v>0</v>
      </c>
      <c r="AA97" s="125" cm="1">
        <f t="array" ref="AA97">+_xll.EQNXTDZ($A$1,$B97,AA$1,$B$1)</f>
        <v>0</v>
      </c>
      <c r="AB97" s="125" cm="1">
        <f t="array" ref="AB97">+_xll.EQNXTDZ($A$1,$B97,AB$1,$B$1)</f>
        <v>0</v>
      </c>
      <c r="AC97" s="125" cm="1">
        <f t="array" ref="AC97">+_xll.EQNXTDZ($A$1,$B97,AC$1,$B$1)</f>
        <v>0</v>
      </c>
      <c r="AD97" s="125" cm="1">
        <f t="array" ref="AD97">+_xll.EQNXTDZ($A$1,$B97,AD$1,$B$1)</f>
        <v>0</v>
      </c>
      <c r="AE97" s="125" cm="1">
        <f t="array" ref="AE97">+_xll.EQNXTDZ($A$1,$B97,AE$1,$B$1)</f>
        <v>0</v>
      </c>
      <c r="AF97" s="125" cm="1">
        <f t="array" ref="AF97">+_xll.EQNXTDZ($A$1,$B97,AF$1,$B$1)</f>
        <v>0</v>
      </c>
      <c r="AG97" s="125" cm="1">
        <f t="array" ref="AG97">+_xll.EQNXTDZ($A$1,$B97,AG$1,$B$1)</f>
        <v>0</v>
      </c>
      <c r="AH97" s="125" cm="1">
        <f t="array" ref="AH97">+_xll.EQNXTDZ($A$1,$B97,AH$1,$B$1)</f>
        <v>0</v>
      </c>
      <c r="AI97" s="125" cm="1">
        <f t="array" ref="AI97">+_xll.EQNXTDZ($A$1,$B97,AI$1,$B$1)</f>
        <v>0</v>
      </c>
      <c r="AJ97" s="125" cm="1">
        <f t="array" ref="AJ97">+_xll.EQNXTDZ($A$1,$B97,AJ$1,$B$1)</f>
        <v>0</v>
      </c>
      <c r="AK97" s="125" cm="1">
        <f t="array" ref="AK97">+_xll.EQNXTDZ($A$1,$B97,AK$1,$B$1)</f>
        <v>0</v>
      </c>
      <c r="AL97" s="125" cm="1">
        <f t="array" ref="AL97">+_xll.EQNXTDZ($A$1,$B97,AL$1,$B$1)</f>
        <v>0</v>
      </c>
      <c r="AM97" s="125" cm="1">
        <f t="array" ref="AM97">+_xll.EQNXTDZ($A$1,$B97,AM$1,$B$1)</f>
        <v>0</v>
      </c>
      <c r="AN97" s="125" cm="1">
        <f t="array" ref="AN97">+_xll.EQNXTDZ($A$1,$B97,AN$1,$B$1)</f>
        <v>0</v>
      </c>
      <c r="AO97" s="125" cm="1">
        <f t="array" ref="AO97">+_xll.EQNXTDZ($A$1,$B97,AO$1,$B$1)</f>
        <v>0</v>
      </c>
      <c r="AP97" s="125" cm="1">
        <f t="array" ref="AP97">+_xll.EQNXTDZ($A$1,$B97,AP$1,$B$1)</f>
        <v>0</v>
      </c>
      <c r="AQ97" s="125" cm="1">
        <f t="array" ref="AQ97">+_xll.EQNXTDZ($A$1,$B97,AQ$1,$B$1)</f>
        <v>0</v>
      </c>
      <c r="AR97" s="125" cm="1">
        <f t="array" ref="AR97">+_xll.EQNXTDZ($A$1,$B97,AR$1,$B$1)</f>
        <v>0</v>
      </c>
      <c r="AS97" s="125" cm="1">
        <f t="array" ref="AS97">+_xll.EQNXTDZ($A$1,$B97,AS$1,$B$1)</f>
        <v>0</v>
      </c>
      <c r="AT97" s="125" cm="1">
        <f t="array" ref="AT97">+_xll.EQNXTDZ($A$1,$B97,AT$1,$B$1)</f>
        <v>0</v>
      </c>
      <c r="AU97" s="125" cm="1">
        <f t="array" ref="AU97">+_xll.EQNXTDZ($A$1,$B97,AU$1,$B$1)</f>
        <v>0</v>
      </c>
      <c r="AV97" s="125" cm="1">
        <f t="array" ref="AV97">+_xll.EQNXTDZ($A$1,$B97,AV$1,$B$1)</f>
        <v>0</v>
      </c>
      <c r="AW97" s="125" cm="1">
        <f t="array" ref="AW97">+_xll.EQNXTDZ($A$1,$B97,AW$1,$B$1)</f>
        <v>0</v>
      </c>
      <c r="AX97" s="125" cm="1">
        <f t="array" ref="AX97">+_xll.EQNXTDZ($A$1,$B97,AX$1,$B$1)</f>
        <v>0</v>
      </c>
      <c r="AY97" s="125" cm="1">
        <f t="array" ref="AY97">+_xll.EQNXTDZ($A$1,$B97,AY$1,$B$1)</f>
        <v>0</v>
      </c>
      <c r="AZ97" s="125" cm="1">
        <f t="array" ref="AZ97">+_xll.EQNXTDZ($A$1,$B97,AZ$1,$B$1)</f>
        <v>0</v>
      </c>
      <c r="BA97" s="125" cm="1">
        <f t="array" ref="BA97">+_xll.EQNXTDZ($A$1,$B97,BA$1,$B$1)</f>
        <v>0</v>
      </c>
      <c r="BB97" s="125" cm="1">
        <f t="array" ref="BB97">+_xll.EQNXTDZ($A$1,$B97,BB$1,$B$1)</f>
        <v>0</v>
      </c>
      <c r="BC97" s="125" cm="1">
        <f t="array" ref="BC97">+_xll.EQNXTDZ($A$1,$B97,BC$1,$B$1)</f>
        <v>0</v>
      </c>
      <c r="BD97" s="125" cm="1">
        <f t="array" ref="BD97">+_xll.EQNXTDZ($A$1,$B97,BD$1,$B$1)</f>
        <v>0</v>
      </c>
      <c r="BE97" s="125" cm="1">
        <f t="array" ref="BE97">+_xll.EQNXTDZ($A$1,$B97,BE$1,$B$1)</f>
        <v>0</v>
      </c>
      <c r="BF97" s="125" cm="1">
        <f t="array" ref="BF97">+_xll.EQNXTDZ($A$1,$B97,BF$1,$B$1)</f>
        <v>0</v>
      </c>
      <c r="BG97" s="125" cm="1">
        <f t="array" ref="BG97">+_xll.EQNXTDZ($A$1,$B97,BG$1,$B$1)</f>
        <v>0</v>
      </c>
      <c r="BH97" s="125" cm="1">
        <f t="array" ref="BH97">+_xll.EQNXTDZ($A$1,$B97,BH$1,$B$1)</f>
        <v>0</v>
      </c>
      <c r="BI97" s="125" cm="1">
        <f t="array" ref="BI97">+_xll.EQNXTDZ($A$1,$B97,BI$1,$B$1)</f>
        <v>0</v>
      </c>
      <c r="BJ97" s="125" cm="1">
        <f t="array" ref="BJ97">+_xll.EQNXTDZ($A$1,$B97,BJ$1,$B$1)</f>
        <v>0</v>
      </c>
      <c r="BK97" s="125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221842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390</v>
      </c>
      <c r="BZ6" cm="1">
        <f t="array" ref="BZ6">_xll.EQNXTDZ($A$1,$B6,BZ$1)</f>
        <v>386.5</v>
      </c>
      <c r="CA6" cm="1">
        <f t="array" ref="CA6">_xll.EQNXTDZ($A$1,$B6,CA$1)</f>
        <v>286</v>
      </c>
      <c r="CB6" cm="1">
        <f t="array" ref="CB6">_xll.EQNXTDZ($A$1,$B6,CB$1)</f>
        <v>314</v>
      </c>
      <c r="CC6" cm="1">
        <f t="array" ref="CC6">_xll.EQNXTDZ($A$1,$B6,CC$1)</f>
        <v>390</v>
      </c>
      <c r="CD6" cm="1">
        <f t="array" ref="CD6">_xll.EQNXTDZ($A$1,$B6,CD$1)</f>
        <v>387.2</v>
      </c>
      <c r="CE6" cm="1">
        <f t="array" ref="CE6">_xll.EQNXTDZ($A$1,$B6,CE$1)</f>
        <v>398</v>
      </c>
      <c r="CF6" cm="1">
        <f t="array" ref="CF6">_xll.EQNXTDZ($A$1,$B6,CF$1)</f>
        <v>412</v>
      </c>
      <c r="CG6" cm="1">
        <f t="array" ref="CG6">_xll.EQNXTDZ($A$1,$B6,CG$1)</f>
        <v>505</v>
      </c>
      <c r="CH6" cm="1">
        <f t="array" ref="CH6">_xll.EQNXTDZ($A$1,$B6,CH$1)</f>
        <v>513.5</v>
      </c>
      <c r="CI6" cm="1">
        <f t="array" ref="CI6">_xll.EQNXTDZ($A$1,$B6,CI$1)</f>
        <v>527.70000000000005</v>
      </c>
      <c r="CJ6" cm="1">
        <f t="array" ref="CJ6">_xll.EQNXTDZ($A$1,$B6,CJ$1)</f>
        <v>512</v>
      </c>
      <c r="CK6" cm="1">
        <f t="array" ref="CK6">_xll.EQNXTDZ($A$1,$B6,CK$1)</f>
        <v>527</v>
      </c>
      <c r="CL6" cm="1">
        <f t="array" ref="CL6">_xll.EQNXTDZ($A$1,$B6,CL$1)</f>
        <v>559.5</v>
      </c>
      <c r="CM6" cm="1">
        <f t="array" ref="CM6">_xll.EQNXTDZ($A$1,$B6,CM$1)</f>
        <v>657.1</v>
      </c>
      <c r="CN6" cm="1">
        <f t="array" ref="CN6">_xll.EQNXTDZ($A$1,$B6,CN$1)</f>
        <v>642.95000000000005</v>
      </c>
      <c r="CO6" cm="1">
        <f t="array" ref="CO6">_xll.EQNXTDZ($A$1,$B6,CO$1)</f>
        <v>800</v>
      </c>
      <c r="CP6" cm="1">
        <f t="array" ref="CP6">_xll.EQNXTDZ($A$1,$B6,CP$1)</f>
        <v>775.9</v>
      </c>
      <c r="CQ6" cm="1">
        <f t="array" ref="CQ6">_xll.EQNXTDZ($A$1,$B6,CQ$1)</f>
        <v>794.5</v>
      </c>
      <c r="CR6" cm="1">
        <f t="array" ref="CR6">_xll.EQNXTDZ($A$1,$B6,CR$1)</f>
        <v>874</v>
      </c>
      <c r="CS6" cm="1">
        <f t="array" ref="CS6">_xll.EQNXTDZ($A$1,$B6,CS$1)</f>
        <v>326</v>
      </c>
      <c r="CT6" cm="1">
        <f t="array" ref="CT6">_xll.EQNXTDZ($A$1,$B6,CT$1)</f>
        <v>467.4</v>
      </c>
      <c r="CU6" cm="1">
        <f t="array" ref="CU6">_xll.EQNXTDZ($A$1,$B6,CU$1)</f>
        <v>399.95</v>
      </c>
      <c r="CV6" cm="1">
        <f t="array" ref="CV6">_xll.EQNXTDZ($A$1,$B6,CV$1)</f>
        <v>529.5</v>
      </c>
      <c r="CW6" cm="1">
        <f t="array" ref="CW6">_xll.EQNXTDZ($A$1,$B6,CW$1)</f>
        <v>522</v>
      </c>
      <c r="CX6" cm="1">
        <f t="array" ref="CX6">_xll.EQNXTDZ($A$1,$B6,CX$1)</f>
        <v>729.7</v>
      </c>
      <c r="CY6" cm="1">
        <f t="array" ref="CY6">_xll.EQNXTDZ($A$1,$B6,CY$1)</f>
        <v>748.35</v>
      </c>
      <c r="CZ6" cm="1">
        <f t="array" ref="CZ6">_xll.EQNXTDZ($A$1,$B6,CZ$1)</f>
        <v>650</v>
      </c>
      <c r="DA6" cm="1">
        <f t="array" ref="DA6">_xll.EQNXTDZ($A$1,$B6,DA$1)</f>
        <v>798.95</v>
      </c>
      <c r="DB6" cm="1">
        <f t="array" ref="DB6">_xll.EQNXTDZ($A$1,$B6,DB$1)</f>
        <v>762.7</v>
      </c>
      <c r="DC6" cm="1">
        <f t="array" ref="DC6">_xll.EQNXTDZ($A$1,$B6,DC$1)</f>
        <v>670</v>
      </c>
      <c r="DD6" cm="1">
        <f t="array" ref="DD6">_xll.EQNXTDZ($A$1,$B6,DD$1)</f>
        <v>696</v>
      </c>
      <c r="DE6" cm="1">
        <f t="array" ref="DE6">_xll.EQNXTDZ($A$1,$B6,DE$1)</f>
        <v>668</v>
      </c>
      <c r="DF6" cm="1">
        <f t="array" ref="DF6">_xll.EQNXTDZ($A$1,$B6,DF$1)</f>
        <v>591.04999999999995</v>
      </c>
      <c r="DG6" cm="1">
        <f t="array" ref="DG6">_xll.EQNXTDZ($A$1,$B6,DG$1)</f>
        <v>627.54999999999995</v>
      </c>
      <c r="DH6" cm="1">
        <f t="array" ref="DH6">_xll.EQNXTDZ($A$1,$B6,DH$1)</f>
        <v>710</v>
      </c>
      <c r="DI6" cm="1">
        <f t="array" ref="DI6">_xll.EQNXTDZ($A$1,$B6,DI$1)</f>
        <v>663.1</v>
      </c>
      <c r="DJ6" cm="1">
        <f t="array" ref="DJ6">_xll.EQNXTDZ($A$1,$B6,DJ$1)</f>
        <v>707</v>
      </c>
      <c r="DK6" cm="1">
        <f t="array" ref="DK6">_xll.EQNXTDZ($A$1,$B6,DK$1)</f>
        <v>635</v>
      </c>
      <c r="DL6" cm="1">
        <f t="array" ref="DL6">_xll.EQNXTDZ($A$1,$B6,DL$1)</f>
        <v>628.35</v>
      </c>
      <c r="DM6" cm="1">
        <f t="array" ref="DM6">_xll.EQNXTDZ($A$1,$B6,DM$1)</f>
        <v>517.70000000000005</v>
      </c>
      <c r="DN6" cm="1">
        <f t="array" ref="DN6">_xll.EQNXTDZ($A$1,$B6,DN$1)</f>
        <v>605</v>
      </c>
      <c r="DO6" cm="1">
        <f t="array" ref="DO6">_xll.EQNXTDZ($A$1,$B6,DO$1)</f>
        <v>627.95000000000005</v>
      </c>
      <c r="DP6" cm="1">
        <f t="array" ref="DP6">_xll.EQNXTDZ($A$1,$B6,DP$1)</f>
        <v>740</v>
      </c>
      <c r="DQ6" cm="1">
        <f t="array" ref="DQ6">_xll.EQNXTDZ($A$1,$B6,DQ$1)</f>
        <v>847.8</v>
      </c>
      <c r="DR6" cm="1">
        <f t="array" ref="DR6">_xll.EQNXTDZ($A$1,$B6,DR$1)</f>
        <v>1035</v>
      </c>
      <c r="DS6" cm="1">
        <f t="array" ref="DS6">_xll.EQNXTDZ($A$1,$B6,DS$1)</f>
        <v>1081.8</v>
      </c>
      <c r="DT6" cm="1">
        <f t="array" ref="DT6">_xll.EQNXTDZ($A$1,$B6,DT$1)</f>
        <v>1012.95</v>
      </c>
      <c r="DU6" cm="1">
        <f t="array" ref="DU6">_xll.EQNXTDZ($A$1,$B6,DU$1)</f>
        <v>1040</v>
      </c>
      <c r="DV6" cm="1">
        <f t="array" ref="DV6">_xll.EQNXTDZ($A$1,$B6,DV$1)</f>
        <v>996.75</v>
      </c>
      <c r="DW6" cm="1">
        <f t="array" ref="DW6">_xll.EQNXTDZ($A$1,$B6,DW$1)</f>
        <v>994.1</v>
      </c>
      <c r="DX6" cm="1">
        <f t="array" ref="DX6">_xll.EQNXTDZ($A$1,$B6,DX$1)</f>
        <v>965.5</v>
      </c>
      <c r="DY6" cm="1">
        <f t="array" ref="DY6">_xll.EQNXTDZ($A$1,$B6,DY$1)</f>
        <v>961</v>
      </c>
      <c r="DZ6" cm="1">
        <f t="array" ref="DZ6">_xll.EQNXTDZ($A$1,$B6,DZ$1)</f>
        <v>920</v>
      </c>
      <c r="EA6" cm="1">
        <f t="array" ref="EA6">_xll.EQNXTDZ($A$1,$B6,EA$1)</f>
        <v>864.85</v>
      </c>
      <c r="EB6" cm="1">
        <f t="array" ref="EB6">_xll.EQNXTDZ($A$1,$B6,EB$1)</f>
        <v>964.45</v>
      </c>
      <c r="EC6" cm="1">
        <f t="array" ref="EC6">_xll.EQNXTDZ($A$1,$B6,EC$1)</f>
        <v>920.1</v>
      </c>
      <c r="ED6" cm="1">
        <f t="array" ref="ED6">_xll.EQNXTDZ($A$1,$B6,ED$1)</f>
        <v>969</v>
      </c>
      <c r="EE6" cm="1">
        <f t="array" ref="EE6">_xll.EQNXTDZ($A$1,$B6,EE$1)</f>
        <v>1234.1500000000001</v>
      </c>
      <c r="EF6" cm="1">
        <f t="array" ref="EF6">_xll.EQNXTDZ($A$1,$B6,EF$1)</f>
        <v>1258</v>
      </c>
      <c r="EG6" cm="1">
        <f t="array" ref="EG6">_xll.EQNXTDZ($A$1,$B6,EG$1)</f>
        <v>1460</v>
      </c>
      <c r="EH6" cm="1">
        <f t="array" ref="EH6">_xll.EQNXTDZ($A$1,$B6,EH$1)</f>
        <v>1420</v>
      </c>
      <c r="EI6" cm="1">
        <f t="array" ref="EI6">_xll.EQNXTDZ($A$1,$B6,EI$1)</f>
        <v>1300</v>
      </c>
      <c r="EJ6" cm="1">
        <f t="array" ref="EJ6">_xll.EQNXTDZ($A$1,$B6,EJ$1)</f>
        <v>1600</v>
      </c>
      <c r="EK6" cm="1">
        <f t="array" ref="EK6">_xll.EQNXTDZ($A$1,$B6,EK$1)</f>
        <v>1699</v>
      </c>
      <c r="EL6" cm="1">
        <f t="array" ref="EL6">_xll.EQNXTDZ($A$1,$B6,EL$1)</f>
        <v>1596.55</v>
      </c>
      <c r="EM6" cm="1">
        <f t="array" ref="EM6">_xll.EQNXTDZ($A$1,$B6,EM$1)</f>
        <v>1607</v>
      </c>
      <c r="EN6" cm="1">
        <f t="array" ref="EN6">_xll.EQNXTDZ($A$1,$B6,EN$1)</f>
        <v>1469.6</v>
      </c>
      <c r="EO6" cm="1">
        <f t="array" ref="EO6">_xll.EQNXTDZ($A$1,$B6,EO$1)</f>
        <v>1441.4</v>
      </c>
      <c r="EP6" cm="1">
        <f t="array" ref="EP6">_xll.EQNXTDZ($A$1,$B6,EP$1)</f>
        <v>1517</v>
      </c>
      <c r="EQ6" cm="1">
        <f t="array" ref="EQ6">_xll.EQNXTDZ($A$1,$B6,EQ$1)</f>
        <v>1360</v>
      </c>
      <c r="ER6" cm="1">
        <f t="array" ref="ER6">_xll.EQNXTDZ($A$1,$B6,ER$1)</f>
        <v>1342</v>
      </c>
      <c r="ES6" cm="1">
        <f t="array" ref="ES6">_xll.EQNXTDZ($A$1,$B6,ES$1)</f>
        <v>1325</v>
      </c>
      <c r="ET6" cm="1">
        <f t="array" ref="ET6">_xll.EQNXTDZ($A$1,$B6,ET$1)</f>
        <v>1230</v>
      </c>
      <c r="EU6" cm="1">
        <f t="array" ref="EU6">_xll.EQNXTDZ($A$1,$B6,EU$1)</f>
        <v>1200.0999999999999</v>
      </c>
      <c r="EV6" cm="1">
        <f t="array" ref="EV6">_xll.EQNXTDZ($A$1,$B6,EV$1)</f>
        <v>990.1</v>
      </c>
      <c r="EW6" cm="1">
        <f t="array" ref="EW6">_xll.EQNXTDZ($A$1,$B6,EW$1)</f>
        <v>908.95</v>
      </c>
      <c r="EX6" cm="1">
        <f t="array" ref="EX6">_xll.EQNXTDZ($A$1,$B6,EX$1)</f>
        <v>886.55</v>
      </c>
      <c r="EY6" cm="1">
        <f t="array" ref="EY6">_xll.EQNXTDZ($A$1,$B6,EY$1)</f>
        <v>1052.45</v>
      </c>
      <c r="EZ6" cm="1">
        <f t="array" ref="EZ6">_xll.EQNXTDZ($A$1,$B6,EZ$1)</f>
        <v>932.55</v>
      </c>
      <c r="FA6" cm="1">
        <f t="array" ref="FA6">_xll.EQNXTDZ($A$1,$B6,FA$1)</f>
        <v>951.95</v>
      </c>
      <c r="FB6" cm="1">
        <f t="array" ref="FB6">_xll.EQNXTDZ($A$1,$B6,FB$1)</f>
        <v>1095</v>
      </c>
      <c r="FC6" cm="1">
        <f t="array" ref="FC6">_xll.EQNXTDZ($A$1,$B6,FC$1)</f>
        <v>1140</v>
      </c>
      <c r="FD6" cm="1">
        <f t="array" ref="FD6">_xll.EQNXTDZ($A$1,$B6,FD$1)</f>
        <v>1222</v>
      </c>
      <c r="FE6" cm="1">
        <f t="array" ref="FE6">_xll.EQNXTDZ($A$1,$B6,FE$1)</f>
        <v>1248</v>
      </c>
      <c r="FF6" cm="1">
        <f t="array" ref="FF6">_xll.EQNXTDZ($A$1,$B6,FF$1)</f>
        <v>1399</v>
      </c>
      <c r="FG6" cm="1">
        <f t="array" ref="FG6">_xll.EQNXTDZ($A$1,$B6,FG$1)</f>
        <v>1345.7</v>
      </c>
      <c r="FH6" cm="1">
        <f t="array" ref="FH6">_xll.EQNXTDZ($A$1,$B6,FH$1)</f>
        <v>1412.7</v>
      </c>
      <c r="FI6" cm="1">
        <f t="array" ref="FI6">_xll.EQNXTDZ($A$1,$B6,FI$1)</f>
        <v>1334.9</v>
      </c>
      <c r="FJ6" cm="1">
        <f t="array" ref="FJ6">_xll.EQNXTDZ($A$1,$B6,FJ$1)</f>
        <v>1267.3</v>
      </c>
      <c r="FK6" cm="1">
        <f t="array" ref="FK6">_xll.EQNXTDZ($A$1,$B6,FK$1)</f>
        <v>1326.4</v>
      </c>
      <c r="FL6" cm="1">
        <f t="array" ref="FL6">_xll.EQNXTDZ($A$1,$B6,FL$1)</f>
        <v>1226</v>
      </c>
      <c r="FM6" cm="1">
        <f t="array" ref="FM6">_xll.EQNXTDZ($A$1,$B6,FM$1)</f>
        <v>1174</v>
      </c>
      <c r="FN6" cm="1">
        <f t="array" ref="FN6">_xll.EQNXTDZ($A$1,$B6,FN$1)</f>
        <v>1310</v>
      </c>
      <c r="FO6" cm="1">
        <f t="array" ref="FO6">_xll.EQNXTDZ($A$1,$B6,FO$1)</f>
        <v>1295.5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426.9</v>
      </c>
      <c r="BZ7" s="107" cm="1">
        <f t="array" ref="BZ7">_xll.EQNXTDZ($A$1,$B7,BZ$1)</f>
        <v>395</v>
      </c>
      <c r="CA7" s="107" cm="1">
        <f t="array" ref="CA7">_xll.EQNXTDZ($A$1,$B7,CA$1)</f>
        <v>320.39999999999998</v>
      </c>
      <c r="CB7" s="107" cm="1">
        <f t="array" ref="CB7">_xll.EQNXTDZ($A$1,$B7,CB$1)</f>
        <v>392.45</v>
      </c>
      <c r="CC7" s="107" cm="1">
        <f t="array" ref="CC7">_xll.EQNXTDZ($A$1,$B7,CC$1)</f>
        <v>399.8</v>
      </c>
      <c r="CD7" s="107" cm="1">
        <f t="array" ref="CD7">_xll.EQNXTDZ($A$1,$B7,CD$1)</f>
        <v>419.45</v>
      </c>
      <c r="CE7" s="107" cm="1">
        <f t="array" ref="CE7">_xll.EQNXTDZ($A$1,$B7,CE$1)</f>
        <v>420</v>
      </c>
      <c r="CF7" s="107" cm="1">
        <f t="array" ref="CF7">_xll.EQNXTDZ($A$1,$B7,CF$1)</f>
        <v>525</v>
      </c>
      <c r="CG7" s="107" cm="1">
        <f t="array" ref="CG7">_xll.EQNXTDZ($A$1,$B7,CG$1)</f>
        <v>567.9</v>
      </c>
      <c r="CH7" s="107" cm="1">
        <f t="array" ref="CH7">_xll.EQNXTDZ($A$1,$B7,CH$1)</f>
        <v>559</v>
      </c>
      <c r="CI7" s="107" cm="1">
        <f t="array" ref="CI7">_xll.EQNXTDZ($A$1,$B7,CI$1)</f>
        <v>599</v>
      </c>
      <c r="CJ7" s="107" cm="1">
        <f t="array" ref="CJ7">_xll.EQNXTDZ($A$1,$B7,CJ$1)</f>
        <v>547.75</v>
      </c>
      <c r="CK7" s="107" cm="1">
        <f t="array" ref="CK7">_xll.EQNXTDZ($A$1,$B7,CK$1)</f>
        <v>586.70000000000005</v>
      </c>
      <c r="CL7" s="107" cm="1">
        <f t="array" ref="CL7">_xll.EQNXTDZ($A$1,$B7,CL$1)</f>
        <v>689.9</v>
      </c>
      <c r="CM7" s="107" cm="1">
        <f t="array" ref="CM7">_xll.EQNXTDZ($A$1,$B7,CM$1)</f>
        <v>685</v>
      </c>
      <c r="CN7" s="107" cm="1">
        <f t="array" ref="CN7">_xll.EQNXTDZ($A$1,$B7,CN$1)</f>
        <v>849</v>
      </c>
      <c r="CO7" s="107" cm="1">
        <f t="array" ref="CO7">_xll.EQNXTDZ($A$1,$B7,CO$1)</f>
        <v>837.8</v>
      </c>
      <c r="CP7" s="107" cm="1">
        <f t="array" ref="CP7">_xll.EQNXTDZ($A$1,$B7,CP$1)</f>
        <v>882.4</v>
      </c>
      <c r="CQ7" s="107" cm="1">
        <f t="array" ref="CQ7">_xll.EQNXTDZ($A$1,$B7,CQ$1)</f>
        <v>1000</v>
      </c>
      <c r="CR7" s="107" cm="1">
        <f t="array" ref="CR7">_xll.EQNXTDZ($A$1,$B7,CR$1)</f>
        <v>903.6</v>
      </c>
      <c r="CS7" s="107" cm="1">
        <f t="array" ref="CS7">_xll.EQNXTDZ($A$1,$B7,CS$1)</f>
        <v>492</v>
      </c>
      <c r="CT7" s="107" cm="1">
        <f t="array" ref="CT7">_xll.EQNXTDZ($A$1,$B7,CT$1)</f>
        <v>512.79999999999995</v>
      </c>
      <c r="CU7" s="107" cm="1">
        <f t="array" ref="CU7">_xll.EQNXTDZ($A$1,$B7,CU$1)</f>
        <v>582.54999999999995</v>
      </c>
      <c r="CV7" s="107" cm="1">
        <f t="array" ref="CV7">_xll.EQNXTDZ($A$1,$B7,CV$1)</f>
        <v>650.25</v>
      </c>
      <c r="CW7" s="107" cm="1">
        <f t="array" ref="CW7">_xll.EQNXTDZ($A$1,$B7,CW$1)</f>
        <v>740</v>
      </c>
      <c r="CX7" s="107" cm="1">
        <f t="array" ref="CX7">_xll.EQNXTDZ($A$1,$B7,CX$1)</f>
        <v>760</v>
      </c>
      <c r="CY7" s="107" cm="1">
        <f t="array" ref="CY7">_xll.EQNXTDZ($A$1,$B7,CY$1)</f>
        <v>763.55</v>
      </c>
      <c r="CZ7" s="107" cm="1">
        <f t="array" ref="CZ7">_xll.EQNXTDZ($A$1,$B7,CZ$1)</f>
        <v>801.25</v>
      </c>
      <c r="DA7" s="107" cm="1">
        <f t="array" ref="DA7">_xll.EQNXTDZ($A$1,$B7,DA$1)</f>
        <v>839.95</v>
      </c>
      <c r="DB7" s="107" cm="1">
        <f t="array" ref="DB7">_xll.EQNXTDZ($A$1,$B7,DB$1)</f>
        <v>814</v>
      </c>
      <c r="DC7" s="107" cm="1">
        <f t="array" ref="DC7">_xll.EQNXTDZ($A$1,$B7,DC$1)</f>
        <v>755</v>
      </c>
      <c r="DD7" s="107" cm="1">
        <f t="array" ref="DD7">_xll.EQNXTDZ($A$1,$B7,DD$1)</f>
        <v>740</v>
      </c>
      <c r="DE7" s="107" cm="1">
        <f t="array" ref="DE7">_xll.EQNXTDZ($A$1,$B7,DE$1)</f>
        <v>699</v>
      </c>
      <c r="DF7" s="107" cm="1">
        <f t="array" ref="DF7">_xll.EQNXTDZ($A$1,$B7,DF$1)</f>
        <v>674</v>
      </c>
      <c r="DG7" s="107" cm="1">
        <f t="array" ref="DG7">_xll.EQNXTDZ($A$1,$B7,DG$1)</f>
        <v>808.4</v>
      </c>
      <c r="DH7" s="107" cm="1">
        <f t="array" ref="DH7">_xll.EQNXTDZ($A$1,$B7,DH$1)</f>
        <v>757.05</v>
      </c>
      <c r="DI7" s="107" cm="1">
        <f t="array" ref="DI7">_xll.EQNXTDZ($A$1,$B7,DI$1)</f>
        <v>710</v>
      </c>
      <c r="DJ7" s="107" cm="1">
        <f t="array" ref="DJ7">_xll.EQNXTDZ($A$1,$B7,DJ$1)</f>
        <v>709.9</v>
      </c>
      <c r="DK7" s="107" cm="1">
        <f t="array" ref="DK7">_xll.EQNXTDZ($A$1,$B7,DK$1)</f>
        <v>689.2</v>
      </c>
      <c r="DL7" s="107" cm="1">
        <f t="array" ref="DL7">_xll.EQNXTDZ($A$1,$B7,DL$1)</f>
        <v>677.7</v>
      </c>
      <c r="DM7" s="107" cm="1">
        <f t="array" ref="DM7">_xll.EQNXTDZ($A$1,$B7,DM$1)</f>
        <v>729.65</v>
      </c>
      <c r="DN7" s="107" cm="1">
        <f t="array" ref="DN7">_xll.EQNXTDZ($A$1,$B7,DN$1)</f>
        <v>651.79999999999995</v>
      </c>
      <c r="DO7" s="107" cm="1">
        <f t="array" ref="DO7">_xll.EQNXTDZ($A$1,$B7,DO$1)</f>
        <v>786.9</v>
      </c>
      <c r="DP7" s="107" cm="1">
        <f t="array" ref="DP7">_xll.EQNXTDZ($A$1,$B7,DP$1)</f>
        <v>877.7</v>
      </c>
      <c r="DQ7" s="107" cm="1">
        <f t="array" ref="DQ7">_xll.EQNXTDZ($A$1,$B7,DQ$1)</f>
        <v>1091.1500000000001</v>
      </c>
      <c r="DR7" s="107" cm="1">
        <f t="array" ref="DR7">_xll.EQNXTDZ($A$1,$B7,DR$1)</f>
        <v>1129.3</v>
      </c>
      <c r="DS7" s="107" cm="1">
        <f t="array" ref="DS7">_xll.EQNXTDZ($A$1,$B7,DS$1)</f>
        <v>1154</v>
      </c>
      <c r="DT7" s="107" cm="1">
        <f t="array" ref="DT7">_xll.EQNXTDZ($A$1,$B7,DT$1)</f>
        <v>1094.75</v>
      </c>
      <c r="DU7" s="107" cm="1">
        <f t="array" ref="DU7">_xll.EQNXTDZ($A$1,$B7,DU$1)</f>
        <v>1076</v>
      </c>
      <c r="DV7" s="107" cm="1">
        <f t="array" ref="DV7">_xll.EQNXTDZ($A$1,$B7,DV$1)</f>
        <v>1094.95</v>
      </c>
      <c r="DW7" s="107" cm="1">
        <f t="array" ref="DW7">_xll.EQNXTDZ($A$1,$B7,DW$1)</f>
        <v>1035</v>
      </c>
      <c r="DX7" s="107" cm="1">
        <f t="array" ref="DX7">_xll.EQNXTDZ($A$1,$B7,DX$1)</f>
        <v>1009</v>
      </c>
      <c r="DY7" s="107" cm="1">
        <f t="array" ref="DY7">_xll.EQNXTDZ($A$1,$B7,DY$1)</f>
        <v>964</v>
      </c>
      <c r="DZ7" s="107" cm="1">
        <f t="array" ref="DZ7">_xll.EQNXTDZ($A$1,$B7,DZ$1)</f>
        <v>935.65</v>
      </c>
      <c r="EA7" s="107" cm="1">
        <f t="array" ref="EA7">_xll.EQNXTDZ($A$1,$B7,EA$1)</f>
        <v>1022</v>
      </c>
      <c r="EB7" s="107" cm="1">
        <f t="array" ref="EB7">_xll.EQNXTDZ($A$1,$B7,EB$1)</f>
        <v>999</v>
      </c>
      <c r="EC7" s="107" cm="1">
        <f t="array" ref="EC7">_xll.EQNXTDZ($A$1,$B7,EC$1)</f>
        <v>1042</v>
      </c>
      <c r="ED7" s="107" cm="1">
        <f t="array" ref="ED7">_xll.EQNXTDZ($A$1,$B7,ED$1)</f>
        <v>1288.45</v>
      </c>
      <c r="EE7" s="107" cm="1">
        <f t="array" ref="EE7">_xll.EQNXTDZ($A$1,$B7,EE$1)</f>
        <v>1396.9</v>
      </c>
      <c r="EF7" s="107" cm="1">
        <f t="array" ref="EF7">_xll.EQNXTDZ($A$1,$B7,EF$1)</f>
        <v>1471.4</v>
      </c>
      <c r="EG7" s="107" cm="1">
        <f t="array" ref="EG7">_xll.EQNXTDZ($A$1,$B7,EG$1)</f>
        <v>1502</v>
      </c>
      <c r="EH7" s="107" cm="1">
        <f t="array" ref="EH7">_xll.EQNXTDZ($A$1,$B7,EH$1)</f>
        <v>1494.95</v>
      </c>
      <c r="EI7" s="107" cm="1">
        <f t="array" ref="EI7">_xll.EQNXTDZ($A$1,$B7,EI$1)</f>
        <v>1637.9</v>
      </c>
      <c r="EJ7" s="107" cm="1">
        <f t="array" ref="EJ7">_xll.EQNXTDZ($A$1,$B7,EJ$1)</f>
        <v>1758.95</v>
      </c>
      <c r="EK7" s="107" cm="1">
        <f t="array" ref="EK7">_xll.EQNXTDZ($A$1,$B7,EK$1)</f>
        <v>1796</v>
      </c>
      <c r="EL7" s="107" cm="1">
        <f t="array" ref="EL7">_xll.EQNXTDZ($A$1,$B7,EL$1)</f>
        <v>1790.75</v>
      </c>
      <c r="EM7" s="107" cm="1">
        <f t="array" ref="EM7">_xll.EQNXTDZ($A$1,$B7,EM$1)</f>
        <v>1660</v>
      </c>
      <c r="EN7" s="107" cm="1">
        <f t="array" ref="EN7">_xll.EQNXTDZ($A$1,$B7,EN$1)</f>
        <v>1496.2</v>
      </c>
      <c r="EO7" s="107" cm="1">
        <f t="array" ref="EO7">_xll.EQNXTDZ($A$1,$B7,EO$1)</f>
        <v>1539.95</v>
      </c>
      <c r="EP7" s="107" cm="1">
        <f t="array" ref="EP7">_xll.EQNXTDZ($A$1,$B7,EP$1)</f>
        <v>1523.4</v>
      </c>
      <c r="EQ7" s="107" cm="1">
        <f t="array" ref="EQ7">_xll.EQNXTDZ($A$1,$B7,EQ$1)</f>
        <v>1551.95</v>
      </c>
      <c r="ER7" s="107" cm="1">
        <f t="array" ref="ER7">_xll.EQNXTDZ($A$1,$B7,ER$1)</f>
        <v>1407.95</v>
      </c>
      <c r="ES7" s="107" cm="1">
        <f t="array" ref="ES7">_xll.EQNXTDZ($A$1,$B7,ES$1)</f>
        <v>1334.85</v>
      </c>
      <c r="ET7" s="107" cm="1">
        <f t="array" ref="ET7">_xll.EQNXTDZ($A$1,$B7,ET$1)</f>
        <v>1295</v>
      </c>
      <c r="EU7" s="107" cm="1">
        <f t="array" ref="EU7">_xll.EQNXTDZ($A$1,$B7,EU$1)</f>
        <v>1207.5</v>
      </c>
      <c r="EV7" s="107" cm="1">
        <f t="array" ref="EV7">_xll.EQNXTDZ($A$1,$B7,EV$1)</f>
        <v>1015</v>
      </c>
      <c r="EW7" s="107" cm="1">
        <f t="array" ref="EW7">_xll.EQNXTDZ($A$1,$B7,EW$1)</f>
        <v>946.9</v>
      </c>
      <c r="EX7" s="107" cm="1">
        <f t="array" ref="EX7">_xll.EQNXTDZ($A$1,$B7,EX$1)</f>
        <v>1119.55</v>
      </c>
      <c r="EY7" s="107" cm="1">
        <f t="array" ref="EY7">_xll.EQNXTDZ($A$1,$B7,EY$1)</f>
        <v>1103.95</v>
      </c>
      <c r="EZ7" s="107" cm="1">
        <f t="array" ref="EZ7">_xll.EQNXTDZ($A$1,$B7,EZ$1)</f>
        <v>1052.55</v>
      </c>
      <c r="FA7" s="107" cm="1">
        <f t="array" ref="FA7">_xll.EQNXTDZ($A$1,$B7,FA$1)</f>
        <v>1179.2</v>
      </c>
      <c r="FB7" s="107" cm="1">
        <f t="array" ref="FB7">_xll.EQNXTDZ($A$1,$B7,FB$1)</f>
        <v>1253.5999999999999</v>
      </c>
      <c r="FC7" s="107" cm="1">
        <f t="array" ref="FC7">_xll.EQNXTDZ($A$1,$B7,FC$1)</f>
        <v>1250</v>
      </c>
      <c r="FD7" s="107" cm="1">
        <f t="array" ref="FD7">_xll.EQNXTDZ($A$1,$B7,FD$1)</f>
        <v>1401.3</v>
      </c>
      <c r="FE7" s="107" cm="1">
        <f t="array" ref="FE7">_xll.EQNXTDZ($A$1,$B7,FE$1)</f>
        <v>1410.6</v>
      </c>
      <c r="FF7" s="107" cm="1">
        <f t="array" ref="FF7">_xll.EQNXTDZ($A$1,$B7,FF$1)</f>
        <v>1430</v>
      </c>
      <c r="FG7" s="107" cm="1">
        <f t="array" ref="FG7">_xll.EQNXTDZ($A$1,$B7,FG$1)</f>
        <v>1490.1</v>
      </c>
      <c r="FH7" s="107" cm="1">
        <f t="array" ref="FH7">_xll.EQNXTDZ($A$1,$B7,FH$1)</f>
        <v>1456.4</v>
      </c>
      <c r="FI7" s="107" cm="1">
        <f t="array" ref="FI7">_xll.EQNXTDZ($A$1,$B7,FI$1)</f>
        <v>1354.7</v>
      </c>
      <c r="FJ7" s="107" cm="1">
        <f t="array" ref="FJ7">_xll.EQNXTDZ($A$1,$B7,FJ$1)</f>
        <v>1496.7</v>
      </c>
      <c r="FK7" s="107" cm="1">
        <f t="array" ref="FK7">_xll.EQNXTDZ($A$1,$B7,FK$1)</f>
        <v>1400.5</v>
      </c>
      <c r="FL7" s="107" cm="1">
        <f t="array" ref="FL7">_xll.EQNXTDZ($A$1,$B7,FL$1)</f>
        <v>1269</v>
      </c>
      <c r="FM7" s="107" cm="1">
        <f t="array" ref="FM7">_xll.EQNXTDZ($A$1,$B7,FM$1)</f>
        <v>1330.8</v>
      </c>
      <c r="FN7" s="107" cm="1">
        <f t="array" ref="FN7">_xll.EQNXTDZ($A$1,$B7,FN$1)</f>
        <v>1568</v>
      </c>
      <c r="FO7" s="107" cm="1">
        <f t="array" ref="FO7">_xll.EQNXTDZ($A$1,$B7,FO$1)</f>
        <v>1412.2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426.9</v>
      </c>
      <c r="IO7" s="107">
        <f>+MAX(CA7:CC7)</f>
        <v>399.8</v>
      </c>
      <c r="IP7" s="107">
        <f>+MAX(CD7:CF7)</f>
        <v>525</v>
      </c>
      <c r="IQ7" s="107">
        <f>+MAX(CG7:CI7)</f>
        <v>599</v>
      </c>
      <c r="IR7" s="107">
        <f>+MAX(CJ7:CL7)</f>
        <v>689.9</v>
      </c>
      <c r="IS7" s="107">
        <f>+MAX(CM7:CO7)</f>
        <v>849</v>
      </c>
      <c r="IT7" s="107">
        <f>+MAX(CP7:CR7)</f>
        <v>1000</v>
      </c>
      <c r="IU7" s="107">
        <f>+MAX(CS7:CU7)</f>
        <v>582.54999999999995</v>
      </c>
      <c r="IV7" s="107">
        <f>+MAX(CV7:CX7)</f>
        <v>760</v>
      </c>
      <c r="IW7" s="107">
        <f>+MAX(CY7:DA7)</f>
        <v>839.95</v>
      </c>
      <c r="IX7" s="107">
        <f>+MAX(DB7:DD7)</f>
        <v>814</v>
      </c>
      <c r="IY7" s="107">
        <f>+MAX(DE7:DG7)</f>
        <v>808.4</v>
      </c>
      <c r="IZ7" s="107">
        <f>+MAX(DH7:DJ7)</f>
        <v>757.05</v>
      </c>
      <c r="JA7" s="107">
        <f>+MAX(DK7:DM7)</f>
        <v>729.65</v>
      </c>
      <c r="JB7" s="107">
        <f>+MAX(DN7:DP7)</f>
        <v>877.7</v>
      </c>
      <c r="JC7" s="107">
        <f>+MAX(DQ7:DS7)</f>
        <v>1154</v>
      </c>
      <c r="JD7" s="107">
        <f>+MAX(DT7:DV7)</f>
        <v>1094.95</v>
      </c>
      <c r="JE7" s="107">
        <f>+MAX(DW7:DY7)</f>
        <v>1035</v>
      </c>
      <c r="JF7" s="107">
        <f>+MAX(DZ7:EB7)</f>
        <v>1022</v>
      </c>
      <c r="JG7" s="107">
        <f>+MAX(EC7:EE7)</f>
        <v>1396.9</v>
      </c>
      <c r="JH7" s="107">
        <f>+MAX(EF7:EH7)</f>
        <v>1502</v>
      </c>
      <c r="JI7" s="107">
        <f>+MAX(EI7:EK7)</f>
        <v>1796</v>
      </c>
      <c r="JJ7" s="107">
        <f>+MAX(EL7:EN7)</f>
        <v>1790.75</v>
      </c>
      <c r="JK7" s="107">
        <f>MAX(EO7:EQ7)</f>
        <v>1551.95</v>
      </c>
      <c r="JL7" s="107">
        <f>MAX(ER7:ET7)</f>
        <v>1407.95</v>
      </c>
      <c r="JM7" s="107">
        <f>MAX(EU7:EW7)</f>
        <v>1207.5</v>
      </c>
      <c r="JN7" s="107">
        <f>MAX(EX7:EZ7)</f>
        <v>1119.55</v>
      </c>
      <c r="JO7" s="107">
        <f>MAX(FA7:FC7)</f>
        <v>1253.5999999999999</v>
      </c>
      <c r="JP7" s="107">
        <f>MAX(FD7:FF7)</f>
        <v>1430</v>
      </c>
      <c r="JQ7" s="107">
        <f>MAX(FG7:FI7)</f>
        <v>1490.1</v>
      </c>
      <c r="JR7" s="107">
        <f>MAX(FJ7:FL7)</f>
        <v>1496.7</v>
      </c>
      <c r="JS7" s="107">
        <f>MAX(FM7:FO7)</f>
        <v>1568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373.1</v>
      </c>
      <c r="BZ8" s="107" cm="1">
        <f t="array" ref="BZ8">_xll.EQNXTDZ($A$1,$B8,BZ$1)</f>
        <v>258.64999999999998</v>
      </c>
      <c r="CA8" s="107" cm="1">
        <f t="array" ref="CA8">_xll.EQNXTDZ($A$1,$B8,CA$1)</f>
        <v>242.05</v>
      </c>
      <c r="CB8" s="107" cm="1">
        <f t="array" ref="CB8">_xll.EQNXTDZ($A$1,$B8,CB$1)</f>
        <v>306.55</v>
      </c>
      <c r="CC8" s="107" cm="1">
        <f t="array" ref="CC8">_xll.EQNXTDZ($A$1,$B8,CC$1)</f>
        <v>356.05</v>
      </c>
      <c r="CD8" s="107" cm="1">
        <f t="array" ref="CD8">_xll.EQNXTDZ($A$1,$B8,CD$1)</f>
        <v>370</v>
      </c>
      <c r="CE8" s="107" cm="1">
        <f t="array" ref="CE8">_xll.EQNXTDZ($A$1,$B8,CE$1)</f>
        <v>329.9</v>
      </c>
      <c r="CF8" s="107" cm="1">
        <f t="array" ref="CF8">_xll.EQNXTDZ($A$1,$B8,CF$1)</f>
        <v>412</v>
      </c>
      <c r="CG8" s="107" cm="1">
        <f t="array" ref="CG8">_xll.EQNXTDZ($A$1,$B8,CG$1)</f>
        <v>476.2</v>
      </c>
      <c r="CH8" s="107" cm="1">
        <f t="array" ref="CH8">_xll.EQNXTDZ($A$1,$B8,CH$1)</f>
        <v>396.2</v>
      </c>
      <c r="CI8" s="107" cm="1">
        <f t="array" ref="CI8">_xll.EQNXTDZ($A$1,$B8,CI$1)</f>
        <v>505.05</v>
      </c>
      <c r="CJ8" s="107" cm="1">
        <f t="array" ref="CJ8">_xll.EQNXTDZ($A$1,$B8,CJ$1)</f>
        <v>481.1</v>
      </c>
      <c r="CK8" s="107" cm="1">
        <f t="array" ref="CK8">_xll.EQNXTDZ($A$1,$B8,CK$1)</f>
        <v>481.85</v>
      </c>
      <c r="CL8" s="107" cm="1">
        <f t="array" ref="CL8">_xll.EQNXTDZ($A$1,$B8,CL$1)</f>
        <v>554.15</v>
      </c>
      <c r="CM8" s="107" cm="1">
        <f t="array" ref="CM8">_xll.EQNXTDZ($A$1,$B8,CM$1)</f>
        <v>602.25</v>
      </c>
      <c r="CN8" s="107" cm="1">
        <f t="array" ref="CN8">_xll.EQNXTDZ($A$1,$B8,CN$1)</f>
        <v>635</v>
      </c>
      <c r="CO8" s="107" cm="1">
        <f t="array" ref="CO8">_xll.EQNXTDZ($A$1,$B8,CO$1)</f>
        <v>752</v>
      </c>
      <c r="CP8" s="107" cm="1">
        <f t="array" ref="CP8">_xll.EQNXTDZ($A$1,$B8,CP$1)</f>
        <v>737</v>
      </c>
      <c r="CQ8" s="107" cm="1">
        <f t="array" ref="CQ8">_xll.EQNXTDZ($A$1,$B8,CQ$1)</f>
        <v>746</v>
      </c>
      <c r="CR8" s="107" cm="1">
        <f t="array" ref="CR8">_xll.EQNXTDZ($A$1,$B8,CR$1)</f>
        <v>337.35</v>
      </c>
      <c r="CS8" s="107" cm="1">
        <f t="array" ref="CS8">_xll.EQNXTDZ($A$1,$B8,CS$1)</f>
        <v>305.2</v>
      </c>
      <c r="CT8" s="107" cm="1">
        <f t="array" ref="CT8">_xll.EQNXTDZ($A$1,$B8,CT$1)</f>
        <v>357.9</v>
      </c>
      <c r="CU8" s="107" cm="1">
        <f t="array" ref="CU8">_xll.EQNXTDZ($A$1,$B8,CU$1)</f>
        <v>398.75</v>
      </c>
      <c r="CV8" s="107" cm="1">
        <f t="array" ref="CV8">_xll.EQNXTDZ($A$1,$B8,CV$1)</f>
        <v>500.1</v>
      </c>
      <c r="CW8" s="107" cm="1">
        <f t="array" ref="CW8">_xll.EQNXTDZ($A$1,$B8,CW$1)</f>
        <v>498.05</v>
      </c>
      <c r="CX8" s="107" cm="1">
        <f t="array" ref="CX8">_xll.EQNXTDZ($A$1,$B8,CX$1)</f>
        <v>646.20000000000005</v>
      </c>
      <c r="CY8" s="107" cm="1">
        <f t="array" ref="CY8">_xll.EQNXTDZ($A$1,$B8,CY$1)</f>
        <v>611.95000000000005</v>
      </c>
      <c r="CZ8" s="107" cm="1">
        <f t="array" ref="CZ8">_xll.EQNXTDZ($A$1,$B8,CZ$1)</f>
        <v>616.29999999999995</v>
      </c>
      <c r="DA8" s="107" cm="1">
        <f t="array" ref="DA8">_xll.EQNXTDZ($A$1,$B8,DA$1)</f>
        <v>692.6</v>
      </c>
      <c r="DB8" s="107" cm="1">
        <f t="array" ref="DB8">_xll.EQNXTDZ($A$1,$B8,DB$1)</f>
        <v>691</v>
      </c>
      <c r="DC8" s="107" cm="1">
        <f t="array" ref="DC8">_xll.EQNXTDZ($A$1,$B8,DC$1)</f>
        <v>657.05</v>
      </c>
      <c r="DD8" s="107" cm="1">
        <f t="array" ref="DD8">_xll.EQNXTDZ($A$1,$B8,DD$1)</f>
        <v>640.04999999999995</v>
      </c>
      <c r="DE8" s="107" cm="1">
        <f t="array" ref="DE8">_xll.EQNXTDZ($A$1,$B8,DE$1)</f>
        <v>542.1</v>
      </c>
      <c r="DF8" s="107" cm="1">
        <f t="array" ref="DF8">_xll.EQNXTDZ($A$1,$B8,DF$1)</f>
        <v>577</v>
      </c>
      <c r="DG8" s="107" cm="1">
        <f t="array" ref="DG8">_xll.EQNXTDZ($A$1,$B8,DG$1)</f>
        <v>625</v>
      </c>
      <c r="DH8" s="107" cm="1">
        <f t="array" ref="DH8">_xll.EQNXTDZ($A$1,$B8,DH$1)</f>
        <v>632.15</v>
      </c>
      <c r="DI8" s="107" cm="1">
        <f t="array" ref="DI8">_xll.EQNXTDZ($A$1,$B8,DI$1)</f>
        <v>592.95000000000005</v>
      </c>
      <c r="DJ8" s="107" cm="1">
        <f t="array" ref="DJ8">_xll.EQNXTDZ($A$1,$B8,DJ$1)</f>
        <v>621</v>
      </c>
      <c r="DK8" s="107" cm="1">
        <f t="array" ref="DK8">_xll.EQNXTDZ($A$1,$B8,DK$1)</f>
        <v>612.45000000000005</v>
      </c>
      <c r="DL8" s="107" cm="1">
        <f t="array" ref="DL8">_xll.EQNXTDZ($A$1,$B8,DL$1)</f>
        <v>501</v>
      </c>
      <c r="DM8" s="107" cm="1">
        <f t="array" ref="DM8">_xll.EQNXTDZ($A$1,$B8,DM$1)</f>
        <v>494.7</v>
      </c>
      <c r="DN8" s="107" cm="1">
        <f t="array" ref="DN8">_xll.EQNXTDZ($A$1,$B8,DN$1)</f>
        <v>560.25</v>
      </c>
      <c r="DO8" s="107" cm="1">
        <f t="array" ref="DO8">_xll.EQNXTDZ($A$1,$B8,DO$1)</f>
        <v>604.4</v>
      </c>
      <c r="DP8" s="107" cm="1">
        <f t="array" ref="DP8">_xll.EQNXTDZ($A$1,$B8,DP$1)</f>
        <v>645</v>
      </c>
      <c r="DQ8" s="107" cm="1">
        <f t="array" ref="DQ8">_xll.EQNXTDZ($A$1,$B8,DQ$1)</f>
        <v>845.95</v>
      </c>
      <c r="DR8" s="107" cm="1">
        <f t="array" ref="DR8">_xll.EQNXTDZ($A$1,$B8,DR$1)</f>
        <v>847</v>
      </c>
      <c r="DS8" s="107" cm="1">
        <f t="array" ref="DS8">_xll.EQNXTDZ($A$1,$B8,DS$1)</f>
        <v>875.05</v>
      </c>
      <c r="DT8" s="107" cm="1">
        <f t="array" ref="DT8">_xll.EQNXTDZ($A$1,$B8,DT$1)</f>
        <v>946.45</v>
      </c>
      <c r="DU8" s="107" cm="1">
        <f t="array" ref="DU8">_xll.EQNXTDZ($A$1,$B8,DU$1)</f>
        <v>960.55</v>
      </c>
      <c r="DV8" s="107" cm="1">
        <f t="array" ref="DV8">_xll.EQNXTDZ($A$1,$B8,DV$1)</f>
        <v>969.4</v>
      </c>
      <c r="DW8" s="107" cm="1">
        <f t="array" ref="DW8">_xll.EQNXTDZ($A$1,$B8,DW$1)</f>
        <v>905.2</v>
      </c>
      <c r="DX8" s="107" cm="1">
        <f t="array" ref="DX8">_xll.EQNXTDZ($A$1,$B8,DX$1)</f>
        <v>926</v>
      </c>
      <c r="DY8" s="107" cm="1">
        <f t="array" ref="DY8">_xll.EQNXTDZ($A$1,$B8,DY$1)</f>
        <v>845.2</v>
      </c>
      <c r="DZ8" s="107" cm="1">
        <f t="array" ref="DZ8">_xll.EQNXTDZ($A$1,$B8,DZ$1)</f>
        <v>834.1</v>
      </c>
      <c r="EA8" s="107" cm="1">
        <f t="array" ref="EA8">_xll.EQNXTDZ($A$1,$B8,EA$1)</f>
        <v>862.7</v>
      </c>
      <c r="EB8" s="107" cm="1">
        <f t="array" ref="EB8">_xll.EQNXTDZ($A$1,$B8,EB$1)</f>
        <v>875.5</v>
      </c>
      <c r="EC8" s="107" cm="1">
        <f t="array" ref="EC8">_xll.EQNXTDZ($A$1,$B8,EC$1)</f>
        <v>904</v>
      </c>
      <c r="ED8" s="107" cm="1">
        <f t="array" ref="ED8">_xll.EQNXTDZ($A$1,$B8,ED$1)</f>
        <v>966.55</v>
      </c>
      <c r="EE8" s="107" cm="1">
        <f t="array" ref="EE8">_xll.EQNXTDZ($A$1,$B8,EE$1)</f>
        <v>1168.7</v>
      </c>
      <c r="EF8" s="107" cm="1">
        <f t="array" ref="EF8">_xll.EQNXTDZ($A$1,$B8,EF$1)</f>
        <v>1240.3499999999999</v>
      </c>
      <c r="EG8" s="107" cm="1">
        <f t="array" ref="EG8">_xll.EQNXTDZ($A$1,$B8,EG$1)</f>
        <v>1365.55</v>
      </c>
      <c r="EH8" s="107" cm="1">
        <f t="array" ref="EH8">_xll.EQNXTDZ($A$1,$B8,EH$1)</f>
        <v>1275</v>
      </c>
      <c r="EI8" s="107" cm="1">
        <f t="array" ref="EI8">_xll.EQNXTDZ($A$1,$B8,EI$1)</f>
        <v>1290</v>
      </c>
      <c r="EJ8" s="107" cm="1">
        <f t="array" ref="EJ8">_xll.EQNXTDZ($A$1,$B8,EJ$1)</f>
        <v>1565.6</v>
      </c>
      <c r="EK8" s="107" cm="1">
        <f t="array" ref="EK8">_xll.EQNXTDZ($A$1,$B8,EK$1)</f>
        <v>1576.5</v>
      </c>
      <c r="EL8" s="107" cm="1">
        <f t="array" ref="EL8">_xll.EQNXTDZ($A$1,$B8,EL$1)</f>
        <v>1504.65</v>
      </c>
      <c r="EM8" s="107" cm="1">
        <f t="array" ref="EM8">_xll.EQNXTDZ($A$1,$B8,EM$1)</f>
        <v>1451</v>
      </c>
      <c r="EN8" s="107" cm="1">
        <f t="array" ref="EN8">_xll.EQNXTDZ($A$1,$B8,EN$1)</f>
        <v>1277.95</v>
      </c>
      <c r="EO8" s="107" cm="1">
        <f t="array" ref="EO8">_xll.EQNXTDZ($A$1,$B8,EO$1)</f>
        <v>1394.05</v>
      </c>
      <c r="EP8" s="107" cm="1">
        <f t="array" ref="EP8">_xll.EQNXTDZ($A$1,$B8,EP$1)</f>
        <v>1300.55</v>
      </c>
      <c r="EQ8" s="107" cm="1">
        <f t="array" ref="EQ8">_xll.EQNXTDZ($A$1,$B8,EQ$1)</f>
        <v>1190.0999999999999</v>
      </c>
      <c r="ER8" s="107" cm="1">
        <f t="array" ref="ER8">_xll.EQNXTDZ($A$1,$B8,ER$1)</f>
        <v>1215.1500000000001</v>
      </c>
      <c r="ES8" s="107" cm="1">
        <f t="array" ref="ES8">_xll.EQNXTDZ($A$1,$B8,ES$1)</f>
        <v>1153</v>
      </c>
      <c r="ET8" s="107" cm="1">
        <f t="array" ref="ET8">_xll.EQNXTDZ($A$1,$B8,ET$1)</f>
        <v>1176.5999999999999</v>
      </c>
      <c r="EU8" s="107" cm="1">
        <f t="array" ref="EU8">_xll.EQNXTDZ($A$1,$B8,EU$1)</f>
        <v>911.5</v>
      </c>
      <c r="EV8" s="107" cm="1">
        <f t="array" ref="EV8">_xll.EQNXTDZ($A$1,$B8,EV$1)</f>
        <v>858.8</v>
      </c>
      <c r="EW8" s="107" cm="1">
        <f t="array" ref="EW8">_xll.EQNXTDZ($A$1,$B8,EW$1)</f>
        <v>810</v>
      </c>
      <c r="EX8" s="107" cm="1">
        <f t="array" ref="EX8">_xll.EQNXTDZ($A$1,$B8,EX$1)</f>
        <v>750.2</v>
      </c>
      <c r="EY8" s="107" cm="1">
        <f t="array" ref="EY8">_xll.EQNXTDZ($A$1,$B8,EY$1)</f>
        <v>847.8</v>
      </c>
      <c r="EZ8" s="107" cm="1">
        <f t="array" ref="EZ8">_xll.EQNXTDZ($A$1,$B8,EZ$1)</f>
        <v>882.15</v>
      </c>
      <c r="FA8" s="107" cm="1">
        <f t="array" ref="FA8">_xll.EQNXTDZ($A$1,$B8,FA$1)</f>
        <v>920</v>
      </c>
      <c r="FB8" s="107" cm="1">
        <f t="array" ref="FB8">_xll.EQNXTDZ($A$1,$B8,FB$1)</f>
        <v>1072.0999999999999</v>
      </c>
      <c r="FC8" s="107" cm="1">
        <f t="array" ref="FC8">_xll.EQNXTDZ($A$1,$B8,FC$1)</f>
        <v>1099.7</v>
      </c>
      <c r="FD8" s="107" cm="1">
        <f t="array" ref="FD8">_xll.EQNXTDZ($A$1,$B8,FD$1)</f>
        <v>1210</v>
      </c>
      <c r="FE8" s="107" cm="1">
        <f t="array" ref="FE8">_xll.EQNXTDZ($A$1,$B8,FE$1)</f>
        <v>1198</v>
      </c>
      <c r="FF8" s="107" cm="1">
        <f t="array" ref="FF8">_xll.EQNXTDZ($A$1,$B8,FF$1)</f>
        <v>1265</v>
      </c>
      <c r="FG8" s="107" cm="1">
        <f t="array" ref="FG8">_xll.EQNXTDZ($A$1,$B8,FG$1)</f>
        <v>1265</v>
      </c>
      <c r="FH8" s="107" cm="1">
        <f t="array" ref="FH8">_xll.EQNXTDZ($A$1,$B8,FH$1)</f>
        <v>1291</v>
      </c>
      <c r="FI8" s="107" cm="1">
        <f t="array" ref="FI8">_xll.EQNXTDZ($A$1,$B8,FI$1)</f>
        <v>1228.9000000000001</v>
      </c>
      <c r="FJ8" s="107" cm="1">
        <f t="array" ref="FJ8">_xll.EQNXTDZ($A$1,$B8,FJ$1)</f>
        <v>1207.9000000000001</v>
      </c>
      <c r="FK8" s="107" cm="1">
        <f t="array" ref="FK8">_xll.EQNXTDZ($A$1,$B8,FK$1)</f>
        <v>1225.5999999999999</v>
      </c>
      <c r="FL8" s="107" cm="1">
        <f t="array" ref="FL8">_xll.EQNXTDZ($A$1,$B8,FL$1)</f>
        <v>1113</v>
      </c>
      <c r="FM8" s="107" cm="1">
        <f t="array" ref="FM8">_xll.EQNXTDZ($A$1,$B8,FM$1)</f>
        <v>1158.0999999999999</v>
      </c>
      <c r="FN8" s="107" cm="1">
        <f t="array" ref="FN8">_xll.EQNXTDZ($A$1,$B8,FN$1)</f>
        <v>1270</v>
      </c>
      <c r="FO8" s="107" cm="1">
        <f t="array" ref="FO8">_xll.EQNXTDZ($A$1,$B8,FO$1)</f>
        <v>1229.0999999999999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242.05</v>
      </c>
      <c r="IP8" s="107">
        <f>+MIN(CD8:CF8)</f>
        <v>329.9</v>
      </c>
      <c r="IQ8" s="107">
        <f>+MIN(CG8:CI8)</f>
        <v>396.2</v>
      </c>
      <c r="IR8" s="107">
        <f>+MIN(CJ8:CL8)</f>
        <v>481.1</v>
      </c>
      <c r="IS8" s="107">
        <f>+MIN(CM8:CO8)</f>
        <v>602.25</v>
      </c>
      <c r="IT8" s="107">
        <f>+MIN(CP8:CR8)</f>
        <v>337.35</v>
      </c>
      <c r="IU8" s="107">
        <f>+MIN(CS8:CU8)</f>
        <v>305.2</v>
      </c>
      <c r="IV8" s="107">
        <f>+MIN(CV8:CX8)</f>
        <v>498.05</v>
      </c>
      <c r="IW8" s="107">
        <f>+MIN(CY8:DA8)</f>
        <v>611.95000000000005</v>
      </c>
      <c r="IX8" s="107">
        <f>+MIN(DB8:DD8)</f>
        <v>640.04999999999995</v>
      </c>
      <c r="IY8" s="107">
        <f>+MIN(DE8:DG8)</f>
        <v>542.1</v>
      </c>
      <c r="IZ8" s="107">
        <f>+MIN(DH8:DJ8)</f>
        <v>592.95000000000005</v>
      </c>
      <c r="JA8" s="107">
        <f>+MIN(DK8:DM8)</f>
        <v>494.7</v>
      </c>
      <c r="JB8" s="107">
        <f>+MIN(DN8:DP8)</f>
        <v>560.25</v>
      </c>
      <c r="JC8" s="107">
        <f>+MIN(DQ8:DS8)</f>
        <v>845.95</v>
      </c>
      <c r="JD8" s="107">
        <f>+MIN(DT8:DV8)</f>
        <v>946.45</v>
      </c>
      <c r="JE8" s="107">
        <f>+MIN(DW8:DY8)</f>
        <v>845.2</v>
      </c>
      <c r="JF8" s="107">
        <f>+MIN(DZ8:EB8)</f>
        <v>834.1</v>
      </c>
      <c r="JG8" s="107">
        <f>+MIN(EC8:EE8)</f>
        <v>904</v>
      </c>
      <c r="JH8" s="107">
        <f>+MIN(EF8:EH8)</f>
        <v>1240.3499999999999</v>
      </c>
      <c r="JI8" s="107">
        <f>+MIN(EI8:EK8)</f>
        <v>1290</v>
      </c>
      <c r="JJ8" s="107">
        <f>+MIN(EL8:EN8)</f>
        <v>1277.95</v>
      </c>
      <c r="JK8" s="107">
        <f>MIN(EO8:EQ8)</f>
        <v>1190.0999999999999</v>
      </c>
      <c r="JL8" s="107">
        <f>MIN(ER8:ET8)</f>
        <v>1153</v>
      </c>
      <c r="JM8" s="107">
        <f>MIN(EU8:EW8)</f>
        <v>810</v>
      </c>
      <c r="JN8" s="107">
        <f>MIN(EX8:EZ8)</f>
        <v>750.2</v>
      </c>
      <c r="JO8" s="107">
        <f>MIN(FA8:FC8)</f>
        <v>920</v>
      </c>
      <c r="JP8" s="107">
        <f>MIN(FD8:FF8)</f>
        <v>1198</v>
      </c>
      <c r="JQ8" s="107">
        <f>MIN(FG8:FI8)</f>
        <v>1228.9000000000001</v>
      </c>
      <c r="JR8" s="107">
        <f>MIN(FJ8:FL8)</f>
        <v>1113</v>
      </c>
      <c r="JS8" s="107">
        <f>MIN(FM8:FO8)</f>
        <v>1158.0999999999999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384.95</v>
      </c>
      <c r="BZ9" s="107" cm="1">
        <f t="array" ref="BZ9">_xll.EQNXTDZ($A$1,$B9,BZ$1)</f>
        <v>293.39999999999998</v>
      </c>
      <c r="CA9" s="107" cm="1">
        <f t="array" ref="CA9">_xll.EQNXTDZ($A$1,$B9,CA$1)</f>
        <v>314.35000000000002</v>
      </c>
      <c r="CB9" s="107" cm="1">
        <f t="array" ref="CB9">_xll.EQNXTDZ($A$1,$B9,CB$1)</f>
        <v>389.1</v>
      </c>
      <c r="CC9" s="107" cm="1">
        <f t="array" ref="CC9">_xll.EQNXTDZ($A$1,$B9,CC$1)</f>
        <v>383.25</v>
      </c>
      <c r="CD9" s="107" cm="1">
        <f t="array" ref="CD9">_xll.EQNXTDZ($A$1,$B9,CD$1)</f>
        <v>394.55</v>
      </c>
      <c r="CE9" s="107" cm="1">
        <f t="array" ref="CE9">_xll.EQNXTDZ($A$1,$B9,CE$1)</f>
        <v>416.55</v>
      </c>
      <c r="CF9" s="107" cm="1">
        <f t="array" ref="CF9">_xll.EQNXTDZ($A$1,$B9,CF$1)</f>
        <v>504</v>
      </c>
      <c r="CG9" s="107" cm="1">
        <f t="array" ref="CG9">_xll.EQNXTDZ($A$1,$B9,CG$1)</f>
        <v>522.15</v>
      </c>
      <c r="CH9" s="107" cm="1">
        <f t="array" ref="CH9">_xll.EQNXTDZ($A$1,$B9,CH$1)</f>
        <v>523.25</v>
      </c>
      <c r="CI9" s="107" cm="1">
        <f t="array" ref="CI9">_xll.EQNXTDZ($A$1,$B9,CI$1)</f>
        <v>519.15</v>
      </c>
      <c r="CJ9" s="107" cm="1">
        <f t="array" ref="CJ9">_xll.EQNXTDZ($A$1,$B9,CJ$1)</f>
        <v>524.75</v>
      </c>
      <c r="CK9" s="107" cm="1">
        <f t="array" ref="CK9">_xll.EQNXTDZ($A$1,$B9,CK$1)</f>
        <v>559.95000000000005</v>
      </c>
      <c r="CL9" s="107" cm="1">
        <f t="array" ref="CL9">_xll.EQNXTDZ($A$1,$B9,CL$1)</f>
        <v>657.1</v>
      </c>
      <c r="CM9" s="107" cm="1">
        <f t="array" ref="CM9">_xll.EQNXTDZ($A$1,$B9,CM$1)</f>
        <v>638.15</v>
      </c>
      <c r="CN9" s="107" cm="1">
        <f t="array" ref="CN9">_xll.EQNXTDZ($A$1,$B9,CN$1)</f>
        <v>802</v>
      </c>
      <c r="CO9" s="107" cm="1">
        <f t="array" ref="CO9">_xll.EQNXTDZ($A$1,$B9,CO$1)</f>
        <v>767.95</v>
      </c>
      <c r="CP9" s="107" cm="1">
        <f t="array" ref="CP9">_xll.EQNXTDZ($A$1,$B9,CP$1)</f>
        <v>800.75</v>
      </c>
      <c r="CQ9" s="107" cm="1">
        <f t="array" ref="CQ9">_xll.EQNXTDZ($A$1,$B9,CQ$1)</f>
        <v>841.9</v>
      </c>
      <c r="CR9" s="107" cm="1">
        <f t="array" ref="CR9">_xll.EQNXTDZ($A$1,$B9,CR$1)</f>
        <v>337.35</v>
      </c>
      <c r="CS9" s="107" cm="1">
        <f t="array" ref="CS9">_xll.EQNXTDZ($A$1,$B9,CS$1)</f>
        <v>492</v>
      </c>
      <c r="CT9" s="107" cm="1">
        <f t="array" ref="CT9">_xll.EQNXTDZ($A$1,$B9,CT$1)</f>
        <v>389.15</v>
      </c>
      <c r="CU9" s="107" cm="1">
        <f t="array" ref="CU9">_xll.EQNXTDZ($A$1,$B9,CU$1)</f>
        <v>522.25</v>
      </c>
      <c r="CV9" s="107" cm="1">
        <f t="array" ref="CV9">_xll.EQNXTDZ($A$1,$B9,CV$1)</f>
        <v>514</v>
      </c>
      <c r="CW9" s="107" cm="1">
        <f t="array" ref="CW9">_xll.EQNXTDZ($A$1,$B9,CW$1)</f>
        <v>717.75</v>
      </c>
      <c r="CX9" s="107" cm="1">
        <f t="array" ref="CX9">_xll.EQNXTDZ($A$1,$B9,CX$1)</f>
        <v>742.85</v>
      </c>
      <c r="CY9" s="107" cm="1">
        <f t="array" ref="CY9">_xll.EQNXTDZ($A$1,$B9,CY$1)</f>
        <v>647.95000000000005</v>
      </c>
      <c r="CZ9" s="107" cm="1">
        <f t="array" ref="CZ9">_xll.EQNXTDZ($A$1,$B9,CZ$1)</f>
        <v>791.1</v>
      </c>
      <c r="DA9" s="107" cm="1">
        <f t="array" ref="DA9">_xll.EQNXTDZ($A$1,$B9,DA$1)</f>
        <v>755.85</v>
      </c>
      <c r="DB9" s="107" cm="1">
        <f t="array" ref="DB9">_xll.EQNXTDZ($A$1,$B9,DB$1)</f>
        <v>694</v>
      </c>
      <c r="DC9" s="107" cm="1">
        <f t="array" ref="DC9">_xll.EQNXTDZ($A$1,$B9,DC$1)</f>
        <v>681.2</v>
      </c>
      <c r="DD9" s="107" cm="1">
        <f t="array" ref="DD9">_xll.EQNXTDZ($A$1,$B9,DD$1)</f>
        <v>670.75</v>
      </c>
      <c r="DE9" s="107" cm="1">
        <f t="array" ref="DE9">_xll.EQNXTDZ($A$1,$B9,DE$1)</f>
        <v>595.4</v>
      </c>
      <c r="DF9" s="107" cm="1">
        <f t="array" ref="DF9">_xll.EQNXTDZ($A$1,$B9,DF$1)</f>
        <v>626.29999999999995</v>
      </c>
      <c r="DG9" s="107" cm="1">
        <f t="array" ref="DG9">_xll.EQNXTDZ($A$1,$B9,DG$1)</f>
        <v>750</v>
      </c>
      <c r="DH9" s="107" cm="1">
        <f t="array" ref="DH9">_xll.EQNXTDZ($A$1,$B9,DH$1)</f>
        <v>664.9</v>
      </c>
      <c r="DI9" s="107" cm="1">
        <f t="array" ref="DI9">_xll.EQNXTDZ($A$1,$B9,DI$1)</f>
        <v>702.15</v>
      </c>
      <c r="DJ9" s="107" cm="1">
        <f t="array" ref="DJ9">_xll.EQNXTDZ($A$1,$B9,DJ$1)</f>
        <v>636.45000000000005</v>
      </c>
      <c r="DK9" s="107" cm="1">
        <f t="array" ref="DK9">_xll.EQNXTDZ($A$1,$B9,DK$1)</f>
        <v>628.35</v>
      </c>
      <c r="DL9" s="107" cm="1">
        <f t="array" ref="DL9">_xll.EQNXTDZ($A$1,$B9,DL$1)</f>
        <v>503.35</v>
      </c>
      <c r="DM9" s="107" cm="1">
        <f t="array" ref="DM9">_xll.EQNXTDZ($A$1,$B9,DM$1)</f>
        <v>597.85</v>
      </c>
      <c r="DN9" s="107" cm="1">
        <f t="array" ref="DN9">_xll.EQNXTDZ($A$1,$B9,DN$1)</f>
        <v>627.95000000000005</v>
      </c>
      <c r="DO9" s="107" cm="1">
        <f t="array" ref="DO9">_xll.EQNXTDZ($A$1,$B9,DO$1)</f>
        <v>749.95</v>
      </c>
      <c r="DP9" s="107" cm="1">
        <f t="array" ref="DP9">_xll.EQNXTDZ($A$1,$B9,DP$1)</f>
        <v>849.7</v>
      </c>
      <c r="DQ9" s="107" cm="1">
        <f t="array" ref="DQ9">_xll.EQNXTDZ($A$1,$B9,DQ$1)</f>
        <v>1036.2</v>
      </c>
      <c r="DR9" s="107" cm="1">
        <f t="array" ref="DR9">_xll.EQNXTDZ($A$1,$B9,DR$1)</f>
        <v>1071.5</v>
      </c>
      <c r="DS9" s="107" cm="1">
        <f t="array" ref="DS9">_xll.EQNXTDZ($A$1,$B9,DS$1)</f>
        <v>1015.8</v>
      </c>
      <c r="DT9" s="107" cm="1">
        <f t="array" ref="DT9">_xll.EQNXTDZ($A$1,$B9,DT$1)</f>
        <v>1056.45</v>
      </c>
      <c r="DU9" s="107" cm="1">
        <f t="array" ref="DU9">_xll.EQNXTDZ($A$1,$B9,DU$1)</f>
        <v>997.65</v>
      </c>
      <c r="DV9" s="107" cm="1">
        <f t="array" ref="DV9">_xll.EQNXTDZ($A$1,$B9,DV$1)</f>
        <v>994.1</v>
      </c>
      <c r="DW9" s="107" cm="1">
        <f t="array" ref="DW9">_xll.EQNXTDZ($A$1,$B9,DW$1)</f>
        <v>975.2</v>
      </c>
      <c r="DX9" s="107" cm="1">
        <f t="array" ref="DX9">_xll.EQNXTDZ($A$1,$B9,DX$1)</f>
        <v>960.25</v>
      </c>
      <c r="DY9" s="107" cm="1">
        <f t="array" ref="DY9">_xll.EQNXTDZ($A$1,$B9,DY$1)</f>
        <v>915.3</v>
      </c>
      <c r="DZ9" s="107" cm="1">
        <f t="array" ref="DZ9">_xll.EQNXTDZ($A$1,$B9,DZ$1)</f>
        <v>860.5</v>
      </c>
      <c r="EA9" s="107" cm="1">
        <f t="array" ref="EA9">_xll.EQNXTDZ($A$1,$B9,EA$1)</f>
        <v>964.95</v>
      </c>
      <c r="EB9" s="107" cm="1">
        <f t="array" ref="EB9">_xll.EQNXTDZ($A$1,$B9,EB$1)</f>
        <v>915.2</v>
      </c>
      <c r="EC9" s="107" cm="1">
        <f t="array" ref="EC9">_xll.EQNXTDZ($A$1,$B9,EC$1)</f>
        <v>964.3</v>
      </c>
      <c r="ED9" s="107" cm="1">
        <f t="array" ref="ED9">_xll.EQNXTDZ($A$1,$B9,ED$1)</f>
        <v>1234.0999999999999</v>
      </c>
      <c r="EE9" s="107" cm="1">
        <f t="array" ref="EE9">_xll.EQNXTDZ($A$1,$B9,EE$1)</f>
        <v>1247.6500000000001</v>
      </c>
      <c r="EF9" s="107" cm="1">
        <f t="array" ref="EF9">_xll.EQNXTDZ($A$1,$B9,EF$1)</f>
        <v>1456.25</v>
      </c>
      <c r="EG9" s="107" cm="1">
        <f t="array" ref="EG9">_xll.EQNXTDZ($A$1,$B9,EG$1)</f>
        <v>1415.55</v>
      </c>
      <c r="EH9" s="107" cm="1">
        <f t="array" ref="EH9">_xll.EQNXTDZ($A$1,$B9,EH$1)</f>
        <v>1315.5</v>
      </c>
      <c r="EI9" s="107" cm="1">
        <f t="array" ref="EI9">_xll.EQNXTDZ($A$1,$B9,EI$1)</f>
        <v>1597.2</v>
      </c>
      <c r="EJ9" s="107" cm="1">
        <f t="array" ref="EJ9">_xll.EQNXTDZ($A$1,$B9,EJ$1)</f>
        <v>1697.45</v>
      </c>
      <c r="EK9" s="107" cm="1">
        <f t="array" ref="EK9">_xll.EQNXTDZ($A$1,$B9,EK$1)</f>
        <v>1596.55</v>
      </c>
      <c r="EL9" s="107" cm="1">
        <f t="array" ref="EL9">_xll.EQNXTDZ($A$1,$B9,EL$1)</f>
        <v>1589.8</v>
      </c>
      <c r="EM9" s="107" cm="1">
        <f t="array" ref="EM9">_xll.EQNXTDZ($A$1,$B9,EM$1)</f>
        <v>1470.1</v>
      </c>
      <c r="EN9" s="107" cm="1">
        <f t="array" ref="EN9">_xll.EQNXTDZ($A$1,$B9,EN$1)</f>
        <v>1441.4</v>
      </c>
      <c r="EO9" s="107" cm="1">
        <f t="array" ref="EO9">_xll.EQNXTDZ($A$1,$B9,EO$1)</f>
        <v>1508.45</v>
      </c>
      <c r="EP9" s="107" cm="1">
        <f t="array" ref="EP9">_xll.EQNXTDZ($A$1,$B9,EP$1)</f>
        <v>1323.85</v>
      </c>
      <c r="EQ9" s="107" cm="1">
        <f t="array" ref="EQ9">_xll.EQNXTDZ($A$1,$B9,EQ$1)</f>
        <v>1322.1</v>
      </c>
      <c r="ER9" s="107" cm="1">
        <f t="array" ref="ER9">_xll.EQNXTDZ($A$1,$B9,ER$1)</f>
        <v>1327.65</v>
      </c>
      <c r="ES9" s="107" cm="1">
        <f t="array" ref="ES9">_xll.EQNXTDZ($A$1,$B9,ES$1)</f>
        <v>1221.05</v>
      </c>
      <c r="ET9" s="107" cm="1">
        <f t="array" ref="ET9">_xll.EQNXTDZ($A$1,$B9,ET$1)</f>
        <v>1197.5999999999999</v>
      </c>
      <c r="EU9" s="107" cm="1">
        <f t="array" ref="EU9">_xll.EQNXTDZ($A$1,$B9,EU$1)</f>
        <v>981.95</v>
      </c>
      <c r="EV9" s="107" cm="1">
        <f t="array" ref="EV9">_xll.EQNXTDZ($A$1,$B9,EV$1)</f>
        <v>902</v>
      </c>
      <c r="EW9" s="107" cm="1">
        <f t="array" ref="EW9">_xll.EQNXTDZ($A$1,$B9,EW$1)</f>
        <v>886.55</v>
      </c>
      <c r="EX9" s="107" cm="1">
        <f t="array" ref="EX9">_xll.EQNXTDZ($A$1,$B9,EX$1)</f>
        <v>1082.8499999999999</v>
      </c>
      <c r="EY9" s="107" cm="1">
        <f t="array" ref="EY9">_xll.EQNXTDZ($A$1,$B9,EY$1)</f>
        <v>919.1</v>
      </c>
      <c r="EZ9" s="107" cm="1">
        <f t="array" ref="EZ9">_xll.EQNXTDZ($A$1,$B9,EZ$1)</f>
        <v>951.95</v>
      </c>
      <c r="FA9" s="107" cm="1">
        <f t="array" ref="FA9">_xll.EQNXTDZ($A$1,$B9,FA$1)</f>
        <v>1088.55</v>
      </c>
      <c r="FB9" s="107" cm="1">
        <f t="array" ref="FB9">_xll.EQNXTDZ($A$1,$B9,FB$1)</f>
        <v>1144.5</v>
      </c>
      <c r="FC9" s="107" cm="1">
        <f t="array" ref="FC9">_xll.EQNXTDZ($A$1,$B9,FC$1)</f>
        <v>1209.7</v>
      </c>
      <c r="FD9" s="107" cm="1">
        <f t="array" ref="FD9">_xll.EQNXTDZ($A$1,$B9,FD$1)</f>
        <v>1248.3</v>
      </c>
      <c r="FE9" s="107" cm="1">
        <f t="array" ref="FE9">_xll.EQNXTDZ($A$1,$B9,FE$1)</f>
        <v>1399.9</v>
      </c>
      <c r="FF9" s="107" cm="1">
        <f t="array" ref="FF9">_xll.EQNXTDZ($A$1,$B9,FF$1)</f>
        <v>1353.2</v>
      </c>
      <c r="FG9" s="107" cm="1">
        <f t="array" ref="FG9">_xll.EQNXTDZ($A$1,$B9,FG$1)</f>
        <v>1423.6</v>
      </c>
      <c r="FH9" s="107" cm="1">
        <f t="array" ref="FH9">_xll.EQNXTDZ($A$1,$B9,FH$1)</f>
        <v>1337.1</v>
      </c>
      <c r="FI9" s="107" cm="1">
        <f t="array" ref="FI9">_xll.EQNXTDZ($A$1,$B9,FI$1)</f>
        <v>1273.5999999999999</v>
      </c>
      <c r="FJ9" s="107" cm="1">
        <f t="array" ref="FJ9">_xll.EQNXTDZ($A$1,$B9,FJ$1)</f>
        <v>1326.5</v>
      </c>
      <c r="FK9" s="107" cm="1">
        <f t="array" ref="FK9">_xll.EQNXTDZ($A$1,$B9,FK$1)</f>
        <v>1265.2</v>
      </c>
      <c r="FL9" s="107" cm="1">
        <f t="array" ref="FL9">_xll.EQNXTDZ($A$1,$B9,FL$1)</f>
        <v>1158</v>
      </c>
      <c r="FM9" s="107" cm="1">
        <f t="array" ref="FM9">_xll.EQNXTDZ($A$1,$B9,FM$1)</f>
        <v>1300.0999999999999</v>
      </c>
      <c r="FN9" s="107" cm="1">
        <f t="array" ref="FN9">_xll.EQNXTDZ($A$1,$B9,FN$1)</f>
        <v>1295.5</v>
      </c>
      <c r="FO9" s="107" cm="1">
        <f t="array" ref="FO9">_xll.EQNXTDZ($A$1,$B9,FO$1)</f>
        <v>1407.5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293.39999999999998</v>
      </c>
      <c r="IO9" s="107">
        <f>+CC9</f>
        <v>383.25</v>
      </c>
      <c r="IP9" s="107">
        <f>+CF9</f>
        <v>504</v>
      </c>
      <c r="IQ9" s="107">
        <f>+CI9</f>
        <v>519.15</v>
      </c>
      <c r="IR9" s="107">
        <f>+CL9</f>
        <v>657.1</v>
      </c>
      <c r="IS9" s="107">
        <f>+CO9</f>
        <v>767.95</v>
      </c>
      <c r="IT9" s="107">
        <f>+CR9</f>
        <v>337.35</v>
      </c>
      <c r="IU9" s="107">
        <f>+CU9</f>
        <v>522.25</v>
      </c>
      <c r="IV9" s="107">
        <f>+CX9</f>
        <v>742.85</v>
      </c>
      <c r="IW9" s="107">
        <f>+DA9</f>
        <v>755.85</v>
      </c>
      <c r="IX9" s="107">
        <f>+DD9</f>
        <v>670.75</v>
      </c>
      <c r="IY9" s="107">
        <f>+DG9</f>
        <v>750</v>
      </c>
      <c r="IZ9" s="107">
        <f>+DJ9</f>
        <v>636.45000000000005</v>
      </c>
      <c r="JA9" s="107">
        <f>+DM9</f>
        <v>597.85</v>
      </c>
      <c r="JB9" s="107">
        <f>+DP9</f>
        <v>849.7</v>
      </c>
      <c r="JC9" s="107">
        <f>+DS9</f>
        <v>1015.8</v>
      </c>
      <c r="JD9" s="107">
        <f>+DV9</f>
        <v>994.1</v>
      </c>
      <c r="JE9" s="107">
        <f>+DY9</f>
        <v>915.3</v>
      </c>
      <c r="JF9" s="107">
        <f>+EB9</f>
        <v>915.2</v>
      </c>
      <c r="JG9" s="107">
        <f>+EE9</f>
        <v>1247.6500000000001</v>
      </c>
      <c r="JH9" s="107">
        <f>+EH9</f>
        <v>1315.5</v>
      </c>
      <c r="JI9" s="107">
        <f>+EK9</f>
        <v>1596.55</v>
      </c>
      <c r="JJ9" s="107">
        <f>+EN9</f>
        <v>1441.4</v>
      </c>
      <c r="JK9" s="107">
        <f>EQ9</f>
        <v>1322.1</v>
      </c>
      <c r="JL9" s="107">
        <f>ET9</f>
        <v>1197.5999999999999</v>
      </c>
      <c r="JM9" s="107">
        <f>EW9</f>
        <v>886.55</v>
      </c>
      <c r="JN9" s="107">
        <f>EZ9</f>
        <v>951.95</v>
      </c>
      <c r="JO9" s="107">
        <f>FC9</f>
        <v>1209.7</v>
      </c>
      <c r="JP9" s="107">
        <f>FF9</f>
        <v>1353.2</v>
      </c>
      <c r="JQ9" s="107">
        <f>FI9</f>
        <v>1273.5999999999999</v>
      </c>
      <c r="JR9" s="107">
        <f>FL9</f>
        <v>1158</v>
      </c>
      <c r="JS9" s="107">
        <f>FO9</f>
        <v>1407.5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385</v>
      </c>
      <c r="BZ13" cm="1">
        <f t="array" ref="BZ13">_xll.EQNXTDZ($A$1,$B13,BZ$1)</f>
        <v>385</v>
      </c>
      <c r="CA13" cm="1">
        <f t="array" ref="CA13">_xll.EQNXTDZ($A$1,$B13,CA$1)</f>
        <v>288</v>
      </c>
      <c r="CB13" cm="1">
        <f t="array" ref="CB13">_xll.EQNXTDZ($A$1,$B13,CB$1)</f>
        <v>312.39999999999998</v>
      </c>
      <c r="CC13" cm="1">
        <f t="array" ref="CC13">_xll.EQNXTDZ($A$1,$B13,CC$1)</f>
        <v>386.9</v>
      </c>
      <c r="CD13" cm="1">
        <f t="array" ref="CD13">_xll.EQNXTDZ($A$1,$B13,CD$1)</f>
        <v>383</v>
      </c>
      <c r="CE13" cm="1">
        <f t="array" ref="CE13">_xll.EQNXTDZ($A$1,$B13,CE$1)</f>
        <v>399.9</v>
      </c>
      <c r="CF13" cm="1">
        <f t="array" ref="CF13">_xll.EQNXTDZ($A$1,$B13,CF$1)</f>
        <v>413</v>
      </c>
      <c r="CG13" cm="1">
        <f t="array" ref="CG13">_xll.EQNXTDZ($A$1,$B13,CG$1)</f>
        <v>509.65</v>
      </c>
      <c r="CH13" cm="1">
        <f t="array" ref="CH13">_xll.EQNXTDZ($A$1,$B13,CH$1)</f>
        <v>512</v>
      </c>
      <c r="CI13" cm="1">
        <f t="array" ref="CI13">_xll.EQNXTDZ($A$1,$B13,CI$1)</f>
        <v>525</v>
      </c>
      <c r="CJ13" cm="1">
        <f t="array" ref="CJ13">_xll.EQNXTDZ($A$1,$B13,CJ$1)</f>
        <v>519.4</v>
      </c>
      <c r="CK13" cm="1">
        <f t="array" ref="CK13">_xll.EQNXTDZ($A$1,$B13,CK$1)</f>
        <v>521.9</v>
      </c>
      <c r="CL13" cm="1">
        <f t="array" ref="CL13">_xll.EQNXTDZ($A$1,$B13,CL$1)</f>
        <v>555</v>
      </c>
      <c r="CM13" cm="1">
        <f t="array" ref="CM13">_xll.EQNXTDZ($A$1,$B13,CM$1)</f>
        <v>658.95</v>
      </c>
      <c r="CN13" cm="1">
        <f t="array" ref="CN13">_xll.EQNXTDZ($A$1,$B13,CN$1)</f>
        <v>645.95000000000005</v>
      </c>
      <c r="CO13" cm="1">
        <f t="array" ref="CO13">_xll.EQNXTDZ($A$1,$B13,CO$1)</f>
        <v>797.6</v>
      </c>
      <c r="CP13" cm="1">
        <f t="array" ref="CP13">_xll.EQNXTDZ($A$1,$B13,CP$1)</f>
        <v>776.7</v>
      </c>
      <c r="CQ13" cm="1">
        <f t="array" ref="CQ13">_xll.EQNXTDZ($A$1,$B13,CQ$1)</f>
        <v>794.9</v>
      </c>
      <c r="CR13" cm="1">
        <f t="array" ref="CR13">_xll.EQNXTDZ($A$1,$B13,CR$1)</f>
        <v>869.95</v>
      </c>
      <c r="CS13" cm="1">
        <f t="array" ref="CS13">_xll.EQNXTDZ($A$1,$B13,CS$1)</f>
        <v>338.35</v>
      </c>
      <c r="CT13" cm="1">
        <f t="array" ref="CT13">_xll.EQNXTDZ($A$1,$B13,CT$1)</f>
        <v>493</v>
      </c>
      <c r="CU13" cm="1">
        <f t="array" ref="CU13">_xll.EQNXTDZ($A$1,$B13,CU$1)</f>
        <v>408</v>
      </c>
      <c r="CV13" cm="1">
        <f t="array" ref="CV13">_xll.EQNXTDZ($A$1,$B13,CV$1)</f>
        <v>524</v>
      </c>
      <c r="CW13" cm="1">
        <f t="array" ref="CW13">_xll.EQNXTDZ($A$1,$B13,CW$1)</f>
        <v>529.79999999999995</v>
      </c>
      <c r="CX13" cm="1">
        <f t="array" ref="CX13">_xll.EQNXTDZ($A$1,$B13,CX$1)</f>
        <v>725</v>
      </c>
      <c r="CY13" cm="1">
        <f t="array" ref="CY13">_xll.EQNXTDZ($A$1,$B13,CY$1)</f>
        <v>736.1</v>
      </c>
      <c r="CZ13" cm="1">
        <f t="array" ref="CZ13">_xll.EQNXTDZ($A$1,$B13,CZ$1)</f>
        <v>660</v>
      </c>
      <c r="DA13" cm="1">
        <f t="array" ref="DA13">_xll.EQNXTDZ($A$1,$B13,DA$1)</f>
        <v>791.05</v>
      </c>
      <c r="DB13" cm="1">
        <f t="array" ref="DB13">_xll.EQNXTDZ($A$1,$B13,DB$1)</f>
        <v>762.75</v>
      </c>
      <c r="DC13" cm="1">
        <f t="array" ref="DC13">_xll.EQNXTDZ($A$1,$B13,DC$1)</f>
        <v>662</v>
      </c>
      <c r="DD13" cm="1">
        <f t="array" ref="DD13">_xll.EQNXTDZ($A$1,$B13,DD$1)</f>
        <v>720</v>
      </c>
      <c r="DE13" cm="1">
        <f t="array" ref="DE13">_xll.EQNXTDZ($A$1,$B13,DE$1)</f>
        <v>675</v>
      </c>
      <c r="DF13" cm="1">
        <f t="array" ref="DF13">_xll.EQNXTDZ($A$1,$B13,DF$1)</f>
        <v>595</v>
      </c>
      <c r="DG13" cm="1">
        <f t="array" ref="DG13">_xll.EQNXTDZ($A$1,$B13,DG$1)</f>
        <v>629.20000000000005</v>
      </c>
      <c r="DH13" cm="1">
        <f t="array" ref="DH13">_xll.EQNXTDZ($A$1,$B13,DH$1)</f>
        <v>731</v>
      </c>
      <c r="DI13" cm="1">
        <f t="array" ref="DI13">_xll.EQNXTDZ($A$1,$B13,DI$1)</f>
        <v>689.5</v>
      </c>
      <c r="DJ13" cm="1">
        <f t="array" ref="DJ13">_xll.EQNXTDZ($A$1,$B13,DJ$1)</f>
        <v>706.9</v>
      </c>
      <c r="DK13" cm="1">
        <f t="array" ref="DK13">_xll.EQNXTDZ($A$1,$B13,DK$1)</f>
        <v>642.5</v>
      </c>
      <c r="DL13" cm="1">
        <f t="array" ref="DL13">_xll.EQNXTDZ($A$1,$B13,DL$1)</f>
        <v>632.29999999999995</v>
      </c>
      <c r="DM13" cm="1">
        <f t="array" ref="DM13">_xll.EQNXTDZ($A$1,$B13,DM$1)</f>
        <v>518</v>
      </c>
      <c r="DN13" cm="1">
        <f t="array" ref="DN13">_xll.EQNXTDZ($A$1,$B13,DN$1)</f>
        <v>609.9</v>
      </c>
      <c r="DO13" cm="1">
        <f t="array" ref="DO13">_xll.EQNXTDZ($A$1,$B13,DO$1)</f>
        <v>624.54999999999995</v>
      </c>
      <c r="DP13" cm="1">
        <f t="array" ref="DP13">_xll.EQNXTDZ($A$1,$B13,DP$1)</f>
        <v>735.55</v>
      </c>
      <c r="DQ13" cm="1">
        <f t="array" ref="DQ13">_xll.EQNXTDZ($A$1,$B13,DQ$1)</f>
        <v>868</v>
      </c>
      <c r="DR13" cm="1">
        <f t="array" ref="DR13">_xll.EQNXTDZ($A$1,$B13,DR$1)</f>
        <v>1032.5999999999999</v>
      </c>
      <c r="DS13" cm="1">
        <f t="array" ref="DS13">_xll.EQNXTDZ($A$1,$B13,DS$1)</f>
        <v>1072</v>
      </c>
      <c r="DT13" cm="1">
        <f t="array" ref="DT13">_xll.EQNXTDZ($A$1,$B13,DT$1)</f>
        <v>1009.7</v>
      </c>
      <c r="DU13" cm="1">
        <f t="array" ref="DU13">_xll.EQNXTDZ($A$1,$B13,DU$1)</f>
        <v>1050</v>
      </c>
      <c r="DV13" cm="1">
        <f t="array" ref="DV13">_xll.EQNXTDZ($A$1,$B13,DV$1)</f>
        <v>985</v>
      </c>
      <c r="DW13" cm="1">
        <f t="array" ref="DW13">_xll.EQNXTDZ($A$1,$B13,DW$1)</f>
        <v>990.6</v>
      </c>
      <c r="DX13" cm="1">
        <f t="array" ref="DX13">_xll.EQNXTDZ($A$1,$B13,DX$1)</f>
        <v>972.7</v>
      </c>
      <c r="DY13" cm="1">
        <f t="array" ref="DY13">_xll.EQNXTDZ($A$1,$B13,DY$1)</f>
        <v>963.3</v>
      </c>
      <c r="DZ13" cm="1">
        <f t="array" ref="DZ13">_xll.EQNXTDZ($A$1,$B13,DZ$1)</f>
        <v>919.55</v>
      </c>
      <c r="EA13" cm="1">
        <f t="array" ref="EA13">_xll.EQNXTDZ($A$1,$B13,EA$1)</f>
        <v>874.05</v>
      </c>
      <c r="EB13" cm="1">
        <f t="array" ref="EB13">_xll.EQNXTDZ($A$1,$B13,EB$1)</f>
        <v>960</v>
      </c>
      <c r="EC13" cm="1">
        <f t="array" ref="EC13">_xll.EQNXTDZ($A$1,$B13,EC$1)</f>
        <v>915.55</v>
      </c>
      <c r="ED13" cm="1">
        <f t="array" ref="ED13">_xll.EQNXTDZ($A$1,$B13,ED$1)</f>
        <v>970</v>
      </c>
      <c r="EE13" cm="1">
        <f t="array" ref="EE13">_xll.EQNXTDZ($A$1,$B13,EE$1)</f>
        <v>1244.95</v>
      </c>
      <c r="EF13" cm="1">
        <f t="array" ref="EF13">_xll.EQNXTDZ($A$1,$B13,EF$1)</f>
        <v>1255.05</v>
      </c>
      <c r="EG13" cm="1">
        <f t="array" ref="EG13">_xll.EQNXTDZ($A$1,$B13,EG$1)</f>
        <v>1465.9</v>
      </c>
      <c r="EH13" cm="1">
        <f t="array" ref="EH13">_xll.EQNXTDZ($A$1,$B13,EH$1)</f>
        <v>1429.95</v>
      </c>
      <c r="EI13" cm="1">
        <f t="array" ref="EI13">_xll.EQNXTDZ($A$1,$B13,EI$1)</f>
        <v>1317.95</v>
      </c>
      <c r="EJ13" cm="1">
        <f t="array" ref="EJ13">_xll.EQNXTDZ($A$1,$B13,EJ$1)</f>
        <v>1600</v>
      </c>
      <c r="EK13" cm="1">
        <f t="array" ref="EK13">_xll.EQNXTDZ($A$1,$B13,EK$1)</f>
        <v>1682.6</v>
      </c>
      <c r="EL13" cm="1">
        <f t="array" ref="EL13">_xll.EQNXTDZ($A$1,$B13,EL$1)</f>
        <v>1611.8</v>
      </c>
      <c r="EM13" cm="1">
        <f t="array" ref="EM13">_xll.EQNXTDZ($A$1,$B13,EM$1)</f>
        <v>1617.3</v>
      </c>
      <c r="EN13" cm="1">
        <f t="array" ref="EN13">_xll.EQNXTDZ($A$1,$B13,EN$1)</f>
        <v>1460</v>
      </c>
      <c r="EO13" cm="1">
        <f t="array" ref="EO13">_xll.EQNXTDZ($A$1,$B13,EO$1)</f>
        <v>1466.45</v>
      </c>
      <c r="EP13" cm="1">
        <f t="array" ref="EP13">_xll.EQNXTDZ($A$1,$B13,EP$1)</f>
        <v>1515.4</v>
      </c>
      <c r="EQ13" cm="1">
        <f t="array" ref="EQ13">_xll.EQNXTDZ($A$1,$B13,EQ$1)</f>
        <v>1383.45</v>
      </c>
      <c r="ER13" cm="1">
        <f t="array" ref="ER13">_xll.EQNXTDZ($A$1,$B13,ER$1)</f>
        <v>1348.5</v>
      </c>
      <c r="ES13" cm="1">
        <f t="array" ref="ES13">_xll.EQNXTDZ($A$1,$B13,ES$1)</f>
        <v>1325.55</v>
      </c>
      <c r="ET13" cm="1">
        <f t="array" ref="ET13">_xll.EQNXTDZ($A$1,$B13,ET$1)</f>
        <v>1230</v>
      </c>
      <c r="EU13" cm="1">
        <f t="array" ref="EU13">_xll.EQNXTDZ($A$1,$B13,EU$1)</f>
        <v>1218.0999999999999</v>
      </c>
      <c r="EV13" cm="1">
        <f t="array" ref="EV13">_xll.EQNXTDZ($A$1,$B13,EV$1)</f>
        <v>1000</v>
      </c>
      <c r="EW13" cm="1">
        <f t="array" ref="EW13">_xll.EQNXTDZ($A$1,$B13,EW$1)</f>
        <v>913.95</v>
      </c>
      <c r="EX13" cm="1">
        <f t="array" ref="EX13">_xll.EQNXTDZ($A$1,$B13,EX$1)</f>
        <v>884.05</v>
      </c>
      <c r="EY13" cm="1">
        <f t="array" ref="EY13">_xll.EQNXTDZ($A$1,$B13,EY$1)</f>
        <v>1049.95</v>
      </c>
      <c r="EZ13" cm="1">
        <f t="array" ref="EZ13">_xll.EQNXTDZ($A$1,$B13,EZ$1)</f>
        <v>930</v>
      </c>
      <c r="FA13" cm="1">
        <f t="array" ref="FA13">_xll.EQNXTDZ($A$1,$B13,FA$1)</f>
        <v>962.75</v>
      </c>
      <c r="FB13" cm="1">
        <f t="array" ref="FB13">_xll.EQNXTDZ($A$1,$B13,FB$1)</f>
        <v>1066.5</v>
      </c>
      <c r="FC13" cm="1">
        <f t="array" ref="FC13">_xll.EQNXTDZ($A$1,$B13,FC$1)</f>
        <v>1126.2</v>
      </c>
      <c r="FD13" cm="1">
        <f t="array" ref="FD13">_xll.EQNXTDZ($A$1,$B13,FD$1)</f>
        <v>1209</v>
      </c>
      <c r="FE13" cm="1">
        <f t="array" ref="FE13">_xll.EQNXTDZ($A$1,$B13,FE$1)</f>
        <v>1231.8499999999999</v>
      </c>
      <c r="FF13" cm="1">
        <f t="array" ref="FF13">_xll.EQNXTDZ($A$1,$B13,FF$1)</f>
        <v>1408.15</v>
      </c>
      <c r="FG13" cm="1">
        <f t="array" ref="FG13">_xll.EQNXTDZ($A$1,$B13,FG$1)</f>
        <v>1326.45</v>
      </c>
      <c r="FH13" cm="1">
        <f t="array" ref="FH13">_xll.EQNXTDZ($A$1,$B13,FH$1)</f>
        <v>1413</v>
      </c>
      <c r="FI13" cm="1">
        <f t="array" ref="FI13">_xll.EQNXTDZ($A$1,$B13,FI$1)</f>
        <v>1335</v>
      </c>
      <c r="FJ13" cm="1">
        <f t="array" ref="FJ13">_xll.EQNXTDZ($A$1,$B13,FJ$1)</f>
        <v>1270.5</v>
      </c>
      <c r="FK13" cm="1">
        <f t="array" ref="FK13">_xll.EQNXTDZ($A$1,$B13,FK$1)</f>
        <v>1344.4</v>
      </c>
      <c r="FL13" cm="1">
        <f t="array" ref="FL13">_xll.EQNXTDZ($A$1,$B13,FL$1)</f>
        <v>1173.6500000000001</v>
      </c>
      <c r="FM13" cm="1">
        <f t="array" ref="FM13">_xll.EQNXTDZ($A$1,$B13,FM$1)</f>
        <v>1162.5999999999999</v>
      </c>
      <c r="FN13" cm="1">
        <f t="array" ref="FN13">_xll.EQNXTDZ($A$1,$B13,FN$1)</f>
        <v>1329.15</v>
      </c>
      <c r="FO13" cm="1">
        <f t="array" ref="FO13">_xll.EQNXTDZ($A$1,$B13,FO$1)</f>
        <v>1297.1500000000001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0</v>
      </c>
      <c r="D14" s="107" cm="1">
        <f t="array" ref="D14">_xll.EQNXTDZ($A$1,$B14,D$1)</f>
        <v>0</v>
      </c>
      <c r="E14" s="107" cm="1">
        <f t="array" ref="E14">_xll.EQNXTDZ($A$1,$B14,E$1)</f>
        <v>0</v>
      </c>
      <c r="F14" s="107" cm="1">
        <f t="array" ref="F14">_xll.EQNXTDZ($A$1,$B14,F$1)</f>
        <v>0</v>
      </c>
      <c r="G14" s="107" cm="1">
        <f t="array" ref="G14">_xll.EQNXTDZ($A$1,$B14,G$1)</f>
        <v>0</v>
      </c>
      <c r="H14" s="107" cm="1">
        <f t="array" ref="H14">_xll.EQNXTDZ($A$1,$B14,H$1)</f>
        <v>0</v>
      </c>
      <c r="I14" s="107" cm="1">
        <f t="array" ref="I14">_xll.EQNXTDZ($A$1,$B14,I$1)</f>
        <v>0</v>
      </c>
      <c r="J14" s="107" cm="1">
        <f t="array" ref="J14">_xll.EQNXTDZ($A$1,$B14,J$1)</f>
        <v>0</v>
      </c>
      <c r="K14" s="107" cm="1">
        <f t="array" ref="K14">_xll.EQNXTDZ($A$1,$B14,K$1)</f>
        <v>0</v>
      </c>
      <c r="L14" s="107" cm="1">
        <f t="array" ref="L14">_xll.EQNXTDZ($A$1,$B14,L$1)</f>
        <v>0</v>
      </c>
      <c r="M14" s="107" cm="1">
        <f t="array" ref="M14">_xll.EQNXTDZ($A$1,$B14,M$1)</f>
        <v>0</v>
      </c>
      <c r="N14" s="107" cm="1">
        <f t="array" ref="N14">_xll.EQNXTDZ($A$1,$B14,N$1)</f>
        <v>0</v>
      </c>
      <c r="O14" s="107" cm="1">
        <f t="array" ref="O14">_xll.EQNXTDZ($A$1,$B14,O$1)</f>
        <v>0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0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0</v>
      </c>
      <c r="X14" s="107" cm="1">
        <f t="array" ref="X14">_xll.EQNXTDZ($A$1,$B14,X$1)</f>
        <v>0</v>
      </c>
      <c r="Y14" s="107" cm="1">
        <f t="array" ref="Y14">_xll.EQNXTDZ($A$1,$B14,Y$1)</f>
        <v>0</v>
      </c>
      <c r="Z14" s="107" cm="1">
        <f t="array" ref="Z14">_xll.EQNXTDZ($A$1,$B14,Z$1)</f>
        <v>0</v>
      </c>
      <c r="AA14" s="107" cm="1">
        <f t="array" ref="AA14">_xll.EQNXTDZ($A$1,$B14,AA$1)</f>
        <v>0</v>
      </c>
      <c r="AB14" s="107" cm="1">
        <f t="array" ref="AB14">_xll.EQNXTDZ($A$1,$B14,AB$1)</f>
        <v>0</v>
      </c>
      <c r="AC14" s="107" cm="1">
        <f t="array" ref="AC14">_xll.EQNXTDZ($A$1,$B14,AC$1)</f>
        <v>0</v>
      </c>
      <c r="AD14" s="107" cm="1">
        <f t="array" ref="AD14">_xll.EQNXTDZ($A$1,$B14,AD$1)</f>
        <v>0</v>
      </c>
      <c r="AE14" s="107" cm="1">
        <f t="array" ref="AE14">_xll.EQNXTDZ($A$1,$B14,AE$1)</f>
        <v>0</v>
      </c>
      <c r="AF14" s="107" cm="1">
        <f t="array" ref="AF14">_xll.EQNXTDZ($A$1,$B14,AF$1)</f>
        <v>0</v>
      </c>
      <c r="AG14" s="107" cm="1">
        <f t="array" ref="AG14">_xll.EQNXTDZ($A$1,$B14,AG$1)</f>
        <v>0</v>
      </c>
      <c r="AH14" s="107" cm="1">
        <f t="array" ref="AH14">_xll.EQNXTDZ($A$1,$B14,AH$1)</f>
        <v>0</v>
      </c>
      <c r="AI14" s="107" cm="1">
        <f t="array" ref="AI14">_xll.EQNXTDZ($A$1,$B14,AI$1)</f>
        <v>0</v>
      </c>
      <c r="AJ14" s="107" cm="1">
        <f t="array" ref="AJ14">_xll.EQNXTDZ($A$1,$B14,AJ$1)</f>
        <v>0</v>
      </c>
      <c r="AK14" s="107" cm="1">
        <f t="array" ref="AK14">_xll.EQNXTDZ($A$1,$B14,AK$1)</f>
        <v>0</v>
      </c>
      <c r="AL14" s="107" cm="1">
        <f t="array" ref="AL14">_xll.EQNXTDZ($A$1,$B14,AL$1)</f>
        <v>0</v>
      </c>
      <c r="AM14" s="107" cm="1">
        <f t="array" ref="AM14">_xll.EQNXTDZ($A$1,$B14,AM$1)</f>
        <v>0</v>
      </c>
      <c r="AN14" s="107" cm="1">
        <f t="array" ref="AN14">_xll.EQNXTDZ($A$1,$B14,AN$1)</f>
        <v>0</v>
      </c>
      <c r="AO14" s="107" cm="1">
        <f t="array" ref="AO14">_xll.EQNXTDZ($A$1,$B14,AO$1)</f>
        <v>0</v>
      </c>
      <c r="AP14" s="107" cm="1">
        <f t="array" ref="AP14">_xll.EQNXTDZ($A$1,$B14,AP$1)</f>
        <v>0</v>
      </c>
      <c r="AQ14" s="107" cm="1">
        <f t="array" ref="AQ14">_xll.EQNXTDZ($A$1,$B14,AQ$1)</f>
        <v>0</v>
      </c>
      <c r="AR14" s="107" cm="1">
        <f t="array" ref="AR14">_xll.EQNXTDZ($A$1,$B14,AR$1)</f>
        <v>0</v>
      </c>
      <c r="AS14" s="107" cm="1">
        <f t="array" ref="AS14">_xll.EQNXTDZ($A$1,$B14,AS$1)</f>
        <v>0</v>
      </c>
      <c r="AT14" s="107" cm="1">
        <f t="array" ref="AT14">_xll.EQNXTDZ($A$1,$B14,AT$1)</f>
        <v>0</v>
      </c>
      <c r="AU14" s="107" cm="1">
        <f t="array" ref="AU14">_xll.EQNXTDZ($A$1,$B14,AU$1)</f>
        <v>0</v>
      </c>
      <c r="AV14" s="107" cm="1">
        <f t="array" ref="AV14">_xll.EQNXTDZ($A$1,$B14,AV$1)</f>
        <v>0</v>
      </c>
      <c r="AW14" s="107" cm="1">
        <f t="array" ref="AW14">_xll.EQNXTDZ($A$1,$B14,AW$1)</f>
        <v>0</v>
      </c>
      <c r="AX14" s="107" cm="1">
        <f t="array" ref="AX14">_xll.EQNXTDZ($A$1,$B14,AX$1)</f>
        <v>0</v>
      </c>
      <c r="AY14" s="107" cm="1">
        <f t="array" ref="AY14">_xll.EQNXTDZ($A$1,$B14,AY$1)</f>
        <v>0</v>
      </c>
      <c r="AZ14" s="107" cm="1">
        <f t="array" ref="AZ14">_xll.EQNXTDZ($A$1,$B14,AZ$1)</f>
        <v>0</v>
      </c>
      <c r="BA14" s="107" cm="1">
        <f t="array" ref="BA14">_xll.EQNXTDZ($A$1,$B14,BA$1)</f>
        <v>0</v>
      </c>
      <c r="BB14" s="107" cm="1">
        <f t="array" ref="BB14">_xll.EQNXTDZ($A$1,$B14,BB$1)</f>
        <v>0</v>
      </c>
      <c r="BC14" s="107" cm="1">
        <f t="array" ref="BC14">_xll.EQNXTDZ($A$1,$B14,BC$1)</f>
        <v>0</v>
      </c>
      <c r="BD14" s="107" cm="1">
        <f t="array" ref="BD14">_xll.EQNXTDZ($A$1,$B14,BD$1)</f>
        <v>0</v>
      </c>
      <c r="BE14" s="107" cm="1">
        <f t="array" ref="BE14">_xll.EQNXTDZ($A$1,$B14,BE$1)</f>
        <v>0</v>
      </c>
      <c r="BF14" s="107" cm="1">
        <f t="array" ref="BF14">_xll.EQNXTDZ($A$1,$B14,BF$1)</f>
        <v>0</v>
      </c>
      <c r="BG14" s="107" cm="1">
        <f t="array" ref="BG14">_xll.EQNXTDZ($A$1,$B14,BG$1)</f>
        <v>0</v>
      </c>
      <c r="BH14" s="107" cm="1">
        <f t="array" ref="BH14">_xll.EQNXTDZ($A$1,$B14,BH$1)</f>
        <v>0</v>
      </c>
      <c r="BI14" s="107" cm="1">
        <f t="array" ref="BI14">_xll.EQNXTDZ($A$1,$B14,BI$1)</f>
        <v>0</v>
      </c>
      <c r="BJ14" s="107" cm="1">
        <f t="array" ref="BJ14">_xll.EQNXTDZ($A$1,$B14,BJ$1)</f>
        <v>0</v>
      </c>
      <c r="BK14" s="107" cm="1">
        <f t="array" ref="BK14">_xll.EQNXTDZ($A$1,$B14,BK$1)</f>
        <v>0</v>
      </c>
      <c r="BL14" s="107" cm="1">
        <f t="array" ref="BL14">_xll.EQNXTDZ($A$1,$B14,BL$1)</f>
        <v>0</v>
      </c>
      <c r="BM14" s="107" cm="1">
        <f t="array" ref="BM14">_xll.EQNXTDZ($A$1,$B14,BM$1)</f>
        <v>0</v>
      </c>
      <c r="BN14" s="107" cm="1">
        <f t="array" ref="BN14">_xll.EQNXTDZ($A$1,$B14,BN$1)</f>
        <v>0</v>
      </c>
      <c r="BO14" s="107" cm="1">
        <f t="array" ref="BO14">_xll.EQNXTDZ($A$1,$B14,BO$1)</f>
        <v>0</v>
      </c>
      <c r="BP14" s="107" cm="1">
        <f t="array" ref="BP14">_xll.EQNXTDZ($A$1,$B14,BP$1)</f>
        <v>0</v>
      </c>
      <c r="BQ14" s="107" cm="1">
        <f t="array" ref="BQ14">_xll.EQNXTDZ($A$1,$B14,BQ$1)</f>
        <v>0</v>
      </c>
      <c r="BR14" s="107" cm="1">
        <f t="array" ref="BR14">_xll.EQNXTDZ($A$1,$B14,BR$1)</f>
        <v>0</v>
      </c>
      <c r="BS14" s="107" cm="1">
        <f t="array" ref="BS14">_xll.EQNXTDZ($A$1,$B14,BS$1)</f>
        <v>0</v>
      </c>
      <c r="BT14" s="107" cm="1">
        <f t="array" ref="BT14">_xll.EQNXTDZ($A$1,$B14,BT$1)</f>
        <v>0</v>
      </c>
      <c r="BU14" s="107" cm="1">
        <f t="array" ref="BU14">_xll.EQNXTDZ($A$1,$B14,BU$1)</f>
        <v>0</v>
      </c>
      <c r="BV14" s="107" cm="1">
        <f t="array" ref="BV14">_xll.EQNXTDZ($A$1,$B14,BV$1)</f>
        <v>0</v>
      </c>
      <c r="BW14" s="107" cm="1">
        <f t="array" ref="BW14">_xll.EQNXTDZ($A$1,$B14,BW$1)</f>
        <v>0</v>
      </c>
      <c r="BX14" s="107" cm="1">
        <f t="array" ref="BX14">_xll.EQNXTDZ($A$1,$B14,BX$1)</f>
        <v>0</v>
      </c>
      <c r="BY14" s="107" cm="1">
        <f t="array" ref="BY14">_xll.EQNXTDZ($A$1,$B14,BY$1)</f>
        <v>423.3</v>
      </c>
      <c r="BZ14" s="107" cm="1">
        <f t="array" ref="BZ14">_xll.EQNXTDZ($A$1,$B14,BZ$1)</f>
        <v>394.5</v>
      </c>
      <c r="CA14" s="107" cm="1">
        <f t="array" ref="CA14">_xll.EQNXTDZ($A$1,$B14,CA$1)</f>
        <v>323</v>
      </c>
      <c r="CB14" s="107" cm="1">
        <f t="array" ref="CB14">_xll.EQNXTDZ($A$1,$B14,CB$1)</f>
        <v>393</v>
      </c>
      <c r="CC14" s="107" cm="1">
        <f t="array" ref="CC14">_xll.EQNXTDZ($A$1,$B14,CC$1)</f>
        <v>399</v>
      </c>
      <c r="CD14" s="107" cm="1">
        <f t="array" ref="CD14">_xll.EQNXTDZ($A$1,$B14,CD$1)</f>
        <v>419</v>
      </c>
      <c r="CE14" s="107" cm="1">
        <f t="array" ref="CE14">_xll.EQNXTDZ($A$1,$B14,CE$1)</f>
        <v>419.8</v>
      </c>
      <c r="CF14" s="107" cm="1">
        <f t="array" ref="CF14">_xll.EQNXTDZ($A$1,$B14,CF$1)</f>
        <v>520.95000000000005</v>
      </c>
      <c r="CG14" s="107" cm="1">
        <f t="array" ref="CG14">_xll.EQNXTDZ($A$1,$B14,CG$1)</f>
        <v>566.45000000000005</v>
      </c>
      <c r="CH14" s="107" cm="1">
        <f t="array" ref="CH14">_xll.EQNXTDZ($A$1,$B14,CH$1)</f>
        <v>556.20000000000005</v>
      </c>
      <c r="CI14" s="107" cm="1">
        <f t="array" ref="CI14">_xll.EQNXTDZ($A$1,$B14,CI$1)</f>
        <v>591</v>
      </c>
      <c r="CJ14" s="107" cm="1">
        <f t="array" ref="CJ14">_xll.EQNXTDZ($A$1,$B14,CJ$1)</f>
        <v>545</v>
      </c>
      <c r="CK14" s="107" cm="1">
        <f t="array" ref="CK14">_xll.EQNXTDZ($A$1,$B14,CK$1)</f>
        <v>586.95000000000005</v>
      </c>
      <c r="CL14" s="107" cm="1">
        <f t="array" ref="CL14">_xll.EQNXTDZ($A$1,$B14,CL$1)</f>
        <v>689</v>
      </c>
      <c r="CM14" s="107" cm="1">
        <f t="array" ref="CM14">_xll.EQNXTDZ($A$1,$B14,CM$1)</f>
        <v>684.95</v>
      </c>
      <c r="CN14" s="107" cm="1">
        <f t="array" ref="CN14">_xll.EQNXTDZ($A$1,$B14,CN$1)</f>
        <v>848.55</v>
      </c>
      <c r="CO14" s="107" cm="1">
        <f t="array" ref="CO14">_xll.EQNXTDZ($A$1,$B14,CO$1)</f>
        <v>837.6</v>
      </c>
      <c r="CP14" s="107" cm="1">
        <f t="array" ref="CP14">_xll.EQNXTDZ($A$1,$B14,CP$1)</f>
        <v>881.85</v>
      </c>
      <c r="CQ14" s="107" cm="1">
        <f t="array" ref="CQ14">_xll.EQNXTDZ($A$1,$B14,CQ$1)</f>
        <v>1000.8</v>
      </c>
      <c r="CR14" s="107" cm="1">
        <f t="array" ref="CR14">_xll.EQNXTDZ($A$1,$B14,CR$1)</f>
        <v>902.2</v>
      </c>
      <c r="CS14" s="107" cm="1">
        <f t="array" ref="CS14">_xll.EQNXTDZ($A$1,$B14,CS$1)</f>
        <v>495.2</v>
      </c>
      <c r="CT14" s="107" cm="1">
        <f t="array" ref="CT14">_xll.EQNXTDZ($A$1,$B14,CT$1)</f>
        <v>510</v>
      </c>
      <c r="CU14" s="107" cm="1">
        <f t="array" ref="CU14">_xll.EQNXTDZ($A$1,$B14,CU$1)</f>
        <v>581.5</v>
      </c>
      <c r="CV14" s="107" cm="1">
        <f t="array" ref="CV14">_xll.EQNXTDZ($A$1,$B14,CV$1)</f>
        <v>650.20000000000005</v>
      </c>
      <c r="CW14" s="107" cm="1">
        <f t="array" ref="CW14">_xll.EQNXTDZ($A$1,$B14,CW$1)</f>
        <v>739.9</v>
      </c>
      <c r="CX14" s="107" cm="1">
        <f t="array" ref="CX14">_xll.EQNXTDZ($A$1,$B14,CX$1)</f>
        <v>759.25</v>
      </c>
      <c r="CY14" s="107" cm="1">
        <f t="array" ref="CY14">_xll.EQNXTDZ($A$1,$B14,CY$1)</f>
        <v>764.05</v>
      </c>
      <c r="CZ14" s="107" cm="1">
        <f t="array" ref="CZ14">_xll.EQNXTDZ($A$1,$B14,CZ$1)</f>
        <v>802</v>
      </c>
      <c r="DA14" s="107" cm="1">
        <f t="array" ref="DA14">_xll.EQNXTDZ($A$1,$B14,DA$1)</f>
        <v>839</v>
      </c>
      <c r="DB14" s="107" cm="1">
        <f t="array" ref="DB14">_xll.EQNXTDZ($A$1,$B14,DB$1)</f>
        <v>810</v>
      </c>
      <c r="DC14" s="107" cm="1">
        <f t="array" ref="DC14">_xll.EQNXTDZ($A$1,$B14,DC$1)</f>
        <v>755</v>
      </c>
      <c r="DD14" s="107" cm="1">
        <f t="array" ref="DD14">_xll.EQNXTDZ($A$1,$B14,DD$1)</f>
        <v>739.7</v>
      </c>
      <c r="DE14" s="107" cm="1">
        <f t="array" ref="DE14">_xll.EQNXTDZ($A$1,$B14,DE$1)</f>
        <v>675</v>
      </c>
      <c r="DF14" s="107" cm="1">
        <f t="array" ref="DF14">_xll.EQNXTDZ($A$1,$B14,DF$1)</f>
        <v>672.8</v>
      </c>
      <c r="DG14" s="107" cm="1">
        <f t="array" ref="DG14">_xll.EQNXTDZ($A$1,$B14,DG$1)</f>
        <v>807.55</v>
      </c>
      <c r="DH14" s="107" cm="1">
        <f t="array" ref="DH14">_xll.EQNXTDZ($A$1,$B14,DH$1)</f>
        <v>757.7</v>
      </c>
      <c r="DI14" s="107" cm="1">
        <f t="array" ref="DI14">_xll.EQNXTDZ($A$1,$B14,DI$1)</f>
        <v>707</v>
      </c>
      <c r="DJ14" s="107" cm="1">
        <f t="array" ref="DJ14">_xll.EQNXTDZ($A$1,$B14,DJ$1)</f>
        <v>709</v>
      </c>
      <c r="DK14" s="107" cm="1">
        <f t="array" ref="DK14">_xll.EQNXTDZ($A$1,$B14,DK$1)</f>
        <v>688.9</v>
      </c>
      <c r="DL14" s="107" cm="1">
        <f t="array" ref="DL14">_xll.EQNXTDZ($A$1,$B14,DL$1)</f>
        <v>677.4</v>
      </c>
      <c r="DM14" s="107" cm="1">
        <f t="array" ref="DM14">_xll.EQNXTDZ($A$1,$B14,DM$1)</f>
        <v>728.8</v>
      </c>
      <c r="DN14" s="107" cm="1">
        <f t="array" ref="DN14">_xll.EQNXTDZ($A$1,$B14,DN$1)</f>
        <v>651.4</v>
      </c>
      <c r="DO14" s="107" cm="1">
        <f t="array" ref="DO14">_xll.EQNXTDZ($A$1,$B14,DO$1)</f>
        <v>786.75</v>
      </c>
      <c r="DP14" s="107" cm="1">
        <f t="array" ref="DP14">_xll.EQNXTDZ($A$1,$B14,DP$1)</f>
        <v>878.25</v>
      </c>
      <c r="DQ14" s="107" cm="1">
        <f t="array" ref="DQ14">_xll.EQNXTDZ($A$1,$B14,DQ$1)</f>
        <v>1090</v>
      </c>
      <c r="DR14" s="107" cm="1">
        <f t="array" ref="DR14">_xll.EQNXTDZ($A$1,$B14,DR$1)</f>
        <v>1128.3</v>
      </c>
      <c r="DS14" s="107" cm="1">
        <f t="array" ref="DS14">_xll.EQNXTDZ($A$1,$B14,DS$1)</f>
        <v>1154.3499999999999</v>
      </c>
      <c r="DT14" s="107" cm="1">
        <f t="array" ref="DT14">_xll.EQNXTDZ($A$1,$B14,DT$1)</f>
        <v>1094.45</v>
      </c>
      <c r="DU14" s="107" cm="1">
        <f t="array" ref="DU14">_xll.EQNXTDZ($A$1,$B14,DU$1)</f>
        <v>1075</v>
      </c>
      <c r="DV14" s="107" cm="1">
        <f t="array" ref="DV14">_xll.EQNXTDZ($A$1,$B14,DV$1)</f>
        <v>1094</v>
      </c>
      <c r="DW14" s="107" cm="1">
        <f t="array" ref="DW14">_xll.EQNXTDZ($A$1,$B14,DW$1)</f>
        <v>1026.95</v>
      </c>
      <c r="DX14" s="107" cm="1">
        <f t="array" ref="DX14">_xll.EQNXTDZ($A$1,$B14,DX$1)</f>
        <v>1008.65</v>
      </c>
      <c r="DY14" s="107" cm="1">
        <f t="array" ref="DY14">_xll.EQNXTDZ($A$1,$B14,DY$1)</f>
        <v>963.3</v>
      </c>
      <c r="DZ14" s="107" cm="1">
        <f t="array" ref="DZ14">_xll.EQNXTDZ($A$1,$B14,DZ$1)</f>
        <v>935.85</v>
      </c>
      <c r="EA14" s="107" cm="1">
        <f t="array" ref="EA14">_xll.EQNXTDZ($A$1,$B14,EA$1)</f>
        <v>1020.2</v>
      </c>
      <c r="EB14" s="107" cm="1">
        <f t="array" ref="EB14">_xll.EQNXTDZ($A$1,$B14,EB$1)</f>
        <v>1010</v>
      </c>
      <c r="EC14" s="107" cm="1">
        <f t="array" ref="EC14">_xll.EQNXTDZ($A$1,$B14,EC$1)</f>
        <v>1042.0999999999999</v>
      </c>
      <c r="ED14" s="107" cm="1">
        <f t="array" ref="ED14">_xll.EQNXTDZ($A$1,$B14,ED$1)</f>
        <v>1287.45</v>
      </c>
      <c r="EE14" s="107" cm="1">
        <f t="array" ref="EE14">_xll.EQNXTDZ($A$1,$B14,EE$1)</f>
        <v>1397.65</v>
      </c>
      <c r="EF14" s="107" cm="1">
        <f t="array" ref="EF14">_xll.EQNXTDZ($A$1,$B14,EF$1)</f>
        <v>1472.1</v>
      </c>
      <c r="EG14" s="107" cm="1">
        <f t="array" ref="EG14">_xll.EQNXTDZ($A$1,$B14,EG$1)</f>
        <v>1502.3</v>
      </c>
      <c r="EH14" s="107" cm="1">
        <f t="array" ref="EH14">_xll.EQNXTDZ($A$1,$B14,EH$1)</f>
        <v>1492.2</v>
      </c>
      <c r="EI14" s="107" cm="1">
        <f t="array" ref="EI14">_xll.EQNXTDZ($A$1,$B14,EI$1)</f>
        <v>1637</v>
      </c>
      <c r="EJ14" s="107" cm="1">
        <f t="array" ref="EJ14">_xll.EQNXTDZ($A$1,$B14,EJ$1)</f>
        <v>1759.75</v>
      </c>
      <c r="EK14" s="107" cm="1">
        <f t="array" ref="EK14">_xll.EQNXTDZ($A$1,$B14,EK$1)</f>
        <v>1794.4</v>
      </c>
      <c r="EL14" s="107" cm="1">
        <f t="array" ref="EL14">_xll.EQNXTDZ($A$1,$B14,EL$1)</f>
        <v>1789.75</v>
      </c>
      <c r="EM14" s="107" cm="1">
        <f t="array" ref="EM14">_xll.EQNXTDZ($A$1,$B14,EM$1)</f>
        <v>1659.95</v>
      </c>
      <c r="EN14" s="107" cm="1">
        <f t="array" ref="EN14">_xll.EQNXTDZ($A$1,$B14,EN$1)</f>
        <v>1501.45</v>
      </c>
      <c r="EO14" s="107" cm="1">
        <f t="array" ref="EO14">_xll.EQNXTDZ($A$1,$B14,EO$1)</f>
        <v>1539.45</v>
      </c>
      <c r="EP14" s="107" cm="1">
        <f t="array" ref="EP14">_xll.EQNXTDZ($A$1,$B14,EP$1)</f>
        <v>1521.4</v>
      </c>
      <c r="EQ14" s="107" cm="1">
        <f t="array" ref="EQ14">_xll.EQNXTDZ($A$1,$B14,EQ$1)</f>
        <v>1553</v>
      </c>
      <c r="ER14" s="107" cm="1">
        <f t="array" ref="ER14">_xll.EQNXTDZ($A$1,$B14,ER$1)</f>
        <v>1408.95</v>
      </c>
      <c r="ES14" s="107" cm="1">
        <f t="array" ref="ES14">_xll.EQNXTDZ($A$1,$B14,ES$1)</f>
        <v>1334</v>
      </c>
      <c r="ET14" s="107" cm="1">
        <f t="array" ref="ET14">_xll.EQNXTDZ($A$1,$B14,ET$1)</f>
        <v>1294.1500000000001</v>
      </c>
      <c r="EU14" s="107" cm="1">
        <f t="array" ref="EU14">_xll.EQNXTDZ($A$1,$B14,EU$1)</f>
        <v>1218.0999999999999</v>
      </c>
      <c r="EV14" s="107" cm="1">
        <f t="array" ref="EV14">_xll.EQNXTDZ($A$1,$B14,EV$1)</f>
        <v>1014.05</v>
      </c>
      <c r="EW14" s="107" cm="1">
        <f t="array" ref="EW14">_xll.EQNXTDZ($A$1,$B14,EW$1)</f>
        <v>946.75</v>
      </c>
      <c r="EX14" s="107" cm="1">
        <f t="array" ref="EX14">_xll.EQNXTDZ($A$1,$B14,EX$1)</f>
        <v>1118</v>
      </c>
      <c r="EY14" s="107" cm="1">
        <f t="array" ref="EY14">_xll.EQNXTDZ($A$1,$B14,EY$1)</f>
        <v>1102.7</v>
      </c>
      <c r="EZ14" s="107" cm="1">
        <f t="array" ref="EZ14">_xll.EQNXTDZ($A$1,$B14,EZ$1)</f>
        <v>1052.9000000000001</v>
      </c>
      <c r="FA14" s="107" cm="1">
        <f t="array" ref="FA14">_xll.EQNXTDZ($A$1,$B14,FA$1)</f>
        <v>1177.9000000000001</v>
      </c>
      <c r="FB14" s="107" cm="1">
        <f t="array" ref="FB14">_xll.EQNXTDZ($A$1,$B14,FB$1)</f>
        <v>1253.6500000000001</v>
      </c>
      <c r="FC14" s="107" cm="1">
        <f t="array" ref="FC14">_xll.EQNXTDZ($A$1,$B14,FC$1)</f>
        <v>1252.1500000000001</v>
      </c>
      <c r="FD14" s="107" cm="1">
        <f t="array" ref="FD14">_xll.EQNXTDZ($A$1,$B14,FD$1)</f>
        <v>1400.4</v>
      </c>
      <c r="FE14" s="107" cm="1">
        <f t="array" ref="FE14">_xll.EQNXTDZ($A$1,$B14,FE$1)</f>
        <v>1411.1</v>
      </c>
      <c r="FF14" s="107" cm="1">
        <f t="array" ref="FF14">_xll.EQNXTDZ($A$1,$B14,FF$1)</f>
        <v>1431</v>
      </c>
      <c r="FG14" s="107" cm="1">
        <f t="array" ref="FG14">_xll.EQNXTDZ($A$1,$B14,FG$1)</f>
        <v>1489.1</v>
      </c>
      <c r="FH14" s="107" cm="1">
        <f t="array" ref="FH14">_xll.EQNXTDZ($A$1,$B14,FH$1)</f>
        <v>1454.2</v>
      </c>
      <c r="FI14" s="107" cm="1">
        <f t="array" ref="FI14">_xll.EQNXTDZ($A$1,$B14,FI$1)</f>
        <v>1354.45</v>
      </c>
      <c r="FJ14" s="107" cm="1">
        <f t="array" ref="FJ14">_xll.EQNXTDZ($A$1,$B14,FJ$1)</f>
        <v>1496.6</v>
      </c>
      <c r="FK14" s="107" cm="1">
        <f t="array" ref="FK14">_xll.EQNXTDZ($A$1,$B14,FK$1)</f>
        <v>1394.75</v>
      </c>
      <c r="FL14" s="107" cm="1">
        <f t="array" ref="FL14">_xll.EQNXTDZ($A$1,$B14,FL$1)</f>
        <v>1268.6500000000001</v>
      </c>
      <c r="FM14" s="107" cm="1">
        <f t="array" ref="FM14">_xll.EQNXTDZ($A$1,$B14,FM$1)</f>
        <v>1330</v>
      </c>
      <c r="FN14" s="107" cm="1">
        <f t="array" ref="FN14">_xll.EQNXTDZ($A$1,$B14,FN$1)</f>
        <v>1566</v>
      </c>
      <c r="FO14" s="107" cm="1">
        <f t="array" ref="FO14">_xll.EQNXTDZ($A$1,$B14,FO$1)</f>
        <v>1415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0</v>
      </c>
      <c r="HQ14" s="107">
        <f>+MAX(G14:I14)</f>
        <v>0</v>
      </c>
      <c r="HR14" s="107">
        <f>+MAX(J14:L14)</f>
        <v>0</v>
      </c>
      <c r="HS14" s="107">
        <f>+MAX(M14:O14)</f>
        <v>0</v>
      </c>
      <c r="HT14" s="107">
        <f>+MAX(P14:R14)</f>
        <v>0</v>
      </c>
      <c r="HU14" s="107">
        <f>+MAX(S14:U14)</f>
        <v>0</v>
      </c>
      <c r="HV14" s="107">
        <f>+MAX(V14:X14)</f>
        <v>0</v>
      </c>
      <c r="HW14" s="107">
        <f>+MAX(Y14:AA14)</f>
        <v>0</v>
      </c>
      <c r="HX14" s="107">
        <f>+MAX(AB14:AD14)</f>
        <v>0</v>
      </c>
      <c r="HY14" s="107">
        <f>+MAX(AE14:AG14)</f>
        <v>0</v>
      </c>
      <c r="HZ14" s="107">
        <f>+MAX(AH14:AJ14)</f>
        <v>0</v>
      </c>
      <c r="IA14" s="107">
        <f>+MAX(AK14:AM14)</f>
        <v>0</v>
      </c>
      <c r="IB14" s="107">
        <f>+MAX(AN14:AP14)</f>
        <v>0</v>
      </c>
      <c r="IC14" s="107">
        <f>+MAX(AQ14:AS14)</f>
        <v>0</v>
      </c>
      <c r="ID14" s="107">
        <f>+MAX(AT14:AV14)</f>
        <v>0</v>
      </c>
      <c r="IE14" s="107">
        <f>+MAX(AW14:AY14)</f>
        <v>0</v>
      </c>
      <c r="IF14" s="107">
        <f>+MAX(AZ14:BB14)</f>
        <v>0</v>
      </c>
      <c r="IG14" s="107">
        <f>+MAX(BC14:BE14)</f>
        <v>0</v>
      </c>
      <c r="IH14" s="107">
        <f>+MAX(BF14:BH14)</f>
        <v>0</v>
      </c>
      <c r="II14" s="107">
        <f>+MAX(BI14:BK14)</f>
        <v>0</v>
      </c>
      <c r="IJ14" s="107">
        <f>+MAX(BL14:BN14)</f>
        <v>0</v>
      </c>
      <c r="IK14" s="107">
        <f>+MAX(BO14:BQ14)</f>
        <v>0</v>
      </c>
      <c r="IL14" s="107">
        <f>+MAX(BR14:BT14)</f>
        <v>0</v>
      </c>
      <c r="IM14" s="107">
        <f>+MAX(BU14:BW14)</f>
        <v>0</v>
      </c>
      <c r="IN14" s="107">
        <f>+MAX(BX14:BZ14)</f>
        <v>423.3</v>
      </c>
      <c r="IO14" s="107">
        <f>+MAX(CA14:CC14)</f>
        <v>399</v>
      </c>
      <c r="IP14" s="107">
        <f>+MAX(CD14:CF14)</f>
        <v>520.95000000000005</v>
      </c>
      <c r="IQ14" s="107">
        <f>+MAX(CG14:CI14)</f>
        <v>591</v>
      </c>
      <c r="IR14" s="107">
        <f>+MAX(CJ14:CL14)</f>
        <v>689</v>
      </c>
      <c r="IS14" s="107">
        <f>+MAX(CM14:CO14)</f>
        <v>848.55</v>
      </c>
      <c r="IT14" s="107">
        <f>+MAX(CP14:CR14)</f>
        <v>1000.8</v>
      </c>
      <c r="IU14" s="107">
        <f>+MAX(CS14:CU14)</f>
        <v>581.5</v>
      </c>
      <c r="IV14" s="107">
        <f>+MAX(CV14:CX14)</f>
        <v>759.25</v>
      </c>
      <c r="IW14" s="107">
        <f>+MAX(CY14:DA14)</f>
        <v>839</v>
      </c>
      <c r="IX14" s="107">
        <f>+MAX(DB14:DD14)</f>
        <v>810</v>
      </c>
      <c r="IY14" s="107">
        <f>+MAX(DE14:DG14)</f>
        <v>807.55</v>
      </c>
      <c r="IZ14" s="107">
        <f>+MAX(DH14:DJ14)</f>
        <v>757.7</v>
      </c>
      <c r="JA14" s="107">
        <f>+MAX(DK14:DM14)</f>
        <v>728.8</v>
      </c>
      <c r="JB14" s="107">
        <f>+MAX(DN14:DP14)</f>
        <v>878.25</v>
      </c>
      <c r="JC14" s="107">
        <f>+MAX(DQ14:DS14)</f>
        <v>1154.3499999999999</v>
      </c>
      <c r="JD14" s="107">
        <f>+MAX(DT14:DV14)</f>
        <v>1094.45</v>
      </c>
      <c r="JE14" s="107">
        <f>+MAX(DW14:DY14)</f>
        <v>1026.95</v>
      </c>
      <c r="JF14" s="107">
        <f>+MAX(DZ14:EB14)</f>
        <v>1020.2</v>
      </c>
      <c r="JG14" s="107">
        <f>+MAX(EC14:EE14)</f>
        <v>1397.65</v>
      </c>
      <c r="JH14" s="107">
        <f>+MAX(EF14:EH14)</f>
        <v>1502.3</v>
      </c>
      <c r="JI14" s="107">
        <f>+MAX(EI14:EK14)</f>
        <v>1794.4</v>
      </c>
      <c r="JJ14" s="107">
        <f>+MAX(EL14:EN14)</f>
        <v>1789.75</v>
      </c>
      <c r="JK14" s="107">
        <f>MAX(EO14:EQ14)</f>
        <v>1553</v>
      </c>
      <c r="JL14" s="107">
        <f>MAX(ER14:ET14)</f>
        <v>1408.95</v>
      </c>
      <c r="JM14" s="107">
        <f>MAX(EU14:EW14)</f>
        <v>1218.0999999999999</v>
      </c>
      <c r="JN14" s="107">
        <f>MAX(EX14:EZ14)</f>
        <v>1118</v>
      </c>
      <c r="JO14" s="107">
        <f>MAX(FA14:FC14)</f>
        <v>1253.6500000000001</v>
      </c>
      <c r="JP14" s="107">
        <f>MAX(FD14:FF14)</f>
        <v>1431</v>
      </c>
      <c r="JQ14" s="107">
        <f>MAX(FG14:FI14)</f>
        <v>1489.1</v>
      </c>
      <c r="JR14" s="107">
        <f>MAX(FJ14:FL14)</f>
        <v>1496.6</v>
      </c>
      <c r="JS14" s="107">
        <f>MAX(FM14:FO14)</f>
        <v>1566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0</v>
      </c>
      <c r="D15" s="107" cm="1">
        <f t="array" ref="D15">_xll.EQNXTDZ($A$1,$B15,D$1)</f>
        <v>0</v>
      </c>
      <c r="E15" s="107" cm="1">
        <f t="array" ref="E15">_xll.EQNXTDZ($A$1,$B15,E$1)</f>
        <v>0</v>
      </c>
      <c r="F15" s="107" cm="1">
        <f t="array" ref="F15">_xll.EQNXTDZ($A$1,$B15,F$1)</f>
        <v>0</v>
      </c>
      <c r="G15" s="107" cm="1">
        <f t="array" ref="G15">_xll.EQNXTDZ($A$1,$B15,G$1)</f>
        <v>0</v>
      </c>
      <c r="H15" s="107" cm="1">
        <f t="array" ref="H15">_xll.EQNXTDZ($A$1,$B15,H$1)</f>
        <v>0</v>
      </c>
      <c r="I15" s="107" cm="1">
        <f t="array" ref="I15">_xll.EQNXTDZ($A$1,$B15,I$1)</f>
        <v>0</v>
      </c>
      <c r="J15" s="107" cm="1">
        <f t="array" ref="J15">_xll.EQNXTDZ($A$1,$B15,J$1)</f>
        <v>0</v>
      </c>
      <c r="K15" s="107" cm="1">
        <f t="array" ref="K15">_xll.EQNXTDZ($A$1,$B15,K$1)</f>
        <v>0</v>
      </c>
      <c r="L15" s="107" cm="1">
        <f t="array" ref="L15">_xll.EQNXTDZ($A$1,$B15,L$1)</f>
        <v>0</v>
      </c>
      <c r="M15" s="107" cm="1">
        <f t="array" ref="M15">_xll.EQNXTDZ($A$1,$B15,M$1)</f>
        <v>0</v>
      </c>
      <c r="N15" s="107" cm="1">
        <f t="array" ref="N15">_xll.EQNXTDZ($A$1,$B15,N$1)</f>
        <v>0</v>
      </c>
      <c r="O15" s="107" cm="1">
        <f t="array" ref="O15">_xll.EQNXTDZ($A$1,$B15,O$1)</f>
        <v>0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0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0</v>
      </c>
      <c r="X15" s="107" cm="1">
        <f t="array" ref="X15">_xll.EQNXTDZ($A$1,$B15,X$1)</f>
        <v>0</v>
      </c>
      <c r="Y15" s="107" cm="1">
        <f t="array" ref="Y15">_xll.EQNXTDZ($A$1,$B15,Y$1)</f>
        <v>0</v>
      </c>
      <c r="Z15" s="107" cm="1">
        <f t="array" ref="Z15">_xll.EQNXTDZ($A$1,$B15,Z$1)</f>
        <v>0</v>
      </c>
      <c r="AA15" s="107" cm="1">
        <f t="array" ref="AA15">_xll.EQNXTDZ($A$1,$B15,AA$1)</f>
        <v>0</v>
      </c>
      <c r="AB15" s="107" cm="1">
        <f t="array" ref="AB15">_xll.EQNXTDZ($A$1,$B15,AB$1)</f>
        <v>0</v>
      </c>
      <c r="AC15" s="107" cm="1">
        <f t="array" ref="AC15">_xll.EQNXTDZ($A$1,$B15,AC$1)</f>
        <v>0</v>
      </c>
      <c r="AD15" s="107" cm="1">
        <f t="array" ref="AD15">_xll.EQNXTDZ($A$1,$B15,AD$1)</f>
        <v>0</v>
      </c>
      <c r="AE15" s="107" cm="1">
        <f t="array" ref="AE15">_xll.EQNXTDZ($A$1,$B15,AE$1)</f>
        <v>0</v>
      </c>
      <c r="AF15" s="107" cm="1">
        <f t="array" ref="AF15">_xll.EQNXTDZ($A$1,$B15,AF$1)</f>
        <v>0</v>
      </c>
      <c r="AG15" s="107" cm="1">
        <f t="array" ref="AG15">_xll.EQNXTDZ($A$1,$B15,AG$1)</f>
        <v>0</v>
      </c>
      <c r="AH15" s="107" cm="1">
        <f t="array" ref="AH15">_xll.EQNXTDZ($A$1,$B15,AH$1)</f>
        <v>0</v>
      </c>
      <c r="AI15" s="107" cm="1">
        <f t="array" ref="AI15">_xll.EQNXTDZ($A$1,$B15,AI$1)</f>
        <v>0</v>
      </c>
      <c r="AJ15" s="107" cm="1">
        <f t="array" ref="AJ15">_xll.EQNXTDZ($A$1,$B15,AJ$1)</f>
        <v>0</v>
      </c>
      <c r="AK15" s="107" cm="1">
        <f t="array" ref="AK15">_xll.EQNXTDZ($A$1,$B15,AK$1)</f>
        <v>0</v>
      </c>
      <c r="AL15" s="107" cm="1">
        <f t="array" ref="AL15">_xll.EQNXTDZ($A$1,$B15,AL$1)</f>
        <v>0</v>
      </c>
      <c r="AM15" s="107" cm="1">
        <f t="array" ref="AM15">_xll.EQNXTDZ($A$1,$B15,AM$1)</f>
        <v>0</v>
      </c>
      <c r="AN15" s="107" cm="1">
        <f t="array" ref="AN15">_xll.EQNXTDZ($A$1,$B15,AN$1)</f>
        <v>0</v>
      </c>
      <c r="AO15" s="107" cm="1">
        <f t="array" ref="AO15">_xll.EQNXTDZ($A$1,$B15,AO$1)</f>
        <v>0</v>
      </c>
      <c r="AP15" s="107" cm="1">
        <f t="array" ref="AP15">_xll.EQNXTDZ($A$1,$B15,AP$1)</f>
        <v>0</v>
      </c>
      <c r="AQ15" s="107" cm="1">
        <f t="array" ref="AQ15">_xll.EQNXTDZ($A$1,$B15,AQ$1)</f>
        <v>0</v>
      </c>
      <c r="AR15" s="107" cm="1">
        <f t="array" ref="AR15">_xll.EQNXTDZ($A$1,$B15,AR$1)</f>
        <v>0</v>
      </c>
      <c r="AS15" s="107" cm="1">
        <f t="array" ref="AS15">_xll.EQNXTDZ($A$1,$B15,AS$1)</f>
        <v>0</v>
      </c>
      <c r="AT15" s="107" cm="1">
        <f t="array" ref="AT15">_xll.EQNXTDZ($A$1,$B15,AT$1)</f>
        <v>0</v>
      </c>
      <c r="AU15" s="107" cm="1">
        <f t="array" ref="AU15">_xll.EQNXTDZ($A$1,$B15,AU$1)</f>
        <v>0</v>
      </c>
      <c r="AV15" s="107" cm="1">
        <f t="array" ref="AV15">_xll.EQNXTDZ($A$1,$B15,AV$1)</f>
        <v>0</v>
      </c>
      <c r="AW15" s="107" cm="1">
        <f t="array" ref="AW15">_xll.EQNXTDZ($A$1,$B15,AW$1)</f>
        <v>0</v>
      </c>
      <c r="AX15" s="107" cm="1">
        <f t="array" ref="AX15">_xll.EQNXTDZ($A$1,$B15,AX$1)</f>
        <v>0</v>
      </c>
      <c r="AY15" s="107" cm="1">
        <f t="array" ref="AY15">_xll.EQNXTDZ($A$1,$B15,AY$1)</f>
        <v>0</v>
      </c>
      <c r="AZ15" s="107" cm="1">
        <f t="array" ref="AZ15">_xll.EQNXTDZ($A$1,$B15,AZ$1)</f>
        <v>0</v>
      </c>
      <c r="BA15" s="107" cm="1">
        <f t="array" ref="BA15">_xll.EQNXTDZ($A$1,$B15,BA$1)</f>
        <v>0</v>
      </c>
      <c r="BB15" s="107" cm="1">
        <f t="array" ref="BB15">_xll.EQNXTDZ($A$1,$B15,BB$1)</f>
        <v>0</v>
      </c>
      <c r="BC15" s="107" cm="1">
        <f t="array" ref="BC15">_xll.EQNXTDZ($A$1,$B15,BC$1)</f>
        <v>0</v>
      </c>
      <c r="BD15" s="107" cm="1">
        <f t="array" ref="BD15">_xll.EQNXTDZ($A$1,$B15,BD$1)</f>
        <v>0</v>
      </c>
      <c r="BE15" s="107" cm="1">
        <f t="array" ref="BE15">_xll.EQNXTDZ($A$1,$B15,BE$1)</f>
        <v>0</v>
      </c>
      <c r="BF15" s="107" cm="1">
        <f t="array" ref="BF15">_xll.EQNXTDZ($A$1,$B15,BF$1)</f>
        <v>0</v>
      </c>
      <c r="BG15" s="107" cm="1">
        <f t="array" ref="BG15">_xll.EQNXTDZ($A$1,$B15,BG$1)</f>
        <v>0</v>
      </c>
      <c r="BH15" s="107" cm="1">
        <f t="array" ref="BH15">_xll.EQNXTDZ($A$1,$B15,BH$1)</f>
        <v>0</v>
      </c>
      <c r="BI15" s="107" cm="1">
        <f t="array" ref="BI15">_xll.EQNXTDZ($A$1,$B15,BI$1)</f>
        <v>0</v>
      </c>
      <c r="BJ15" s="107" cm="1">
        <f t="array" ref="BJ15">_xll.EQNXTDZ($A$1,$B15,BJ$1)</f>
        <v>0</v>
      </c>
      <c r="BK15" s="107" cm="1">
        <f t="array" ref="BK15">_xll.EQNXTDZ($A$1,$B15,BK$1)</f>
        <v>0</v>
      </c>
      <c r="BL15" s="107" cm="1">
        <f t="array" ref="BL15">_xll.EQNXTDZ($A$1,$B15,BL$1)</f>
        <v>0</v>
      </c>
      <c r="BM15" s="107" cm="1">
        <f t="array" ref="BM15">_xll.EQNXTDZ($A$1,$B15,BM$1)</f>
        <v>0</v>
      </c>
      <c r="BN15" s="107" cm="1">
        <f t="array" ref="BN15">_xll.EQNXTDZ($A$1,$B15,BN$1)</f>
        <v>0</v>
      </c>
      <c r="BO15" s="107" cm="1">
        <f t="array" ref="BO15">_xll.EQNXTDZ($A$1,$B15,BO$1)</f>
        <v>0</v>
      </c>
      <c r="BP15" s="107" cm="1">
        <f t="array" ref="BP15">_xll.EQNXTDZ($A$1,$B15,BP$1)</f>
        <v>0</v>
      </c>
      <c r="BQ15" s="107" cm="1">
        <f t="array" ref="BQ15">_xll.EQNXTDZ($A$1,$B15,BQ$1)</f>
        <v>0</v>
      </c>
      <c r="BR15" s="107" cm="1">
        <f t="array" ref="BR15">_xll.EQNXTDZ($A$1,$B15,BR$1)</f>
        <v>0</v>
      </c>
      <c r="BS15" s="107" cm="1">
        <f t="array" ref="BS15">_xll.EQNXTDZ($A$1,$B15,BS$1)</f>
        <v>0</v>
      </c>
      <c r="BT15" s="107" cm="1">
        <f t="array" ref="BT15">_xll.EQNXTDZ($A$1,$B15,BT$1)</f>
        <v>0</v>
      </c>
      <c r="BU15" s="107" cm="1">
        <f t="array" ref="BU15">_xll.EQNXTDZ($A$1,$B15,BU$1)</f>
        <v>0</v>
      </c>
      <c r="BV15" s="107" cm="1">
        <f t="array" ref="BV15">_xll.EQNXTDZ($A$1,$B15,BV$1)</f>
        <v>0</v>
      </c>
      <c r="BW15" s="107" cm="1">
        <f t="array" ref="BW15">_xll.EQNXTDZ($A$1,$B15,BW$1)</f>
        <v>0</v>
      </c>
      <c r="BX15" s="107" cm="1">
        <f t="array" ref="BX15">_xll.EQNXTDZ($A$1,$B15,BX$1)</f>
        <v>0</v>
      </c>
      <c r="BY15" s="107" cm="1">
        <f t="array" ref="BY15">_xll.EQNXTDZ($A$1,$B15,BY$1)</f>
        <v>374.05</v>
      </c>
      <c r="BZ15" s="107" cm="1">
        <f t="array" ref="BZ15">_xll.EQNXTDZ($A$1,$B15,BZ$1)</f>
        <v>259.8</v>
      </c>
      <c r="CA15" s="107" cm="1">
        <f t="array" ref="CA15">_xll.EQNXTDZ($A$1,$B15,CA$1)</f>
        <v>245.75</v>
      </c>
      <c r="CB15" s="107" cm="1">
        <f t="array" ref="CB15">_xll.EQNXTDZ($A$1,$B15,CB$1)</f>
        <v>307.25</v>
      </c>
      <c r="CC15" s="107" cm="1">
        <f t="array" ref="CC15">_xll.EQNXTDZ($A$1,$B15,CC$1)</f>
        <v>357</v>
      </c>
      <c r="CD15" s="107" cm="1">
        <f t="array" ref="CD15">_xll.EQNXTDZ($A$1,$B15,CD$1)</f>
        <v>366.45</v>
      </c>
      <c r="CE15" s="107" cm="1">
        <f t="array" ref="CE15">_xll.EQNXTDZ($A$1,$B15,CE$1)</f>
        <v>350.1</v>
      </c>
      <c r="CF15" s="107" cm="1">
        <f t="array" ref="CF15">_xll.EQNXTDZ($A$1,$B15,CF$1)</f>
        <v>413</v>
      </c>
      <c r="CG15" s="107" cm="1">
        <f t="array" ref="CG15">_xll.EQNXTDZ($A$1,$B15,CG$1)</f>
        <v>482.6</v>
      </c>
      <c r="CH15" s="107" cm="1">
        <f t="array" ref="CH15">_xll.EQNXTDZ($A$1,$B15,CH$1)</f>
        <v>398.7</v>
      </c>
      <c r="CI15" s="107" cm="1">
        <f t="array" ref="CI15">_xll.EQNXTDZ($A$1,$B15,CI$1)</f>
        <v>509.5</v>
      </c>
      <c r="CJ15" s="107" cm="1">
        <f t="array" ref="CJ15">_xll.EQNXTDZ($A$1,$B15,CJ$1)</f>
        <v>483.95</v>
      </c>
      <c r="CK15" s="107" cm="1">
        <f t="array" ref="CK15">_xll.EQNXTDZ($A$1,$B15,CK$1)</f>
        <v>483</v>
      </c>
      <c r="CL15" s="107" cm="1">
        <f t="array" ref="CL15">_xll.EQNXTDZ($A$1,$B15,CL$1)</f>
        <v>554</v>
      </c>
      <c r="CM15" s="107" cm="1">
        <f t="array" ref="CM15">_xll.EQNXTDZ($A$1,$B15,CM$1)</f>
        <v>610</v>
      </c>
      <c r="CN15" s="107" cm="1">
        <f t="array" ref="CN15">_xll.EQNXTDZ($A$1,$B15,CN$1)</f>
        <v>635.1</v>
      </c>
      <c r="CO15" s="107" cm="1">
        <f t="array" ref="CO15">_xll.EQNXTDZ($A$1,$B15,CO$1)</f>
        <v>755</v>
      </c>
      <c r="CP15" s="107" cm="1">
        <f t="array" ref="CP15">_xll.EQNXTDZ($A$1,$B15,CP$1)</f>
        <v>735.7</v>
      </c>
      <c r="CQ15" s="107" cm="1">
        <f t="array" ref="CQ15">_xll.EQNXTDZ($A$1,$B15,CQ$1)</f>
        <v>749.9</v>
      </c>
      <c r="CR15" s="107" cm="1">
        <f t="array" ref="CR15">_xll.EQNXTDZ($A$1,$B15,CR$1)</f>
        <v>338.35</v>
      </c>
      <c r="CS15" s="107" cm="1">
        <f t="array" ref="CS15">_xll.EQNXTDZ($A$1,$B15,CS$1)</f>
        <v>305.75</v>
      </c>
      <c r="CT15" s="107" cm="1">
        <f t="array" ref="CT15">_xll.EQNXTDZ($A$1,$B15,CT$1)</f>
        <v>359.1</v>
      </c>
      <c r="CU15" s="107" cm="1">
        <f t="array" ref="CU15">_xll.EQNXTDZ($A$1,$B15,CU$1)</f>
        <v>402.8</v>
      </c>
      <c r="CV15" s="107" cm="1">
        <f t="array" ref="CV15">_xll.EQNXTDZ($A$1,$B15,CV$1)</f>
        <v>500.4</v>
      </c>
      <c r="CW15" s="107" cm="1">
        <f t="array" ref="CW15">_xll.EQNXTDZ($A$1,$B15,CW$1)</f>
        <v>500</v>
      </c>
      <c r="CX15" s="107" cm="1">
        <f t="array" ref="CX15">_xll.EQNXTDZ($A$1,$B15,CX$1)</f>
        <v>646.29999999999995</v>
      </c>
      <c r="CY15" s="107" cm="1">
        <f t="array" ref="CY15">_xll.EQNXTDZ($A$1,$B15,CY$1)</f>
        <v>605.04999999999995</v>
      </c>
      <c r="CZ15" s="107" cm="1">
        <f t="array" ref="CZ15">_xll.EQNXTDZ($A$1,$B15,CZ$1)</f>
        <v>616.54999999999995</v>
      </c>
      <c r="DA15" s="107" cm="1">
        <f t="array" ref="DA15">_xll.EQNXTDZ($A$1,$B15,DA$1)</f>
        <v>691.8</v>
      </c>
      <c r="DB15" s="107" cm="1">
        <f t="array" ref="DB15">_xll.EQNXTDZ($A$1,$B15,DB$1)</f>
        <v>690.5</v>
      </c>
      <c r="DC15" s="107" cm="1">
        <f t="array" ref="DC15">_xll.EQNXTDZ($A$1,$B15,DC$1)</f>
        <v>640</v>
      </c>
      <c r="DD15" s="107" cm="1">
        <f t="array" ref="DD15">_xll.EQNXTDZ($A$1,$B15,DD$1)</f>
        <v>641</v>
      </c>
      <c r="DE15" s="107" cm="1">
        <f t="array" ref="DE15">_xll.EQNXTDZ($A$1,$B15,DE$1)</f>
        <v>541</v>
      </c>
      <c r="DF15" s="107" cm="1">
        <f t="array" ref="DF15">_xll.EQNXTDZ($A$1,$B15,DF$1)</f>
        <v>577.6</v>
      </c>
      <c r="DG15" s="107" cm="1">
        <f t="array" ref="DG15">_xll.EQNXTDZ($A$1,$B15,DG$1)</f>
        <v>628</v>
      </c>
      <c r="DH15" s="107" cm="1">
        <f t="array" ref="DH15">_xll.EQNXTDZ($A$1,$B15,DH$1)</f>
        <v>633.04999999999995</v>
      </c>
      <c r="DI15" s="107" cm="1">
        <f t="array" ref="DI15">_xll.EQNXTDZ($A$1,$B15,DI$1)</f>
        <v>597</v>
      </c>
      <c r="DJ15" s="107" cm="1">
        <f t="array" ref="DJ15">_xll.EQNXTDZ($A$1,$B15,DJ$1)</f>
        <v>621.5</v>
      </c>
      <c r="DK15" s="107" cm="1">
        <f t="array" ref="DK15">_xll.EQNXTDZ($A$1,$B15,DK$1)</f>
        <v>612.45000000000005</v>
      </c>
      <c r="DL15" s="107" cm="1">
        <f t="array" ref="DL15">_xll.EQNXTDZ($A$1,$B15,DL$1)</f>
        <v>501.95</v>
      </c>
      <c r="DM15" s="107" cm="1">
        <f t="array" ref="DM15">_xll.EQNXTDZ($A$1,$B15,DM$1)</f>
        <v>495.3</v>
      </c>
      <c r="DN15" s="107" cm="1">
        <f t="array" ref="DN15">_xll.EQNXTDZ($A$1,$B15,DN$1)</f>
        <v>560</v>
      </c>
      <c r="DO15" s="107" cm="1">
        <f t="array" ref="DO15">_xll.EQNXTDZ($A$1,$B15,DO$1)</f>
        <v>603.9</v>
      </c>
      <c r="DP15" s="107" cm="1">
        <f t="array" ref="DP15">_xll.EQNXTDZ($A$1,$B15,DP$1)</f>
        <v>645.75</v>
      </c>
      <c r="DQ15" s="107" cm="1">
        <f t="array" ref="DQ15">_xll.EQNXTDZ($A$1,$B15,DQ$1)</f>
        <v>847</v>
      </c>
      <c r="DR15" s="107" cm="1">
        <f t="array" ref="DR15">_xll.EQNXTDZ($A$1,$B15,DR$1)</f>
        <v>850.55</v>
      </c>
      <c r="DS15" s="107" cm="1">
        <f t="array" ref="DS15">_xll.EQNXTDZ($A$1,$B15,DS$1)</f>
        <v>877.4</v>
      </c>
      <c r="DT15" s="107" cm="1">
        <f t="array" ref="DT15">_xll.EQNXTDZ($A$1,$B15,DT$1)</f>
        <v>947</v>
      </c>
      <c r="DU15" s="107" cm="1">
        <f t="array" ref="DU15">_xll.EQNXTDZ($A$1,$B15,DU$1)</f>
        <v>960.35</v>
      </c>
      <c r="DV15" s="107" cm="1">
        <f t="array" ref="DV15">_xll.EQNXTDZ($A$1,$B15,DV$1)</f>
        <v>968.1</v>
      </c>
      <c r="DW15" s="107" cm="1">
        <f t="array" ref="DW15">_xll.EQNXTDZ($A$1,$B15,DW$1)</f>
        <v>905.55</v>
      </c>
      <c r="DX15" s="107" cm="1">
        <f t="array" ref="DX15">_xll.EQNXTDZ($A$1,$B15,DX$1)</f>
        <v>925</v>
      </c>
      <c r="DY15" s="107" cm="1">
        <f t="array" ref="DY15">_xll.EQNXTDZ($A$1,$B15,DY$1)</f>
        <v>845</v>
      </c>
      <c r="DZ15" s="107" cm="1">
        <f t="array" ref="DZ15">_xll.EQNXTDZ($A$1,$B15,DZ$1)</f>
        <v>834.1</v>
      </c>
      <c r="EA15" s="107" cm="1">
        <f t="array" ref="EA15">_xll.EQNXTDZ($A$1,$B15,EA$1)</f>
        <v>865.15</v>
      </c>
      <c r="EB15" s="107" cm="1">
        <f t="array" ref="EB15">_xll.EQNXTDZ($A$1,$B15,EB$1)</f>
        <v>876.1</v>
      </c>
      <c r="EC15" s="107" cm="1">
        <f t="array" ref="EC15">_xll.EQNXTDZ($A$1,$B15,EC$1)</f>
        <v>903.2</v>
      </c>
      <c r="ED15" s="107" cm="1">
        <f t="array" ref="ED15">_xll.EQNXTDZ($A$1,$B15,ED$1)</f>
        <v>970</v>
      </c>
      <c r="EE15" s="107" cm="1">
        <f t="array" ref="EE15">_xll.EQNXTDZ($A$1,$B15,EE$1)</f>
        <v>1169.8</v>
      </c>
      <c r="EF15" s="107" cm="1">
        <f t="array" ref="EF15">_xll.EQNXTDZ($A$1,$B15,EF$1)</f>
        <v>1240.3499999999999</v>
      </c>
      <c r="EG15" s="107" cm="1">
        <f t="array" ref="EG15">_xll.EQNXTDZ($A$1,$B15,EG$1)</f>
        <v>1362.05</v>
      </c>
      <c r="EH15" s="107" cm="1">
        <f t="array" ref="EH15">_xll.EQNXTDZ($A$1,$B15,EH$1)</f>
        <v>1277</v>
      </c>
      <c r="EI15" s="107" cm="1">
        <f t="array" ref="EI15">_xll.EQNXTDZ($A$1,$B15,EI$1)</f>
        <v>1292.95</v>
      </c>
      <c r="EJ15" s="107" cm="1">
        <f t="array" ref="EJ15">_xll.EQNXTDZ($A$1,$B15,EJ$1)</f>
        <v>1565.35</v>
      </c>
      <c r="EK15" s="107" cm="1">
        <f t="array" ref="EK15">_xll.EQNXTDZ($A$1,$B15,EK$1)</f>
        <v>1578.1</v>
      </c>
      <c r="EL15" s="107" cm="1">
        <f t="array" ref="EL15">_xll.EQNXTDZ($A$1,$B15,EL$1)</f>
        <v>1504.5</v>
      </c>
      <c r="EM15" s="107" cm="1">
        <f t="array" ref="EM15">_xll.EQNXTDZ($A$1,$B15,EM$1)</f>
        <v>1451.2</v>
      </c>
      <c r="EN15" s="107" cm="1">
        <f t="array" ref="EN15">_xll.EQNXTDZ($A$1,$B15,EN$1)</f>
        <v>1278</v>
      </c>
      <c r="EO15" s="107" cm="1">
        <f t="array" ref="EO15">_xll.EQNXTDZ($A$1,$B15,EO$1)</f>
        <v>1394.1</v>
      </c>
      <c r="EP15" s="107" cm="1">
        <f t="array" ref="EP15">_xll.EQNXTDZ($A$1,$B15,EP$1)</f>
        <v>1302.0999999999999</v>
      </c>
      <c r="EQ15" s="107" cm="1">
        <f t="array" ref="EQ15">_xll.EQNXTDZ($A$1,$B15,EQ$1)</f>
        <v>1193.7</v>
      </c>
      <c r="ER15" s="107" cm="1">
        <f t="array" ref="ER15">_xll.EQNXTDZ($A$1,$B15,ER$1)</f>
        <v>1214.6500000000001</v>
      </c>
      <c r="ES15" s="107" cm="1">
        <f t="array" ref="ES15">_xll.EQNXTDZ($A$1,$B15,ES$1)</f>
        <v>1153.55</v>
      </c>
      <c r="ET15" s="107" cm="1">
        <f t="array" ref="ET15">_xll.EQNXTDZ($A$1,$B15,ET$1)</f>
        <v>1176.3499999999999</v>
      </c>
      <c r="EU15" s="107" cm="1">
        <f t="array" ref="EU15">_xll.EQNXTDZ($A$1,$B15,EU$1)</f>
        <v>910.85</v>
      </c>
      <c r="EV15" s="107" cm="1">
        <f t="array" ref="EV15">_xll.EQNXTDZ($A$1,$B15,EV$1)</f>
        <v>860.1</v>
      </c>
      <c r="EW15" s="107" cm="1">
        <f t="array" ref="EW15">_xll.EQNXTDZ($A$1,$B15,EW$1)</f>
        <v>810.1</v>
      </c>
      <c r="EX15" s="107" cm="1">
        <f t="array" ref="EX15">_xll.EQNXTDZ($A$1,$B15,EX$1)</f>
        <v>750.05</v>
      </c>
      <c r="EY15" s="107" cm="1">
        <f t="array" ref="EY15">_xll.EQNXTDZ($A$1,$B15,EY$1)</f>
        <v>848</v>
      </c>
      <c r="EZ15" s="107" cm="1">
        <f t="array" ref="EZ15">_xll.EQNXTDZ($A$1,$B15,EZ$1)</f>
        <v>882.55</v>
      </c>
      <c r="FA15" s="107" cm="1">
        <f t="array" ref="FA15">_xll.EQNXTDZ($A$1,$B15,FA$1)</f>
        <v>860</v>
      </c>
      <c r="FB15" s="107" cm="1">
        <f t="array" ref="FB15">_xll.EQNXTDZ($A$1,$B15,FB$1)</f>
        <v>1066.5</v>
      </c>
      <c r="FC15" s="107" cm="1">
        <f t="array" ref="FC15">_xll.EQNXTDZ($A$1,$B15,FC$1)</f>
        <v>1101</v>
      </c>
      <c r="FD15" s="107" cm="1">
        <f t="array" ref="FD15">_xll.EQNXTDZ($A$1,$B15,FD$1)</f>
        <v>1200</v>
      </c>
      <c r="FE15" s="107" cm="1">
        <f t="array" ref="FE15">_xll.EQNXTDZ($A$1,$B15,FE$1)</f>
        <v>1197.05</v>
      </c>
      <c r="FF15" s="107" cm="1">
        <f t="array" ref="FF15">_xll.EQNXTDZ($A$1,$B15,FF$1)</f>
        <v>1264.9000000000001</v>
      </c>
      <c r="FG15" s="107" cm="1">
        <f t="array" ref="FG15">_xll.EQNXTDZ($A$1,$B15,FG$1)</f>
        <v>1265</v>
      </c>
      <c r="FH15" s="107" cm="1">
        <f t="array" ref="FH15">_xll.EQNXTDZ($A$1,$B15,FH$1)</f>
        <v>1291.4000000000001</v>
      </c>
      <c r="FI15" s="107" cm="1">
        <f t="array" ref="FI15">_xll.EQNXTDZ($A$1,$B15,FI$1)</f>
        <v>1231</v>
      </c>
      <c r="FJ15" s="107" cm="1">
        <f t="array" ref="FJ15">_xll.EQNXTDZ($A$1,$B15,FJ$1)</f>
        <v>1213.3</v>
      </c>
      <c r="FK15" s="107" cm="1">
        <f t="array" ref="FK15">_xll.EQNXTDZ($A$1,$B15,FK$1)</f>
        <v>1225</v>
      </c>
      <c r="FL15" s="107" cm="1">
        <f t="array" ref="FL15">_xll.EQNXTDZ($A$1,$B15,FL$1)</f>
        <v>1112.9000000000001</v>
      </c>
      <c r="FM15" s="107" cm="1">
        <f t="array" ref="FM15">_xll.EQNXTDZ($A$1,$B15,FM$1)</f>
        <v>1157.3499999999999</v>
      </c>
      <c r="FN15" s="107" cm="1">
        <f t="array" ref="FN15">_xll.EQNXTDZ($A$1,$B15,FN$1)</f>
        <v>1270.2</v>
      </c>
      <c r="FO15" s="107" cm="1">
        <f t="array" ref="FO15">_xll.EQNXTDZ($A$1,$B15,FO$1)</f>
        <v>1232.5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0</v>
      </c>
      <c r="HQ15" s="107">
        <f>+MIN(G15:I15)</f>
        <v>0</v>
      </c>
      <c r="HR15" s="107">
        <f>+MIN(J15:L15)</f>
        <v>0</v>
      </c>
      <c r="HS15" s="107">
        <f>+MIN(M15:O15)</f>
        <v>0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0</v>
      </c>
      <c r="HX15" s="107">
        <f>+MIN(AB15:AD15)</f>
        <v>0</v>
      </c>
      <c r="HY15" s="107">
        <f>+MIN(AE15:AG15)</f>
        <v>0</v>
      </c>
      <c r="HZ15" s="107">
        <f>+MIN(AH15:AJ15)</f>
        <v>0</v>
      </c>
      <c r="IA15" s="107">
        <f>+MIN(AK15:AM15)</f>
        <v>0</v>
      </c>
      <c r="IB15" s="107">
        <f>+MIN(AN15:AP15)</f>
        <v>0</v>
      </c>
      <c r="IC15" s="107">
        <f>+MIN(AQ15:AS15)</f>
        <v>0</v>
      </c>
      <c r="ID15" s="107">
        <f>+MIN(AT15:AV15)</f>
        <v>0</v>
      </c>
      <c r="IE15" s="107">
        <f>+MIN(AW15:AY15)</f>
        <v>0</v>
      </c>
      <c r="IF15" s="107">
        <f>+MIN(AZ15:BB15)</f>
        <v>0</v>
      </c>
      <c r="IG15" s="107">
        <f>+MIN(BC15:BE15)</f>
        <v>0</v>
      </c>
      <c r="IH15" s="107">
        <f>+MIN(BF15:BH15)</f>
        <v>0</v>
      </c>
      <c r="II15" s="107">
        <f>+MIN(BI15:BK15)</f>
        <v>0</v>
      </c>
      <c r="IJ15" s="107">
        <f>+MIN(BL15:BN15)</f>
        <v>0</v>
      </c>
      <c r="IK15" s="107">
        <f>+MIN(BO15:BQ15)</f>
        <v>0</v>
      </c>
      <c r="IL15" s="107">
        <f>+MIN(BR15:BT15)</f>
        <v>0</v>
      </c>
      <c r="IM15" s="107">
        <f>+MIN(BU15:BW15)</f>
        <v>0</v>
      </c>
      <c r="IN15" s="107">
        <f>+MIN(BX15:BZ15)</f>
        <v>0</v>
      </c>
      <c r="IO15" s="107">
        <f>+MIN(CA15:CC15)</f>
        <v>245.75</v>
      </c>
      <c r="IP15" s="107">
        <f>+MIN(CD15:CF15)</f>
        <v>350.1</v>
      </c>
      <c r="IQ15" s="107">
        <f>+MIN(CG15:CI15)</f>
        <v>398.7</v>
      </c>
      <c r="IR15" s="107">
        <f>+MIN(CJ15:CL15)</f>
        <v>483</v>
      </c>
      <c r="IS15" s="107">
        <f>+MIN(CM15:CO15)</f>
        <v>610</v>
      </c>
      <c r="IT15" s="107">
        <f>+MIN(CP15:CR15)</f>
        <v>338.35</v>
      </c>
      <c r="IU15" s="107">
        <f>+MIN(CS15:CU15)</f>
        <v>305.75</v>
      </c>
      <c r="IV15" s="107">
        <f>+MIN(CV15:CX15)</f>
        <v>500</v>
      </c>
      <c r="IW15" s="107">
        <f>+MIN(CY15:DA15)</f>
        <v>605.04999999999995</v>
      </c>
      <c r="IX15" s="107">
        <f>+MIN(DB15:DD15)</f>
        <v>640</v>
      </c>
      <c r="IY15" s="107">
        <f>+MIN(DE15:DG15)</f>
        <v>541</v>
      </c>
      <c r="IZ15" s="107">
        <f>+MIN(DH15:DJ15)</f>
        <v>597</v>
      </c>
      <c r="JA15" s="107">
        <f>+MIN(DK15:DM15)</f>
        <v>495.3</v>
      </c>
      <c r="JB15" s="107">
        <f>+MIN(DN15:DP15)</f>
        <v>560</v>
      </c>
      <c r="JC15" s="107">
        <f>+MIN(DQ15:DS15)</f>
        <v>847</v>
      </c>
      <c r="JD15" s="107">
        <f>+MIN(DT15:DV15)</f>
        <v>947</v>
      </c>
      <c r="JE15" s="107">
        <f>+MIN(DW15:DY15)</f>
        <v>845</v>
      </c>
      <c r="JF15" s="107">
        <f>+MIN(DZ15:EB15)</f>
        <v>834.1</v>
      </c>
      <c r="JG15" s="107">
        <f>+MIN(EC15:EE15)</f>
        <v>903.2</v>
      </c>
      <c r="JH15" s="107">
        <f>+MIN(EF15:EH15)</f>
        <v>1240.3499999999999</v>
      </c>
      <c r="JI15" s="107">
        <f>+MIN(EI15:EK15)</f>
        <v>1292.95</v>
      </c>
      <c r="JJ15" s="107">
        <f>+MIN(EL15:EN15)</f>
        <v>1278</v>
      </c>
      <c r="JK15" s="107">
        <f>MIN(EO15:EQ15)</f>
        <v>1193.7</v>
      </c>
      <c r="JL15" s="107">
        <f>MIN(ER15:ET15)</f>
        <v>1153.55</v>
      </c>
      <c r="JM15" s="107">
        <f>MIN(EU15:EW15)</f>
        <v>810.1</v>
      </c>
      <c r="JN15" s="107">
        <f>MIN(EX15:EZ15)</f>
        <v>750.05</v>
      </c>
      <c r="JO15" s="107">
        <f>MIN(FA15:FC15)</f>
        <v>860</v>
      </c>
      <c r="JP15" s="107">
        <f>MIN(FD15:FF15)</f>
        <v>1197.05</v>
      </c>
      <c r="JQ15" s="107">
        <f>MIN(FG15:FI15)</f>
        <v>1231</v>
      </c>
      <c r="JR15" s="107">
        <f>MIN(FJ15:FL15)</f>
        <v>1112.9000000000001</v>
      </c>
      <c r="JS15" s="107">
        <f>MIN(FM15:FO15)</f>
        <v>1157.3499999999999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0</v>
      </c>
      <c r="D16" s="107" cm="1">
        <f t="array" ref="D16">_xll.EQNXTDZ($A$1,$B16,D$1)</f>
        <v>0</v>
      </c>
      <c r="E16" s="107" cm="1">
        <f t="array" ref="E16">_xll.EQNXTDZ($A$1,$B16,E$1)</f>
        <v>0</v>
      </c>
      <c r="F16" s="107" cm="1">
        <f t="array" ref="F16">_xll.EQNXTDZ($A$1,$B16,F$1)</f>
        <v>0</v>
      </c>
      <c r="G16" s="107" cm="1">
        <f t="array" ref="G16">_xll.EQNXTDZ($A$1,$B16,G$1)</f>
        <v>0</v>
      </c>
      <c r="H16" s="107" cm="1">
        <f t="array" ref="H16">_xll.EQNXTDZ($A$1,$B16,H$1)</f>
        <v>0</v>
      </c>
      <c r="I16" s="107" cm="1">
        <f t="array" ref="I16">_xll.EQNXTDZ($A$1,$B16,I$1)</f>
        <v>0</v>
      </c>
      <c r="J16" s="107" cm="1">
        <f t="array" ref="J16">_xll.EQNXTDZ($A$1,$B16,J$1)</f>
        <v>0</v>
      </c>
      <c r="K16" s="107" cm="1">
        <f t="array" ref="K16">_xll.EQNXTDZ($A$1,$B16,K$1)</f>
        <v>0</v>
      </c>
      <c r="L16" s="107" cm="1">
        <f t="array" ref="L16">_xll.EQNXTDZ($A$1,$B16,L$1)</f>
        <v>0</v>
      </c>
      <c r="M16" s="107" cm="1">
        <f t="array" ref="M16">_xll.EQNXTDZ($A$1,$B16,M$1)</f>
        <v>0</v>
      </c>
      <c r="N16" s="107" cm="1">
        <f t="array" ref="N16">_xll.EQNXTDZ($A$1,$B16,N$1)</f>
        <v>0</v>
      </c>
      <c r="O16" s="107" cm="1">
        <f t="array" ref="O16">_xll.EQNXTDZ($A$1,$B16,O$1)</f>
        <v>0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0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0</v>
      </c>
      <c r="X16" s="107" cm="1">
        <f t="array" ref="X16">_xll.EQNXTDZ($A$1,$B16,X$1)</f>
        <v>0</v>
      </c>
      <c r="Y16" s="107" cm="1">
        <f t="array" ref="Y16">_xll.EQNXTDZ($A$1,$B16,Y$1)</f>
        <v>0</v>
      </c>
      <c r="Z16" s="107" cm="1">
        <f t="array" ref="Z16">_xll.EQNXTDZ($A$1,$B16,Z$1)</f>
        <v>0</v>
      </c>
      <c r="AA16" s="107" cm="1">
        <f t="array" ref="AA16">_xll.EQNXTDZ($A$1,$B16,AA$1)</f>
        <v>0</v>
      </c>
      <c r="AB16" s="107" cm="1">
        <f t="array" ref="AB16">_xll.EQNXTDZ($A$1,$B16,AB$1)</f>
        <v>0</v>
      </c>
      <c r="AC16" s="107" cm="1">
        <f t="array" ref="AC16">_xll.EQNXTDZ($A$1,$B16,AC$1)</f>
        <v>0</v>
      </c>
      <c r="AD16" s="107" cm="1">
        <f t="array" ref="AD16">_xll.EQNXTDZ($A$1,$B16,AD$1)</f>
        <v>0</v>
      </c>
      <c r="AE16" s="107" cm="1">
        <f t="array" ref="AE16">_xll.EQNXTDZ($A$1,$B16,AE$1)</f>
        <v>0</v>
      </c>
      <c r="AF16" s="107" cm="1">
        <f t="array" ref="AF16">_xll.EQNXTDZ($A$1,$B16,AF$1)</f>
        <v>0</v>
      </c>
      <c r="AG16" s="107" cm="1">
        <f t="array" ref="AG16">_xll.EQNXTDZ($A$1,$B16,AG$1)</f>
        <v>0</v>
      </c>
      <c r="AH16" s="107" cm="1">
        <f t="array" ref="AH16">_xll.EQNXTDZ($A$1,$B16,AH$1)</f>
        <v>0</v>
      </c>
      <c r="AI16" s="107" cm="1">
        <f t="array" ref="AI16">_xll.EQNXTDZ($A$1,$B16,AI$1)</f>
        <v>0</v>
      </c>
      <c r="AJ16" s="107" cm="1">
        <f t="array" ref="AJ16">_xll.EQNXTDZ($A$1,$B16,AJ$1)</f>
        <v>0</v>
      </c>
      <c r="AK16" s="107" cm="1">
        <f t="array" ref="AK16">_xll.EQNXTDZ($A$1,$B16,AK$1)</f>
        <v>0</v>
      </c>
      <c r="AL16" s="107" cm="1">
        <f t="array" ref="AL16">_xll.EQNXTDZ($A$1,$B16,AL$1)</f>
        <v>0</v>
      </c>
      <c r="AM16" s="107" cm="1">
        <f t="array" ref="AM16">_xll.EQNXTDZ($A$1,$B16,AM$1)</f>
        <v>0</v>
      </c>
      <c r="AN16" s="107" cm="1">
        <f t="array" ref="AN16">_xll.EQNXTDZ($A$1,$B16,AN$1)</f>
        <v>0</v>
      </c>
      <c r="AO16" s="107" cm="1">
        <f t="array" ref="AO16">_xll.EQNXTDZ($A$1,$B16,AO$1)</f>
        <v>0</v>
      </c>
      <c r="AP16" s="107" cm="1">
        <f t="array" ref="AP16">_xll.EQNXTDZ($A$1,$B16,AP$1)</f>
        <v>0</v>
      </c>
      <c r="AQ16" s="107" cm="1">
        <f t="array" ref="AQ16">_xll.EQNXTDZ($A$1,$B16,AQ$1)</f>
        <v>0</v>
      </c>
      <c r="AR16" s="107" cm="1">
        <f t="array" ref="AR16">_xll.EQNXTDZ($A$1,$B16,AR$1)</f>
        <v>0</v>
      </c>
      <c r="AS16" s="107" cm="1">
        <f t="array" ref="AS16">_xll.EQNXTDZ($A$1,$B16,AS$1)</f>
        <v>0</v>
      </c>
      <c r="AT16" s="107" cm="1">
        <f t="array" ref="AT16">_xll.EQNXTDZ($A$1,$B16,AT$1)</f>
        <v>0</v>
      </c>
      <c r="AU16" s="107" cm="1">
        <f t="array" ref="AU16">_xll.EQNXTDZ($A$1,$B16,AU$1)</f>
        <v>0</v>
      </c>
      <c r="AV16" s="107" cm="1">
        <f t="array" ref="AV16">_xll.EQNXTDZ($A$1,$B16,AV$1)</f>
        <v>0</v>
      </c>
      <c r="AW16" s="107" cm="1">
        <f t="array" ref="AW16">_xll.EQNXTDZ($A$1,$B16,AW$1)</f>
        <v>0</v>
      </c>
      <c r="AX16" s="107" cm="1">
        <f t="array" ref="AX16">_xll.EQNXTDZ($A$1,$B16,AX$1)</f>
        <v>0</v>
      </c>
      <c r="AY16" s="107" cm="1">
        <f t="array" ref="AY16">_xll.EQNXTDZ($A$1,$B16,AY$1)</f>
        <v>0</v>
      </c>
      <c r="AZ16" s="107" cm="1">
        <f t="array" ref="AZ16">_xll.EQNXTDZ($A$1,$B16,AZ$1)</f>
        <v>0</v>
      </c>
      <c r="BA16" s="107" cm="1">
        <f t="array" ref="BA16">_xll.EQNXTDZ($A$1,$B16,BA$1)</f>
        <v>0</v>
      </c>
      <c r="BB16" s="107" cm="1">
        <f t="array" ref="BB16">_xll.EQNXTDZ($A$1,$B16,BB$1)</f>
        <v>0</v>
      </c>
      <c r="BC16" s="107" cm="1">
        <f t="array" ref="BC16">_xll.EQNXTDZ($A$1,$B16,BC$1)</f>
        <v>0</v>
      </c>
      <c r="BD16" s="107" cm="1">
        <f t="array" ref="BD16">_xll.EQNXTDZ($A$1,$B16,BD$1)</f>
        <v>0</v>
      </c>
      <c r="BE16" s="107" cm="1">
        <f t="array" ref="BE16">_xll.EQNXTDZ($A$1,$B16,BE$1)</f>
        <v>0</v>
      </c>
      <c r="BF16" s="107" cm="1">
        <f t="array" ref="BF16">_xll.EQNXTDZ($A$1,$B16,BF$1)</f>
        <v>0</v>
      </c>
      <c r="BG16" s="107" cm="1">
        <f t="array" ref="BG16">_xll.EQNXTDZ($A$1,$B16,BG$1)</f>
        <v>0</v>
      </c>
      <c r="BH16" s="107" cm="1">
        <f t="array" ref="BH16">_xll.EQNXTDZ($A$1,$B16,BH$1)</f>
        <v>0</v>
      </c>
      <c r="BI16" s="107" cm="1">
        <f t="array" ref="BI16">_xll.EQNXTDZ($A$1,$B16,BI$1)</f>
        <v>0</v>
      </c>
      <c r="BJ16" s="107" cm="1">
        <f t="array" ref="BJ16">_xll.EQNXTDZ($A$1,$B16,BJ$1)</f>
        <v>0</v>
      </c>
      <c r="BK16" s="107" cm="1">
        <f t="array" ref="BK16">_xll.EQNXTDZ($A$1,$B16,BK$1)</f>
        <v>0</v>
      </c>
      <c r="BL16" s="107" cm="1">
        <f t="array" ref="BL16">_xll.EQNXTDZ($A$1,$B16,BL$1)</f>
        <v>0</v>
      </c>
      <c r="BM16" s="107" cm="1">
        <f t="array" ref="BM16">_xll.EQNXTDZ($A$1,$B16,BM$1)</f>
        <v>0</v>
      </c>
      <c r="BN16" s="107" cm="1">
        <f t="array" ref="BN16">_xll.EQNXTDZ($A$1,$B16,BN$1)</f>
        <v>0</v>
      </c>
      <c r="BO16" s="107" cm="1">
        <f t="array" ref="BO16">_xll.EQNXTDZ($A$1,$B16,BO$1)</f>
        <v>0</v>
      </c>
      <c r="BP16" s="107" cm="1">
        <f t="array" ref="BP16">_xll.EQNXTDZ($A$1,$B16,BP$1)</f>
        <v>0</v>
      </c>
      <c r="BQ16" s="107" cm="1">
        <f t="array" ref="BQ16">_xll.EQNXTDZ($A$1,$B16,BQ$1)</f>
        <v>0</v>
      </c>
      <c r="BR16" s="107" cm="1">
        <f t="array" ref="BR16">_xll.EQNXTDZ($A$1,$B16,BR$1)</f>
        <v>0</v>
      </c>
      <c r="BS16" s="107" cm="1">
        <f t="array" ref="BS16">_xll.EQNXTDZ($A$1,$B16,BS$1)</f>
        <v>0</v>
      </c>
      <c r="BT16" s="107" cm="1">
        <f t="array" ref="BT16">_xll.EQNXTDZ($A$1,$B16,BT$1)</f>
        <v>0</v>
      </c>
      <c r="BU16" s="107" cm="1">
        <f t="array" ref="BU16">_xll.EQNXTDZ($A$1,$B16,BU$1)</f>
        <v>0</v>
      </c>
      <c r="BV16" s="107" cm="1">
        <f t="array" ref="BV16">_xll.EQNXTDZ($A$1,$B16,BV$1)</f>
        <v>0</v>
      </c>
      <c r="BW16" s="107" cm="1">
        <f t="array" ref="BW16">_xll.EQNXTDZ($A$1,$B16,BW$1)</f>
        <v>0</v>
      </c>
      <c r="BX16" s="107" cm="1">
        <f t="array" ref="BX16">_xll.EQNXTDZ($A$1,$B16,BX$1)</f>
        <v>0</v>
      </c>
      <c r="BY16" s="107" cm="1">
        <f t="array" ref="BY16">_xll.EQNXTDZ($A$1,$B16,BY$1)</f>
        <v>384.05</v>
      </c>
      <c r="BZ16" s="107" cm="1">
        <f t="array" ref="BZ16">_xll.EQNXTDZ($A$1,$B16,BZ$1)</f>
        <v>292.45</v>
      </c>
      <c r="CA16" s="107" cm="1">
        <f t="array" ref="CA16">_xll.EQNXTDZ($A$1,$B16,CA$1)</f>
        <v>313.75</v>
      </c>
      <c r="CB16" s="107" cm="1">
        <f t="array" ref="CB16">_xll.EQNXTDZ($A$1,$B16,CB$1)</f>
        <v>389.85</v>
      </c>
      <c r="CC16" s="107" cm="1">
        <f t="array" ref="CC16">_xll.EQNXTDZ($A$1,$B16,CC$1)</f>
        <v>383.15</v>
      </c>
      <c r="CD16" s="107" cm="1">
        <f t="array" ref="CD16">_xll.EQNXTDZ($A$1,$B16,CD$1)</f>
        <v>395.55</v>
      </c>
      <c r="CE16" s="107" cm="1">
        <f t="array" ref="CE16">_xll.EQNXTDZ($A$1,$B16,CE$1)</f>
        <v>411.5</v>
      </c>
      <c r="CF16" s="107" cm="1">
        <f t="array" ref="CF16">_xll.EQNXTDZ($A$1,$B16,CF$1)</f>
        <v>501.1</v>
      </c>
      <c r="CG16" s="107" cm="1">
        <f t="array" ref="CG16">_xll.EQNXTDZ($A$1,$B16,CG$1)</f>
        <v>521.9</v>
      </c>
      <c r="CH16" s="107" cm="1">
        <f t="array" ref="CH16">_xll.EQNXTDZ($A$1,$B16,CH$1)</f>
        <v>526.04999999999995</v>
      </c>
      <c r="CI16" s="107" cm="1">
        <f t="array" ref="CI16">_xll.EQNXTDZ($A$1,$B16,CI$1)</f>
        <v>519.4</v>
      </c>
      <c r="CJ16" s="107" cm="1">
        <f t="array" ref="CJ16">_xll.EQNXTDZ($A$1,$B16,CJ$1)</f>
        <v>522.9</v>
      </c>
      <c r="CK16" s="107" cm="1">
        <f t="array" ref="CK16">_xll.EQNXTDZ($A$1,$B16,CK$1)</f>
        <v>559.6</v>
      </c>
      <c r="CL16" s="107" cm="1">
        <f t="array" ref="CL16">_xll.EQNXTDZ($A$1,$B16,CL$1)</f>
        <v>657.55</v>
      </c>
      <c r="CM16" s="107" cm="1">
        <f t="array" ref="CM16">_xll.EQNXTDZ($A$1,$B16,CM$1)</f>
        <v>637.85</v>
      </c>
      <c r="CN16" s="107" cm="1">
        <f t="array" ref="CN16">_xll.EQNXTDZ($A$1,$B16,CN$1)</f>
        <v>802.3</v>
      </c>
      <c r="CO16" s="107" cm="1">
        <f t="array" ref="CO16">_xll.EQNXTDZ($A$1,$B16,CO$1)</f>
        <v>767.15</v>
      </c>
      <c r="CP16" s="107" cm="1">
        <f t="array" ref="CP16">_xll.EQNXTDZ($A$1,$B16,CP$1)</f>
        <v>801.85</v>
      </c>
      <c r="CQ16" s="107" cm="1">
        <f t="array" ref="CQ16">_xll.EQNXTDZ($A$1,$B16,CQ$1)</f>
        <v>842.3</v>
      </c>
      <c r="CR16" s="107" cm="1">
        <f t="array" ref="CR16">_xll.EQNXTDZ($A$1,$B16,CR$1)</f>
        <v>338.35</v>
      </c>
      <c r="CS16" s="107" cm="1">
        <f t="array" ref="CS16">_xll.EQNXTDZ($A$1,$B16,CS$1)</f>
        <v>495.2</v>
      </c>
      <c r="CT16" s="107" cm="1">
        <f t="array" ref="CT16">_xll.EQNXTDZ($A$1,$B16,CT$1)</f>
        <v>391.1</v>
      </c>
      <c r="CU16" s="107" cm="1">
        <f t="array" ref="CU16">_xll.EQNXTDZ($A$1,$B16,CU$1)</f>
        <v>520.9</v>
      </c>
      <c r="CV16" s="107" cm="1">
        <f t="array" ref="CV16">_xll.EQNXTDZ($A$1,$B16,CV$1)</f>
        <v>515</v>
      </c>
      <c r="CW16" s="107" cm="1">
        <f t="array" ref="CW16">_xll.EQNXTDZ($A$1,$B16,CW$1)</f>
        <v>719.95</v>
      </c>
      <c r="CX16" s="107" cm="1">
        <f t="array" ref="CX16">_xll.EQNXTDZ($A$1,$B16,CX$1)</f>
        <v>743.8</v>
      </c>
      <c r="CY16" s="107" cm="1">
        <f t="array" ref="CY16">_xll.EQNXTDZ($A$1,$B16,CY$1)</f>
        <v>648.20000000000005</v>
      </c>
      <c r="CZ16" s="107" cm="1">
        <f t="array" ref="CZ16">_xll.EQNXTDZ($A$1,$B16,CZ$1)</f>
        <v>789.75</v>
      </c>
      <c r="DA16" s="107" cm="1">
        <f t="array" ref="DA16">_xll.EQNXTDZ($A$1,$B16,DA$1)</f>
        <v>756.65</v>
      </c>
      <c r="DB16" s="107" cm="1">
        <f t="array" ref="DB16">_xll.EQNXTDZ($A$1,$B16,DB$1)</f>
        <v>693.7</v>
      </c>
      <c r="DC16" s="107" cm="1">
        <f t="array" ref="DC16">_xll.EQNXTDZ($A$1,$B16,DC$1)</f>
        <v>682.2</v>
      </c>
      <c r="DD16" s="107" cm="1">
        <f t="array" ref="DD16">_xll.EQNXTDZ($A$1,$B16,DD$1)</f>
        <v>670.45</v>
      </c>
      <c r="DE16" s="107" cm="1">
        <f t="array" ref="DE16">_xll.EQNXTDZ($A$1,$B16,DE$1)</f>
        <v>594.5</v>
      </c>
      <c r="DF16" s="107" cm="1">
        <f t="array" ref="DF16">_xll.EQNXTDZ($A$1,$B16,DF$1)</f>
        <v>627.45000000000005</v>
      </c>
      <c r="DG16" s="107" cm="1">
        <f t="array" ref="DG16">_xll.EQNXTDZ($A$1,$B16,DG$1)</f>
        <v>749.75</v>
      </c>
      <c r="DH16" s="107" cm="1">
        <f t="array" ref="DH16">_xll.EQNXTDZ($A$1,$B16,DH$1)</f>
        <v>663.3</v>
      </c>
      <c r="DI16" s="107" cm="1">
        <f t="array" ref="DI16">_xll.EQNXTDZ($A$1,$B16,DI$1)</f>
        <v>701.9</v>
      </c>
      <c r="DJ16" s="107" cm="1">
        <f t="array" ref="DJ16">_xll.EQNXTDZ($A$1,$B16,DJ$1)</f>
        <v>635.9</v>
      </c>
      <c r="DK16" s="107" cm="1">
        <f t="array" ref="DK16">_xll.EQNXTDZ($A$1,$B16,DK$1)</f>
        <v>628.45000000000005</v>
      </c>
      <c r="DL16" s="107" cm="1">
        <f t="array" ref="DL16">_xll.EQNXTDZ($A$1,$B16,DL$1)</f>
        <v>505.75</v>
      </c>
      <c r="DM16" s="107" cm="1">
        <f t="array" ref="DM16">_xll.EQNXTDZ($A$1,$B16,DM$1)</f>
        <v>598.20000000000005</v>
      </c>
      <c r="DN16" s="107" cm="1">
        <f t="array" ref="DN16">_xll.EQNXTDZ($A$1,$B16,DN$1)</f>
        <v>628.15</v>
      </c>
      <c r="DO16" s="107" cm="1">
        <f t="array" ref="DO16">_xll.EQNXTDZ($A$1,$B16,DO$1)</f>
        <v>749.6</v>
      </c>
      <c r="DP16" s="107" cm="1">
        <f t="array" ref="DP16">_xll.EQNXTDZ($A$1,$B16,DP$1)</f>
        <v>849.05</v>
      </c>
      <c r="DQ16" s="107" cm="1">
        <f t="array" ref="DQ16">_xll.EQNXTDZ($A$1,$B16,DQ$1)</f>
        <v>1032.5999999999999</v>
      </c>
      <c r="DR16" s="107" cm="1">
        <f t="array" ref="DR16">_xll.EQNXTDZ($A$1,$B16,DR$1)</f>
        <v>1072.0999999999999</v>
      </c>
      <c r="DS16" s="107" cm="1">
        <f t="array" ref="DS16">_xll.EQNXTDZ($A$1,$B16,DS$1)</f>
        <v>1016.35</v>
      </c>
      <c r="DT16" s="107" cm="1">
        <f t="array" ref="DT16">_xll.EQNXTDZ($A$1,$B16,DT$1)</f>
        <v>1057.5</v>
      </c>
      <c r="DU16" s="107" cm="1">
        <f t="array" ref="DU16">_xll.EQNXTDZ($A$1,$B16,DU$1)</f>
        <v>999.1</v>
      </c>
      <c r="DV16" s="107" cm="1">
        <f t="array" ref="DV16">_xll.EQNXTDZ($A$1,$B16,DV$1)</f>
        <v>995.45</v>
      </c>
      <c r="DW16" s="107" cm="1">
        <f t="array" ref="DW16">_xll.EQNXTDZ($A$1,$B16,DW$1)</f>
        <v>973.9</v>
      </c>
      <c r="DX16" s="107" cm="1">
        <f t="array" ref="DX16">_xll.EQNXTDZ($A$1,$B16,DX$1)</f>
        <v>960.2</v>
      </c>
      <c r="DY16" s="107" cm="1">
        <f t="array" ref="DY16">_xll.EQNXTDZ($A$1,$B16,DY$1)</f>
        <v>914</v>
      </c>
      <c r="DZ16" s="107" cm="1">
        <f t="array" ref="DZ16">_xll.EQNXTDZ($A$1,$B16,DZ$1)</f>
        <v>861.65</v>
      </c>
      <c r="EA16" s="107" cm="1">
        <f t="array" ref="EA16">_xll.EQNXTDZ($A$1,$B16,EA$1)</f>
        <v>964.65</v>
      </c>
      <c r="EB16" s="107" cm="1">
        <f t="array" ref="EB16">_xll.EQNXTDZ($A$1,$B16,EB$1)</f>
        <v>915.1</v>
      </c>
      <c r="EC16" s="107" cm="1">
        <f t="array" ref="EC16">_xll.EQNXTDZ($A$1,$B16,EC$1)</f>
        <v>963.9</v>
      </c>
      <c r="ED16" s="107" cm="1">
        <f t="array" ref="ED16">_xll.EQNXTDZ($A$1,$B16,ED$1)</f>
        <v>1236</v>
      </c>
      <c r="EE16" s="107" cm="1">
        <f t="array" ref="EE16">_xll.EQNXTDZ($A$1,$B16,EE$1)</f>
        <v>1248.55</v>
      </c>
      <c r="EF16" s="107" cm="1">
        <f t="array" ref="EF16">_xll.EQNXTDZ($A$1,$B16,EF$1)</f>
        <v>1459.6</v>
      </c>
      <c r="EG16" s="107" cm="1">
        <f t="array" ref="EG16">_xll.EQNXTDZ($A$1,$B16,EG$1)</f>
        <v>1414.1</v>
      </c>
      <c r="EH16" s="107" cm="1">
        <f t="array" ref="EH16">_xll.EQNXTDZ($A$1,$B16,EH$1)</f>
        <v>1316.9</v>
      </c>
      <c r="EI16" s="107" cm="1">
        <f t="array" ref="EI16">_xll.EQNXTDZ($A$1,$B16,EI$1)</f>
        <v>1594.95</v>
      </c>
      <c r="EJ16" s="107" cm="1">
        <f t="array" ref="EJ16">_xll.EQNXTDZ($A$1,$B16,EJ$1)</f>
        <v>1698.35</v>
      </c>
      <c r="EK16" s="107" cm="1">
        <f t="array" ref="EK16">_xll.EQNXTDZ($A$1,$B16,EK$1)</f>
        <v>1597.55</v>
      </c>
      <c r="EL16" s="107" cm="1">
        <f t="array" ref="EL16">_xll.EQNXTDZ($A$1,$B16,EL$1)</f>
        <v>1589.3</v>
      </c>
      <c r="EM16" s="107" cm="1">
        <f t="array" ref="EM16">_xll.EQNXTDZ($A$1,$B16,EM$1)</f>
        <v>1469.85</v>
      </c>
      <c r="EN16" s="107" cm="1">
        <f t="array" ref="EN16">_xll.EQNXTDZ($A$1,$B16,EN$1)</f>
        <v>1439.7</v>
      </c>
      <c r="EO16" s="107" cm="1">
        <f t="array" ref="EO16">_xll.EQNXTDZ($A$1,$B16,EO$1)</f>
        <v>1509.2</v>
      </c>
      <c r="EP16" s="107" cm="1">
        <f t="array" ref="EP16">_xll.EQNXTDZ($A$1,$B16,EP$1)</f>
        <v>1322.25</v>
      </c>
      <c r="EQ16" s="107" cm="1">
        <f t="array" ref="EQ16">_xll.EQNXTDZ($A$1,$B16,EQ$1)</f>
        <v>1322.35</v>
      </c>
      <c r="ER16" s="107" cm="1">
        <f t="array" ref="ER16">_xll.EQNXTDZ($A$1,$B16,ER$1)</f>
        <v>1326.65</v>
      </c>
      <c r="ES16" s="107" cm="1">
        <f t="array" ref="ES16">_xll.EQNXTDZ($A$1,$B16,ES$1)</f>
        <v>1220.75</v>
      </c>
      <c r="ET16" s="107" cm="1">
        <f t="array" ref="ET16">_xll.EQNXTDZ($A$1,$B16,ET$1)</f>
        <v>1197.0999999999999</v>
      </c>
      <c r="EU16" s="107" cm="1">
        <f t="array" ref="EU16">_xll.EQNXTDZ($A$1,$B16,EU$1)</f>
        <v>981.7</v>
      </c>
      <c r="EV16" s="107" cm="1">
        <f t="array" ref="EV16">_xll.EQNXTDZ($A$1,$B16,EV$1)</f>
        <v>900.3</v>
      </c>
      <c r="EW16" s="107" cm="1">
        <f t="array" ref="EW16">_xll.EQNXTDZ($A$1,$B16,EW$1)</f>
        <v>887.35</v>
      </c>
      <c r="EX16" s="107" cm="1">
        <f t="array" ref="EX16">_xll.EQNXTDZ($A$1,$B16,EX$1)</f>
        <v>1085.7</v>
      </c>
      <c r="EY16" s="107" cm="1">
        <f t="array" ref="EY16">_xll.EQNXTDZ($A$1,$B16,EY$1)</f>
        <v>920.35</v>
      </c>
      <c r="EZ16" s="107" cm="1">
        <f t="array" ref="EZ16">_xll.EQNXTDZ($A$1,$B16,EZ$1)</f>
        <v>952.55</v>
      </c>
      <c r="FA16" s="107" cm="1">
        <f t="array" ref="FA16">_xll.EQNXTDZ($A$1,$B16,FA$1)</f>
        <v>1084.95</v>
      </c>
      <c r="FB16" s="107" cm="1">
        <f t="array" ref="FB16">_xll.EQNXTDZ($A$1,$B16,FB$1)</f>
        <v>1144.95</v>
      </c>
      <c r="FC16" s="107" cm="1">
        <f t="array" ref="FC16">_xll.EQNXTDZ($A$1,$B16,FC$1)</f>
        <v>1210.55</v>
      </c>
      <c r="FD16" s="107" cm="1">
        <f t="array" ref="FD16">_xll.EQNXTDZ($A$1,$B16,FD$1)</f>
        <v>1248.2</v>
      </c>
      <c r="FE16" s="107" cm="1">
        <f t="array" ref="FE16">_xll.EQNXTDZ($A$1,$B16,FE$1)</f>
        <v>1399.6</v>
      </c>
      <c r="FF16" s="107" cm="1">
        <f t="array" ref="FF16">_xll.EQNXTDZ($A$1,$B16,FF$1)</f>
        <v>1354.3</v>
      </c>
      <c r="FG16" s="107" cm="1">
        <f t="array" ref="FG16">_xll.EQNXTDZ($A$1,$B16,FG$1)</f>
        <v>1416.25</v>
      </c>
      <c r="FH16" s="107" cm="1">
        <f t="array" ref="FH16">_xll.EQNXTDZ($A$1,$B16,FH$1)</f>
        <v>1335.75</v>
      </c>
      <c r="FI16" s="107" cm="1">
        <f t="array" ref="FI16">_xll.EQNXTDZ($A$1,$B16,FI$1)</f>
        <v>1273.8499999999999</v>
      </c>
      <c r="FJ16" s="107" cm="1">
        <f t="array" ref="FJ16">_xll.EQNXTDZ($A$1,$B16,FJ$1)</f>
        <v>1324.4</v>
      </c>
      <c r="FK16" s="107" cm="1">
        <f t="array" ref="FK16">_xll.EQNXTDZ($A$1,$B16,FK$1)</f>
        <v>1264.75</v>
      </c>
      <c r="FL16" s="107" cm="1">
        <f t="array" ref="FL16">_xll.EQNXTDZ($A$1,$B16,FL$1)</f>
        <v>1155.3499999999999</v>
      </c>
      <c r="FM16" s="107" cm="1">
        <f t="array" ref="FM16">_xll.EQNXTDZ($A$1,$B16,FM$1)</f>
        <v>1299</v>
      </c>
      <c r="FN16" s="107" cm="1">
        <f t="array" ref="FN16">_xll.EQNXTDZ($A$1,$B16,FN$1)</f>
        <v>1293.3</v>
      </c>
      <c r="FO16" s="107" cm="1">
        <f t="array" ref="FO16">_xll.EQNXTDZ($A$1,$B16,FO$1)</f>
        <v>1407.3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0</v>
      </c>
      <c r="HQ16" s="107">
        <f>+I16</f>
        <v>0</v>
      </c>
      <c r="HR16" s="107">
        <f>+L16</f>
        <v>0</v>
      </c>
      <c r="HS16" s="107">
        <f>+O16</f>
        <v>0</v>
      </c>
      <c r="HT16" s="107">
        <f>+R16</f>
        <v>0</v>
      </c>
      <c r="HU16" s="107">
        <f>+U16</f>
        <v>0</v>
      </c>
      <c r="HV16" s="107">
        <f>+X16</f>
        <v>0</v>
      </c>
      <c r="HW16" s="107">
        <f>+AA16</f>
        <v>0</v>
      </c>
      <c r="HX16" s="107">
        <f>+AD16</f>
        <v>0</v>
      </c>
      <c r="HY16" s="107">
        <f>+AG16</f>
        <v>0</v>
      </c>
      <c r="HZ16" s="107">
        <f>+AJ16</f>
        <v>0</v>
      </c>
      <c r="IA16" s="107">
        <f>+AM16</f>
        <v>0</v>
      </c>
      <c r="IB16" s="107">
        <f>+AP16</f>
        <v>0</v>
      </c>
      <c r="IC16" s="107">
        <f>+AS16</f>
        <v>0</v>
      </c>
      <c r="ID16" s="107">
        <f>+AV16</f>
        <v>0</v>
      </c>
      <c r="IE16" s="107">
        <f>+AY16</f>
        <v>0</v>
      </c>
      <c r="IF16" s="107">
        <f>+BB16</f>
        <v>0</v>
      </c>
      <c r="IG16" s="107">
        <f>+BE16</f>
        <v>0</v>
      </c>
      <c r="IH16" s="107">
        <f>+BH16</f>
        <v>0</v>
      </c>
      <c r="II16" s="107">
        <f>+BK16</f>
        <v>0</v>
      </c>
      <c r="IJ16" s="107">
        <f>+BN16</f>
        <v>0</v>
      </c>
      <c r="IK16" s="107">
        <f>+BQ16</f>
        <v>0</v>
      </c>
      <c r="IL16" s="107">
        <f>+BT16</f>
        <v>0</v>
      </c>
      <c r="IM16" s="107">
        <f>+BW16</f>
        <v>0</v>
      </c>
      <c r="IN16" s="107">
        <f>+BZ16</f>
        <v>292.45</v>
      </c>
      <c r="IO16" s="107">
        <f>+CC16</f>
        <v>383.15</v>
      </c>
      <c r="IP16" s="107">
        <f>+CF16</f>
        <v>501.1</v>
      </c>
      <c r="IQ16" s="107">
        <f>+CI16</f>
        <v>519.4</v>
      </c>
      <c r="IR16" s="107">
        <f>+CL16</f>
        <v>657.55</v>
      </c>
      <c r="IS16" s="107">
        <f>+CO16</f>
        <v>767.15</v>
      </c>
      <c r="IT16" s="107">
        <f>+CR16</f>
        <v>338.35</v>
      </c>
      <c r="IU16" s="107">
        <f>+CU16</f>
        <v>520.9</v>
      </c>
      <c r="IV16" s="107">
        <f>+CX16</f>
        <v>743.8</v>
      </c>
      <c r="IW16" s="107">
        <f>+DA16</f>
        <v>756.65</v>
      </c>
      <c r="IX16" s="107">
        <f>+DD16</f>
        <v>670.45</v>
      </c>
      <c r="IY16" s="107">
        <f>+DG16</f>
        <v>749.75</v>
      </c>
      <c r="IZ16" s="107">
        <f>+DJ16</f>
        <v>635.9</v>
      </c>
      <c r="JA16" s="107">
        <f>+DM16</f>
        <v>598.20000000000005</v>
      </c>
      <c r="JB16" s="107">
        <f>+DP16</f>
        <v>849.05</v>
      </c>
      <c r="JC16" s="107">
        <f>+DS16</f>
        <v>1016.35</v>
      </c>
      <c r="JD16" s="107">
        <f>+DV16</f>
        <v>995.45</v>
      </c>
      <c r="JE16" s="107">
        <f>+DY16</f>
        <v>914</v>
      </c>
      <c r="JF16" s="107">
        <f>+EB16</f>
        <v>915.1</v>
      </c>
      <c r="JG16" s="107">
        <f>+EE16</f>
        <v>1248.55</v>
      </c>
      <c r="JH16" s="107">
        <f>+EH16</f>
        <v>1316.9</v>
      </c>
      <c r="JI16" s="107">
        <f>+EK16</f>
        <v>1597.55</v>
      </c>
      <c r="JJ16" s="107">
        <f>+EN16</f>
        <v>1439.7</v>
      </c>
      <c r="JK16" s="107">
        <f>EQ16</f>
        <v>1322.35</v>
      </c>
      <c r="JL16" s="107">
        <f>ET16</f>
        <v>1197.0999999999999</v>
      </c>
      <c r="JM16" s="107">
        <f>EW16</f>
        <v>887.35</v>
      </c>
      <c r="JN16" s="107">
        <f>EZ16</f>
        <v>952.55</v>
      </c>
      <c r="JO16" s="107">
        <f>FC16</f>
        <v>1210.55</v>
      </c>
      <c r="JP16" s="107">
        <f>FF16</f>
        <v>1354.3</v>
      </c>
      <c r="JQ16" s="107">
        <f>FI16</f>
        <v>1273.8499999999999</v>
      </c>
      <c r="JR16" s="107">
        <f>FL16</f>
        <v>1155.3499999999999</v>
      </c>
      <c r="JS16" s="107">
        <f>FO16</f>
        <v>1407.3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0</v>
      </c>
      <c r="HQ19" s="107">
        <f t="shared" ref="HQ19:JO21" si="0">+IF(HQ14=0,HQ7,HQ14)</f>
        <v>0</v>
      </c>
      <c r="HR19" s="107">
        <f t="shared" si="0"/>
        <v>0</v>
      </c>
      <c r="HS19" s="107">
        <f t="shared" si="0"/>
        <v>0</v>
      </c>
      <c r="HT19" s="107">
        <f t="shared" si="0"/>
        <v>0</v>
      </c>
      <c r="HU19" s="107">
        <f t="shared" si="0"/>
        <v>0</v>
      </c>
      <c r="HV19" s="107">
        <f t="shared" si="0"/>
        <v>0</v>
      </c>
      <c r="HW19" s="107">
        <f t="shared" si="0"/>
        <v>0</v>
      </c>
      <c r="HX19" s="107">
        <f t="shared" si="0"/>
        <v>0</v>
      </c>
      <c r="HY19" s="107">
        <f t="shared" si="0"/>
        <v>0</v>
      </c>
      <c r="HZ19" s="107">
        <f t="shared" si="0"/>
        <v>0</v>
      </c>
      <c r="IA19" s="107">
        <f t="shared" si="0"/>
        <v>0</v>
      </c>
      <c r="IB19" s="107">
        <f t="shared" si="0"/>
        <v>0</v>
      </c>
      <c r="IC19" s="107">
        <f t="shared" si="0"/>
        <v>0</v>
      </c>
      <c r="ID19" s="107">
        <f t="shared" si="0"/>
        <v>0</v>
      </c>
      <c r="IE19" s="107">
        <f t="shared" si="0"/>
        <v>0</v>
      </c>
      <c r="IF19" s="107">
        <f t="shared" si="0"/>
        <v>0</v>
      </c>
      <c r="IG19" s="107">
        <f t="shared" si="0"/>
        <v>0</v>
      </c>
      <c r="IH19" s="107">
        <f t="shared" si="0"/>
        <v>0</v>
      </c>
      <c r="II19" s="107">
        <f t="shared" si="0"/>
        <v>0</v>
      </c>
      <c r="IJ19" s="107">
        <f t="shared" si="0"/>
        <v>0</v>
      </c>
      <c r="IK19" s="107">
        <f t="shared" si="0"/>
        <v>0</v>
      </c>
      <c r="IL19" s="107">
        <f t="shared" si="0"/>
        <v>0</v>
      </c>
      <c r="IM19" s="107">
        <f t="shared" si="0"/>
        <v>0</v>
      </c>
      <c r="IN19" s="107">
        <f t="shared" si="0"/>
        <v>423.3</v>
      </c>
      <c r="IO19" s="107">
        <f t="shared" si="0"/>
        <v>399</v>
      </c>
      <c r="IP19" s="107">
        <f t="shared" si="0"/>
        <v>520.95000000000005</v>
      </c>
      <c r="IQ19" s="107">
        <f t="shared" si="0"/>
        <v>591</v>
      </c>
      <c r="IR19" s="107">
        <f t="shared" si="0"/>
        <v>689</v>
      </c>
      <c r="IS19" s="107">
        <f t="shared" si="0"/>
        <v>848.55</v>
      </c>
      <c r="IT19" s="107">
        <f t="shared" si="0"/>
        <v>1000.8</v>
      </c>
      <c r="IU19" s="107">
        <f t="shared" si="0"/>
        <v>581.5</v>
      </c>
      <c r="IV19" s="107">
        <f t="shared" si="0"/>
        <v>759.25</v>
      </c>
      <c r="IW19" s="107">
        <f t="shared" si="0"/>
        <v>839</v>
      </c>
      <c r="IX19" s="107">
        <f t="shared" si="0"/>
        <v>810</v>
      </c>
      <c r="IY19" s="107">
        <f t="shared" si="0"/>
        <v>807.55</v>
      </c>
      <c r="IZ19" s="107">
        <f t="shared" si="0"/>
        <v>757.7</v>
      </c>
      <c r="JA19" s="107">
        <f t="shared" si="0"/>
        <v>728.8</v>
      </c>
      <c r="JB19" s="107">
        <f t="shared" si="0"/>
        <v>878.25</v>
      </c>
      <c r="JC19" s="107">
        <f t="shared" si="0"/>
        <v>1154.3499999999999</v>
      </c>
      <c r="JD19" s="107">
        <f t="shared" si="0"/>
        <v>1094.45</v>
      </c>
      <c r="JE19" s="107">
        <f t="shared" si="0"/>
        <v>1026.95</v>
      </c>
      <c r="JF19" s="107">
        <f t="shared" si="0"/>
        <v>1020.2</v>
      </c>
      <c r="JG19" s="107">
        <f t="shared" si="0"/>
        <v>1397.65</v>
      </c>
      <c r="JH19" s="107">
        <f t="shared" si="0"/>
        <v>1502.3</v>
      </c>
      <c r="JI19" s="107">
        <f t="shared" si="0"/>
        <v>1794.4</v>
      </c>
      <c r="JJ19" s="107">
        <f t="shared" si="0"/>
        <v>1789.75</v>
      </c>
      <c r="JK19" s="107">
        <f t="shared" si="0"/>
        <v>1553</v>
      </c>
      <c r="JL19" s="107">
        <f t="shared" si="0"/>
        <v>1408.95</v>
      </c>
      <c r="JM19" s="107">
        <f t="shared" si="0"/>
        <v>1218.0999999999999</v>
      </c>
      <c r="JN19" s="107">
        <f t="shared" si="0"/>
        <v>1118</v>
      </c>
      <c r="JO19" s="107">
        <f t="shared" si="0"/>
        <v>1253.6500000000001</v>
      </c>
      <c r="JP19" s="107">
        <f t="shared" ref="JP19:KH21" si="1">+IF(JP14=0,JP7,JP14)</f>
        <v>1431</v>
      </c>
      <c r="JQ19" s="107">
        <f t="shared" si="1"/>
        <v>1489.1</v>
      </c>
      <c r="JR19" s="107">
        <f t="shared" si="1"/>
        <v>1496.6</v>
      </c>
      <c r="JS19" s="107">
        <f t="shared" si="1"/>
        <v>1566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0</v>
      </c>
      <c r="HQ20" s="107">
        <f t="shared" si="2"/>
        <v>0</v>
      </c>
      <c r="HR20" s="107">
        <f t="shared" si="2"/>
        <v>0</v>
      </c>
      <c r="HS20" s="107">
        <f t="shared" si="2"/>
        <v>0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0</v>
      </c>
      <c r="HX20" s="107">
        <f t="shared" si="2"/>
        <v>0</v>
      </c>
      <c r="HY20" s="107">
        <f t="shared" si="2"/>
        <v>0</v>
      </c>
      <c r="HZ20" s="107">
        <f t="shared" si="2"/>
        <v>0</v>
      </c>
      <c r="IA20" s="107">
        <f t="shared" si="2"/>
        <v>0</v>
      </c>
      <c r="IB20" s="107">
        <f t="shared" si="2"/>
        <v>0</v>
      </c>
      <c r="IC20" s="107">
        <f t="shared" si="2"/>
        <v>0</v>
      </c>
      <c r="ID20" s="107">
        <f t="shared" si="2"/>
        <v>0</v>
      </c>
      <c r="IE20" s="107">
        <f t="shared" si="2"/>
        <v>0</v>
      </c>
      <c r="IF20" s="107">
        <f t="shared" si="0"/>
        <v>0</v>
      </c>
      <c r="IG20" s="107">
        <f t="shared" si="0"/>
        <v>0</v>
      </c>
      <c r="IH20" s="107">
        <f t="shared" si="0"/>
        <v>0</v>
      </c>
      <c r="II20" s="107">
        <f t="shared" si="0"/>
        <v>0</v>
      </c>
      <c r="IJ20" s="107">
        <f t="shared" si="0"/>
        <v>0</v>
      </c>
      <c r="IK20" s="107">
        <f t="shared" si="0"/>
        <v>0</v>
      </c>
      <c r="IL20" s="107">
        <f t="shared" si="0"/>
        <v>0</v>
      </c>
      <c r="IM20" s="107">
        <f t="shared" si="0"/>
        <v>0</v>
      </c>
      <c r="IN20" s="107">
        <f t="shared" si="0"/>
        <v>0</v>
      </c>
      <c r="IO20" s="107">
        <f t="shared" si="0"/>
        <v>245.75</v>
      </c>
      <c r="IP20" s="107">
        <f t="shared" si="0"/>
        <v>350.1</v>
      </c>
      <c r="IQ20" s="107">
        <f t="shared" si="0"/>
        <v>398.7</v>
      </c>
      <c r="IR20" s="107">
        <f t="shared" si="0"/>
        <v>483</v>
      </c>
      <c r="IS20" s="107">
        <f t="shared" si="0"/>
        <v>610</v>
      </c>
      <c r="IT20" s="107">
        <f t="shared" si="0"/>
        <v>338.35</v>
      </c>
      <c r="IU20" s="107">
        <f t="shared" si="0"/>
        <v>305.75</v>
      </c>
      <c r="IV20" s="107">
        <f t="shared" si="0"/>
        <v>500</v>
      </c>
      <c r="IW20" s="107">
        <f t="shared" si="0"/>
        <v>605.04999999999995</v>
      </c>
      <c r="IX20" s="107">
        <f t="shared" si="0"/>
        <v>640</v>
      </c>
      <c r="IY20" s="107">
        <f t="shared" si="0"/>
        <v>541</v>
      </c>
      <c r="IZ20" s="107">
        <f t="shared" si="0"/>
        <v>597</v>
      </c>
      <c r="JA20" s="107">
        <f t="shared" si="0"/>
        <v>495.3</v>
      </c>
      <c r="JB20" s="107">
        <f t="shared" si="0"/>
        <v>560</v>
      </c>
      <c r="JC20" s="107">
        <f t="shared" si="0"/>
        <v>847</v>
      </c>
      <c r="JD20" s="107">
        <f t="shared" si="0"/>
        <v>947</v>
      </c>
      <c r="JE20" s="107">
        <f t="shared" si="0"/>
        <v>845</v>
      </c>
      <c r="JF20" s="107">
        <f t="shared" si="0"/>
        <v>834.1</v>
      </c>
      <c r="JG20" s="107">
        <f t="shared" si="0"/>
        <v>903.2</v>
      </c>
      <c r="JH20" s="107">
        <f t="shared" si="0"/>
        <v>1240.3499999999999</v>
      </c>
      <c r="JI20" s="107">
        <f t="shared" si="0"/>
        <v>1292.95</v>
      </c>
      <c r="JJ20" s="107">
        <f t="shared" si="0"/>
        <v>1278</v>
      </c>
      <c r="JK20" s="107">
        <f t="shared" si="0"/>
        <v>1193.7</v>
      </c>
      <c r="JL20" s="107">
        <f t="shared" si="0"/>
        <v>1153.55</v>
      </c>
      <c r="JM20" s="107">
        <f t="shared" si="0"/>
        <v>810.1</v>
      </c>
      <c r="JN20" s="107">
        <f t="shared" si="0"/>
        <v>750.05</v>
      </c>
      <c r="JO20" s="107">
        <f t="shared" si="0"/>
        <v>860</v>
      </c>
      <c r="JP20" s="107">
        <f t="shared" ref="JP20" si="3">+IF(JP15=0,JP8,JP15)</f>
        <v>1197.05</v>
      </c>
      <c r="JQ20" s="107">
        <f t="shared" si="1"/>
        <v>1231</v>
      </c>
      <c r="JR20" s="107">
        <f t="shared" si="1"/>
        <v>1112.9000000000001</v>
      </c>
      <c r="JS20" s="107">
        <f t="shared" si="1"/>
        <v>1157.3499999999999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0</v>
      </c>
      <c r="HQ21" s="107">
        <f t="shared" si="0"/>
        <v>0</v>
      </c>
      <c r="HR21" s="107">
        <f t="shared" si="0"/>
        <v>0</v>
      </c>
      <c r="HS21" s="107">
        <f t="shared" si="0"/>
        <v>0</v>
      </c>
      <c r="HT21" s="107">
        <f t="shared" si="0"/>
        <v>0</v>
      </c>
      <c r="HU21" s="107">
        <f t="shared" si="0"/>
        <v>0</v>
      </c>
      <c r="HV21" s="107">
        <f t="shared" si="0"/>
        <v>0</v>
      </c>
      <c r="HW21" s="107">
        <f t="shared" si="0"/>
        <v>0</v>
      </c>
      <c r="HX21" s="107">
        <f t="shared" si="0"/>
        <v>0</v>
      </c>
      <c r="HY21" s="107">
        <f t="shared" si="0"/>
        <v>0</v>
      </c>
      <c r="HZ21" s="107">
        <f t="shared" si="0"/>
        <v>0</v>
      </c>
      <c r="IA21" s="107">
        <f t="shared" si="0"/>
        <v>0</v>
      </c>
      <c r="IB21" s="107">
        <f t="shared" si="0"/>
        <v>0</v>
      </c>
      <c r="IC21" s="107">
        <f t="shared" si="0"/>
        <v>0</v>
      </c>
      <c r="ID21" s="107">
        <f t="shared" si="0"/>
        <v>0</v>
      </c>
      <c r="IE21" s="107">
        <f t="shared" si="0"/>
        <v>0</v>
      </c>
      <c r="IF21" s="107">
        <f t="shared" si="0"/>
        <v>0</v>
      </c>
      <c r="IG21" s="107">
        <f t="shared" si="0"/>
        <v>0</v>
      </c>
      <c r="IH21" s="107">
        <f t="shared" si="0"/>
        <v>0</v>
      </c>
      <c r="II21" s="107">
        <f t="shared" si="0"/>
        <v>0</v>
      </c>
      <c r="IJ21" s="107">
        <f t="shared" si="0"/>
        <v>0</v>
      </c>
      <c r="IK21" s="107">
        <f t="shared" si="0"/>
        <v>0</v>
      </c>
      <c r="IL21" s="107">
        <f t="shared" si="0"/>
        <v>0</v>
      </c>
      <c r="IM21" s="107">
        <f t="shared" si="0"/>
        <v>0</v>
      </c>
      <c r="IN21" s="107">
        <f t="shared" si="0"/>
        <v>292.45</v>
      </c>
      <c r="IO21" s="107">
        <f t="shared" si="0"/>
        <v>383.15</v>
      </c>
      <c r="IP21" s="107">
        <f t="shared" si="0"/>
        <v>501.1</v>
      </c>
      <c r="IQ21" s="107">
        <f t="shared" si="0"/>
        <v>519.4</v>
      </c>
      <c r="IR21" s="107">
        <f t="shared" si="0"/>
        <v>657.55</v>
      </c>
      <c r="IS21" s="107">
        <f t="shared" si="0"/>
        <v>767.15</v>
      </c>
      <c r="IT21" s="107">
        <f t="shared" si="0"/>
        <v>338.35</v>
      </c>
      <c r="IU21" s="107">
        <f t="shared" si="0"/>
        <v>520.9</v>
      </c>
      <c r="IV21" s="107">
        <f t="shared" si="0"/>
        <v>743.8</v>
      </c>
      <c r="IW21" s="107">
        <f t="shared" si="0"/>
        <v>756.65</v>
      </c>
      <c r="IX21" s="107">
        <f t="shared" si="0"/>
        <v>670.45</v>
      </c>
      <c r="IY21" s="107">
        <f t="shared" si="0"/>
        <v>749.75</v>
      </c>
      <c r="IZ21" s="107">
        <f t="shared" si="0"/>
        <v>635.9</v>
      </c>
      <c r="JA21" s="107">
        <f t="shared" si="0"/>
        <v>598.20000000000005</v>
      </c>
      <c r="JB21" s="107">
        <f t="shared" si="0"/>
        <v>849.05</v>
      </c>
      <c r="JC21" s="107">
        <f t="shared" si="0"/>
        <v>1016.35</v>
      </c>
      <c r="JD21" s="107">
        <f t="shared" si="0"/>
        <v>995.45</v>
      </c>
      <c r="JE21" s="107">
        <f t="shared" si="0"/>
        <v>914</v>
      </c>
      <c r="JF21" s="107">
        <f t="shared" si="0"/>
        <v>915.1</v>
      </c>
      <c r="JG21" s="107">
        <f t="shared" si="0"/>
        <v>1248.55</v>
      </c>
      <c r="JH21" s="107">
        <f t="shared" si="0"/>
        <v>1316.9</v>
      </c>
      <c r="JI21" s="107">
        <f t="shared" si="0"/>
        <v>1597.55</v>
      </c>
      <c r="JJ21" s="107">
        <f t="shared" si="0"/>
        <v>1439.7</v>
      </c>
      <c r="JK21" s="107">
        <f t="shared" si="0"/>
        <v>1322.35</v>
      </c>
      <c r="JL21" s="107">
        <f t="shared" si="0"/>
        <v>1197.0999999999999</v>
      </c>
      <c r="JM21" s="107">
        <f t="shared" si="0"/>
        <v>887.35</v>
      </c>
      <c r="JN21" s="107">
        <f t="shared" si="0"/>
        <v>952.55</v>
      </c>
      <c r="JO21" s="107">
        <f t="shared" si="0"/>
        <v>1210.55</v>
      </c>
      <c r="JP21" s="107">
        <f t="shared" ref="JP21" si="4">+IF(JP16=0,JP9,JP16)</f>
        <v>1354.3</v>
      </c>
      <c r="JQ21" s="107">
        <f t="shared" si="1"/>
        <v>1273.8499999999999</v>
      </c>
      <c r="JR21" s="107">
        <f t="shared" si="1"/>
        <v>1155.3499999999999</v>
      </c>
      <c r="JS21" s="107">
        <f t="shared" si="1"/>
        <v>1407.3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2026-06-17T12:39:13Z</dcterms:modified>
</cp:coreProperties>
</file>